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45912</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45912</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45912</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45912</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45912</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45912</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45912</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45912</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45912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45912</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17520-2022</t>
        </is>
      </c>
      <c r="B19" s="1" t="n">
        <v>44679</v>
      </c>
      <c r="C19" s="1" t="n">
        <v>45912</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45912</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27981-2022</t>
        </is>
      </c>
      <c r="B21" s="1" t="n">
        <v>44745</v>
      </c>
      <c r="C21" s="1" t="n">
        <v>45912</v>
      </c>
      <c r="D21" t="inlineStr">
        <is>
          <t>ÖSTERGÖTLANDS LÄN</t>
        </is>
      </c>
      <c r="E21" t="inlineStr">
        <is>
          <t>LINKÖPING</t>
        </is>
      </c>
      <c r="G21" t="n">
        <v>8.4</v>
      </c>
      <c r="H21" t="n">
        <v>0</v>
      </c>
      <c r="I21" t="n">
        <v>0</v>
      </c>
      <c r="J21" t="n">
        <v>2</v>
      </c>
      <c r="K21" t="n">
        <v>0</v>
      </c>
      <c r="L21" t="n">
        <v>0</v>
      </c>
      <c r="M21" t="n">
        <v>0</v>
      </c>
      <c r="N21" t="n">
        <v>0</v>
      </c>
      <c r="O21" t="n">
        <v>2</v>
      </c>
      <c r="P21" t="n">
        <v>0</v>
      </c>
      <c r="Q21" t="n">
        <v>2</v>
      </c>
      <c r="R21" s="2" t="inlineStr">
        <is>
          <t>Solvända
Svinrot</t>
        </is>
      </c>
      <c r="S21">
        <f>HYPERLINK("https://klasma.github.io/Logging_0580/artfynd/A 27981-2022 artfynd.xlsx", "A 27981-2022")</f>
        <v/>
      </c>
      <c r="T21">
        <f>HYPERLINK("https://klasma.github.io/Logging_0580/kartor/A 27981-2022 karta.png", "A 27981-2022")</f>
        <v/>
      </c>
      <c r="V21">
        <f>HYPERLINK("https://klasma.github.io/Logging_0580/klagomål/A 27981-2022 FSC-klagomål.docx", "A 27981-2022")</f>
        <v/>
      </c>
      <c r="W21">
        <f>HYPERLINK("https://klasma.github.io/Logging_0580/klagomålsmail/A 27981-2022 FSC-klagomål mail.docx", "A 27981-2022")</f>
        <v/>
      </c>
      <c r="X21">
        <f>HYPERLINK("https://klasma.github.io/Logging_0580/tillsyn/A 27981-2022 tillsynsbegäran.docx", "A 27981-2022")</f>
        <v/>
      </c>
      <c r="Y21">
        <f>HYPERLINK("https://klasma.github.io/Logging_0580/tillsynsmail/A 27981-2022 tillsynsbegäran mail.docx", "A 27981-2022")</f>
        <v/>
      </c>
    </row>
    <row r="22" ht="15" customHeight="1">
      <c r="A22" t="inlineStr">
        <is>
          <t>A 21326-2025</t>
        </is>
      </c>
      <c r="B22" s="1" t="n">
        <v>45782.35407407407</v>
      </c>
      <c r="C22" s="1" t="n">
        <v>45912</v>
      </c>
      <c r="D22" t="inlineStr">
        <is>
          <t>ÖSTERGÖTLANDS LÄN</t>
        </is>
      </c>
      <c r="E22" t="inlineStr">
        <is>
          <t>LINKÖPING</t>
        </is>
      </c>
      <c r="G22" t="n">
        <v>4.9</v>
      </c>
      <c r="H22" t="n">
        <v>2</v>
      </c>
      <c r="I22" t="n">
        <v>0</v>
      </c>
      <c r="J22" t="n">
        <v>0</v>
      </c>
      <c r="K22" t="n">
        <v>0</v>
      </c>
      <c r="L22" t="n">
        <v>0</v>
      </c>
      <c r="M22" t="n">
        <v>0</v>
      </c>
      <c r="N22" t="n">
        <v>0</v>
      </c>
      <c r="O22" t="n">
        <v>0</v>
      </c>
      <c r="P22" t="n">
        <v>0</v>
      </c>
      <c r="Q22" t="n">
        <v>2</v>
      </c>
      <c r="R22" s="2" t="inlineStr">
        <is>
          <t>Blåsippa
Revlummer</t>
        </is>
      </c>
      <c r="S22">
        <f>HYPERLINK("https://klasma.github.io/Logging_0580/artfynd/A 21326-2025 artfynd.xlsx", "A 21326-2025")</f>
        <v/>
      </c>
      <c r="T22">
        <f>HYPERLINK("https://klasma.github.io/Logging_0580/kartor/A 21326-2025 karta.png", "A 21326-2025")</f>
        <v/>
      </c>
      <c r="V22">
        <f>HYPERLINK("https://klasma.github.io/Logging_0580/klagomål/A 21326-2025 FSC-klagomål.docx", "A 21326-2025")</f>
        <v/>
      </c>
      <c r="W22">
        <f>HYPERLINK("https://klasma.github.io/Logging_0580/klagomålsmail/A 21326-2025 FSC-klagomål mail.docx", "A 21326-2025")</f>
        <v/>
      </c>
      <c r="X22">
        <f>HYPERLINK("https://klasma.github.io/Logging_0580/tillsyn/A 21326-2025 tillsynsbegäran.docx", "A 21326-2025")</f>
        <v/>
      </c>
      <c r="Y22">
        <f>HYPERLINK("https://klasma.github.io/Logging_0580/tillsynsmail/A 21326-2025 tillsynsbegäran mail.docx", "A 21326-2025")</f>
        <v/>
      </c>
    </row>
    <row r="23" ht="15" customHeight="1">
      <c r="A23" t="inlineStr">
        <is>
          <t>A 50404-2023</t>
        </is>
      </c>
      <c r="B23" s="1" t="n">
        <v>45216</v>
      </c>
      <c r="C23" s="1" t="n">
        <v>45912</v>
      </c>
      <c r="D23" t="inlineStr">
        <is>
          <t>ÖSTERGÖTLANDS LÄN</t>
        </is>
      </c>
      <c r="E23" t="inlineStr">
        <is>
          <t>LINKÖPING</t>
        </is>
      </c>
      <c r="G23" t="n">
        <v>1.2</v>
      </c>
      <c r="H23" t="n">
        <v>1</v>
      </c>
      <c r="I23" t="n">
        <v>1</v>
      </c>
      <c r="J23" t="n">
        <v>0</v>
      </c>
      <c r="K23" t="n">
        <v>0</v>
      </c>
      <c r="L23" t="n">
        <v>0</v>
      </c>
      <c r="M23" t="n">
        <v>0</v>
      </c>
      <c r="N23" t="n">
        <v>0</v>
      </c>
      <c r="O23" t="n">
        <v>0</v>
      </c>
      <c r="P23" t="n">
        <v>0</v>
      </c>
      <c r="Q23" t="n">
        <v>2</v>
      </c>
      <c r="R23" s="2" t="inlineStr">
        <is>
          <t>Hasselticka
Gullviva</t>
        </is>
      </c>
      <c r="S23">
        <f>HYPERLINK("https://klasma.github.io/Logging_0580/artfynd/A 50404-2023 artfynd.xlsx", "A 50404-2023")</f>
        <v/>
      </c>
      <c r="T23">
        <f>HYPERLINK("https://klasma.github.io/Logging_0580/kartor/A 50404-2023 karta.png", "A 50404-2023")</f>
        <v/>
      </c>
      <c r="V23">
        <f>HYPERLINK("https://klasma.github.io/Logging_0580/klagomål/A 50404-2023 FSC-klagomål.docx", "A 50404-2023")</f>
        <v/>
      </c>
      <c r="W23">
        <f>HYPERLINK("https://klasma.github.io/Logging_0580/klagomålsmail/A 50404-2023 FSC-klagomål mail.docx", "A 50404-2023")</f>
        <v/>
      </c>
      <c r="X23">
        <f>HYPERLINK("https://klasma.github.io/Logging_0580/tillsyn/A 50404-2023 tillsynsbegäran.docx", "A 50404-2023")</f>
        <v/>
      </c>
      <c r="Y23">
        <f>HYPERLINK("https://klasma.github.io/Logging_0580/tillsynsmail/A 50404-2023 tillsynsbegäran mail.docx", "A 50404-2023")</f>
        <v/>
      </c>
    </row>
    <row r="24" ht="15" customHeight="1">
      <c r="A24" t="inlineStr">
        <is>
          <t>A 20292-2025</t>
        </is>
      </c>
      <c r="B24" s="1" t="n">
        <v>45774.7449537037</v>
      </c>
      <c r="C24" s="1" t="n">
        <v>45912</v>
      </c>
      <c r="D24" t="inlineStr">
        <is>
          <t>ÖSTERGÖTLANDS LÄN</t>
        </is>
      </c>
      <c r="E24" t="inlineStr">
        <is>
          <t>LINKÖPING</t>
        </is>
      </c>
      <c r="G24" t="n">
        <v>8.4</v>
      </c>
      <c r="H24" t="n">
        <v>1</v>
      </c>
      <c r="I24" t="n">
        <v>1</v>
      </c>
      <c r="J24" t="n">
        <v>0</v>
      </c>
      <c r="K24" t="n">
        <v>0</v>
      </c>
      <c r="L24" t="n">
        <v>0</v>
      </c>
      <c r="M24" t="n">
        <v>0</v>
      </c>
      <c r="N24" t="n">
        <v>0</v>
      </c>
      <c r="O24" t="n">
        <v>0</v>
      </c>
      <c r="P24" t="n">
        <v>0</v>
      </c>
      <c r="Q24" t="n">
        <v>2</v>
      </c>
      <c r="R24" s="2" t="inlineStr">
        <is>
          <t>Blåmossa
Blåsippa</t>
        </is>
      </c>
      <c r="S24">
        <f>HYPERLINK("https://klasma.github.io/Logging_0580/artfynd/A 20292-2025 artfynd.xlsx", "A 20292-2025")</f>
        <v/>
      </c>
      <c r="T24">
        <f>HYPERLINK("https://klasma.github.io/Logging_0580/kartor/A 20292-2025 karta.png", "A 20292-2025")</f>
        <v/>
      </c>
      <c r="V24">
        <f>HYPERLINK("https://klasma.github.io/Logging_0580/klagomål/A 20292-2025 FSC-klagomål.docx", "A 20292-2025")</f>
        <v/>
      </c>
      <c r="W24">
        <f>HYPERLINK("https://klasma.github.io/Logging_0580/klagomålsmail/A 20292-2025 FSC-klagomål mail.docx", "A 20292-2025")</f>
        <v/>
      </c>
      <c r="X24">
        <f>HYPERLINK("https://klasma.github.io/Logging_0580/tillsyn/A 20292-2025 tillsynsbegäran.docx", "A 20292-2025")</f>
        <v/>
      </c>
      <c r="Y24">
        <f>HYPERLINK("https://klasma.github.io/Logging_0580/tillsynsmail/A 20292-2025 tillsynsbegäran mail.docx", "A 20292-2025")</f>
        <v/>
      </c>
    </row>
    <row r="25" ht="15" customHeight="1">
      <c r="A25" t="inlineStr">
        <is>
          <t>A 20297-2025</t>
        </is>
      </c>
      <c r="B25" s="1" t="n">
        <v>45774.74971064815</v>
      </c>
      <c r="C25" s="1" t="n">
        <v>45912</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27795-2025</t>
        </is>
      </c>
      <c r="B26" s="1" t="n">
        <v>45816.7908912037</v>
      </c>
      <c r="C26" s="1" t="n">
        <v>45912</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45912</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45912</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38913-2023</t>
        </is>
      </c>
      <c r="B29" s="1" t="n">
        <v>45163</v>
      </c>
      <c r="C29" s="1" t="n">
        <v>45912</v>
      </c>
      <c r="D29" t="inlineStr">
        <is>
          <t>ÖSTERGÖTLANDS LÄN</t>
        </is>
      </c>
      <c r="E29" t="inlineStr">
        <is>
          <t>LINKÖPING</t>
        </is>
      </c>
      <c r="G29" t="n">
        <v>2.7</v>
      </c>
      <c r="H29" t="n">
        <v>1</v>
      </c>
      <c r="I29" t="n">
        <v>1</v>
      </c>
      <c r="J29" t="n">
        <v>0</v>
      </c>
      <c r="K29" t="n">
        <v>0</v>
      </c>
      <c r="L29" t="n">
        <v>0</v>
      </c>
      <c r="M29" t="n">
        <v>0</v>
      </c>
      <c r="N29" t="n">
        <v>0</v>
      </c>
      <c r="O29" t="n">
        <v>0</v>
      </c>
      <c r="P29" t="n">
        <v>0</v>
      </c>
      <c r="Q29" t="n">
        <v>2</v>
      </c>
      <c r="R29" s="2" t="inlineStr">
        <is>
          <t>Skogsbräsma
Revlummer</t>
        </is>
      </c>
      <c r="S29">
        <f>HYPERLINK("https://klasma.github.io/Logging_0580/artfynd/A 38913-2023 artfynd.xlsx", "A 38913-2023")</f>
        <v/>
      </c>
      <c r="T29">
        <f>HYPERLINK("https://klasma.github.io/Logging_0580/kartor/A 38913-2023 karta.png", "A 38913-2023")</f>
        <v/>
      </c>
      <c r="V29">
        <f>HYPERLINK("https://klasma.github.io/Logging_0580/klagomål/A 38913-2023 FSC-klagomål.docx", "A 38913-2023")</f>
        <v/>
      </c>
      <c r="W29">
        <f>HYPERLINK("https://klasma.github.io/Logging_0580/klagomålsmail/A 38913-2023 FSC-klagomål mail.docx", "A 38913-2023")</f>
        <v/>
      </c>
      <c r="X29">
        <f>HYPERLINK("https://klasma.github.io/Logging_0580/tillsyn/A 38913-2023 tillsynsbegäran.docx", "A 38913-2023")</f>
        <v/>
      </c>
      <c r="Y29">
        <f>HYPERLINK("https://klasma.github.io/Logging_0580/tillsynsmail/A 38913-2023 tillsynsbegäran mail.docx", "A 38913-2023")</f>
        <v/>
      </c>
    </row>
    <row r="30" ht="15" customHeight="1">
      <c r="A30" t="inlineStr">
        <is>
          <t>A 58068-2021</t>
        </is>
      </c>
      <c r="B30" s="1" t="n">
        <v>44487</v>
      </c>
      <c r="C30" s="1" t="n">
        <v>45912</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45912</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25985-2025</t>
        </is>
      </c>
      <c r="B32" s="1" t="n">
        <v>45804.64479166667</v>
      </c>
      <c r="C32" s="1" t="n">
        <v>45912</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22040-2023</t>
        </is>
      </c>
      <c r="B33" s="1" t="n">
        <v>45068</v>
      </c>
      <c r="C33" s="1" t="n">
        <v>45912</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45912</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42858-2023</t>
        </is>
      </c>
      <c r="B35" s="1" t="n">
        <v>45177</v>
      </c>
      <c r="C35" s="1" t="n">
        <v>45912</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45912</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55344-2024</t>
        </is>
      </c>
      <c r="B37" s="1" t="n">
        <v>45621.7202662037</v>
      </c>
      <c r="C37" s="1" t="n">
        <v>45912</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38129-2021</t>
        </is>
      </c>
      <c r="B38" s="1" t="n">
        <v>44405.37199074074</v>
      </c>
      <c r="C38" s="1" t="n">
        <v>45912</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56250-2021</t>
        </is>
      </c>
      <c r="B39" s="1" t="n">
        <v>44479</v>
      </c>
      <c r="C39" s="1" t="n">
        <v>45912</v>
      </c>
      <c r="D39" t="inlineStr">
        <is>
          <t>ÖSTERGÖTLANDS LÄN</t>
        </is>
      </c>
      <c r="E39" t="inlineStr">
        <is>
          <t>LINKÖPING</t>
        </is>
      </c>
      <c r="F39" t="inlineStr">
        <is>
          <t>Övriga Aktiebolag</t>
        </is>
      </c>
      <c r="G39" t="n">
        <v>3.2</v>
      </c>
      <c r="H39" t="n">
        <v>0</v>
      </c>
      <c r="I39" t="n">
        <v>1</v>
      </c>
      <c r="J39" t="n">
        <v>0</v>
      </c>
      <c r="K39" t="n">
        <v>0</v>
      </c>
      <c r="L39" t="n">
        <v>0</v>
      </c>
      <c r="M39" t="n">
        <v>0</v>
      </c>
      <c r="N39" t="n">
        <v>0</v>
      </c>
      <c r="O39" t="n">
        <v>0</v>
      </c>
      <c r="P39" t="n">
        <v>0</v>
      </c>
      <c r="Q39" t="n">
        <v>1</v>
      </c>
      <c r="R39" s="2" t="inlineStr">
        <is>
          <t>Strutbräken</t>
        </is>
      </c>
      <c r="S39">
        <f>HYPERLINK("https://klasma.github.io/Logging_0580/artfynd/A 56250-2021 artfynd.xlsx", "A 56250-2021")</f>
        <v/>
      </c>
      <c r="T39">
        <f>HYPERLINK("https://klasma.github.io/Logging_0580/kartor/A 56250-2021 karta.png", "A 56250-2021")</f>
        <v/>
      </c>
      <c r="V39">
        <f>HYPERLINK("https://klasma.github.io/Logging_0580/klagomål/A 56250-2021 FSC-klagomål.docx", "A 56250-2021")</f>
        <v/>
      </c>
      <c r="W39">
        <f>HYPERLINK("https://klasma.github.io/Logging_0580/klagomålsmail/A 56250-2021 FSC-klagomål mail.docx", "A 56250-2021")</f>
        <v/>
      </c>
      <c r="X39">
        <f>HYPERLINK("https://klasma.github.io/Logging_0580/tillsyn/A 56250-2021 tillsynsbegäran.docx", "A 56250-2021")</f>
        <v/>
      </c>
      <c r="Y39">
        <f>HYPERLINK("https://klasma.github.io/Logging_0580/tillsynsmail/A 56250-2021 tillsynsbegäran mail.docx", "A 56250-2021")</f>
        <v/>
      </c>
    </row>
    <row r="40" ht="15" customHeight="1">
      <c r="A40" t="inlineStr">
        <is>
          <t>A 43017-2021</t>
        </is>
      </c>
      <c r="B40" s="1" t="n">
        <v>44431</v>
      </c>
      <c r="C40" s="1" t="n">
        <v>45912</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46496-2022</t>
        </is>
      </c>
      <c r="B41" s="1" t="n">
        <v>44848</v>
      </c>
      <c r="C41" s="1" t="n">
        <v>45912</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71127-2021</t>
        </is>
      </c>
      <c r="B42" s="1" t="n">
        <v>44537</v>
      </c>
      <c r="C42" s="1" t="n">
        <v>45912</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45912</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45912</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931-2025</t>
        </is>
      </c>
      <c r="B45" s="1" t="n">
        <v>45665.88498842593</v>
      </c>
      <c r="C45" s="1" t="n">
        <v>45912</v>
      </c>
      <c r="D45" t="inlineStr">
        <is>
          <t>ÖSTERGÖTLANDS LÄN</t>
        </is>
      </c>
      <c r="E45" t="inlineStr">
        <is>
          <t>LINKÖPING</t>
        </is>
      </c>
      <c r="F45" t="inlineStr">
        <is>
          <t>Övriga Aktiebolag</t>
        </is>
      </c>
      <c r="G45" t="n">
        <v>0.8</v>
      </c>
      <c r="H45" t="n">
        <v>0</v>
      </c>
      <c r="I45" t="n">
        <v>0</v>
      </c>
      <c r="J45" t="n">
        <v>1</v>
      </c>
      <c r="K45" t="n">
        <v>0</v>
      </c>
      <c r="L45" t="n">
        <v>0</v>
      </c>
      <c r="M45" t="n">
        <v>0</v>
      </c>
      <c r="N45" t="n">
        <v>0</v>
      </c>
      <c r="O45" t="n">
        <v>1</v>
      </c>
      <c r="P45" t="n">
        <v>0</v>
      </c>
      <c r="Q45" t="n">
        <v>1</v>
      </c>
      <c r="R45" s="2" t="inlineStr">
        <is>
          <t>Tallticka</t>
        </is>
      </c>
      <c r="S45">
        <f>HYPERLINK("https://klasma.github.io/Logging_0580/artfynd/A 931-2025 artfynd.xlsx", "A 931-2025")</f>
        <v/>
      </c>
      <c r="T45">
        <f>HYPERLINK("https://klasma.github.io/Logging_0580/kartor/A 931-2025 karta.png", "A 931-2025")</f>
        <v/>
      </c>
      <c r="V45">
        <f>HYPERLINK("https://klasma.github.io/Logging_0580/klagomål/A 931-2025 FSC-klagomål.docx", "A 931-2025")</f>
        <v/>
      </c>
      <c r="W45">
        <f>HYPERLINK("https://klasma.github.io/Logging_0580/klagomålsmail/A 931-2025 FSC-klagomål mail.docx", "A 931-2025")</f>
        <v/>
      </c>
      <c r="X45">
        <f>HYPERLINK("https://klasma.github.io/Logging_0580/tillsyn/A 931-2025 tillsynsbegäran.docx", "A 931-2025")</f>
        <v/>
      </c>
      <c r="Y45">
        <f>HYPERLINK("https://klasma.github.io/Logging_0580/tillsynsmail/A 931-2025 tillsynsbegäran mail.docx", "A 931-2025")</f>
        <v/>
      </c>
    </row>
    <row r="46" ht="15" customHeight="1">
      <c r="A46" t="inlineStr">
        <is>
          <t>A 1716-2023</t>
        </is>
      </c>
      <c r="B46" s="1" t="n">
        <v>44938</v>
      </c>
      <c r="C46" s="1" t="n">
        <v>45912</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126-2024</t>
        </is>
      </c>
      <c r="B47" s="1" t="n">
        <v>45294</v>
      </c>
      <c r="C47" s="1" t="n">
        <v>45912</v>
      </c>
      <c r="D47" t="inlineStr">
        <is>
          <t>ÖSTERGÖTLANDS LÄN</t>
        </is>
      </c>
      <c r="E47" t="inlineStr">
        <is>
          <t>LINKÖPING</t>
        </is>
      </c>
      <c r="G47" t="n">
        <v>1</v>
      </c>
      <c r="H47" t="n">
        <v>0</v>
      </c>
      <c r="I47" t="n">
        <v>1</v>
      </c>
      <c r="J47" t="n">
        <v>0</v>
      </c>
      <c r="K47" t="n">
        <v>0</v>
      </c>
      <c r="L47" t="n">
        <v>0</v>
      </c>
      <c r="M47" t="n">
        <v>0</v>
      </c>
      <c r="N47" t="n">
        <v>0</v>
      </c>
      <c r="O47" t="n">
        <v>0</v>
      </c>
      <c r="P47" t="n">
        <v>0</v>
      </c>
      <c r="Q47" t="n">
        <v>1</v>
      </c>
      <c r="R47" s="2" t="inlineStr">
        <is>
          <t>Blåmossa</t>
        </is>
      </c>
      <c r="S47">
        <f>HYPERLINK("https://klasma.github.io/Logging_0580/artfynd/A 126-2024 artfynd.xlsx", "A 126-2024")</f>
        <v/>
      </c>
      <c r="T47">
        <f>HYPERLINK("https://klasma.github.io/Logging_0580/kartor/A 126-2024 karta.png", "A 126-2024")</f>
        <v/>
      </c>
      <c r="V47">
        <f>HYPERLINK("https://klasma.github.io/Logging_0580/klagomål/A 126-2024 FSC-klagomål.docx", "A 126-2024")</f>
        <v/>
      </c>
      <c r="W47">
        <f>HYPERLINK("https://klasma.github.io/Logging_0580/klagomålsmail/A 126-2024 FSC-klagomål mail.docx", "A 126-2024")</f>
        <v/>
      </c>
      <c r="X47">
        <f>HYPERLINK("https://klasma.github.io/Logging_0580/tillsyn/A 126-2024 tillsynsbegäran.docx", "A 126-2024")</f>
        <v/>
      </c>
      <c r="Y47">
        <f>HYPERLINK("https://klasma.github.io/Logging_0580/tillsynsmail/A 126-2024 tillsynsbegäran mail.docx", "A 126-2024")</f>
        <v/>
      </c>
    </row>
    <row r="48" ht="15" customHeight="1">
      <c r="A48" t="inlineStr">
        <is>
          <t>A 1213-2023</t>
        </is>
      </c>
      <c r="B48" s="1" t="n">
        <v>44930</v>
      </c>
      <c r="C48" s="1" t="n">
        <v>45912</v>
      </c>
      <c r="D48" t="inlineStr">
        <is>
          <t>ÖSTERGÖTLANDS LÄN</t>
        </is>
      </c>
      <c r="E48" t="inlineStr">
        <is>
          <t>LINKÖPING</t>
        </is>
      </c>
      <c r="F48" t="inlineStr">
        <is>
          <t>Övriga statliga verk och myndigheter</t>
        </is>
      </c>
      <c r="G48" t="n">
        <v>17.8</v>
      </c>
      <c r="H48" t="n">
        <v>0</v>
      </c>
      <c r="I48" t="n">
        <v>1</v>
      </c>
      <c r="J48" t="n">
        <v>0</v>
      </c>
      <c r="K48" t="n">
        <v>0</v>
      </c>
      <c r="L48" t="n">
        <v>0</v>
      </c>
      <c r="M48" t="n">
        <v>0</v>
      </c>
      <c r="N48" t="n">
        <v>0</v>
      </c>
      <c r="O48" t="n">
        <v>0</v>
      </c>
      <c r="P48" t="n">
        <v>0</v>
      </c>
      <c r="Q48" t="n">
        <v>1</v>
      </c>
      <c r="R48" s="2" t="inlineStr">
        <is>
          <t>Stubbspretmossa</t>
        </is>
      </c>
      <c r="S48">
        <f>HYPERLINK("https://klasma.github.io/Logging_0580/artfynd/A 1213-2023 artfynd.xlsx", "A 1213-2023")</f>
        <v/>
      </c>
      <c r="T48">
        <f>HYPERLINK("https://klasma.github.io/Logging_0580/kartor/A 1213-2023 karta.png", "A 1213-2023")</f>
        <v/>
      </c>
      <c r="V48">
        <f>HYPERLINK("https://klasma.github.io/Logging_0580/klagomål/A 1213-2023 FSC-klagomål.docx", "A 1213-2023")</f>
        <v/>
      </c>
      <c r="W48">
        <f>HYPERLINK("https://klasma.github.io/Logging_0580/klagomålsmail/A 1213-2023 FSC-klagomål mail.docx", "A 1213-2023")</f>
        <v/>
      </c>
      <c r="X48">
        <f>HYPERLINK("https://klasma.github.io/Logging_0580/tillsyn/A 1213-2023 tillsynsbegäran.docx", "A 1213-2023")</f>
        <v/>
      </c>
      <c r="Y48">
        <f>HYPERLINK("https://klasma.github.io/Logging_0580/tillsynsmail/A 1213-2023 tillsynsbegäran mail.docx", "A 1213-2023")</f>
        <v/>
      </c>
    </row>
    <row r="49" ht="15" customHeight="1">
      <c r="A49" t="inlineStr">
        <is>
          <t>A 45317-2023</t>
        </is>
      </c>
      <c r="B49" s="1" t="n">
        <v>45191.74868055555</v>
      </c>
      <c r="C49" s="1" t="n">
        <v>45912</v>
      </c>
      <c r="D49" t="inlineStr">
        <is>
          <t>ÖSTERGÖTLANDS LÄN</t>
        </is>
      </c>
      <c r="E49" t="inlineStr">
        <is>
          <t>LINKÖPING</t>
        </is>
      </c>
      <c r="F49" t="inlineStr">
        <is>
          <t>Allmännings- och besparingsskogar</t>
        </is>
      </c>
      <c r="G49" t="n">
        <v>29.3</v>
      </c>
      <c r="H49" t="n">
        <v>0</v>
      </c>
      <c r="I49" t="n">
        <v>0</v>
      </c>
      <c r="J49" t="n">
        <v>1</v>
      </c>
      <c r="K49" t="n">
        <v>0</v>
      </c>
      <c r="L49" t="n">
        <v>0</v>
      </c>
      <c r="M49" t="n">
        <v>0</v>
      </c>
      <c r="N49" t="n">
        <v>0</v>
      </c>
      <c r="O49" t="n">
        <v>1</v>
      </c>
      <c r="P49" t="n">
        <v>0</v>
      </c>
      <c r="Q49" t="n">
        <v>1</v>
      </c>
      <c r="R49" s="2" t="inlineStr">
        <is>
          <t>Svinrot</t>
        </is>
      </c>
      <c r="S49">
        <f>HYPERLINK("https://klasma.github.io/Logging_0580/artfynd/A 45317-2023 artfynd.xlsx", "A 45317-2023")</f>
        <v/>
      </c>
      <c r="T49">
        <f>HYPERLINK("https://klasma.github.io/Logging_0580/kartor/A 45317-2023 karta.png", "A 45317-2023")</f>
        <v/>
      </c>
      <c r="V49">
        <f>HYPERLINK("https://klasma.github.io/Logging_0580/klagomål/A 45317-2023 FSC-klagomål.docx", "A 45317-2023")</f>
        <v/>
      </c>
      <c r="W49">
        <f>HYPERLINK("https://klasma.github.io/Logging_0580/klagomålsmail/A 45317-2023 FSC-klagomål mail.docx", "A 45317-2023")</f>
        <v/>
      </c>
      <c r="X49">
        <f>HYPERLINK("https://klasma.github.io/Logging_0580/tillsyn/A 45317-2023 tillsynsbegäran.docx", "A 45317-2023")</f>
        <v/>
      </c>
      <c r="Y49">
        <f>HYPERLINK("https://klasma.github.io/Logging_0580/tillsynsmail/A 45317-2023 tillsynsbegäran mail.docx", "A 45317-2023")</f>
        <v/>
      </c>
    </row>
    <row r="50" ht="15" customHeight="1">
      <c r="A50" t="inlineStr">
        <is>
          <t>A 60573-2021</t>
        </is>
      </c>
      <c r="B50" s="1" t="n">
        <v>44496</v>
      </c>
      <c r="C50" s="1" t="n">
        <v>45912</v>
      </c>
      <c r="D50" t="inlineStr">
        <is>
          <t>ÖSTERGÖTLANDS LÄN</t>
        </is>
      </c>
      <c r="E50" t="inlineStr">
        <is>
          <t>LINKÖPING</t>
        </is>
      </c>
      <c r="F50" t="inlineStr">
        <is>
          <t>Övriga Aktiebolag</t>
        </is>
      </c>
      <c r="G50" t="n">
        <v>5.6</v>
      </c>
      <c r="H50" t="n">
        <v>0</v>
      </c>
      <c r="I50" t="n">
        <v>0</v>
      </c>
      <c r="J50" t="n">
        <v>1</v>
      </c>
      <c r="K50" t="n">
        <v>0</v>
      </c>
      <c r="L50" t="n">
        <v>0</v>
      </c>
      <c r="M50" t="n">
        <v>0</v>
      </c>
      <c r="N50" t="n">
        <v>0</v>
      </c>
      <c r="O50" t="n">
        <v>1</v>
      </c>
      <c r="P50" t="n">
        <v>0</v>
      </c>
      <c r="Q50" t="n">
        <v>1</v>
      </c>
      <c r="R50" s="2" t="inlineStr">
        <is>
          <t>Sommarfibbla</t>
        </is>
      </c>
      <c r="S50">
        <f>HYPERLINK("https://klasma.github.io/Logging_0580/artfynd/A 60573-2021 artfynd.xlsx", "A 60573-2021")</f>
        <v/>
      </c>
      <c r="T50">
        <f>HYPERLINK("https://klasma.github.io/Logging_0580/kartor/A 60573-2021 karta.png", "A 60573-2021")</f>
        <v/>
      </c>
      <c r="V50">
        <f>HYPERLINK("https://klasma.github.io/Logging_0580/klagomål/A 60573-2021 FSC-klagomål.docx", "A 60573-2021")</f>
        <v/>
      </c>
      <c r="W50">
        <f>HYPERLINK("https://klasma.github.io/Logging_0580/klagomålsmail/A 60573-2021 FSC-klagomål mail.docx", "A 60573-2021")</f>
        <v/>
      </c>
      <c r="X50">
        <f>HYPERLINK("https://klasma.github.io/Logging_0580/tillsyn/A 60573-2021 tillsynsbegäran.docx", "A 60573-2021")</f>
        <v/>
      </c>
      <c r="Y50">
        <f>HYPERLINK("https://klasma.github.io/Logging_0580/tillsynsmail/A 60573-2021 tillsynsbegäran mail.docx", "A 60573-2021")</f>
        <v/>
      </c>
    </row>
    <row r="51" ht="15" customHeight="1">
      <c r="A51" t="inlineStr">
        <is>
          <t>A 22526-2025</t>
        </is>
      </c>
      <c r="B51" s="1" t="n">
        <v>45786.78096064815</v>
      </c>
      <c r="C51" s="1" t="n">
        <v>45912</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41749-2023</t>
        </is>
      </c>
      <c r="B52" s="1" t="n">
        <v>45176</v>
      </c>
      <c r="C52" s="1" t="n">
        <v>45912</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41749-2023 artfynd.xlsx", "A 41749-2023")</f>
        <v/>
      </c>
      <c r="T52">
        <f>HYPERLINK("https://klasma.github.io/Logging_0580/kartor/A 41749-2023 karta.png", "A 41749-2023")</f>
        <v/>
      </c>
      <c r="V52">
        <f>HYPERLINK("https://klasma.github.io/Logging_0580/klagomål/A 41749-2023 FSC-klagomål.docx", "A 41749-2023")</f>
        <v/>
      </c>
      <c r="W52">
        <f>HYPERLINK("https://klasma.github.io/Logging_0580/klagomålsmail/A 41749-2023 FSC-klagomål mail.docx", "A 41749-2023")</f>
        <v/>
      </c>
      <c r="X52">
        <f>HYPERLINK("https://klasma.github.io/Logging_0580/tillsyn/A 41749-2023 tillsynsbegäran.docx", "A 41749-2023")</f>
        <v/>
      </c>
      <c r="Y52">
        <f>HYPERLINK("https://klasma.github.io/Logging_0580/tillsynsmail/A 41749-2023 tillsynsbegäran mail.docx", "A 41749-2023")</f>
        <v/>
      </c>
    </row>
    <row r="53" ht="15" customHeight="1">
      <c r="A53" t="inlineStr">
        <is>
          <t>A 13694-2025</t>
        </is>
      </c>
      <c r="B53" s="1" t="n">
        <v>45737.32148148148</v>
      </c>
      <c r="C53" s="1" t="n">
        <v>45912</v>
      </c>
      <c r="D53" t="inlineStr">
        <is>
          <t>ÖSTERGÖTLANDS LÄN</t>
        </is>
      </c>
      <c r="E53" t="inlineStr">
        <is>
          <t>LINKÖPING</t>
        </is>
      </c>
      <c r="G53" t="n">
        <v>9.300000000000001</v>
      </c>
      <c r="H53" t="n">
        <v>1</v>
      </c>
      <c r="I53" t="n">
        <v>0</v>
      </c>
      <c r="J53" t="n">
        <v>0</v>
      </c>
      <c r="K53" t="n">
        <v>0</v>
      </c>
      <c r="L53" t="n">
        <v>0</v>
      </c>
      <c r="M53" t="n">
        <v>0</v>
      </c>
      <c r="N53" t="n">
        <v>0</v>
      </c>
      <c r="O53" t="n">
        <v>0</v>
      </c>
      <c r="P53" t="n">
        <v>0</v>
      </c>
      <c r="Q53" t="n">
        <v>1</v>
      </c>
      <c r="R53" s="2" t="inlineStr">
        <is>
          <t>Mattlummer</t>
        </is>
      </c>
      <c r="S53">
        <f>HYPERLINK("https://klasma.github.io/Logging_0580/artfynd/A 13694-2025 artfynd.xlsx", "A 13694-2025")</f>
        <v/>
      </c>
      <c r="T53">
        <f>HYPERLINK("https://klasma.github.io/Logging_0580/kartor/A 13694-2025 karta.png", "A 13694-2025")</f>
        <v/>
      </c>
      <c r="V53">
        <f>HYPERLINK("https://klasma.github.io/Logging_0580/klagomål/A 13694-2025 FSC-klagomål.docx", "A 13694-2025")</f>
        <v/>
      </c>
      <c r="W53">
        <f>HYPERLINK("https://klasma.github.io/Logging_0580/klagomålsmail/A 13694-2025 FSC-klagomål mail.docx", "A 13694-2025")</f>
        <v/>
      </c>
      <c r="X53">
        <f>HYPERLINK("https://klasma.github.io/Logging_0580/tillsyn/A 13694-2025 tillsynsbegäran.docx", "A 13694-2025")</f>
        <v/>
      </c>
      <c r="Y53">
        <f>HYPERLINK("https://klasma.github.io/Logging_0580/tillsynsmail/A 13694-2025 tillsynsbegäran mail.docx", "A 13694-2025")</f>
        <v/>
      </c>
    </row>
    <row r="54" ht="15" customHeight="1">
      <c r="A54" t="inlineStr">
        <is>
          <t>A 44930-2020</t>
        </is>
      </c>
      <c r="B54" s="1" t="n">
        <v>44088</v>
      </c>
      <c r="C54" s="1" t="n">
        <v>45912</v>
      </c>
      <c r="D54" t="inlineStr">
        <is>
          <t>ÖSTERGÖTLANDS LÄN</t>
        </is>
      </c>
      <c r="E54" t="inlineStr">
        <is>
          <t>LINKÖPING</t>
        </is>
      </c>
      <c r="G54" t="n">
        <v>2.6</v>
      </c>
      <c r="H54" t="n">
        <v>1</v>
      </c>
      <c r="I54" t="n">
        <v>0</v>
      </c>
      <c r="J54" t="n">
        <v>0</v>
      </c>
      <c r="K54" t="n">
        <v>1</v>
      </c>
      <c r="L54" t="n">
        <v>0</v>
      </c>
      <c r="M54" t="n">
        <v>0</v>
      </c>
      <c r="N54" t="n">
        <v>0</v>
      </c>
      <c r="O54" t="n">
        <v>1</v>
      </c>
      <c r="P54" t="n">
        <v>1</v>
      </c>
      <c r="Q54" t="n">
        <v>1</v>
      </c>
      <c r="R54" s="2" t="inlineStr">
        <is>
          <t>Knärot</t>
        </is>
      </c>
      <c r="S54">
        <f>HYPERLINK("https://klasma.github.io/Logging_0580/artfynd/A 44930-2020 artfynd.xlsx", "A 44930-2020")</f>
        <v/>
      </c>
      <c r="T54">
        <f>HYPERLINK("https://klasma.github.io/Logging_0580/kartor/A 44930-2020 karta.png", "A 44930-2020")</f>
        <v/>
      </c>
      <c r="U54">
        <f>HYPERLINK("https://klasma.github.io/Logging_0580/knärot/A 44930-2020 karta knärot.png", "A 44930-2020")</f>
        <v/>
      </c>
      <c r="V54">
        <f>HYPERLINK("https://klasma.github.io/Logging_0580/klagomål/A 44930-2020 FSC-klagomål.docx", "A 44930-2020")</f>
        <v/>
      </c>
      <c r="W54">
        <f>HYPERLINK("https://klasma.github.io/Logging_0580/klagomålsmail/A 44930-2020 FSC-klagomål mail.docx", "A 44930-2020")</f>
        <v/>
      </c>
      <c r="X54">
        <f>HYPERLINK("https://klasma.github.io/Logging_0580/tillsyn/A 44930-2020 tillsynsbegäran.docx", "A 44930-2020")</f>
        <v/>
      </c>
      <c r="Y54">
        <f>HYPERLINK("https://klasma.github.io/Logging_0580/tillsynsmail/A 44930-2020 tillsynsbegäran mail.docx", "A 44930-2020")</f>
        <v/>
      </c>
    </row>
    <row r="55" ht="15" customHeight="1">
      <c r="A55" t="inlineStr">
        <is>
          <t>A 27403-2025</t>
        </is>
      </c>
      <c r="B55" s="1" t="n">
        <v>45812.72518518518</v>
      </c>
      <c r="C55" s="1" t="n">
        <v>45912</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56651-2023</t>
        </is>
      </c>
      <c r="B56" s="1" t="n">
        <v>45243</v>
      </c>
      <c r="C56" s="1" t="n">
        <v>45912</v>
      </c>
      <c r="D56" t="inlineStr">
        <is>
          <t>ÖSTERGÖTLANDS LÄN</t>
        </is>
      </c>
      <c r="E56" t="inlineStr">
        <is>
          <t>LINKÖPING</t>
        </is>
      </c>
      <c r="F56" t="inlineStr">
        <is>
          <t>Övriga Aktiebolag</t>
        </is>
      </c>
      <c r="G56" t="n">
        <v>2.3</v>
      </c>
      <c r="H56" t="n">
        <v>0</v>
      </c>
      <c r="I56" t="n">
        <v>0</v>
      </c>
      <c r="J56" t="n">
        <v>1</v>
      </c>
      <c r="K56" t="n">
        <v>0</v>
      </c>
      <c r="L56" t="n">
        <v>0</v>
      </c>
      <c r="M56" t="n">
        <v>0</v>
      </c>
      <c r="N56" t="n">
        <v>0</v>
      </c>
      <c r="O56" t="n">
        <v>1</v>
      </c>
      <c r="P56" t="n">
        <v>0</v>
      </c>
      <c r="Q56" t="n">
        <v>1</v>
      </c>
      <c r="R56" s="2" t="inlineStr">
        <is>
          <t>Gul dropplav</t>
        </is>
      </c>
      <c r="S56">
        <f>HYPERLINK("https://klasma.github.io/Logging_0580/artfynd/A 56651-2023 artfynd.xlsx", "A 56651-2023")</f>
        <v/>
      </c>
      <c r="T56">
        <f>HYPERLINK("https://klasma.github.io/Logging_0580/kartor/A 56651-2023 karta.png", "A 56651-2023")</f>
        <v/>
      </c>
      <c r="V56">
        <f>HYPERLINK("https://klasma.github.io/Logging_0580/klagomål/A 56651-2023 FSC-klagomål.docx", "A 56651-2023")</f>
        <v/>
      </c>
      <c r="W56">
        <f>HYPERLINK("https://klasma.github.io/Logging_0580/klagomålsmail/A 56651-2023 FSC-klagomål mail.docx", "A 56651-2023")</f>
        <v/>
      </c>
      <c r="X56">
        <f>HYPERLINK("https://klasma.github.io/Logging_0580/tillsyn/A 56651-2023 tillsynsbegäran.docx", "A 56651-2023")</f>
        <v/>
      </c>
      <c r="Y56">
        <f>HYPERLINK("https://klasma.github.io/Logging_0580/tillsynsmail/A 56651-2023 tillsynsbegäran mail.docx", "A 56651-2023")</f>
        <v/>
      </c>
    </row>
    <row r="57" ht="15" customHeight="1">
      <c r="A57" t="inlineStr">
        <is>
          <t>A 17444-2025</t>
        </is>
      </c>
      <c r="B57" s="1" t="n">
        <v>45757.43452546297</v>
      </c>
      <c r="C57" s="1" t="n">
        <v>45912</v>
      </c>
      <c r="D57" t="inlineStr">
        <is>
          <t>ÖSTERGÖTLANDS LÄN</t>
        </is>
      </c>
      <c r="E57" t="inlineStr">
        <is>
          <t>LINKÖPING</t>
        </is>
      </c>
      <c r="G57" t="n">
        <v>1.3</v>
      </c>
      <c r="H57" t="n">
        <v>1</v>
      </c>
      <c r="I57" t="n">
        <v>0</v>
      </c>
      <c r="J57" t="n">
        <v>1</v>
      </c>
      <c r="K57" t="n">
        <v>0</v>
      </c>
      <c r="L57" t="n">
        <v>0</v>
      </c>
      <c r="M57" t="n">
        <v>0</v>
      </c>
      <c r="N57" t="n">
        <v>0</v>
      </c>
      <c r="O57" t="n">
        <v>1</v>
      </c>
      <c r="P57" t="n">
        <v>0</v>
      </c>
      <c r="Q57" t="n">
        <v>1</v>
      </c>
      <c r="R57" s="2" t="inlineStr">
        <is>
          <t>Dårgräsfjäril</t>
        </is>
      </c>
      <c r="S57">
        <f>HYPERLINK("https://klasma.github.io/Logging_0580/artfynd/A 17444-2025 artfynd.xlsx", "A 17444-2025")</f>
        <v/>
      </c>
      <c r="T57">
        <f>HYPERLINK("https://klasma.github.io/Logging_0580/kartor/A 17444-2025 karta.png", "A 17444-2025")</f>
        <v/>
      </c>
      <c r="V57">
        <f>HYPERLINK("https://klasma.github.io/Logging_0580/klagomål/A 17444-2025 FSC-klagomål.docx", "A 17444-2025")</f>
        <v/>
      </c>
      <c r="W57">
        <f>HYPERLINK("https://klasma.github.io/Logging_0580/klagomålsmail/A 17444-2025 FSC-klagomål mail.docx", "A 17444-2025")</f>
        <v/>
      </c>
      <c r="X57">
        <f>HYPERLINK("https://klasma.github.io/Logging_0580/tillsyn/A 17444-2025 tillsynsbegäran.docx", "A 17444-2025")</f>
        <v/>
      </c>
      <c r="Y57">
        <f>HYPERLINK("https://klasma.github.io/Logging_0580/tillsynsmail/A 17444-2025 tillsynsbegäran mail.docx", "A 17444-2025")</f>
        <v/>
      </c>
    </row>
    <row r="58" ht="15" customHeight="1">
      <c r="A58" t="inlineStr">
        <is>
          <t>A 3395-2023</t>
        </is>
      </c>
      <c r="B58" s="1" t="n">
        <v>44949</v>
      </c>
      <c r="C58" s="1" t="n">
        <v>45912</v>
      </c>
      <c r="D58" t="inlineStr">
        <is>
          <t>ÖSTERGÖTLANDS LÄN</t>
        </is>
      </c>
      <c r="E58" t="inlineStr">
        <is>
          <t>LINKÖPING</t>
        </is>
      </c>
      <c r="G58" t="n">
        <v>2</v>
      </c>
      <c r="H58" t="n">
        <v>0</v>
      </c>
      <c r="I58" t="n">
        <v>0</v>
      </c>
      <c r="J58" t="n">
        <v>1</v>
      </c>
      <c r="K58" t="n">
        <v>0</v>
      </c>
      <c r="L58" t="n">
        <v>0</v>
      </c>
      <c r="M58" t="n">
        <v>0</v>
      </c>
      <c r="N58" t="n">
        <v>0</v>
      </c>
      <c r="O58" t="n">
        <v>1</v>
      </c>
      <c r="P58" t="n">
        <v>0</v>
      </c>
      <c r="Q58" t="n">
        <v>1</v>
      </c>
      <c r="R58" s="2" t="inlineStr">
        <is>
          <t>Sommarfibbla</t>
        </is>
      </c>
      <c r="S58">
        <f>HYPERLINK("https://klasma.github.io/Logging_0580/artfynd/A 3395-2023 artfynd.xlsx", "A 3395-2023")</f>
        <v/>
      </c>
      <c r="T58">
        <f>HYPERLINK("https://klasma.github.io/Logging_0580/kartor/A 3395-2023 karta.png", "A 3395-2023")</f>
        <v/>
      </c>
      <c r="V58">
        <f>HYPERLINK("https://klasma.github.io/Logging_0580/klagomål/A 3395-2023 FSC-klagomål.docx", "A 3395-2023")</f>
        <v/>
      </c>
      <c r="W58">
        <f>HYPERLINK("https://klasma.github.io/Logging_0580/klagomålsmail/A 3395-2023 FSC-klagomål mail.docx", "A 3395-2023")</f>
        <v/>
      </c>
      <c r="X58">
        <f>HYPERLINK("https://klasma.github.io/Logging_0580/tillsyn/A 3395-2023 tillsynsbegäran.docx", "A 3395-2023")</f>
        <v/>
      </c>
      <c r="Y58">
        <f>HYPERLINK("https://klasma.github.io/Logging_0580/tillsynsmail/A 3395-2023 tillsynsbegäran mail.docx", "A 3395-2023")</f>
        <v/>
      </c>
    </row>
    <row r="59" ht="15" customHeight="1">
      <c r="A59" t="inlineStr">
        <is>
          <t>A 19103-2021</t>
        </is>
      </c>
      <c r="B59" s="1" t="n">
        <v>44308</v>
      </c>
      <c r="C59" s="1" t="n">
        <v>45912</v>
      </c>
      <c r="D59" t="inlineStr">
        <is>
          <t>ÖSTERGÖTLANDS LÄN</t>
        </is>
      </c>
      <c r="E59" t="inlineStr">
        <is>
          <t>LINKÖPING</t>
        </is>
      </c>
      <c r="G59" t="n">
        <v>4.7</v>
      </c>
      <c r="H59" t="n">
        <v>0</v>
      </c>
      <c r="I59" t="n">
        <v>0</v>
      </c>
      <c r="J59" t="n">
        <v>1</v>
      </c>
      <c r="K59" t="n">
        <v>0</v>
      </c>
      <c r="L59" t="n">
        <v>0</v>
      </c>
      <c r="M59" t="n">
        <v>0</v>
      </c>
      <c r="N59" t="n">
        <v>0</v>
      </c>
      <c r="O59" t="n">
        <v>1</v>
      </c>
      <c r="P59" t="n">
        <v>0</v>
      </c>
      <c r="Q59" t="n">
        <v>1</v>
      </c>
      <c r="R59" s="2" t="inlineStr">
        <is>
          <t>Tallticka</t>
        </is>
      </c>
      <c r="S59">
        <f>HYPERLINK("https://klasma.github.io/Logging_0580/artfynd/A 19103-2021 artfynd.xlsx", "A 19103-2021")</f>
        <v/>
      </c>
      <c r="T59">
        <f>HYPERLINK("https://klasma.github.io/Logging_0580/kartor/A 19103-2021 karta.png", "A 19103-2021")</f>
        <v/>
      </c>
      <c r="V59">
        <f>HYPERLINK("https://klasma.github.io/Logging_0580/klagomål/A 19103-2021 FSC-klagomål.docx", "A 19103-2021")</f>
        <v/>
      </c>
      <c r="W59">
        <f>HYPERLINK("https://klasma.github.io/Logging_0580/klagomålsmail/A 19103-2021 FSC-klagomål mail.docx", "A 19103-2021")</f>
        <v/>
      </c>
      <c r="X59">
        <f>HYPERLINK("https://klasma.github.io/Logging_0580/tillsyn/A 19103-2021 tillsynsbegäran.docx", "A 19103-2021")</f>
        <v/>
      </c>
      <c r="Y59">
        <f>HYPERLINK("https://klasma.github.io/Logging_0580/tillsynsmail/A 19103-2021 tillsynsbegäran mail.docx", "A 19103-2021")</f>
        <v/>
      </c>
    </row>
    <row r="60" ht="15" customHeight="1">
      <c r="A60" t="inlineStr">
        <is>
          <t>A 5911-2022</t>
        </is>
      </c>
      <c r="B60" s="1" t="n">
        <v>44597</v>
      </c>
      <c r="C60" s="1" t="n">
        <v>45912</v>
      </c>
      <c r="D60" t="inlineStr">
        <is>
          <t>ÖSTERGÖTLANDS LÄN</t>
        </is>
      </c>
      <c r="E60" t="inlineStr">
        <is>
          <t>LINKÖPING</t>
        </is>
      </c>
      <c r="G60" t="n">
        <v>3.5</v>
      </c>
      <c r="H60" t="n">
        <v>0</v>
      </c>
      <c r="I60" t="n">
        <v>0</v>
      </c>
      <c r="J60" t="n">
        <v>1</v>
      </c>
      <c r="K60" t="n">
        <v>0</v>
      </c>
      <c r="L60" t="n">
        <v>0</v>
      </c>
      <c r="M60" t="n">
        <v>0</v>
      </c>
      <c r="N60" t="n">
        <v>0</v>
      </c>
      <c r="O60" t="n">
        <v>1</v>
      </c>
      <c r="P60" t="n">
        <v>0</v>
      </c>
      <c r="Q60" t="n">
        <v>1</v>
      </c>
      <c r="R60" s="2" t="inlineStr">
        <is>
          <t>Spindelört</t>
        </is>
      </c>
      <c r="S60">
        <f>HYPERLINK("https://klasma.github.io/Logging_0580/artfynd/A 5911-2022 artfynd.xlsx", "A 5911-2022")</f>
        <v/>
      </c>
      <c r="T60">
        <f>HYPERLINK("https://klasma.github.io/Logging_0580/kartor/A 5911-2022 karta.png", "A 5911-2022")</f>
        <v/>
      </c>
      <c r="V60">
        <f>HYPERLINK("https://klasma.github.io/Logging_0580/klagomål/A 5911-2022 FSC-klagomål.docx", "A 5911-2022")</f>
        <v/>
      </c>
      <c r="W60">
        <f>HYPERLINK("https://klasma.github.io/Logging_0580/klagomålsmail/A 5911-2022 FSC-klagomål mail.docx", "A 5911-2022")</f>
        <v/>
      </c>
      <c r="X60">
        <f>HYPERLINK("https://klasma.github.io/Logging_0580/tillsyn/A 5911-2022 tillsynsbegäran.docx", "A 5911-2022")</f>
        <v/>
      </c>
      <c r="Y60">
        <f>HYPERLINK("https://klasma.github.io/Logging_0580/tillsynsmail/A 5911-2022 tillsynsbegäran mail.docx", "A 5911-2022")</f>
        <v/>
      </c>
    </row>
    <row r="61" ht="15" customHeight="1">
      <c r="A61" t="inlineStr">
        <is>
          <t>A 90-2024</t>
        </is>
      </c>
      <c r="B61" s="1" t="n">
        <v>45293</v>
      </c>
      <c r="C61" s="1" t="n">
        <v>45912</v>
      </c>
      <c r="D61" t="inlineStr">
        <is>
          <t>ÖSTERGÖTLANDS LÄN</t>
        </is>
      </c>
      <c r="E61" t="inlineStr">
        <is>
          <t>LINKÖPING</t>
        </is>
      </c>
      <c r="G61" t="n">
        <v>1.8</v>
      </c>
      <c r="H61" t="n">
        <v>0</v>
      </c>
      <c r="I61" t="n">
        <v>1</v>
      </c>
      <c r="J61" t="n">
        <v>0</v>
      </c>
      <c r="K61" t="n">
        <v>0</v>
      </c>
      <c r="L61" t="n">
        <v>0</v>
      </c>
      <c r="M61" t="n">
        <v>0</v>
      </c>
      <c r="N61" t="n">
        <v>0</v>
      </c>
      <c r="O61" t="n">
        <v>0</v>
      </c>
      <c r="P61" t="n">
        <v>0</v>
      </c>
      <c r="Q61" t="n">
        <v>1</v>
      </c>
      <c r="R61" s="2" t="inlineStr">
        <is>
          <t>Grov fjädermossa</t>
        </is>
      </c>
      <c r="S61">
        <f>HYPERLINK("https://klasma.github.io/Logging_0580/artfynd/A 90-2024 artfynd.xlsx", "A 90-2024")</f>
        <v/>
      </c>
      <c r="T61">
        <f>HYPERLINK("https://klasma.github.io/Logging_0580/kartor/A 90-2024 karta.png", "A 90-2024")</f>
        <v/>
      </c>
      <c r="V61">
        <f>HYPERLINK("https://klasma.github.io/Logging_0580/klagomål/A 90-2024 FSC-klagomål.docx", "A 90-2024")</f>
        <v/>
      </c>
      <c r="W61">
        <f>HYPERLINK("https://klasma.github.io/Logging_0580/klagomålsmail/A 90-2024 FSC-klagomål mail.docx", "A 90-2024")</f>
        <v/>
      </c>
      <c r="X61">
        <f>HYPERLINK("https://klasma.github.io/Logging_0580/tillsyn/A 90-2024 tillsynsbegäran.docx", "A 90-2024")</f>
        <v/>
      </c>
      <c r="Y61">
        <f>HYPERLINK("https://klasma.github.io/Logging_0580/tillsynsmail/A 90-2024 tillsynsbegäran mail.docx", "A 90-2024")</f>
        <v/>
      </c>
    </row>
    <row r="62" ht="15" customHeight="1">
      <c r="A62" t="inlineStr">
        <is>
          <t>A 40315-2024</t>
        </is>
      </c>
      <c r="B62" s="1" t="n">
        <v>45554.7571875</v>
      </c>
      <c r="C62" s="1" t="n">
        <v>45912</v>
      </c>
      <c r="D62" t="inlineStr">
        <is>
          <t>ÖSTERGÖTLANDS LÄN</t>
        </is>
      </c>
      <c r="E62" t="inlineStr">
        <is>
          <t>LINKÖPING</t>
        </is>
      </c>
      <c r="F62" t="inlineStr">
        <is>
          <t>Allmännings- och besparingsskogar</t>
        </is>
      </c>
      <c r="G62" t="n">
        <v>15.8</v>
      </c>
      <c r="H62" t="n">
        <v>0</v>
      </c>
      <c r="I62" t="n">
        <v>0</v>
      </c>
      <c r="J62" t="n">
        <v>0</v>
      </c>
      <c r="K62" t="n">
        <v>0</v>
      </c>
      <c r="L62" t="n">
        <v>0</v>
      </c>
      <c r="M62" t="n">
        <v>1</v>
      </c>
      <c r="N62" t="n">
        <v>0</v>
      </c>
      <c r="O62" t="n">
        <v>1</v>
      </c>
      <c r="P62" t="n">
        <v>1</v>
      </c>
      <c r="Q62" t="n">
        <v>1</v>
      </c>
      <c r="R62" s="2" t="inlineStr">
        <is>
          <t>Skogsalm</t>
        </is>
      </c>
      <c r="S62">
        <f>HYPERLINK("https://klasma.github.io/Logging_0580/artfynd/A 40315-2024 artfynd.xlsx", "A 40315-2024")</f>
        <v/>
      </c>
      <c r="T62">
        <f>HYPERLINK("https://klasma.github.io/Logging_0580/kartor/A 40315-2024 karta.png", "A 40315-2024")</f>
        <v/>
      </c>
      <c r="V62">
        <f>HYPERLINK("https://klasma.github.io/Logging_0580/klagomål/A 40315-2024 FSC-klagomål.docx", "A 40315-2024")</f>
        <v/>
      </c>
      <c r="W62">
        <f>HYPERLINK("https://klasma.github.io/Logging_0580/klagomålsmail/A 40315-2024 FSC-klagomål mail.docx", "A 40315-2024")</f>
        <v/>
      </c>
      <c r="X62">
        <f>HYPERLINK("https://klasma.github.io/Logging_0580/tillsyn/A 40315-2024 tillsynsbegäran.docx", "A 40315-2024")</f>
        <v/>
      </c>
      <c r="Y62">
        <f>HYPERLINK("https://klasma.github.io/Logging_0580/tillsynsmail/A 40315-2024 tillsynsbegäran mail.docx", "A 40315-2024")</f>
        <v/>
      </c>
    </row>
    <row r="63" ht="15" customHeight="1">
      <c r="A63" t="inlineStr">
        <is>
          <t>A 50806-2023</t>
        </is>
      </c>
      <c r="B63" s="1" t="n">
        <v>45217</v>
      </c>
      <c r="C63" s="1" t="n">
        <v>45912</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48984-2020</t>
        </is>
      </c>
      <c r="B64" s="1" t="n">
        <v>44104</v>
      </c>
      <c r="C64" s="1" t="n">
        <v>45912</v>
      </c>
      <c r="D64" t="inlineStr">
        <is>
          <t>ÖSTERGÖTLANDS LÄN</t>
        </is>
      </c>
      <c r="E64" t="inlineStr">
        <is>
          <t>LINKÖPING</t>
        </is>
      </c>
      <c r="G64" t="n">
        <v>2.8</v>
      </c>
      <c r="H64" t="n">
        <v>0</v>
      </c>
      <c r="I64" t="n">
        <v>0</v>
      </c>
      <c r="J64" t="n">
        <v>1</v>
      </c>
      <c r="K64" t="n">
        <v>0</v>
      </c>
      <c r="L64" t="n">
        <v>0</v>
      </c>
      <c r="M64" t="n">
        <v>0</v>
      </c>
      <c r="N64" t="n">
        <v>0</v>
      </c>
      <c r="O64" t="n">
        <v>1</v>
      </c>
      <c r="P64" t="n">
        <v>0</v>
      </c>
      <c r="Q64" t="n">
        <v>1</v>
      </c>
      <c r="R64" s="2" t="inlineStr">
        <is>
          <t>Vårstarr</t>
        </is>
      </c>
      <c r="S64">
        <f>HYPERLINK("https://klasma.github.io/Logging_0580/artfynd/A 48984-2020 artfynd.xlsx", "A 48984-2020")</f>
        <v/>
      </c>
      <c r="T64">
        <f>HYPERLINK("https://klasma.github.io/Logging_0580/kartor/A 48984-2020 karta.png", "A 48984-2020")</f>
        <v/>
      </c>
      <c r="V64">
        <f>HYPERLINK("https://klasma.github.io/Logging_0580/klagomål/A 48984-2020 FSC-klagomål.docx", "A 48984-2020")</f>
        <v/>
      </c>
      <c r="W64">
        <f>HYPERLINK("https://klasma.github.io/Logging_0580/klagomålsmail/A 48984-2020 FSC-klagomål mail.docx", "A 48984-2020")</f>
        <v/>
      </c>
      <c r="X64">
        <f>HYPERLINK("https://klasma.github.io/Logging_0580/tillsyn/A 48984-2020 tillsynsbegäran.docx", "A 48984-2020")</f>
        <v/>
      </c>
      <c r="Y64">
        <f>HYPERLINK("https://klasma.github.io/Logging_0580/tillsynsmail/A 48984-2020 tillsynsbegäran mail.docx", "A 48984-2020")</f>
        <v/>
      </c>
    </row>
    <row r="65" ht="15" customHeight="1">
      <c r="A65" t="inlineStr">
        <is>
          <t>A 36723-2023</t>
        </is>
      </c>
      <c r="B65" s="1" t="n">
        <v>45153</v>
      </c>
      <c r="C65" s="1" t="n">
        <v>45912</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15290-2025</t>
        </is>
      </c>
      <c r="B66" s="1" t="n">
        <v>45745.45288194445</v>
      </c>
      <c r="C66" s="1" t="n">
        <v>45912</v>
      </c>
      <c r="D66" t="inlineStr">
        <is>
          <t>ÖSTERGÖTLANDS LÄN</t>
        </is>
      </c>
      <c r="E66" t="inlineStr">
        <is>
          <t>LINKÖPING</t>
        </is>
      </c>
      <c r="G66" t="n">
        <v>18.4</v>
      </c>
      <c r="H66" t="n">
        <v>1</v>
      </c>
      <c r="I66" t="n">
        <v>0</v>
      </c>
      <c r="J66" t="n">
        <v>1</v>
      </c>
      <c r="K66" t="n">
        <v>0</v>
      </c>
      <c r="L66" t="n">
        <v>0</v>
      </c>
      <c r="M66" t="n">
        <v>0</v>
      </c>
      <c r="N66" t="n">
        <v>0</v>
      </c>
      <c r="O66" t="n">
        <v>1</v>
      </c>
      <c r="P66" t="n">
        <v>0</v>
      </c>
      <c r="Q66" t="n">
        <v>1</v>
      </c>
      <c r="R66" s="2" t="inlineStr">
        <is>
          <t>Havsörn</t>
        </is>
      </c>
      <c r="S66">
        <f>HYPERLINK("https://klasma.github.io/Logging_0580/artfynd/A 15290-2025 artfynd.xlsx", "A 15290-2025")</f>
        <v/>
      </c>
      <c r="T66">
        <f>HYPERLINK("https://klasma.github.io/Logging_0580/kartor/A 15290-2025 karta.png", "A 15290-2025")</f>
        <v/>
      </c>
      <c r="V66">
        <f>HYPERLINK("https://klasma.github.io/Logging_0580/klagomål/A 15290-2025 FSC-klagomål.docx", "A 15290-2025")</f>
        <v/>
      </c>
      <c r="W66">
        <f>HYPERLINK("https://klasma.github.io/Logging_0580/klagomålsmail/A 15290-2025 FSC-klagomål mail.docx", "A 15290-2025")</f>
        <v/>
      </c>
      <c r="X66">
        <f>HYPERLINK("https://klasma.github.io/Logging_0580/tillsyn/A 15290-2025 tillsynsbegäran.docx", "A 15290-2025")</f>
        <v/>
      </c>
      <c r="Y66">
        <f>HYPERLINK("https://klasma.github.io/Logging_0580/tillsynsmail/A 15290-2025 tillsynsbegäran mail.docx", "A 15290-2025")</f>
        <v/>
      </c>
      <c r="Z66">
        <f>HYPERLINK("https://klasma.github.io/Logging_0580/fåglar/A 15290-2025 prioriterade fågelarter.docx", "A 15290-2025")</f>
        <v/>
      </c>
    </row>
    <row r="67" ht="15" customHeight="1">
      <c r="A67" t="inlineStr">
        <is>
          <t>A 35948-2023</t>
        </is>
      </c>
      <c r="B67" s="1" t="n">
        <v>45148</v>
      </c>
      <c r="C67" s="1" t="n">
        <v>45912</v>
      </c>
      <c r="D67" t="inlineStr">
        <is>
          <t>ÖSTERGÖTLANDS LÄN</t>
        </is>
      </c>
      <c r="E67" t="inlineStr">
        <is>
          <t>LINKÖPING</t>
        </is>
      </c>
      <c r="G67" t="n">
        <v>1.9</v>
      </c>
      <c r="H67" t="n">
        <v>0</v>
      </c>
      <c r="I67" t="n">
        <v>1</v>
      </c>
      <c r="J67" t="n">
        <v>0</v>
      </c>
      <c r="K67" t="n">
        <v>0</v>
      </c>
      <c r="L67" t="n">
        <v>0</v>
      </c>
      <c r="M67" t="n">
        <v>0</v>
      </c>
      <c r="N67" t="n">
        <v>0</v>
      </c>
      <c r="O67" t="n">
        <v>0</v>
      </c>
      <c r="P67" t="n">
        <v>0</v>
      </c>
      <c r="Q67" t="n">
        <v>1</v>
      </c>
      <c r="R67" s="2" t="inlineStr">
        <is>
          <t>Brun nållav</t>
        </is>
      </c>
      <c r="S67">
        <f>HYPERLINK("https://klasma.github.io/Logging_0580/artfynd/A 35948-2023 artfynd.xlsx", "A 35948-2023")</f>
        <v/>
      </c>
      <c r="T67">
        <f>HYPERLINK("https://klasma.github.io/Logging_0580/kartor/A 35948-2023 karta.png", "A 35948-2023")</f>
        <v/>
      </c>
      <c r="V67">
        <f>HYPERLINK("https://klasma.github.io/Logging_0580/klagomål/A 35948-2023 FSC-klagomål.docx", "A 35948-2023")</f>
        <v/>
      </c>
      <c r="W67">
        <f>HYPERLINK("https://klasma.github.io/Logging_0580/klagomålsmail/A 35948-2023 FSC-klagomål mail.docx", "A 35948-2023")</f>
        <v/>
      </c>
      <c r="X67">
        <f>HYPERLINK("https://klasma.github.io/Logging_0580/tillsyn/A 35948-2023 tillsynsbegäran.docx", "A 35948-2023")</f>
        <v/>
      </c>
      <c r="Y67">
        <f>HYPERLINK("https://klasma.github.io/Logging_0580/tillsynsmail/A 35948-2023 tillsynsbegäran mail.docx", "A 35948-2023")</f>
        <v/>
      </c>
    </row>
    <row r="68" ht="15" customHeight="1">
      <c r="A68" t="inlineStr">
        <is>
          <t>A 62071-2023</t>
        </is>
      </c>
      <c r="B68" s="1" t="n">
        <v>45266.73542824074</v>
      </c>
      <c r="C68" s="1" t="n">
        <v>45912</v>
      </c>
      <c r="D68" t="inlineStr">
        <is>
          <t>ÖSTERGÖTLANDS LÄN</t>
        </is>
      </c>
      <c r="E68" t="inlineStr">
        <is>
          <t>LINKÖPING</t>
        </is>
      </c>
      <c r="G68" t="n">
        <v>6.5</v>
      </c>
      <c r="H68" t="n">
        <v>0</v>
      </c>
      <c r="I68" t="n">
        <v>0</v>
      </c>
      <c r="J68" t="n">
        <v>1</v>
      </c>
      <c r="K68" t="n">
        <v>0</v>
      </c>
      <c r="L68" t="n">
        <v>0</v>
      </c>
      <c r="M68" t="n">
        <v>0</v>
      </c>
      <c r="N68" t="n">
        <v>0</v>
      </c>
      <c r="O68" t="n">
        <v>1</v>
      </c>
      <c r="P68" t="n">
        <v>0</v>
      </c>
      <c r="Q68" t="n">
        <v>1</v>
      </c>
      <c r="R68" s="2" t="inlineStr">
        <is>
          <t>Svinrot</t>
        </is>
      </c>
      <c r="S68">
        <f>HYPERLINK("https://klasma.github.io/Logging_0580/artfynd/A 62071-2023 artfynd.xlsx", "A 62071-2023")</f>
        <v/>
      </c>
      <c r="T68">
        <f>HYPERLINK("https://klasma.github.io/Logging_0580/kartor/A 62071-2023 karta.png", "A 62071-2023")</f>
        <v/>
      </c>
      <c r="V68">
        <f>HYPERLINK("https://klasma.github.io/Logging_0580/klagomål/A 62071-2023 FSC-klagomål.docx", "A 62071-2023")</f>
        <v/>
      </c>
      <c r="W68">
        <f>HYPERLINK("https://klasma.github.io/Logging_0580/klagomålsmail/A 62071-2023 FSC-klagomål mail.docx", "A 62071-2023")</f>
        <v/>
      </c>
      <c r="X68">
        <f>HYPERLINK("https://klasma.github.io/Logging_0580/tillsyn/A 62071-2023 tillsynsbegäran.docx", "A 62071-2023")</f>
        <v/>
      </c>
      <c r="Y68">
        <f>HYPERLINK("https://klasma.github.io/Logging_0580/tillsynsmail/A 62071-2023 tillsynsbegäran mail.docx", "A 62071-2023")</f>
        <v/>
      </c>
    </row>
    <row r="69" ht="15" customHeight="1">
      <c r="A69" t="inlineStr">
        <is>
          <t>A 34881-2023</t>
        </is>
      </c>
      <c r="B69" s="1" t="n">
        <v>45140</v>
      </c>
      <c r="C69" s="1" t="n">
        <v>45912</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Tallticka</t>
        </is>
      </c>
      <c r="S69">
        <f>HYPERLINK("https://klasma.github.io/Logging_0580/artfynd/A 34881-2023 artfynd.xlsx", "A 34881-2023")</f>
        <v/>
      </c>
      <c r="T69">
        <f>HYPERLINK("https://klasma.github.io/Logging_0580/kartor/A 34881-2023 karta.png", "A 34881-2023")</f>
        <v/>
      </c>
      <c r="U69">
        <f>HYPERLINK("https://klasma.github.io/Logging_0580/knärot/A 34881-2023 karta knärot.png", "A 34881-2023")</f>
        <v/>
      </c>
      <c r="V69">
        <f>HYPERLINK("https://klasma.github.io/Logging_0580/klagomål/A 34881-2023 FSC-klagomål.docx", "A 34881-2023")</f>
        <v/>
      </c>
      <c r="W69">
        <f>HYPERLINK("https://klasma.github.io/Logging_0580/klagomålsmail/A 34881-2023 FSC-klagomål mail.docx", "A 34881-2023")</f>
        <v/>
      </c>
      <c r="X69">
        <f>HYPERLINK("https://klasma.github.io/Logging_0580/tillsyn/A 34881-2023 tillsynsbegäran.docx", "A 34881-2023")</f>
        <v/>
      </c>
      <c r="Y69">
        <f>HYPERLINK("https://klasma.github.io/Logging_0580/tillsynsmail/A 34881-2023 tillsynsbegäran mail.docx", "A 34881-2023")</f>
        <v/>
      </c>
    </row>
    <row r="70" ht="15" customHeight="1">
      <c r="A70" t="inlineStr">
        <is>
          <t>A 3397-2023</t>
        </is>
      </c>
      <c r="B70" s="1" t="n">
        <v>44949</v>
      </c>
      <c r="C70" s="1" t="n">
        <v>45912</v>
      </c>
      <c r="D70" t="inlineStr">
        <is>
          <t>ÖSTERGÖTLANDS LÄN</t>
        </is>
      </c>
      <c r="E70" t="inlineStr">
        <is>
          <t>LINKÖPING</t>
        </is>
      </c>
      <c r="G70" t="n">
        <v>4.1</v>
      </c>
      <c r="H70" t="n">
        <v>0</v>
      </c>
      <c r="I70" t="n">
        <v>0</v>
      </c>
      <c r="J70" t="n">
        <v>1</v>
      </c>
      <c r="K70" t="n">
        <v>0</v>
      </c>
      <c r="L70" t="n">
        <v>0</v>
      </c>
      <c r="M70" t="n">
        <v>0</v>
      </c>
      <c r="N70" t="n">
        <v>0</v>
      </c>
      <c r="O70" t="n">
        <v>1</v>
      </c>
      <c r="P70" t="n">
        <v>0</v>
      </c>
      <c r="Q70" t="n">
        <v>1</v>
      </c>
      <c r="R70" s="2" t="inlineStr">
        <is>
          <t>Svinrot</t>
        </is>
      </c>
      <c r="S70">
        <f>HYPERLINK("https://klasma.github.io/Logging_0580/artfynd/A 3397-2023 artfynd.xlsx", "A 3397-2023")</f>
        <v/>
      </c>
      <c r="T70">
        <f>HYPERLINK("https://klasma.github.io/Logging_0580/kartor/A 3397-2023 karta.png", "A 3397-2023")</f>
        <v/>
      </c>
      <c r="V70">
        <f>HYPERLINK("https://klasma.github.io/Logging_0580/klagomål/A 3397-2023 FSC-klagomål.docx", "A 3397-2023")</f>
        <v/>
      </c>
      <c r="W70">
        <f>HYPERLINK("https://klasma.github.io/Logging_0580/klagomålsmail/A 3397-2023 FSC-klagomål mail.docx", "A 3397-2023")</f>
        <v/>
      </c>
      <c r="X70">
        <f>HYPERLINK("https://klasma.github.io/Logging_0580/tillsyn/A 3397-2023 tillsynsbegäran.docx", "A 3397-2023")</f>
        <v/>
      </c>
      <c r="Y70">
        <f>HYPERLINK("https://klasma.github.io/Logging_0580/tillsynsmail/A 3397-2023 tillsynsbegäran mail.docx", "A 3397-2023")</f>
        <v/>
      </c>
    </row>
    <row r="71" ht="15" customHeight="1">
      <c r="A71" t="inlineStr">
        <is>
          <t>A 17389-2021</t>
        </is>
      </c>
      <c r="B71" s="1" t="n">
        <v>44298.96792824074</v>
      </c>
      <c r="C71" s="1" t="n">
        <v>45912</v>
      </c>
      <c r="D71" t="inlineStr">
        <is>
          <t>ÖSTERGÖTLANDS LÄN</t>
        </is>
      </c>
      <c r="E71" t="inlineStr">
        <is>
          <t>LINKÖPING</t>
        </is>
      </c>
      <c r="G71" t="n">
        <v>5.1</v>
      </c>
      <c r="H71" t="n">
        <v>0</v>
      </c>
      <c r="I71" t="n">
        <v>1</v>
      </c>
      <c r="J71" t="n">
        <v>0</v>
      </c>
      <c r="K71" t="n">
        <v>0</v>
      </c>
      <c r="L71" t="n">
        <v>0</v>
      </c>
      <c r="M71" t="n">
        <v>0</v>
      </c>
      <c r="N71" t="n">
        <v>0</v>
      </c>
      <c r="O71" t="n">
        <v>0</v>
      </c>
      <c r="P71" t="n">
        <v>0</v>
      </c>
      <c r="Q71" t="n">
        <v>1</v>
      </c>
      <c r="R71" s="2" t="inlineStr">
        <is>
          <t>Blomkålssvamp</t>
        </is>
      </c>
      <c r="S71">
        <f>HYPERLINK("https://klasma.github.io/Logging_0580/artfynd/A 17389-2021 artfynd.xlsx", "A 17389-2021")</f>
        <v/>
      </c>
      <c r="T71">
        <f>HYPERLINK("https://klasma.github.io/Logging_0580/kartor/A 17389-2021 karta.png", "A 17389-2021")</f>
        <v/>
      </c>
      <c r="V71">
        <f>HYPERLINK("https://klasma.github.io/Logging_0580/klagomål/A 17389-2021 FSC-klagomål.docx", "A 17389-2021")</f>
        <v/>
      </c>
      <c r="W71">
        <f>HYPERLINK("https://klasma.github.io/Logging_0580/klagomålsmail/A 17389-2021 FSC-klagomål mail.docx", "A 17389-2021")</f>
        <v/>
      </c>
      <c r="X71">
        <f>HYPERLINK("https://klasma.github.io/Logging_0580/tillsyn/A 17389-2021 tillsynsbegäran.docx", "A 17389-2021")</f>
        <v/>
      </c>
      <c r="Y71">
        <f>HYPERLINK("https://klasma.github.io/Logging_0580/tillsynsmail/A 17389-2021 tillsynsbegäran mail.docx", "A 17389-2021")</f>
        <v/>
      </c>
    </row>
    <row r="72" ht="15" customHeight="1">
      <c r="A72" t="inlineStr">
        <is>
          <t>A 56128-2022</t>
        </is>
      </c>
      <c r="B72" s="1" t="n">
        <v>44889</v>
      </c>
      <c r="C72" s="1" t="n">
        <v>45912</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40309-2024</t>
        </is>
      </c>
      <c r="B73" s="1" t="n">
        <v>45554.724375</v>
      </c>
      <c r="C73" s="1" t="n">
        <v>45912</v>
      </c>
      <c r="D73" t="inlineStr">
        <is>
          <t>ÖSTERGÖTLANDS LÄN</t>
        </is>
      </c>
      <c r="E73" t="inlineStr">
        <is>
          <t>LINKÖPING</t>
        </is>
      </c>
      <c r="F73" t="inlineStr">
        <is>
          <t>Allmännings- och besparingsskogar</t>
        </is>
      </c>
      <c r="G73" t="n">
        <v>6</v>
      </c>
      <c r="H73" t="n">
        <v>0</v>
      </c>
      <c r="I73" t="n">
        <v>0</v>
      </c>
      <c r="J73" t="n">
        <v>1</v>
      </c>
      <c r="K73" t="n">
        <v>0</v>
      </c>
      <c r="L73" t="n">
        <v>0</v>
      </c>
      <c r="M73" t="n">
        <v>0</v>
      </c>
      <c r="N73" t="n">
        <v>0</v>
      </c>
      <c r="O73" t="n">
        <v>1</v>
      </c>
      <c r="P73" t="n">
        <v>0</v>
      </c>
      <c r="Q73" t="n">
        <v>1</v>
      </c>
      <c r="R73" s="2" t="inlineStr">
        <is>
          <t>Garnlav</t>
        </is>
      </c>
      <c r="S73">
        <f>HYPERLINK("https://klasma.github.io/Logging_0580/artfynd/A 40309-2024 artfynd.xlsx", "A 40309-2024")</f>
        <v/>
      </c>
      <c r="T73">
        <f>HYPERLINK("https://klasma.github.io/Logging_0580/kartor/A 40309-2024 karta.png", "A 40309-2024")</f>
        <v/>
      </c>
      <c r="V73">
        <f>HYPERLINK("https://klasma.github.io/Logging_0580/klagomål/A 40309-2024 FSC-klagomål.docx", "A 40309-2024")</f>
        <v/>
      </c>
      <c r="W73">
        <f>HYPERLINK("https://klasma.github.io/Logging_0580/klagomålsmail/A 40309-2024 FSC-klagomål mail.docx", "A 40309-2024")</f>
        <v/>
      </c>
      <c r="X73">
        <f>HYPERLINK("https://klasma.github.io/Logging_0580/tillsyn/A 40309-2024 tillsynsbegäran.docx", "A 40309-2024")</f>
        <v/>
      </c>
      <c r="Y73">
        <f>HYPERLINK("https://klasma.github.io/Logging_0580/tillsynsmail/A 40309-2024 tillsynsbegäran mail.docx", "A 40309-2024")</f>
        <v/>
      </c>
    </row>
    <row r="74" ht="15" customHeight="1">
      <c r="A74" t="inlineStr">
        <is>
          <t>A 54835-2023</t>
        </is>
      </c>
      <c r="B74" s="1" t="n">
        <v>45236</v>
      </c>
      <c r="C74" s="1" t="n">
        <v>45912</v>
      </c>
      <c r="D74" t="inlineStr">
        <is>
          <t>ÖSTERGÖTLANDS LÄN</t>
        </is>
      </c>
      <c r="E74" t="inlineStr">
        <is>
          <t>LINKÖPING</t>
        </is>
      </c>
      <c r="G74" t="n">
        <v>2</v>
      </c>
      <c r="H74" t="n">
        <v>1</v>
      </c>
      <c r="I74" t="n">
        <v>0</v>
      </c>
      <c r="J74" t="n">
        <v>0</v>
      </c>
      <c r="K74" t="n">
        <v>0</v>
      </c>
      <c r="L74" t="n">
        <v>0</v>
      </c>
      <c r="M74" t="n">
        <v>0</v>
      </c>
      <c r="N74" t="n">
        <v>0</v>
      </c>
      <c r="O74" t="n">
        <v>0</v>
      </c>
      <c r="P74" t="n">
        <v>0</v>
      </c>
      <c r="Q74" t="n">
        <v>1</v>
      </c>
      <c r="R74" s="2" t="inlineStr">
        <is>
          <t>Sparvuggla</t>
        </is>
      </c>
      <c r="S74">
        <f>HYPERLINK("https://klasma.github.io/Logging_0580/artfynd/A 54835-2023 artfynd.xlsx", "A 54835-2023")</f>
        <v/>
      </c>
      <c r="T74">
        <f>HYPERLINK("https://klasma.github.io/Logging_0580/kartor/A 54835-2023 karta.png", "A 54835-2023")</f>
        <v/>
      </c>
      <c r="V74">
        <f>HYPERLINK("https://klasma.github.io/Logging_0580/klagomål/A 54835-2023 FSC-klagomål.docx", "A 54835-2023")</f>
        <v/>
      </c>
      <c r="W74">
        <f>HYPERLINK("https://klasma.github.io/Logging_0580/klagomålsmail/A 54835-2023 FSC-klagomål mail.docx", "A 54835-2023")</f>
        <v/>
      </c>
      <c r="X74">
        <f>HYPERLINK("https://klasma.github.io/Logging_0580/tillsyn/A 54835-2023 tillsynsbegäran.docx", "A 54835-2023")</f>
        <v/>
      </c>
      <c r="Y74">
        <f>HYPERLINK("https://klasma.github.io/Logging_0580/tillsynsmail/A 54835-2023 tillsynsbegäran mail.docx", "A 54835-2023")</f>
        <v/>
      </c>
      <c r="Z74">
        <f>HYPERLINK("https://klasma.github.io/Logging_0580/fåglar/A 54835-2023 prioriterade fågelarter.docx", "A 54835-2023")</f>
        <v/>
      </c>
    </row>
    <row r="75" ht="15" customHeight="1">
      <c r="A75" t="inlineStr">
        <is>
          <t>A 20295-2025</t>
        </is>
      </c>
      <c r="B75" s="1" t="n">
        <v>45774.74846064814</v>
      </c>
      <c r="C75" s="1" t="n">
        <v>45912</v>
      </c>
      <c r="D75" t="inlineStr">
        <is>
          <t>ÖSTERGÖTLANDS LÄN</t>
        </is>
      </c>
      <c r="E75" t="inlineStr">
        <is>
          <t>LINKÖPING</t>
        </is>
      </c>
      <c r="G75" t="n">
        <v>3</v>
      </c>
      <c r="H75" t="n">
        <v>0</v>
      </c>
      <c r="I75" t="n">
        <v>0</v>
      </c>
      <c r="J75" t="n">
        <v>1</v>
      </c>
      <c r="K75" t="n">
        <v>0</v>
      </c>
      <c r="L75" t="n">
        <v>0</v>
      </c>
      <c r="M75" t="n">
        <v>0</v>
      </c>
      <c r="N75" t="n">
        <v>0</v>
      </c>
      <c r="O75" t="n">
        <v>1</v>
      </c>
      <c r="P75" t="n">
        <v>0</v>
      </c>
      <c r="Q75" t="n">
        <v>1</v>
      </c>
      <c r="R75" s="2" t="inlineStr">
        <is>
          <t>Tallticka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row>
    <row r="76" ht="15" customHeight="1">
      <c r="A76" t="inlineStr">
        <is>
          <t>A 5984-2025</t>
        </is>
      </c>
      <c r="B76" s="1" t="n">
        <v>45695.55173611111</v>
      </c>
      <c r="C76" s="1" t="n">
        <v>45912</v>
      </c>
      <c r="D76" t="inlineStr">
        <is>
          <t>ÖSTERGÖTLANDS LÄN</t>
        </is>
      </c>
      <c r="E76" t="inlineStr">
        <is>
          <t>LINKÖPING</t>
        </is>
      </c>
      <c r="F76" t="inlineStr">
        <is>
          <t>Allmännings- och besparingsskogar</t>
        </is>
      </c>
      <c r="G76" t="n">
        <v>5.5</v>
      </c>
      <c r="H76" t="n">
        <v>0</v>
      </c>
      <c r="I76" t="n">
        <v>0</v>
      </c>
      <c r="J76" t="n">
        <v>1</v>
      </c>
      <c r="K76" t="n">
        <v>0</v>
      </c>
      <c r="L76" t="n">
        <v>0</v>
      </c>
      <c r="M76" t="n">
        <v>0</v>
      </c>
      <c r="N76" t="n">
        <v>0</v>
      </c>
      <c r="O76" t="n">
        <v>1</v>
      </c>
      <c r="P76" t="n">
        <v>0</v>
      </c>
      <c r="Q76" t="n">
        <v>1</v>
      </c>
      <c r="R76" s="2" t="inlineStr">
        <is>
          <t>Vanlig backsmörblomma</t>
        </is>
      </c>
      <c r="S76">
        <f>HYPERLINK("https://klasma.github.io/Logging_0580/artfynd/A 5984-2025 artfynd.xlsx", "A 5984-2025")</f>
        <v/>
      </c>
      <c r="T76">
        <f>HYPERLINK("https://klasma.github.io/Logging_0580/kartor/A 5984-2025 karta.png", "A 5984-2025")</f>
        <v/>
      </c>
      <c r="V76">
        <f>HYPERLINK("https://klasma.github.io/Logging_0580/klagomål/A 5984-2025 FSC-klagomål.docx", "A 5984-2025")</f>
        <v/>
      </c>
      <c r="W76">
        <f>HYPERLINK("https://klasma.github.io/Logging_0580/klagomålsmail/A 5984-2025 FSC-klagomål mail.docx", "A 5984-2025")</f>
        <v/>
      </c>
      <c r="X76">
        <f>HYPERLINK("https://klasma.github.io/Logging_0580/tillsyn/A 5984-2025 tillsynsbegäran.docx", "A 5984-2025")</f>
        <v/>
      </c>
      <c r="Y76">
        <f>HYPERLINK("https://klasma.github.io/Logging_0580/tillsynsmail/A 5984-2025 tillsynsbegäran mail.docx", "A 5984-2025")</f>
        <v/>
      </c>
    </row>
    <row r="77" ht="15" customHeight="1">
      <c r="A77" t="inlineStr">
        <is>
          <t>A 38881-2021</t>
        </is>
      </c>
      <c r="B77" s="1" t="n">
        <v>44411.46893518518</v>
      </c>
      <c r="C77" s="1" t="n">
        <v>45912</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45912</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45912</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45912</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7289-2021</t>
        </is>
      </c>
      <c r="B81" s="1" t="n">
        <v>44238</v>
      </c>
      <c r="C81" s="1" t="n">
        <v>45912</v>
      </c>
      <c r="D81" t="inlineStr">
        <is>
          <t>ÖSTERGÖTLANDS LÄN</t>
        </is>
      </c>
      <c r="E81" t="inlineStr">
        <is>
          <t>LINKÖPING</t>
        </is>
      </c>
      <c r="G81" t="n">
        <v>0.7</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45912</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45912</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45912</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40506-2021</t>
        </is>
      </c>
      <c r="B85" s="1" t="n">
        <v>44420</v>
      </c>
      <c r="C85" s="1" t="n">
        <v>45912</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7840-2022</t>
        </is>
      </c>
      <c r="B86" s="1" t="n">
        <v>44608</v>
      </c>
      <c r="C86" s="1" t="n">
        <v>45912</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45912</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45912</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45912</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45912</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45912</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47319-2020</t>
        </is>
      </c>
      <c r="B92" s="1" t="n">
        <v>44095</v>
      </c>
      <c r="C92" s="1" t="n">
        <v>45912</v>
      </c>
      <c r="D92" t="inlineStr">
        <is>
          <t>ÖSTERGÖTLANDS LÄN</t>
        </is>
      </c>
      <c r="E92" t="inlineStr">
        <is>
          <t>LINKÖPING</t>
        </is>
      </c>
      <c r="F92" t="inlineStr">
        <is>
          <t>Kommuner</t>
        </is>
      </c>
      <c r="G92" t="n">
        <v>1.3</v>
      </c>
      <c r="H92" t="n">
        <v>0</v>
      </c>
      <c r="I92" t="n">
        <v>0</v>
      </c>
      <c r="J92" t="n">
        <v>0</v>
      </c>
      <c r="K92" t="n">
        <v>0</v>
      </c>
      <c r="L92" t="n">
        <v>0</v>
      </c>
      <c r="M92" t="n">
        <v>0</v>
      </c>
      <c r="N92" t="n">
        <v>0</v>
      </c>
      <c r="O92" t="n">
        <v>0</v>
      </c>
      <c r="P92" t="n">
        <v>0</v>
      </c>
      <c r="Q92" t="n">
        <v>0</v>
      </c>
      <c r="R92" s="2" t="inlineStr"/>
    </row>
    <row r="93" ht="15" customHeight="1">
      <c r="A93" t="inlineStr">
        <is>
          <t>A 1581-2022</t>
        </is>
      </c>
      <c r="B93" s="1" t="n">
        <v>44573</v>
      </c>
      <c r="C93" s="1" t="n">
        <v>45912</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46234-2022</t>
        </is>
      </c>
      <c r="B94" s="1" t="n">
        <v>44846</v>
      </c>
      <c r="C94" s="1" t="n">
        <v>45912</v>
      </c>
      <c r="D94" t="inlineStr">
        <is>
          <t>ÖSTERGÖTLANDS LÄN</t>
        </is>
      </c>
      <c r="E94" t="inlineStr">
        <is>
          <t>LINKÖPING</t>
        </is>
      </c>
      <c r="G94" t="n">
        <v>3.3</v>
      </c>
      <c r="H94" t="n">
        <v>0</v>
      </c>
      <c r="I94" t="n">
        <v>0</v>
      </c>
      <c r="J94" t="n">
        <v>0</v>
      </c>
      <c r="K94" t="n">
        <v>0</v>
      </c>
      <c r="L94" t="n">
        <v>0</v>
      </c>
      <c r="M94" t="n">
        <v>0</v>
      </c>
      <c r="N94" t="n">
        <v>0</v>
      </c>
      <c r="O94" t="n">
        <v>0</v>
      </c>
      <c r="P94" t="n">
        <v>0</v>
      </c>
      <c r="Q94" t="n">
        <v>0</v>
      </c>
      <c r="R94" s="2" t="inlineStr"/>
    </row>
    <row r="95" ht="15" customHeight="1">
      <c r="A95" t="inlineStr">
        <is>
          <t>A 38961-2021</t>
        </is>
      </c>
      <c r="B95" s="1" t="n">
        <v>44411</v>
      </c>
      <c r="C95" s="1" t="n">
        <v>45912</v>
      </c>
      <c r="D95" t="inlineStr">
        <is>
          <t>ÖSTERGÖTLANDS LÄN</t>
        </is>
      </c>
      <c r="E95" t="inlineStr">
        <is>
          <t>LINKÖPING</t>
        </is>
      </c>
      <c r="G95" t="n">
        <v>1.3</v>
      </c>
      <c r="H95" t="n">
        <v>0</v>
      </c>
      <c r="I95" t="n">
        <v>0</v>
      </c>
      <c r="J95" t="n">
        <v>0</v>
      </c>
      <c r="K95" t="n">
        <v>0</v>
      </c>
      <c r="L95" t="n">
        <v>0</v>
      </c>
      <c r="M95" t="n">
        <v>0</v>
      </c>
      <c r="N95" t="n">
        <v>0</v>
      </c>
      <c r="O95" t="n">
        <v>0</v>
      </c>
      <c r="P95" t="n">
        <v>0</v>
      </c>
      <c r="Q95" t="n">
        <v>0</v>
      </c>
      <c r="R95" s="2" t="inlineStr"/>
    </row>
    <row r="96" ht="15" customHeight="1">
      <c r="A96" t="inlineStr">
        <is>
          <t>A 159-2022</t>
        </is>
      </c>
      <c r="B96" s="1" t="n">
        <v>44564</v>
      </c>
      <c r="C96" s="1" t="n">
        <v>45912</v>
      </c>
      <c r="D96" t="inlineStr">
        <is>
          <t>ÖSTERGÖTLANDS LÄN</t>
        </is>
      </c>
      <c r="E96" t="inlineStr">
        <is>
          <t>LINKÖPING</t>
        </is>
      </c>
      <c r="G96" t="n">
        <v>0.3</v>
      </c>
      <c r="H96" t="n">
        <v>0</v>
      </c>
      <c r="I96" t="n">
        <v>0</v>
      </c>
      <c r="J96" t="n">
        <v>0</v>
      </c>
      <c r="K96" t="n">
        <v>0</v>
      </c>
      <c r="L96" t="n">
        <v>0</v>
      </c>
      <c r="M96" t="n">
        <v>0</v>
      </c>
      <c r="N96" t="n">
        <v>0</v>
      </c>
      <c r="O96" t="n">
        <v>0</v>
      </c>
      <c r="P96" t="n">
        <v>0</v>
      </c>
      <c r="Q96" t="n">
        <v>0</v>
      </c>
      <c r="R96" s="2" t="inlineStr"/>
    </row>
    <row r="97" ht="15" customHeight="1">
      <c r="A97" t="inlineStr">
        <is>
          <t>A 60639-2021</t>
        </is>
      </c>
      <c r="B97" s="1" t="n">
        <v>44496</v>
      </c>
      <c r="C97" s="1" t="n">
        <v>45912</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16715-2021</t>
        </is>
      </c>
      <c r="B98" s="1" t="n">
        <v>44294</v>
      </c>
      <c r="C98" s="1" t="n">
        <v>45912</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45912</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45912</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38143-2021</t>
        </is>
      </c>
      <c r="B101" s="1" t="n">
        <v>44405</v>
      </c>
      <c r="C101" s="1" t="n">
        <v>45912</v>
      </c>
      <c r="D101" t="inlineStr">
        <is>
          <t>ÖSTERGÖTLANDS LÄN</t>
        </is>
      </c>
      <c r="E101" t="inlineStr">
        <is>
          <t>LINKÖPING</t>
        </is>
      </c>
      <c r="G101" t="n">
        <v>4.1</v>
      </c>
      <c r="H101" t="n">
        <v>0</v>
      </c>
      <c r="I101" t="n">
        <v>0</v>
      </c>
      <c r="J101" t="n">
        <v>0</v>
      </c>
      <c r="K101" t="n">
        <v>0</v>
      </c>
      <c r="L101" t="n">
        <v>0</v>
      </c>
      <c r="M101" t="n">
        <v>0</v>
      </c>
      <c r="N101" t="n">
        <v>0</v>
      </c>
      <c r="O101" t="n">
        <v>0</v>
      </c>
      <c r="P101" t="n">
        <v>0</v>
      </c>
      <c r="Q101" t="n">
        <v>0</v>
      </c>
      <c r="R101" s="2" t="inlineStr"/>
    </row>
    <row r="102" ht="15" customHeight="1">
      <c r="A102" t="inlineStr">
        <is>
          <t>A 38254-2021</t>
        </is>
      </c>
      <c r="B102" s="1" t="n">
        <v>44405</v>
      </c>
      <c r="C102" s="1" t="n">
        <v>45912</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261-2021</t>
        </is>
      </c>
      <c r="B103" s="1" t="n">
        <v>44200</v>
      </c>
      <c r="C103" s="1" t="n">
        <v>45912</v>
      </c>
      <c r="D103" t="inlineStr">
        <is>
          <t>ÖSTERGÖTLANDS LÄN</t>
        </is>
      </c>
      <c r="E103" t="inlineStr">
        <is>
          <t>LINKÖPING</t>
        </is>
      </c>
      <c r="G103" t="n">
        <v>3.1</v>
      </c>
      <c r="H103" t="n">
        <v>0</v>
      </c>
      <c r="I103" t="n">
        <v>0</v>
      </c>
      <c r="J103" t="n">
        <v>0</v>
      </c>
      <c r="K103" t="n">
        <v>0</v>
      </c>
      <c r="L103" t="n">
        <v>0</v>
      </c>
      <c r="M103" t="n">
        <v>0</v>
      </c>
      <c r="N103" t="n">
        <v>0</v>
      </c>
      <c r="O103" t="n">
        <v>0</v>
      </c>
      <c r="P103" t="n">
        <v>0</v>
      </c>
      <c r="Q103" t="n">
        <v>0</v>
      </c>
      <c r="R103" s="2" t="inlineStr"/>
    </row>
    <row r="104" ht="15" customHeight="1">
      <c r="A104" t="inlineStr">
        <is>
          <t>A 31703-2022</t>
        </is>
      </c>
      <c r="B104" s="1" t="n">
        <v>44776</v>
      </c>
      <c r="C104" s="1" t="n">
        <v>45912</v>
      </c>
      <c r="D104" t="inlineStr">
        <is>
          <t>ÖSTERGÖTLANDS LÄN</t>
        </is>
      </c>
      <c r="E104" t="inlineStr">
        <is>
          <t>LINKÖPING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45912</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45912</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45912</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45912</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40437-2021</t>
        </is>
      </c>
      <c r="B109" s="1" t="n">
        <v>44419</v>
      </c>
      <c r="C109" s="1" t="n">
        <v>45912</v>
      </c>
      <c r="D109" t="inlineStr">
        <is>
          <t>ÖSTERGÖTLANDS LÄN</t>
        </is>
      </c>
      <c r="E109" t="inlineStr">
        <is>
          <t>LINKÖPING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45912</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45912</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45912</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45912</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45912</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45912</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45912</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45912</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45912</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45912</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45912</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45912</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45912</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45912</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45912</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45912</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45912</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45912</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45912</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45912</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45912</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45912</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45912</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45912</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45912</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384-2021</t>
        </is>
      </c>
      <c r="B135" s="1" t="n">
        <v>44201.57689814815</v>
      </c>
      <c r="C135" s="1" t="n">
        <v>45912</v>
      </c>
      <c r="D135" t="inlineStr">
        <is>
          <t>ÖSTERGÖTLANDS LÄN</t>
        </is>
      </c>
      <c r="E135" t="inlineStr">
        <is>
          <t>LINKÖPING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38130-2021</t>
        </is>
      </c>
      <c r="B136" s="1" t="n">
        <v>44405</v>
      </c>
      <c r="C136" s="1" t="n">
        <v>45912</v>
      </c>
      <c r="D136" t="inlineStr">
        <is>
          <t>ÖSTERGÖTLANDS LÄN</t>
        </is>
      </c>
      <c r="E136" t="inlineStr">
        <is>
          <t>LINKÖPING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40527-2022</t>
        </is>
      </c>
      <c r="B137" s="1" t="n">
        <v>44823</v>
      </c>
      <c r="C137" s="1" t="n">
        <v>45912</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52968-2021</t>
        </is>
      </c>
      <c r="B138" s="1" t="n">
        <v>44467</v>
      </c>
      <c r="C138" s="1" t="n">
        <v>45912</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65395-2021</t>
        </is>
      </c>
      <c r="B139" s="1" t="n">
        <v>44515</v>
      </c>
      <c r="C139" s="1" t="n">
        <v>45912</v>
      </c>
      <c r="D139" t="inlineStr">
        <is>
          <t>ÖSTERGÖTLANDS LÄN</t>
        </is>
      </c>
      <c r="E139" t="inlineStr">
        <is>
          <t>LINKÖPING</t>
        </is>
      </c>
      <c r="F139" t="inlineStr">
        <is>
          <t>Övriga statliga verk och myndigheter</t>
        </is>
      </c>
      <c r="G139" t="n">
        <v>0.7</v>
      </c>
      <c r="H139" t="n">
        <v>0</v>
      </c>
      <c r="I139" t="n">
        <v>0</v>
      </c>
      <c r="J139" t="n">
        <v>0</v>
      </c>
      <c r="K139" t="n">
        <v>0</v>
      </c>
      <c r="L139" t="n">
        <v>0</v>
      </c>
      <c r="M139" t="n">
        <v>0</v>
      </c>
      <c r="N139" t="n">
        <v>0</v>
      </c>
      <c r="O139" t="n">
        <v>0</v>
      </c>
      <c r="P139" t="n">
        <v>0</v>
      </c>
      <c r="Q139" t="n">
        <v>0</v>
      </c>
      <c r="R139" s="2" t="inlineStr"/>
    </row>
    <row r="140" ht="15" customHeight="1">
      <c r="A140" t="inlineStr">
        <is>
          <t>A 48016-2021</t>
        </is>
      </c>
      <c r="B140" s="1" t="n">
        <v>44449</v>
      </c>
      <c r="C140" s="1" t="n">
        <v>45912</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30858-2022</t>
        </is>
      </c>
      <c r="B141" s="1" t="n">
        <v>44767</v>
      </c>
      <c r="C141" s="1" t="n">
        <v>45912</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23175-2022</t>
        </is>
      </c>
      <c r="B142" s="1" t="n">
        <v>44719</v>
      </c>
      <c r="C142" s="1" t="n">
        <v>45912</v>
      </c>
      <c r="D142" t="inlineStr">
        <is>
          <t>ÖSTERGÖTLANDS LÄN</t>
        </is>
      </c>
      <c r="E142" t="inlineStr">
        <is>
          <t>LINKÖPING</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46969-2020</t>
        </is>
      </c>
      <c r="B143" s="1" t="n">
        <v>44090</v>
      </c>
      <c r="C143" s="1" t="n">
        <v>45912</v>
      </c>
      <c r="D143" t="inlineStr">
        <is>
          <t>ÖSTERGÖTLANDS LÄN</t>
        </is>
      </c>
      <c r="E143" t="inlineStr">
        <is>
          <t>LINKÖPING</t>
        </is>
      </c>
      <c r="G143" t="n">
        <v>0.8</v>
      </c>
      <c r="H143" t="n">
        <v>0</v>
      </c>
      <c r="I143" t="n">
        <v>0</v>
      </c>
      <c r="J143" t="n">
        <v>0</v>
      </c>
      <c r="K143" t="n">
        <v>0</v>
      </c>
      <c r="L143" t="n">
        <v>0</v>
      </c>
      <c r="M143" t="n">
        <v>0</v>
      </c>
      <c r="N143" t="n">
        <v>0</v>
      </c>
      <c r="O143" t="n">
        <v>0</v>
      </c>
      <c r="P143" t="n">
        <v>0</v>
      </c>
      <c r="Q143" t="n">
        <v>0</v>
      </c>
      <c r="R143" s="2" t="inlineStr"/>
    </row>
    <row r="144" ht="15" customHeight="1">
      <c r="A144" t="inlineStr">
        <is>
          <t>A 46975-2020</t>
        </is>
      </c>
      <c r="B144" s="1" t="n">
        <v>44090</v>
      </c>
      <c r="C144" s="1" t="n">
        <v>45912</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58266-2021</t>
        </is>
      </c>
      <c r="B145" s="1" t="n">
        <v>44487</v>
      </c>
      <c r="C145" s="1" t="n">
        <v>45912</v>
      </c>
      <c r="D145" t="inlineStr">
        <is>
          <t>ÖSTERGÖTLANDS LÄN</t>
        </is>
      </c>
      <c r="E145" t="inlineStr">
        <is>
          <t>LINKÖPING</t>
        </is>
      </c>
      <c r="F145" t="inlineStr">
        <is>
          <t>Övriga Aktiebolag</t>
        </is>
      </c>
      <c r="G145" t="n">
        <v>3.2</v>
      </c>
      <c r="H145" t="n">
        <v>0</v>
      </c>
      <c r="I145" t="n">
        <v>0</v>
      </c>
      <c r="J145" t="n">
        <v>0</v>
      </c>
      <c r="K145" t="n">
        <v>0</v>
      </c>
      <c r="L145" t="n">
        <v>0</v>
      </c>
      <c r="M145" t="n">
        <v>0</v>
      </c>
      <c r="N145" t="n">
        <v>0</v>
      </c>
      <c r="O145" t="n">
        <v>0</v>
      </c>
      <c r="P145" t="n">
        <v>0</v>
      </c>
      <c r="Q145" t="n">
        <v>0</v>
      </c>
      <c r="R145" s="2" t="inlineStr"/>
    </row>
    <row r="146" ht="15" customHeight="1">
      <c r="A146" t="inlineStr">
        <is>
          <t>A 11079-2022</t>
        </is>
      </c>
      <c r="B146" s="1" t="n">
        <v>44628</v>
      </c>
      <c r="C146" s="1" t="n">
        <v>45912</v>
      </c>
      <c r="D146" t="inlineStr">
        <is>
          <t>ÖSTERGÖTLANDS LÄN</t>
        </is>
      </c>
      <c r="E146" t="inlineStr">
        <is>
          <t>LINKÖPING</t>
        </is>
      </c>
      <c r="G146" t="n">
        <v>1.8</v>
      </c>
      <c r="H146" t="n">
        <v>0</v>
      </c>
      <c r="I146" t="n">
        <v>0</v>
      </c>
      <c r="J146" t="n">
        <v>0</v>
      </c>
      <c r="K146" t="n">
        <v>0</v>
      </c>
      <c r="L146" t="n">
        <v>0</v>
      </c>
      <c r="M146" t="n">
        <v>0</v>
      </c>
      <c r="N146" t="n">
        <v>0</v>
      </c>
      <c r="O146" t="n">
        <v>0</v>
      </c>
      <c r="P146" t="n">
        <v>0</v>
      </c>
      <c r="Q146" t="n">
        <v>0</v>
      </c>
      <c r="R146" s="2" t="inlineStr"/>
    </row>
    <row r="147" ht="15" customHeight="1">
      <c r="A147" t="inlineStr">
        <is>
          <t>A 20901-2021</t>
        </is>
      </c>
      <c r="B147" s="1" t="n">
        <v>44319</v>
      </c>
      <c r="C147" s="1" t="n">
        <v>45912</v>
      </c>
      <c r="D147" t="inlineStr">
        <is>
          <t>ÖSTERGÖTLANDS LÄN</t>
        </is>
      </c>
      <c r="E147" t="inlineStr">
        <is>
          <t>LINKÖPING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45912</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4377-2021</t>
        </is>
      </c>
      <c r="B149" s="1" t="n">
        <v>44223</v>
      </c>
      <c r="C149" s="1" t="n">
        <v>45912</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9935-2021</t>
        </is>
      </c>
      <c r="B150" s="1" t="n">
        <v>44253</v>
      </c>
      <c r="C150" s="1" t="n">
        <v>45912</v>
      </c>
      <c r="D150" t="inlineStr">
        <is>
          <t>ÖSTERGÖTLANDS LÄN</t>
        </is>
      </c>
      <c r="E150" t="inlineStr">
        <is>
          <t>LINKÖPING</t>
        </is>
      </c>
      <c r="G150" t="n">
        <v>4.5</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45912</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61153-2021</t>
        </is>
      </c>
      <c r="B152" s="1" t="n">
        <v>44497</v>
      </c>
      <c r="C152" s="1" t="n">
        <v>45912</v>
      </c>
      <c r="D152" t="inlineStr">
        <is>
          <t>ÖSTERGÖTLANDS LÄN</t>
        </is>
      </c>
      <c r="E152" t="inlineStr">
        <is>
          <t>LINKÖPING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33885-2021</t>
        </is>
      </c>
      <c r="B153" s="1" t="n">
        <v>44378</v>
      </c>
      <c r="C153" s="1" t="n">
        <v>45912</v>
      </c>
      <c r="D153" t="inlineStr">
        <is>
          <t>ÖSTERGÖTLANDS LÄN</t>
        </is>
      </c>
      <c r="E153" t="inlineStr">
        <is>
          <t>LINKÖPING</t>
        </is>
      </c>
      <c r="G153" t="n">
        <v>3.5</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45912</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12413-2022</t>
        </is>
      </c>
      <c r="B155" s="1" t="n">
        <v>44638</v>
      </c>
      <c r="C155" s="1" t="n">
        <v>45912</v>
      </c>
      <c r="D155" t="inlineStr">
        <is>
          <t>ÖSTERGÖTLANDS LÄN</t>
        </is>
      </c>
      <c r="E155" t="inlineStr">
        <is>
          <t>LINKÖPING</t>
        </is>
      </c>
      <c r="G155" t="n">
        <v>1.3</v>
      </c>
      <c r="H155" t="n">
        <v>0</v>
      </c>
      <c r="I155" t="n">
        <v>0</v>
      </c>
      <c r="J155" t="n">
        <v>0</v>
      </c>
      <c r="K155" t="n">
        <v>0</v>
      </c>
      <c r="L155" t="n">
        <v>0</v>
      </c>
      <c r="M155" t="n">
        <v>0</v>
      </c>
      <c r="N155" t="n">
        <v>0</v>
      </c>
      <c r="O155" t="n">
        <v>0</v>
      </c>
      <c r="P155" t="n">
        <v>0</v>
      </c>
      <c r="Q155" t="n">
        <v>0</v>
      </c>
      <c r="R155" s="2" t="inlineStr"/>
    </row>
    <row r="156" ht="15" customHeight="1">
      <c r="A156" t="inlineStr">
        <is>
          <t>A 41426-2022</t>
        </is>
      </c>
      <c r="B156" s="1" t="n">
        <v>44826</v>
      </c>
      <c r="C156" s="1" t="n">
        <v>45912</v>
      </c>
      <c r="D156" t="inlineStr">
        <is>
          <t>ÖSTERGÖTLANDS LÄN</t>
        </is>
      </c>
      <c r="E156" t="inlineStr">
        <is>
          <t>LINKÖPING</t>
        </is>
      </c>
      <c r="G156" t="n">
        <v>3</v>
      </c>
      <c r="H156" t="n">
        <v>0</v>
      </c>
      <c r="I156" t="n">
        <v>0</v>
      </c>
      <c r="J156" t="n">
        <v>0</v>
      </c>
      <c r="K156" t="n">
        <v>0</v>
      </c>
      <c r="L156" t="n">
        <v>0</v>
      </c>
      <c r="M156" t="n">
        <v>0</v>
      </c>
      <c r="N156" t="n">
        <v>0</v>
      </c>
      <c r="O156" t="n">
        <v>0</v>
      </c>
      <c r="P156" t="n">
        <v>0</v>
      </c>
      <c r="Q156" t="n">
        <v>0</v>
      </c>
      <c r="R156" s="2" t="inlineStr"/>
    </row>
    <row r="157" ht="15" customHeight="1">
      <c r="A157" t="inlineStr">
        <is>
          <t>A 65398-2021</t>
        </is>
      </c>
      <c r="B157" s="1" t="n">
        <v>44515</v>
      </c>
      <c r="C157" s="1" t="n">
        <v>45912</v>
      </c>
      <c r="D157" t="inlineStr">
        <is>
          <t>ÖSTERGÖTLANDS LÄN</t>
        </is>
      </c>
      <c r="E157" t="inlineStr">
        <is>
          <t>LINKÖPING</t>
        </is>
      </c>
      <c r="F157" t="inlineStr">
        <is>
          <t>Övriga statliga verk och myndigheter</t>
        </is>
      </c>
      <c r="G157" t="n">
        <v>2.4</v>
      </c>
      <c r="H157" t="n">
        <v>0</v>
      </c>
      <c r="I157" t="n">
        <v>0</v>
      </c>
      <c r="J157" t="n">
        <v>0</v>
      </c>
      <c r="K157" t="n">
        <v>0</v>
      </c>
      <c r="L157" t="n">
        <v>0</v>
      </c>
      <c r="M157" t="n">
        <v>0</v>
      </c>
      <c r="N157" t="n">
        <v>0</v>
      </c>
      <c r="O157" t="n">
        <v>0</v>
      </c>
      <c r="P157" t="n">
        <v>0</v>
      </c>
      <c r="Q157" t="n">
        <v>0</v>
      </c>
      <c r="R157" s="2" t="inlineStr"/>
    </row>
    <row r="158" ht="15" customHeight="1">
      <c r="A158" t="inlineStr">
        <is>
          <t>A 34162-2022</t>
        </is>
      </c>
      <c r="B158" s="1" t="n">
        <v>44791</v>
      </c>
      <c r="C158" s="1" t="n">
        <v>45912</v>
      </c>
      <c r="D158" t="inlineStr">
        <is>
          <t>ÖSTERGÖTLANDS LÄN</t>
        </is>
      </c>
      <c r="E158" t="inlineStr">
        <is>
          <t>LINKÖPING</t>
        </is>
      </c>
      <c r="G158" t="n">
        <v>3</v>
      </c>
      <c r="H158" t="n">
        <v>0</v>
      </c>
      <c r="I158" t="n">
        <v>0</v>
      </c>
      <c r="J158" t="n">
        <v>0</v>
      </c>
      <c r="K158" t="n">
        <v>0</v>
      </c>
      <c r="L158" t="n">
        <v>0</v>
      </c>
      <c r="M158" t="n">
        <v>0</v>
      </c>
      <c r="N158" t="n">
        <v>0</v>
      </c>
      <c r="O158" t="n">
        <v>0</v>
      </c>
      <c r="P158" t="n">
        <v>0</v>
      </c>
      <c r="Q158" t="n">
        <v>0</v>
      </c>
      <c r="R158" s="2" t="inlineStr"/>
    </row>
    <row r="159" ht="15" customHeight="1">
      <c r="A159" t="inlineStr">
        <is>
          <t>A 46490-2022</t>
        </is>
      </c>
      <c r="B159" s="1" t="n">
        <v>44848</v>
      </c>
      <c r="C159" s="1" t="n">
        <v>45912</v>
      </c>
      <c r="D159" t="inlineStr">
        <is>
          <t>ÖSTERGÖTLANDS LÄN</t>
        </is>
      </c>
      <c r="E159" t="inlineStr">
        <is>
          <t>LINKÖPING</t>
        </is>
      </c>
      <c r="G159" t="n">
        <v>3.5</v>
      </c>
      <c r="H159" t="n">
        <v>0</v>
      </c>
      <c r="I159" t="n">
        <v>0</v>
      </c>
      <c r="J159" t="n">
        <v>0</v>
      </c>
      <c r="K159" t="n">
        <v>0</v>
      </c>
      <c r="L159" t="n">
        <v>0</v>
      </c>
      <c r="M159" t="n">
        <v>0</v>
      </c>
      <c r="N159" t="n">
        <v>0</v>
      </c>
      <c r="O159" t="n">
        <v>0</v>
      </c>
      <c r="P159" t="n">
        <v>0</v>
      </c>
      <c r="Q159" t="n">
        <v>0</v>
      </c>
      <c r="R159" s="2" t="inlineStr"/>
    </row>
    <row r="160" ht="15" customHeight="1">
      <c r="A160" t="inlineStr">
        <is>
          <t>A 61298-2021</t>
        </is>
      </c>
      <c r="B160" s="1" t="n">
        <v>44498.62533564815</v>
      </c>
      <c r="C160" s="1" t="n">
        <v>45912</v>
      </c>
      <c r="D160" t="inlineStr">
        <is>
          <t>ÖSTERGÖTLANDS LÄN</t>
        </is>
      </c>
      <c r="E160" t="inlineStr">
        <is>
          <t>LINKÖPING</t>
        </is>
      </c>
      <c r="G160" t="n">
        <v>4.3</v>
      </c>
      <c r="H160" t="n">
        <v>0</v>
      </c>
      <c r="I160" t="n">
        <v>0</v>
      </c>
      <c r="J160" t="n">
        <v>0</v>
      </c>
      <c r="K160" t="n">
        <v>0</v>
      </c>
      <c r="L160" t="n">
        <v>0</v>
      </c>
      <c r="M160" t="n">
        <v>0</v>
      </c>
      <c r="N160" t="n">
        <v>0</v>
      </c>
      <c r="O160" t="n">
        <v>0</v>
      </c>
      <c r="P160" t="n">
        <v>0</v>
      </c>
      <c r="Q160" t="n">
        <v>0</v>
      </c>
      <c r="R160" s="2" t="inlineStr"/>
    </row>
    <row r="161" ht="15" customHeight="1">
      <c r="A161" t="inlineStr">
        <is>
          <t>A 61333-2021</t>
        </is>
      </c>
      <c r="B161" s="1" t="n">
        <v>44498.6764699074</v>
      </c>
      <c r="C161" s="1" t="n">
        <v>45912</v>
      </c>
      <c r="D161" t="inlineStr">
        <is>
          <t>ÖSTERGÖTLANDS LÄN</t>
        </is>
      </c>
      <c r="E161" t="inlineStr">
        <is>
          <t>LINKÖPING</t>
        </is>
      </c>
      <c r="G161" t="n">
        <v>7.5</v>
      </c>
      <c r="H161" t="n">
        <v>0</v>
      </c>
      <c r="I161" t="n">
        <v>0</v>
      </c>
      <c r="J161" t="n">
        <v>0</v>
      </c>
      <c r="K161" t="n">
        <v>0</v>
      </c>
      <c r="L161" t="n">
        <v>0</v>
      </c>
      <c r="M161" t="n">
        <v>0</v>
      </c>
      <c r="N161" t="n">
        <v>0</v>
      </c>
      <c r="O161" t="n">
        <v>0</v>
      </c>
      <c r="P161" t="n">
        <v>0</v>
      </c>
      <c r="Q161" t="n">
        <v>0</v>
      </c>
      <c r="R161" s="2" t="inlineStr"/>
    </row>
    <row r="162" ht="15" customHeight="1">
      <c r="A162" t="inlineStr">
        <is>
          <t>A 67912-2021</t>
        </is>
      </c>
      <c r="B162" s="1" t="n">
        <v>44525</v>
      </c>
      <c r="C162" s="1" t="n">
        <v>45912</v>
      </c>
      <c r="D162" t="inlineStr">
        <is>
          <t>ÖSTERGÖTLANDS LÄN</t>
        </is>
      </c>
      <c r="E162" t="inlineStr">
        <is>
          <t>LINKÖPING</t>
        </is>
      </c>
      <c r="G162" t="n">
        <v>2.4</v>
      </c>
      <c r="H162" t="n">
        <v>0</v>
      </c>
      <c r="I162" t="n">
        <v>0</v>
      </c>
      <c r="J162" t="n">
        <v>0</v>
      </c>
      <c r="K162" t="n">
        <v>0</v>
      </c>
      <c r="L162" t="n">
        <v>0</v>
      </c>
      <c r="M162" t="n">
        <v>0</v>
      </c>
      <c r="N162" t="n">
        <v>0</v>
      </c>
      <c r="O162" t="n">
        <v>0</v>
      </c>
      <c r="P162" t="n">
        <v>0</v>
      </c>
      <c r="Q162" t="n">
        <v>0</v>
      </c>
      <c r="R162" s="2" t="inlineStr"/>
    </row>
    <row r="163" ht="15" customHeight="1">
      <c r="A163" t="inlineStr">
        <is>
          <t>A 67940-2021</t>
        </is>
      </c>
      <c r="B163" s="1" t="n">
        <v>44525.62849537037</v>
      </c>
      <c r="C163" s="1" t="n">
        <v>45912</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54467-2022</t>
        </is>
      </c>
      <c r="B164" s="1" t="n">
        <v>44882</v>
      </c>
      <c r="C164" s="1" t="n">
        <v>45912</v>
      </c>
      <c r="D164" t="inlineStr">
        <is>
          <t>ÖSTERGÖTLANDS LÄN</t>
        </is>
      </c>
      <c r="E164" t="inlineStr">
        <is>
          <t>LINKÖPING</t>
        </is>
      </c>
      <c r="F164" t="inlineStr">
        <is>
          <t>Sveaskog</t>
        </is>
      </c>
      <c r="G164" t="n">
        <v>2.5</v>
      </c>
      <c r="H164" t="n">
        <v>0</v>
      </c>
      <c r="I164" t="n">
        <v>0</v>
      </c>
      <c r="J164" t="n">
        <v>0</v>
      </c>
      <c r="K164" t="n">
        <v>0</v>
      </c>
      <c r="L164" t="n">
        <v>0</v>
      </c>
      <c r="M164" t="n">
        <v>0</v>
      </c>
      <c r="N164" t="n">
        <v>0</v>
      </c>
      <c r="O164" t="n">
        <v>0</v>
      </c>
      <c r="P164" t="n">
        <v>0</v>
      </c>
      <c r="Q164" t="n">
        <v>0</v>
      </c>
      <c r="R164" s="2" t="inlineStr"/>
    </row>
    <row r="165" ht="15" customHeight="1">
      <c r="A165" t="inlineStr">
        <is>
          <t>A 12412-2022</t>
        </is>
      </c>
      <c r="B165" s="1" t="n">
        <v>44638</v>
      </c>
      <c r="C165" s="1" t="n">
        <v>45912</v>
      </c>
      <c r="D165" t="inlineStr">
        <is>
          <t>ÖSTERGÖTLANDS LÄN</t>
        </is>
      </c>
      <c r="E165" t="inlineStr">
        <is>
          <t>LINKÖPING</t>
        </is>
      </c>
      <c r="G165" t="n">
        <v>1.7</v>
      </c>
      <c r="H165" t="n">
        <v>0</v>
      </c>
      <c r="I165" t="n">
        <v>0</v>
      </c>
      <c r="J165" t="n">
        <v>0</v>
      </c>
      <c r="K165" t="n">
        <v>0</v>
      </c>
      <c r="L165" t="n">
        <v>0</v>
      </c>
      <c r="M165" t="n">
        <v>0</v>
      </c>
      <c r="N165" t="n">
        <v>0</v>
      </c>
      <c r="O165" t="n">
        <v>0</v>
      </c>
      <c r="P165" t="n">
        <v>0</v>
      </c>
      <c r="Q165" t="n">
        <v>0</v>
      </c>
      <c r="R165" s="2" t="inlineStr"/>
    </row>
    <row r="166" ht="15" customHeight="1">
      <c r="A166" t="inlineStr">
        <is>
          <t>A 36341-2022</t>
        </is>
      </c>
      <c r="B166" s="1" t="n">
        <v>44803</v>
      </c>
      <c r="C166" s="1" t="n">
        <v>45912</v>
      </c>
      <c r="D166" t="inlineStr">
        <is>
          <t>ÖSTERGÖTLANDS LÄN</t>
        </is>
      </c>
      <c r="E166" t="inlineStr">
        <is>
          <t>LINKÖPING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4240-2022</t>
        </is>
      </c>
      <c r="B167" s="1" t="n">
        <v>44588</v>
      </c>
      <c r="C167" s="1" t="n">
        <v>45912</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10951-2022</t>
        </is>
      </c>
      <c r="B168" s="1" t="n">
        <v>44627</v>
      </c>
      <c r="C168" s="1" t="n">
        <v>45912</v>
      </c>
      <c r="D168" t="inlineStr">
        <is>
          <t>ÖSTERGÖTLANDS LÄN</t>
        </is>
      </c>
      <c r="E168" t="inlineStr">
        <is>
          <t>LINKÖPING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33134-2022</t>
        </is>
      </c>
      <c r="B169" s="1" t="n">
        <v>44785</v>
      </c>
      <c r="C169" s="1" t="n">
        <v>45912</v>
      </c>
      <c r="D169" t="inlineStr">
        <is>
          <t>ÖSTERGÖTLANDS LÄN</t>
        </is>
      </c>
      <c r="E169" t="inlineStr">
        <is>
          <t>LINKÖPING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46803-2020</t>
        </is>
      </c>
      <c r="B170" s="1" t="n">
        <v>44089</v>
      </c>
      <c r="C170" s="1" t="n">
        <v>45912</v>
      </c>
      <c r="D170" t="inlineStr">
        <is>
          <t>ÖSTERGÖTLANDS LÄN</t>
        </is>
      </c>
      <c r="E170" t="inlineStr">
        <is>
          <t>LINKÖPING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46891-2021</t>
        </is>
      </c>
      <c r="B171" s="1" t="n">
        <v>44446.44587962963</v>
      </c>
      <c r="C171" s="1" t="n">
        <v>45912</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13075-2022</t>
        </is>
      </c>
      <c r="B172" s="1" t="n">
        <v>44643</v>
      </c>
      <c r="C172" s="1" t="n">
        <v>45912</v>
      </c>
      <c r="D172" t="inlineStr">
        <is>
          <t>ÖSTERGÖTLANDS LÄN</t>
        </is>
      </c>
      <c r="E172" t="inlineStr">
        <is>
          <t>LINKÖPING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51912-2020</t>
        </is>
      </c>
      <c r="B173" s="1" t="n">
        <v>44116</v>
      </c>
      <c r="C173" s="1" t="n">
        <v>45912</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27666-2022</t>
        </is>
      </c>
      <c r="B174" s="1" t="n">
        <v>44743.39017361111</v>
      </c>
      <c r="C174" s="1" t="n">
        <v>45912</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19183-2021</t>
        </is>
      </c>
      <c r="B175" s="1" t="n">
        <v>44308.73248842593</v>
      </c>
      <c r="C175" s="1" t="n">
        <v>45912</v>
      </c>
      <c r="D175" t="inlineStr">
        <is>
          <t>ÖSTERGÖTLANDS LÄN</t>
        </is>
      </c>
      <c r="E175" t="inlineStr">
        <is>
          <t>LINKÖPING</t>
        </is>
      </c>
      <c r="F175" t="inlineStr">
        <is>
          <t>Allmännings- och besparingsskogar</t>
        </is>
      </c>
      <c r="G175" t="n">
        <v>4.6</v>
      </c>
      <c r="H175" t="n">
        <v>0</v>
      </c>
      <c r="I175" t="n">
        <v>0</v>
      </c>
      <c r="J175" t="n">
        <v>0</v>
      </c>
      <c r="K175" t="n">
        <v>0</v>
      </c>
      <c r="L175" t="n">
        <v>0</v>
      </c>
      <c r="M175" t="n">
        <v>0</v>
      </c>
      <c r="N175" t="n">
        <v>0</v>
      </c>
      <c r="O175" t="n">
        <v>0</v>
      </c>
      <c r="P175" t="n">
        <v>0</v>
      </c>
      <c r="Q175" t="n">
        <v>0</v>
      </c>
      <c r="R175" s="2" t="inlineStr"/>
    </row>
    <row r="176" ht="15" customHeight="1">
      <c r="A176" t="inlineStr">
        <is>
          <t>A 59288-2020</t>
        </is>
      </c>
      <c r="B176" s="1" t="n">
        <v>44147</v>
      </c>
      <c r="C176" s="1" t="n">
        <v>45912</v>
      </c>
      <c r="D176" t="inlineStr">
        <is>
          <t>ÖSTERGÖTLANDS LÄN</t>
        </is>
      </c>
      <c r="E176" t="inlineStr">
        <is>
          <t>LINKÖPING</t>
        </is>
      </c>
      <c r="G176" t="n">
        <v>2.8</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45912</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45912</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13922-2021</t>
        </is>
      </c>
      <c r="B179" s="1" t="n">
        <v>44277.45946759259</v>
      </c>
      <c r="C179" s="1" t="n">
        <v>45912</v>
      </c>
      <c r="D179" t="inlineStr">
        <is>
          <t>ÖSTERGÖTLANDS LÄN</t>
        </is>
      </c>
      <c r="E179" t="inlineStr">
        <is>
          <t>LINKÖPING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34486-2021</t>
        </is>
      </c>
      <c r="B180" s="1" t="n">
        <v>44382.29295138889</v>
      </c>
      <c r="C180" s="1" t="n">
        <v>45912</v>
      </c>
      <c r="D180" t="inlineStr">
        <is>
          <t>ÖSTERGÖTLANDS LÄN</t>
        </is>
      </c>
      <c r="E180" t="inlineStr">
        <is>
          <t>LINKÖPING</t>
        </is>
      </c>
      <c r="G180" t="n">
        <v>4.4</v>
      </c>
      <c r="H180" t="n">
        <v>0</v>
      </c>
      <c r="I180" t="n">
        <v>0</v>
      </c>
      <c r="J180" t="n">
        <v>0</v>
      </c>
      <c r="K180" t="n">
        <v>0</v>
      </c>
      <c r="L180" t="n">
        <v>0</v>
      </c>
      <c r="M180" t="n">
        <v>0</v>
      </c>
      <c r="N180" t="n">
        <v>0</v>
      </c>
      <c r="O180" t="n">
        <v>0</v>
      </c>
      <c r="P180" t="n">
        <v>0</v>
      </c>
      <c r="Q180" t="n">
        <v>0</v>
      </c>
      <c r="R180" s="2" t="inlineStr"/>
    </row>
    <row r="181" ht="15" customHeight="1">
      <c r="A181" t="inlineStr">
        <is>
          <t>A 56688-2021</t>
        </is>
      </c>
      <c r="B181" s="1" t="n">
        <v>44481</v>
      </c>
      <c r="C181" s="1" t="n">
        <v>45912</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44879-2020</t>
        </is>
      </c>
      <c r="B182" s="1" t="n">
        <v>44087</v>
      </c>
      <c r="C182" s="1" t="n">
        <v>45912</v>
      </c>
      <c r="D182" t="inlineStr">
        <is>
          <t>ÖSTERGÖTLANDS LÄN</t>
        </is>
      </c>
      <c r="E182" t="inlineStr">
        <is>
          <t>LINKÖPING</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50035-2020</t>
        </is>
      </c>
      <c r="B183" s="1" t="n">
        <v>44109</v>
      </c>
      <c r="C183" s="1" t="n">
        <v>45912</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27769-2022</t>
        </is>
      </c>
      <c r="B184" s="1" t="n">
        <v>44743.53200231482</v>
      </c>
      <c r="C184" s="1" t="n">
        <v>45912</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1787-2022</t>
        </is>
      </c>
      <c r="B185" s="1" t="n">
        <v>44574</v>
      </c>
      <c r="C185" s="1" t="n">
        <v>45912</v>
      </c>
      <c r="D185" t="inlineStr">
        <is>
          <t>ÖSTERGÖTLANDS LÄN</t>
        </is>
      </c>
      <c r="E185" t="inlineStr">
        <is>
          <t>LINKÖPING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948-2022</t>
        </is>
      </c>
      <c r="B186" s="1" t="n">
        <v>44571</v>
      </c>
      <c r="C186" s="1" t="n">
        <v>45912</v>
      </c>
      <c r="D186" t="inlineStr">
        <is>
          <t>ÖSTERGÖTLANDS LÄN</t>
        </is>
      </c>
      <c r="E186" t="inlineStr">
        <is>
          <t>LINKÖPING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32255-2021</t>
        </is>
      </c>
      <c r="B187" s="1" t="n">
        <v>44371.45949074074</v>
      </c>
      <c r="C187" s="1" t="n">
        <v>45912</v>
      </c>
      <c r="D187" t="inlineStr">
        <is>
          <t>ÖSTERGÖTLANDS LÄN</t>
        </is>
      </c>
      <c r="E187" t="inlineStr">
        <is>
          <t>LINKÖPING</t>
        </is>
      </c>
      <c r="F187" t="inlineStr">
        <is>
          <t>Övriga Aktiebolag</t>
        </is>
      </c>
      <c r="G187" t="n">
        <v>1.1</v>
      </c>
      <c r="H187" t="n">
        <v>0</v>
      </c>
      <c r="I187" t="n">
        <v>0</v>
      </c>
      <c r="J187" t="n">
        <v>0</v>
      </c>
      <c r="K187" t="n">
        <v>0</v>
      </c>
      <c r="L187" t="n">
        <v>0</v>
      </c>
      <c r="M187" t="n">
        <v>0</v>
      </c>
      <c r="N187" t="n">
        <v>0</v>
      </c>
      <c r="O187" t="n">
        <v>0</v>
      </c>
      <c r="P187" t="n">
        <v>0</v>
      </c>
      <c r="Q187" t="n">
        <v>0</v>
      </c>
      <c r="R187" s="2" t="inlineStr"/>
    </row>
    <row r="188" ht="15" customHeight="1">
      <c r="A188" t="inlineStr">
        <is>
          <t>A 37014-2021</t>
        </is>
      </c>
      <c r="B188" s="1" t="n">
        <v>44393</v>
      </c>
      <c r="C188" s="1" t="n">
        <v>45912</v>
      </c>
      <c r="D188" t="inlineStr">
        <is>
          <t>ÖSTERGÖTLANDS LÄN</t>
        </is>
      </c>
      <c r="E188" t="inlineStr">
        <is>
          <t>LINKÖPING</t>
        </is>
      </c>
      <c r="F188" t="inlineStr">
        <is>
          <t>Allmännings- och besparingsskogar</t>
        </is>
      </c>
      <c r="G188" t="n">
        <v>7.7</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45912</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38235-2022</t>
        </is>
      </c>
      <c r="B190" s="1" t="n">
        <v>44812</v>
      </c>
      <c r="C190" s="1" t="n">
        <v>45912</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4929-2021</t>
        </is>
      </c>
      <c r="B191" s="1" t="n">
        <v>44227.57533564815</v>
      </c>
      <c r="C191" s="1" t="n">
        <v>45912</v>
      </c>
      <c r="D191" t="inlineStr">
        <is>
          <t>ÖSTERGÖTLANDS LÄN</t>
        </is>
      </c>
      <c r="E191" t="inlineStr">
        <is>
          <t>LINKÖPING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38134-2021</t>
        </is>
      </c>
      <c r="B192" s="1" t="n">
        <v>44405.3794212963</v>
      </c>
      <c r="C192" s="1" t="n">
        <v>45912</v>
      </c>
      <c r="D192" t="inlineStr">
        <is>
          <t>ÖSTERGÖTLANDS LÄN</t>
        </is>
      </c>
      <c r="E192" t="inlineStr">
        <is>
          <t>LINKÖPING</t>
        </is>
      </c>
      <c r="G192" t="n">
        <v>5.1</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45912</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45912</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33891-2021</t>
        </is>
      </c>
      <c r="B195" s="1" t="n">
        <v>44378</v>
      </c>
      <c r="C195" s="1" t="n">
        <v>45912</v>
      </c>
      <c r="D195" t="inlineStr">
        <is>
          <t>ÖSTERGÖTLANDS LÄN</t>
        </is>
      </c>
      <c r="E195" t="inlineStr">
        <is>
          <t>LINKÖPING</t>
        </is>
      </c>
      <c r="G195" t="n">
        <v>5.1</v>
      </c>
      <c r="H195" t="n">
        <v>0</v>
      </c>
      <c r="I195" t="n">
        <v>0</v>
      </c>
      <c r="J195" t="n">
        <v>0</v>
      </c>
      <c r="K195" t="n">
        <v>0</v>
      </c>
      <c r="L195" t="n">
        <v>0</v>
      </c>
      <c r="M195" t="n">
        <v>0</v>
      </c>
      <c r="N195" t="n">
        <v>0</v>
      </c>
      <c r="O195" t="n">
        <v>0</v>
      </c>
      <c r="P195" t="n">
        <v>0</v>
      </c>
      <c r="Q195" t="n">
        <v>0</v>
      </c>
      <c r="R195" s="2" t="inlineStr"/>
    </row>
    <row r="196" ht="15" customHeight="1">
      <c r="A196" t="inlineStr">
        <is>
          <t>A 19254-2021</t>
        </is>
      </c>
      <c r="B196" s="1" t="n">
        <v>44309.38962962963</v>
      </c>
      <c r="C196" s="1" t="n">
        <v>45912</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44849-2022</t>
        </is>
      </c>
      <c r="B197" s="1" t="n">
        <v>44841</v>
      </c>
      <c r="C197" s="1" t="n">
        <v>45912</v>
      </c>
      <c r="D197" t="inlineStr">
        <is>
          <t>ÖSTERGÖTLANDS LÄN</t>
        </is>
      </c>
      <c r="E197" t="inlineStr">
        <is>
          <t>LINKÖPING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70835-2021</t>
        </is>
      </c>
      <c r="B198" s="1" t="n">
        <v>44537</v>
      </c>
      <c r="C198" s="1" t="n">
        <v>45912</v>
      </c>
      <c r="D198" t="inlineStr">
        <is>
          <t>ÖSTERGÖTLANDS LÄN</t>
        </is>
      </c>
      <c r="E198" t="inlineStr">
        <is>
          <t>LINKÖPING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61302-2021</t>
        </is>
      </c>
      <c r="B199" s="1" t="n">
        <v>44498.63189814815</v>
      </c>
      <c r="C199" s="1" t="n">
        <v>45912</v>
      </c>
      <c r="D199" t="inlineStr">
        <is>
          <t>ÖSTERGÖTLANDS LÄN</t>
        </is>
      </c>
      <c r="E199" t="inlineStr">
        <is>
          <t>LINKÖPING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60129-2020</t>
        </is>
      </c>
      <c r="B200" s="1" t="n">
        <v>44152</v>
      </c>
      <c r="C200" s="1" t="n">
        <v>45912</v>
      </c>
      <c r="D200" t="inlineStr">
        <is>
          <t>ÖSTERGÖTLANDS LÄN</t>
        </is>
      </c>
      <c r="E200" t="inlineStr">
        <is>
          <t>LINKÖPING</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50401-2020</t>
        </is>
      </c>
      <c r="B201" s="1" t="n">
        <v>44110</v>
      </c>
      <c r="C201" s="1" t="n">
        <v>45912</v>
      </c>
      <c r="D201" t="inlineStr">
        <is>
          <t>ÖSTERGÖTLANDS LÄN</t>
        </is>
      </c>
      <c r="E201" t="inlineStr">
        <is>
          <t>LINKÖPING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37934-2022</t>
        </is>
      </c>
      <c r="B202" s="1" t="n">
        <v>44809</v>
      </c>
      <c r="C202" s="1" t="n">
        <v>45912</v>
      </c>
      <c r="D202" t="inlineStr">
        <is>
          <t>ÖSTERGÖTLANDS LÄN</t>
        </is>
      </c>
      <c r="E202" t="inlineStr">
        <is>
          <t>LINKÖPING</t>
        </is>
      </c>
      <c r="G202" t="n">
        <v>1.6</v>
      </c>
      <c r="H202" t="n">
        <v>0</v>
      </c>
      <c r="I202" t="n">
        <v>0</v>
      </c>
      <c r="J202" t="n">
        <v>0</v>
      </c>
      <c r="K202" t="n">
        <v>0</v>
      </c>
      <c r="L202" t="n">
        <v>0</v>
      </c>
      <c r="M202" t="n">
        <v>0</v>
      </c>
      <c r="N202" t="n">
        <v>0</v>
      </c>
      <c r="O202" t="n">
        <v>0</v>
      </c>
      <c r="P202" t="n">
        <v>0</v>
      </c>
      <c r="Q202" t="n">
        <v>0</v>
      </c>
      <c r="R202" s="2" t="inlineStr"/>
    </row>
    <row r="203" ht="15" customHeight="1">
      <c r="A203" t="inlineStr">
        <is>
          <t>A 57745-2022</t>
        </is>
      </c>
      <c r="B203" s="1" t="n">
        <v>44897.58119212963</v>
      </c>
      <c r="C203" s="1" t="n">
        <v>45912</v>
      </c>
      <c r="D203" t="inlineStr">
        <is>
          <t>ÖSTERGÖTLANDS LÄN</t>
        </is>
      </c>
      <c r="E203" t="inlineStr">
        <is>
          <t>LINKÖPING</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34889-2023</t>
        </is>
      </c>
      <c r="B204" s="1" t="n">
        <v>45140</v>
      </c>
      <c r="C204" s="1" t="n">
        <v>45912</v>
      </c>
      <c r="D204" t="inlineStr">
        <is>
          <t>ÖSTERGÖTLANDS LÄN</t>
        </is>
      </c>
      <c r="E204" t="inlineStr">
        <is>
          <t>LINKÖPING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61281-2021</t>
        </is>
      </c>
      <c r="B205" s="1" t="n">
        <v>44498.60736111111</v>
      </c>
      <c r="C205" s="1" t="n">
        <v>45912</v>
      </c>
      <c r="D205" t="inlineStr">
        <is>
          <t>ÖSTERGÖTLANDS LÄN</t>
        </is>
      </c>
      <c r="E205" t="inlineStr">
        <is>
          <t>LINKÖPING</t>
        </is>
      </c>
      <c r="G205" t="n">
        <v>4.5</v>
      </c>
      <c r="H205" t="n">
        <v>0</v>
      </c>
      <c r="I205" t="n">
        <v>0</v>
      </c>
      <c r="J205" t="n">
        <v>0</v>
      </c>
      <c r="K205" t="n">
        <v>0</v>
      </c>
      <c r="L205" t="n">
        <v>0</v>
      </c>
      <c r="M205" t="n">
        <v>0</v>
      </c>
      <c r="N205" t="n">
        <v>0</v>
      </c>
      <c r="O205" t="n">
        <v>0</v>
      </c>
      <c r="P205" t="n">
        <v>0</v>
      </c>
      <c r="Q205" t="n">
        <v>0</v>
      </c>
      <c r="R205" s="2" t="inlineStr"/>
    </row>
    <row r="206" ht="15" customHeight="1">
      <c r="A206" t="inlineStr">
        <is>
          <t>A 3008-2023</t>
        </is>
      </c>
      <c r="B206" s="1" t="n">
        <v>44945.79784722222</v>
      </c>
      <c r="C206" s="1" t="n">
        <v>45912</v>
      </c>
      <c r="D206" t="inlineStr">
        <is>
          <t>ÖSTERGÖTLANDS LÄN</t>
        </is>
      </c>
      <c r="E206" t="inlineStr">
        <is>
          <t>LINKÖPING</t>
        </is>
      </c>
      <c r="G206" t="n">
        <v>19.3</v>
      </c>
      <c r="H206" t="n">
        <v>0</v>
      </c>
      <c r="I206" t="n">
        <v>0</v>
      </c>
      <c r="J206" t="n">
        <v>0</v>
      </c>
      <c r="K206" t="n">
        <v>0</v>
      </c>
      <c r="L206" t="n">
        <v>0</v>
      </c>
      <c r="M206" t="n">
        <v>0</v>
      </c>
      <c r="N206" t="n">
        <v>0</v>
      </c>
      <c r="O206" t="n">
        <v>0</v>
      </c>
      <c r="P206" t="n">
        <v>0</v>
      </c>
      <c r="Q206" t="n">
        <v>0</v>
      </c>
      <c r="R206" s="2" t="inlineStr"/>
    </row>
    <row r="207" ht="15" customHeight="1">
      <c r="A207" t="inlineStr">
        <is>
          <t>A 12035-2025</t>
        </is>
      </c>
      <c r="B207" s="1" t="n">
        <v>45728.64946759259</v>
      </c>
      <c r="C207" s="1" t="n">
        <v>45912</v>
      </c>
      <c r="D207" t="inlineStr">
        <is>
          <t>ÖSTERGÖTLANDS LÄN</t>
        </is>
      </c>
      <c r="E207" t="inlineStr">
        <is>
          <t>LINKÖPING</t>
        </is>
      </c>
      <c r="G207" t="n">
        <v>3.7</v>
      </c>
      <c r="H207" t="n">
        <v>0</v>
      </c>
      <c r="I207" t="n">
        <v>0</v>
      </c>
      <c r="J207" t="n">
        <v>0</v>
      </c>
      <c r="K207" t="n">
        <v>0</v>
      </c>
      <c r="L207" t="n">
        <v>0</v>
      </c>
      <c r="M207" t="n">
        <v>0</v>
      </c>
      <c r="N207" t="n">
        <v>0</v>
      </c>
      <c r="O207" t="n">
        <v>0</v>
      </c>
      <c r="P207" t="n">
        <v>0</v>
      </c>
      <c r="Q207" t="n">
        <v>0</v>
      </c>
      <c r="R207" s="2" t="inlineStr"/>
    </row>
    <row r="208" ht="15" customHeight="1">
      <c r="A208" t="inlineStr">
        <is>
          <t>A 1993-2023</t>
        </is>
      </c>
      <c r="B208" s="1" t="n">
        <v>44939</v>
      </c>
      <c r="C208" s="1" t="n">
        <v>45912</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54854-2022</t>
        </is>
      </c>
      <c r="B209" s="1" t="n">
        <v>44884</v>
      </c>
      <c r="C209" s="1" t="n">
        <v>45912</v>
      </c>
      <c r="D209" t="inlineStr">
        <is>
          <t>ÖSTERGÖTLANDS LÄN</t>
        </is>
      </c>
      <c r="E209" t="inlineStr">
        <is>
          <t>LINKÖPING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54855-2022</t>
        </is>
      </c>
      <c r="B210" s="1" t="n">
        <v>44884.59502314815</v>
      </c>
      <c r="C210" s="1" t="n">
        <v>45912</v>
      </c>
      <c r="D210" t="inlineStr">
        <is>
          <t>ÖSTERGÖTLANDS LÄN</t>
        </is>
      </c>
      <c r="E210" t="inlineStr">
        <is>
          <t>LINKÖPING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34558-2022</t>
        </is>
      </c>
      <c r="B211" s="1" t="n">
        <v>44794.57594907407</v>
      </c>
      <c r="C211" s="1" t="n">
        <v>45912</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63489-2023</t>
        </is>
      </c>
      <c r="B212" s="1" t="n">
        <v>45274.66761574074</v>
      </c>
      <c r="C212" s="1" t="n">
        <v>45912</v>
      </c>
      <c r="D212" t="inlineStr">
        <is>
          <t>ÖSTERGÖTLANDS LÄN</t>
        </is>
      </c>
      <c r="E212" t="inlineStr">
        <is>
          <t>LINKÖPING</t>
        </is>
      </c>
      <c r="G212" t="n">
        <v>2.3</v>
      </c>
      <c r="H212" t="n">
        <v>0</v>
      </c>
      <c r="I212" t="n">
        <v>0</v>
      </c>
      <c r="J212" t="n">
        <v>0</v>
      </c>
      <c r="K212" t="n">
        <v>0</v>
      </c>
      <c r="L212" t="n">
        <v>0</v>
      </c>
      <c r="M212" t="n">
        <v>0</v>
      </c>
      <c r="N212" t="n">
        <v>0</v>
      </c>
      <c r="O212" t="n">
        <v>0</v>
      </c>
      <c r="P212" t="n">
        <v>0</v>
      </c>
      <c r="Q212" t="n">
        <v>0</v>
      </c>
      <c r="R212" s="2" t="inlineStr"/>
    </row>
    <row r="213" ht="15" customHeight="1">
      <c r="A213" t="inlineStr">
        <is>
          <t>A 28266-2024</t>
        </is>
      </c>
      <c r="B213" s="1" t="n">
        <v>45477.43600694444</v>
      </c>
      <c r="C213" s="1" t="n">
        <v>45912</v>
      </c>
      <c r="D213" t="inlineStr">
        <is>
          <t>ÖSTERGÖTLANDS LÄN</t>
        </is>
      </c>
      <c r="E213" t="inlineStr">
        <is>
          <t>LINKÖPING</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6206-2024</t>
        </is>
      </c>
      <c r="B214" s="1" t="n">
        <v>45337.5977662037</v>
      </c>
      <c r="C214" s="1" t="n">
        <v>45912</v>
      </c>
      <c r="D214" t="inlineStr">
        <is>
          <t>ÖSTERGÖTLANDS LÄN</t>
        </is>
      </c>
      <c r="E214" t="inlineStr">
        <is>
          <t>LINKÖPING</t>
        </is>
      </c>
      <c r="G214" t="n">
        <v>2</v>
      </c>
      <c r="H214" t="n">
        <v>0</v>
      </c>
      <c r="I214" t="n">
        <v>0</v>
      </c>
      <c r="J214" t="n">
        <v>0</v>
      </c>
      <c r="K214" t="n">
        <v>0</v>
      </c>
      <c r="L214" t="n">
        <v>0</v>
      </c>
      <c r="M214" t="n">
        <v>0</v>
      </c>
      <c r="N214" t="n">
        <v>0</v>
      </c>
      <c r="O214" t="n">
        <v>0</v>
      </c>
      <c r="P214" t="n">
        <v>0</v>
      </c>
      <c r="Q214" t="n">
        <v>0</v>
      </c>
      <c r="R214" s="2" t="inlineStr"/>
    </row>
    <row r="215" ht="15" customHeight="1">
      <c r="A215" t="inlineStr">
        <is>
          <t>A 168-2024</t>
        </is>
      </c>
      <c r="B215" s="1" t="n">
        <v>45294</v>
      </c>
      <c r="C215" s="1" t="n">
        <v>45912</v>
      </c>
      <c r="D215" t="inlineStr">
        <is>
          <t>ÖSTERGÖTLANDS LÄN</t>
        </is>
      </c>
      <c r="E215" t="inlineStr">
        <is>
          <t>LINKÖPING</t>
        </is>
      </c>
      <c r="F215" t="inlineStr">
        <is>
          <t>Allmännings- och besparingsskogar</t>
        </is>
      </c>
      <c r="G215" t="n">
        <v>8.9</v>
      </c>
      <c r="H215" t="n">
        <v>0</v>
      </c>
      <c r="I215" t="n">
        <v>0</v>
      </c>
      <c r="J215" t="n">
        <v>0</v>
      </c>
      <c r="K215" t="n">
        <v>0</v>
      </c>
      <c r="L215" t="n">
        <v>0</v>
      </c>
      <c r="M215" t="n">
        <v>0</v>
      </c>
      <c r="N215" t="n">
        <v>0</v>
      </c>
      <c r="O215" t="n">
        <v>0</v>
      </c>
      <c r="P215" t="n">
        <v>0</v>
      </c>
      <c r="Q215" t="n">
        <v>0</v>
      </c>
      <c r="R215" s="2" t="inlineStr"/>
    </row>
    <row r="216" ht="15" customHeight="1">
      <c r="A216" t="inlineStr">
        <is>
          <t>A 25418-2023</t>
        </is>
      </c>
      <c r="B216" s="1" t="n">
        <v>45089</v>
      </c>
      <c r="C216" s="1" t="n">
        <v>45912</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63678-2023</t>
        </is>
      </c>
      <c r="B217" s="1" t="n">
        <v>45275.64769675926</v>
      </c>
      <c r="C217" s="1" t="n">
        <v>45912</v>
      </c>
      <c r="D217" t="inlineStr">
        <is>
          <t>ÖSTERGÖTLANDS LÄN</t>
        </is>
      </c>
      <c r="E217" t="inlineStr">
        <is>
          <t>LINKÖPING</t>
        </is>
      </c>
      <c r="F217" t="inlineStr">
        <is>
          <t>Övriga Aktiebolag</t>
        </is>
      </c>
      <c r="G217" t="n">
        <v>0.4</v>
      </c>
      <c r="H217" t="n">
        <v>0</v>
      </c>
      <c r="I217" t="n">
        <v>0</v>
      </c>
      <c r="J217" t="n">
        <v>0</v>
      </c>
      <c r="K217" t="n">
        <v>0</v>
      </c>
      <c r="L217" t="n">
        <v>0</v>
      </c>
      <c r="M217" t="n">
        <v>0</v>
      </c>
      <c r="N217" t="n">
        <v>0</v>
      </c>
      <c r="O217" t="n">
        <v>0</v>
      </c>
      <c r="P217" t="n">
        <v>0</v>
      </c>
      <c r="Q217" t="n">
        <v>0</v>
      </c>
      <c r="R217" s="2" t="inlineStr"/>
    </row>
    <row r="218" ht="15" customHeight="1">
      <c r="A218" t="inlineStr">
        <is>
          <t>A 22772-2024</t>
        </is>
      </c>
      <c r="B218" s="1" t="n">
        <v>45448.46712962963</v>
      </c>
      <c r="C218" s="1" t="n">
        <v>45912</v>
      </c>
      <c r="D218" t="inlineStr">
        <is>
          <t>ÖSTERGÖTLANDS LÄN</t>
        </is>
      </c>
      <c r="E218" t="inlineStr">
        <is>
          <t>LINKÖPING</t>
        </is>
      </c>
      <c r="F218" t="inlineStr">
        <is>
          <t>Sveaskog</t>
        </is>
      </c>
      <c r="G218" t="n">
        <v>3</v>
      </c>
      <c r="H218" t="n">
        <v>0</v>
      </c>
      <c r="I218" t="n">
        <v>0</v>
      </c>
      <c r="J218" t="n">
        <v>0</v>
      </c>
      <c r="K218" t="n">
        <v>0</v>
      </c>
      <c r="L218" t="n">
        <v>0</v>
      </c>
      <c r="M218" t="n">
        <v>0</v>
      </c>
      <c r="N218" t="n">
        <v>0</v>
      </c>
      <c r="O218" t="n">
        <v>0</v>
      </c>
      <c r="P218" t="n">
        <v>0</v>
      </c>
      <c r="Q218" t="n">
        <v>0</v>
      </c>
      <c r="R218" s="2" t="inlineStr"/>
    </row>
    <row r="219" ht="15" customHeight="1">
      <c r="A219" t="inlineStr">
        <is>
          <t>A 51919-2024</t>
        </is>
      </c>
      <c r="B219" s="1" t="n">
        <v>45607.60791666667</v>
      </c>
      <c r="C219" s="1" t="n">
        <v>45912</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56623-2024</t>
        </is>
      </c>
      <c r="B220" s="1" t="n">
        <v>45625</v>
      </c>
      <c r="C220" s="1" t="n">
        <v>45912</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45912</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11330-2023</t>
        </is>
      </c>
      <c r="B222" s="1" t="n">
        <v>44993.24648148148</v>
      </c>
      <c r="C222" s="1" t="n">
        <v>45912</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63304-2021</t>
        </is>
      </c>
      <c r="B223" s="1" t="n">
        <v>44508.4396412037</v>
      </c>
      <c r="C223" s="1" t="n">
        <v>45912</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52220-2023</t>
        </is>
      </c>
      <c r="B224" s="1" t="n">
        <v>45217</v>
      </c>
      <c r="C224" s="1" t="n">
        <v>45912</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52225-2023</t>
        </is>
      </c>
      <c r="B225" s="1" t="n">
        <v>45217</v>
      </c>
      <c r="C225" s="1" t="n">
        <v>45912</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20455-2024</t>
        </is>
      </c>
      <c r="B226" s="1" t="n">
        <v>45435.65314814815</v>
      </c>
      <c r="C226" s="1" t="n">
        <v>45912</v>
      </c>
      <c r="D226" t="inlineStr">
        <is>
          <t>ÖSTERGÖTLANDS LÄN</t>
        </is>
      </c>
      <c r="E226" t="inlineStr">
        <is>
          <t>LINKÖPING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14528-2025</t>
        </is>
      </c>
      <c r="B227" s="1" t="n">
        <v>45741</v>
      </c>
      <c r="C227" s="1" t="n">
        <v>45912</v>
      </c>
      <c r="D227" t="inlineStr">
        <is>
          <t>ÖSTERGÖTLANDS LÄN</t>
        </is>
      </c>
      <c r="E227" t="inlineStr">
        <is>
          <t>LINKÖPING</t>
        </is>
      </c>
      <c r="G227" t="n">
        <v>1.5</v>
      </c>
      <c r="H227" t="n">
        <v>0</v>
      </c>
      <c r="I227" t="n">
        <v>0</v>
      </c>
      <c r="J227" t="n">
        <v>0</v>
      </c>
      <c r="K227" t="n">
        <v>0</v>
      </c>
      <c r="L227" t="n">
        <v>0</v>
      </c>
      <c r="M227" t="n">
        <v>0</v>
      </c>
      <c r="N227" t="n">
        <v>0</v>
      </c>
      <c r="O227" t="n">
        <v>0</v>
      </c>
      <c r="P227" t="n">
        <v>0</v>
      </c>
      <c r="Q227" t="n">
        <v>0</v>
      </c>
      <c r="R227" s="2" t="inlineStr"/>
    </row>
    <row r="228" ht="15" customHeight="1">
      <c r="A228" t="inlineStr">
        <is>
          <t>A 224-2024</t>
        </is>
      </c>
      <c r="B228" s="1" t="n">
        <v>45294</v>
      </c>
      <c r="C228" s="1" t="n">
        <v>45912</v>
      </c>
      <c r="D228" t="inlineStr">
        <is>
          <t>ÖSTERGÖTLANDS LÄN</t>
        </is>
      </c>
      <c r="E228" t="inlineStr">
        <is>
          <t>LINKÖPING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42832-2023</t>
        </is>
      </c>
      <c r="B229" s="1" t="n">
        <v>45182.38091435185</v>
      </c>
      <c r="C229" s="1" t="n">
        <v>45912</v>
      </c>
      <c r="D229" t="inlineStr">
        <is>
          <t>ÖSTERGÖTLANDS LÄN</t>
        </is>
      </c>
      <c r="E229" t="inlineStr">
        <is>
          <t>LINKÖPING</t>
        </is>
      </c>
      <c r="G229" t="n">
        <v>2.5</v>
      </c>
      <c r="H229" t="n">
        <v>0</v>
      </c>
      <c r="I229" t="n">
        <v>0</v>
      </c>
      <c r="J229" t="n">
        <v>0</v>
      </c>
      <c r="K229" t="n">
        <v>0</v>
      </c>
      <c r="L229" t="n">
        <v>0</v>
      </c>
      <c r="M229" t="n">
        <v>0</v>
      </c>
      <c r="N229" t="n">
        <v>0</v>
      </c>
      <c r="O229" t="n">
        <v>0</v>
      </c>
      <c r="P229" t="n">
        <v>0</v>
      </c>
      <c r="Q229" t="n">
        <v>0</v>
      </c>
      <c r="R229" s="2" t="inlineStr"/>
    </row>
    <row r="230" ht="15" customHeight="1">
      <c r="A230" t="inlineStr">
        <is>
          <t>A 56560-2023</t>
        </is>
      </c>
      <c r="B230" s="1" t="n">
        <v>45238</v>
      </c>
      <c r="C230" s="1" t="n">
        <v>45912</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52412-2023</t>
        </is>
      </c>
      <c r="B231" s="1" t="n">
        <v>45225.27888888889</v>
      </c>
      <c r="C231" s="1" t="n">
        <v>45912</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52413-2023</t>
        </is>
      </c>
      <c r="B232" s="1" t="n">
        <v>45225.27950231481</v>
      </c>
      <c r="C232" s="1" t="n">
        <v>45912</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54845-2023</t>
        </is>
      </c>
      <c r="B233" s="1" t="n">
        <v>45236</v>
      </c>
      <c r="C233" s="1" t="n">
        <v>45912</v>
      </c>
      <c r="D233" t="inlineStr">
        <is>
          <t>ÖSTERGÖTLANDS LÄN</t>
        </is>
      </c>
      <c r="E233" t="inlineStr">
        <is>
          <t>LINKÖPING</t>
        </is>
      </c>
      <c r="F233" t="inlineStr">
        <is>
          <t>Övriga Aktiebolag</t>
        </is>
      </c>
      <c r="G233" t="n">
        <v>5.7</v>
      </c>
      <c r="H233" t="n">
        <v>0</v>
      </c>
      <c r="I233" t="n">
        <v>0</v>
      </c>
      <c r="J233" t="n">
        <v>0</v>
      </c>
      <c r="K233" t="n">
        <v>0</v>
      </c>
      <c r="L233" t="n">
        <v>0</v>
      </c>
      <c r="M233" t="n">
        <v>0</v>
      </c>
      <c r="N233" t="n">
        <v>0</v>
      </c>
      <c r="O233" t="n">
        <v>0</v>
      </c>
      <c r="P233" t="n">
        <v>0</v>
      </c>
      <c r="Q233" t="n">
        <v>0</v>
      </c>
      <c r="R233" s="2" t="inlineStr"/>
    </row>
    <row r="234" ht="15" customHeight="1">
      <c r="A234" t="inlineStr">
        <is>
          <t>A 7354-2025</t>
        </is>
      </c>
      <c r="B234" s="1" t="n">
        <v>45704.41174768518</v>
      </c>
      <c r="C234" s="1" t="n">
        <v>45912</v>
      </c>
      <c r="D234" t="inlineStr">
        <is>
          <t>ÖSTERGÖTLANDS LÄN</t>
        </is>
      </c>
      <c r="E234" t="inlineStr">
        <is>
          <t>LINKÖPING</t>
        </is>
      </c>
      <c r="G234" t="n">
        <v>4.8</v>
      </c>
      <c r="H234" t="n">
        <v>0</v>
      </c>
      <c r="I234" t="n">
        <v>0</v>
      </c>
      <c r="J234" t="n">
        <v>0</v>
      </c>
      <c r="K234" t="n">
        <v>0</v>
      </c>
      <c r="L234" t="n">
        <v>0</v>
      </c>
      <c r="M234" t="n">
        <v>0</v>
      </c>
      <c r="N234" t="n">
        <v>0</v>
      </c>
      <c r="O234" t="n">
        <v>0</v>
      </c>
      <c r="P234" t="n">
        <v>0</v>
      </c>
      <c r="Q234" t="n">
        <v>0</v>
      </c>
      <c r="R234" s="2" t="inlineStr"/>
    </row>
    <row r="235" ht="15" customHeight="1">
      <c r="A235" t="inlineStr">
        <is>
          <t>A 62488-2023</t>
        </is>
      </c>
      <c r="B235" s="1" t="n">
        <v>45268.5847337963</v>
      </c>
      <c r="C235" s="1" t="n">
        <v>45912</v>
      </c>
      <c r="D235" t="inlineStr">
        <is>
          <t>ÖSTERGÖTLANDS LÄN</t>
        </is>
      </c>
      <c r="E235" t="inlineStr">
        <is>
          <t>LINKÖPING</t>
        </is>
      </c>
      <c r="G235" t="n">
        <v>4.1</v>
      </c>
      <c r="H235" t="n">
        <v>0</v>
      </c>
      <c r="I235" t="n">
        <v>0</v>
      </c>
      <c r="J235" t="n">
        <v>0</v>
      </c>
      <c r="K235" t="n">
        <v>0</v>
      </c>
      <c r="L235" t="n">
        <v>0</v>
      </c>
      <c r="M235" t="n">
        <v>0</v>
      </c>
      <c r="N235" t="n">
        <v>0</v>
      </c>
      <c r="O235" t="n">
        <v>0</v>
      </c>
      <c r="P235" t="n">
        <v>0</v>
      </c>
      <c r="Q235" t="n">
        <v>0</v>
      </c>
      <c r="R235" s="2" t="inlineStr"/>
    </row>
    <row r="236" ht="15" customHeight="1">
      <c r="A236" t="inlineStr">
        <is>
          <t>A 1844-2025</t>
        </is>
      </c>
      <c r="B236" s="1" t="n">
        <v>45671.57730324074</v>
      </c>
      <c r="C236" s="1" t="n">
        <v>45912</v>
      </c>
      <c r="D236" t="inlineStr">
        <is>
          <t>ÖSTERGÖTLANDS LÄN</t>
        </is>
      </c>
      <c r="E236" t="inlineStr">
        <is>
          <t>LINKÖPING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24351-2024</t>
        </is>
      </c>
      <c r="B237" s="1" t="n">
        <v>45457.59011574074</v>
      </c>
      <c r="C237" s="1" t="n">
        <v>45912</v>
      </c>
      <c r="D237" t="inlineStr">
        <is>
          <t>ÖSTERGÖTLANDS LÄN</t>
        </is>
      </c>
      <c r="E237" t="inlineStr">
        <is>
          <t>LINKÖPING</t>
        </is>
      </c>
      <c r="G237" t="n">
        <v>11.9</v>
      </c>
      <c r="H237" t="n">
        <v>0</v>
      </c>
      <c r="I237" t="n">
        <v>0</v>
      </c>
      <c r="J237" t="n">
        <v>0</v>
      </c>
      <c r="K237" t="n">
        <v>0</v>
      </c>
      <c r="L237" t="n">
        <v>0</v>
      </c>
      <c r="M237" t="n">
        <v>0</v>
      </c>
      <c r="N237" t="n">
        <v>0</v>
      </c>
      <c r="O237" t="n">
        <v>0</v>
      </c>
      <c r="P237" t="n">
        <v>0</v>
      </c>
      <c r="Q237" t="n">
        <v>0</v>
      </c>
      <c r="R237" s="2" t="inlineStr"/>
    </row>
    <row r="238" ht="15" customHeight="1">
      <c r="A238" t="inlineStr">
        <is>
          <t>A 3530-2024</t>
        </is>
      </c>
      <c r="B238" s="1" t="n">
        <v>45320.54717592592</v>
      </c>
      <c r="C238" s="1" t="n">
        <v>45912</v>
      </c>
      <c r="D238" t="inlineStr">
        <is>
          <t>ÖSTERGÖTLANDS LÄN</t>
        </is>
      </c>
      <c r="E238" t="inlineStr">
        <is>
          <t>LINKÖPING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62073-2023</t>
        </is>
      </c>
      <c r="B239" s="1" t="n">
        <v>45266.73844907407</v>
      </c>
      <c r="C239" s="1" t="n">
        <v>45912</v>
      </c>
      <c r="D239" t="inlineStr">
        <is>
          <t>ÖSTERGÖTLANDS LÄN</t>
        </is>
      </c>
      <c r="E239" t="inlineStr">
        <is>
          <t>LINKÖPING</t>
        </is>
      </c>
      <c r="F239" t="inlineStr">
        <is>
          <t>Allmännings- och besparingsskogar</t>
        </is>
      </c>
      <c r="G239" t="n">
        <v>1.8</v>
      </c>
      <c r="H239" t="n">
        <v>0</v>
      </c>
      <c r="I239" t="n">
        <v>0</v>
      </c>
      <c r="J239" t="n">
        <v>0</v>
      </c>
      <c r="K239" t="n">
        <v>0</v>
      </c>
      <c r="L239" t="n">
        <v>0</v>
      </c>
      <c r="M239" t="n">
        <v>0</v>
      </c>
      <c r="N239" t="n">
        <v>0</v>
      </c>
      <c r="O239" t="n">
        <v>0</v>
      </c>
      <c r="P239" t="n">
        <v>0</v>
      </c>
      <c r="Q239" t="n">
        <v>0</v>
      </c>
      <c r="R239" s="2" t="inlineStr"/>
    </row>
    <row r="240" ht="15" customHeight="1">
      <c r="A240" t="inlineStr">
        <is>
          <t>A 5872-2025</t>
        </is>
      </c>
      <c r="B240" s="1" t="n">
        <v>45695.36659722222</v>
      </c>
      <c r="C240" s="1" t="n">
        <v>45912</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53814-2023</t>
        </is>
      </c>
      <c r="B241" s="1" t="n">
        <v>45231</v>
      </c>
      <c r="C241" s="1" t="n">
        <v>45912</v>
      </c>
      <c r="D241" t="inlineStr">
        <is>
          <t>ÖSTERGÖTLANDS LÄN</t>
        </is>
      </c>
      <c r="E241" t="inlineStr">
        <is>
          <t>LINKÖPING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3432-2023</t>
        </is>
      </c>
      <c r="B242" s="1" t="n">
        <v>44949</v>
      </c>
      <c r="C242" s="1" t="n">
        <v>45912</v>
      </c>
      <c r="D242" t="inlineStr">
        <is>
          <t>ÖSTERGÖTLANDS LÄN</t>
        </is>
      </c>
      <c r="E242" t="inlineStr">
        <is>
          <t>LINKÖPING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54425-2022</t>
        </is>
      </c>
      <c r="B243" s="1" t="n">
        <v>44882.57453703704</v>
      </c>
      <c r="C243" s="1" t="n">
        <v>45912</v>
      </c>
      <c r="D243" t="inlineStr">
        <is>
          <t>ÖSTERGÖTLANDS LÄN</t>
        </is>
      </c>
      <c r="E243" t="inlineStr">
        <is>
          <t>LINKÖPING</t>
        </is>
      </c>
      <c r="G243" t="n">
        <v>1.5</v>
      </c>
      <c r="H243" t="n">
        <v>0</v>
      </c>
      <c r="I243" t="n">
        <v>0</v>
      </c>
      <c r="J243" t="n">
        <v>0</v>
      </c>
      <c r="K243" t="n">
        <v>0</v>
      </c>
      <c r="L243" t="n">
        <v>0</v>
      </c>
      <c r="M243" t="n">
        <v>0</v>
      </c>
      <c r="N243" t="n">
        <v>0</v>
      </c>
      <c r="O243" t="n">
        <v>0</v>
      </c>
      <c r="P243" t="n">
        <v>0</v>
      </c>
      <c r="Q243" t="n">
        <v>0</v>
      </c>
      <c r="R243" s="2" t="inlineStr"/>
    </row>
    <row r="244" ht="15" customHeight="1">
      <c r="A244" t="inlineStr">
        <is>
          <t>A 54428-2022</t>
        </is>
      </c>
      <c r="B244" s="1" t="n">
        <v>44882.57643518518</v>
      </c>
      <c r="C244" s="1" t="n">
        <v>45912</v>
      </c>
      <c r="D244" t="inlineStr">
        <is>
          <t>ÖSTERGÖTLANDS LÄN</t>
        </is>
      </c>
      <c r="E244" t="inlineStr">
        <is>
          <t>LINKÖPING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52796-2023</t>
        </is>
      </c>
      <c r="B245" s="1" t="n">
        <v>45219</v>
      </c>
      <c r="C245" s="1" t="n">
        <v>45912</v>
      </c>
      <c r="D245" t="inlineStr">
        <is>
          <t>ÖSTERGÖTLANDS LÄN</t>
        </is>
      </c>
      <c r="E245" t="inlineStr">
        <is>
          <t>LINKÖPING</t>
        </is>
      </c>
      <c r="F245" t="inlineStr">
        <is>
          <t>Övriga statliga verk och myndigheter</t>
        </is>
      </c>
      <c r="G245" t="n">
        <v>3.9</v>
      </c>
      <c r="H245" t="n">
        <v>0</v>
      </c>
      <c r="I245" t="n">
        <v>0</v>
      </c>
      <c r="J245" t="n">
        <v>0</v>
      </c>
      <c r="K245" t="n">
        <v>0</v>
      </c>
      <c r="L245" t="n">
        <v>0</v>
      </c>
      <c r="M245" t="n">
        <v>0</v>
      </c>
      <c r="N245" t="n">
        <v>0</v>
      </c>
      <c r="O245" t="n">
        <v>0</v>
      </c>
      <c r="P245" t="n">
        <v>0</v>
      </c>
      <c r="Q245" t="n">
        <v>0</v>
      </c>
      <c r="R245" s="2" t="inlineStr"/>
    </row>
    <row r="246" ht="15" customHeight="1">
      <c r="A246" t="inlineStr">
        <is>
          <t>A 21165-2025</t>
        </is>
      </c>
      <c r="B246" s="1" t="n">
        <v>45779.39417824074</v>
      </c>
      <c r="C246" s="1" t="n">
        <v>45912</v>
      </c>
      <c r="D246" t="inlineStr">
        <is>
          <t>ÖSTERGÖTLANDS LÄN</t>
        </is>
      </c>
      <c r="E246" t="inlineStr">
        <is>
          <t>LINKÖPING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21155-2025</t>
        </is>
      </c>
      <c r="B247" s="1" t="n">
        <v>45779.37586805555</v>
      </c>
      <c r="C247" s="1" t="n">
        <v>45912</v>
      </c>
      <c r="D247" t="inlineStr">
        <is>
          <t>ÖSTERGÖTLANDS LÄN</t>
        </is>
      </c>
      <c r="E247" t="inlineStr">
        <is>
          <t>LINKÖPING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30855-2022</t>
        </is>
      </c>
      <c r="B248" s="1" t="n">
        <v>44767</v>
      </c>
      <c r="C248" s="1" t="n">
        <v>45912</v>
      </c>
      <c r="D248" t="inlineStr">
        <is>
          <t>ÖSTERGÖTLANDS LÄN</t>
        </is>
      </c>
      <c r="E248" t="inlineStr">
        <is>
          <t>LINKÖPING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34877-2023</t>
        </is>
      </c>
      <c r="B249" s="1" t="n">
        <v>45140</v>
      </c>
      <c r="C249" s="1" t="n">
        <v>45912</v>
      </c>
      <c r="D249" t="inlineStr">
        <is>
          <t>ÖSTERGÖTLANDS LÄN</t>
        </is>
      </c>
      <c r="E249" t="inlineStr">
        <is>
          <t>LINKÖPING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30856-2022</t>
        </is>
      </c>
      <c r="B250" s="1" t="n">
        <v>44767</v>
      </c>
      <c r="C250" s="1" t="n">
        <v>45912</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660-2023</t>
        </is>
      </c>
      <c r="B251" s="1" t="n">
        <v>44930</v>
      </c>
      <c r="C251" s="1" t="n">
        <v>45912</v>
      </c>
      <c r="D251" t="inlineStr">
        <is>
          <t>ÖSTERGÖTLANDS LÄN</t>
        </is>
      </c>
      <c r="E251" t="inlineStr">
        <is>
          <t>LINKÖPING</t>
        </is>
      </c>
      <c r="F251" t="inlineStr">
        <is>
          <t>Kyrkan</t>
        </is>
      </c>
      <c r="G251" t="n">
        <v>1.6</v>
      </c>
      <c r="H251" t="n">
        <v>0</v>
      </c>
      <c r="I251" t="n">
        <v>0</v>
      </c>
      <c r="J251" t="n">
        <v>0</v>
      </c>
      <c r="K251" t="n">
        <v>0</v>
      </c>
      <c r="L251" t="n">
        <v>0</v>
      </c>
      <c r="M251" t="n">
        <v>0</v>
      </c>
      <c r="N251" t="n">
        <v>0</v>
      </c>
      <c r="O251" t="n">
        <v>0</v>
      </c>
      <c r="P251" t="n">
        <v>0</v>
      </c>
      <c r="Q251" t="n">
        <v>0</v>
      </c>
      <c r="R251" s="2" t="inlineStr"/>
    </row>
    <row r="252" ht="15" customHeight="1">
      <c r="A252" t="inlineStr">
        <is>
          <t>A 62501-2023</t>
        </is>
      </c>
      <c r="B252" s="1" t="n">
        <v>45268</v>
      </c>
      <c r="C252" s="1" t="n">
        <v>45912</v>
      </c>
      <c r="D252" t="inlineStr">
        <is>
          <t>ÖSTERGÖTLANDS LÄN</t>
        </is>
      </c>
      <c r="E252" t="inlineStr">
        <is>
          <t>LINKÖPING</t>
        </is>
      </c>
      <c r="G252" t="n">
        <v>7.4</v>
      </c>
      <c r="H252" t="n">
        <v>0</v>
      </c>
      <c r="I252" t="n">
        <v>0</v>
      </c>
      <c r="J252" t="n">
        <v>0</v>
      </c>
      <c r="K252" t="n">
        <v>0</v>
      </c>
      <c r="L252" t="n">
        <v>0</v>
      </c>
      <c r="M252" t="n">
        <v>0</v>
      </c>
      <c r="N252" t="n">
        <v>0</v>
      </c>
      <c r="O252" t="n">
        <v>0</v>
      </c>
      <c r="P252" t="n">
        <v>0</v>
      </c>
      <c r="Q252" t="n">
        <v>0</v>
      </c>
      <c r="R252" s="2" t="inlineStr"/>
    </row>
    <row r="253" ht="15" customHeight="1">
      <c r="A253" t="inlineStr">
        <is>
          <t>A 55945-2024</t>
        </is>
      </c>
      <c r="B253" s="1" t="n">
        <v>45623.61754629629</v>
      </c>
      <c r="C253" s="1" t="n">
        <v>45912</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13413-2023</t>
        </is>
      </c>
      <c r="B254" s="1" t="n">
        <v>45005.58341435185</v>
      </c>
      <c r="C254" s="1" t="n">
        <v>45912</v>
      </c>
      <c r="D254" t="inlineStr">
        <is>
          <t>ÖSTERGÖTLANDS LÄN</t>
        </is>
      </c>
      <c r="E254" t="inlineStr">
        <is>
          <t>LINKÖPING</t>
        </is>
      </c>
      <c r="G254" t="n">
        <v>2.4</v>
      </c>
      <c r="H254" t="n">
        <v>0</v>
      </c>
      <c r="I254" t="n">
        <v>0</v>
      </c>
      <c r="J254" t="n">
        <v>0</v>
      </c>
      <c r="K254" t="n">
        <v>0</v>
      </c>
      <c r="L254" t="n">
        <v>0</v>
      </c>
      <c r="M254" t="n">
        <v>0</v>
      </c>
      <c r="N254" t="n">
        <v>0</v>
      </c>
      <c r="O254" t="n">
        <v>0</v>
      </c>
      <c r="P254" t="n">
        <v>0</v>
      </c>
      <c r="Q254" t="n">
        <v>0</v>
      </c>
      <c r="R254" s="2" t="inlineStr"/>
    </row>
    <row r="255" ht="15" customHeight="1">
      <c r="A255" t="inlineStr">
        <is>
          <t>A 26620-2023</t>
        </is>
      </c>
      <c r="B255" s="1" t="n">
        <v>45092.70390046296</v>
      </c>
      <c r="C255" s="1" t="n">
        <v>45912</v>
      </c>
      <c r="D255" t="inlineStr">
        <is>
          <t>ÖSTERGÖTLANDS LÄN</t>
        </is>
      </c>
      <c r="E255" t="inlineStr">
        <is>
          <t>LINKÖPING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34928-2023</t>
        </is>
      </c>
      <c r="B256" s="1" t="n">
        <v>45142</v>
      </c>
      <c r="C256" s="1" t="n">
        <v>45912</v>
      </c>
      <c r="D256" t="inlineStr">
        <is>
          <t>ÖSTERGÖTLANDS LÄN</t>
        </is>
      </c>
      <c r="E256" t="inlineStr">
        <is>
          <t>LINKÖPING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1263-2024</t>
        </is>
      </c>
      <c r="B257" s="1" t="n">
        <v>45302</v>
      </c>
      <c r="C257" s="1" t="n">
        <v>45912</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52531-2023</t>
        </is>
      </c>
      <c r="B258" s="1" t="n">
        <v>45225</v>
      </c>
      <c r="C258" s="1" t="n">
        <v>45912</v>
      </c>
      <c r="D258" t="inlineStr">
        <is>
          <t>ÖSTERGÖTLANDS LÄN</t>
        </is>
      </c>
      <c r="E258" t="inlineStr">
        <is>
          <t>LINKÖPING</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62374-2020</t>
        </is>
      </c>
      <c r="B259" s="1" t="n">
        <v>44159</v>
      </c>
      <c r="C259" s="1" t="n">
        <v>45912</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16462-2021</t>
        </is>
      </c>
      <c r="B260" s="1" t="n">
        <v>44293</v>
      </c>
      <c r="C260" s="1" t="n">
        <v>45912</v>
      </c>
      <c r="D260" t="inlineStr">
        <is>
          <t>ÖSTERGÖTLANDS LÄN</t>
        </is>
      </c>
      <c r="E260" t="inlineStr">
        <is>
          <t>LINKÖPING</t>
        </is>
      </c>
      <c r="F260" t="inlineStr">
        <is>
          <t>Allmännings- och besparingsskogar</t>
        </is>
      </c>
      <c r="G260" t="n">
        <v>24.7</v>
      </c>
      <c r="H260" t="n">
        <v>0</v>
      </c>
      <c r="I260" t="n">
        <v>0</v>
      </c>
      <c r="J260" t="n">
        <v>0</v>
      </c>
      <c r="K260" t="n">
        <v>0</v>
      </c>
      <c r="L260" t="n">
        <v>0</v>
      </c>
      <c r="M260" t="n">
        <v>0</v>
      </c>
      <c r="N260" t="n">
        <v>0</v>
      </c>
      <c r="O260" t="n">
        <v>0</v>
      </c>
      <c r="P260" t="n">
        <v>0</v>
      </c>
      <c r="Q260" t="n">
        <v>0</v>
      </c>
      <c r="R260" s="2" t="inlineStr"/>
    </row>
    <row r="261" ht="15" customHeight="1">
      <c r="A261" t="inlineStr">
        <is>
          <t>A 22264-2025</t>
        </is>
      </c>
      <c r="B261" s="1" t="n">
        <v>45785</v>
      </c>
      <c r="C261" s="1" t="n">
        <v>45912</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20291-2025</t>
        </is>
      </c>
      <c r="B262" s="1" t="n">
        <v>45774.74288194445</v>
      </c>
      <c r="C262" s="1" t="n">
        <v>45912</v>
      </c>
      <c r="D262" t="inlineStr">
        <is>
          <t>ÖSTERGÖTLANDS LÄN</t>
        </is>
      </c>
      <c r="E262" t="inlineStr">
        <is>
          <t>LINKÖPING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20293-2025</t>
        </is>
      </c>
      <c r="B263" s="1" t="n">
        <v>45774.74611111111</v>
      </c>
      <c r="C263" s="1" t="n">
        <v>45912</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9473-2024</t>
        </is>
      </c>
      <c r="B264" s="1" t="n">
        <v>45359.55474537037</v>
      </c>
      <c r="C264" s="1" t="n">
        <v>45912</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6859-2024</t>
        </is>
      </c>
      <c r="B265" s="1" t="n">
        <v>45342</v>
      </c>
      <c r="C265" s="1" t="n">
        <v>45912</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44287-2024</t>
        </is>
      </c>
      <c r="B266" s="1" t="n">
        <v>45573.50582175926</v>
      </c>
      <c r="C266" s="1" t="n">
        <v>45912</v>
      </c>
      <c r="D266" t="inlineStr">
        <is>
          <t>ÖSTERGÖTLANDS LÄN</t>
        </is>
      </c>
      <c r="E266" t="inlineStr">
        <is>
          <t>LINKÖPING</t>
        </is>
      </c>
      <c r="G266" t="n">
        <v>12.7</v>
      </c>
      <c r="H266" t="n">
        <v>0</v>
      </c>
      <c r="I266" t="n">
        <v>0</v>
      </c>
      <c r="J266" t="n">
        <v>0</v>
      </c>
      <c r="K266" t="n">
        <v>0</v>
      </c>
      <c r="L266" t="n">
        <v>0</v>
      </c>
      <c r="M266" t="n">
        <v>0</v>
      </c>
      <c r="N266" t="n">
        <v>0</v>
      </c>
      <c r="O266" t="n">
        <v>0</v>
      </c>
      <c r="P266" t="n">
        <v>0</v>
      </c>
      <c r="Q266" t="n">
        <v>0</v>
      </c>
      <c r="R266" s="2" t="inlineStr"/>
    </row>
    <row r="267" ht="15" customHeight="1">
      <c r="A267" t="inlineStr">
        <is>
          <t>A 63554-2023</t>
        </is>
      </c>
      <c r="B267" s="1" t="n">
        <v>45275</v>
      </c>
      <c r="C267" s="1" t="n">
        <v>45912</v>
      </c>
      <c r="D267" t="inlineStr">
        <is>
          <t>ÖSTERGÖTLANDS LÄN</t>
        </is>
      </c>
      <c r="E267" t="inlineStr">
        <is>
          <t>LINKÖPING</t>
        </is>
      </c>
      <c r="G267" t="n">
        <v>4.3</v>
      </c>
      <c r="H267" t="n">
        <v>0</v>
      </c>
      <c r="I267" t="n">
        <v>0</v>
      </c>
      <c r="J267" t="n">
        <v>0</v>
      </c>
      <c r="K267" t="n">
        <v>0</v>
      </c>
      <c r="L267" t="n">
        <v>0</v>
      </c>
      <c r="M267" t="n">
        <v>0</v>
      </c>
      <c r="N267" t="n">
        <v>0</v>
      </c>
      <c r="O267" t="n">
        <v>0</v>
      </c>
      <c r="P267" t="n">
        <v>0</v>
      </c>
      <c r="Q267" t="n">
        <v>0</v>
      </c>
      <c r="R267" s="2" t="inlineStr"/>
    </row>
    <row r="268" ht="15" customHeight="1">
      <c r="A268" t="inlineStr">
        <is>
          <t>A 3041-2024</t>
        </is>
      </c>
      <c r="B268" s="1" t="n">
        <v>45316.34875</v>
      </c>
      <c r="C268" s="1" t="n">
        <v>45912</v>
      </c>
      <c r="D268" t="inlineStr">
        <is>
          <t>ÖSTERGÖTLANDS LÄN</t>
        </is>
      </c>
      <c r="E268" t="inlineStr">
        <is>
          <t>LINKÖPING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3043-2024</t>
        </is>
      </c>
      <c r="B269" s="1" t="n">
        <v>45316</v>
      </c>
      <c r="C269" s="1" t="n">
        <v>45912</v>
      </c>
      <c r="D269" t="inlineStr">
        <is>
          <t>ÖSTERGÖTLANDS LÄN</t>
        </is>
      </c>
      <c r="E269" t="inlineStr">
        <is>
          <t>LINKÖPING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50963-2021</t>
        </is>
      </c>
      <c r="B270" s="1" t="n">
        <v>44460</v>
      </c>
      <c r="C270" s="1" t="n">
        <v>45912</v>
      </c>
      <c r="D270" t="inlineStr">
        <is>
          <t>ÖSTERGÖTLANDS LÄN</t>
        </is>
      </c>
      <c r="E270" t="inlineStr">
        <is>
          <t>LINKÖPING</t>
        </is>
      </c>
      <c r="G270" t="n">
        <v>4.4</v>
      </c>
      <c r="H270" t="n">
        <v>0</v>
      </c>
      <c r="I270" t="n">
        <v>0</v>
      </c>
      <c r="J270" t="n">
        <v>0</v>
      </c>
      <c r="K270" t="n">
        <v>0</v>
      </c>
      <c r="L270" t="n">
        <v>0</v>
      </c>
      <c r="M270" t="n">
        <v>0</v>
      </c>
      <c r="N270" t="n">
        <v>0</v>
      </c>
      <c r="O270" t="n">
        <v>0</v>
      </c>
      <c r="P270" t="n">
        <v>0</v>
      </c>
      <c r="Q270" t="n">
        <v>0</v>
      </c>
      <c r="R270" s="2" t="inlineStr"/>
    </row>
    <row r="271" ht="15" customHeight="1">
      <c r="A271" t="inlineStr">
        <is>
          <t>A 61307-2021</t>
        </is>
      </c>
      <c r="B271" s="1" t="n">
        <v>44498.63928240741</v>
      </c>
      <c r="C271" s="1" t="n">
        <v>45912</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61325-2021</t>
        </is>
      </c>
      <c r="B272" s="1" t="n">
        <v>44498.66814814815</v>
      </c>
      <c r="C272" s="1" t="n">
        <v>45912</v>
      </c>
      <c r="D272" t="inlineStr">
        <is>
          <t>ÖSTERGÖTLANDS LÄN</t>
        </is>
      </c>
      <c r="E272" t="inlineStr">
        <is>
          <t>LINKÖPING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63665-2023</t>
        </is>
      </c>
      <c r="B273" s="1" t="n">
        <v>45275</v>
      </c>
      <c r="C273" s="1" t="n">
        <v>45912</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63638-2023</t>
        </is>
      </c>
      <c r="B274" s="1" t="n">
        <v>45275</v>
      </c>
      <c r="C274" s="1" t="n">
        <v>45912</v>
      </c>
      <c r="D274" t="inlineStr">
        <is>
          <t>ÖSTERGÖTLANDS LÄN</t>
        </is>
      </c>
      <c r="E274" t="inlineStr">
        <is>
          <t>LINKÖPING</t>
        </is>
      </c>
      <c r="F274" t="inlineStr">
        <is>
          <t>Övriga Aktiebolag</t>
        </is>
      </c>
      <c r="G274" t="n">
        <v>2.4</v>
      </c>
      <c r="H274" t="n">
        <v>0</v>
      </c>
      <c r="I274" t="n">
        <v>0</v>
      </c>
      <c r="J274" t="n">
        <v>0</v>
      </c>
      <c r="K274" t="n">
        <v>0</v>
      </c>
      <c r="L274" t="n">
        <v>0</v>
      </c>
      <c r="M274" t="n">
        <v>0</v>
      </c>
      <c r="N274" t="n">
        <v>0</v>
      </c>
      <c r="O274" t="n">
        <v>0</v>
      </c>
      <c r="P274" t="n">
        <v>0</v>
      </c>
      <c r="Q274" t="n">
        <v>0</v>
      </c>
      <c r="R274" s="2" t="inlineStr"/>
    </row>
    <row r="275" ht="15" customHeight="1">
      <c r="A275" t="inlineStr">
        <is>
          <t>A 63658-2023</t>
        </is>
      </c>
      <c r="B275" s="1" t="n">
        <v>45275</v>
      </c>
      <c r="C275" s="1" t="n">
        <v>45912</v>
      </c>
      <c r="D275" t="inlineStr">
        <is>
          <t>ÖSTERGÖTLANDS LÄN</t>
        </is>
      </c>
      <c r="E275" t="inlineStr">
        <is>
          <t>LINKÖPING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22364-2025</t>
        </is>
      </c>
      <c r="B276" s="1" t="n">
        <v>45786.46930555555</v>
      </c>
      <c r="C276" s="1" t="n">
        <v>45912</v>
      </c>
      <c r="D276" t="inlineStr">
        <is>
          <t>ÖSTERGÖTLANDS LÄN</t>
        </is>
      </c>
      <c r="E276" t="inlineStr">
        <is>
          <t>LINKÖPING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33867-2023</t>
        </is>
      </c>
      <c r="B277" s="1" t="n">
        <v>45133.94640046296</v>
      </c>
      <c r="C277" s="1" t="n">
        <v>45912</v>
      </c>
      <c r="D277" t="inlineStr">
        <is>
          <t>ÖSTERGÖTLANDS LÄN</t>
        </is>
      </c>
      <c r="E277" t="inlineStr">
        <is>
          <t>LINKÖPING</t>
        </is>
      </c>
      <c r="G277" t="n">
        <v>2.3</v>
      </c>
      <c r="H277" t="n">
        <v>0</v>
      </c>
      <c r="I277" t="n">
        <v>0</v>
      </c>
      <c r="J277" t="n">
        <v>0</v>
      </c>
      <c r="K277" t="n">
        <v>0</v>
      </c>
      <c r="L277" t="n">
        <v>0</v>
      </c>
      <c r="M277" t="n">
        <v>0</v>
      </c>
      <c r="N277" t="n">
        <v>0</v>
      </c>
      <c r="O277" t="n">
        <v>0</v>
      </c>
      <c r="P277" t="n">
        <v>0</v>
      </c>
      <c r="Q277" t="n">
        <v>0</v>
      </c>
      <c r="R277" s="2" t="inlineStr"/>
    </row>
    <row r="278" ht="15" customHeight="1">
      <c r="A278" t="inlineStr">
        <is>
          <t>A 16820-2024</t>
        </is>
      </c>
      <c r="B278" s="1" t="n">
        <v>45411.46809027778</v>
      </c>
      <c r="C278" s="1" t="n">
        <v>45912</v>
      </c>
      <c r="D278" t="inlineStr">
        <is>
          <t>ÖSTERGÖTLANDS LÄN</t>
        </is>
      </c>
      <c r="E278" t="inlineStr">
        <is>
          <t>LINKÖPING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4456-2024</t>
        </is>
      </c>
      <c r="B279" s="1" t="n">
        <v>45327.52847222222</v>
      </c>
      <c r="C279" s="1" t="n">
        <v>45912</v>
      </c>
      <c r="D279" t="inlineStr">
        <is>
          <t>ÖSTERGÖTLANDS LÄN</t>
        </is>
      </c>
      <c r="E279" t="inlineStr">
        <is>
          <t>LINKÖPING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572-2025</t>
        </is>
      </c>
      <c r="B280" s="1" t="n">
        <v>45664.56349537037</v>
      </c>
      <c r="C280" s="1" t="n">
        <v>45912</v>
      </c>
      <c r="D280" t="inlineStr">
        <is>
          <t>ÖSTERGÖTLANDS LÄN</t>
        </is>
      </c>
      <c r="E280" t="inlineStr">
        <is>
          <t>LINKÖPING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20298-2025</t>
        </is>
      </c>
      <c r="B281" s="1" t="n">
        <v>45774.75024305555</v>
      </c>
      <c r="C281" s="1" t="n">
        <v>45912</v>
      </c>
      <c r="D281" t="inlineStr">
        <is>
          <t>ÖSTERGÖTLANDS LÄN</t>
        </is>
      </c>
      <c r="E281" t="inlineStr">
        <is>
          <t>LINKÖPING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10797-2024</t>
        </is>
      </c>
      <c r="B282" s="1" t="n">
        <v>45369.6190162037</v>
      </c>
      <c r="C282" s="1" t="n">
        <v>45912</v>
      </c>
      <c r="D282" t="inlineStr">
        <is>
          <t>ÖSTERGÖTLANDS LÄN</t>
        </is>
      </c>
      <c r="E282" t="inlineStr">
        <is>
          <t>LINKÖPING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15121-2022</t>
        </is>
      </c>
      <c r="B283" s="1" t="n">
        <v>44658</v>
      </c>
      <c r="C283" s="1" t="n">
        <v>45912</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50743-2023</t>
        </is>
      </c>
      <c r="B284" s="1" t="n">
        <v>45217</v>
      </c>
      <c r="C284" s="1" t="n">
        <v>45912</v>
      </c>
      <c r="D284" t="inlineStr">
        <is>
          <t>ÖSTERGÖTLANDS LÄN</t>
        </is>
      </c>
      <c r="E284" t="inlineStr">
        <is>
          <t>LINKÖPING</t>
        </is>
      </c>
      <c r="G284" t="n">
        <v>2.7</v>
      </c>
      <c r="H284" t="n">
        <v>0</v>
      </c>
      <c r="I284" t="n">
        <v>0</v>
      </c>
      <c r="J284" t="n">
        <v>0</v>
      </c>
      <c r="K284" t="n">
        <v>0</v>
      </c>
      <c r="L284" t="n">
        <v>0</v>
      </c>
      <c r="M284" t="n">
        <v>0</v>
      </c>
      <c r="N284" t="n">
        <v>0</v>
      </c>
      <c r="O284" t="n">
        <v>0</v>
      </c>
      <c r="P284" t="n">
        <v>0</v>
      </c>
      <c r="Q284" t="n">
        <v>0</v>
      </c>
      <c r="R284" s="2" t="inlineStr"/>
    </row>
    <row r="285" ht="15" customHeight="1">
      <c r="A285" t="inlineStr">
        <is>
          <t>A 38580-2024</t>
        </is>
      </c>
      <c r="B285" s="1" t="n">
        <v>45546.64825231482</v>
      </c>
      <c r="C285" s="1" t="n">
        <v>45912</v>
      </c>
      <c r="D285" t="inlineStr">
        <is>
          <t>ÖSTERGÖTLANDS LÄN</t>
        </is>
      </c>
      <c r="E285" t="inlineStr">
        <is>
          <t>LINKÖPING</t>
        </is>
      </c>
      <c r="G285" t="n">
        <v>4.8</v>
      </c>
      <c r="H285" t="n">
        <v>0</v>
      </c>
      <c r="I285" t="n">
        <v>0</v>
      </c>
      <c r="J285" t="n">
        <v>0</v>
      </c>
      <c r="K285" t="n">
        <v>0</v>
      </c>
      <c r="L285" t="n">
        <v>0</v>
      </c>
      <c r="M285" t="n">
        <v>0</v>
      </c>
      <c r="N285" t="n">
        <v>0</v>
      </c>
      <c r="O285" t="n">
        <v>0</v>
      </c>
      <c r="P285" t="n">
        <v>0</v>
      </c>
      <c r="Q285" t="n">
        <v>0</v>
      </c>
      <c r="R285" s="2" t="inlineStr"/>
    </row>
    <row r="286" ht="15" customHeight="1">
      <c r="A286" t="inlineStr">
        <is>
          <t>A 1440-2021</t>
        </is>
      </c>
      <c r="B286" s="1" t="n">
        <v>44208</v>
      </c>
      <c r="C286" s="1" t="n">
        <v>45912</v>
      </c>
      <c r="D286" t="inlineStr">
        <is>
          <t>ÖSTERGÖTLANDS LÄN</t>
        </is>
      </c>
      <c r="E286" t="inlineStr">
        <is>
          <t>LINKÖPING</t>
        </is>
      </c>
      <c r="G286" t="n">
        <v>8.4</v>
      </c>
      <c r="H286" t="n">
        <v>0</v>
      </c>
      <c r="I286" t="n">
        <v>0</v>
      </c>
      <c r="J286" t="n">
        <v>0</v>
      </c>
      <c r="K286" t="n">
        <v>0</v>
      </c>
      <c r="L286" t="n">
        <v>0</v>
      </c>
      <c r="M286" t="n">
        <v>0</v>
      </c>
      <c r="N286" t="n">
        <v>0</v>
      </c>
      <c r="O286" t="n">
        <v>0</v>
      </c>
      <c r="P286" t="n">
        <v>0</v>
      </c>
      <c r="Q286" t="n">
        <v>0</v>
      </c>
      <c r="R286" s="2" t="inlineStr"/>
    </row>
    <row r="287" ht="15" customHeight="1">
      <c r="A287" t="inlineStr">
        <is>
          <t>A 57752-2023</t>
        </is>
      </c>
      <c r="B287" s="1" t="n">
        <v>45246.78474537037</v>
      </c>
      <c r="C287" s="1" t="n">
        <v>45912</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30985-2022</t>
        </is>
      </c>
      <c r="B288" s="1" t="n">
        <v>44768</v>
      </c>
      <c r="C288" s="1" t="n">
        <v>45912</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38317-2024</t>
        </is>
      </c>
      <c r="B289" s="1" t="n">
        <v>45545.65766203704</v>
      </c>
      <c r="C289" s="1" t="n">
        <v>45912</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13687-2025</t>
        </is>
      </c>
      <c r="B290" s="1" t="n">
        <v>45737.31425925926</v>
      </c>
      <c r="C290" s="1" t="n">
        <v>45912</v>
      </c>
      <c r="D290" t="inlineStr">
        <is>
          <t>ÖSTERGÖTLANDS LÄN</t>
        </is>
      </c>
      <c r="E290" t="inlineStr">
        <is>
          <t>LINKÖPING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13688-2025</t>
        </is>
      </c>
      <c r="B291" s="1" t="n">
        <v>45737.3153125</v>
      </c>
      <c r="C291" s="1" t="n">
        <v>45912</v>
      </c>
      <c r="D291" t="inlineStr">
        <is>
          <t>ÖSTERGÖTLANDS LÄN</t>
        </is>
      </c>
      <c r="E291" t="inlineStr">
        <is>
          <t>LINKÖPING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13695-2025</t>
        </is>
      </c>
      <c r="B292" s="1" t="n">
        <v>45737.32219907407</v>
      </c>
      <c r="C292" s="1" t="n">
        <v>45912</v>
      </c>
      <c r="D292" t="inlineStr">
        <is>
          <t>ÖSTERGÖTLANDS LÄN</t>
        </is>
      </c>
      <c r="E292" t="inlineStr">
        <is>
          <t>LINKÖPING</t>
        </is>
      </c>
      <c r="G292" t="n">
        <v>5.3</v>
      </c>
      <c r="H292" t="n">
        <v>0</v>
      </c>
      <c r="I292" t="n">
        <v>0</v>
      </c>
      <c r="J292" t="n">
        <v>0</v>
      </c>
      <c r="K292" t="n">
        <v>0</v>
      </c>
      <c r="L292" t="n">
        <v>0</v>
      </c>
      <c r="M292" t="n">
        <v>0</v>
      </c>
      <c r="N292" t="n">
        <v>0</v>
      </c>
      <c r="O292" t="n">
        <v>0</v>
      </c>
      <c r="P292" t="n">
        <v>0</v>
      </c>
      <c r="Q292" t="n">
        <v>0</v>
      </c>
      <c r="R292" s="2" t="inlineStr"/>
    </row>
    <row r="293" ht="15" customHeight="1">
      <c r="A293" t="inlineStr">
        <is>
          <t>A 20294-2025</t>
        </is>
      </c>
      <c r="B293" s="1" t="n">
        <v>45774.74667824074</v>
      </c>
      <c r="C293" s="1" t="n">
        <v>45912</v>
      </c>
      <c r="D293" t="inlineStr">
        <is>
          <t>ÖSTERGÖTLANDS LÄN</t>
        </is>
      </c>
      <c r="E293" t="inlineStr">
        <is>
          <t>LINKÖPING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29312-2024</t>
        </is>
      </c>
      <c r="B294" s="1" t="n">
        <v>45483</v>
      </c>
      <c r="C294" s="1" t="n">
        <v>45912</v>
      </c>
      <c r="D294" t="inlineStr">
        <is>
          <t>ÖSTERGÖTLANDS LÄN</t>
        </is>
      </c>
      <c r="E294" t="inlineStr">
        <is>
          <t>LINKÖPING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23120-2025</t>
        </is>
      </c>
      <c r="B295" s="1" t="n">
        <v>45791.37481481482</v>
      </c>
      <c r="C295" s="1" t="n">
        <v>45912</v>
      </c>
      <c r="D295" t="inlineStr">
        <is>
          <t>ÖSTERGÖTLANDS LÄN</t>
        </is>
      </c>
      <c r="E295" t="inlineStr">
        <is>
          <t>LINKÖPING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17128-2025</t>
        </is>
      </c>
      <c r="B296" s="1" t="n">
        <v>45755.72622685185</v>
      </c>
      <c r="C296" s="1" t="n">
        <v>45912</v>
      </c>
      <c r="D296" t="inlineStr">
        <is>
          <t>ÖSTERGÖTLANDS LÄN</t>
        </is>
      </c>
      <c r="E296" t="inlineStr">
        <is>
          <t>LINKÖPING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52125-2022</t>
        </is>
      </c>
      <c r="B297" s="1" t="n">
        <v>44873</v>
      </c>
      <c r="C297" s="1" t="n">
        <v>45912</v>
      </c>
      <c r="D297" t="inlineStr">
        <is>
          <t>ÖSTERGÖTLANDS LÄN</t>
        </is>
      </c>
      <c r="E297" t="inlineStr">
        <is>
          <t>LINKÖPING</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58947-2022</t>
        </is>
      </c>
      <c r="B298" s="1" t="n">
        <v>44903.64769675926</v>
      </c>
      <c r="C298" s="1" t="n">
        <v>45912</v>
      </c>
      <c r="D298" t="inlineStr">
        <is>
          <t>ÖSTERGÖTLANDS LÄN</t>
        </is>
      </c>
      <c r="E298" t="inlineStr">
        <is>
          <t>LINKÖPING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27343-2023</t>
        </is>
      </c>
      <c r="B299" s="1" t="n">
        <v>45096</v>
      </c>
      <c r="C299" s="1" t="n">
        <v>45912</v>
      </c>
      <c r="D299" t="inlineStr">
        <is>
          <t>ÖSTERGÖTLANDS LÄN</t>
        </is>
      </c>
      <c r="E299" t="inlineStr">
        <is>
          <t>LINKÖPING</t>
        </is>
      </c>
      <c r="F299" t="inlineStr">
        <is>
          <t>Allmännings- och besparingsskogar</t>
        </is>
      </c>
      <c r="G299" t="n">
        <v>6.9</v>
      </c>
      <c r="H299" t="n">
        <v>0</v>
      </c>
      <c r="I299" t="n">
        <v>0</v>
      </c>
      <c r="J299" t="n">
        <v>0</v>
      </c>
      <c r="K299" t="n">
        <v>0</v>
      </c>
      <c r="L299" t="n">
        <v>0</v>
      </c>
      <c r="M299" t="n">
        <v>0</v>
      </c>
      <c r="N299" t="n">
        <v>0</v>
      </c>
      <c r="O299" t="n">
        <v>0</v>
      </c>
      <c r="P299" t="n">
        <v>0</v>
      </c>
      <c r="Q299" t="n">
        <v>0</v>
      </c>
      <c r="R299" s="2" t="inlineStr"/>
    </row>
    <row r="300" ht="15" customHeight="1">
      <c r="A300" t="inlineStr">
        <is>
          <t>A 23768-2025</t>
        </is>
      </c>
      <c r="B300" s="1" t="n">
        <v>45793.47493055555</v>
      </c>
      <c r="C300" s="1" t="n">
        <v>45912</v>
      </c>
      <c r="D300" t="inlineStr">
        <is>
          <t>ÖSTERGÖTLANDS LÄN</t>
        </is>
      </c>
      <c r="E300" t="inlineStr">
        <is>
          <t>LINKÖPING</t>
        </is>
      </c>
      <c r="G300" t="n">
        <v>3.4</v>
      </c>
      <c r="H300" t="n">
        <v>0</v>
      </c>
      <c r="I300" t="n">
        <v>0</v>
      </c>
      <c r="J300" t="n">
        <v>0</v>
      </c>
      <c r="K300" t="n">
        <v>0</v>
      </c>
      <c r="L300" t="n">
        <v>0</v>
      </c>
      <c r="M300" t="n">
        <v>0</v>
      </c>
      <c r="N300" t="n">
        <v>0</v>
      </c>
      <c r="O300" t="n">
        <v>0</v>
      </c>
      <c r="P300" t="n">
        <v>0</v>
      </c>
      <c r="Q300" t="n">
        <v>0</v>
      </c>
      <c r="R300" s="2" t="inlineStr"/>
    </row>
    <row r="301" ht="15" customHeight="1">
      <c r="A301" t="inlineStr">
        <is>
          <t>A 16665-2023</t>
        </is>
      </c>
      <c r="B301" s="1" t="n">
        <v>45030.5583912037</v>
      </c>
      <c r="C301" s="1" t="n">
        <v>45912</v>
      </c>
      <c r="D301" t="inlineStr">
        <is>
          <t>ÖSTERGÖTLANDS LÄN</t>
        </is>
      </c>
      <c r="E301" t="inlineStr">
        <is>
          <t>LINKÖPING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22842-2023</t>
        </is>
      </c>
      <c r="B302" s="1" t="n">
        <v>45071</v>
      </c>
      <c r="C302" s="1" t="n">
        <v>45912</v>
      </c>
      <c r="D302" t="inlineStr">
        <is>
          <t>ÖSTERGÖTLANDS LÄN</t>
        </is>
      </c>
      <c r="E302" t="inlineStr">
        <is>
          <t>LINKÖPING</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59948-2022</t>
        </is>
      </c>
      <c r="B303" s="1" t="n">
        <v>44909</v>
      </c>
      <c r="C303" s="1" t="n">
        <v>45912</v>
      </c>
      <c r="D303" t="inlineStr">
        <is>
          <t>ÖSTERGÖTLANDS LÄN</t>
        </is>
      </c>
      <c r="E303" t="inlineStr">
        <is>
          <t>LINKÖPING</t>
        </is>
      </c>
      <c r="G303" t="n">
        <v>6.7</v>
      </c>
      <c r="H303" t="n">
        <v>0</v>
      </c>
      <c r="I303" t="n">
        <v>0</v>
      </c>
      <c r="J303" t="n">
        <v>0</v>
      </c>
      <c r="K303" t="n">
        <v>0</v>
      </c>
      <c r="L303" t="n">
        <v>0</v>
      </c>
      <c r="M303" t="n">
        <v>0</v>
      </c>
      <c r="N303" t="n">
        <v>0</v>
      </c>
      <c r="O303" t="n">
        <v>0</v>
      </c>
      <c r="P303" t="n">
        <v>0</v>
      </c>
      <c r="Q303" t="n">
        <v>0</v>
      </c>
      <c r="R303" s="2" t="inlineStr"/>
    </row>
    <row r="304" ht="15" customHeight="1">
      <c r="A304" t="inlineStr">
        <is>
          <t>A 60001-2022</t>
        </is>
      </c>
      <c r="B304" s="1" t="n">
        <v>44909.47087962963</v>
      </c>
      <c r="C304" s="1" t="n">
        <v>45912</v>
      </c>
      <c r="D304" t="inlineStr">
        <is>
          <t>ÖSTERGÖTLANDS LÄN</t>
        </is>
      </c>
      <c r="E304" t="inlineStr">
        <is>
          <t>LINKÖPING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60013-2022</t>
        </is>
      </c>
      <c r="B305" s="1" t="n">
        <v>44909.47482638889</v>
      </c>
      <c r="C305" s="1" t="n">
        <v>45912</v>
      </c>
      <c r="D305" t="inlineStr">
        <is>
          <t>ÖSTERGÖTLANDS LÄN</t>
        </is>
      </c>
      <c r="E305" t="inlineStr">
        <is>
          <t>LINKÖPING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1211-2023</t>
        </is>
      </c>
      <c r="B306" s="1" t="n">
        <v>44930</v>
      </c>
      <c r="C306" s="1" t="n">
        <v>45912</v>
      </c>
      <c r="D306" t="inlineStr">
        <is>
          <t>ÖSTERGÖTLANDS LÄN</t>
        </is>
      </c>
      <c r="E306" t="inlineStr">
        <is>
          <t>LINKÖPING</t>
        </is>
      </c>
      <c r="F306" t="inlineStr">
        <is>
          <t>Övriga statliga verk och myndigheter</t>
        </is>
      </c>
      <c r="G306" t="n">
        <v>7.9</v>
      </c>
      <c r="H306" t="n">
        <v>0</v>
      </c>
      <c r="I306" t="n">
        <v>0</v>
      </c>
      <c r="J306" t="n">
        <v>0</v>
      </c>
      <c r="K306" t="n">
        <v>0</v>
      </c>
      <c r="L306" t="n">
        <v>0</v>
      </c>
      <c r="M306" t="n">
        <v>0</v>
      </c>
      <c r="N306" t="n">
        <v>0</v>
      </c>
      <c r="O306" t="n">
        <v>0</v>
      </c>
      <c r="P306" t="n">
        <v>0</v>
      </c>
      <c r="Q306" t="n">
        <v>0</v>
      </c>
      <c r="R306" s="2" t="inlineStr"/>
    </row>
    <row r="307" ht="15" customHeight="1">
      <c r="A307" t="inlineStr">
        <is>
          <t>A 14520-2025</t>
        </is>
      </c>
      <c r="B307" s="1" t="n">
        <v>45741</v>
      </c>
      <c r="C307" s="1" t="n">
        <v>45912</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31548-2022</t>
        </is>
      </c>
      <c r="B308" s="1" t="n">
        <v>44775.39832175926</v>
      </c>
      <c r="C308" s="1" t="n">
        <v>45912</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38136-2023</t>
        </is>
      </c>
      <c r="B309" s="1" t="n">
        <v>45161.37310185185</v>
      </c>
      <c r="C309" s="1" t="n">
        <v>45912</v>
      </c>
      <c r="D309" t="inlineStr">
        <is>
          <t>ÖSTERGÖTLANDS LÄN</t>
        </is>
      </c>
      <c r="E309" t="inlineStr">
        <is>
          <t>LINKÖPING</t>
        </is>
      </c>
      <c r="G309" t="n">
        <v>5.6</v>
      </c>
      <c r="H309" t="n">
        <v>0</v>
      </c>
      <c r="I309" t="n">
        <v>0</v>
      </c>
      <c r="J309" t="n">
        <v>0</v>
      </c>
      <c r="K309" t="n">
        <v>0</v>
      </c>
      <c r="L309" t="n">
        <v>0</v>
      </c>
      <c r="M309" t="n">
        <v>0</v>
      </c>
      <c r="N309" t="n">
        <v>0</v>
      </c>
      <c r="O309" t="n">
        <v>0</v>
      </c>
      <c r="P309" t="n">
        <v>0</v>
      </c>
      <c r="Q309" t="n">
        <v>0</v>
      </c>
      <c r="R309" s="2" t="inlineStr"/>
    </row>
    <row r="310" ht="15" customHeight="1">
      <c r="A310" t="inlineStr">
        <is>
          <t>A 62017-2024</t>
        </is>
      </c>
      <c r="B310" s="1" t="n">
        <v>45655.81140046296</v>
      </c>
      <c r="C310" s="1" t="n">
        <v>45912</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17785-2023</t>
        </is>
      </c>
      <c r="B311" s="1" t="n">
        <v>45037.55094907407</v>
      </c>
      <c r="C311" s="1" t="n">
        <v>45912</v>
      </c>
      <c r="D311" t="inlineStr">
        <is>
          <t>ÖSTERGÖTLANDS LÄN</t>
        </is>
      </c>
      <c r="E311" t="inlineStr">
        <is>
          <t>LINKÖPING</t>
        </is>
      </c>
      <c r="F311" t="inlineStr">
        <is>
          <t>Allmännings- och besparingsskogar</t>
        </is>
      </c>
      <c r="G311" t="n">
        <v>3.1</v>
      </c>
      <c r="H311" t="n">
        <v>0</v>
      </c>
      <c r="I311" t="n">
        <v>0</v>
      </c>
      <c r="J311" t="n">
        <v>0</v>
      </c>
      <c r="K311" t="n">
        <v>0</v>
      </c>
      <c r="L311" t="n">
        <v>0</v>
      </c>
      <c r="M311" t="n">
        <v>0</v>
      </c>
      <c r="N311" t="n">
        <v>0</v>
      </c>
      <c r="O311" t="n">
        <v>0</v>
      </c>
      <c r="P311" t="n">
        <v>0</v>
      </c>
      <c r="Q311" t="n">
        <v>0</v>
      </c>
      <c r="R311" s="2" t="inlineStr"/>
    </row>
    <row r="312" ht="15" customHeight="1">
      <c r="A312" t="inlineStr">
        <is>
          <t>A 48699-2024</t>
        </is>
      </c>
      <c r="B312" s="1" t="n">
        <v>45593.52091435185</v>
      </c>
      <c r="C312" s="1" t="n">
        <v>45912</v>
      </c>
      <c r="D312" t="inlineStr">
        <is>
          <t>ÖSTERGÖTLANDS LÄN</t>
        </is>
      </c>
      <c r="E312" t="inlineStr">
        <is>
          <t>LINKÖPING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12317-2025</t>
        </is>
      </c>
      <c r="B313" s="1" t="n">
        <v>45729.8487037037</v>
      </c>
      <c r="C313" s="1" t="n">
        <v>45912</v>
      </c>
      <c r="D313" t="inlineStr">
        <is>
          <t>ÖSTERGÖTLANDS LÄN</t>
        </is>
      </c>
      <c r="E313" t="inlineStr">
        <is>
          <t>LINKÖPING</t>
        </is>
      </c>
      <c r="G313" t="n">
        <v>8</v>
      </c>
      <c r="H313" t="n">
        <v>0</v>
      </c>
      <c r="I313" t="n">
        <v>0</v>
      </c>
      <c r="J313" t="n">
        <v>0</v>
      </c>
      <c r="K313" t="n">
        <v>0</v>
      </c>
      <c r="L313" t="n">
        <v>0</v>
      </c>
      <c r="M313" t="n">
        <v>0</v>
      </c>
      <c r="N313" t="n">
        <v>0</v>
      </c>
      <c r="O313" t="n">
        <v>0</v>
      </c>
      <c r="P313" t="n">
        <v>0</v>
      </c>
      <c r="Q313" t="n">
        <v>0</v>
      </c>
      <c r="R313" s="2" t="inlineStr"/>
    </row>
    <row r="314" ht="15" customHeight="1">
      <c r="A314" t="inlineStr">
        <is>
          <t>A 62686-2023</t>
        </is>
      </c>
      <c r="B314" s="1" t="n">
        <v>45271</v>
      </c>
      <c r="C314" s="1" t="n">
        <v>45912</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42044-2023</t>
        </is>
      </c>
      <c r="B315" s="1" t="n">
        <v>45177</v>
      </c>
      <c r="C315" s="1" t="n">
        <v>45912</v>
      </c>
      <c r="D315" t="inlineStr">
        <is>
          <t>ÖSTERGÖTLANDS LÄN</t>
        </is>
      </c>
      <c r="E315" t="inlineStr">
        <is>
          <t>LINKÖPING</t>
        </is>
      </c>
      <c r="G315" t="n">
        <v>3.9</v>
      </c>
      <c r="H315" t="n">
        <v>0</v>
      </c>
      <c r="I315" t="n">
        <v>0</v>
      </c>
      <c r="J315" t="n">
        <v>0</v>
      </c>
      <c r="K315" t="n">
        <v>0</v>
      </c>
      <c r="L315" t="n">
        <v>0</v>
      </c>
      <c r="M315" t="n">
        <v>0</v>
      </c>
      <c r="N315" t="n">
        <v>0</v>
      </c>
      <c r="O315" t="n">
        <v>0</v>
      </c>
      <c r="P315" t="n">
        <v>0</v>
      </c>
      <c r="Q315" t="n">
        <v>0</v>
      </c>
      <c r="R315" s="2" t="inlineStr"/>
    </row>
    <row r="316" ht="15" customHeight="1">
      <c r="A316" t="inlineStr">
        <is>
          <t>A 5314-2021</t>
        </is>
      </c>
      <c r="B316" s="1" t="n">
        <v>44229</v>
      </c>
      <c r="C316" s="1" t="n">
        <v>45912</v>
      </c>
      <c r="D316" t="inlineStr">
        <is>
          <t>ÖSTERGÖTLANDS LÄN</t>
        </is>
      </c>
      <c r="E316" t="inlineStr">
        <is>
          <t>LINKÖPING</t>
        </is>
      </c>
      <c r="G316" t="n">
        <v>6.2</v>
      </c>
      <c r="H316" t="n">
        <v>0</v>
      </c>
      <c r="I316" t="n">
        <v>0</v>
      </c>
      <c r="J316" t="n">
        <v>0</v>
      </c>
      <c r="K316" t="n">
        <v>0</v>
      </c>
      <c r="L316" t="n">
        <v>0</v>
      </c>
      <c r="M316" t="n">
        <v>0</v>
      </c>
      <c r="N316" t="n">
        <v>0</v>
      </c>
      <c r="O316" t="n">
        <v>0</v>
      </c>
      <c r="P316" t="n">
        <v>0</v>
      </c>
      <c r="Q316" t="n">
        <v>0</v>
      </c>
      <c r="R316" s="2" t="inlineStr"/>
    </row>
    <row r="317" ht="15" customHeight="1">
      <c r="A317" t="inlineStr">
        <is>
          <t>A 36557-2023</t>
        </is>
      </c>
      <c r="B317" s="1" t="n">
        <v>45153</v>
      </c>
      <c r="C317" s="1" t="n">
        <v>45912</v>
      </c>
      <c r="D317" t="inlineStr">
        <is>
          <t>ÖSTERGÖTLANDS LÄN</t>
        </is>
      </c>
      <c r="E317" t="inlineStr">
        <is>
          <t>LINKÖPING</t>
        </is>
      </c>
      <c r="F317" t="inlineStr">
        <is>
          <t>Övriga Aktiebolag</t>
        </is>
      </c>
      <c r="G317" t="n">
        <v>3.1</v>
      </c>
      <c r="H317" t="n">
        <v>0</v>
      </c>
      <c r="I317" t="n">
        <v>0</v>
      </c>
      <c r="J317" t="n">
        <v>0</v>
      </c>
      <c r="K317" t="n">
        <v>0</v>
      </c>
      <c r="L317" t="n">
        <v>0</v>
      </c>
      <c r="M317" t="n">
        <v>0</v>
      </c>
      <c r="N317" t="n">
        <v>0</v>
      </c>
      <c r="O317" t="n">
        <v>0</v>
      </c>
      <c r="P317" t="n">
        <v>0</v>
      </c>
      <c r="Q317" t="n">
        <v>0</v>
      </c>
      <c r="R317" s="2" t="inlineStr"/>
    </row>
    <row r="318" ht="15" customHeight="1">
      <c r="A318" t="inlineStr">
        <is>
          <t>A 53616-2020</t>
        </is>
      </c>
      <c r="B318" s="1" t="n">
        <v>44123</v>
      </c>
      <c r="C318" s="1" t="n">
        <v>45912</v>
      </c>
      <c r="D318" t="inlineStr">
        <is>
          <t>ÖSTERGÖTLANDS LÄN</t>
        </is>
      </c>
      <c r="E318" t="inlineStr">
        <is>
          <t>LINKÖPING</t>
        </is>
      </c>
      <c r="G318" t="n">
        <v>2.7</v>
      </c>
      <c r="H318" t="n">
        <v>0</v>
      </c>
      <c r="I318" t="n">
        <v>0</v>
      </c>
      <c r="J318" t="n">
        <v>0</v>
      </c>
      <c r="K318" t="n">
        <v>0</v>
      </c>
      <c r="L318" t="n">
        <v>0</v>
      </c>
      <c r="M318" t="n">
        <v>0</v>
      </c>
      <c r="N318" t="n">
        <v>0</v>
      </c>
      <c r="O318" t="n">
        <v>0</v>
      </c>
      <c r="P318" t="n">
        <v>0</v>
      </c>
      <c r="Q318" t="n">
        <v>0</v>
      </c>
      <c r="R318" s="2" t="inlineStr"/>
    </row>
    <row r="319" ht="15" customHeight="1">
      <c r="A319" t="inlineStr">
        <is>
          <t>A 2085-2024</t>
        </is>
      </c>
      <c r="B319" s="1" t="n">
        <v>45309</v>
      </c>
      <c r="C319" s="1" t="n">
        <v>45912</v>
      </c>
      <c r="D319" t="inlineStr">
        <is>
          <t>ÖSTERGÖTLANDS LÄN</t>
        </is>
      </c>
      <c r="E319" t="inlineStr">
        <is>
          <t>LINKÖPING</t>
        </is>
      </c>
      <c r="G319" t="n">
        <v>4.5</v>
      </c>
      <c r="H319" t="n">
        <v>0</v>
      </c>
      <c r="I319" t="n">
        <v>0</v>
      </c>
      <c r="J319" t="n">
        <v>0</v>
      </c>
      <c r="K319" t="n">
        <v>0</v>
      </c>
      <c r="L319" t="n">
        <v>0</v>
      </c>
      <c r="M319" t="n">
        <v>0</v>
      </c>
      <c r="N319" t="n">
        <v>0</v>
      </c>
      <c r="O319" t="n">
        <v>0</v>
      </c>
      <c r="P319" t="n">
        <v>0</v>
      </c>
      <c r="Q319" t="n">
        <v>0</v>
      </c>
      <c r="R319" s="2" t="inlineStr"/>
    </row>
    <row r="320" ht="15" customHeight="1">
      <c r="A320" t="inlineStr">
        <is>
          <t>A 49656-2021</t>
        </is>
      </c>
      <c r="B320" s="1" t="n">
        <v>44454</v>
      </c>
      <c r="C320" s="1" t="n">
        <v>45912</v>
      </c>
      <c r="D320" t="inlineStr">
        <is>
          <t>ÖSTERGÖTLANDS LÄN</t>
        </is>
      </c>
      <c r="E320" t="inlineStr">
        <is>
          <t>LINKÖPING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30468-2023</t>
        </is>
      </c>
      <c r="B321" s="1" t="n">
        <v>45111.58732638889</v>
      </c>
      <c r="C321" s="1" t="n">
        <v>45912</v>
      </c>
      <c r="D321" t="inlineStr">
        <is>
          <t>ÖSTERGÖTLANDS LÄN</t>
        </is>
      </c>
      <c r="E321" t="inlineStr">
        <is>
          <t>LINKÖPING</t>
        </is>
      </c>
      <c r="G321" t="n">
        <v>10.1</v>
      </c>
      <c r="H321" t="n">
        <v>0</v>
      </c>
      <c r="I321" t="n">
        <v>0</v>
      </c>
      <c r="J321" t="n">
        <v>0</v>
      </c>
      <c r="K321" t="n">
        <v>0</v>
      </c>
      <c r="L321" t="n">
        <v>0</v>
      </c>
      <c r="M321" t="n">
        <v>0</v>
      </c>
      <c r="N321" t="n">
        <v>0</v>
      </c>
      <c r="O321" t="n">
        <v>0</v>
      </c>
      <c r="P321" t="n">
        <v>0</v>
      </c>
      <c r="Q321" t="n">
        <v>0</v>
      </c>
      <c r="R321" s="2" t="inlineStr"/>
    </row>
    <row r="322" ht="15" customHeight="1">
      <c r="A322" t="inlineStr">
        <is>
          <t>A 47364-2020</t>
        </is>
      </c>
      <c r="B322" s="1" t="n">
        <v>44097</v>
      </c>
      <c r="C322" s="1" t="n">
        <v>45912</v>
      </c>
      <c r="D322" t="inlineStr">
        <is>
          <t>ÖSTERGÖTLANDS LÄN</t>
        </is>
      </c>
      <c r="E322" t="inlineStr">
        <is>
          <t>LINKÖPING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38715-2023</t>
        </is>
      </c>
      <c r="B323" s="1" t="n">
        <v>45160</v>
      </c>
      <c r="C323" s="1" t="n">
        <v>45912</v>
      </c>
      <c r="D323" t="inlineStr">
        <is>
          <t>ÖSTERGÖTLANDS LÄN</t>
        </is>
      </c>
      <c r="E323" t="inlineStr">
        <is>
          <t>LINKÖPING</t>
        </is>
      </c>
      <c r="G323" t="n">
        <v>0.6</v>
      </c>
      <c r="H323" t="n">
        <v>0</v>
      </c>
      <c r="I323" t="n">
        <v>0</v>
      </c>
      <c r="J323" t="n">
        <v>0</v>
      </c>
      <c r="K323" t="n">
        <v>0</v>
      </c>
      <c r="L323" t="n">
        <v>0</v>
      </c>
      <c r="M323" t="n">
        <v>0</v>
      </c>
      <c r="N323" t="n">
        <v>0</v>
      </c>
      <c r="O323" t="n">
        <v>0</v>
      </c>
      <c r="P323" t="n">
        <v>0</v>
      </c>
      <c r="Q323" t="n">
        <v>0</v>
      </c>
      <c r="R323" s="2" t="inlineStr"/>
    </row>
    <row r="324" ht="15" customHeight="1">
      <c r="A324" t="inlineStr">
        <is>
          <t>A 13911-2025</t>
        </is>
      </c>
      <c r="B324" s="1" t="n">
        <v>45737.64784722222</v>
      </c>
      <c r="C324" s="1" t="n">
        <v>45912</v>
      </c>
      <c r="D324" t="inlineStr">
        <is>
          <t>ÖSTERGÖTLANDS LÄN</t>
        </is>
      </c>
      <c r="E324" t="inlineStr">
        <is>
          <t>LINKÖPING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38230-2023</t>
        </is>
      </c>
      <c r="B325" s="1" t="n">
        <v>45161.55373842592</v>
      </c>
      <c r="C325" s="1" t="n">
        <v>45912</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45442-2024</t>
        </is>
      </c>
      <c r="B326" s="1" t="n">
        <v>45576.64189814815</v>
      </c>
      <c r="C326" s="1" t="n">
        <v>45912</v>
      </c>
      <c r="D326" t="inlineStr">
        <is>
          <t>ÖSTERGÖTLANDS LÄN</t>
        </is>
      </c>
      <c r="E326" t="inlineStr">
        <is>
          <t>LINKÖPING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34864-2023</t>
        </is>
      </c>
      <c r="B327" s="1" t="n">
        <v>45141</v>
      </c>
      <c r="C327" s="1" t="n">
        <v>45912</v>
      </c>
      <c r="D327" t="inlineStr">
        <is>
          <t>ÖSTERGÖTLANDS LÄN</t>
        </is>
      </c>
      <c r="E327" t="inlineStr">
        <is>
          <t>LINKÖPING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4908-2023</t>
        </is>
      </c>
      <c r="B328" s="1" t="n">
        <v>44958</v>
      </c>
      <c r="C328" s="1" t="n">
        <v>45912</v>
      </c>
      <c r="D328" t="inlineStr">
        <is>
          <t>ÖSTERGÖTLANDS LÄN</t>
        </is>
      </c>
      <c r="E328" t="inlineStr">
        <is>
          <t>LINKÖPING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1265-2023</t>
        </is>
      </c>
      <c r="B329" s="1" t="n">
        <v>44936</v>
      </c>
      <c r="C329" s="1" t="n">
        <v>45912</v>
      </c>
      <c r="D329" t="inlineStr">
        <is>
          <t>ÖSTERGÖTLANDS LÄN</t>
        </is>
      </c>
      <c r="E329" t="inlineStr">
        <is>
          <t>LINKÖPING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46687-2021</t>
        </is>
      </c>
      <c r="B330" s="1" t="n">
        <v>44445</v>
      </c>
      <c r="C330" s="1" t="n">
        <v>45912</v>
      </c>
      <c r="D330" t="inlineStr">
        <is>
          <t>ÖSTERGÖTLANDS LÄN</t>
        </is>
      </c>
      <c r="E330" t="inlineStr">
        <is>
          <t>LINKÖPING</t>
        </is>
      </c>
      <c r="F330" t="inlineStr">
        <is>
          <t>Övriga statliga verk och myndigheter</t>
        </is>
      </c>
      <c r="G330" t="n">
        <v>2.3</v>
      </c>
      <c r="H330" t="n">
        <v>0</v>
      </c>
      <c r="I330" t="n">
        <v>0</v>
      </c>
      <c r="J330" t="n">
        <v>0</v>
      </c>
      <c r="K330" t="n">
        <v>0</v>
      </c>
      <c r="L330" t="n">
        <v>0</v>
      </c>
      <c r="M330" t="n">
        <v>0</v>
      </c>
      <c r="N330" t="n">
        <v>0</v>
      </c>
      <c r="O330" t="n">
        <v>0</v>
      </c>
      <c r="P330" t="n">
        <v>0</v>
      </c>
      <c r="Q330" t="n">
        <v>0</v>
      </c>
      <c r="R330" s="2" t="inlineStr"/>
    </row>
    <row r="331" ht="15" customHeight="1">
      <c r="A331" t="inlineStr">
        <is>
          <t>A 44280-2024</t>
        </is>
      </c>
      <c r="B331" s="1" t="n">
        <v>45573.49461805556</v>
      </c>
      <c r="C331" s="1" t="n">
        <v>45912</v>
      </c>
      <c r="D331" t="inlineStr">
        <is>
          <t>ÖSTERGÖTLANDS LÄN</t>
        </is>
      </c>
      <c r="E331" t="inlineStr">
        <is>
          <t>LINKÖPING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17103-2025</t>
        </is>
      </c>
      <c r="B332" s="1" t="n">
        <v>45755.66143518518</v>
      </c>
      <c r="C332" s="1" t="n">
        <v>45912</v>
      </c>
      <c r="D332" t="inlineStr">
        <is>
          <t>ÖSTERGÖTLANDS LÄN</t>
        </is>
      </c>
      <c r="E332" t="inlineStr">
        <is>
          <t>LINKÖPING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12411-2022</t>
        </is>
      </c>
      <c r="B333" s="1" t="n">
        <v>44638.21601851852</v>
      </c>
      <c r="C333" s="1" t="n">
        <v>45912</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40618-2021</t>
        </is>
      </c>
      <c r="B334" s="1" t="n">
        <v>44420.49575231481</v>
      </c>
      <c r="C334" s="1" t="n">
        <v>45912</v>
      </c>
      <c r="D334" t="inlineStr">
        <is>
          <t>ÖSTERGÖTLANDS LÄN</t>
        </is>
      </c>
      <c r="E334" t="inlineStr">
        <is>
          <t>LINKÖPING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56180-2024</t>
        </is>
      </c>
      <c r="B335" s="1" t="n">
        <v>45624.56611111111</v>
      </c>
      <c r="C335" s="1" t="n">
        <v>45912</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30471-2023</t>
        </is>
      </c>
      <c r="B336" s="1" t="n">
        <v>45111.58931712963</v>
      </c>
      <c r="C336" s="1" t="n">
        <v>45912</v>
      </c>
      <c r="D336" t="inlineStr">
        <is>
          <t>ÖSTERGÖTLANDS LÄN</t>
        </is>
      </c>
      <c r="E336" t="inlineStr">
        <is>
          <t>LINKÖPING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227-2024</t>
        </is>
      </c>
      <c r="B337" s="1" t="n">
        <v>45294.73603009259</v>
      </c>
      <c r="C337" s="1" t="n">
        <v>45912</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23491-2024</t>
        </is>
      </c>
      <c r="B338" s="1" t="n">
        <v>45453</v>
      </c>
      <c r="C338" s="1" t="n">
        <v>45912</v>
      </c>
      <c r="D338" t="inlineStr">
        <is>
          <t>ÖSTERGÖTLANDS LÄN</t>
        </is>
      </c>
      <c r="E338" t="inlineStr">
        <is>
          <t>LINKÖPING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70-2024</t>
        </is>
      </c>
      <c r="B339" s="1" t="n">
        <v>45293</v>
      </c>
      <c r="C339" s="1" t="n">
        <v>45912</v>
      </c>
      <c r="D339" t="inlineStr">
        <is>
          <t>ÖSTERGÖTLANDS LÄN</t>
        </is>
      </c>
      <c r="E339" t="inlineStr">
        <is>
          <t>LINKÖPING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6054-2022</t>
        </is>
      </c>
      <c r="B340" s="1" t="n">
        <v>44599.53623842593</v>
      </c>
      <c r="C340" s="1" t="n">
        <v>45912</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31725-2022</t>
        </is>
      </c>
      <c r="B341" s="1" t="n">
        <v>44776.48541666667</v>
      </c>
      <c r="C341" s="1" t="n">
        <v>45912</v>
      </c>
      <c r="D341" t="inlineStr">
        <is>
          <t>ÖSTERGÖTLANDS LÄN</t>
        </is>
      </c>
      <c r="E341" t="inlineStr">
        <is>
          <t>LINKÖPING</t>
        </is>
      </c>
      <c r="G341" t="n">
        <v>2.6</v>
      </c>
      <c r="H341" t="n">
        <v>0</v>
      </c>
      <c r="I341" t="n">
        <v>0</v>
      </c>
      <c r="J341" t="n">
        <v>0</v>
      </c>
      <c r="K341" t="n">
        <v>0</v>
      </c>
      <c r="L341" t="n">
        <v>0</v>
      </c>
      <c r="M341" t="n">
        <v>0</v>
      </c>
      <c r="N341" t="n">
        <v>0</v>
      </c>
      <c r="O341" t="n">
        <v>0</v>
      </c>
      <c r="P341" t="n">
        <v>0</v>
      </c>
      <c r="Q341" t="n">
        <v>0</v>
      </c>
      <c r="R341" s="2" t="inlineStr"/>
    </row>
    <row r="342" ht="15" customHeight="1">
      <c r="A342" t="inlineStr">
        <is>
          <t>A 72567-2021</t>
        </is>
      </c>
      <c r="B342" s="1" t="n">
        <v>44546.45023148148</v>
      </c>
      <c r="C342" s="1" t="n">
        <v>45912</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44155-2024</t>
        </is>
      </c>
      <c r="B343" s="1" t="n">
        <v>45572.68226851852</v>
      </c>
      <c r="C343" s="1" t="n">
        <v>45912</v>
      </c>
      <c r="D343" t="inlineStr">
        <is>
          <t>ÖSTERGÖTLANDS LÄN</t>
        </is>
      </c>
      <c r="E343" t="inlineStr">
        <is>
          <t>LINKÖPING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25829-2025</t>
        </is>
      </c>
      <c r="B344" s="1" t="n">
        <v>45804.44505787037</v>
      </c>
      <c r="C344" s="1" t="n">
        <v>45912</v>
      </c>
      <c r="D344" t="inlineStr">
        <is>
          <t>ÖSTERGÖTLANDS LÄN</t>
        </is>
      </c>
      <c r="E344" t="inlineStr">
        <is>
          <t>LINKÖPING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26002-2025</t>
        </is>
      </c>
      <c r="B345" s="1" t="n">
        <v>45804.66534722222</v>
      </c>
      <c r="C345" s="1" t="n">
        <v>45912</v>
      </c>
      <c r="D345" t="inlineStr">
        <is>
          <t>ÖSTERGÖTLANDS LÄN</t>
        </is>
      </c>
      <c r="E345" t="inlineStr">
        <is>
          <t>LINKÖPING</t>
        </is>
      </c>
      <c r="G345" t="n">
        <v>2.5</v>
      </c>
      <c r="H345" t="n">
        <v>0</v>
      </c>
      <c r="I345" t="n">
        <v>0</v>
      </c>
      <c r="J345" t="n">
        <v>0</v>
      </c>
      <c r="K345" t="n">
        <v>0</v>
      </c>
      <c r="L345" t="n">
        <v>0</v>
      </c>
      <c r="M345" t="n">
        <v>0</v>
      </c>
      <c r="N345" t="n">
        <v>0</v>
      </c>
      <c r="O345" t="n">
        <v>0</v>
      </c>
      <c r="P345" t="n">
        <v>0</v>
      </c>
      <c r="Q345" t="n">
        <v>0</v>
      </c>
      <c r="R345" s="2" t="inlineStr"/>
    </row>
    <row r="346" ht="15" customHeight="1">
      <c r="A346" t="inlineStr">
        <is>
          <t>A 30434-2024</t>
        </is>
      </c>
      <c r="B346" s="1" t="n">
        <v>45491.69811342593</v>
      </c>
      <c r="C346" s="1" t="n">
        <v>45912</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56917-2022</t>
        </is>
      </c>
      <c r="B347" s="1" t="n">
        <v>44894</v>
      </c>
      <c r="C347" s="1" t="n">
        <v>45912</v>
      </c>
      <c r="D347" t="inlineStr">
        <is>
          <t>ÖSTERGÖTLANDS LÄN</t>
        </is>
      </c>
      <c r="E347" t="inlineStr">
        <is>
          <t>LINKÖPING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57766-2023</t>
        </is>
      </c>
      <c r="B348" s="1" t="n">
        <v>45246</v>
      </c>
      <c r="C348" s="1" t="n">
        <v>45912</v>
      </c>
      <c r="D348" t="inlineStr">
        <is>
          <t>ÖSTERGÖTLANDS LÄN</t>
        </is>
      </c>
      <c r="E348" t="inlineStr">
        <is>
          <t>LINKÖPING</t>
        </is>
      </c>
      <c r="F348" t="inlineStr">
        <is>
          <t>Allmännings- och besparingsskogar</t>
        </is>
      </c>
      <c r="G348" t="n">
        <v>12.8</v>
      </c>
      <c r="H348" t="n">
        <v>0</v>
      </c>
      <c r="I348" t="n">
        <v>0</v>
      </c>
      <c r="J348" t="n">
        <v>0</v>
      </c>
      <c r="K348" t="n">
        <v>0</v>
      </c>
      <c r="L348" t="n">
        <v>0</v>
      </c>
      <c r="M348" t="n">
        <v>0</v>
      </c>
      <c r="N348" t="n">
        <v>0</v>
      </c>
      <c r="O348" t="n">
        <v>0</v>
      </c>
      <c r="P348" t="n">
        <v>0</v>
      </c>
      <c r="Q348" t="n">
        <v>0</v>
      </c>
      <c r="R348" s="2" t="inlineStr"/>
    </row>
    <row r="349" ht="15" customHeight="1">
      <c r="A349" t="inlineStr">
        <is>
          <t>A 25996-2025</t>
        </is>
      </c>
      <c r="B349" s="1" t="n">
        <v>45804.65851851852</v>
      </c>
      <c r="C349" s="1" t="n">
        <v>45912</v>
      </c>
      <c r="D349" t="inlineStr">
        <is>
          <t>ÖSTERGÖTLANDS LÄN</t>
        </is>
      </c>
      <c r="E349" t="inlineStr">
        <is>
          <t>LINKÖPING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25568-2024</t>
        </is>
      </c>
      <c r="B350" s="1" t="n">
        <v>45463.58699074074</v>
      </c>
      <c r="C350" s="1" t="n">
        <v>45912</v>
      </c>
      <c r="D350" t="inlineStr">
        <is>
          <t>ÖSTERGÖTLANDS LÄN</t>
        </is>
      </c>
      <c r="E350" t="inlineStr">
        <is>
          <t>LINKÖPING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57391-2023</t>
        </is>
      </c>
      <c r="B351" s="1" t="n">
        <v>45245</v>
      </c>
      <c r="C351" s="1" t="n">
        <v>45912</v>
      </c>
      <c r="D351" t="inlineStr">
        <is>
          <t>ÖSTERGÖTLANDS LÄN</t>
        </is>
      </c>
      <c r="E351" t="inlineStr">
        <is>
          <t>LINKÖPING</t>
        </is>
      </c>
      <c r="F351" t="inlineStr">
        <is>
          <t>Övriga Aktiebolag</t>
        </is>
      </c>
      <c r="G351" t="n">
        <v>1.7</v>
      </c>
      <c r="H351" t="n">
        <v>0</v>
      </c>
      <c r="I351" t="n">
        <v>0</v>
      </c>
      <c r="J351" t="n">
        <v>0</v>
      </c>
      <c r="K351" t="n">
        <v>0</v>
      </c>
      <c r="L351" t="n">
        <v>0</v>
      </c>
      <c r="M351" t="n">
        <v>0</v>
      </c>
      <c r="N351" t="n">
        <v>0</v>
      </c>
      <c r="O351" t="n">
        <v>0</v>
      </c>
      <c r="P351" t="n">
        <v>0</v>
      </c>
      <c r="Q351" t="n">
        <v>0</v>
      </c>
      <c r="R351" s="2" t="inlineStr"/>
    </row>
    <row r="352" ht="15" customHeight="1">
      <c r="A352" t="inlineStr">
        <is>
          <t>A 7992-2023</t>
        </is>
      </c>
      <c r="B352" s="1" t="n">
        <v>44970</v>
      </c>
      <c r="C352" s="1" t="n">
        <v>45912</v>
      </c>
      <c r="D352" t="inlineStr">
        <is>
          <t>ÖSTERGÖTLANDS LÄN</t>
        </is>
      </c>
      <c r="E352" t="inlineStr">
        <is>
          <t>LINKÖPING</t>
        </is>
      </c>
      <c r="F352" t="inlineStr">
        <is>
          <t>Kommuner</t>
        </is>
      </c>
      <c r="G352" t="n">
        <v>1</v>
      </c>
      <c r="H352" t="n">
        <v>0</v>
      </c>
      <c r="I352" t="n">
        <v>0</v>
      </c>
      <c r="J352" t="n">
        <v>0</v>
      </c>
      <c r="K352" t="n">
        <v>0</v>
      </c>
      <c r="L352" t="n">
        <v>0</v>
      </c>
      <c r="M352" t="n">
        <v>0</v>
      </c>
      <c r="N352" t="n">
        <v>0</v>
      </c>
      <c r="O352" t="n">
        <v>0</v>
      </c>
      <c r="P352" t="n">
        <v>0</v>
      </c>
      <c r="Q352" t="n">
        <v>0</v>
      </c>
      <c r="R352" s="2" t="inlineStr"/>
    </row>
    <row r="353" ht="15" customHeight="1">
      <c r="A353" t="inlineStr">
        <is>
          <t>A 3042-2024</t>
        </is>
      </c>
      <c r="B353" s="1" t="n">
        <v>45316.35028935185</v>
      </c>
      <c r="C353" s="1" t="n">
        <v>45912</v>
      </c>
      <c r="D353" t="inlineStr">
        <is>
          <t>ÖSTERGÖTLANDS LÄN</t>
        </is>
      </c>
      <c r="E353" t="inlineStr">
        <is>
          <t>LINKÖPING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13689-2025</t>
        </is>
      </c>
      <c r="B354" s="1" t="n">
        <v>45737.31590277778</v>
      </c>
      <c r="C354" s="1" t="n">
        <v>45912</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13696-2025</t>
        </is>
      </c>
      <c r="B355" s="1" t="n">
        <v>45737.32273148148</v>
      </c>
      <c r="C355" s="1" t="n">
        <v>45912</v>
      </c>
      <c r="D355" t="inlineStr">
        <is>
          <t>ÖSTERGÖTLANDS LÄN</t>
        </is>
      </c>
      <c r="E355" t="inlineStr">
        <is>
          <t>LINKÖPING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61227-2024</t>
        </is>
      </c>
      <c r="B356" s="1" t="n">
        <v>45645.66853009259</v>
      </c>
      <c r="C356" s="1" t="n">
        <v>45912</v>
      </c>
      <c r="D356" t="inlineStr">
        <is>
          <t>ÖSTERGÖTLANDS LÄN</t>
        </is>
      </c>
      <c r="E356" t="inlineStr">
        <is>
          <t>LINKÖPING</t>
        </is>
      </c>
      <c r="G356" t="n">
        <v>6</v>
      </c>
      <c r="H356" t="n">
        <v>0</v>
      </c>
      <c r="I356" t="n">
        <v>0</v>
      </c>
      <c r="J356" t="n">
        <v>0</v>
      </c>
      <c r="K356" t="n">
        <v>0</v>
      </c>
      <c r="L356" t="n">
        <v>0</v>
      </c>
      <c r="M356" t="n">
        <v>0</v>
      </c>
      <c r="N356" t="n">
        <v>0</v>
      </c>
      <c r="O356" t="n">
        <v>0</v>
      </c>
      <c r="P356" t="n">
        <v>0</v>
      </c>
      <c r="Q356" t="n">
        <v>0</v>
      </c>
      <c r="R356" s="2" t="inlineStr"/>
    </row>
    <row r="357" ht="15" customHeight="1">
      <c r="A357" t="inlineStr">
        <is>
          <t>A 22833-2023</t>
        </is>
      </c>
      <c r="B357" s="1" t="n">
        <v>45071</v>
      </c>
      <c r="C357" s="1" t="n">
        <v>45912</v>
      </c>
      <c r="D357" t="inlineStr">
        <is>
          <t>ÖSTERGÖTLANDS LÄN</t>
        </is>
      </c>
      <c r="E357" t="inlineStr">
        <is>
          <t>LINKÖPING</t>
        </is>
      </c>
      <c r="F357" t="inlineStr">
        <is>
          <t>Kommuner</t>
        </is>
      </c>
      <c r="G357" t="n">
        <v>1</v>
      </c>
      <c r="H357" t="n">
        <v>0</v>
      </c>
      <c r="I357" t="n">
        <v>0</v>
      </c>
      <c r="J357" t="n">
        <v>0</v>
      </c>
      <c r="K357" t="n">
        <v>0</v>
      </c>
      <c r="L357" t="n">
        <v>0</v>
      </c>
      <c r="M357" t="n">
        <v>0</v>
      </c>
      <c r="N357" t="n">
        <v>0</v>
      </c>
      <c r="O357" t="n">
        <v>0</v>
      </c>
      <c r="P357" t="n">
        <v>0</v>
      </c>
      <c r="Q357" t="n">
        <v>0</v>
      </c>
      <c r="R357" s="2" t="inlineStr"/>
    </row>
    <row r="358" ht="15" customHeight="1">
      <c r="A358" t="inlineStr">
        <is>
          <t>A 1924-2024</t>
        </is>
      </c>
      <c r="B358" s="1" t="n">
        <v>45308</v>
      </c>
      <c r="C358" s="1" t="n">
        <v>45912</v>
      </c>
      <c r="D358" t="inlineStr">
        <is>
          <t>ÖSTERGÖTLANDS LÄN</t>
        </is>
      </c>
      <c r="E358" t="inlineStr">
        <is>
          <t>LINKÖPING</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32346-2023</t>
        </is>
      </c>
      <c r="B359" s="1" t="n">
        <v>45120</v>
      </c>
      <c r="C359" s="1" t="n">
        <v>45912</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2997-2025</t>
        </is>
      </c>
      <c r="B360" s="1" t="n">
        <v>45678.54631944445</v>
      </c>
      <c r="C360" s="1" t="n">
        <v>45912</v>
      </c>
      <c r="D360" t="inlineStr">
        <is>
          <t>ÖSTERGÖTLANDS LÄN</t>
        </is>
      </c>
      <c r="E360" t="inlineStr">
        <is>
          <t>LINKÖPING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50508-2024</t>
        </is>
      </c>
      <c r="B361" s="1" t="n">
        <v>45601.53907407408</v>
      </c>
      <c r="C361" s="1" t="n">
        <v>45912</v>
      </c>
      <c r="D361" t="inlineStr">
        <is>
          <t>ÖSTERGÖTLANDS LÄN</t>
        </is>
      </c>
      <c r="E361" t="inlineStr">
        <is>
          <t>LINKÖPING</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41345-2021</t>
        </is>
      </c>
      <c r="B362" s="1" t="n">
        <v>44424.61851851852</v>
      </c>
      <c r="C362" s="1" t="n">
        <v>45912</v>
      </c>
      <c r="D362" t="inlineStr">
        <is>
          <t>ÖSTERGÖTLANDS LÄN</t>
        </is>
      </c>
      <c r="E362" t="inlineStr">
        <is>
          <t>LINKÖPING</t>
        </is>
      </c>
      <c r="F362" t="inlineStr">
        <is>
          <t>Sveaskog</t>
        </is>
      </c>
      <c r="G362" t="n">
        <v>6.3</v>
      </c>
      <c r="H362" t="n">
        <v>0</v>
      </c>
      <c r="I362" t="n">
        <v>0</v>
      </c>
      <c r="J362" t="n">
        <v>0</v>
      </c>
      <c r="K362" t="n">
        <v>0</v>
      </c>
      <c r="L362" t="n">
        <v>0</v>
      </c>
      <c r="M362" t="n">
        <v>0</v>
      </c>
      <c r="N362" t="n">
        <v>0</v>
      </c>
      <c r="O362" t="n">
        <v>0</v>
      </c>
      <c r="P362" t="n">
        <v>0</v>
      </c>
      <c r="Q362" t="n">
        <v>0</v>
      </c>
      <c r="R362" s="2" t="inlineStr"/>
    </row>
    <row r="363" ht="15" customHeight="1">
      <c r="A363" t="inlineStr">
        <is>
          <t>A 13266-2025</t>
        </is>
      </c>
      <c r="B363" s="1" t="n">
        <v>45735.53318287037</v>
      </c>
      <c r="C363" s="1" t="n">
        <v>45912</v>
      </c>
      <c r="D363" t="inlineStr">
        <is>
          <t>ÖSTERGÖTLANDS LÄN</t>
        </is>
      </c>
      <c r="E363" t="inlineStr">
        <is>
          <t>LINKÖPING</t>
        </is>
      </c>
      <c r="G363" t="n">
        <v>3.1</v>
      </c>
      <c r="H363" t="n">
        <v>0</v>
      </c>
      <c r="I363" t="n">
        <v>0</v>
      </c>
      <c r="J363" t="n">
        <v>0</v>
      </c>
      <c r="K363" t="n">
        <v>0</v>
      </c>
      <c r="L363" t="n">
        <v>0</v>
      </c>
      <c r="M363" t="n">
        <v>0</v>
      </c>
      <c r="N363" t="n">
        <v>0</v>
      </c>
      <c r="O363" t="n">
        <v>0</v>
      </c>
      <c r="P363" t="n">
        <v>0</v>
      </c>
      <c r="Q363" t="n">
        <v>0</v>
      </c>
      <c r="R363" s="2" t="inlineStr"/>
    </row>
    <row r="364" ht="15" customHeight="1">
      <c r="A364" t="inlineStr">
        <is>
          <t>A 7808-2022</t>
        </is>
      </c>
      <c r="B364" s="1" t="n">
        <v>44608</v>
      </c>
      <c r="C364" s="1" t="n">
        <v>45912</v>
      </c>
      <c r="D364" t="inlineStr">
        <is>
          <t>ÖSTERGÖTLANDS LÄN</t>
        </is>
      </c>
      <c r="E364" t="inlineStr">
        <is>
          <t>LINKÖPING</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27844-2024</t>
        </is>
      </c>
      <c r="B365" s="1" t="n">
        <v>45475.63047453704</v>
      </c>
      <c r="C365" s="1" t="n">
        <v>45912</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16213-2025</t>
        </is>
      </c>
      <c r="B366" s="1" t="n">
        <v>45750.62740740741</v>
      </c>
      <c r="C366" s="1" t="n">
        <v>45912</v>
      </c>
      <c r="D366" t="inlineStr">
        <is>
          <t>ÖSTERGÖTLANDS LÄN</t>
        </is>
      </c>
      <c r="E366" t="inlineStr">
        <is>
          <t>LINKÖPING</t>
        </is>
      </c>
      <c r="G366" t="n">
        <v>3.4</v>
      </c>
      <c r="H366" t="n">
        <v>0</v>
      </c>
      <c r="I366" t="n">
        <v>0</v>
      </c>
      <c r="J366" t="n">
        <v>0</v>
      </c>
      <c r="K366" t="n">
        <v>0</v>
      </c>
      <c r="L366" t="n">
        <v>0</v>
      </c>
      <c r="M366" t="n">
        <v>0</v>
      </c>
      <c r="N366" t="n">
        <v>0</v>
      </c>
      <c r="O366" t="n">
        <v>0</v>
      </c>
      <c r="P366" t="n">
        <v>0</v>
      </c>
      <c r="Q366" t="n">
        <v>0</v>
      </c>
      <c r="R366" s="2" t="inlineStr"/>
    </row>
    <row r="367" ht="15" customHeight="1">
      <c r="A367" t="inlineStr">
        <is>
          <t>A 40810-2022</t>
        </is>
      </c>
      <c r="B367" s="1" t="n">
        <v>44824</v>
      </c>
      <c r="C367" s="1" t="n">
        <v>45912</v>
      </c>
      <c r="D367" t="inlineStr">
        <is>
          <t>ÖSTERGÖTLANDS LÄN</t>
        </is>
      </c>
      <c r="E367" t="inlineStr">
        <is>
          <t>LINKÖPING</t>
        </is>
      </c>
      <c r="G367" t="n">
        <v>2.8</v>
      </c>
      <c r="H367" t="n">
        <v>0</v>
      </c>
      <c r="I367" t="n">
        <v>0</v>
      </c>
      <c r="J367" t="n">
        <v>0</v>
      </c>
      <c r="K367" t="n">
        <v>0</v>
      </c>
      <c r="L367" t="n">
        <v>0</v>
      </c>
      <c r="M367" t="n">
        <v>0</v>
      </c>
      <c r="N367" t="n">
        <v>0</v>
      </c>
      <c r="O367" t="n">
        <v>0</v>
      </c>
      <c r="P367" t="n">
        <v>0</v>
      </c>
      <c r="Q367" t="n">
        <v>0</v>
      </c>
      <c r="R367" s="2" t="inlineStr"/>
    </row>
    <row r="368" ht="15" customHeight="1">
      <c r="A368" t="inlineStr">
        <is>
          <t>A 37683-2024</t>
        </is>
      </c>
      <c r="B368" s="1" t="n">
        <v>45541.59120370371</v>
      </c>
      <c r="C368" s="1" t="n">
        <v>45912</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51559-2024</t>
        </is>
      </c>
      <c r="B369" s="1" t="n">
        <v>45604.61431712963</v>
      </c>
      <c r="C369" s="1" t="n">
        <v>45912</v>
      </c>
      <c r="D369" t="inlineStr">
        <is>
          <t>ÖSTERGÖTLANDS LÄN</t>
        </is>
      </c>
      <c r="E369" t="inlineStr">
        <is>
          <t>LINKÖPING</t>
        </is>
      </c>
      <c r="F369" t="inlineStr">
        <is>
          <t>Övriga Aktiebolag</t>
        </is>
      </c>
      <c r="G369" t="n">
        <v>2.4</v>
      </c>
      <c r="H369" t="n">
        <v>0</v>
      </c>
      <c r="I369" t="n">
        <v>0</v>
      </c>
      <c r="J369" t="n">
        <v>0</v>
      </c>
      <c r="K369" t="n">
        <v>0</v>
      </c>
      <c r="L369" t="n">
        <v>0</v>
      </c>
      <c r="M369" t="n">
        <v>0</v>
      </c>
      <c r="N369" t="n">
        <v>0</v>
      </c>
      <c r="O369" t="n">
        <v>0</v>
      </c>
      <c r="P369" t="n">
        <v>0</v>
      </c>
      <c r="Q369" t="n">
        <v>0</v>
      </c>
      <c r="R369" s="2" t="inlineStr"/>
    </row>
    <row r="370" ht="15" customHeight="1">
      <c r="A370" t="inlineStr">
        <is>
          <t>A 49979-2022</t>
        </is>
      </c>
      <c r="B370" s="1" t="n">
        <v>44865</v>
      </c>
      <c r="C370" s="1" t="n">
        <v>45912</v>
      </c>
      <c r="D370" t="inlineStr">
        <is>
          <t>ÖSTERGÖTLANDS LÄN</t>
        </is>
      </c>
      <c r="E370" t="inlineStr">
        <is>
          <t>LINKÖPING</t>
        </is>
      </c>
      <c r="F370" t="inlineStr">
        <is>
          <t>Övriga Aktiebolag</t>
        </is>
      </c>
      <c r="G370" t="n">
        <v>11.4</v>
      </c>
      <c r="H370" t="n">
        <v>0</v>
      </c>
      <c r="I370" t="n">
        <v>0</v>
      </c>
      <c r="J370" t="n">
        <v>0</v>
      </c>
      <c r="K370" t="n">
        <v>0</v>
      </c>
      <c r="L370" t="n">
        <v>0</v>
      </c>
      <c r="M370" t="n">
        <v>0</v>
      </c>
      <c r="N370" t="n">
        <v>0</v>
      </c>
      <c r="O370" t="n">
        <v>0</v>
      </c>
      <c r="P370" t="n">
        <v>0</v>
      </c>
      <c r="Q370" t="n">
        <v>0</v>
      </c>
      <c r="R370" s="2" t="inlineStr"/>
    </row>
    <row r="371" ht="15" customHeight="1">
      <c r="A371" t="inlineStr">
        <is>
          <t>A 39219-2021</t>
        </is>
      </c>
      <c r="B371" s="1" t="n">
        <v>44413</v>
      </c>
      <c r="C371" s="1" t="n">
        <v>45912</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39224-2021</t>
        </is>
      </c>
      <c r="B372" s="1" t="n">
        <v>44413</v>
      </c>
      <c r="C372" s="1" t="n">
        <v>45912</v>
      </c>
      <c r="D372" t="inlineStr">
        <is>
          <t>ÖSTERGÖTLANDS LÄN</t>
        </is>
      </c>
      <c r="E372" t="inlineStr">
        <is>
          <t>LINKÖPING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62495-2023</t>
        </is>
      </c>
      <c r="B373" s="1" t="n">
        <v>45268.59717592593</v>
      </c>
      <c r="C373" s="1" t="n">
        <v>45912</v>
      </c>
      <c r="D373" t="inlineStr">
        <is>
          <t>ÖSTERGÖTLANDS LÄN</t>
        </is>
      </c>
      <c r="E373" t="inlineStr">
        <is>
          <t>LINKÖPING</t>
        </is>
      </c>
      <c r="G373" t="n">
        <v>4.1</v>
      </c>
      <c r="H373" t="n">
        <v>0</v>
      </c>
      <c r="I373" t="n">
        <v>0</v>
      </c>
      <c r="J373" t="n">
        <v>0</v>
      </c>
      <c r="K373" t="n">
        <v>0</v>
      </c>
      <c r="L373" t="n">
        <v>0</v>
      </c>
      <c r="M373" t="n">
        <v>0</v>
      </c>
      <c r="N373" t="n">
        <v>0</v>
      </c>
      <c r="O373" t="n">
        <v>0</v>
      </c>
      <c r="P373" t="n">
        <v>0</v>
      </c>
      <c r="Q373" t="n">
        <v>0</v>
      </c>
      <c r="R373" s="2" t="inlineStr"/>
    </row>
    <row r="374" ht="15" customHeight="1">
      <c r="A374" t="inlineStr">
        <is>
          <t>A 46225-2021</t>
        </is>
      </c>
      <c r="B374" s="1" t="n">
        <v>44442</v>
      </c>
      <c r="C374" s="1" t="n">
        <v>45912</v>
      </c>
      <c r="D374" t="inlineStr">
        <is>
          <t>ÖSTERGÖTLANDS LÄN</t>
        </is>
      </c>
      <c r="E374" t="inlineStr">
        <is>
          <t>LINKÖPING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25776-2021</t>
        </is>
      </c>
      <c r="B375" s="1" t="n">
        <v>44343</v>
      </c>
      <c r="C375" s="1" t="n">
        <v>45912</v>
      </c>
      <c r="D375" t="inlineStr">
        <is>
          <t>ÖSTERGÖTLANDS LÄN</t>
        </is>
      </c>
      <c r="E375" t="inlineStr">
        <is>
          <t>LINKÖPING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51484-2023</t>
        </is>
      </c>
      <c r="B376" s="1" t="n">
        <v>45222</v>
      </c>
      <c r="C376" s="1" t="n">
        <v>45912</v>
      </c>
      <c r="D376" t="inlineStr">
        <is>
          <t>ÖSTERGÖTLANDS LÄN</t>
        </is>
      </c>
      <c r="E376" t="inlineStr">
        <is>
          <t>LINKÖPING</t>
        </is>
      </c>
      <c r="F376" t="inlineStr">
        <is>
          <t>Övriga Aktiebolag</t>
        </is>
      </c>
      <c r="G376" t="n">
        <v>7.7</v>
      </c>
      <c r="H376" t="n">
        <v>0</v>
      </c>
      <c r="I376" t="n">
        <v>0</v>
      </c>
      <c r="J376" t="n">
        <v>0</v>
      </c>
      <c r="K376" t="n">
        <v>0</v>
      </c>
      <c r="L376" t="n">
        <v>0</v>
      </c>
      <c r="M376" t="n">
        <v>0</v>
      </c>
      <c r="N376" t="n">
        <v>0</v>
      </c>
      <c r="O376" t="n">
        <v>0</v>
      </c>
      <c r="P376" t="n">
        <v>0</v>
      </c>
      <c r="Q376" t="n">
        <v>0</v>
      </c>
      <c r="R376" s="2" t="inlineStr"/>
    </row>
    <row r="377" ht="15" customHeight="1">
      <c r="A377" t="inlineStr">
        <is>
          <t>A 29413-2023</t>
        </is>
      </c>
      <c r="B377" s="1" t="n">
        <v>45106.46465277778</v>
      </c>
      <c r="C377" s="1" t="n">
        <v>45912</v>
      </c>
      <c r="D377" t="inlineStr">
        <is>
          <t>ÖSTERGÖTLANDS LÄN</t>
        </is>
      </c>
      <c r="E377" t="inlineStr">
        <is>
          <t>LINKÖPING</t>
        </is>
      </c>
      <c r="G377" t="n">
        <v>8</v>
      </c>
      <c r="H377" t="n">
        <v>0</v>
      </c>
      <c r="I377" t="n">
        <v>0</v>
      </c>
      <c r="J377" t="n">
        <v>0</v>
      </c>
      <c r="K377" t="n">
        <v>0</v>
      </c>
      <c r="L377" t="n">
        <v>0</v>
      </c>
      <c r="M377" t="n">
        <v>0</v>
      </c>
      <c r="N377" t="n">
        <v>0</v>
      </c>
      <c r="O377" t="n">
        <v>0</v>
      </c>
      <c r="P377" t="n">
        <v>0</v>
      </c>
      <c r="Q377" t="n">
        <v>0</v>
      </c>
      <c r="R377" s="2" t="inlineStr"/>
    </row>
    <row r="378" ht="15" customHeight="1">
      <c r="A378" t="inlineStr">
        <is>
          <t>A 27264-2025</t>
        </is>
      </c>
      <c r="B378" s="1" t="n">
        <v>45812.4794212963</v>
      </c>
      <c r="C378" s="1" t="n">
        <v>45912</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25948-2023</t>
        </is>
      </c>
      <c r="B379" s="1" t="n">
        <v>45090</v>
      </c>
      <c r="C379" s="1" t="n">
        <v>45912</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17898-2022</t>
        </is>
      </c>
      <c r="B380" s="1" t="n">
        <v>44683</v>
      </c>
      <c r="C380" s="1" t="n">
        <v>45912</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1627-2023</t>
        </is>
      </c>
      <c r="B381" s="1" t="n">
        <v>44937</v>
      </c>
      <c r="C381" s="1" t="n">
        <v>45912</v>
      </c>
      <c r="D381" t="inlineStr">
        <is>
          <t>ÖSTERGÖTLANDS LÄN</t>
        </is>
      </c>
      <c r="E381" t="inlineStr">
        <is>
          <t>LINKÖPING</t>
        </is>
      </c>
      <c r="G381" t="n">
        <v>10.8</v>
      </c>
      <c r="H381" t="n">
        <v>0</v>
      </c>
      <c r="I381" t="n">
        <v>0</v>
      </c>
      <c r="J381" t="n">
        <v>0</v>
      </c>
      <c r="K381" t="n">
        <v>0</v>
      </c>
      <c r="L381" t="n">
        <v>0</v>
      </c>
      <c r="M381" t="n">
        <v>0</v>
      </c>
      <c r="N381" t="n">
        <v>0</v>
      </c>
      <c r="O381" t="n">
        <v>0</v>
      </c>
      <c r="P381" t="n">
        <v>0</v>
      </c>
      <c r="Q381" t="n">
        <v>0</v>
      </c>
      <c r="R381" s="2" t="inlineStr"/>
    </row>
    <row r="382" ht="15" customHeight="1">
      <c r="A382" t="inlineStr">
        <is>
          <t>A 63487-2023</t>
        </is>
      </c>
      <c r="B382" s="1" t="n">
        <v>45274.66712962963</v>
      </c>
      <c r="C382" s="1" t="n">
        <v>45912</v>
      </c>
      <c r="D382" t="inlineStr">
        <is>
          <t>ÖSTERGÖTLANDS LÄN</t>
        </is>
      </c>
      <c r="E382" t="inlineStr">
        <is>
          <t>LINKÖPING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30481-2023</t>
        </is>
      </c>
      <c r="B383" s="1" t="n">
        <v>45111</v>
      </c>
      <c r="C383" s="1" t="n">
        <v>45912</v>
      </c>
      <c r="D383" t="inlineStr">
        <is>
          <t>ÖSTERGÖTLANDS LÄN</t>
        </is>
      </c>
      <c r="E383" t="inlineStr">
        <is>
          <t>LINKÖPING</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21782-2024</t>
        </is>
      </c>
      <c r="B384" s="1" t="n">
        <v>45442.63368055555</v>
      </c>
      <c r="C384" s="1" t="n">
        <v>45912</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35463-2023</t>
        </is>
      </c>
      <c r="B385" s="1" t="n">
        <v>45146</v>
      </c>
      <c r="C385" s="1" t="n">
        <v>45912</v>
      </c>
      <c r="D385" t="inlineStr">
        <is>
          <t>ÖSTERGÖTLANDS LÄN</t>
        </is>
      </c>
      <c r="E385" t="inlineStr">
        <is>
          <t>LINKÖPING</t>
        </is>
      </c>
      <c r="F385" t="inlineStr">
        <is>
          <t>Övriga Aktiebolag</t>
        </is>
      </c>
      <c r="G385" t="n">
        <v>1.8</v>
      </c>
      <c r="H385" t="n">
        <v>0</v>
      </c>
      <c r="I385" t="n">
        <v>0</v>
      </c>
      <c r="J385" t="n">
        <v>0</v>
      </c>
      <c r="K385" t="n">
        <v>0</v>
      </c>
      <c r="L385" t="n">
        <v>0</v>
      </c>
      <c r="M385" t="n">
        <v>0</v>
      </c>
      <c r="N385" t="n">
        <v>0</v>
      </c>
      <c r="O385" t="n">
        <v>0</v>
      </c>
      <c r="P385" t="n">
        <v>0</v>
      </c>
      <c r="Q385" t="n">
        <v>0</v>
      </c>
      <c r="R385" s="2" t="inlineStr"/>
    </row>
    <row r="386" ht="15" customHeight="1">
      <c r="A386" t="inlineStr">
        <is>
          <t>A 11671-2023</t>
        </is>
      </c>
      <c r="B386" s="1" t="n">
        <v>44994.48125</v>
      </c>
      <c r="C386" s="1" t="n">
        <v>45912</v>
      </c>
      <c r="D386" t="inlineStr">
        <is>
          <t>ÖSTERGÖTLANDS LÄN</t>
        </is>
      </c>
      <c r="E386" t="inlineStr">
        <is>
          <t>LINKÖPING</t>
        </is>
      </c>
      <c r="G386" t="n">
        <v>2.6</v>
      </c>
      <c r="H386" t="n">
        <v>0</v>
      </c>
      <c r="I386" t="n">
        <v>0</v>
      </c>
      <c r="J386" t="n">
        <v>0</v>
      </c>
      <c r="K386" t="n">
        <v>0</v>
      </c>
      <c r="L386" t="n">
        <v>0</v>
      </c>
      <c r="M386" t="n">
        <v>0</v>
      </c>
      <c r="N386" t="n">
        <v>0</v>
      </c>
      <c r="O386" t="n">
        <v>0</v>
      </c>
      <c r="P386" t="n">
        <v>0</v>
      </c>
      <c r="Q386" t="n">
        <v>0</v>
      </c>
      <c r="R386" s="2" t="inlineStr"/>
    </row>
    <row r="387" ht="15" customHeight="1">
      <c r="A387" t="inlineStr">
        <is>
          <t>A 27950-2025</t>
        </is>
      </c>
      <c r="B387" s="1" t="n">
        <v>45817.52960648148</v>
      </c>
      <c r="C387" s="1" t="n">
        <v>45912</v>
      </c>
      <c r="D387" t="inlineStr">
        <is>
          <t>ÖSTERGÖTLANDS LÄN</t>
        </is>
      </c>
      <c r="E387" t="inlineStr">
        <is>
          <t>LINKÖPING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3013-2023</t>
        </is>
      </c>
      <c r="B388" s="1" t="n">
        <v>44945.8092824074</v>
      </c>
      <c r="C388" s="1" t="n">
        <v>45912</v>
      </c>
      <c r="D388" t="inlineStr">
        <is>
          <t>ÖSTERGÖTLANDS LÄN</t>
        </is>
      </c>
      <c r="E388" t="inlineStr">
        <is>
          <t>LINKÖPING</t>
        </is>
      </c>
      <c r="G388" t="n">
        <v>5.2</v>
      </c>
      <c r="H388" t="n">
        <v>0</v>
      </c>
      <c r="I388" t="n">
        <v>0</v>
      </c>
      <c r="J388" t="n">
        <v>0</v>
      </c>
      <c r="K388" t="n">
        <v>0</v>
      </c>
      <c r="L388" t="n">
        <v>0</v>
      </c>
      <c r="M388" t="n">
        <v>0</v>
      </c>
      <c r="N388" t="n">
        <v>0</v>
      </c>
      <c r="O388" t="n">
        <v>0</v>
      </c>
      <c r="P388" t="n">
        <v>0</v>
      </c>
      <c r="Q388" t="n">
        <v>0</v>
      </c>
      <c r="R388" s="2" t="inlineStr"/>
    </row>
    <row r="389" ht="15" customHeight="1">
      <c r="A389" t="inlineStr">
        <is>
          <t>A 55632-2022</t>
        </is>
      </c>
      <c r="B389" s="1" t="n">
        <v>44888</v>
      </c>
      <c r="C389" s="1" t="n">
        <v>45912</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49747-2024</t>
        </is>
      </c>
      <c r="B390" s="1" t="n">
        <v>45596</v>
      </c>
      <c r="C390" s="1" t="n">
        <v>45912</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42997-2021</t>
        </is>
      </c>
      <c r="B391" s="1" t="n">
        <v>44431.45556712963</v>
      </c>
      <c r="C391" s="1" t="n">
        <v>45912</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27797-2025</t>
        </is>
      </c>
      <c r="B392" s="1" t="n">
        <v>45816.80521990741</v>
      </c>
      <c r="C392" s="1" t="n">
        <v>45912</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27798-2025</t>
        </is>
      </c>
      <c r="B393" s="1" t="n">
        <v>45816.81532407407</v>
      </c>
      <c r="C393" s="1" t="n">
        <v>45912</v>
      </c>
      <c r="D393" t="inlineStr">
        <is>
          <t>ÖSTERGÖTLANDS LÄN</t>
        </is>
      </c>
      <c r="E393" t="inlineStr">
        <is>
          <t>LINKÖPING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63559-2023</t>
        </is>
      </c>
      <c r="B394" s="1" t="n">
        <v>45275.35924768518</v>
      </c>
      <c r="C394" s="1" t="n">
        <v>45912</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28200-2025</t>
        </is>
      </c>
      <c r="B395" s="1" t="n">
        <v>45818.4428125</v>
      </c>
      <c r="C395" s="1" t="n">
        <v>45912</v>
      </c>
      <c r="D395" t="inlineStr">
        <is>
          <t>ÖSTERGÖTLANDS LÄN</t>
        </is>
      </c>
      <c r="E395" t="inlineStr">
        <is>
          <t>LINKÖPING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3011-2023</t>
        </is>
      </c>
      <c r="B396" s="1" t="n">
        <v>44945</v>
      </c>
      <c r="C396" s="1" t="n">
        <v>45912</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23735-2023</t>
        </is>
      </c>
      <c r="B397" s="1" t="n">
        <v>45077</v>
      </c>
      <c r="C397" s="1" t="n">
        <v>45912</v>
      </c>
      <c r="D397" t="inlineStr">
        <is>
          <t>ÖSTERGÖTLANDS LÄN</t>
        </is>
      </c>
      <c r="E397" t="inlineStr">
        <is>
          <t>LINKÖPING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58114-2021</t>
        </is>
      </c>
      <c r="B398" s="1" t="n">
        <v>44487</v>
      </c>
      <c r="C398" s="1" t="n">
        <v>45912</v>
      </c>
      <c r="D398" t="inlineStr">
        <is>
          <t>ÖSTERGÖTLANDS LÄN</t>
        </is>
      </c>
      <c r="E398" t="inlineStr">
        <is>
          <t>LINKÖPING</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28204-2025</t>
        </is>
      </c>
      <c r="B399" s="1" t="n">
        <v>45818.4477662037</v>
      </c>
      <c r="C399" s="1" t="n">
        <v>45912</v>
      </c>
      <c r="D399" t="inlineStr">
        <is>
          <t>ÖSTERGÖTLANDS LÄN</t>
        </is>
      </c>
      <c r="E399" t="inlineStr">
        <is>
          <t>LINKÖPING</t>
        </is>
      </c>
      <c r="G399" t="n">
        <v>2.9</v>
      </c>
      <c r="H399" t="n">
        <v>0</v>
      </c>
      <c r="I399" t="n">
        <v>0</v>
      </c>
      <c r="J399" t="n">
        <v>0</v>
      </c>
      <c r="K399" t="n">
        <v>0</v>
      </c>
      <c r="L399" t="n">
        <v>0</v>
      </c>
      <c r="M399" t="n">
        <v>0</v>
      </c>
      <c r="N399" t="n">
        <v>0</v>
      </c>
      <c r="O399" t="n">
        <v>0</v>
      </c>
      <c r="P399" t="n">
        <v>0</v>
      </c>
      <c r="Q399" t="n">
        <v>0</v>
      </c>
      <c r="R399" s="2" t="inlineStr"/>
    </row>
    <row r="400" ht="15" customHeight="1">
      <c r="A400" t="inlineStr">
        <is>
          <t>A 28416-2025</t>
        </is>
      </c>
      <c r="B400" s="1" t="n">
        <v>45819.35346064815</v>
      </c>
      <c r="C400" s="1" t="n">
        <v>45912</v>
      </c>
      <c r="D400" t="inlineStr">
        <is>
          <t>ÖSTERGÖTLANDS LÄN</t>
        </is>
      </c>
      <c r="E400" t="inlineStr">
        <is>
          <t>LINKÖPING</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45821-2024</t>
        </is>
      </c>
      <c r="B401" s="1" t="n">
        <v>45579.75803240741</v>
      </c>
      <c r="C401" s="1" t="n">
        <v>45912</v>
      </c>
      <c r="D401" t="inlineStr">
        <is>
          <t>ÖSTERGÖTLANDS LÄN</t>
        </is>
      </c>
      <c r="E401" t="inlineStr">
        <is>
          <t>LINKÖPING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55944-2024</t>
        </is>
      </c>
      <c r="B402" s="1" t="n">
        <v>45623.61640046296</v>
      </c>
      <c r="C402" s="1" t="n">
        <v>45912</v>
      </c>
      <c r="D402" t="inlineStr">
        <is>
          <t>ÖSTERGÖTLANDS LÄN</t>
        </is>
      </c>
      <c r="E402" t="inlineStr">
        <is>
          <t>LINKÖPING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55947-2024</t>
        </is>
      </c>
      <c r="B403" s="1" t="n">
        <v>45623</v>
      </c>
      <c r="C403" s="1" t="n">
        <v>45912</v>
      </c>
      <c r="D403" t="inlineStr">
        <is>
          <t>ÖSTERGÖTLANDS LÄN</t>
        </is>
      </c>
      <c r="E403" t="inlineStr">
        <is>
          <t>LINKÖPING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28398-2025</t>
        </is>
      </c>
      <c r="B404" s="1" t="n">
        <v>45819.34208333334</v>
      </c>
      <c r="C404" s="1" t="n">
        <v>45912</v>
      </c>
      <c r="D404" t="inlineStr">
        <is>
          <t>ÖSTERGÖTLANDS LÄN</t>
        </is>
      </c>
      <c r="E404" t="inlineStr">
        <is>
          <t>LINKÖPING</t>
        </is>
      </c>
      <c r="F404" t="inlineStr">
        <is>
          <t>Sveaskog</t>
        </is>
      </c>
      <c r="G404" t="n">
        <v>7.9</v>
      </c>
      <c r="H404" t="n">
        <v>0</v>
      </c>
      <c r="I404" t="n">
        <v>0</v>
      </c>
      <c r="J404" t="n">
        <v>0</v>
      </c>
      <c r="K404" t="n">
        <v>0</v>
      </c>
      <c r="L404" t="n">
        <v>0</v>
      </c>
      <c r="M404" t="n">
        <v>0</v>
      </c>
      <c r="N404" t="n">
        <v>0</v>
      </c>
      <c r="O404" t="n">
        <v>0</v>
      </c>
      <c r="P404" t="n">
        <v>0</v>
      </c>
      <c r="Q404" t="n">
        <v>0</v>
      </c>
      <c r="R404" s="2" t="inlineStr"/>
    </row>
    <row r="405" ht="15" customHeight="1">
      <c r="A405" t="inlineStr">
        <is>
          <t>A 28209-2025</t>
        </is>
      </c>
      <c r="B405" s="1" t="n">
        <v>45818.45112268518</v>
      </c>
      <c r="C405" s="1" t="n">
        <v>45912</v>
      </c>
      <c r="D405" t="inlineStr">
        <is>
          <t>ÖSTERGÖTLANDS LÄN</t>
        </is>
      </c>
      <c r="E405" t="inlineStr">
        <is>
          <t>LINKÖPING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3374-2023</t>
        </is>
      </c>
      <c r="B406" s="1" t="n">
        <v>44949</v>
      </c>
      <c r="C406" s="1" t="n">
        <v>45912</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53647-2021</t>
        </is>
      </c>
      <c r="B407" s="1" t="n">
        <v>44469</v>
      </c>
      <c r="C407" s="1" t="n">
        <v>45912</v>
      </c>
      <c r="D407" t="inlineStr">
        <is>
          <t>ÖSTERGÖTLANDS LÄN</t>
        </is>
      </c>
      <c r="E407" t="inlineStr">
        <is>
          <t>LINKÖPING</t>
        </is>
      </c>
      <c r="G407" t="n">
        <v>2.3</v>
      </c>
      <c r="H407" t="n">
        <v>0</v>
      </c>
      <c r="I407" t="n">
        <v>0</v>
      </c>
      <c r="J407" t="n">
        <v>0</v>
      </c>
      <c r="K407" t="n">
        <v>0</v>
      </c>
      <c r="L407" t="n">
        <v>0</v>
      </c>
      <c r="M407" t="n">
        <v>0</v>
      </c>
      <c r="N407" t="n">
        <v>0</v>
      </c>
      <c r="O407" t="n">
        <v>0</v>
      </c>
      <c r="P407" t="n">
        <v>0</v>
      </c>
      <c r="Q407" t="n">
        <v>0</v>
      </c>
      <c r="R407" s="2" t="inlineStr"/>
    </row>
    <row r="408" ht="15" customHeight="1">
      <c r="A408" t="inlineStr">
        <is>
          <t>A 24151-2024</t>
        </is>
      </c>
      <c r="B408" s="1" t="n">
        <v>45456.67717592593</v>
      </c>
      <c r="C408" s="1" t="n">
        <v>45912</v>
      </c>
      <c r="D408" t="inlineStr">
        <is>
          <t>ÖSTERGÖTLANDS LÄN</t>
        </is>
      </c>
      <c r="E408" t="inlineStr">
        <is>
          <t>LINKÖPING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29027-2025</t>
        </is>
      </c>
      <c r="B409" s="1" t="n">
        <v>45821.4375462963</v>
      </c>
      <c r="C409" s="1" t="n">
        <v>45912</v>
      </c>
      <c r="D409" t="inlineStr">
        <is>
          <t>ÖSTERGÖTLANDS LÄN</t>
        </is>
      </c>
      <c r="E409" t="inlineStr">
        <is>
          <t>LINKÖPING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55265-2020</t>
        </is>
      </c>
      <c r="B410" s="1" t="n">
        <v>44130</v>
      </c>
      <c r="C410" s="1" t="n">
        <v>45912</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6599-2023</t>
        </is>
      </c>
      <c r="B411" s="1" t="n">
        <v>44966.52603009259</v>
      </c>
      <c r="C411" s="1" t="n">
        <v>45912</v>
      </c>
      <c r="D411" t="inlineStr">
        <is>
          <t>ÖSTERGÖTLANDS LÄN</t>
        </is>
      </c>
      <c r="E411" t="inlineStr">
        <is>
          <t>LINKÖPING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29411-2025</t>
        </is>
      </c>
      <c r="B412" s="1" t="n">
        <v>45824.6219212963</v>
      </c>
      <c r="C412" s="1" t="n">
        <v>45912</v>
      </c>
      <c r="D412" t="inlineStr">
        <is>
          <t>ÖSTERGÖTLANDS LÄN</t>
        </is>
      </c>
      <c r="E412" t="inlineStr">
        <is>
          <t>LINKÖPING</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67123-2020</t>
        </is>
      </c>
      <c r="B413" s="1" t="n">
        <v>44180</v>
      </c>
      <c r="C413" s="1" t="n">
        <v>45912</v>
      </c>
      <c r="D413" t="inlineStr">
        <is>
          <t>ÖSTERGÖTLANDS LÄN</t>
        </is>
      </c>
      <c r="E413" t="inlineStr">
        <is>
          <t>LINKÖPING</t>
        </is>
      </c>
      <c r="F413" t="inlineStr">
        <is>
          <t>Övriga statliga verk och myndigheter</t>
        </is>
      </c>
      <c r="G413" t="n">
        <v>1.3</v>
      </c>
      <c r="H413" t="n">
        <v>0</v>
      </c>
      <c r="I413" t="n">
        <v>0</v>
      </c>
      <c r="J413" t="n">
        <v>0</v>
      </c>
      <c r="K413" t="n">
        <v>0</v>
      </c>
      <c r="L413" t="n">
        <v>0</v>
      </c>
      <c r="M413" t="n">
        <v>0</v>
      </c>
      <c r="N413" t="n">
        <v>0</v>
      </c>
      <c r="O413" t="n">
        <v>0</v>
      </c>
      <c r="P413" t="n">
        <v>0</v>
      </c>
      <c r="Q413" t="n">
        <v>0</v>
      </c>
      <c r="R413" s="2" t="inlineStr"/>
    </row>
    <row r="414" ht="15" customHeight="1">
      <c r="A414" t="inlineStr">
        <is>
          <t>A 29393-2025</t>
        </is>
      </c>
      <c r="B414" s="1" t="n">
        <v>45824.6057175926</v>
      </c>
      <c r="C414" s="1" t="n">
        <v>45912</v>
      </c>
      <c r="D414" t="inlineStr">
        <is>
          <t>ÖSTERGÖTLANDS LÄN</t>
        </is>
      </c>
      <c r="E414" t="inlineStr">
        <is>
          <t>LINKÖPING</t>
        </is>
      </c>
      <c r="F414" t="inlineStr">
        <is>
          <t>Sveaskog</t>
        </is>
      </c>
      <c r="G414" t="n">
        <v>24.6</v>
      </c>
      <c r="H414" t="n">
        <v>0</v>
      </c>
      <c r="I414" t="n">
        <v>0</v>
      </c>
      <c r="J414" t="n">
        <v>0</v>
      </c>
      <c r="K414" t="n">
        <v>0</v>
      </c>
      <c r="L414" t="n">
        <v>0</v>
      </c>
      <c r="M414" t="n">
        <v>0</v>
      </c>
      <c r="N414" t="n">
        <v>0</v>
      </c>
      <c r="O414" t="n">
        <v>0</v>
      </c>
      <c r="P414" t="n">
        <v>0</v>
      </c>
      <c r="Q414" t="n">
        <v>0</v>
      </c>
      <c r="R414" s="2" t="inlineStr"/>
    </row>
    <row r="415" ht="15" customHeight="1">
      <c r="A415" t="inlineStr">
        <is>
          <t>A 14576-2023</t>
        </is>
      </c>
      <c r="B415" s="1" t="n">
        <v>45013</v>
      </c>
      <c r="C415" s="1" t="n">
        <v>45912</v>
      </c>
      <c r="D415" t="inlineStr">
        <is>
          <t>ÖSTERGÖTLANDS LÄN</t>
        </is>
      </c>
      <c r="E415" t="inlineStr">
        <is>
          <t>LINKÖPING</t>
        </is>
      </c>
      <c r="G415" t="n">
        <v>3.2</v>
      </c>
      <c r="H415" t="n">
        <v>0</v>
      </c>
      <c r="I415" t="n">
        <v>0</v>
      </c>
      <c r="J415" t="n">
        <v>0</v>
      </c>
      <c r="K415" t="n">
        <v>0</v>
      </c>
      <c r="L415" t="n">
        <v>0</v>
      </c>
      <c r="M415" t="n">
        <v>0</v>
      </c>
      <c r="N415" t="n">
        <v>0</v>
      </c>
      <c r="O415" t="n">
        <v>0</v>
      </c>
      <c r="P415" t="n">
        <v>0</v>
      </c>
      <c r="Q415" t="n">
        <v>0</v>
      </c>
      <c r="R415" s="2" t="inlineStr"/>
    </row>
    <row r="416" ht="15" customHeight="1">
      <c r="A416" t="inlineStr">
        <is>
          <t>A 29599-2025</t>
        </is>
      </c>
      <c r="B416" s="1" t="n">
        <v>45825.41101851852</v>
      </c>
      <c r="C416" s="1" t="n">
        <v>45912</v>
      </c>
      <c r="D416" t="inlineStr">
        <is>
          <t>ÖSTERGÖTLANDS LÄN</t>
        </is>
      </c>
      <c r="E416" t="inlineStr">
        <is>
          <t>LINKÖPING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35735-2023</t>
        </is>
      </c>
      <c r="B417" s="1" t="n">
        <v>45147</v>
      </c>
      <c r="C417" s="1" t="n">
        <v>45912</v>
      </c>
      <c r="D417" t="inlineStr">
        <is>
          <t>ÖSTERGÖTLANDS LÄN</t>
        </is>
      </c>
      <c r="E417" t="inlineStr">
        <is>
          <t>LINKÖPING</t>
        </is>
      </c>
      <c r="G417" t="n">
        <v>2.8</v>
      </c>
      <c r="H417" t="n">
        <v>0</v>
      </c>
      <c r="I417" t="n">
        <v>0</v>
      </c>
      <c r="J417" t="n">
        <v>0</v>
      </c>
      <c r="K417" t="n">
        <v>0</v>
      </c>
      <c r="L417" t="n">
        <v>0</v>
      </c>
      <c r="M417" t="n">
        <v>0</v>
      </c>
      <c r="N417" t="n">
        <v>0</v>
      </c>
      <c r="O417" t="n">
        <v>0</v>
      </c>
      <c r="P417" t="n">
        <v>0</v>
      </c>
      <c r="Q417" t="n">
        <v>0</v>
      </c>
      <c r="R417" s="2" t="inlineStr"/>
    </row>
    <row r="418" ht="15" customHeight="1">
      <c r="A418" t="inlineStr">
        <is>
          <t>A 74160-2021</t>
        </is>
      </c>
      <c r="B418" s="1" t="n">
        <v>44558</v>
      </c>
      <c r="C418" s="1" t="n">
        <v>45912</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45831-2024</t>
        </is>
      </c>
      <c r="B419" s="1" t="n">
        <v>45579.90508101852</v>
      </c>
      <c r="C419" s="1" t="n">
        <v>45912</v>
      </c>
      <c r="D419" t="inlineStr">
        <is>
          <t>ÖSTERGÖTLANDS LÄN</t>
        </is>
      </c>
      <c r="E419" t="inlineStr">
        <is>
          <t>LINKÖPING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17157-2024</t>
        </is>
      </c>
      <c r="B420" s="1" t="n">
        <v>45412.70567129629</v>
      </c>
      <c r="C420" s="1" t="n">
        <v>45912</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30355-2025</t>
        </is>
      </c>
      <c r="B421" s="1" t="n">
        <v>45827</v>
      </c>
      <c r="C421" s="1" t="n">
        <v>45912</v>
      </c>
      <c r="D421" t="inlineStr">
        <is>
          <t>ÖSTERGÖTLANDS LÄN</t>
        </is>
      </c>
      <c r="E421" t="inlineStr">
        <is>
          <t>LINKÖPING</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30353-2025</t>
        </is>
      </c>
      <c r="B422" s="1" t="n">
        <v>45827</v>
      </c>
      <c r="C422" s="1" t="n">
        <v>45912</v>
      </c>
      <c r="D422" t="inlineStr">
        <is>
          <t>ÖSTERGÖTLANDS LÄN</t>
        </is>
      </c>
      <c r="E422" t="inlineStr">
        <is>
          <t>LINKÖPING</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37154-2023</t>
        </is>
      </c>
      <c r="B423" s="1" t="n">
        <v>45155</v>
      </c>
      <c r="C423" s="1" t="n">
        <v>45912</v>
      </c>
      <c r="D423" t="inlineStr">
        <is>
          <t>ÖSTERGÖTLANDS LÄN</t>
        </is>
      </c>
      <c r="E423" t="inlineStr">
        <is>
          <t>LINKÖPING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53812-2023</t>
        </is>
      </c>
      <c r="B424" s="1" t="n">
        <v>45231.39583333334</v>
      </c>
      <c r="C424" s="1" t="n">
        <v>45912</v>
      </c>
      <c r="D424" t="inlineStr">
        <is>
          <t>ÖSTERGÖTLANDS LÄN</t>
        </is>
      </c>
      <c r="E424" t="inlineStr">
        <is>
          <t>LINKÖPING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53830-2023</t>
        </is>
      </c>
      <c r="B425" s="1" t="n">
        <v>45230</v>
      </c>
      <c r="C425" s="1" t="n">
        <v>45912</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27766-2022</t>
        </is>
      </c>
      <c r="B426" s="1" t="n">
        <v>44743.53112268518</v>
      </c>
      <c r="C426" s="1" t="n">
        <v>45912</v>
      </c>
      <c r="D426" t="inlineStr">
        <is>
          <t>ÖSTERGÖTLANDS LÄN</t>
        </is>
      </c>
      <c r="E426" t="inlineStr">
        <is>
          <t>LINKÖPING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56841-2023</t>
        </is>
      </c>
      <c r="B427" s="1" t="n">
        <v>45244</v>
      </c>
      <c r="C427" s="1" t="n">
        <v>45912</v>
      </c>
      <c r="D427" t="inlineStr">
        <is>
          <t>ÖSTERGÖTLANDS LÄN</t>
        </is>
      </c>
      <c r="E427" t="inlineStr">
        <is>
          <t>LINKÖPING</t>
        </is>
      </c>
      <c r="F427" t="inlineStr">
        <is>
          <t>Övriga Aktiebolag</t>
        </is>
      </c>
      <c r="G427" t="n">
        <v>0.5</v>
      </c>
      <c r="H427" t="n">
        <v>0</v>
      </c>
      <c r="I427" t="n">
        <v>0</v>
      </c>
      <c r="J427" t="n">
        <v>0</v>
      </c>
      <c r="K427" t="n">
        <v>0</v>
      </c>
      <c r="L427" t="n">
        <v>0</v>
      </c>
      <c r="M427" t="n">
        <v>0</v>
      </c>
      <c r="N427" t="n">
        <v>0</v>
      </c>
      <c r="O427" t="n">
        <v>0</v>
      </c>
      <c r="P427" t="n">
        <v>0</v>
      </c>
      <c r="Q427" t="n">
        <v>0</v>
      </c>
      <c r="R427" s="2" t="inlineStr"/>
    </row>
    <row r="428" ht="15" customHeight="1">
      <c r="A428" t="inlineStr">
        <is>
          <t>A 56741-2023</t>
        </is>
      </c>
      <c r="B428" s="1" t="n">
        <v>45244</v>
      </c>
      <c r="C428" s="1" t="n">
        <v>45912</v>
      </c>
      <c r="D428" t="inlineStr">
        <is>
          <t>ÖSTERGÖTLANDS LÄN</t>
        </is>
      </c>
      <c r="E428" t="inlineStr">
        <is>
          <t>LINKÖPING</t>
        </is>
      </c>
      <c r="F428" t="inlineStr">
        <is>
          <t>Övriga Aktiebolag</t>
        </is>
      </c>
      <c r="G428" t="n">
        <v>1.1</v>
      </c>
      <c r="H428" t="n">
        <v>0</v>
      </c>
      <c r="I428" t="n">
        <v>0</v>
      </c>
      <c r="J428" t="n">
        <v>0</v>
      </c>
      <c r="K428" t="n">
        <v>0</v>
      </c>
      <c r="L428" t="n">
        <v>0</v>
      </c>
      <c r="M428" t="n">
        <v>0</v>
      </c>
      <c r="N428" t="n">
        <v>0</v>
      </c>
      <c r="O428" t="n">
        <v>0</v>
      </c>
      <c r="P428" t="n">
        <v>0</v>
      </c>
      <c r="Q428" t="n">
        <v>0</v>
      </c>
      <c r="R428" s="2" t="inlineStr"/>
    </row>
    <row r="429" ht="15" customHeight="1">
      <c r="A429" t="inlineStr">
        <is>
          <t>A 53816-2023</t>
        </is>
      </c>
      <c r="B429" s="1" t="n">
        <v>45231.40012731482</v>
      </c>
      <c r="C429" s="1" t="n">
        <v>45912</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63935-2021</t>
        </is>
      </c>
      <c r="B430" s="1" t="n">
        <v>44509</v>
      </c>
      <c r="C430" s="1" t="n">
        <v>45912</v>
      </c>
      <c r="D430" t="inlineStr">
        <is>
          <t>ÖSTERGÖTLANDS LÄN</t>
        </is>
      </c>
      <c r="E430" t="inlineStr">
        <is>
          <t>LINKÖPING</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53641-2023</t>
        </is>
      </c>
      <c r="B431" s="1" t="n">
        <v>45230</v>
      </c>
      <c r="C431" s="1" t="n">
        <v>45912</v>
      </c>
      <c r="D431" t="inlineStr">
        <is>
          <t>ÖSTERGÖTLANDS LÄN</t>
        </is>
      </c>
      <c r="E431" t="inlineStr">
        <is>
          <t>LINKÖPING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33000-2023</t>
        </is>
      </c>
      <c r="B432" s="1" t="n">
        <v>45125</v>
      </c>
      <c r="C432" s="1" t="n">
        <v>45912</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52892-2024</t>
        </is>
      </c>
      <c r="B433" s="1" t="n">
        <v>45610</v>
      </c>
      <c r="C433" s="1" t="n">
        <v>45912</v>
      </c>
      <c r="D433" t="inlineStr">
        <is>
          <t>ÖSTERGÖTLANDS LÄN</t>
        </is>
      </c>
      <c r="E433" t="inlineStr">
        <is>
          <t>LINKÖPING</t>
        </is>
      </c>
      <c r="G433" t="n">
        <v>4.2</v>
      </c>
      <c r="H433" t="n">
        <v>0</v>
      </c>
      <c r="I433" t="n">
        <v>0</v>
      </c>
      <c r="J433" t="n">
        <v>0</v>
      </c>
      <c r="K433" t="n">
        <v>0</v>
      </c>
      <c r="L433" t="n">
        <v>0</v>
      </c>
      <c r="M433" t="n">
        <v>0</v>
      </c>
      <c r="N433" t="n">
        <v>0</v>
      </c>
      <c r="O433" t="n">
        <v>0</v>
      </c>
      <c r="P433" t="n">
        <v>0</v>
      </c>
      <c r="Q433" t="n">
        <v>0</v>
      </c>
      <c r="R433" s="2" t="inlineStr"/>
    </row>
    <row r="434" ht="15" customHeight="1">
      <c r="A434" t="inlineStr">
        <is>
          <t>A 6726-2024</t>
        </is>
      </c>
      <c r="B434" s="1" t="n">
        <v>45341</v>
      </c>
      <c r="C434" s="1" t="n">
        <v>45912</v>
      </c>
      <c r="D434" t="inlineStr">
        <is>
          <t>ÖSTERGÖTLANDS LÄN</t>
        </is>
      </c>
      <c r="E434" t="inlineStr">
        <is>
          <t>LINKÖPING</t>
        </is>
      </c>
      <c r="G434" t="n">
        <v>2.7</v>
      </c>
      <c r="H434" t="n">
        <v>0</v>
      </c>
      <c r="I434" t="n">
        <v>0</v>
      </c>
      <c r="J434" t="n">
        <v>0</v>
      </c>
      <c r="K434" t="n">
        <v>0</v>
      </c>
      <c r="L434" t="n">
        <v>0</v>
      </c>
      <c r="M434" t="n">
        <v>0</v>
      </c>
      <c r="N434" t="n">
        <v>0</v>
      </c>
      <c r="O434" t="n">
        <v>0</v>
      </c>
      <c r="P434" t="n">
        <v>0</v>
      </c>
      <c r="Q434" t="n">
        <v>0</v>
      </c>
      <c r="R434" s="2" t="inlineStr"/>
    </row>
    <row r="435" ht="15" customHeight="1">
      <c r="A435" t="inlineStr">
        <is>
          <t>A 3007-2023</t>
        </is>
      </c>
      <c r="B435" s="1" t="n">
        <v>44945</v>
      </c>
      <c r="C435" s="1" t="n">
        <v>45912</v>
      </c>
      <c r="D435" t="inlineStr">
        <is>
          <t>ÖSTERGÖTLANDS LÄN</t>
        </is>
      </c>
      <c r="E435" t="inlineStr">
        <is>
          <t>LINKÖPING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18145-2021</t>
        </is>
      </c>
      <c r="B436" s="1" t="n">
        <v>44302</v>
      </c>
      <c r="C436" s="1" t="n">
        <v>45912</v>
      </c>
      <c r="D436" t="inlineStr">
        <is>
          <t>ÖSTERGÖTLANDS LÄN</t>
        </is>
      </c>
      <c r="E436" t="inlineStr">
        <is>
          <t>LINKÖPING</t>
        </is>
      </c>
      <c r="G436" t="n">
        <v>2.4</v>
      </c>
      <c r="H436" t="n">
        <v>0</v>
      </c>
      <c r="I436" t="n">
        <v>0</v>
      </c>
      <c r="J436" t="n">
        <v>0</v>
      </c>
      <c r="K436" t="n">
        <v>0</v>
      </c>
      <c r="L436" t="n">
        <v>0</v>
      </c>
      <c r="M436" t="n">
        <v>0</v>
      </c>
      <c r="N436" t="n">
        <v>0</v>
      </c>
      <c r="O436" t="n">
        <v>0</v>
      </c>
      <c r="P436" t="n">
        <v>0</v>
      </c>
      <c r="Q436" t="n">
        <v>0</v>
      </c>
      <c r="R436" s="2" t="inlineStr"/>
    </row>
    <row r="437" ht="15" customHeight="1">
      <c r="A437" t="inlineStr">
        <is>
          <t>A 29309-2024</t>
        </is>
      </c>
      <c r="B437" s="1" t="n">
        <v>45483</v>
      </c>
      <c r="C437" s="1" t="n">
        <v>45912</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30521-2024</t>
        </is>
      </c>
      <c r="B438" s="1" t="n">
        <v>45492</v>
      </c>
      <c r="C438" s="1" t="n">
        <v>45912</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51191-2022</t>
        </is>
      </c>
      <c r="B439" s="1" t="n">
        <v>44865</v>
      </c>
      <c r="C439" s="1" t="n">
        <v>45912</v>
      </c>
      <c r="D439" t="inlineStr">
        <is>
          <t>ÖSTERGÖTLANDS LÄN</t>
        </is>
      </c>
      <c r="E439" t="inlineStr">
        <is>
          <t>LINKÖPING</t>
        </is>
      </c>
      <c r="G439" t="n">
        <v>2.2</v>
      </c>
      <c r="H439" t="n">
        <v>0</v>
      </c>
      <c r="I439" t="n">
        <v>0</v>
      </c>
      <c r="J439" t="n">
        <v>0</v>
      </c>
      <c r="K439" t="n">
        <v>0</v>
      </c>
      <c r="L439" t="n">
        <v>0</v>
      </c>
      <c r="M439" t="n">
        <v>0</v>
      </c>
      <c r="N439" t="n">
        <v>0</v>
      </c>
      <c r="O439" t="n">
        <v>0</v>
      </c>
      <c r="P439" t="n">
        <v>0</v>
      </c>
      <c r="Q439" t="n">
        <v>0</v>
      </c>
      <c r="R439" s="2" t="inlineStr"/>
    </row>
    <row r="440" ht="15" customHeight="1">
      <c r="A440" t="inlineStr">
        <is>
          <t>A 49088-2020</t>
        </is>
      </c>
      <c r="B440" s="1" t="n">
        <v>44104</v>
      </c>
      <c r="C440" s="1" t="n">
        <v>45912</v>
      </c>
      <c r="D440" t="inlineStr">
        <is>
          <t>ÖSTERGÖTLANDS LÄN</t>
        </is>
      </c>
      <c r="E440" t="inlineStr">
        <is>
          <t>LINKÖPING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37057-2025</t>
        </is>
      </c>
      <c r="B441" s="1" t="n">
        <v>45875.37489583333</v>
      </c>
      <c r="C441" s="1" t="n">
        <v>45912</v>
      </c>
      <c r="D441" t="inlineStr">
        <is>
          <t>ÖSTERGÖTLANDS LÄN</t>
        </is>
      </c>
      <c r="E441" t="inlineStr">
        <is>
          <t>LINKÖPING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31581-2025</t>
        </is>
      </c>
      <c r="B442" s="1" t="n">
        <v>45833.6840162037</v>
      </c>
      <c r="C442" s="1" t="n">
        <v>45912</v>
      </c>
      <c r="D442" t="inlineStr">
        <is>
          <t>ÖSTERGÖTLANDS LÄN</t>
        </is>
      </c>
      <c r="E442" t="inlineStr">
        <is>
          <t>LINKÖPING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31585-2025</t>
        </is>
      </c>
      <c r="B443" s="1" t="n">
        <v>45833.68815972222</v>
      </c>
      <c r="C443" s="1" t="n">
        <v>45912</v>
      </c>
      <c r="D443" t="inlineStr">
        <is>
          <t>ÖSTERGÖTLANDS LÄN</t>
        </is>
      </c>
      <c r="E443" t="inlineStr">
        <is>
          <t>LINKÖPING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12289-2025</t>
        </is>
      </c>
      <c r="B444" s="1" t="n">
        <v>45729</v>
      </c>
      <c r="C444" s="1" t="n">
        <v>45912</v>
      </c>
      <c r="D444" t="inlineStr">
        <is>
          <t>ÖSTERGÖTLANDS LÄN</t>
        </is>
      </c>
      <c r="E444" t="inlineStr">
        <is>
          <t>LINKÖPING</t>
        </is>
      </c>
      <c r="F444" t="inlineStr">
        <is>
          <t>Övriga statliga verk och myndigheter</t>
        </is>
      </c>
      <c r="G444" t="n">
        <v>6.5</v>
      </c>
      <c r="H444" t="n">
        <v>0</v>
      </c>
      <c r="I444" t="n">
        <v>0</v>
      </c>
      <c r="J444" t="n">
        <v>0</v>
      </c>
      <c r="K444" t="n">
        <v>0</v>
      </c>
      <c r="L444" t="n">
        <v>0</v>
      </c>
      <c r="M444" t="n">
        <v>0</v>
      </c>
      <c r="N444" t="n">
        <v>0</v>
      </c>
      <c r="O444" t="n">
        <v>0</v>
      </c>
      <c r="P444" t="n">
        <v>0</v>
      </c>
      <c r="Q444" t="n">
        <v>0</v>
      </c>
      <c r="R444" s="2" t="inlineStr"/>
    </row>
    <row r="445" ht="15" customHeight="1">
      <c r="A445" t="inlineStr">
        <is>
          <t>A 9434-2024</t>
        </is>
      </c>
      <c r="B445" s="1" t="n">
        <v>45359</v>
      </c>
      <c r="C445" s="1" t="n">
        <v>45912</v>
      </c>
      <c r="D445" t="inlineStr">
        <is>
          <t>ÖSTERGÖTLANDS LÄN</t>
        </is>
      </c>
      <c r="E445" t="inlineStr">
        <is>
          <t>LINKÖPING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42054-2022</t>
        </is>
      </c>
      <c r="B446" s="1" t="n">
        <v>44830</v>
      </c>
      <c r="C446" s="1" t="n">
        <v>45912</v>
      </c>
      <c r="D446" t="inlineStr">
        <is>
          <t>ÖSTERGÖTLANDS LÄN</t>
        </is>
      </c>
      <c r="E446" t="inlineStr">
        <is>
          <t>LINKÖPING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50182-2023</t>
        </is>
      </c>
      <c r="B447" s="1" t="n">
        <v>45208</v>
      </c>
      <c r="C447" s="1" t="n">
        <v>45912</v>
      </c>
      <c r="D447" t="inlineStr">
        <is>
          <t>ÖSTERGÖTLANDS LÄN</t>
        </is>
      </c>
      <c r="E447" t="inlineStr">
        <is>
          <t>LINKÖPING</t>
        </is>
      </c>
      <c r="G447" t="n">
        <v>2.5</v>
      </c>
      <c r="H447" t="n">
        <v>0</v>
      </c>
      <c r="I447" t="n">
        <v>0</v>
      </c>
      <c r="J447" t="n">
        <v>0</v>
      </c>
      <c r="K447" t="n">
        <v>0</v>
      </c>
      <c r="L447" t="n">
        <v>0</v>
      </c>
      <c r="M447" t="n">
        <v>0</v>
      </c>
      <c r="N447" t="n">
        <v>0</v>
      </c>
      <c r="O447" t="n">
        <v>0</v>
      </c>
      <c r="P447" t="n">
        <v>0</v>
      </c>
      <c r="Q447" t="n">
        <v>0</v>
      </c>
      <c r="R447" s="2" t="inlineStr"/>
    </row>
    <row r="448" ht="15" customHeight="1">
      <c r="A448" t="inlineStr">
        <is>
          <t>A 53411-2023</t>
        </is>
      </c>
      <c r="B448" s="1" t="n">
        <v>45229.81049768518</v>
      </c>
      <c r="C448" s="1" t="n">
        <v>45912</v>
      </c>
      <c r="D448" t="inlineStr">
        <is>
          <t>ÖSTERGÖTLANDS LÄN</t>
        </is>
      </c>
      <c r="E448" t="inlineStr">
        <is>
          <t>LINKÖPING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26788-2022</t>
        </is>
      </c>
      <c r="B449" s="1" t="n">
        <v>44740</v>
      </c>
      <c r="C449" s="1" t="n">
        <v>45912</v>
      </c>
      <c r="D449" t="inlineStr">
        <is>
          <t>ÖSTERGÖTLANDS LÄN</t>
        </is>
      </c>
      <c r="E449" t="inlineStr">
        <is>
          <t>LINKÖPING</t>
        </is>
      </c>
      <c r="G449" t="n">
        <v>3.2</v>
      </c>
      <c r="H449" t="n">
        <v>0</v>
      </c>
      <c r="I449" t="n">
        <v>0</v>
      </c>
      <c r="J449" t="n">
        <v>0</v>
      </c>
      <c r="K449" t="n">
        <v>0</v>
      </c>
      <c r="L449" t="n">
        <v>0</v>
      </c>
      <c r="M449" t="n">
        <v>0</v>
      </c>
      <c r="N449" t="n">
        <v>0</v>
      </c>
      <c r="O449" t="n">
        <v>0</v>
      </c>
      <c r="P449" t="n">
        <v>0</v>
      </c>
      <c r="Q449" t="n">
        <v>0</v>
      </c>
      <c r="R449" s="2" t="inlineStr"/>
    </row>
    <row r="450" ht="15" customHeight="1">
      <c r="A450" t="inlineStr">
        <is>
          <t>A 35781-2023</t>
        </is>
      </c>
      <c r="B450" s="1" t="n">
        <v>45147</v>
      </c>
      <c r="C450" s="1" t="n">
        <v>45912</v>
      </c>
      <c r="D450" t="inlineStr">
        <is>
          <t>ÖSTERGÖTLANDS LÄN</t>
        </is>
      </c>
      <c r="E450" t="inlineStr">
        <is>
          <t>LINKÖPING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24462-2023</t>
        </is>
      </c>
      <c r="B451" s="1" t="n">
        <v>45082</v>
      </c>
      <c r="C451" s="1" t="n">
        <v>45912</v>
      </c>
      <c r="D451" t="inlineStr">
        <is>
          <t>ÖSTERGÖTLANDS LÄN</t>
        </is>
      </c>
      <c r="E451" t="inlineStr">
        <is>
          <t>LINKÖPING</t>
        </is>
      </c>
      <c r="G451" t="n">
        <v>3.5</v>
      </c>
      <c r="H451" t="n">
        <v>0</v>
      </c>
      <c r="I451" t="n">
        <v>0</v>
      </c>
      <c r="J451" t="n">
        <v>0</v>
      </c>
      <c r="K451" t="n">
        <v>0</v>
      </c>
      <c r="L451" t="n">
        <v>0</v>
      </c>
      <c r="M451" t="n">
        <v>0</v>
      </c>
      <c r="N451" t="n">
        <v>0</v>
      </c>
      <c r="O451" t="n">
        <v>0</v>
      </c>
      <c r="P451" t="n">
        <v>0</v>
      </c>
      <c r="Q451" t="n">
        <v>0</v>
      </c>
      <c r="R451" s="2" t="inlineStr"/>
    </row>
    <row r="452" ht="15" customHeight="1">
      <c r="A452" t="inlineStr">
        <is>
          <t>A 6387-2022</t>
        </is>
      </c>
      <c r="B452" s="1" t="n">
        <v>44600</v>
      </c>
      <c r="C452" s="1" t="n">
        <v>45912</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48707-2023</t>
        </is>
      </c>
      <c r="B453" s="1" t="n">
        <v>45202</v>
      </c>
      <c r="C453" s="1" t="n">
        <v>45912</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62015-2024</t>
        </is>
      </c>
      <c r="B454" s="1" t="n">
        <v>45655.80457175926</v>
      </c>
      <c r="C454" s="1" t="n">
        <v>45912</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47876-2020</t>
        </is>
      </c>
      <c r="B455" s="1" t="n">
        <v>44099</v>
      </c>
      <c r="C455" s="1" t="n">
        <v>45912</v>
      </c>
      <c r="D455" t="inlineStr">
        <is>
          <t>ÖSTERGÖTLANDS LÄN</t>
        </is>
      </c>
      <c r="E455" t="inlineStr">
        <is>
          <t>LINKÖPING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10741-2023</t>
        </is>
      </c>
      <c r="B456" s="1" t="n">
        <v>44988.70084490741</v>
      </c>
      <c r="C456" s="1" t="n">
        <v>45912</v>
      </c>
      <c r="D456" t="inlineStr">
        <is>
          <t>ÖSTERGÖTLANDS LÄN</t>
        </is>
      </c>
      <c r="E456" t="inlineStr">
        <is>
          <t>LINKÖPING</t>
        </is>
      </c>
      <c r="F456" t="inlineStr">
        <is>
          <t>Allmännings- och besparingsskogar</t>
        </is>
      </c>
      <c r="G456" t="n">
        <v>11.2</v>
      </c>
      <c r="H456" t="n">
        <v>0</v>
      </c>
      <c r="I456" t="n">
        <v>0</v>
      </c>
      <c r="J456" t="n">
        <v>0</v>
      </c>
      <c r="K456" t="n">
        <v>0</v>
      </c>
      <c r="L456" t="n">
        <v>0</v>
      </c>
      <c r="M456" t="n">
        <v>0</v>
      </c>
      <c r="N456" t="n">
        <v>0</v>
      </c>
      <c r="O456" t="n">
        <v>0</v>
      </c>
      <c r="P456" t="n">
        <v>0</v>
      </c>
      <c r="Q456" t="n">
        <v>0</v>
      </c>
      <c r="R456" s="2" t="inlineStr"/>
    </row>
    <row r="457" ht="15" customHeight="1">
      <c r="A457" t="inlineStr">
        <is>
          <t>A 32723-2025</t>
        </is>
      </c>
      <c r="B457" s="1" t="n">
        <v>45838</v>
      </c>
      <c r="C457" s="1" t="n">
        <v>45912</v>
      </c>
      <c r="D457" t="inlineStr">
        <is>
          <t>ÖSTERGÖTLANDS LÄN</t>
        </is>
      </c>
      <c r="E457" t="inlineStr">
        <is>
          <t>LINKÖPING</t>
        </is>
      </c>
      <c r="G457" t="n">
        <v>2.1</v>
      </c>
      <c r="H457" t="n">
        <v>0</v>
      </c>
      <c r="I457" t="n">
        <v>0</v>
      </c>
      <c r="J457" t="n">
        <v>0</v>
      </c>
      <c r="K457" t="n">
        <v>0</v>
      </c>
      <c r="L457" t="n">
        <v>0</v>
      </c>
      <c r="M457" t="n">
        <v>0</v>
      </c>
      <c r="N457" t="n">
        <v>0</v>
      </c>
      <c r="O457" t="n">
        <v>0</v>
      </c>
      <c r="P457" t="n">
        <v>0</v>
      </c>
      <c r="Q457" t="n">
        <v>0</v>
      </c>
      <c r="R457" s="2" t="inlineStr"/>
    </row>
    <row r="458" ht="15" customHeight="1">
      <c r="A458" t="inlineStr">
        <is>
          <t>A 12089-2025</t>
        </is>
      </c>
      <c r="B458" s="1" t="n">
        <v>45729</v>
      </c>
      <c r="C458" s="1" t="n">
        <v>45912</v>
      </c>
      <c r="D458" t="inlineStr">
        <is>
          <t>ÖSTERGÖTLANDS LÄN</t>
        </is>
      </c>
      <c r="E458" t="inlineStr">
        <is>
          <t>LINKÖPING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43473-2024</t>
        </is>
      </c>
      <c r="B459" s="1" t="n">
        <v>45568</v>
      </c>
      <c r="C459" s="1" t="n">
        <v>45912</v>
      </c>
      <c r="D459" t="inlineStr">
        <is>
          <t>ÖSTERGÖTLANDS LÄN</t>
        </is>
      </c>
      <c r="E459" t="inlineStr">
        <is>
          <t>LINKÖPING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43475-2024</t>
        </is>
      </c>
      <c r="B460" s="1" t="n">
        <v>45568</v>
      </c>
      <c r="C460" s="1" t="n">
        <v>45912</v>
      </c>
      <c r="D460" t="inlineStr">
        <is>
          <t>ÖSTERGÖTLANDS LÄN</t>
        </is>
      </c>
      <c r="E460" t="inlineStr">
        <is>
          <t>LINKÖPING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15658-2023</t>
        </is>
      </c>
      <c r="B461" s="1" t="n">
        <v>45021.41194444444</v>
      </c>
      <c r="C461" s="1" t="n">
        <v>45912</v>
      </c>
      <c r="D461" t="inlineStr">
        <is>
          <t>ÖSTERGÖTLANDS LÄN</t>
        </is>
      </c>
      <c r="E461" t="inlineStr">
        <is>
          <t>LINKÖPING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1207-2023</t>
        </is>
      </c>
      <c r="B462" s="1" t="n">
        <v>44930</v>
      </c>
      <c r="C462" s="1" t="n">
        <v>45912</v>
      </c>
      <c r="D462" t="inlineStr">
        <is>
          <t>ÖSTERGÖTLANDS LÄN</t>
        </is>
      </c>
      <c r="E462" t="inlineStr">
        <is>
          <t>LINKÖPING</t>
        </is>
      </c>
      <c r="F462" t="inlineStr">
        <is>
          <t>Övriga statliga verk och myndigheter</t>
        </is>
      </c>
      <c r="G462" t="n">
        <v>32.8</v>
      </c>
      <c r="H462" t="n">
        <v>0</v>
      </c>
      <c r="I462" t="n">
        <v>0</v>
      </c>
      <c r="J462" t="n">
        <v>0</v>
      </c>
      <c r="K462" t="n">
        <v>0</v>
      </c>
      <c r="L462" t="n">
        <v>0</v>
      </c>
      <c r="M462" t="n">
        <v>0</v>
      </c>
      <c r="N462" t="n">
        <v>0</v>
      </c>
      <c r="O462" t="n">
        <v>0</v>
      </c>
      <c r="P462" t="n">
        <v>0</v>
      </c>
      <c r="Q462" t="n">
        <v>0</v>
      </c>
      <c r="R462" s="2" t="inlineStr"/>
    </row>
    <row r="463" ht="15" customHeight="1">
      <c r="A463" t="inlineStr">
        <is>
          <t>A 29859-2024</t>
        </is>
      </c>
      <c r="B463" s="1" t="n">
        <v>45485.6846412037</v>
      </c>
      <c r="C463" s="1" t="n">
        <v>45912</v>
      </c>
      <c r="D463" t="inlineStr">
        <is>
          <t>ÖSTERGÖTLANDS LÄN</t>
        </is>
      </c>
      <c r="E463" t="inlineStr">
        <is>
          <t>LINKÖPING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55305-2020</t>
        </is>
      </c>
      <c r="B464" s="1" t="n">
        <v>44130</v>
      </c>
      <c r="C464" s="1" t="n">
        <v>45912</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45819-2024</t>
        </is>
      </c>
      <c r="B465" s="1" t="n">
        <v>45579.7454050926</v>
      </c>
      <c r="C465" s="1" t="n">
        <v>45912</v>
      </c>
      <c r="D465" t="inlineStr">
        <is>
          <t>ÖSTERGÖTLANDS LÄN</t>
        </is>
      </c>
      <c r="E465" t="inlineStr">
        <is>
          <t>LINKÖPING</t>
        </is>
      </c>
      <c r="G465" t="n">
        <v>5</v>
      </c>
      <c r="H465" t="n">
        <v>0</v>
      </c>
      <c r="I465" t="n">
        <v>0</v>
      </c>
      <c r="J465" t="n">
        <v>0</v>
      </c>
      <c r="K465" t="n">
        <v>0</v>
      </c>
      <c r="L465" t="n">
        <v>0</v>
      </c>
      <c r="M465" t="n">
        <v>0</v>
      </c>
      <c r="N465" t="n">
        <v>0</v>
      </c>
      <c r="O465" t="n">
        <v>0</v>
      </c>
      <c r="P465" t="n">
        <v>0</v>
      </c>
      <c r="Q465" t="n">
        <v>0</v>
      </c>
      <c r="R465" s="2" t="inlineStr"/>
    </row>
    <row r="466" ht="15" customHeight="1">
      <c r="A466" t="inlineStr">
        <is>
          <t>A 38046-2025</t>
        </is>
      </c>
      <c r="B466" s="1" t="n">
        <v>45882.39939814815</v>
      </c>
      <c r="C466" s="1" t="n">
        <v>45912</v>
      </c>
      <c r="D466" t="inlineStr">
        <is>
          <t>ÖSTERGÖTLANDS LÄN</t>
        </is>
      </c>
      <c r="E466" t="inlineStr">
        <is>
          <t>LINKÖPING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15748-2025</t>
        </is>
      </c>
      <c r="B467" s="1" t="n">
        <v>45748.55282407408</v>
      </c>
      <c r="C467" s="1" t="n">
        <v>45912</v>
      </c>
      <c r="D467" t="inlineStr">
        <is>
          <t>ÖSTERGÖTLANDS LÄN</t>
        </is>
      </c>
      <c r="E467" t="inlineStr">
        <is>
          <t>LINKÖPING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15754-2025</t>
        </is>
      </c>
      <c r="B468" s="1" t="n">
        <v>45748.56105324074</v>
      </c>
      <c r="C468" s="1" t="n">
        <v>45912</v>
      </c>
      <c r="D468" t="inlineStr">
        <is>
          <t>ÖSTERGÖTLANDS LÄN</t>
        </is>
      </c>
      <c r="E468" t="inlineStr">
        <is>
          <t>LINKÖPING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30518-2024</t>
        </is>
      </c>
      <c r="B469" s="1" t="n">
        <v>45492</v>
      </c>
      <c r="C469" s="1" t="n">
        <v>45912</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53797-2023</t>
        </is>
      </c>
      <c r="B470" s="1" t="n">
        <v>45230</v>
      </c>
      <c r="C470" s="1" t="n">
        <v>45912</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38886-2024</t>
        </is>
      </c>
      <c r="B471" s="1" t="n">
        <v>45547.66443287037</v>
      </c>
      <c r="C471" s="1" t="n">
        <v>45912</v>
      </c>
      <c r="D471" t="inlineStr">
        <is>
          <t>ÖSTERGÖTLANDS LÄN</t>
        </is>
      </c>
      <c r="E471" t="inlineStr">
        <is>
          <t>LINKÖPING</t>
        </is>
      </c>
      <c r="G471" t="n">
        <v>5.3</v>
      </c>
      <c r="H471" t="n">
        <v>0</v>
      </c>
      <c r="I471" t="n">
        <v>0</v>
      </c>
      <c r="J471" t="n">
        <v>0</v>
      </c>
      <c r="K471" t="n">
        <v>0</v>
      </c>
      <c r="L471" t="n">
        <v>0</v>
      </c>
      <c r="M471" t="n">
        <v>0</v>
      </c>
      <c r="N471" t="n">
        <v>0</v>
      </c>
      <c r="O471" t="n">
        <v>0</v>
      </c>
      <c r="P471" t="n">
        <v>0</v>
      </c>
      <c r="Q471" t="n">
        <v>0</v>
      </c>
      <c r="R471" s="2" t="inlineStr"/>
    </row>
    <row r="472" ht="15" customHeight="1">
      <c r="A472" t="inlineStr">
        <is>
          <t>A 51583-2024</t>
        </is>
      </c>
      <c r="B472" s="1" t="n">
        <v>45604.6397337963</v>
      </c>
      <c r="C472" s="1" t="n">
        <v>45912</v>
      </c>
      <c r="D472" t="inlineStr">
        <is>
          <t>ÖSTERGÖTLANDS LÄN</t>
        </is>
      </c>
      <c r="E472" t="inlineStr">
        <is>
          <t>LINKÖPING</t>
        </is>
      </c>
      <c r="F472" t="inlineStr">
        <is>
          <t>Övriga Aktiebolag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55345-2021</t>
        </is>
      </c>
      <c r="B473" s="1" t="n">
        <v>44475</v>
      </c>
      <c r="C473" s="1" t="n">
        <v>45912</v>
      </c>
      <c r="D473" t="inlineStr">
        <is>
          <t>ÖSTERGÖTLANDS LÄN</t>
        </is>
      </c>
      <c r="E473" t="inlineStr">
        <is>
          <t>LINKÖPING</t>
        </is>
      </c>
      <c r="G473" t="n">
        <v>5.7</v>
      </c>
      <c r="H473" t="n">
        <v>0</v>
      </c>
      <c r="I473" t="n">
        <v>0</v>
      </c>
      <c r="J473" t="n">
        <v>0</v>
      </c>
      <c r="K473" t="n">
        <v>0</v>
      </c>
      <c r="L473" t="n">
        <v>0</v>
      </c>
      <c r="M473" t="n">
        <v>0</v>
      </c>
      <c r="N473" t="n">
        <v>0</v>
      </c>
      <c r="O473" t="n">
        <v>0</v>
      </c>
      <c r="P473" t="n">
        <v>0</v>
      </c>
      <c r="Q473" t="n">
        <v>0</v>
      </c>
      <c r="R473" s="2" t="inlineStr"/>
    </row>
    <row r="474" ht="15" customHeight="1">
      <c r="A474" t="inlineStr">
        <is>
          <t>A 59954-2020</t>
        </is>
      </c>
      <c r="B474" s="1" t="n">
        <v>44151</v>
      </c>
      <c r="C474" s="1" t="n">
        <v>45912</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59969-2020</t>
        </is>
      </c>
      <c r="B475" s="1" t="n">
        <v>44151</v>
      </c>
      <c r="C475" s="1" t="n">
        <v>45912</v>
      </c>
      <c r="D475" t="inlineStr">
        <is>
          <t>ÖSTERGÖTLANDS LÄN</t>
        </is>
      </c>
      <c r="E475" t="inlineStr">
        <is>
          <t>LINKÖPING</t>
        </is>
      </c>
      <c r="G475" t="n">
        <v>2.2</v>
      </c>
      <c r="H475" t="n">
        <v>0</v>
      </c>
      <c r="I475" t="n">
        <v>0</v>
      </c>
      <c r="J475" t="n">
        <v>0</v>
      </c>
      <c r="K475" t="n">
        <v>0</v>
      </c>
      <c r="L475" t="n">
        <v>0</v>
      </c>
      <c r="M475" t="n">
        <v>0</v>
      </c>
      <c r="N475" t="n">
        <v>0</v>
      </c>
      <c r="O475" t="n">
        <v>0</v>
      </c>
      <c r="P475" t="n">
        <v>0</v>
      </c>
      <c r="Q475" t="n">
        <v>0</v>
      </c>
      <c r="R475" s="2" t="inlineStr"/>
    </row>
    <row r="476" ht="15" customHeight="1">
      <c r="A476" t="inlineStr">
        <is>
          <t>A 58714-2020</t>
        </is>
      </c>
      <c r="B476" s="1" t="n">
        <v>44146</v>
      </c>
      <c r="C476" s="1" t="n">
        <v>45912</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64694-2023</t>
        </is>
      </c>
      <c r="B477" s="1" t="n">
        <v>45281</v>
      </c>
      <c r="C477" s="1" t="n">
        <v>45912</v>
      </c>
      <c r="D477" t="inlineStr">
        <is>
          <t>ÖSTERGÖTLANDS LÄN</t>
        </is>
      </c>
      <c r="E477" t="inlineStr">
        <is>
          <t>LINKÖPING</t>
        </is>
      </c>
      <c r="F477" t="inlineStr">
        <is>
          <t>Övriga statliga verk och myndigheter</t>
        </is>
      </c>
      <c r="G477" t="n">
        <v>4.9</v>
      </c>
      <c r="H477" t="n">
        <v>0</v>
      </c>
      <c r="I477" t="n">
        <v>0</v>
      </c>
      <c r="J477" t="n">
        <v>0</v>
      </c>
      <c r="K477" t="n">
        <v>0</v>
      </c>
      <c r="L477" t="n">
        <v>0</v>
      </c>
      <c r="M477" t="n">
        <v>0</v>
      </c>
      <c r="N477" t="n">
        <v>0</v>
      </c>
      <c r="O477" t="n">
        <v>0</v>
      </c>
      <c r="P477" t="n">
        <v>0</v>
      </c>
      <c r="Q477" t="n">
        <v>0</v>
      </c>
      <c r="R477" s="2" t="inlineStr"/>
    </row>
    <row r="478" ht="15" customHeight="1">
      <c r="A478" t="inlineStr">
        <is>
          <t>A 10198-2023</t>
        </is>
      </c>
      <c r="B478" s="1" t="n">
        <v>44986.54665509259</v>
      </c>
      <c r="C478" s="1" t="n">
        <v>45912</v>
      </c>
      <c r="D478" t="inlineStr">
        <is>
          <t>ÖSTERGÖTLANDS LÄN</t>
        </is>
      </c>
      <c r="E478" t="inlineStr">
        <is>
          <t>LINKÖPING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32602-2022</t>
        </is>
      </c>
      <c r="B479" s="1" t="n">
        <v>44783.43192129629</v>
      </c>
      <c r="C479" s="1" t="n">
        <v>45912</v>
      </c>
      <c r="D479" t="inlineStr">
        <is>
          <t>ÖSTERGÖTLANDS LÄN</t>
        </is>
      </c>
      <c r="E479" t="inlineStr">
        <is>
          <t>LINKÖPING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4298-2023</t>
        </is>
      </c>
      <c r="B480" s="1" t="n">
        <v>44953</v>
      </c>
      <c r="C480" s="1" t="n">
        <v>45912</v>
      </c>
      <c r="D480" t="inlineStr">
        <is>
          <t>ÖSTERGÖTLANDS LÄN</t>
        </is>
      </c>
      <c r="E480" t="inlineStr">
        <is>
          <t>LINKÖPING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62321-2022</t>
        </is>
      </c>
      <c r="B481" s="1" t="n">
        <v>44916</v>
      </c>
      <c r="C481" s="1" t="n">
        <v>45912</v>
      </c>
      <c r="D481" t="inlineStr">
        <is>
          <t>ÖSTERGÖTLANDS LÄN</t>
        </is>
      </c>
      <c r="E481" t="inlineStr">
        <is>
          <t>LINKÖPING</t>
        </is>
      </c>
      <c r="F481" t="inlineStr">
        <is>
          <t>Kommuner</t>
        </is>
      </c>
      <c r="G481" t="n">
        <v>5.3</v>
      </c>
      <c r="H481" t="n">
        <v>0</v>
      </c>
      <c r="I481" t="n">
        <v>0</v>
      </c>
      <c r="J481" t="n">
        <v>0</v>
      </c>
      <c r="K481" t="n">
        <v>0</v>
      </c>
      <c r="L481" t="n">
        <v>0</v>
      </c>
      <c r="M481" t="n">
        <v>0</v>
      </c>
      <c r="N481" t="n">
        <v>0</v>
      </c>
      <c r="O481" t="n">
        <v>0</v>
      </c>
      <c r="P481" t="n">
        <v>0</v>
      </c>
      <c r="Q481" t="n">
        <v>0</v>
      </c>
      <c r="R481" s="2" t="inlineStr"/>
    </row>
    <row r="482" ht="15" customHeight="1">
      <c r="A482" t="inlineStr">
        <is>
          <t>A 12428-2024</t>
        </is>
      </c>
      <c r="B482" s="1" t="n">
        <v>45379</v>
      </c>
      <c r="C482" s="1" t="n">
        <v>45912</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26618-2023</t>
        </is>
      </c>
      <c r="B483" s="1" t="n">
        <v>45092.70306712963</v>
      </c>
      <c r="C483" s="1" t="n">
        <v>45912</v>
      </c>
      <c r="D483" t="inlineStr">
        <is>
          <t>ÖSTERGÖTLANDS LÄN</t>
        </is>
      </c>
      <c r="E483" t="inlineStr">
        <is>
          <t>LINKÖPING</t>
        </is>
      </c>
      <c r="G483" t="n">
        <v>6.9</v>
      </c>
      <c r="H483" t="n">
        <v>0</v>
      </c>
      <c r="I483" t="n">
        <v>0</v>
      </c>
      <c r="J483" t="n">
        <v>0</v>
      </c>
      <c r="K483" t="n">
        <v>0</v>
      </c>
      <c r="L483" t="n">
        <v>0</v>
      </c>
      <c r="M483" t="n">
        <v>0</v>
      </c>
      <c r="N483" t="n">
        <v>0</v>
      </c>
      <c r="O483" t="n">
        <v>0</v>
      </c>
      <c r="P483" t="n">
        <v>0</v>
      </c>
      <c r="Q483" t="n">
        <v>0</v>
      </c>
      <c r="R483" s="2" t="inlineStr"/>
    </row>
    <row r="484" ht="15" customHeight="1">
      <c r="A484" t="inlineStr">
        <is>
          <t>A 1084-2023</t>
        </is>
      </c>
      <c r="B484" s="1" t="n">
        <v>44929</v>
      </c>
      <c r="C484" s="1" t="n">
        <v>45912</v>
      </c>
      <c r="D484" t="inlineStr">
        <is>
          <t>ÖSTERGÖTLANDS LÄN</t>
        </is>
      </c>
      <c r="E484" t="inlineStr">
        <is>
          <t>LINKÖPING</t>
        </is>
      </c>
      <c r="G484" t="n">
        <v>10.4</v>
      </c>
      <c r="H484" t="n">
        <v>0</v>
      </c>
      <c r="I484" t="n">
        <v>0</v>
      </c>
      <c r="J484" t="n">
        <v>0</v>
      </c>
      <c r="K484" t="n">
        <v>0</v>
      </c>
      <c r="L484" t="n">
        <v>0</v>
      </c>
      <c r="M484" t="n">
        <v>0</v>
      </c>
      <c r="N484" t="n">
        <v>0</v>
      </c>
      <c r="O484" t="n">
        <v>0</v>
      </c>
      <c r="P484" t="n">
        <v>0</v>
      </c>
      <c r="Q484" t="n">
        <v>0</v>
      </c>
      <c r="R484" s="2" t="inlineStr"/>
    </row>
    <row r="485" ht="15" customHeight="1">
      <c r="A485" t="inlineStr">
        <is>
          <t>A 267-2023</t>
        </is>
      </c>
      <c r="B485" s="1" t="n">
        <v>44928.80907407407</v>
      </c>
      <c r="C485" s="1" t="n">
        <v>45912</v>
      </c>
      <c r="D485" t="inlineStr">
        <is>
          <t>ÖSTERGÖTLANDS LÄN</t>
        </is>
      </c>
      <c r="E485" t="inlineStr">
        <is>
          <t>LINKÖPING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940-2023</t>
        </is>
      </c>
      <c r="B486" s="1" t="n">
        <v>44933</v>
      </c>
      <c r="C486" s="1" t="n">
        <v>45912</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6369-2023</t>
        </is>
      </c>
      <c r="B487" s="1" t="n">
        <v>44965.61106481482</v>
      </c>
      <c r="C487" s="1" t="n">
        <v>45912</v>
      </c>
      <c r="D487" t="inlineStr">
        <is>
          <t>ÖSTERGÖTLANDS LÄN</t>
        </is>
      </c>
      <c r="E487" t="inlineStr">
        <is>
          <t>LINKÖPING</t>
        </is>
      </c>
      <c r="G487" t="n">
        <v>4</v>
      </c>
      <c r="H487" t="n">
        <v>0</v>
      </c>
      <c r="I487" t="n">
        <v>0</v>
      </c>
      <c r="J487" t="n">
        <v>0</v>
      </c>
      <c r="K487" t="n">
        <v>0</v>
      </c>
      <c r="L487" t="n">
        <v>0</v>
      </c>
      <c r="M487" t="n">
        <v>0</v>
      </c>
      <c r="N487" t="n">
        <v>0</v>
      </c>
      <c r="O487" t="n">
        <v>0</v>
      </c>
      <c r="P487" t="n">
        <v>0</v>
      </c>
      <c r="Q487" t="n">
        <v>0</v>
      </c>
      <c r="R487" s="2" t="inlineStr"/>
    </row>
    <row r="488" ht="15" customHeight="1">
      <c r="A488" t="inlineStr">
        <is>
          <t>A 30980-2022</t>
        </is>
      </c>
      <c r="B488" s="1" t="n">
        <v>44768</v>
      </c>
      <c r="C488" s="1" t="n">
        <v>45912</v>
      </c>
      <c r="D488" t="inlineStr">
        <is>
          <t>ÖSTERGÖTLANDS LÄN</t>
        </is>
      </c>
      <c r="E488" t="inlineStr">
        <is>
          <t>LINKÖPING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34930-2023</t>
        </is>
      </c>
      <c r="B489" s="1" t="n">
        <v>45142</v>
      </c>
      <c r="C489" s="1" t="n">
        <v>45912</v>
      </c>
      <c r="D489" t="inlineStr">
        <is>
          <t>ÖSTERGÖTLANDS LÄN</t>
        </is>
      </c>
      <c r="E489" t="inlineStr">
        <is>
          <t>LINKÖPING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670-2024</t>
        </is>
      </c>
      <c r="B490" s="1" t="n">
        <v>45300.3408912037</v>
      </c>
      <c r="C490" s="1" t="n">
        <v>45912</v>
      </c>
      <c r="D490" t="inlineStr">
        <is>
          <t>ÖSTERGÖTLANDS LÄN</t>
        </is>
      </c>
      <c r="E490" t="inlineStr">
        <is>
          <t>LINKÖPING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60007-2022</t>
        </is>
      </c>
      <c r="B491" s="1" t="n">
        <v>44909.47282407407</v>
      </c>
      <c r="C491" s="1" t="n">
        <v>45912</v>
      </c>
      <c r="D491" t="inlineStr">
        <is>
          <t>ÖSTERGÖTLANDS LÄN</t>
        </is>
      </c>
      <c r="E491" t="inlineStr">
        <is>
          <t>LINKÖPING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63845-2021</t>
        </is>
      </c>
      <c r="B492" s="1" t="n">
        <v>44509</v>
      </c>
      <c r="C492" s="1" t="n">
        <v>45912</v>
      </c>
      <c r="D492" t="inlineStr">
        <is>
          <t>ÖSTERGÖTLANDS LÄN</t>
        </is>
      </c>
      <c r="E492" t="inlineStr">
        <is>
          <t>LINKÖPING</t>
        </is>
      </c>
      <c r="G492" t="n">
        <v>5</v>
      </c>
      <c r="H492" t="n">
        <v>0</v>
      </c>
      <c r="I492" t="n">
        <v>0</v>
      </c>
      <c r="J492" t="n">
        <v>0</v>
      </c>
      <c r="K492" t="n">
        <v>0</v>
      </c>
      <c r="L492" t="n">
        <v>0</v>
      </c>
      <c r="M492" t="n">
        <v>0</v>
      </c>
      <c r="N492" t="n">
        <v>0</v>
      </c>
      <c r="O492" t="n">
        <v>0</v>
      </c>
      <c r="P492" t="n">
        <v>0</v>
      </c>
      <c r="Q492" t="n">
        <v>0</v>
      </c>
      <c r="R492" s="2" t="inlineStr"/>
    </row>
    <row r="493" ht="15" customHeight="1">
      <c r="A493" t="inlineStr">
        <is>
          <t>A 50799-2022</t>
        </is>
      </c>
      <c r="B493" s="1" t="n">
        <v>44862</v>
      </c>
      <c r="C493" s="1" t="n">
        <v>45912</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33947-2025</t>
        </is>
      </c>
      <c r="B494" s="1" t="n">
        <v>45842.65444444444</v>
      </c>
      <c r="C494" s="1" t="n">
        <v>45912</v>
      </c>
      <c r="D494" t="inlineStr">
        <is>
          <t>ÖSTERGÖTLANDS LÄN</t>
        </is>
      </c>
      <c r="E494" t="inlineStr">
        <is>
          <t>LINKÖPING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56064-2022</t>
        </is>
      </c>
      <c r="B495" s="1" t="n">
        <v>44889.59107638889</v>
      </c>
      <c r="C495" s="1" t="n">
        <v>45912</v>
      </c>
      <c r="D495" t="inlineStr">
        <is>
          <t>ÖSTERGÖTLANDS LÄN</t>
        </is>
      </c>
      <c r="E495" t="inlineStr">
        <is>
          <t>LINKÖPING</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53529-2024</t>
        </is>
      </c>
      <c r="B496" s="1" t="n">
        <v>45614</v>
      </c>
      <c r="C496" s="1" t="n">
        <v>45912</v>
      </c>
      <c r="D496" t="inlineStr">
        <is>
          <t>ÖSTERGÖTLANDS LÄN</t>
        </is>
      </c>
      <c r="E496" t="inlineStr">
        <is>
          <t>LINKÖPING</t>
        </is>
      </c>
      <c r="G496" t="n">
        <v>6.7</v>
      </c>
      <c r="H496" t="n">
        <v>0</v>
      </c>
      <c r="I496" t="n">
        <v>0</v>
      </c>
      <c r="J496" t="n">
        <v>0</v>
      </c>
      <c r="K496" t="n">
        <v>0</v>
      </c>
      <c r="L496" t="n">
        <v>0</v>
      </c>
      <c r="M496" t="n">
        <v>0</v>
      </c>
      <c r="N496" t="n">
        <v>0</v>
      </c>
      <c r="O496" t="n">
        <v>0</v>
      </c>
      <c r="P496" t="n">
        <v>0</v>
      </c>
      <c r="Q496" t="n">
        <v>0</v>
      </c>
      <c r="R496" s="2" t="inlineStr"/>
    </row>
    <row r="497" ht="15" customHeight="1">
      <c r="A497" t="inlineStr">
        <is>
          <t>A 62012-2024</t>
        </is>
      </c>
      <c r="B497" s="1" t="n">
        <v>45655.79679398148</v>
      </c>
      <c r="C497" s="1" t="n">
        <v>45912</v>
      </c>
      <c r="D497" t="inlineStr">
        <is>
          <t>ÖSTERGÖTLANDS LÄN</t>
        </is>
      </c>
      <c r="E497" t="inlineStr">
        <is>
          <t>LINKÖPING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38971-2025</t>
        </is>
      </c>
      <c r="B498" s="1" t="n">
        <v>45887.71827546296</v>
      </c>
      <c r="C498" s="1" t="n">
        <v>45912</v>
      </c>
      <c r="D498" t="inlineStr">
        <is>
          <t>ÖSTERGÖTLANDS LÄN</t>
        </is>
      </c>
      <c r="E498" t="inlineStr">
        <is>
          <t>LINKÖPING</t>
        </is>
      </c>
      <c r="G498" t="n">
        <v>3.9</v>
      </c>
      <c r="H498" t="n">
        <v>0</v>
      </c>
      <c r="I498" t="n">
        <v>0</v>
      </c>
      <c r="J498" t="n">
        <v>0</v>
      </c>
      <c r="K498" t="n">
        <v>0</v>
      </c>
      <c r="L498" t="n">
        <v>0</v>
      </c>
      <c r="M498" t="n">
        <v>0</v>
      </c>
      <c r="N498" t="n">
        <v>0</v>
      </c>
      <c r="O498" t="n">
        <v>0</v>
      </c>
      <c r="P498" t="n">
        <v>0</v>
      </c>
      <c r="Q498" t="n">
        <v>0</v>
      </c>
      <c r="R498" s="2" t="inlineStr"/>
    </row>
    <row r="499" ht="15" customHeight="1">
      <c r="A499" t="inlineStr">
        <is>
          <t>A 47703-2023</t>
        </is>
      </c>
      <c r="B499" s="1" t="n">
        <v>45203</v>
      </c>
      <c r="C499" s="1" t="n">
        <v>45912</v>
      </c>
      <c r="D499" t="inlineStr">
        <is>
          <t>ÖSTERGÖTLANDS LÄN</t>
        </is>
      </c>
      <c r="E499" t="inlineStr">
        <is>
          <t>LINKÖPING</t>
        </is>
      </c>
      <c r="G499" t="n">
        <v>4.1</v>
      </c>
      <c r="H499" t="n">
        <v>0</v>
      </c>
      <c r="I499" t="n">
        <v>0</v>
      </c>
      <c r="J499" t="n">
        <v>0</v>
      </c>
      <c r="K499" t="n">
        <v>0</v>
      </c>
      <c r="L499" t="n">
        <v>0</v>
      </c>
      <c r="M499" t="n">
        <v>0</v>
      </c>
      <c r="N499" t="n">
        <v>0</v>
      </c>
      <c r="O499" t="n">
        <v>0</v>
      </c>
      <c r="P499" t="n">
        <v>0</v>
      </c>
      <c r="Q499" t="n">
        <v>0</v>
      </c>
      <c r="R499" s="2" t="inlineStr"/>
    </row>
    <row r="500" ht="15" customHeight="1">
      <c r="A500" t="inlineStr">
        <is>
          <t>A 54034-2022</t>
        </is>
      </c>
      <c r="B500" s="1" t="n">
        <v>44881</v>
      </c>
      <c r="C500" s="1" t="n">
        <v>45912</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36336-2023</t>
        </is>
      </c>
      <c r="B501" s="1" t="n">
        <v>45152.45078703704</v>
      </c>
      <c r="C501" s="1" t="n">
        <v>45912</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16111-2022</t>
        </is>
      </c>
      <c r="B502" s="1" t="n">
        <v>44665</v>
      </c>
      <c r="C502" s="1" t="n">
        <v>45912</v>
      </c>
      <c r="D502" t="inlineStr">
        <is>
          <t>ÖSTERGÖTLANDS LÄN</t>
        </is>
      </c>
      <c r="E502" t="inlineStr">
        <is>
          <t>LINKÖPING</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48829-2023</t>
        </is>
      </c>
      <c r="B503" s="1" t="n">
        <v>45209.38177083333</v>
      </c>
      <c r="C503" s="1" t="n">
        <v>45912</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48962-2022</t>
        </is>
      </c>
      <c r="B504" s="1" t="n">
        <v>44860.31635416667</v>
      </c>
      <c r="C504" s="1" t="n">
        <v>45912</v>
      </c>
      <c r="D504" t="inlineStr">
        <is>
          <t>ÖSTERGÖTLANDS LÄN</t>
        </is>
      </c>
      <c r="E504" t="inlineStr">
        <is>
          <t>LINKÖPING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27891-2021</t>
        </is>
      </c>
      <c r="B505" s="1" t="n">
        <v>44354.65108796296</v>
      </c>
      <c r="C505" s="1" t="n">
        <v>45912</v>
      </c>
      <c r="D505" t="inlineStr">
        <is>
          <t>ÖSTERGÖTLANDS LÄN</t>
        </is>
      </c>
      <c r="E505" t="inlineStr">
        <is>
          <t>LINKÖPING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54491-2020</t>
        </is>
      </c>
      <c r="B506" s="1" t="n">
        <v>44126.64</v>
      </c>
      <c r="C506" s="1" t="n">
        <v>45912</v>
      </c>
      <c r="D506" t="inlineStr">
        <is>
          <t>ÖSTERGÖTLANDS LÄN</t>
        </is>
      </c>
      <c r="E506" t="inlineStr">
        <is>
          <t>LINKÖPING</t>
        </is>
      </c>
      <c r="G506" t="n">
        <v>1.4</v>
      </c>
      <c r="H506" t="n">
        <v>0</v>
      </c>
      <c r="I506" t="n">
        <v>0</v>
      </c>
      <c r="J506" t="n">
        <v>0</v>
      </c>
      <c r="K506" t="n">
        <v>0</v>
      </c>
      <c r="L506" t="n">
        <v>0</v>
      </c>
      <c r="M506" t="n">
        <v>0</v>
      </c>
      <c r="N506" t="n">
        <v>0</v>
      </c>
      <c r="O506" t="n">
        <v>0</v>
      </c>
      <c r="P506" t="n">
        <v>0</v>
      </c>
      <c r="Q506" t="n">
        <v>0</v>
      </c>
      <c r="R506" s="2" t="inlineStr"/>
    </row>
    <row r="507" ht="15" customHeight="1">
      <c r="A507" t="inlineStr">
        <is>
          <t>A 45506-2020</t>
        </is>
      </c>
      <c r="B507" s="1" t="n">
        <v>44089</v>
      </c>
      <c r="C507" s="1" t="n">
        <v>45912</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1268-2023</t>
        </is>
      </c>
      <c r="B508" s="1" t="n">
        <v>44936</v>
      </c>
      <c r="C508" s="1" t="n">
        <v>45912</v>
      </c>
      <c r="D508" t="inlineStr">
        <is>
          <t>ÖSTERGÖTLANDS LÄN</t>
        </is>
      </c>
      <c r="E508" t="inlineStr">
        <is>
          <t>LINKÖPING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20469-2025</t>
        </is>
      </c>
      <c r="B509" s="1" t="n">
        <v>45775</v>
      </c>
      <c r="C509" s="1" t="n">
        <v>45912</v>
      </c>
      <c r="D509" t="inlineStr">
        <is>
          <t>ÖSTERGÖTLANDS LÄN</t>
        </is>
      </c>
      <c r="E509" t="inlineStr">
        <is>
          <t>LINKÖPING</t>
        </is>
      </c>
      <c r="F509" t="inlineStr">
        <is>
          <t>Kyrkan</t>
        </is>
      </c>
      <c r="G509" t="n">
        <v>6.1</v>
      </c>
      <c r="H509" t="n">
        <v>0</v>
      </c>
      <c r="I509" t="n">
        <v>0</v>
      </c>
      <c r="J509" t="n">
        <v>0</v>
      </c>
      <c r="K509" t="n">
        <v>0</v>
      </c>
      <c r="L509" t="n">
        <v>0</v>
      </c>
      <c r="M509" t="n">
        <v>0</v>
      </c>
      <c r="N509" t="n">
        <v>0</v>
      </c>
      <c r="O509" t="n">
        <v>0</v>
      </c>
      <c r="P509" t="n">
        <v>0</v>
      </c>
      <c r="Q509" t="n">
        <v>0</v>
      </c>
      <c r="R509" s="2" t="inlineStr"/>
    </row>
    <row r="510" ht="15" customHeight="1">
      <c r="A510" t="inlineStr">
        <is>
          <t>A 62687-2023</t>
        </is>
      </c>
      <c r="B510" s="1" t="n">
        <v>45271</v>
      </c>
      <c r="C510" s="1" t="n">
        <v>45912</v>
      </c>
      <c r="D510" t="inlineStr">
        <is>
          <t>ÖSTERGÖTLANDS LÄN</t>
        </is>
      </c>
      <c r="E510" t="inlineStr">
        <is>
          <t>LINKÖPING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34641-2022</t>
        </is>
      </c>
      <c r="B511" s="1" t="n">
        <v>44795</v>
      </c>
      <c r="C511" s="1" t="n">
        <v>45912</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39438-2025</t>
        </is>
      </c>
      <c r="B512" s="1" t="n">
        <v>45889.68641203704</v>
      </c>
      <c r="C512" s="1" t="n">
        <v>45912</v>
      </c>
      <c r="D512" t="inlineStr">
        <is>
          <t>ÖSTERGÖTLANDS LÄN</t>
        </is>
      </c>
      <c r="E512" t="inlineStr">
        <is>
          <t>LINKÖPING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39074-2025</t>
        </is>
      </c>
      <c r="B513" s="1" t="n">
        <v>45888</v>
      </c>
      <c r="C513" s="1" t="n">
        <v>45912</v>
      </c>
      <c r="D513" t="inlineStr">
        <is>
          <t>ÖSTERGÖTLANDS LÄN</t>
        </is>
      </c>
      <c r="E513" t="inlineStr">
        <is>
          <t>LINKÖPING</t>
        </is>
      </c>
      <c r="G513" t="n">
        <v>2.9</v>
      </c>
      <c r="H513" t="n">
        <v>0</v>
      </c>
      <c r="I513" t="n">
        <v>0</v>
      </c>
      <c r="J513" t="n">
        <v>0</v>
      </c>
      <c r="K513" t="n">
        <v>0</v>
      </c>
      <c r="L513" t="n">
        <v>0</v>
      </c>
      <c r="M513" t="n">
        <v>0</v>
      </c>
      <c r="N513" t="n">
        <v>0</v>
      </c>
      <c r="O513" t="n">
        <v>0</v>
      </c>
      <c r="P513" t="n">
        <v>0</v>
      </c>
      <c r="Q513" t="n">
        <v>0</v>
      </c>
      <c r="R513" s="2" t="inlineStr"/>
    </row>
    <row r="514" ht="15" customHeight="1">
      <c r="A514" t="inlineStr">
        <is>
          <t>A 938-2023</t>
        </is>
      </c>
      <c r="B514" s="1" t="n">
        <v>44933</v>
      </c>
      <c r="C514" s="1" t="n">
        <v>45912</v>
      </c>
      <c r="D514" t="inlineStr">
        <is>
          <t>ÖSTERGÖTLANDS LÄN</t>
        </is>
      </c>
      <c r="E514" t="inlineStr">
        <is>
          <t>LINKÖPING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48186-2022</t>
        </is>
      </c>
      <c r="B515" s="1" t="n">
        <v>44858</v>
      </c>
      <c r="C515" s="1" t="n">
        <v>45912</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2389-2023</t>
        </is>
      </c>
      <c r="B516" s="1" t="n">
        <v>44942</v>
      </c>
      <c r="C516" s="1" t="n">
        <v>45912</v>
      </c>
      <c r="D516" t="inlineStr">
        <is>
          <t>ÖSTERGÖTLANDS LÄN</t>
        </is>
      </c>
      <c r="E516" t="inlineStr">
        <is>
          <t>LINKÖPING</t>
        </is>
      </c>
      <c r="G516" t="n">
        <v>3.3</v>
      </c>
      <c r="H516" t="n">
        <v>0</v>
      </c>
      <c r="I516" t="n">
        <v>0</v>
      </c>
      <c r="J516" t="n">
        <v>0</v>
      </c>
      <c r="K516" t="n">
        <v>0</v>
      </c>
      <c r="L516" t="n">
        <v>0</v>
      </c>
      <c r="M516" t="n">
        <v>0</v>
      </c>
      <c r="N516" t="n">
        <v>0</v>
      </c>
      <c r="O516" t="n">
        <v>0</v>
      </c>
      <c r="P516" t="n">
        <v>0</v>
      </c>
      <c r="Q516" t="n">
        <v>0</v>
      </c>
      <c r="R516" s="2" t="inlineStr"/>
    </row>
    <row r="517" ht="15" customHeight="1">
      <c r="A517" t="inlineStr">
        <is>
          <t>A 63669-2023</t>
        </is>
      </c>
      <c r="B517" s="1" t="n">
        <v>45275</v>
      </c>
      <c r="C517" s="1" t="n">
        <v>45912</v>
      </c>
      <c r="D517" t="inlineStr">
        <is>
          <t>ÖSTERGÖTLANDS LÄN</t>
        </is>
      </c>
      <c r="E517" t="inlineStr">
        <is>
          <t>LINKÖPING</t>
        </is>
      </c>
      <c r="F517" t="inlineStr">
        <is>
          <t>Övriga Aktiebolag</t>
        </is>
      </c>
      <c r="G517" t="n">
        <v>3</v>
      </c>
      <c r="H517" t="n">
        <v>0</v>
      </c>
      <c r="I517" t="n">
        <v>0</v>
      </c>
      <c r="J517" t="n">
        <v>0</v>
      </c>
      <c r="K517" t="n">
        <v>0</v>
      </c>
      <c r="L517" t="n">
        <v>0</v>
      </c>
      <c r="M517" t="n">
        <v>0</v>
      </c>
      <c r="N517" t="n">
        <v>0</v>
      </c>
      <c r="O517" t="n">
        <v>0</v>
      </c>
      <c r="P517" t="n">
        <v>0</v>
      </c>
      <c r="Q517" t="n">
        <v>0</v>
      </c>
      <c r="R517" s="2" t="inlineStr"/>
    </row>
    <row r="518" ht="15" customHeight="1">
      <c r="A518" t="inlineStr">
        <is>
          <t>A 48-2024</t>
        </is>
      </c>
      <c r="B518" s="1" t="n">
        <v>45293</v>
      </c>
      <c r="C518" s="1" t="n">
        <v>45912</v>
      </c>
      <c r="D518" t="inlineStr">
        <is>
          <t>ÖSTERGÖTLANDS LÄN</t>
        </is>
      </c>
      <c r="E518" t="inlineStr">
        <is>
          <t>LINKÖPING</t>
        </is>
      </c>
      <c r="G518" t="n">
        <v>4.6</v>
      </c>
      <c r="H518" t="n">
        <v>0</v>
      </c>
      <c r="I518" t="n">
        <v>0</v>
      </c>
      <c r="J518" t="n">
        <v>0</v>
      </c>
      <c r="K518" t="n">
        <v>0</v>
      </c>
      <c r="L518" t="n">
        <v>0</v>
      </c>
      <c r="M518" t="n">
        <v>0</v>
      </c>
      <c r="N518" t="n">
        <v>0</v>
      </c>
      <c r="O518" t="n">
        <v>0</v>
      </c>
      <c r="P518" t="n">
        <v>0</v>
      </c>
      <c r="Q518" t="n">
        <v>0</v>
      </c>
      <c r="R518" s="2" t="inlineStr"/>
    </row>
    <row r="519" ht="15" customHeight="1">
      <c r="A519" t="inlineStr">
        <is>
          <t>A 24586-2024</t>
        </is>
      </c>
      <c r="B519" s="1" t="n">
        <v>45460.46664351852</v>
      </c>
      <c r="C519" s="1" t="n">
        <v>45912</v>
      </c>
      <c r="D519" t="inlineStr">
        <is>
          <t>ÖSTERGÖTLANDS LÄN</t>
        </is>
      </c>
      <c r="E519" t="inlineStr">
        <is>
          <t>LINKÖPING</t>
        </is>
      </c>
      <c r="G519" t="n">
        <v>4</v>
      </c>
      <c r="H519" t="n">
        <v>0</v>
      </c>
      <c r="I519" t="n">
        <v>0</v>
      </c>
      <c r="J519" t="n">
        <v>0</v>
      </c>
      <c r="K519" t="n">
        <v>0</v>
      </c>
      <c r="L519" t="n">
        <v>0</v>
      </c>
      <c r="M519" t="n">
        <v>0</v>
      </c>
      <c r="N519" t="n">
        <v>0</v>
      </c>
      <c r="O519" t="n">
        <v>0</v>
      </c>
      <c r="P519" t="n">
        <v>0</v>
      </c>
      <c r="Q519" t="n">
        <v>0</v>
      </c>
      <c r="R519" s="2" t="inlineStr"/>
    </row>
    <row r="520" ht="15" customHeight="1">
      <c r="A520" t="inlineStr">
        <is>
          <t>A 45771-2023</t>
        </is>
      </c>
      <c r="B520" s="1" t="n">
        <v>45195.4384375</v>
      </c>
      <c r="C520" s="1" t="n">
        <v>45912</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30547-2023</t>
        </is>
      </c>
      <c r="B521" s="1" t="n">
        <v>45111.75905092592</v>
      </c>
      <c r="C521" s="1" t="n">
        <v>45912</v>
      </c>
      <c r="D521" t="inlineStr">
        <is>
          <t>ÖSTERGÖTLANDS LÄN</t>
        </is>
      </c>
      <c r="E521" t="inlineStr">
        <is>
          <t>LINKÖPING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40502-2024</t>
        </is>
      </c>
      <c r="B522" s="1" t="n">
        <v>45555.57263888889</v>
      </c>
      <c r="C522" s="1" t="n">
        <v>45912</v>
      </c>
      <c r="D522" t="inlineStr">
        <is>
          <t>ÖSTERGÖTLANDS LÄN</t>
        </is>
      </c>
      <c r="E522" t="inlineStr">
        <is>
          <t>LINKÖPING</t>
        </is>
      </c>
      <c r="F522" t="inlineStr">
        <is>
          <t>Allmännings- och besparingsskogar</t>
        </is>
      </c>
      <c r="G522" t="n">
        <v>17.5</v>
      </c>
      <c r="H522" t="n">
        <v>0</v>
      </c>
      <c r="I522" t="n">
        <v>0</v>
      </c>
      <c r="J522" t="n">
        <v>0</v>
      </c>
      <c r="K522" t="n">
        <v>0</v>
      </c>
      <c r="L522" t="n">
        <v>0</v>
      </c>
      <c r="M522" t="n">
        <v>0</v>
      </c>
      <c r="N522" t="n">
        <v>0</v>
      </c>
      <c r="O522" t="n">
        <v>0</v>
      </c>
      <c r="P522" t="n">
        <v>0</v>
      </c>
      <c r="Q522" t="n">
        <v>0</v>
      </c>
      <c r="R522" s="2" t="inlineStr"/>
    </row>
    <row r="523" ht="15" customHeight="1">
      <c r="A523" t="inlineStr">
        <is>
          <t>A 59576-2024</t>
        </is>
      </c>
      <c r="B523" s="1" t="n">
        <v>45638.66378472222</v>
      </c>
      <c r="C523" s="1" t="n">
        <v>45912</v>
      </c>
      <c r="D523" t="inlineStr">
        <is>
          <t>ÖSTERGÖTLANDS LÄN</t>
        </is>
      </c>
      <c r="E523" t="inlineStr">
        <is>
          <t>LINKÖPING</t>
        </is>
      </c>
      <c r="G523" t="n">
        <v>1.6</v>
      </c>
      <c r="H523" t="n">
        <v>0</v>
      </c>
      <c r="I523" t="n">
        <v>0</v>
      </c>
      <c r="J523" t="n">
        <v>0</v>
      </c>
      <c r="K523" t="n">
        <v>0</v>
      </c>
      <c r="L523" t="n">
        <v>0</v>
      </c>
      <c r="M523" t="n">
        <v>0</v>
      </c>
      <c r="N523" t="n">
        <v>0</v>
      </c>
      <c r="O523" t="n">
        <v>0</v>
      </c>
      <c r="P523" t="n">
        <v>0</v>
      </c>
      <c r="Q523" t="n">
        <v>0</v>
      </c>
      <c r="R523" s="2" t="inlineStr"/>
    </row>
    <row r="524" ht="15" customHeight="1">
      <c r="A524" t="inlineStr">
        <is>
          <t>A 59642-2024</t>
        </is>
      </c>
      <c r="B524" s="1" t="n">
        <v>45639.31511574074</v>
      </c>
      <c r="C524" s="1" t="n">
        <v>45912</v>
      </c>
      <c r="D524" t="inlineStr">
        <is>
          <t>ÖSTERGÖTLANDS LÄN</t>
        </is>
      </c>
      <c r="E524" t="inlineStr">
        <is>
          <t>LINKÖPING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59674-2024</t>
        </is>
      </c>
      <c r="B525" s="1" t="n">
        <v>45639</v>
      </c>
      <c r="C525" s="1" t="n">
        <v>45912</v>
      </c>
      <c r="D525" t="inlineStr">
        <is>
          <t>ÖSTERGÖTLANDS LÄN</t>
        </is>
      </c>
      <c r="E525" t="inlineStr">
        <is>
          <t>LINKÖPING</t>
        </is>
      </c>
      <c r="G525" t="n">
        <v>6.3</v>
      </c>
      <c r="H525" t="n">
        <v>0</v>
      </c>
      <c r="I525" t="n">
        <v>0</v>
      </c>
      <c r="J525" t="n">
        <v>0</v>
      </c>
      <c r="K525" t="n">
        <v>0</v>
      </c>
      <c r="L525" t="n">
        <v>0</v>
      </c>
      <c r="M525" t="n">
        <v>0</v>
      </c>
      <c r="N525" t="n">
        <v>0</v>
      </c>
      <c r="O525" t="n">
        <v>0</v>
      </c>
      <c r="P525" t="n">
        <v>0</v>
      </c>
      <c r="Q525" t="n">
        <v>0</v>
      </c>
      <c r="R525" s="2" t="inlineStr"/>
    </row>
    <row r="526" ht="15" customHeight="1">
      <c r="A526" t="inlineStr">
        <is>
          <t>A 3742-2021</t>
        </is>
      </c>
      <c r="B526" s="1" t="n">
        <v>44221</v>
      </c>
      <c r="C526" s="1" t="n">
        <v>45912</v>
      </c>
      <c r="D526" t="inlineStr">
        <is>
          <t>ÖSTERGÖTLANDS LÄN</t>
        </is>
      </c>
      <c r="E526" t="inlineStr">
        <is>
          <t>LINKÖPING</t>
        </is>
      </c>
      <c r="G526" t="n">
        <v>5.5</v>
      </c>
      <c r="H526" t="n">
        <v>0</v>
      </c>
      <c r="I526" t="n">
        <v>0</v>
      </c>
      <c r="J526" t="n">
        <v>0</v>
      </c>
      <c r="K526" t="n">
        <v>0</v>
      </c>
      <c r="L526" t="n">
        <v>0</v>
      </c>
      <c r="M526" t="n">
        <v>0</v>
      </c>
      <c r="N526" t="n">
        <v>0</v>
      </c>
      <c r="O526" t="n">
        <v>0</v>
      </c>
      <c r="P526" t="n">
        <v>0</v>
      </c>
      <c r="Q526" t="n">
        <v>0</v>
      </c>
      <c r="R526" s="2" t="inlineStr"/>
    </row>
    <row r="527" ht="15" customHeight="1">
      <c r="A527" t="inlineStr">
        <is>
          <t>A 18916-2024</t>
        </is>
      </c>
      <c r="B527" s="1" t="n">
        <v>45427.39541666667</v>
      </c>
      <c r="C527" s="1" t="n">
        <v>45912</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24464-2023</t>
        </is>
      </c>
      <c r="B528" s="1" t="n">
        <v>45082.58068287037</v>
      </c>
      <c r="C528" s="1" t="n">
        <v>45912</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24467-2023</t>
        </is>
      </c>
      <c r="B529" s="1" t="n">
        <v>45082</v>
      </c>
      <c r="C529" s="1" t="n">
        <v>45912</v>
      </c>
      <c r="D529" t="inlineStr">
        <is>
          <t>ÖSTERGÖTLANDS LÄN</t>
        </is>
      </c>
      <c r="E529" t="inlineStr">
        <is>
          <t>LINKÖPING</t>
        </is>
      </c>
      <c r="G529" t="n">
        <v>2.4</v>
      </c>
      <c r="H529" t="n">
        <v>0</v>
      </c>
      <c r="I529" t="n">
        <v>0</v>
      </c>
      <c r="J529" t="n">
        <v>0</v>
      </c>
      <c r="K529" t="n">
        <v>0</v>
      </c>
      <c r="L529" t="n">
        <v>0</v>
      </c>
      <c r="M529" t="n">
        <v>0</v>
      </c>
      <c r="N529" t="n">
        <v>0</v>
      </c>
      <c r="O529" t="n">
        <v>0</v>
      </c>
      <c r="P529" t="n">
        <v>0</v>
      </c>
      <c r="Q529" t="n">
        <v>0</v>
      </c>
      <c r="R529" s="2" t="inlineStr"/>
    </row>
    <row r="530" ht="15" customHeight="1">
      <c r="A530" t="inlineStr">
        <is>
          <t>A 11084-2022</t>
        </is>
      </c>
      <c r="B530" s="1" t="n">
        <v>44628</v>
      </c>
      <c r="C530" s="1" t="n">
        <v>45912</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48389-2024</t>
        </is>
      </c>
      <c r="B531" s="1" t="n">
        <v>45590.59991898148</v>
      </c>
      <c r="C531" s="1" t="n">
        <v>45912</v>
      </c>
      <c r="D531" t="inlineStr">
        <is>
          <t>ÖSTERGÖTLANDS LÄN</t>
        </is>
      </c>
      <c r="E531" t="inlineStr">
        <is>
          <t>LINKÖPING</t>
        </is>
      </c>
      <c r="G531" t="n">
        <v>2.6</v>
      </c>
      <c r="H531" t="n">
        <v>0</v>
      </c>
      <c r="I531" t="n">
        <v>0</v>
      </c>
      <c r="J531" t="n">
        <v>0</v>
      </c>
      <c r="K531" t="n">
        <v>0</v>
      </c>
      <c r="L531" t="n">
        <v>0</v>
      </c>
      <c r="M531" t="n">
        <v>0</v>
      </c>
      <c r="N531" t="n">
        <v>0</v>
      </c>
      <c r="O531" t="n">
        <v>0</v>
      </c>
      <c r="P531" t="n">
        <v>0</v>
      </c>
      <c r="Q531" t="n">
        <v>0</v>
      </c>
      <c r="R531" s="2" t="inlineStr"/>
    </row>
    <row r="532" ht="15" customHeight="1">
      <c r="A532" t="inlineStr">
        <is>
          <t>A 56792-2023</t>
        </is>
      </c>
      <c r="B532" s="1" t="n">
        <v>45244</v>
      </c>
      <c r="C532" s="1" t="n">
        <v>45912</v>
      </c>
      <c r="D532" t="inlineStr">
        <is>
          <t>ÖSTERGÖTLANDS LÄN</t>
        </is>
      </c>
      <c r="E532" t="inlineStr">
        <is>
          <t>LINKÖPING</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33800-2023</t>
        </is>
      </c>
      <c r="B533" s="1" t="n">
        <v>45121</v>
      </c>
      <c r="C533" s="1" t="n">
        <v>45912</v>
      </c>
      <c r="D533" t="inlineStr">
        <is>
          <t>ÖSTERGÖTLANDS LÄN</t>
        </is>
      </c>
      <c r="E533" t="inlineStr">
        <is>
          <t>LINKÖPING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10203-2023</t>
        </is>
      </c>
      <c r="B534" s="1" t="n">
        <v>44986.55711805556</v>
      </c>
      <c r="C534" s="1" t="n">
        <v>45912</v>
      </c>
      <c r="D534" t="inlineStr">
        <is>
          <t>ÖSTERGÖTLANDS LÄN</t>
        </is>
      </c>
      <c r="E534" t="inlineStr">
        <is>
          <t>LINKÖPING</t>
        </is>
      </c>
      <c r="G534" t="n">
        <v>3.3</v>
      </c>
      <c r="H534" t="n">
        <v>0</v>
      </c>
      <c r="I534" t="n">
        <v>0</v>
      </c>
      <c r="J534" t="n">
        <v>0</v>
      </c>
      <c r="K534" t="n">
        <v>0</v>
      </c>
      <c r="L534" t="n">
        <v>0</v>
      </c>
      <c r="M534" t="n">
        <v>0</v>
      </c>
      <c r="N534" t="n">
        <v>0</v>
      </c>
      <c r="O534" t="n">
        <v>0</v>
      </c>
      <c r="P534" t="n">
        <v>0</v>
      </c>
      <c r="Q534" t="n">
        <v>0</v>
      </c>
      <c r="R534" s="2" t="inlineStr"/>
    </row>
    <row r="535" ht="15" customHeight="1">
      <c r="A535" t="inlineStr">
        <is>
          <t>A 26007-2025</t>
        </is>
      </c>
      <c r="B535" s="1" t="n">
        <v>45804.67081018518</v>
      </c>
      <c r="C535" s="1" t="n">
        <v>45912</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35174-2025</t>
        </is>
      </c>
      <c r="B536" s="1" t="n">
        <v>45852.90648148148</v>
      </c>
      <c r="C536" s="1" t="n">
        <v>45912</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47991-2023</t>
        </is>
      </c>
      <c r="B537" s="1" t="n">
        <v>45204.62655092592</v>
      </c>
      <c r="C537" s="1" t="n">
        <v>45912</v>
      </c>
      <c r="D537" t="inlineStr">
        <is>
          <t>ÖSTERGÖTLANDS LÄN</t>
        </is>
      </c>
      <c r="E537" t="inlineStr">
        <is>
          <t>LINKÖPING</t>
        </is>
      </c>
      <c r="F537" t="inlineStr">
        <is>
          <t>Allmännings- och besparingsskogar</t>
        </is>
      </c>
      <c r="G537" t="n">
        <v>7.3</v>
      </c>
      <c r="H537" t="n">
        <v>0</v>
      </c>
      <c r="I537" t="n">
        <v>0</v>
      </c>
      <c r="J537" t="n">
        <v>0</v>
      </c>
      <c r="K537" t="n">
        <v>0</v>
      </c>
      <c r="L537" t="n">
        <v>0</v>
      </c>
      <c r="M537" t="n">
        <v>0</v>
      </c>
      <c r="N537" t="n">
        <v>0</v>
      </c>
      <c r="O537" t="n">
        <v>0</v>
      </c>
      <c r="P537" t="n">
        <v>0</v>
      </c>
      <c r="Q537" t="n">
        <v>0</v>
      </c>
      <c r="R537" s="2" t="inlineStr"/>
    </row>
    <row r="538" ht="15" customHeight="1">
      <c r="A538" t="inlineStr">
        <is>
          <t>A 35179-2025</t>
        </is>
      </c>
      <c r="B538" s="1" t="n">
        <v>45852.93737268518</v>
      </c>
      <c r="C538" s="1" t="n">
        <v>45912</v>
      </c>
      <c r="D538" t="inlineStr">
        <is>
          <t>ÖSTERGÖTLANDS LÄN</t>
        </is>
      </c>
      <c r="E538" t="inlineStr">
        <is>
          <t>LINKÖPING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35180-2025</t>
        </is>
      </c>
      <c r="B539" s="1" t="n">
        <v>45852.9413425926</v>
      </c>
      <c r="C539" s="1" t="n">
        <v>45912</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39017-2021</t>
        </is>
      </c>
      <c r="B540" s="1" t="n">
        <v>44412</v>
      </c>
      <c r="C540" s="1" t="n">
        <v>45912</v>
      </c>
      <c r="D540" t="inlineStr">
        <is>
          <t>ÖSTERGÖTLANDS LÄN</t>
        </is>
      </c>
      <c r="E540" t="inlineStr">
        <is>
          <t>LINKÖPING</t>
        </is>
      </c>
      <c r="F540" t="inlineStr">
        <is>
          <t>Övriga statliga verk och myndigheter</t>
        </is>
      </c>
      <c r="G540" t="n">
        <v>0.8</v>
      </c>
      <c r="H540" t="n">
        <v>0</v>
      </c>
      <c r="I540" t="n">
        <v>0</v>
      </c>
      <c r="J540" t="n">
        <v>0</v>
      </c>
      <c r="K540" t="n">
        <v>0</v>
      </c>
      <c r="L540" t="n">
        <v>0</v>
      </c>
      <c r="M540" t="n">
        <v>0</v>
      </c>
      <c r="N540" t="n">
        <v>0</v>
      </c>
      <c r="O540" t="n">
        <v>0</v>
      </c>
      <c r="P540" t="n">
        <v>0</v>
      </c>
      <c r="Q540" t="n">
        <v>0</v>
      </c>
      <c r="R540" s="2" t="inlineStr"/>
    </row>
    <row r="541" ht="15" customHeight="1">
      <c r="A541" t="inlineStr">
        <is>
          <t>A 35178-2025</t>
        </is>
      </c>
      <c r="B541" s="1" t="n">
        <v>45852.91939814815</v>
      </c>
      <c r="C541" s="1" t="n">
        <v>45912</v>
      </c>
      <c r="D541" t="inlineStr">
        <is>
          <t>ÖSTERGÖTLANDS LÄN</t>
        </is>
      </c>
      <c r="E541" t="inlineStr">
        <is>
          <t>LINKÖPING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2618-2023</t>
        </is>
      </c>
      <c r="B542" s="1" t="n">
        <v>44944.35847222222</v>
      </c>
      <c r="C542" s="1" t="n">
        <v>45912</v>
      </c>
      <c r="D542" t="inlineStr">
        <is>
          <t>ÖSTERGÖTLANDS LÄN</t>
        </is>
      </c>
      <c r="E542" t="inlineStr">
        <is>
          <t>LINKÖPING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25292-2021</t>
        </is>
      </c>
      <c r="B543" s="1" t="n">
        <v>44342</v>
      </c>
      <c r="C543" s="1" t="n">
        <v>45912</v>
      </c>
      <c r="D543" t="inlineStr">
        <is>
          <t>ÖSTERGÖTLANDS LÄN</t>
        </is>
      </c>
      <c r="E543" t="inlineStr">
        <is>
          <t>LINKÖPING</t>
        </is>
      </c>
      <c r="F543" t="inlineStr">
        <is>
          <t>Övriga Aktiebolag</t>
        </is>
      </c>
      <c r="G543" t="n">
        <v>12.8</v>
      </c>
      <c r="H543" t="n">
        <v>0</v>
      </c>
      <c r="I543" t="n">
        <v>0</v>
      </c>
      <c r="J543" t="n">
        <v>0</v>
      </c>
      <c r="K543" t="n">
        <v>0</v>
      </c>
      <c r="L543" t="n">
        <v>0</v>
      </c>
      <c r="M543" t="n">
        <v>0</v>
      </c>
      <c r="N543" t="n">
        <v>0</v>
      </c>
      <c r="O543" t="n">
        <v>0</v>
      </c>
      <c r="P543" t="n">
        <v>0</v>
      </c>
      <c r="Q543" t="n">
        <v>0</v>
      </c>
      <c r="R543" s="2" t="inlineStr"/>
    </row>
    <row r="544" ht="15" customHeight="1">
      <c r="A544" t="inlineStr">
        <is>
          <t>A 1260-2023</t>
        </is>
      </c>
      <c r="B544" s="1" t="n">
        <v>44936</v>
      </c>
      <c r="C544" s="1" t="n">
        <v>45912</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1355-2023</t>
        </is>
      </c>
      <c r="B545" s="1" t="n">
        <v>44931</v>
      </c>
      <c r="C545" s="1" t="n">
        <v>45912</v>
      </c>
      <c r="D545" t="inlineStr">
        <is>
          <t>ÖSTERGÖTLANDS LÄN</t>
        </is>
      </c>
      <c r="E545" t="inlineStr">
        <is>
          <t>LINKÖPING</t>
        </is>
      </c>
      <c r="G545" t="n">
        <v>4</v>
      </c>
      <c r="H545" t="n">
        <v>0</v>
      </c>
      <c r="I545" t="n">
        <v>0</v>
      </c>
      <c r="J545" t="n">
        <v>0</v>
      </c>
      <c r="K545" t="n">
        <v>0</v>
      </c>
      <c r="L545" t="n">
        <v>0</v>
      </c>
      <c r="M545" t="n">
        <v>0</v>
      </c>
      <c r="N545" t="n">
        <v>0</v>
      </c>
      <c r="O545" t="n">
        <v>0</v>
      </c>
      <c r="P545" t="n">
        <v>0</v>
      </c>
      <c r="Q545" t="n">
        <v>0</v>
      </c>
      <c r="R545" s="2" t="inlineStr"/>
    </row>
    <row r="546" ht="15" customHeight="1">
      <c r="A546" t="inlineStr">
        <is>
          <t>A 62020-2024</t>
        </is>
      </c>
      <c r="B546" s="1" t="n">
        <v>45655.83563657408</v>
      </c>
      <c r="C546" s="1" t="n">
        <v>45912</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62021-2024</t>
        </is>
      </c>
      <c r="B547" s="1" t="n">
        <v>45655.84232638889</v>
      </c>
      <c r="C547" s="1" t="n">
        <v>45912</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40169-2025</t>
        </is>
      </c>
      <c r="B548" s="1" t="n">
        <v>45894.62824074074</v>
      </c>
      <c r="C548" s="1" t="n">
        <v>45912</v>
      </c>
      <c r="D548" t="inlineStr">
        <is>
          <t>ÖSTERGÖTLANDS LÄN</t>
        </is>
      </c>
      <c r="E548" t="inlineStr">
        <is>
          <t>LINKÖPING</t>
        </is>
      </c>
      <c r="G548" t="n">
        <v>2.8</v>
      </c>
      <c r="H548" t="n">
        <v>0</v>
      </c>
      <c r="I548" t="n">
        <v>0</v>
      </c>
      <c r="J548" t="n">
        <v>0</v>
      </c>
      <c r="K548" t="n">
        <v>0</v>
      </c>
      <c r="L548" t="n">
        <v>0</v>
      </c>
      <c r="M548" t="n">
        <v>0</v>
      </c>
      <c r="N548" t="n">
        <v>0</v>
      </c>
      <c r="O548" t="n">
        <v>0</v>
      </c>
      <c r="P548" t="n">
        <v>0</v>
      </c>
      <c r="Q548" t="n">
        <v>0</v>
      </c>
      <c r="R548" s="2" t="inlineStr"/>
    </row>
    <row r="549" ht="15" customHeight="1">
      <c r="A549" t="inlineStr">
        <is>
          <t>A 3007-2025</t>
        </is>
      </c>
      <c r="B549" s="1" t="n">
        <v>45678.56328703704</v>
      </c>
      <c r="C549" s="1" t="n">
        <v>45912</v>
      </c>
      <c r="D549" t="inlineStr">
        <is>
          <t>ÖSTERGÖTLANDS LÄN</t>
        </is>
      </c>
      <c r="E549" t="inlineStr">
        <is>
          <t>LINKÖPING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10492-2022</t>
        </is>
      </c>
      <c r="B550" s="1" t="n">
        <v>44623.6377199074</v>
      </c>
      <c r="C550" s="1" t="n">
        <v>45912</v>
      </c>
      <c r="D550" t="inlineStr">
        <is>
          <t>ÖSTERGÖTLANDS LÄN</t>
        </is>
      </c>
      <c r="E550" t="inlineStr">
        <is>
          <t>LINKÖPING</t>
        </is>
      </c>
      <c r="G550" t="n">
        <v>2.1</v>
      </c>
      <c r="H550" t="n">
        <v>0</v>
      </c>
      <c r="I550" t="n">
        <v>0</v>
      </c>
      <c r="J550" t="n">
        <v>0</v>
      </c>
      <c r="K550" t="n">
        <v>0</v>
      </c>
      <c r="L550" t="n">
        <v>0</v>
      </c>
      <c r="M550" t="n">
        <v>0</v>
      </c>
      <c r="N550" t="n">
        <v>0</v>
      </c>
      <c r="O550" t="n">
        <v>0</v>
      </c>
      <c r="P550" t="n">
        <v>0</v>
      </c>
      <c r="Q550" t="n">
        <v>0</v>
      </c>
      <c r="R550" s="2" t="inlineStr"/>
    </row>
    <row r="551" ht="15" customHeight="1">
      <c r="A551" t="inlineStr">
        <is>
          <t>A 39457-2023</t>
        </is>
      </c>
      <c r="B551" s="1" t="n">
        <v>45166</v>
      </c>
      <c r="C551" s="1" t="n">
        <v>45912</v>
      </c>
      <c r="D551" t="inlineStr">
        <is>
          <t>ÖSTERGÖTLANDS LÄN</t>
        </is>
      </c>
      <c r="E551" t="inlineStr">
        <is>
          <t>LINKÖPING</t>
        </is>
      </c>
      <c r="G551" t="n">
        <v>2.1</v>
      </c>
      <c r="H551" t="n">
        <v>0</v>
      </c>
      <c r="I551" t="n">
        <v>0</v>
      </c>
      <c r="J551" t="n">
        <v>0</v>
      </c>
      <c r="K551" t="n">
        <v>0</v>
      </c>
      <c r="L551" t="n">
        <v>0</v>
      </c>
      <c r="M551" t="n">
        <v>0</v>
      </c>
      <c r="N551" t="n">
        <v>0</v>
      </c>
      <c r="O551" t="n">
        <v>0</v>
      </c>
      <c r="P551" t="n">
        <v>0</v>
      </c>
      <c r="Q551" t="n">
        <v>0</v>
      </c>
      <c r="R551" s="2" t="inlineStr"/>
    </row>
    <row r="552" ht="15" customHeight="1">
      <c r="A552" t="inlineStr">
        <is>
          <t>A 30465-2023</t>
        </is>
      </c>
      <c r="B552" s="1" t="n">
        <v>45111</v>
      </c>
      <c r="C552" s="1" t="n">
        <v>45912</v>
      </c>
      <c r="D552" t="inlineStr">
        <is>
          <t>ÖSTERGÖTLANDS LÄN</t>
        </is>
      </c>
      <c r="E552" t="inlineStr">
        <is>
          <t>LINKÖPING</t>
        </is>
      </c>
      <c r="F552" t="inlineStr">
        <is>
          <t>Övriga Aktiebolag</t>
        </is>
      </c>
      <c r="G552" t="n">
        <v>0.7</v>
      </c>
      <c r="H552" t="n">
        <v>0</v>
      </c>
      <c r="I552" t="n">
        <v>0</v>
      </c>
      <c r="J552" t="n">
        <v>0</v>
      </c>
      <c r="K552" t="n">
        <v>0</v>
      </c>
      <c r="L552" t="n">
        <v>0</v>
      </c>
      <c r="M552" t="n">
        <v>0</v>
      </c>
      <c r="N552" t="n">
        <v>0</v>
      </c>
      <c r="O552" t="n">
        <v>0</v>
      </c>
      <c r="P552" t="n">
        <v>0</v>
      </c>
      <c r="Q552" t="n">
        <v>0</v>
      </c>
      <c r="R552" s="2" t="inlineStr"/>
    </row>
    <row r="553" ht="15" customHeight="1">
      <c r="A553" t="inlineStr">
        <is>
          <t>A 29293-2025</t>
        </is>
      </c>
      <c r="B553" s="1" t="n">
        <v>45824</v>
      </c>
      <c r="C553" s="1" t="n">
        <v>45912</v>
      </c>
      <c r="D553" t="inlineStr">
        <is>
          <t>ÖSTERGÖTLANDS LÄN</t>
        </is>
      </c>
      <c r="E553" t="inlineStr">
        <is>
          <t>LINKÖPING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39021-2021</t>
        </is>
      </c>
      <c r="B554" s="1" t="n">
        <v>44412</v>
      </c>
      <c r="C554" s="1" t="n">
        <v>45912</v>
      </c>
      <c r="D554" t="inlineStr">
        <is>
          <t>ÖSTERGÖTLANDS LÄN</t>
        </is>
      </c>
      <c r="E554" t="inlineStr">
        <is>
          <t>LINKÖPING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62353-2022</t>
        </is>
      </c>
      <c r="B555" s="1" t="n">
        <v>44923</v>
      </c>
      <c r="C555" s="1" t="n">
        <v>45912</v>
      </c>
      <c r="D555" t="inlineStr">
        <is>
          <t>ÖSTERGÖTLANDS LÄN</t>
        </is>
      </c>
      <c r="E555" t="inlineStr">
        <is>
          <t>LINKÖPING</t>
        </is>
      </c>
      <c r="F555" t="inlineStr">
        <is>
          <t>Allmännings- och besparingsskogar</t>
        </is>
      </c>
      <c r="G555" t="n">
        <v>1.7</v>
      </c>
      <c r="H555" t="n">
        <v>0</v>
      </c>
      <c r="I555" t="n">
        <v>0</v>
      </c>
      <c r="J555" t="n">
        <v>0</v>
      </c>
      <c r="K555" t="n">
        <v>0</v>
      </c>
      <c r="L555" t="n">
        <v>0</v>
      </c>
      <c r="M555" t="n">
        <v>0</v>
      </c>
      <c r="N555" t="n">
        <v>0</v>
      </c>
      <c r="O555" t="n">
        <v>0</v>
      </c>
      <c r="P555" t="n">
        <v>0</v>
      </c>
      <c r="Q555" t="n">
        <v>0</v>
      </c>
      <c r="R555" s="2" t="inlineStr"/>
    </row>
    <row r="556" ht="15" customHeight="1">
      <c r="A556" t="inlineStr">
        <is>
          <t>A 1362-2023</t>
        </is>
      </c>
      <c r="B556" s="1" t="n">
        <v>44931</v>
      </c>
      <c r="C556" s="1" t="n">
        <v>45912</v>
      </c>
      <c r="D556" t="inlineStr">
        <is>
          <t>ÖSTERGÖTLANDS LÄN</t>
        </is>
      </c>
      <c r="E556" t="inlineStr">
        <is>
          <t>LINKÖPING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30111-2024</t>
        </is>
      </c>
      <c r="B557" s="1" t="n">
        <v>45489.46947916667</v>
      </c>
      <c r="C557" s="1" t="n">
        <v>45912</v>
      </c>
      <c r="D557" t="inlineStr">
        <is>
          <t>ÖSTERGÖTLANDS LÄN</t>
        </is>
      </c>
      <c r="E557" t="inlineStr">
        <is>
          <t>LINKÖPING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30119-2024</t>
        </is>
      </c>
      <c r="B558" s="1" t="n">
        <v>45489</v>
      </c>
      <c r="C558" s="1" t="n">
        <v>45912</v>
      </c>
      <c r="D558" t="inlineStr">
        <is>
          <t>ÖSTERGÖTLANDS LÄN</t>
        </is>
      </c>
      <c r="E558" t="inlineStr">
        <is>
          <t>LINKÖPING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41511-2025</t>
        </is>
      </c>
      <c r="B559" s="1" t="n">
        <v>45901.53839120371</v>
      </c>
      <c r="C559" s="1" t="n">
        <v>45912</v>
      </c>
      <c r="D559" t="inlineStr">
        <is>
          <t>ÖSTERGÖTLANDS LÄN</t>
        </is>
      </c>
      <c r="E559" t="inlineStr">
        <is>
          <t>LINKÖPING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29411-2023</t>
        </is>
      </c>
      <c r="B560" s="1" t="n">
        <v>45106.46225694445</v>
      </c>
      <c r="C560" s="1" t="n">
        <v>45912</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29412-2023</t>
        </is>
      </c>
      <c r="B561" s="1" t="n">
        <v>45106.46359953703</v>
      </c>
      <c r="C561" s="1" t="n">
        <v>45912</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49928-2024</t>
        </is>
      </c>
      <c r="B562" s="1" t="n">
        <v>45597.57811342592</v>
      </c>
      <c r="C562" s="1" t="n">
        <v>45912</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3627-2023</t>
        </is>
      </c>
      <c r="B563" s="1" t="n">
        <v>44950.64782407408</v>
      </c>
      <c r="C563" s="1" t="n">
        <v>45912</v>
      </c>
      <c r="D563" t="inlineStr">
        <is>
          <t>ÖSTERGÖTLANDS LÄN</t>
        </is>
      </c>
      <c r="E563" t="inlineStr">
        <is>
          <t>LINKÖPING</t>
        </is>
      </c>
      <c r="G563" t="n">
        <v>3.1</v>
      </c>
      <c r="H563" t="n">
        <v>0</v>
      </c>
      <c r="I563" t="n">
        <v>0</v>
      </c>
      <c r="J563" t="n">
        <v>0</v>
      </c>
      <c r="K563" t="n">
        <v>0</v>
      </c>
      <c r="L563" t="n">
        <v>0</v>
      </c>
      <c r="M563" t="n">
        <v>0</v>
      </c>
      <c r="N563" t="n">
        <v>0</v>
      </c>
      <c r="O563" t="n">
        <v>0</v>
      </c>
      <c r="P563" t="n">
        <v>0</v>
      </c>
      <c r="Q563" t="n">
        <v>0</v>
      </c>
      <c r="R563" s="2" t="inlineStr"/>
    </row>
    <row r="564" ht="15" customHeight="1">
      <c r="A564" t="inlineStr">
        <is>
          <t>A 31792-2021</t>
        </is>
      </c>
      <c r="B564" s="1" t="n">
        <v>44369</v>
      </c>
      <c r="C564" s="1" t="n">
        <v>45912</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51405-2023</t>
        </is>
      </c>
      <c r="B565" s="1" t="n">
        <v>45219</v>
      </c>
      <c r="C565" s="1" t="n">
        <v>45912</v>
      </c>
      <c r="D565" t="inlineStr">
        <is>
          <t>ÖSTERGÖTLANDS LÄN</t>
        </is>
      </c>
      <c r="E565" t="inlineStr">
        <is>
          <t>LINKÖPING</t>
        </is>
      </c>
      <c r="F565" t="inlineStr">
        <is>
          <t>Övriga Aktiebolag</t>
        </is>
      </c>
      <c r="G565" t="n">
        <v>3</v>
      </c>
      <c r="H565" t="n">
        <v>0</v>
      </c>
      <c r="I565" t="n">
        <v>0</v>
      </c>
      <c r="J565" t="n">
        <v>0</v>
      </c>
      <c r="K565" t="n">
        <v>0</v>
      </c>
      <c r="L565" t="n">
        <v>0</v>
      </c>
      <c r="M565" t="n">
        <v>0</v>
      </c>
      <c r="N565" t="n">
        <v>0</v>
      </c>
      <c r="O565" t="n">
        <v>0</v>
      </c>
      <c r="P565" t="n">
        <v>0</v>
      </c>
      <c r="Q565" t="n">
        <v>0</v>
      </c>
      <c r="R565" s="2" t="inlineStr"/>
    </row>
    <row r="566" ht="15" customHeight="1">
      <c r="A566" t="inlineStr">
        <is>
          <t>A 11601-2023</t>
        </is>
      </c>
      <c r="B566" s="1" t="n">
        <v>44994</v>
      </c>
      <c r="C566" s="1" t="n">
        <v>45912</v>
      </c>
      <c r="D566" t="inlineStr">
        <is>
          <t>ÖSTERGÖTLANDS LÄN</t>
        </is>
      </c>
      <c r="E566" t="inlineStr">
        <is>
          <t>LINKÖPING</t>
        </is>
      </c>
      <c r="G566" t="n">
        <v>1.7</v>
      </c>
      <c r="H566" t="n">
        <v>0</v>
      </c>
      <c r="I566" t="n">
        <v>0</v>
      </c>
      <c r="J566" t="n">
        <v>0</v>
      </c>
      <c r="K566" t="n">
        <v>0</v>
      </c>
      <c r="L566" t="n">
        <v>0</v>
      </c>
      <c r="M566" t="n">
        <v>0</v>
      </c>
      <c r="N566" t="n">
        <v>0</v>
      </c>
      <c r="O566" t="n">
        <v>0</v>
      </c>
      <c r="P566" t="n">
        <v>0</v>
      </c>
      <c r="Q566" t="n">
        <v>0</v>
      </c>
      <c r="R566" s="2" t="inlineStr"/>
    </row>
    <row r="567" ht="15" customHeight="1">
      <c r="A567" t="inlineStr">
        <is>
          <t>A 40338-2024</t>
        </is>
      </c>
      <c r="B567" s="1" t="n">
        <v>45555.32940972222</v>
      </c>
      <c r="C567" s="1" t="n">
        <v>45912</v>
      </c>
      <c r="D567" t="inlineStr">
        <is>
          <t>ÖSTERGÖTLANDS LÄN</t>
        </is>
      </c>
      <c r="E567" t="inlineStr">
        <is>
          <t>LINKÖPING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421-2024</t>
        </is>
      </c>
      <c r="B568" s="1" t="n">
        <v>45296.51877314815</v>
      </c>
      <c r="C568" s="1" t="n">
        <v>45912</v>
      </c>
      <c r="D568" t="inlineStr">
        <is>
          <t>ÖSTERGÖTLANDS LÄN</t>
        </is>
      </c>
      <c r="E568" t="inlineStr">
        <is>
          <t>LINKÖPING</t>
        </is>
      </c>
      <c r="G568" t="n">
        <v>3.7</v>
      </c>
      <c r="H568" t="n">
        <v>0</v>
      </c>
      <c r="I568" t="n">
        <v>0</v>
      </c>
      <c r="J568" t="n">
        <v>0</v>
      </c>
      <c r="K568" t="n">
        <v>0</v>
      </c>
      <c r="L568" t="n">
        <v>0</v>
      </c>
      <c r="M568" t="n">
        <v>0</v>
      </c>
      <c r="N568" t="n">
        <v>0</v>
      </c>
      <c r="O568" t="n">
        <v>0</v>
      </c>
      <c r="P568" t="n">
        <v>0</v>
      </c>
      <c r="Q568" t="n">
        <v>0</v>
      </c>
      <c r="R568" s="2" t="inlineStr"/>
    </row>
    <row r="569" ht="15" customHeight="1">
      <c r="A569" t="inlineStr">
        <is>
          <t>A 22043-2023</t>
        </is>
      </c>
      <c r="B569" s="1" t="n">
        <v>45069.39050925926</v>
      </c>
      <c r="C569" s="1" t="n">
        <v>45912</v>
      </c>
      <c r="D569" t="inlineStr">
        <is>
          <t>ÖSTERGÖTLANDS LÄN</t>
        </is>
      </c>
      <c r="E569" t="inlineStr">
        <is>
          <t>LINKÖPING</t>
        </is>
      </c>
      <c r="G569" t="n">
        <v>5.9</v>
      </c>
      <c r="H569" t="n">
        <v>0</v>
      </c>
      <c r="I569" t="n">
        <v>0</v>
      </c>
      <c r="J569" t="n">
        <v>0</v>
      </c>
      <c r="K569" t="n">
        <v>0</v>
      </c>
      <c r="L569" t="n">
        <v>0</v>
      </c>
      <c r="M569" t="n">
        <v>0</v>
      </c>
      <c r="N569" t="n">
        <v>0</v>
      </c>
      <c r="O569" t="n">
        <v>0</v>
      </c>
      <c r="P569" t="n">
        <v>0</v>
      </c>
      <c r="Q569" t="n">
        <v>0</v>
      </c>
      <c r="R569" s="2" t="inlineStr"/>
    </row>
    <row r="570" ht="15" customHeight="1">
      <c r="A570" t="inlineStr">
        <is>
          <t>A 167-2024</t>
        </is>
      </c>
      <c r="B570" s="1" t="n">
        <v>45294</v>
      </c>
      <c r="C570" s="1" t="n">
        <v>45912</v>
      </c>
      <c r="D570" t="inlineStr">
        <is>
          <t>ÖSTERGÖTLANDS LÄN</t>
        </is>
      </c>
      <c r="E570" t="inlineStr">
        <is>
          <t>LINKÖPING</t>
        </is>
      </c>
      <c r="F570" t="inlineStr">
        <is>
          <t>Allmännings- och besparingsskogar</t>
        </is>
      </c>
      <c r="G570" t="n">
        <v>11.6</v>
      </c>
      <c r="H570" t="n">
        <v>0</v>
      </c>
      <c r="I570" t="n">
        <v>0</v>
      </c>
      <c r="J570" t="n">
        <v>0</v>
      </c>
      <c r="K570" t="n">
        <v>0</v>
      </c>
      <c r="L570" t="n">
        <v>0</v>
      </c>
      <c r="M570" t="n">
        <v>0</v>
      </c>
      <c r="N570" t="n">
        <v>0</v>
      </c>
      <c r="O570" t="n">
        <v>0</v>
      </c>
      <c r="P570" t="n">
        <v>0</v>
      </c>
      <c r="Q570" t="n">
        <v>0</v>
      </c>
      <c r="R570" s="2" t="inlineStr"/>
    </row>
    <row r="571" ht="15" customHeight="1">
      <c r="A571" t="inlineStr">
        <is>
          <t>A 61532-2021</t>
        </is>
      </c>
      <c r="B571" s="1" t="n">
        <v>44501</v>
      </c>
      <c r="C571" s="1" t="n">
        <v>45912</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27186-2021</t>
        </is>
      </c>
      <c r="B572" s="1" t="n">
        <v>44350.67715277777</v>
      </c>
      <c r="C572" s="1" t="n">
        <v>45912</v>
      </c>
      <c r="D572" t="inlineStr">
        <is>
          <t>ÖSTERGÖTLANDS LÄN</t>
        </is>
      </c>
      <c r="E572" t="inlineStr">
        <is>
          <t>LINKÖPING</t>
        </is>
      </c>
      <c r="F572" t="inlineStr">
        <is>
          <t>Allmännings- och besparingsskogar</t>
        </is>
      </c>
      <c r="G572" t="n">
        <v>1.4</v>
      </c>
      <c r="H572" t="n">
        <v>0</v>
      </c>
      <c r="I572" t="n">
        <v>0</v>
      </c>
      <c r="J572" t="n">
        <v>0</v>
      </c>
      <c r="K572" t="n">
        <v>0</v>
      </c>
      <c r="L572" t="n">
        <v>0</v>
      </c>
      <c r="M572" t="n">
        <v>0</v>
      </c>
      <c r="N572" t="n">
        <v>0</v>
      </c>
      <c r="O572" t="n">
        <v>0</v>
      </c>
      <c r="P572" t="n">
        <v>0</v>
      </c>
      <c r="Q572" t="n">
        <v>0</v>
      </c>
      <c r="R572" s="2" t="inlineStr"/>
    </row>
    <row r="573" ht="15" customHeight="1">
      <c r="A573" t="inlineStr">
        <is>
          <t>A 14028-2024</t>
        </is>
      </c>
      <c r="B573" s="1" t="n">
        <v>45392</v>
      </c>
      <c r="C573" s="1" t="n">
        <v>45912</v>
      </c>
      <c r="D573" t="inlineStr">
        <is>
          <t>ÖSTERGÖTLANDS LÄN</t>
        </is>
      </c>
      <c r="E573" t="inlineStr">
        <is>
          <t>LINKÖPING</t>
        </is>
      </c>
      <c r="G573" t="n">
        <v>1.7</v>
      </c>
      <c r="H573" t="n">
        <v>0</v>
      </c>
      <c r="I573" t="n">
        <v>0</v>
      </c>
      <c r="J573" t="n">
        <v>0</v>
      </c>
      <c r="K573" t="n">
        <v>0</v>
      </c>
      <c r="L573" t="n">
        <v>0</v>
      </c>
      <c r="M573" t="n">
        <v>0</v>
      </c>
      <c r="N573" t="n">
        <v>0</v>
      </c>
      <c r="O573" t="n">
        <v>0</v>
      </c>
      <c r="P573" t="n">
        <v>0</v>
      </c>
      <c r="Q573" t="n">
        <v>0</v>
      </c>
      <c r="R573" s="2" t="inlineStr"/>
    </row>
    <row r="574" ht="15" customHeight="1">
      <c r="A574" t="inlineStr">
        <is>
          <t>A 40431-2024</t>
        </is>
      </c>
      <c r="B574" s="1" t="n">
        <v>45555.47070601852</v>
      </c>
      <c r="C574" s="1" t="n">
        <v>45912</v>
      </c>
      <c r="D574" t="inlineStr">
        <is>
          <t>ÖSTERGÖTLANDS LÄN</t>
        </is>
      </c>
      <c r="E574" t="inlineStr">
        <is>
          <t>LINKÖPING</t>
        </is>
      </c>
      <c r="F574" t="inlineStr">
        <is>
          <t>Allmännings- och besparingsskogar</t>
        </is>
      </c>
      <c r="G574" t="n">
        <v>2.9</v>
      </c>
      <c r="H574" t="n">
        <v>0</v>
      </c>
      <c r="I574" t="n">
        <v>0</v>
      </c>
      <c r="J574" t="n">
        <v>0</v>
      </c>
      <c r="K574" t="n">
        <v>0</v>
      </c>
      <c r="L574" t="n">
        <v>0</v>
      </c>
      <c r="M574" t="n">
        <v>0</v>
      </c>
      <c r="N574" t="n">
        <v>0</v>
      </c>
      <c r="O574" t="n">
        <v>0</v>
      </c>
      <c r="P574" t="n">
        <v>0</v>
      </c>
      <c r="Q574" t="n">
        <v>0</v>
      </c>
      <c r="R574" s="2" t="inlineStr"/>
    </row>
    <row r="575" ht="15" customHeight="1">
      <c r="A575" t="inlineStr">
        <is>
          <t>A 7343-2025</t>
        </is>
      </c>
      <c r="B575" s="1" t="n">
        <v>45703.67853009259</v>
      </c>
      <c r="C575" s="1" t="n">
        <v>45912</v>
      </c>
      <c r="D575" t="inlineStr">
        <is>
          <t>ÖSTERGÖTLANDS LÄN</t>
        </is>
      </c>
      <c r="E575" t="inlineStr">
        <is>
          <t>LINKÖPING</t>
        </is>
      </c>
      <c r="G575" t="n">
        <v>0.8</v>
      </c>
      <c r="H575" t="n">
        <v>0</v>
      </c>
      <c r="I575" t="n">
        <v>0</v>
      </c>
      <c r="J575" t="n">
        <v>0</v>
      </c>
      <c r="K575" t="n">
        <v>0</v>
      </c>
      <c r="L575" t="n">
        <v>0</v>
      </c>
      <c r="M575" t="n">
        <v>0</v>
      </c>
      <c r="N575" t="n">
        <v>0</v>
      </c>
      <c r="O575" t="n">
        <v>0</v>
      </c>
      <c r="P575" t="n">
        <v>0</v>
      </c>
      <c r="Q575" t="n">
        <v>0</v>
      </c>
      <c r="R575" s="2" t="inlineStr"/>
    </row>
    <row r="576" ht="15" customHeight="1">
      <c r="A576" t="inlineStr">
        <is>
          <t>A 35757-2025</t>
        </is>
      </c>
      <c r="B576" s="1" t="n">
        <v>45860.59876157407</v>
      </c>
      <c r="C576" s="1" t="n">
        <v>45912</v>
      </c>
      <c r="D576" t="inlineStr">
        <is>
          <t>ÖSTERGÖTLANDS LÄN</t>
        </is>
      </c>
      <c r="E576" t="inlineStr">
        <is>
          <t>LINKÖPING</t>
        </is>
      </c>
      <c r="G576" t="n">
        <v>5.7</v>
      </c>
      <c r="H576" t="n">
        <v>0</v>
      </c>
      <c r="I576" t="n">
        <v>0</v>
      </c>
      <c r="J576" t="n">
        <v>0</v>
      </c>
      <c r="K576" t="n">
        <v>0</v>
      </c>
      <c r="L576" t="n">
        <v>0</v>
      </c>
      <c r="M576" t="n">
        <v>0</v>
      </c>
      <c r="N576" t="n">
        <v>0</v>
      </c>
      <c r="O576" t="n">
        <v>0</v>
      </c>
      <c r="P576" t="n">
        <v>0</v>
      </c>
      <c r="Q576" t="n">
        <v>0</v>
      </c>
      <c r="R576" s="2" t="inlineStr"/>
    </row>
    <row r="577" ht="15" customHeight="1">
      <c r="A577" t="inlineStr">
        <is>
          <t>A 35745-2025</t>
        </is>
      </c>
      <c r="B577" s="1" t="n">
        <v>45860.54739583333</v>
      </c>
      <c r="C577" s="1" t="n">
        <v>45912</v>
      </c>
      <c r="D577" t="inlineStr">
        <is>
          <t>ÖSTERGÖTLANDS LÄN</t>
        </is>
      </c>
      <c r="E577" t="inlineStr">
        <is>
          <t>LINKÖPING</t>
        </is>
      </c>
      <c r="G577" t="n">
        <v>4.4</v>
      </c>
      <c r="H577" t="n">
        <v>0</v>
      </c>
      <c r="I577" t="n">
        <v>0</v>
      </c>
      <c r="J577" t="n">
        <v>0</v>
      </c>
      <c r="K577" t="n">
        <v>0</v>
      </c>
      <c r="L577" t="n">
        <v>0</v>
      </c>
      <c r="M577" t="n">
        <v>0</v>
      </c>
      <c r="N577" t="n">
        <v>0</v>
      </c>
      <c r="O577" t="n">
        <v>0</v>
      </c>
      <c r="P577" t="n">
        <v>0</v>
      </c>
      <c r="Q577" t="n">
        <v>0</v>
      </c>
      <c r="R577" s="2" t="inlineStr"/>
    </row>
    <row r="578" ht="15" customHeight="1">
      <c r="A578" t="inlineStr">
        <is>
          <t>A 13691-2025</t>
        </is>
      </c>
      <c r="B578" s="1" t="n">
        <v>45737.31671296297</v>
      </c>
      <c r="C578" s="1" t="n">
        <v>45912</v>
      </c>
      <c r="D578" t="inlineStr">
        <is>
          <t>ÖSTERGÖTLANDS LÄN</t>
        </is>
      </c>
      <c r="E578" t="inlineStr">
        <is>
          <t>LINKÖPING</t>
        </is>
      </c>
      <c r="G578" t="n">
        <v>2.5</v>
      </c>
      <c r="H578" t="n">
        <v>0</v>
      </c>
      <c r="I578" t="n">
        <v>0</v>
      </c>
      <c r="J578" t="n">
        <v>0</v>
      </c>
      <c r="K578" t="n">
        <v>0</v>
      </c>
      <c r="L578" t="n">
        <v>0</v>
      </c>
      <c r="M578" t="n">
        <v>0</v>
      </c>
      <c r="N578" t="n">
        <v>0</v>
      </c>
      <c r="O578" t="n">
        <v>0</v>
      </c>
      <c r="P578" t="n">
        <v>0</v>
      </c>
      <c r="Q578" t="n">
        <v>0</v>
      </c>
      <c r="R578" s="2" t="inlineStr"/>
    </row>
    <row r="579" ht="15" customHeight="1">
      <c r="A579" t="inlineStr">
        <is>
          <t>A 35747-2025</t>
        </is>
      </c>
      <c r="B579" s="1" t="n">
        <v>45860.56385416666</v>
      </c>
      <c r="C579" s="1" t="n">
        <v>45912</v>
      </c>
      <c r="D579" t="inlineStr">
        <is>
          <t>ÖSTERGÖTLANDS LÄN</t>
        </is>
      </c>
      <c r="E579" t="inlineStr">
        <is>
          <t>LINKÖPING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60860-2024</t>
        </is>
      </c>
      <c r="B580" s="1" t="n">
        <v>45644.6893287037</v>
      </c>
      <c r="C580" s="1" t="n">
        <v>45912</v>
      </c>
      <c r="D580" t="inlineStr">
        <is>
          <t>ÖSTERGÖTLANDS LÄN</t>
        </is>
      </c>
      <c r="E580" t="inlineStr">
        <is>
          <t>LINKÖPING</t>
        </is>
      </c>
      <c r="G580" t="n">
        <v>1.3</v>
      </c>
      <c r="H580" t="n">
        <v>0</v>
      </c>
      <c r="I580" t="n">
        <v>0</v>
      </c>
      <c r="J580" t="n">
        <v>0</v>
      </c>
      <c r="K580" t="n">
        <v>0</v>
      </c>
      <c r="L580" t="n">
        <v>0</v>
      </c>
      <c r="M580" t="n">
        <v>0</v>
      </c>
      <c r="N580" t="n">
        <v>0</v>
      </c>
      <c r="O580" t="n">
        <v>0</v>
      </c>
      <c r="P580" t="n">
        <v>0</v>
      </c>
      <c r="Q580" t="n">
        <v>0</v>
      </c>
      <c r="R580" s="2" t="inlineStr"/>
    </row>
    <row r="581" ht="15" customHeight="1">
      <c r="A581" t="inlineStr">
        <is>
          <t>A 48271-2023</t>
        </is>
      </c>
      <c r="B581" s="1" t="n">
        <v>45205</v>
      </c>
      <c r="C581" s="1" t="n">
        <v>45912</v>
      </c>
      <c r="D581" t="inlineStr">
        <is>
          <t>ÖSTERGÖTLANDS LÄN</t>
        </is>
      </c>
      <c r="E581" t="inlineStr">
        <is>
          <t>LINKÖPING</t>
        </is>
      </c>
      <c r="G581" t="n">
        <v>3</v>
      </c>
      <c r="H581" t="n">
        <v>0</v>
      </c>
      <c r="I581" t="n">
        <v>0</v>
      </c>
      <c r="J581" t="n">
        <v>0</v>
      </c>
      <c r="K581" t="n">
        <v>0</v>
      </c>
      <c r="L581" t="n">
        <v>0</v>
      </c>
      <c r="M581" t="n">
        <v>0</v>
      </c>
      <c r="N581" t="n">
        <v>0</v>
      </c>
      <c r="O581" t="n">
        <v>0</v>
      </c>
      <c r="P581" t="n">
        <v>0</v>
      </c>
      <c r="Q581" t="n">
        <v>0</v>
      </c>
      <c r="R581" s="2" t="inlineStr"/>
    </row>
    <row r="582" ht="15" customHeight="1">
      <c r="A582" t="inlineStr">
        <is>
          <t>A 2697-2023</t>
        </is>
      </c>
      <c r="B582" s="1" t="n">
        <v>44944</v>
      </c>
      <c r="C582" s="1" t="n">
        <v>45912</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12720-2022</t>
        </is>
      </c>
      <c r="B583" s="1" t="n">
        <v>44641</v>
      </c>
      <c r="C583" s="1" t="n">
        <v>45912</v>
      </c>
      <c r="D583" t="inlineStr">
        <is>
          <t>ÖSTERGÖTLANDS LÄN</t>
        </is>
      </c>
      <c r="E583" t="inlineStr">
        <is>
          <t>LINKÖPING</t>
        </is>
      </c>
      <c r="F583" t="inlineStr">
        <is>
          <t>Övriga Aktiebolag</t>
        </is>
      </c>
      <c r="G583" t="n">
        <v>2</v>
      </c>
      <c r="H583" t="n">
        <v>0</v>
      </c>
      <c r="I583" t="n">
        <v>0</v>
      </c>
      <c r="J583" t="n">
        <v>0</v>
      </c>
      <c r="K583" t="n">
        <v>0</v>
      </c>
      <c r="L583" t="n">
        <v>0</v>
      </c>
      <c r="M583" t="n">
        <v>0</v>
      </c>
      <c r="N583" t="n">
        <v>0</v>
      </c>
      <c r="O583" t="n">
        <v>0</v>
      </c>
      <c r="P583" t="n">
        <v>0</v>
      </c>
      <c r="Q583" t="n">
        <v>0</v>
      </c>
      <c r="R583" s="2" t="inlineStr"/>
    </row>
    <row r="584" ht="15" customHeight="1">
      <c r="A584" t="inlineStr">
        <is>
          <t>A 62018-2024</t>
        </is>
      </c>
      <c r="B584" s="1" t="n">
        <v>45655.81387731482</v>
      </c>
      <c r="C584" s="1" t="n">
        <v>45912</v>
      </c>
      <c r="D584" t="inlineStr">
        <is>
          <t>ÖSTERGÖTLANDS LÄN</t>
        </is>
      </c>
      <c r="E584" t="inlineStr">
        <is>
          <t>LINKÖPING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45806-2024</t>
        </is>
      </c>
      <c r="B585" s="1" t="n">
        <v>45579.69619212963</v>
      </c>
      <c r="C585" s="1" t="n">
        <v>45912</v>
      </c>
      <c r="D585" t="inlineStr">
        <is>
          <t>ÖSTERGÖTLANDS LÄN</t>
        </is>
      </c>
      <c r="E585" t="inlineStr">
        <is>
          <t>LINKÖPING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35759-2025</t>
        </is>
      </c>
      <c r="B586" s="1" t="n">
        <v>45860</v>
      </c>
      <c r="C586" s="1" t="n">
        <v>45912</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56756-2023</t>
        </is>
      </c>
      <c r="B587" s="1" t="n">
        <v>45244</v>
      </c>
      <c r="C587" s="1" t="n">
        <v>45912</v>
      </c>
      <c r="D587" t="inlineStr">
        <is>
          <t>ÖSTERGÖTLANDS LÄN</t>
        </is>
      </c>
      <c r="E587" t="inlineStr">
        <is>
          <t>LINKÖPING</t>
        </is>
      </c>
      <c r="F587" t="inlineStr">
        <is>
          <t>Övriga Aktiebolag</t>
        </is>
      </c>
      <c r="G587" t="n">
        <v>0.8</v>
      </c>
      <c r="H587" t="n">
        <v>0</v>
      </c>
      <c r="I587" t="n">
        <v>0</v>
      </c>
      <c r="J587" t="n">
        <v>0</v>
      </c>
      <c r="K587" t="n">
        <v>0</v>
      </c>
      <c r="L587" t="n">
        <v>0</v>
      </c>
      <c r="M587" t="n">
        <v>0</v>
      </c>
      <c r="N587" t="n">
        <v>0</v>
      </c>
      <c r="O587" t="n">
        <v>0</v>
      </c>
      <c r="P587" t="n">
        <v>0</v>
      </c>
      <c r="Q587" t="n">
        <v>0</v>
      </c>
      <c r="R587" s="2" t="inlineStr"/>
    </row>
    <row r="588" ht="15" customHeight="1">
      <c r="A588" t="inlineStr">
        <is>
          <t>A 41706-2025</t>
        </is>
      </c>
      <c r="B588" s="1" t="n">
        <v>45902.42209490741</v>
      </c>
      <c r="C588" s="1" t="n">
        <v>45912</v>
      </c>
      <c r="D588" t="inlineStr">
        <is>
          <t>ÖSTERGÖTLANDS LÄN</t>
        </is>
      </c>
      <c r="E588" t="inlineStr">
        <is>
          <t>LINKÖPING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30551-2023</t>
        </is>
      </c>
      <c r="B589" s="1" t="n">
        <v>45111</v>
      </c>
      <c r="C589" s="1" t="n">
        <v>45912</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30860-2022</t>
        </is>
      </c>
      <c r="B590" s="1" t="n">
        <v>44767</v>
      </c>
      <c r="C590" s="1" t="n">
        <v>45912</v>
      </c>
      <c r="D590" t="inlineStr">
        <is>
          <t>ÖSTERGÖTLANDS LÄN</t>
        </is>
      </c>
      <c r="E590" t="inlineStr">
        <is>
          <t>LINKÖPING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60985-2023</t>
        </is>
      </c>
      <c r="B591" s="1" t="n">
        <v>45261.48429398148</v>
      </c>
      <c r="C591" s="1" t="n">
        <v>45912</v>
      </c>
      <c r="D591" t="inlineStr">
        <is>
          <t>ÖSTERGÖTLANDS LÄN</t>
        </is>
      </c>
      <c r="E591" t="inlineStr">
        <is>
          <t>LINKÖPING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60004-2022</t>
        </is>
      </c>
      <c r="B592" s="1" t="n">
        <v>44909.47206018519</v>
      </c>
      <c r="C592" s="1" t="n">
        <v>45912</v>
      </c>
      <c r="D592" t="inlineStr">
        <is>
          <t>ÖSTERGÖTLANDS LÄN</t>
        </is>
      </c>
      <c r="E592" t="inlineStr">
        <is>
          <t>LINKÖPING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60010-2022</t>
        </is>
      </c>
      <c r="B593" s="1" t="n">
        <v>44909.4740625</v>
      </c>
      <c r="C593" s="1" t="n">
        <v>45912</v>
      </c>
      <c r="D593" t="inlineStr">
        <is>
          <t>ÖSTERGÖTLANDS LÄN</t>
        </is>
      </c>
      <c r="E593" t="inlineStr">
        <is>
          <t>LINKÖPING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53827-2023</t>
        </is>
      </c>
      <c r="B594" s="1" t="n">
        <v>45230</v>
      </c>
      <c r="C594" s="1" t="n">
        <v>45912</v>
      </c>
      <c r="D594" t="inlineStr">
        <is>
          <t>ÖSTERGÖTLANDS LÄN</t>
        </is>
      </c>
      <c r="E594" t="inlineStr">
        <is>
          <t>LINKÖPING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24904-2024</t>
        </is>
      </c>
      <c r="B595" s="1" t="n">
        <v>45461</v>
      </c>
      <c r="C595" s="1" t="n">
        <v>45912</v>
      </c>
      <c r="D595" t="inlineStr">
        <is>
          <t>ÖSTERGÖTLANDS LÄN</t>
        </is>
      </c>
      <c r="E595" t="inlineStr">
        <is>
          <t>LINKÖPING</t>
        </is>
      </c>
      <c r="G595" t="n">
        <v>3.8</v>
      </c>
      <c r="H595" t="n">
        <v>0</v>
      </c>
      <c r="I595" t="n">
        <v>0</v>
      </c>
      <c r="J595" t="n">
        <v>0</v>
      </c>
      <c r="K595" t="n">
        <v>0</v>
      </c>
      <c r="L595" t="n">
        <v>0</v>
      </c>
      <c r="M595" t="n">
        <v>0</v>
      </c>
      <c r="N595" t="n">
        <v>0</v>
      </c>
      <c r="O595" t="n">
        <v>0</v>
      </c>
      <c r="P595" t="n">
        <v>0</v>
      </c>
      <c r="Q595" t="n">
        <v>0</v>
      </c>
      <c r="R595" s="2" t="inlineStr"/>
    </row>
    <row r="596" ht="15" customHeight="1">
      <c r="A596" t="inlineStr">
        <is>
          <t>A 4256-2022</t>
        </is>
      </c>
      <c r="B596" s="1" t="n">
        <v>44588</v>
      </c>
      <c r="C596" s="1" t="n">
        <v>45912</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55009-2023</t>
        </is>
      </c>
      <c r="B597" s="1" t="n">
        <v>45237</v>
      </c>
      <c r="C597" s="1" t="n">
        <v>45912</v>
      </c>
      <c r="D597" t="inlineStr">
        <is>
          <t>ÖSTERGÖTLANDS LÄN</t>
        </is>
      </c>
      <c r="E597" t="inlineStr">
        <is>
          <t>LINKÖPING</t>
        </is>
      </c>
      <c r="G597" t="n">
        <v>1.5</v>
      </c>
      <c r="H597" t="n">
        <v>0</v>
      </c>
      <c r="I597" t="n">
        <v>0</v>
      </c>
      <c r="J597" t="n">
        <v>0</v>
      </c>
      <c r="K597" t="n">
        <v>0</v>
      </c>
      <c r="L597" t="n">
        <v>0</v>
      </c>
      <c r="M597" t="n">
        <v>0</v>
      </c>
      <c r="N597" t="n">
        <v>0</v>
      </c>
      <c r="O597" t="n">
        <v>0</v>
      </c>
      <c r="P597" t="n">
        <v>0</v>
      </c>
      <c r="Q597" t="n">
        <v>0</v>
      </c>
      <c r="R597" s="2" t="inlineStr"/>
    </row>
    <row r="598" ht="15" customHeight="1">
      <c r="A598" t="inlineStr">
        <is>
          <t>A 34872-2023</t>
        </is>
      </c>
      <c r="B598" s="1" t="n">
        <v>45140</v>
      </c>
      <c r="C598" s="1" t="n">
        <v>45912</v>
      </c>
      <c r="D598" t="inlineStr">
        <is>
          <t>ÖSTERGÖTLANDS LÄN</t>
        </is>
      </c>
      <c r="E598" t="inlineStr">
        <is>
          <t>LINKÖPING</t>
        </is>
      </c>
      <c r="G598" t="n">
        <v>4.8</v>
      </c>
      <c r="H598" t="n">
        <v>0</v>
      </c>
      <c r="I598" t="n">
        <v>0</v>
      </c>
      <c r="J598" t="n">
        <v>0</v>
      </c>
      <c r="K598" t="n">
        <v>0</v>
      </c>
      <c r="L598" t="n">
        <v>0</v>
      </c>
      <c r="M598" t="n">
        <v>0</v>
      </c>
      <c r="N598" t="n">
        <v>0</v>
      </c>
      <c r="O598" t="n">
        <v>0</v>
      </c>
      <c r="P598" t="n">
        <v>0</v>
      </c>
      <c r="Q598" t="n">
        <v>0</v>
      </c>
      <c r="R598" s="2" t="inlineStr"/>
    </row>
    <row r="599" ht="15" customHeight="1">
      <c r="A599" t="inlineStr">
        <is>
          <t>A 61649-2023</t>
        </is>
      </c>
      <c r="B599" s="1" t="n">
        <v>45265</v>
      </c>
      <c r="C599" s="1" t="n">
        <v>45912</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223-2024</t>
        </is>
      </c>
      <c r="B600" s="1" t="n">
        <v>45294.72739583333</v>
      </c>
      <c r="C600" s="1" t="n">
        <v>45912</v>
      </c>
      <c r="D600" t="inlineStr">
        <is>
          <t>ÖSTERGÖTLANDS LÄN</t>
        </is>
      </c>
      <c r="E600" t="inlineStr">
        <is>
          <t>LINKÖPING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19464-2024</t>
        </is>
      </c>
      <c r="B601" s="1" t="n">
        <v>45429</v>
      </c>
      <c r="C601" s="1" t="n">
        <v>45912</v>
      </c>
      <c r="D601" t="inlineStr">
        <is>
          <t>ÖSTERGÖTLANDS LÄN</t>
        </is>
      </c>
      <c r="E601" t="inlineStr">
        <is>
          <t>LINKÖPING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630-2024</t>
        </is>
      </c>
      <c r="B602" s="1" t="n">
        <v>45299.67736111111</v>
      </c>
      <c r="C602" s="1" t="n">
        <v>45912</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36336-2022</t>
        </is>
      </c>
      <c r="B603" s="1" t="n">
        <v>44803</v>
      </c>
      <c r="C603" s="1" t="n">
        <v>45912</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42624-2025</t>
        </is>
      </c>
      <c r="B604" s="1" t="n">
        <v>45905</v>
      </c>
      <c r="C604" s="1" t="n">
        <v>45912</v>
      </c>
      <c r="D604" t="inlineStr">
        <is>
          <t>ÖSTERGÖTLANDS LÄN</t>
        </is>
      </c>
      <c r="E604" t="inlineStr">
        <is>
          <t>LINKÖPING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30433-2024</t>
        </is>
      </c>
      <c r="B605" s="1" t="n">
        <v>45491.69741898148</v>
      </c>
      <c r="C605" s="1" t="n">
        <v>45912</v>
      </c>
      <c r="D605" t="inlineStr">
        <is>
          <t>ÖSTERGÖTLANDS LÄN</t>
        </is>
      </c>
      <c r="E605" t="inlineStr">
        <is>
          <t>LINKÖPING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50471-2024</t>
        </is>
      </c>
      <c r="B606" s="1" t="n">
        <v>45601.47166666666</v>
      </c>
      <c r="C606" s="1" t="n">
        <v>45912</v>
      </c>
      <c r="D606" t="inlineStr">
        <is>
          <t>ÖSTERGÖTLANDS LÄN</t>
        </is>
      </c>
      <c r="E606" t="inlineStr">
        <is>
          <t>LINKÖPING</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25097-2023</t>
        </is>
      </c>
      <c r="B607" s="1" t="n">
        <v>45086</v>
      </c>
      <c r="C607" s="1" t="n">
        <v>45912</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42623-2025</t>
        </is>
      </c>
      <c r="B608" s="1" t="n">
        <v>45905</v>
      </c>
      <c r="C608" s="1" t="n">
        <v>45912</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42626-2025</t>
        </is>
      </c>
      <c r="B609" s="1" t="n">
        <v>45905</v>
      </c>
      <c r="C609" s="1" t="n">
        <v>45912</v>
      </c>
      <c r="D609" t="inlineStr">
        <is>
          <t>ÖSTERGÖTLANDS LÄN</t>
        </is>
      </c>
      <c r="E609" t="inlineStr">
        <is>
          <t>LINKÖPING</t>
        </is>
      </c>
      <c r="G609" t="n">
        <v>3.6</v>
      </c>
      <c r="H609" t="n">
        <v>0</v>
      </c>
      <c r="I609" t="n">
        <v>0</v>
      </c>
      <c r="J609" t="n">
        <v>0</v>
      </c>
      <c r="K609" t="n">
        <v>0</v>
      </c>
      <c r="L609" t="n">
        <v>0</v>
      </c>
      <c r="M609" t="n">
        <v>0</v>
      </c>
      <c r="N609" t="n">
        <v>0</v>
      </c>
      <c r="O609" t="n">
        <v>0</v>
      </c>
      <c r="P609" t="n">
        <v>0</v>
      </c>
      <c r="Q609" t="n">
        <v>0</v>
      </c>
      <c r="R609" s="2" t="inlineStr"/>
    </row>
    <row r="610" ht="15" customHeight="1">
      <c r="A610" t="inlineStr">
        <is>
          <t>A 63528-2023</t>
        </is>
      </c>
      <c r="B610" s="1" t="n">
        <v>45274.94810185185</v>
      </c>
      <c r="C610" s="1" t="n">
        <v>45912</v>
      </c>
      <c r="D610" t="inlineStr">
        <is>
          <t>ÖSTERGÖTLANDS LÄN</t>
        </is>
      </c>
      <c r="E610" t="inlineStr">
        <is>
          <t>LINKÖPING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10461-2023</t>
        </is>
      </c>
      <c r="B611" s="1" t="n">
        <v>44987.5969212963</v>
      </c>
      <c r="C611" s="1" t="n">
        <v>45912</v>
      </c>
      <c r="D611" t="inlineStr">
        <is>
          <t>ÖSTERGÖTLANDS LÄN</t>
        </is>
      </c>
      <c r="E611" t="inlineStr">
        <is>
          <t>LINKÖPING</t>
        </is>
      </c>
      <c r="G611" t="n">
        <v>7.8</v>
      </c>
      <c r="H611" t="n">
        <v>0</v>
      </c>
      <c r="I611" t="n">
        <v>0</v>
      </c>
      <c r="J611" t="n">
        <v>0</v>
      </c>
      <c r="K611" t="n">
        <v>0</v>
      </c>
      <c r="L611" t="n">
        <v>0</v>
      </c>
      <c r="M611" t="n">
        <v>0</v>
      </c>
      <c r="N611" t="n">
        <v>0</v>
      </c>
      <c r="O611" t="n">
        <v>0</v>
      </c>
      <c r="P611" t="n">
        <v>0</v>
      </c>
      <c r="Q611" t="n">
        <v>0</v>
      </c>
      <c r="R611" s="2" t="inlineStr"/>
    </row>
    <row r="612" ht="15" customHeight="1">
      <c r="A612" t="inlineStr">
        <is>
          <t>A 61936-2023</t>
        </is>
      </c>
      <c r="B612" s="1" t="n">
        <v>45266.54534722222</v>
      </c>
      <c r="C612" s="1" t="n">
        <v>45912</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62492-2023</t>
        </is>
      </c>
      <c r="B613" s="1" t="n">
        <v>45268.58987268519</v>
      </c>
      <c r="C613" s="1" t="n">
        <v>45912</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50386-2021</t>
        </is>
      </c>
      <c r="B614" s="1" t="n">
        <v>44459</v>
      </c>
      <c r="C614" s="1" t="n">
        <v>45912</v>
      </c>
      <c r="D614" t="inlineStr">
        <is>
          <t>ÖSTERGÖTLANDS LÄN</t>
        </is>
      </c>
      <c r="E614" t="inlineStr">
        <is>
          <t>LINKÖPING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674-2024</t>
        </is>
      </c>
      <c r="B615" s="1" t="n">
        <v>45300.34408564815</v>
      </c>
      <c r="C615" s="1" t="n">
        <v>45912</v>
      </c>
      <c r="D615" t="inlineStr">
        <is>
          <t>ÖSTERGÖTLANDS LÄN</t>
        </is>
      </c>
      <c r="E615" t="inlineStr">
        <is>
          <t>LINKÖPING</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350-2022</t>
        </is>
      </c>
      <c r="B616" s="1" t="n">
        <v>44565</v>
      </c>
      <c r="C616" s="1" t="n">
        <v>45912</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18891-2022</t>
        </is>
      </c>
      <c r="B617" s="1" t="n">
        <v>44690</v>
      </c>
      <c r="C617" s="1" t="n">
        <v>45912</v>
      </c>
      <c r="D617" t="inlineStr">
        <is>
          <t>ÖSTERGÖTLANDS LÄN</t>
        </is>
      </c>
      <c r="E617" t="inlineStr">
        <is>
          <t>LINKÖPING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15307-2025</t>
        </is>
      </c>
      <c r="B618" s="1" t="n">
        <v>45746.70038194444</v>
      </c>
      <c r="C618" s="1" t="n">
        <v>45912</v>
      </c>
      <c r="D618" t="inlineStr">
        <is>
          <t>ÖSTERGÖTLANDS LÄN</t>
        </is>
      </c>
      <c r="E618" t="inlineStr">
        <is>
          <t>LINKÖPING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6782-2024</t>
        </is>
      </c>
      <c r="B619" s="1" t="n">
        <v>45342</v>
      </c>
      <c r="C619" s="1" t="n">
        <v>45912</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10094-2024</t>
        </is>
      </c>
      <c r="B620" s="1" t="n">
        <v>45364</v>
      </c>
      <c r="C620" s="1" t="n">
        <v>45912</v>
      </c>
      <c r="D620" t="inlineStr">
        <is>
          <t>ÖSTERGÖTLANDS LÄN</t>
        </is>
      </c>
      <c r="E620" t="inlineStr">
        <is>
          <t>LINKÖPING</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30976-2022</t>
        </is>
      </c>
      <c r="B621" s="1" t="n">
        <v>44768</v>
      </c>
      <c r="C621" s="1" t="n">
        <v>45912</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63684-2023</t>
        </is>
      </c>
      <c r="B622" s="1" t="n">
        <v>45275</v>
      </c>
      <c r="C622" s="1" t="n">
        <v>45912</v>
      </c>
      <c r="D622" t="inlineStr">
        <is>
          <t>ÖSTERGÖTLANDS LÄN</t>
        </is>
      </c>
      <c r="E622" t="inlineStr">
        <is>
          <t>LINKÖPING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63688-2023</t>
        </is>
      </c>
      <c r="B623" s="1" t="n">
        <v>45275</v>
      </c>
      <c r="C623" s="1" t="n">
        <v>45912</v>
      </c>
      <c r="D623" t="inlineStr">
        <is>
          <t>ÖSTERGÖTLANDS LÄN</t>
        </is>
      </c>
      <c r="E623" t="inlineStr">
        <is>
          <t>LINKÖPING</t>
        </is>
      </c>
      <c r="F623" t="inlineStr">
        <is>
          <t>Övriga Aktiebolag</t>
        </is>
      </c>
      <c r="G623" t="n">
        <v>2.4</v>
      </c>
      <c r="H623" t="n">
        <v>0</v>
      </c>
      <c r="I623" t="n">
        <v>0</v>
      </c>
      <c r="J623" t="n">
        <v>0</v>
      </c>
      <c r="K623" t="n">
        <v>0</v>
      </c>
      <c r="L623" t="n">
        <v>0</v>
      </c>
      <c r="M623" t="n">
        <v>0</v>
      </c>
      <c r="N623" t="n">
        <v>0</v>
      </c>
      <c r="O623" t="n">
        <v>0</v>
      </c>
      <c r="P623" t="n">
        <v>0</v>
      </c>
      <c r="Q623" t="n">
        <v>0</v>
      </c>
      <c r="R623" s="2" t="inlineStr"/>
    </row>
    <row r="624" ht="15" customHeight="1">
      <c r="A624" t="inlineStr">
        <is>
          <t>A 63691-2023</t>
        </is>
      </c>
      <c r="B624" s="1" t="n">
        <v>45275</v>
      </c>
      <c r="C624" s="1" t="n">
        <v>45912</v>
      </c>
      <c r="D624" t="inlineStr">
        <is>
          <t>ÖSTERGÖTLANDS LÄN</t>
        </is>
      </c>
      <c r="E624" t="inlineStr">
        <is>
          <t>LINKÖPING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36657-2023</t>
        </is>
      </c>
      <c r="B625" s="1" t="n">
        <v>45153.5702662037</v>
      </c>
      <c r="C625" s="1" t="n">
        <v>45912</v>
      </c>
      <c r="D625" t="inlineStr">
        <is>
          <t>ÖSTERGÖTLANDS LÄN</t>
        </is>
      </c>
      <c r="E625" t="inlineStr">
        <is>
          <t>LINKÖPING</t>
        </is>
      </c>
      <c r="F625" t="inlineStr">
        <is>
          <t>Allmännings- och besparingsskogar</t>
        </is>
      </c>
      <c r="G625" t="n">
        <v>2</v>
      </c>
      <c r="H625" t="n">
        <v>0</v>
      </c>
      <c r="I625" t="n">
        <v>0</v>
      </c>
      <c r="J625" t="n">
        <v>0</v>
      </c>
      <c r="K625" t="n">
        <v>0</v>
      </c>
      <c r="L625" t="n">
        <v>0</v>
      </c>
      <c r="M625" t="n">
        <v>0</v>
      </c>
      <c r="N625" t="n">
        <v>0</v>
      </c>
      <c r="O625" t="n">
        <v>0</v>
      </c>
      <c r="P625" t="n">
        <v>0</v>
      </c>
      <c r="Q625" t="n">
        <v>0</v>
      </c>
      <c r="R625" s="2" t="inlineStr"/>
    </row>
    <row r="626" ht="15" customHeight="1">
      <c r="A626" t="inlineStr">
        <is>
          <t>A 14667-2024</t>
        </is>
      </c>
      <c r="B626" s="1" t="n">
        <v>45397.42005787037</v>
      </c>
      <c r="C626" s="1" t="n">
        <v>45912</v>
      </c>
      <c r="D626" t="inlineStr">
        <is>
          <t>ÖSTERGÖTLANDS LÄN</t>
        </is>
      </c>
      <c r="E626" t="inlineStr">
        <is>
          <t>LINKÖPING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55736-2022</t>
        </is>
      </c>
      <c r="B627" s="1" t="n">
        <v>44888</v>
      </c>
      <c r="C627" s="1" t="n">
        <v>45912</v>
      </c>
      <c r="D627" t="inlineStr">
        <is>
          <t>ÖSTERGÖTLANDS LÄN</t>
        </is>
      </c>
      <c r="E627" t="inlineStr">
        <is>
          <t>LINKÖPING</t>
        </is>
      </c>
      <c r="G627" t="n">
        <v>5.5</v>
      </c>
      <c r="H627" t="n">
        <v>0</v>
      </c>
      <c r="I627" t="n">
        <v>0</v>
      </c>
      <c r="J627" t="n">
        <v>0</v>
      </c>
      <c r="K627" t="n">
        <v>0</v>
      </c>
      <c r="L627" t="n">
        <v>0</v>
      </c>
      <c r="M627" t="n">
        <v>0</v>
      </c>
      <c r="N627" t="n">
        <v>0</v>
      </c>
      <c r="O627" t="n">
        <v>0</v>
      </c>
      <c r="P627" t="n">
        <v>0</v>
      </c>
      <c r="Q627" t="n">
        <v>0</v>
      </c>
      <c r="R627" s="2" t="inlineStr"/>
    </row>
    <row r="628" ht="15" customHeight="1">
      <c r="A628" t="inlineStr">
        <is>
          <t>A 10194-2023</t>
        </is>
      </c>
      <c r="B628" s="1" t="n">
        <v>44986.52277777778</v>
      </c>
      <c r="C628" s="1" t="n">
        <v>45912</v>
      </c>
      <c r="D628" t="inlineStr">
        <is>
          <t>ÖSTERGÖTLANDS LÄN</t>
        </is>
      </c>
      <c r="E628" t="inlineStr">
        <is>
          <t>LINKÖPING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16200-2025</t>
        </is>
      </c>
      <c r="B629" s="1" t="n">
        <v>45750.61050925926</v>
      </c>
      <c r="C629" s="1" t="n">
        <v>45912</v>
      </c>
      <c r="D629" t="inlineStr">
        <is>
          <t>ÖSTERGÖTLANDS LÄN</t>
        </is>
      </c>
      <c r="E629" t="inlineStr">
        <is>
          <t>LINKÖPING</t>
        </is>
      </c>
      <c r="G629" t="n">
        <v>0.9</v>
      </c>
      <c r="H629" t="n">
        <v>0</v>
      </c>
      <c r="I629" t="n">
        <v>0</v>
      </c>
      <c r="J629" t="n">
        <v>0</v>
      </c>
      <c r="K629" t="n">
        <v>0</v>
      </c>
      <c r="L629" t="n">
        <v>0</v>
      </c>
      <c r="M629" t="n">
        <v>0</v>
      </c>
      <c r="N629" t="n">
        <v>0</v>
      </c>
      <c r="O629" t="n">
        <v>0</v>
      </c>
      <c r="P629" t="n">
        <v>0</v>
      </c>
      <c r="Q629" t="n">
        <v>0</v>
      </c>
      <c r="R629" s="2" t="inlineStr"/>
    </row>
    <row r="630" ht="15" customHeight="1">
      <c r="A630" t="inlineStr">
        <is>
          <t>A 15714-2024</t>
        </is>
      </c>
      <c r="B630" s="1" t="n">
        <v>45404.48288194444</v>
      </c>
      <c r="C630" s="1" t="n">
        <v>45912</v>
      </c>
      <c r="D630" t="inlineStr">
        <is>
          <t>ÖSTERGÖTLANDS LÄN</t>
        </is>
      </c>
      <c r="E630" t="inlineStr">
        <is>
          <t>LINKÖPING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37715-2022</t>
        </is>
      </c>
      <c r="B631" s="1" t="n">
        <v>44810</v>
      </c>
      <c r="C631" s="1" t="n">
        <v>45912</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30429-2024</t>
        </is>
      </c>
      <c r="B632" s="1" t="n">
        <v>45491.68972222223</v>
      </c>
      <c r="C632" s="1" t="n">
        <v>45912</v>
      </c>
      <c r="D632" t="inlineStr">
        <is>
          <t>ÖSTERGÖTLANDS LÄN</t>
        </is>
      </c>
      <c r="E632" t="inlineStr">
        <is>
          <t>LINKÖPING</t>
        </is>
      </c>
      <c r="G632" t="n">
        <v>2.2</v>
      </c>
      <c r="H632" t="n">
        <v>0</v>
      </c>
      <c r="I632" t="n">
        <v>0</v>
      </c>
      <c r="J632" t="n">
        <v>0</v>
      </c>
      <c r="K632" t="n">
        <v>0</v>
      </c>
      <c r="L632" t="n">
        <v>0</v>
      </c>
      <c r="M632" t="n">
        <v>0</v>
      </c>
      <c r="N632" t="n">
        <v>0</v>
      </c>
      <c r="O632" t="n">
        <v>0</v>
      </c>
      <c r="P632" t="n">
        <v>0</v>
      </c>
      <c r="Q632" t="n">
        <v>0</v>
      </c>
      <c r="R632" s="2" t="inlineStr"/>
    </row>
    <row r="633" ht="15" customHeight="1">
      <c r="A633" t="inlineStr">
        <is>
          <t>A 7702-2023</t>
        </is>
      </c>
      <c r="B633" s="1" t="n">
        <v>44967</v>
      </c>
      <c r="C633" s="1" t="n">
        <v>45912</v>
      </c>
      <c r="D633" t="inlineStr">
        <is>
          <t>ÖSTERGÖTLANDS LÄN</t>
        </is>
      </c>
      <c r="E633" t="inlineStr">
        <is>
          <t>LINKÖPING</t>
        </is>
      </c>
      <c r="F633" t="inlineStr">
        <is>
          <t>Övriga statliga verk och myndigheter</t>
        </is>
      </c>
      <c r="G633" t="n">
        <v>8</v>
      </c>
      <c r="H633" t="n">
        <v>0</v>
      </c>
      <c r="I633" t="n">
        <v>0</v>
      </c>
      <c r="J633" t="n">
        <v>0</v>
      </c>
      <c r="K633" t="n">
        <v>0</v>
      </c>
      <c r="L633" t="n">
        <v>0</v>
      </c>
      <c r="M633" t="n">
        <v>0</v>
      </c>
      <c r="N633" t="n">
        <v>0</v>
      </c>
      <c r="O633" t="n">
        <v>0</v>
      </c>
      <c r="P633" t="n">
        <v>0</v>
      </c>
      <c r="Q633" t="n">
        <v>0</v>
      </c>
      <c r="R633" s="2" t="inlineStr"/>
    </row>
    <row r="634" ht="15" customHeight="1">
      <c r="A634" t="inlineStr">
        <is>
          <t>A 42000-2023</t>
        </is>
      </c>
      <c r="B634" s="1" t="n">
        <v>45177</v>
      </c>
      <c r="C634" s="1" t="n">
        <v>45912</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30435-2024</t>
        </is>
      </c>
      <c r="B635" s="1" t="n">
        <v>45491.69962962963</v>
      </c>
      <c r="C635" s="1" t="n">
        <v>45912</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31534-2023</t>
        </is>
      </c>
      <c r="B636" s="1" t="n">
        <v>45116</v>
      </c>
      <c r="C636" s="1" t="n">
        <v>45912</v>
      </c>
      <c r="D636" t="inlineStr">
        <is>
          <t>ÖSTERGÖTLANDS LÄN</t>
        </is>
      </c>
      <c r="E636" t="inlineStr">
        <is>
          <t>LINKÖPING</t>
        </is>
      </c>
      <c r="G636" t="n">
        <v>1.5</v>
      </c>
      <c r="H636" t="n">
        <v>0</v>
      </c>
      <c r="I636" t="n">
        <v>0</v>
      </c>
      <c r="J636" t="n">
        <v>0</v>
      </c>
      <c r="K636" t="n">
        <v>0</v>
      </c>
      <c r="L636" t="n">
        <v>0</v>
      </c>
      <c r="M636" t="n">
        <v>0</v>
      </c>
      <c r="N636" t="n">
        <v>0</v>
      </c>
      <c r="O636" t="n">
        <v>0</v>
      </c>
      <c r="P636" t="n">
        <v>0</v>
      </c>
      <c r="Q636" t="n">
        <v>0</v>
      </c>
      <c r="R636" s="2" t="inlineStr"/>
    </row>
    <row r="637" ht="15" customHeight="1">
      <c r="A637" t="inlineStr">
        <is>
          <t>A 4927-2021</t>
        </is>
      </c>
      <c r="B637" s="1" t="n">
        <v>44227.57215277778</v>
      </c>
      <c r="C637" s="1" t="n">
        <v>45912</v>
      </c>
      <c r="D637" t="inlineStr">
        <is>
          <t>ÖSTERGÖTLANDS LÄN</t>
        </is>
      </c>
      <c r="E637" t="inlineStr">
        <is>
          <t>LINKÖPING</t>
        </is>
      </c>
      <c r="G637" t="n">
        <v>0.3</v>
      </c>
      <c r="H637" t="n">
        <v>0</v>
      </c>
      <c r="I637" t="n">
        <v>0</v>
      </c>
      <c r="J637" t="n">
        <v>0</v>
      </c>
      <c r="K637" t="n">
        <v>0</v>
      </c>
      <c r="L637" t="n">
        <v>0</v>
      </c>
      <c r="M637" t="n">
        <v>0</v>
      </c>
      <c r="N637" t="n">
        <v>0</v>
      </c>
      <c r="O637" t="n">
        <v>0</v>
      </c>
      <c r="P637" t="n">
        <v>0</v>
      </c>
      <c r="Q637" t="n">
        <v>0</v>
      </c>
      <c r="R637" s="2" t="inlineStr"/>
    </row>
    <row r="638" ht="15" customHeight="1">
      <c r="A638" t="inlineStr">
        <is>
          <t>A 35427-2023</t>
        </is>
      </c>
      <c r="B638" s="1" t="n">
        <v>45146</v>
      </c>
      <c r="C638" s="1" t="n">
        <v>45912</v>
      </c>
      <c r="D638" t="inlineStr">
        <is>
          <t>ÖSTERGÖTLANDS LÄN</t>
        </is>
      </c>
      <c r="E638" t="inlineStr">
        <is>
          <t>LINKÖPING</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38231-2022</t>
        </is>
      </c>
      <c r="B639" s="1" t="n">
        <v>44812</v>
      </c>
      <c r="C639" s="1" t="n">
        <v>45912</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34557-2022</t>
        </is>
      </c>
      <c r="B640" s="1" t="n">
        <v>44794.57074074074</v>
      </c>
      <c r="C640" s="1" t="n">
        <v>45912</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13011-2022</t>
        </is>
      </c>
      <c r="B641" s="1" t="n">
        <v>44643</v>
      </c>
      <c r="C641" s="1" t="n">
        <v>45912</v>
      </c>
      <c r="D641" t="inlineStr">
        <is>
          <t>ÖSTERGÖTLANDS LÄN</t>
        </is>
      </c>
      <c r="E641" t="inlineStr">
        <is>
          <t>LINKÖPING</t>
        </is>
      </c>
      <c r="G641" t="n">
        <v>3.7</v>
      </c>
      <c r="H641" t="n">
        <v>0</v>
      </c>
      <c r="I641" t="n">
        <v>0</v>
      </c>
      <c r="J641" t="n">
        <v>0</v>
      </c>
      <c r="K641" t="n">
        <v>0</v>
      </c>
      <c r="L641" t="n">
        <v>0</v>
      </c>
      <c r="M641" t="n">
        <v>0</v>
      </c>
      <c r="N641" t="n">
        <v>0</v>
      </c>
      <c r="O641" t="n">
        <v>0</v>
      </c>
      <c r="P641" t="n">
        <v>0</v>
      </c>
      <c r="Q641" t="n">
        <v>0</v>
      </c>
      <c r="R641" s="2" t="inlineStr"/>
    </row>
    <row r="642" ht="15" customHeight="1">
      <c r="A642" t="inlineStr">
        <is>
          <t>A 36725-2023</t>
        </is>
      </c>
      <c r="B642" s="1" t="n">
        <v>45153.68471064815</v>
      </c>
      <c r="C642" s="1" t="n">
        <v>45912</v>
      </c>
      <c r="D642" t="inlineStr">
        <is>
          <t>ÖSTERGÖTLANDS LÄN</t>
        </is>
      </c>
      <c r="E642" t="inlineStr">
        <is>
          <t>LINKÖPING</t>
        </is>
      </c>
      <c r="F642" t="inlineStr">
        <is>
          <t>Allmännings- och besparingsskogar</t>
        </is>
      </c>
      <c r="G642" t="n">
        <v>2.6</v>
      </c>
      <c r="H642" t="n">
        <v>0</v>
      </c>
      <c r="I642" t="n">
        <v>0</v>
      </c>
      <c r="J642" t="n">
        <v>0</v>
      </c>
      <c r="K642" t="n">
        <v>0</v>
      </c>
      <c r="L642" t="n">
        <v>0</v>
      </c>
      <c r="M642" t="n">
        <v>0</v>
      </c>
      <c r="N642" t="n">
        <v>0</v>
      </c>
      <c r="O642" t="n">
        <v>0</v>
      </c>
      <c r="P642" t="n">
        <v>0</v>
      </c>
      <c r="Q642" t="n">
        <v>0</v>
      </c>
      <c r="R642" s="2" t="inlineStr"/>
    </row>
    <row r="643" ht="15" customHeight="1">
      <c r="A643" t="inlineStr">
        <is>
          <t>A 617-2024</t>
        </is>
      </c>
      <c r="B643" s="1" t="n">
        <v>45299.66028935185</v>
      </c>
      <c r="C643" s="1" t="n">
        <v>45912</v>
      </c>
      <c r="D643" t="inlineStr">
        <is>
          <t>ÖSTERGÖTLANDS LÄN</t>
        </is>
      </c>
      <c r="E643" t="inlineStr">
        <is>
          <t>LINKÖPING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53639-2023</t>
        </is>
      </c>
      <c r="B644" s="1" t="n">
        <v>45230.59686342593</v>
      </c>
      <c r="C644" s="1" t="n">
        <v>45912</v>
      </c>
      <c r="D644" t="inlineStr">
        <is>
          <t>ÖSTERGÖTLANDS LÄN</t>
        </is>
      </c>
      <c r="E644" t="inlineStr">
        <is>
          <t>LINKÖPING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1657-2024</t>
        </is>
      </c>
      <c r="B645" s="1" t="n">
        <v>45306.82501157407</v>
      </c>
      <c r="C645" s="1" t="n">
        <v>45912</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50784-2022</t>
        </is>
      </c>
      <c r="B646" s="1" t="n">
        <v>44862</v>
      </c>
      <c r="C646" s="1" t="n">
        <v>45912</v>
      </c>
      <c r="D646" t="inlineStr">
        <is>
          <t>ÖSTERGÖTLANDS LÄN</t>
        </is>
      </c>
      <c r="E646" t="inlineStr">
        <is>
          <t>LINKÖPING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26803-2024</t>
        </is>
      </c>
      <c r="B647" s="1" t="n">
        <v>45470</v>
      </c>
      <c r="C647" s="1" t="n">
        <v>45912</v>
      </c>
      <c r="D647" t="inlineStr">
        <is>
          <t>ÖSTERGÖTLANDS LÄN</t>
        </is>
      </c>
      <c r="E647" t="inlineStr">
        <is>
          <t>LINKÖPING</t>
        </is>
      </c>
      <c r="F647" t="inlineStr">
        <is>
          <t>Allmännings- och besparingsskogar</t>
        </is>
      </c>
      <c r="G647" t="n">
        <v>4.5</v>
      </c>
      <c r="H647" t="n">
        <v>0</v>
      </c>
      <c r="I647" t="n">
        <v>0</v>
      </c>
      <c r="J647" t="n">
        <v>0</v>
      </c>
      <c r="K647" t="n">
        <v>0</v>
      </c>
      <c r="L647" t="n">
        <v>0</v>
      </c>
      <c r="M647" t="n">
        <v>0</v>
      </c>
      <c r="N647" t="n">
        <v>0</v>
      </c>
      <c r="O647" t="n">
        <v>0</v>
      </c>
      <c r="P647" t="n">
        <v>0</v>
      </c>
      <c r="Q647" t="n">
        <v>0</v>
      </c>
      <c r="R647" s="2" t="inlineStr"/>
    </row>
    <row r="648" ht="15" customHeight="1">
      <c r="A648" t="inlineStr">
        <is>
          <t>A 19362-2023</t>
        </is>
      </c>
      <c r="B648" s="1" t="n">
        <v>45049</v>
      </c>
      <c r="C648" s="1" t="n">
        <v>45912</v>
      </c>
      <c r="D648" t="inlineStr">
        <is>
          <t>ÖSTERGÖTLANDS LÄN</t>
        </is>
      </c>
      <c r="E648" t="inlineStr">
        <is>
          <t>LINKÖPING</t>
        </is>
      </c>
      <c r="G648" t="n">
        <v>0.1</v>
      </c>
      <c r="H648" t="n">
        <v>0</v>
      </c>
      <c r="I648" t="n">
        <v>0</v>
      </c>
      <c r="J648" t="n">
        <v>0</v>
      </c>
      <c r="K648" t="n">
        <v>0</v>
      </c>
      <c r="L648" t="n">
        <v>0</v>
      </c>
      <c r="M648" t="n">
        <v>0</v>
      </c>
      <c r="N648" t="n">
        <v>0</v>
      </c>
      <c r="O648" t="n">
        <v>0</v>
      </c>
      <c r="P648" t="n">
        <v>0</v>
      </c>
      <c r="Q648" t="n">
        <v>0</v>
      </c>
      <c r="R648" s="2" t="inlineStr"/>
    </row>
    <row r="649" ht="15" customHeight="1">
      <c r="A649" t="inlineStr">
        <is>
          <t>A 19187-2021</t>
        </is>
      </c>
      <c r="B649" s="1" t="n">
        <v>44308</v>
      </c>
      <c r="C649" s="1" t="n">
        <v>45912</v>
      </c>
      <c r="D649" t="inlineStr">
        <is>
          <t>ÖSTERGÖTLANDS LÄN</t>
        </is>
      </c>
      <c r="E649" t="inlineStr">
        <is>
          <t>LINKÖPING</t>
        </is>
      </c>
      <c r="F649" t="inlineStr">
        <is>
          <t>Allmännings- och besparingsskogar</t>
        </is>
      </c>
      <c r="G649" t="n">
        <v>20</v>
      </c>
      <c r="H649" t="n">
        <v>0</v>
      </c>
      <c r="I649" t="n">
        <v>0</v>
      </c>
      <c r="J649" t="n">
        <v>0</v>
      </c>
      <c r="K649" t="n">
        <v>0</v>
      </c>
      <c r="L649" t="n">
        <v>0</v>
      </c>
      <c r="M649" t="n">
        <v>0</v>
      </c>
      <c r="N649" t="n">
        <v>0</v>
      </c>
      <c r="O649" t="n">
        <v>0</v>
      </c>
      <c r="P649" t="n">
        <v>0</v>
      </c>
      <c r="Q649" t="n">
        <v>0</v>
      </c>
      <c r="R649" s="2" t="inlineStr"/>
    </row>
    <row r="650" ht="15" customHeight="1">
      <c r="A650" t="inlineStr">
        <is>
          <t>A 19132-2023</t>
        </is>
      </c>
      <c r="B650" s="1" t="n">
        <v>45048.54754629629</v>
      </c>
      <c r="C650" s="1" t="n">
        <v>45912</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60472-2022</t>
        </is>
      </c>
      <c r="B651" s="1" t="n">
        <v>44911.41037037037</v>
      </c>
      <c r="C651" s="1" t="n">
        <v>45912</v>
      </c>
      <c r="D651" t="inlineStr">
        <is>
          <t>ÖSTERGÖTLANDS LÄN</t>
        </is>
      </c>
      <c r="E651" t="inlineStr">
        <is>
          <t>LINKÖPING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43934-2023</t>
        </is>
      </c>
      <c r="B652" s="1" t="n">
        <v>45187</v>
      </c>
      <c r="C652" s="1" t="n">
        <v>45912</v>
      </c>
      <c r="D652" t="inlineStr">
        <is>
          <t>ÖSTERGÖTLANDS LÄN</t>
        </is>
      </c>
      <c r="E652" t="inlineStr">
        <is>
          <t>LINKÖPING</t>
        </is>
      </c>
      <c r="F652" t="inlineStr">
        <is>
          <t>Övriga Aktiebolag</t>
        </is>
      </c>
      <c r="G652" t="n">
        <v>3.8</v>
      </c>
      <c r="H652" t="n">
        <v>0</v>
      </c>
      <c r="I652" t="n">
        <v>0</v>
      </c>
      <c r="J652" t="n">
        <v>0</v>
      </c>
      <c r="K652" t="n">
        <v>0</v>
      </c>
      <c r="L652" t="n">
        <v>0</v>
      </c>
      <c r="M652" t="n">
        <v>0</v>
      </c>
      <c r="N652" t="n">
        <v>0</v>
      </c>
      <c r="O652" t="n">
        <v>0</v>
      </c>
      <c r="P652" t="n">
        <v>0</v>
      </c>
      <c r="Q652" t="n">
        <v>0</v>
      </c>
      <c r="R652" s="2" t="inlineStr"/>
    </row>
    <row r="653" ht="15" customHeight="1">
      <c r="A653" t="inlineStr">
        <is>
          <t>A 22774-2024</t>
        </is>
      </c>
      <c r="B653" s="1" t="n">
        <v>45448.46924768519</v>
      </c>
      <c r="C653" s="1" t="n">
        <v>45912</v>
      </c>
      <c r="D653" t="inlineStr">
        <is>
          <t>ÖSTERGÖTLANDS LÄN</t>
        </is>
      </c>
      <c r="E653" t="inlineStr">
        <is>
          <t>LINKÖPING</t>
        </is>
      </c>
      <c r="F653" t="inlineStr">
        <is>
          <t>Sveaskog</t>
        </is>
      </c>
      <c r="G653" t="n">
        <v>3.3</v>
      </c>
      <c r="H653" t="n">
        <v>0</v>
      </c>
      <c r="I653" t="n">
        <v>0</v>
      </c>
      <c r="J653" t="n">
        <v>0</v>
      </c>
      <c r="K653" t="n">
        <v>0</v>
      </c>
      <c r="L653" t="n">
        <v>0</v>
      </c>
      <c r="M653" t="n">
        <v>0</v>
      </c>
      <c r="N653" t="n">
        <v>0</v>
      </c>
      <c r="O653" t="n">
        <v>0</v>
      </c>
      <c r="P653" t="n">
        <v>0</v>
      </c>
      <c r="Q653" t="n">
        <v>0</v>
      </c>
      <c r="R653" s="2" t="inlineStr"/>
    </row>
    <row r="654" ht="15" customHeight="1">
      <c r="A654" t="inlineStr">
        <is>
          <t>A 22778-2024</t>
        </is>
      </c>
      <c r="B654" s="1" t="n">
        <v>45448.47233796296</v>
      </c>
      <c r="C654" s="1" t="n">
        <v>45912</v>
      </c>
      <c r="D654" t="inlineStr">
        <is>
          <t>ÖSTERGÖTLANDS LÄN</t>
        </is>
      </c>
      <c r="E654" t="inlineStr">
        <is>
          <t>LINKÖPING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1209-2023</t>
        </is>
      </c>
      <c r="B655" s="1" t="n">
        <v>44930</v>
      </c>
      <c r="C655" s="1" t="n">
        <v>45912</v>
      </c>
      <c r="D655" t="inlineStr">
        <is>
          <t>ÖSTERGÖTLANDS LÄN</t>
        </is>
      </c>
      <c r="E655" t="inlineStr">
        <is>
          <t>LINKÖPING</t>
        </is>
      </c>
      <c r="F655" t="inlineStr">
        <is>
          <t>Övriga statliga verk och myndigheter</t>
        </is>
      </c>
      <c r="G655" t="n">
        <v>25.8</v>
      </c>
      <c r="H655" t="n">
        <v>0</v>
      </c>
      <c r="I655" t="n">
        <v>0</v>
      </c>
      <c r="J655" t="n">
        <v>0</v>
      </c>
      <c r="K655" t="n">
        <v>0</v>
      </c>
      <c r="L655" t="n">
        <v>0</v>
      </c>
      <c r="M655" t="n">
        <v>0</v>
      </c>
      <c r="N655" t="n">
        <v>0</v>
      </c>
      <c r="O655" t="n">
        <v>0</v>
      </c>
      <c r="P655" t="n">
        <v>0</v>
      </c>
      <c r="Q655" t="n">
        <v>0</v>
      </c>
      <c r="R655" s="2" t="inlineStr"/>
    </row>
    <row r="656" ht="15" customHeight="1">
      <c r="A656" t="inlineStr">
        <is>
          <t>A 31635-2023</t>
        </is>
      </c>
      <c r="B656" s="1" t="n">
        <v>45105</v>
      </c>
      <c r="C656" s="1" t="n">
        <v>45912</v>
      </c>
      <c r="D656" t="inlineStr">
        <is>
          <t>ÖSTERGÖTLANDS LÄN</t>
        </is>
      </c>
      <c r="E656" t="inlineStr">
        <is>
          <t>LINKÖPING</t>
        </is>
      </c>
      <c r="F656" t="inlineStr">
        <is>
          <t>Övriga statliga verk och myndigheter</t>
        </is>
      </c>
      <c r="G656" t="n">
        <v>4.6</v>
      </c>
      <c r="H656" t="n">
        <v>0</v>
      </c>
      <c r="I656" t="n">
        <v>0</v>
      </c>
      <c r="J656" t="n">
        <v>0</v>
      </c>
      <c r="K656" t="n">
        <v>0</v>
      </c>
      <c r="L656" t="n">
        <v>0</v>
      </c>
      <c r="M656" t="n">
        <v>0</v>
      </c>
      <c r="N656" t="n">
        <v>0</v>
      </c>
      <c r="O656" t="n">
        <v>0</v>
      </c>
      <c r="P656" t="n">
        <v>0</v>
      </c>
      <c r="Q656" t="n">
        <v>0</v>
      </c>
      <c r="R656" s="2" t="inlineStr"/>
    </row>
    <row r="657" ht="15" customHeight="1">
      <c r="A657" t="inlineStr">
        <is>
          <t>A 10407-2025</t>
        </is>
      </c>
      <c r="B657" s="1" t="n">
        <v>45720.62863425926</v>
      </c>
      <c r="C657" s="1" t="n">
        <v>45912</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11590-2023</t>
        </is>
      </c>
      <c r="B658" s="1" t="n">
        <v>44994.36689814815</v>
      </c>
      <c r="C658" s="1" t="n">
        <v>45912</v>
      </c>
      <c r="D658" t="inlineStr">
        <is>
          <t>ÖSTERGÖTLANDS LÄN</t>
        </is>
      </c>
      <c r="E658" t="inlineStr">
        <is>
          <t>LINKÖPING</t>
        </is>
      </c>
      <c r="G658" t="n">
        <v>3.1</v>
      </c>
      <c r="H658" t="n">
        <v>0</v>
      </c>
      <c r="I658" t="n">
        <v>0</v>
      </c>
      <c r="J658" t="n">
        <v>0</v>
      </c>
      <c r="K658" t="n">
        <v>0</v>
      </c>
      <c r="L658" t="n">
        <v>0</v>
      </c>
      <c r="M658" t="n">
        <v>0</v>
      </c>
      <c r="N658" t="n">
        <v>0</v>
      </c>
      <c r="O658" t="n">
        <v>0</v>
      </c>
      <c r="P658" t="n">
        <v>0</v>
      </c>
      <c r="Q658" t="n">
        <v>0</v>
      </c>
      <c r="R658" s="2" t="inlineStr"/>
    </row>
    <row r="659" ht="15" customHeight="1">
      <c r="A659" t="inlineStr">
        <is>
          <t>A 20296-2025</t>
        </is>
      </c>
      <c r="B659" s="1" t="n">
        <v>45774.74922453704</v>
      </c>
      <c r="C659" s="1" t="n">
        <v>45912</v>
      </c>
      <c r="D659" t="inlineStr">
        <is>
          <t>ÖSTERGÖTLANDS LÄN</t>
        </is>
      </c>
      <c r="E659" t="inlineStr">
        <is>
          <t>LINKÖPING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19169-2023</t>
        </is>
      </c>
      <c r="B660" s="1" t="n">
        <v>45044</v>
      </c>
      <c r="C660" s="1" t="n">
        <v>45912</v>
      </c>
      <c r="D660" t="inlineStr">
        <is>
          <t>ÖSTERGÖTLANDS LÄN</t>
        </is>
      </c>
      <c r="E660" t="inlineStr">
        <is>
          <t>LINKÖPING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67129-2020</t>
        </is>
      </c>
      <c r="B661" s="1" t="n">
        <v>44180</v>
      </c>
      <c r="C661" s="1" t="n">
        <v>45912</v>
      </c>
      <c r="D661" t="inlineStr">
        <is>
          <t>ÖSTERGÖTLANDS LÄN</t>
        </is>
      </c>
      <c r="E661" t="inlineStr">
        <is>
          <t>LINKÖPING</t>
        </is>
      </c>
      <c r="F661" t="inlineStr">
        <is>
          <t>Övriga statliga verk och myndigheter</t>
        </is>
      </c>
      <c r="G661" t="n">
        <v>2.7</v>
      </c>
      <c r="H661" t="n">
        <v>0</v>
      </c>
      <c r="I661" t="n">
        <v>0</v>
      </c>
      <c r="J661" t="n">
        <v>0</v>
      </c>
      <c r="K661" t="n">
        <v>0</v>
      </c>
      <c r="L661" t="n">
        <v>0</v>
      </c>
      <c r="M661" t="n">
        <v>0</v>
      </c>
      <c r="N661" t="n">
        <v>0</v>
      </c>
      <c r="O661" t="n">
        <v>0</v>
      </c>
      <c r="P661" t="n">
        <v>0</v>
      </c>
      <c r="Q661" t="n">
        <v>0</v>
      </c>
      <c r="R661" s="2" t="inlineStr"/>
    </row>
    <row r="662" ht="15" customHeight="1">
      <c r="A662" t="inlineStr">
        <is>
          <t>A 22770-2024</t>
        </is>
      </c>
      <c r="B662" s="1" t="n">
        <v>45448.4634375</v>
      </c>
      <c r="C662" s="1" t="n">
        <v>45912</v>
      </c>
      <c r="D662" t="inlineStr">
        <is>
          <t>ÖSTERGÖTLANDS LÄN</t>
        </is>
      </c>
      <c r="E662" t="inlineStr">
        <is>
          <t>LINKÖPING</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672-2024</t>
        </is>
      </c>
      <c r="B663" s="1" t="n">
        <v>45300</v>
      </c>
      <c r="C663" s="1" t="n">
        <v>45912</v>
      </c>
      <c r="D663" t="inlineStr">
        <is>
          <t>ÖSTERGÖTLANDS LÄN</t>
        </is>
      </c>
      <c r="E663" t="inlineStr">
        <is>
          <t>LINKÖPING</t>
        </is>
      </c>
      <c r="F663" t="inlineStr">
        <is>
          <t>Sveaskog</t>
        </is>
      </c>
      <c r="G663" t="n">
        <v>4.5</v>
      </c>
      <c r="H663" t="n">
        <v>0</v>
      </c>
      <c r="I663" t="n">
        <v>0</v>
      </c>
      <c r="J663" t="n">
        <v>0</v>
      </c>
      <c r="K663" t="n">
        <v>0</v>
      </c>
      <c r="L663" t="n">
        <v>0</v>
      </c>
      <c r="M663" t="n">
        <v>0</v>
      </c>
      <c r="N663" t="n">
        <v>0</v>
      </c>
      <c r="O663" t="n">
        <v>0</v>
      </c>
      <c r="P663" t="n">
        <v>0</v>
      </c>
      <c r="Q663" t="n">
        <v>0</v>
      </c>
      <c r="R663" s="2" t="inlineStr"/>
    </row>
    <row r="664" ht="15" customHeight="1">
      <c r="A664" t="inlineStr">
        <is>
          <t>A 55493-2021</t>
        </is>
      </c>
      <c r="B664" s="1" t="n">
        <v>44475.61988425926</v>
      </c>
      <c r="C664" s="1" t="n">
        <v>45912</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11595-2025</t>
        </is>
      </c>
      <c r="B665" s="1" t="n">
        <v>45727.41893518518</v>
      </c>
      <c r="C665" s="1" t="n">
        <v>45912</v>
      </c>
      <c r="D665" t="inlineStr">
        <is>
          <t>ÖSTERGÖTLANDS LÄN</t>
        </is>
      </c>
      <c r="E665" t="inlineStr">
        <is>
          <t>LINKÖPING</t>
        </is>
      </c>
      <c r="G665" t="n">
        <v>6.6</v>
      </c>
      <c r="H665" t="n">
        <v>0</v>
      </c>
      <c r="I665" t="n">
        <v>0</v>
      </c>
      <c r="J665" t="n">
        <v>0</v>
      </c>
      <c r="K665" t="n">
        <v>0</v>
      </c>
      <c r="L665" t="n">
        <v>0</v>
      </c>
      <c r="M665" t="n">
        <v>0</v>
      </c>
      <c r="N665" t="n">
        <v>0</v>
      </c>
      <c r="O665" t="n">
        <v>0</v>
      </c>
      <c r="P665" t="n">
        <v>0</v>
      </c>
      <c r="Q665" t="n">
        <v>0</v>
      </c>
      <c r="R665" s="2" t="inlineStr"/>
    </row>
    <row r="666" ht="15" customHeight="1">
      <c r="A666" t="inlineStr">
        <is>
          <t>A 14093-2024</t>
        </is>
      </c>
      <c r="B666" s="1" t="n">
        <v>45392.60278935185</v>
      </c>
      <c r="C666" s="1" t="n">
        <v>45912</v>
      </c>
      <c r="D666" t="inlineStr">
        <is>
          <t>ÖSTERGÖTLANDS LÄN</t>
        </is>
      </c>
      <c r="E666" t="inlineStr">
        <is>
          <t>LINKÖPING</t>
        </is>
      </c>
      <c r="F666" t="inlineStr">
        <is>
          <t>Övriga Aktiebolag</t>
        </is>
      </c>
      <c r="G666" t="n">
        <v>0.6</v>
      </c>
      <c r="H666" t="n">
        <v>0</v>
      </c>
      <c r="I666" t="n">
        <v>0</v>
      </c>
      <c r="J666" t="n">
        <v>0</v>
      </c>
      <c r="K666" t="n">
        <v>0</v>
      </c>
      <c r="L666" t="n">
        <v>0</v>
      </c>
      <c r="M666" t="n">
        <v>0</v>
      </c>
      <c r="N666" t="n">
        <v>0</v>
      </c>
      <c r="O666" t="n">
        <v>0</v>
      </c>
      <c r="P666" t="n">
        <v>0</v>
      </c>
      <c r="Q666" t="n">
        <v>0</v>
      </c>
      <c r="R666" s="2" t="inlineStr"/>
    </row>
    <row r="667" ht="15" customHeight="1">
      <c r="A667" t="inlineStr">
        <is>
          <t>A 62019-2024</t>
        </is>
      </c>
      <c r="B667" s="1" t="n">
        <v>45655.82</v>
      </c>
      <c r="C667" s="1" t="n">
        <v>45912</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10253-2022</t>
        </is>
      </c>
      <c r="B668" s="1" t="n">
        <v>44622</v>
      </c>
      <c r="C668" s="1" t="n">
        <v>45912</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48839-2022</t>
        </is>
      </c>
      <c r="B669" s="1" t="n">
        <v>44859</v>
      </c>
      <c r="C669" s="1" t="n">
        <v>45912</v>
      </c>
      <c r="D669" t="inlineStr">
        <is>
          <t>ÖSTERGÖTLANDS LÄN</t>
        </is>
      </c>
      <c r="E669" t="inlineStr">
        <is>
          <t>LINKÖPING</t>
        </is>
      </c>
      <c r="F669" t="inlineStr">
        <is>
          <t>Övriga Aktiebolag</t>
        </is>
      </c>
      <c r="G669" t="n">
        <v>0.6</v>
      </c>
      <c r="H669" t="n">
        <v>0</v>
      </c>
      <c r="I669" t="n">
        <v>0</v>
      </c>
      <c r="J669" t="n">
        <v>0</v>
      </c>
      <c r="K669" t="n">
        <v>0</v>
      </c>
      <c r="L669" t="n">
        <v>0</v>
      </c>
      <c r="M669" t="n">
        <v>0</v>
      </c>
      <c r="N669" t="n">
        <v>0</v>
      </c>
      <c r="O669" t="n">
        <v>0</v>
      </c>
      <c r="P669" t="n">
        <v>0</v>
      </c>
      <c r="Q669" t="n">
        <v>0</v>
      </c>
      <c r="R669" s="2" t="inlineStr"/>
    </row>
    <row r="670" ht="15" customHeight="1">
      <c r="A670" t="inlineStr">
        <is>
          <t>A 25119-2023</t>
        </is>
      </c>
      <c r="B670" s="1" t="n">
        <v>45086.42326388889</v>
      </c>
      <c r="C670" s="1" t="n">
        <v>45912</v>
      </c>
      <c r="D670" t="inlineStr">
        <is>
          <t>ÖSTERGÖTLANDS LÄN</t>
        </is>
      </c>
      <c r="E670" t="inlineStr">
        <is>
          <t>LINKÖPING</t>
        </is>
      </c>
      <c r="G670" t="n">
        <v>3.2</v>
      </c>
      <c r="H670" t="n">
        <v>0</v>
      </c>
      <c r="I670" t="n">
        <v>0</v>
      </c>
      <c r="J670" t="n">
        <v>0</v>
      </c>
      <c r="K670" t="n">
        <v>0</v>
      </c>
      <c r="L670" t="n">
        <v>0</v>
      </c>
      <c r="M670" t="n">
        <v>0</v>
      </c>
      <c r="N670" t="n">
        <v>0</v>
      </c>
      <c r="O670" t="n">
        <v>0</v>
      </c>
      <c r="P670" t="n">
        <v>0</v>
      </c>
      <c r="Q670" t="n">
        <v>0</v>
      </c>
      <c r="R670" s="2" t="inlineStr"/>
    </row>
    <row r="671" ht="15" customHeight="1">
      <c r="A671" t="inlineStr">
        <is>
          <t>A 8967-2025</t>
        </is>
      </c>
      <c r="B671" s="1" t="n">
        <v>45712</v>
      </c>
      <c r="C671" s="1" t="n">
        <v>45912</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57396-2021</t>
        </is>
      </c>
      <c r="B672" s="1" t="n">
        <v>44483.56151620371</v>
      </c>
      <c r="C672" s="1" t="n">
        <v>45912</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51571-2024</t>
        </is>
      </c>
      <c r="B673" s="1" t="n">
        <v>45604</v>
      </c>
      <c r="C673" s="1" t="n">
        <v>45912</v>
      </c>
      <c r="D673" t="inlineStr">
        <is>
          <t>ÖSTERGÖTLANDS LÄN</t>
        </is>
      </c>
      <c r="E673" t="inlineStr">
        <is>
          <t>LINKÖPING</t>
        </is>
      </c>
      <c r="F673" t="inlineStr">
        <is>
          <t>Övriga Aktiebolag</t>
        </is>
      </c>
      <c r="G673" t="n">
        <v>1.4</v>
      </c>
      <c r="H673" t="n">
        <v>0</v>
      </c>
      <c r="I673" t="n">
        <v>0</v>
      </c>
      <c r="J673" t="n">
        <v>0</v>
      </c>
      <c r="K673" t="n">
        <v>0</v>
      </c>
      <c r="L673" t="n">
        <v>0</v>
      </c>
      <c r="M673" t="n">
        <v>0</v>
      </c>
      <c r="N673" t="n">
        <v>0</v>
      </c>
      <c r="O673" t="n">
        <v>0</v>
      </c>
      <c r="P673" t="n">
        <v>0</v>
      </c>
      <c r="Q673" t="n">
        <v>0</v>
      </c>
      <c r="R673" s="2" t="inlineStr"/>
    </row>
    <row r="674" ht="15" customHeight="1">
      <c r="A674" t="inlineStr">
        <is>
          <t>A 17143-2025</t>
        </is>
      </c>
      <c r="B674" s="1" t="n">
        <v>45755.92731481481</v>
      </c>
      <c r="C674" s="1" t="n">
        <v>45912</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17124-2025</t>
        </is>
      </c>
      <c r="B675" s="1" t="n">
        <v>45755.69678240741</v>
      </c>
      <c r="C675" s="1" t="n">
        <v>45912</v>
      </c>
      <c r="D675" t="inlineStr">
        <is>
          <t>ÖSTERGÖTLANDS LÄN</t>
        </is>
      </c>
      <c r="E675" t="inlineStr">
        <is>
          <t>LINKÖPING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17126-2025</t>
        </is>
      </c>
      <c r="B676" s="1" t="n">
        <v>45755.70814814815</v>
      </c>
      <c r="C676" s="1" t="n">
        <v>45912</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31640-2023</t>
        </is>
      </c>
      <c r="B677" s="1" t="n">
        <v>45117</v>
      </c>
      <c r="C677" s="1" t="n">
        <v>45912</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46980-2020</t>
        </is>
      </c>
      <c r="B678" s="1" t="n">
        <v>44090</v>
      </c>
      <c r="C678" s="1" t="n">
        <v>45912</v>
      </c>
      <c r="D678" t="inlineStr">
        <is>
          <t>ÖSTERGÖTLANDS LÄN</t>
        </is>
      </c>
      <c r="E678" t="inlineStr">
        <is>
          <t>LINKÖPING</t>
        </is>
      </c>
      <c r="G678" t="n">
        <v>0.6</v>
      </c>
      <c r="H678" t="n">
        <v>0</v>
      </c>
      <c r="I678" t="n">
        <v>0</v>
      </c>
      <c r="J678" t="n">
        <v>0</v>
      </c>
      <c r="K678" t="n">
        <v>0</v>
      </c>
      <c r="L678" t="n">
        <v>0</v>
      </c>
      <c r="M678" t="n">
        <v>0</v>
      </c>
      <c r="N678" t="n">
        <v>0</v>
      </c>
      <c r="O678" t="n">
        <v>0</v>
      </c>
      <c r="P678" t="n">
        <v>0</v>
      </c>
      <c r="Q678" t="n">
        <v>0</v>
      </c>
      <c r="R678" s="2" t="inlineStr"/>
    </row>
    <row r="679">
      <c r="A679" t="inlineStr">
        <is>
          <t>A 11790-2024</t>
        </is>
      </c>
      <c r="B679" s="1" t="n">
        <v>45374</v>
      </c>
      <c r="C679" s="1" t="n">
        <v>45912</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2025-09-12T08:54:15Z</dcterms:created>
  <dcterms:modified xmlns:dcterms="http://purl.org/dc/terms/" xmlns:xsi="http://www.w3.org/2001/XMLSchema-instance" xsi:type="dcterms:W3CDTF">2025-09-12T08:54:16Z</dcterms:modified>
</cp:coreProperties>
</file>