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45997</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45997</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17502-2022</t>
        </is>
      </c>
      <c r="B14" s="1" t="n">
        <v>44679</v>
      </c>
      <c r="C14" s="1" t="n">
        <v>45997</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45997</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45997</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55341-2024</t>
        </is>
      </c>
      <c r="B17" s="1" t="n">
        <v>45621.71255787037</v>
      </c>
      <c r="C17" s="1" t="n">
        <v>45997</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45997</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45997</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45997</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38137-2021</t>
        </is>
      </c>
      <c r="B21" s="1" t="n">
        <v>44405.38357638889</v>
      </c>
      <c r="C21" s="1" t="n">
        <v>45997</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45997</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45997</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45997</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41751-2023</t>
        </is>
      </c>
      <c r="B25" s="1" t="n">
        <v>45176</v>
      </c>
      <c r="C25" s="1" t="n">
        <v>45997</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8818-2025</t>
        </is>
      </c>
      <c r="B26" s="1" t="n">
        <v>45712</v>
      </c>
      <c r="C26" s="1" t="n">
        <v>45997</v>
      </c>
      <c r="D26" t="inlineStr">
        <is>
          <t>ÖSTERGÖTLANDS LÄN</t>
        </is>
      </c>
      <c r="E26" t="inlineStr">
        <is>
          <t>LINKÖPING</t>
        </is>
      </c>
      <c r="F26" t="inlineStr">
        <is>
          <t>Kommuner</t>
        </is>
      </c>
      <c r="G26" t="n">
        <v>0.6</v>
      </c>
      <c r="H26" t="n">
        <v>0</v>
      </c>
      <c r="I26" t="n">
        <v>0</v>
      </c>
      <c r="J26" t="n">
        <v>1</v>
      </c>
      <c r="K26" t="n">
        <v>1</v>
      </c>
      <c r="L26" t="n">
        <v>0</v>
      </c>
      <c r="M26" t="n">
        <v>0</v>
      </c>
      <c r="N26" t="n">
        <v>0</v>
      </c>
      <c r="O26" t="n">
        <v>2</v>
      </c>
      <c r="P26" t="n">
        <v>1</v>
      </c>
      <c r="Q26" t="n">
        <v>2</v>
      </c>
      <c r="R26" s="2" t="inlineStr">
        <is>
          <t>Luddvicker
Klubbsprötad bastardsvärmare</t>
        </is>
      </c>
      <c r="S26">
        <f>HYPERLINK("https://klasma.github.io/Logging_0580/artfynd/A 8818-2025 artfynd.xlsx", "A 8818-2025")</f>
        <v/>
      </c>
      <c r="T26">
        <f>HYPERLINK("https://klasma.github.io/Logging_0580/kartor/A 8818-2025 karta.png", "A 8818-2025")</f>
        <v/>
      </c>
      <c r="V26">
        <f>HYPERLINK("https://klasma.github.io/Logging_0580/klagomål/A 8818-2025 FSC-klagomål.docx", "A 8818-2025")</f>
        <v/>
      </c>
      <c r="W26">
        <f>HYPERLINK("https://klasma.github.io/Logging_0580/klagomålsmail/A 8818-2025 FSC-klagomål mail.docx", "A 8818-2025")</f>
        <v/>
      </c>
      <c r="X26">
        <f>HYPERLINK("https://klasma.github.io/Logging_0580/tillsyn/A 8818-2025 tillsynsbegäran.docx", "A 8818-2025")</f>
        <v/>
      </c>
      <c r="Y26">
        <f>HYPERLINK("https://klasma.github.io/Logging_0580/tillsynsmail/A 8818-2025 tillsynsbegäran mail.docx", "A 8818-2025")</f>
        <v/>
      </c>
    </row>
    <row r="27" ht="15" customHeight="1">
      <c r="A27" t="inlineStr">
        <is>
          <t>A 14879-2024</t>
        </is>
      </c>
      <c r="B27" s="1" t="n">
        <v>45398</v>
      </c>
      <c r="C27" s="1" t="n">
        <v>45997</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38913-2023</t>
        </is>
      </c>
      <c r="B28" s="1" t="n">
        <v>45163</v>
      </c>
      <c r="C28" s="1" t="n">
        <v>45997</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50404-2023</t>
        </is>
      </c>
      <c r="B29" s="1" t="n">
        <v>45216</v>
      </c>
      <c r="C29" s="1" t="n">
        <v>45997</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58068-2021</t>
        </is>
      </c>
      <c r="B30" s="1" t="n">
        <v>44487</v>
      </c>
      <c r="C30" s="1" t="n">
        <v>45997</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21326-2025</t>
        </is>
      </c>
      <c r="B31" s="1" t="n">
        <v>45782.35407407407</v>
      </c>
      <c r="C31" s="1" t="n">
        <v>45997</v>
      </c>
      <c r="D31" t="inlineStr">
        <is>
          <t>ÖSTERGÖTLANDS LÄN</t>
        </is>
      </c>
      <c r="E31" t="inlineStr">
        <is>
          <t>LINKÖPING</t>
        </is>
      </c>
      <c r="G31" t="n">
        <v>4.9</v>
      </c>
      <c r="H31" t="n">
        <v>2</v>
      </c>
      <c r="I31" t="n">
        <v>0</v>
      </c>
      <c r="J31" t="n">
        <v>0</v>
      </c>
      <c r="K31" t="n">
        <v>0</v>
      </c>
      <c r="L31" t="n">
        <v>0</v>
      </c>
      <c r="M31" t="n">
        <v>0</v>
      </c>
      <c r="N31" t="n">
        <v>0</v>
      </c>
      <c r="O31" t="n">
        <v>0</v>
      </c>
      <c r="P31" t="n">
        <v>0</v>
      </c>
      <c r="Q31" t="n">
        <v>2</v>
      </c>
      <c r="R31" s="2" t="inlineStr">
        <is>
          <t>Blåsippa
Revlummer</t>
        </is>
      </c>
      <c r="S31">
        <f>HYPERLINK("https://klasma.github.io/Logging_0580/artfynd/A 21326-2025 artfynd.xlsx", "A 21326-2025")</f>
        <v/>
      </c>
      <c r="T31">
        <f>HYPERLINK("https://klasma.github.io/Logging_0580/kartor/A 21326-2025 karta.png", "A 21326-2025")</f>
        <v/>
      </c>
      <c r="V31">
        <f>HYPERLINK("https://klasma.github.io/Logging_0580/klagomål/A 21326-2025 FSC-klagomål.docx", "A 21326-2025")</f>
        <v/>
      </c>
      <c r="W31">
        <f>HYPERLINK("https://klasma.github.io/Logging_0580/klagomålsmail/A 21326-2025 FSC-klagomål mail.docx", "A 21326-2025")</f>
        <v/>
      </c>
      <c r="X31">
        <f>HYPERLINK("https://klasma.github.io/Logging_0580/tillsyn/A 21326-2025 tillsynsbegäran.docx", "A 21326-2025")</f>
        <v/>
      </c>
      <c r="Y31">
        <f>HYPERLINK("https://klasma.github.io/Logging_0580/tillsynsmail/A 21326-2025 tillsynsbegäran mail.docx", "A 21326-2025")</f>
        <v/>
      </c>
    </row>
    <row r="32" ht="15" customHeight="1">
      <c r="A32" t="inlineStr">
        <is>
          <t>A 55344-2024</t>
        </is>
      </c>
      <c r="B32" s="1" t="n">
        <v>45621.7202662037</v>
      </c>
      <c r="C32" s="1" t="n">
        <v>45997</v>
      </c>
      <c r="D32" t="inlineStr">
        <is>
          <t>ÖSTERGÖTLANDS LÄN</t>
        </is>
      </c>
      <c r="E32" t="inlineStr">
        <is>
          <t>LINKÖPING</t>
        </is>
      </c>
      <c r="G32" t="n">
        <v>6.6</v>
      </c>
      <c r="H32" t="n">
        <v>0</v>
      </c>
      <c r="I32" t="n">
        <v>0</v>
      </c>
      <c r="J32" t="n">
        <v>2</v>
      </c>
      <c r="K32" t="n">
        <v>0</v>
      </c>
      <c r="L32" t="n">
        <v>0</v>
      </c>
      <c r="M32" t="n">
        <v>0</v>
      </c>
      <c r="N32" t="n">
        <v>0</v>
      </c>
      <c r="O32" t="n">
        <v>2</v>
      </c>
      <c r="P32" t="n">
        <v>0</v>
      </c>
      <c r="Q32" t="n">
        <v>2</v>
      </c>
      <c r="R32" s="2" t="inlineStr">
        <is>
          <t>Kandelabersvamp
Stjärnnästing</t>
        </is>
      </c>
      <c r="S32">
        <f>HYPERLINK("https://klasma.github.io/Logging_0580/artfynd/A 55344-2024 artfynd.xlsx", "A 55344-2024")</f>
        <v/>
      </c>
      <c r="T32">
        <f>HYPERLINK("https://klasma.github.io/Logging_0580/kartor/A 55344-2024 karta.png", "A 55344-2024")</f>
        <v/>
      </c>
      <c r="V32">
        <f>HYPERLINK("https://klasma.github.io/Logging_0580/klagomål/A 55344-2024 FSC-klagomål.docx", "A 55344-2024")</f>
        <v/>
      </c>
      <c r="W32">
        <f>HYPERLINK("https://klasma.github.io/Logging_0580/klagomålsmail/A 55344-2024 FSC-klagomål mail.docx", "A 55344-2024")</f>
        <v/>
      </c>
      <c r="X32">
        <f>HYPERLINK("https://klasma.github.io/Logging_0580/tillsyn/A 55344-2024 tillsynsbegäran.docx", "A 55344-2024")</f>
        <v/>
      </c>
      <c r="Y32">
        <f>HYPERLINK("https://klasma.github.io/Logging_0580/tillsynsmail/A 55344-2024 tillsynsbegäran mail.docx", "A 55344-2024")</f>
        <v/>
      </c>
    </row>
    <row r="33" ht="15" customHeight="1">
      <c r="A33" t="inlineStr">
        <is>
          <t>A 20292-2025</t>
        </is>
      </c>
      <c r="B33" s="1" t="n">
        <v>45774.7449537037</v>
      </c>
      <c r="C33" s="1" t="n">
        <v>45997</v>
      </c>
      <c r="D33" t="inlineStr">
        <is>
          <t>ÖSTERGÖTLANDS LÄN</t>
        </is>
      </c>
      <c r="E33" t="inlineStr">
        <is>
          <t>LINKÖPING</t>
        </is>
      </c>
      <c r="G33" t="n">
        <v>8.4</v>
      </c>
      <c r="H33" t="n">
        <v>1</v>
      </c>
      <c r="I33" t="n">
        <v>1</v>
      </c>
      <c r="J33" t="n">
        <v>0</v>
      </c>
      <c r="K33" t="n">
        <v>0</v>
      </c>
      <c r="L33" t="n">
        <v>0</v>
      </c>
      <c r="M33" t="n">
        <v>0</v>
      </c>
      <c r="N33" t="n">
        <v>0</v>
      </c>
      <c r="O33" t="n">
        <v>0</v>
      </c>
      <c r="P33" t="n">
        <v>0</v>
      </c>
      <c r="Q33" t="n">
        <v>2</v>
      </c>
      <c r="R33" s="2" t="inlineStr">
        <is>
          <t>Blåmossa
Blåsippa</t>
        </is>
      </c>
      <c r="S33">
        <f>HYPERLINK("https://klasma.github.io/Logging_0580/artfynd/A 20292-2025 artfynd.xlsx", "A 20292-2025")</f>
        <v/>
      </c>
      <c r="T33">
        <f>HYPERLINK("https://klasma.github.io/Logging_0580/kartor/A 20292-2025 karta.png", "A 20292-2025")</f>
        <v/>
      </c>
      <c r="V33">
        <f>HYPERLINK("https://klasma.github.io/Logging_0580/klagomål/A 20292-2025 FSC-klagomål.docx", "A 20292-2025")</f>
        <v/>
      </c>
      <c r="W33">
        <f>HYPERLINK("https://klasma.github.io/Logging_0580/klagomålsmail/A 20292-2025 FSC-klagomål mail.docx", "A 20292-2025")</f>
        <v/>
      </c>
      <c r="X33">
        <f>HYPERLINK("https://klasma.github.io/Logging_0580/tillsyn/A 20292-2025 tillsynsbegäran.docx", "A 20292-2025")</f>
        <v/>
      </c>
      <c r="Y33">
        <f>HYPERLINK("https://klasma.github.io/Logging_0580/tillsynsmail/A 20292-2025 tillsynsbegäran mail.docx", "A 20292-2025")</f>
        <v/>
      </c>
    </row>
    <row r="34" ht="15" customHeight="1">
      <c r="A34" t="inlineStr">
        <is>
          <t>A 22040-2023</t>
        </is>
      </c>
      <c r="B34" s="1" t="n">
        <v>45068</v>
      </c>
      <c r="C34" s="1" t="n">
        <v>45997</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42858-2023</t>
        </is>
      </c>
      <c r="B35" s="1" t="n">
        <v>45177</v>
      </c>
      <c r="C35" s="1" t="n">
        <v>45997</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45997</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25985-2025</t>
        </is>
      </c>
      <c r="B37" s="1" t="n">
        <v>45804.64479166667</v>
      </c>
      <c r="C37" s="1" t="n">
        <v>45997</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58068-2021</t>
        </is>
      </c>
      <c r="B38" s="1" t="n">
        <v>44487</v>
      </c>
      <c r="C38" s="1" t="n">
        <v>45997</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50048-2025</t>
        </is>
      </c>
      <c r="B39" s="1" t="n">
        <v>45941</v>
      </c>
      <c r="C39" s="1" t="n">
        <v>45997</v>
      </c>
      <c r="D39" t="inlineStr">
        <is>
          <t>ÖSTERGÖTLANDS LÄN</t>
        </is>
      </c>
      <c r="E39" t="inlineStr">
        <is>
          <t>LINKÖPING</t>
        </is>
      </c>
      <c r="G39" t="n">
        <v>2.4</v>
      </c>
      <c r="H39" t="n">
        <v>2</v>
      </c>
      <c r="I39" t="n">
        <v>0</v>
      </c>
      <c r="J39" t="n">
        <v>1</v>
      </c>
      <c r="K39" t="n">
        <v>0</v>
      </c>
      <c r="L39" t="n">
        <v>0</v>
      </c>
      <c r="M39" t="n">
        <v>0</v>
      </c>
      <c r="N39" t="n">
        <v>0</v>
      </c>
      <c r="O39" t="n">
        <v>1</v>
      </c>
      <c r="P39" t="n">
        <v>0</v>
      </c>
      <c r="Q39" t="n">
        <v>2</v>
      </c>
      <c r="R39" s="2" t="inlineStr">
        <is>
          <t>Gulsparv
Trädlärka</t>
        </is>
      </c>
      <c r="S39">
        <f>HYPERLINK("https://klasma.github.io/Logging_0580/artfynd/A 50048-2025 artfynd.xlsx", "A 50048-2025")</f>
        <v/>
      </c>
      <c r="T39">
        <f>HYPERLINK("https://klasma.github.io/Logging_0580/kartor/A 50048-2025 karta.png", "A 50048-2025")</f>
        <v/>
      </c>
      <c r="V39">
        <f>HYPERLINK("https://klasma.github.io/Logging_0580/klagomål/A 50048-2025 FSC-klagomål.docx", "A 50048-2025")</f>
        <v/>
      </c>
      <c r="W39">
        <f>HYPERLINK("https://klasma.github.io/Logging_0580/klagomålsmail/A 50048-2025 FSC-klagomål mail.docx", "A 50048-2025")</f>
        <v/>
      </c>
      <c r="X39">
        <f>HYPERLINK("https://klasma.github.io/Logging_0580/tillsyn/A 50048-2025 tillsynsbegäran.docx", "A 50048-2025")</f>
        <v/>
      </c>
      <c r="Y39">
        <f>HYPERLINK("https://klasma.github.io/Logging_0580/tillsynsmail/A 50048-2025 tillsynsbegäran mail.docx", "A 50048-2025")</f>
        <v/>
      </c>
      <c r="Z39">
        <f>HYPERLINK("https://klasma.github.io/Logging_0580/fåglar/A 50048-2025 prioriterade fågelarter.docx", "A 50048-2025")</f>
        <v/>
      </c>
    </row>
    <row r="40" ht="15" customHeight="1">
      <c r="A40" t="inlineStr">
        <is>
          <t>A 27795-2025</t>
        </is>
      </c>
      <c r="B40" s="1" t="n">
        <v>45816.7908912037</v>
      </c>
      <c r="C40" s="1" t="n">
        <v>45997</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27981-2022</t>
        </is>
      </c>
      <c r="B41" s="1" t="n">
        <v>44745</v>
      </c>
      <c r="C41" s="1" t="n">
        <v>45997</v>
      </c>
      <c r="D41" t="inlineStr">
        <is>
          <t>ÖSTERGÖTLANDS LÄN</t>
        </is>
      </c>
      <c r="E41" t="inlineStr">
        <is>
          <t>LINKÖPING</t>
        </is>
      </c>
      <c r="G41" t="n">
        <v>8.4</v>
      </c>
      <c r="H41" t="n">
        <v>0</v>
      </c>
      <c r="I41" t="n">
        <v>0</v>
      </c>
      <c r="J41" t="n">
        <v>2</v>
      </c>
      <c r="K41" t="n">
        <v>0</v>
      </c>
      <c r="L41" t="n">
        <v>0</v>
      </c>
      <c r="M41" t="n">
        <v>0</v>
      </c>
      <c r="N41" t="n">
        <v>0</v>
      </c>
      <c r="O41" t="n">
        <v>2</v>
      </c>
      <c r="P41" t="n">
        <v>0</v>
      </c>
      <c r="Q41" t="n">
        <v>2</v>
      </c>
      <c r="R41" s="2" t="inlineStr">
        <is>
          <t>Solvända
Svinrot</t>
        </is>
      </c>
      <c r="S41">
        <f>HYPERLINK("https://klasma.github.io/Logging_0580/artfynd/A 27981-2022 artfynd.xlsx", "A 27981-2022")</f>
        <v/>
      </c>
      <c r="T41">
        <f>HYPERLINK("https://klasma.github.io/Logging_0580/kartor/A 27981-2022 karta.png", "A 27981-2022")</f>
        <v/>
      </c>
      <c r="V41">
        <f>HYPERLINK("https://klasma.github.io/Logging_0580/klagomål/A 27981-2022 FSC-klagomål.docx", "A 27981-2022")</f>
        <v/>
      </c>
      <c r="W41">
        <f>HYPERLINK("https://klasma.github.io/Logging_0580/klagomålsmail/A 27981-2022 FSC-klagomål mail.docx", "A 27981-2022")</f>
        <v/>
      </c>
      <c r="X41">
        <f>HYPERLINK("https://klasma.github.io/Logging_0580/tillsyn/A 27981-2022 tillsynsbegäran.docx", "A 27981-2022")</f>
        <v/>
      </c>
      <c r="Y41">
        <f>HYPERLINK("https://klasma.github.io/Logging_0580/tillsynsmail/A 27981-2022 tillsynsbegäran mail.docx", "A 27981-2022")</f>
        <v/>
      </c>
    </row>
    <row r="42" ht="15" customHeight="1">
      <c r="A42" t="inlineStr">
        <is>
          <t>A 38129-2021</t>
        </is>
      </c>
      <c r="B42" s="1" t="n">
        <v>44405.37199074074</v>
      </c>
      <c r="C42" s="1" t="n">
        <v>45997</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45997</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45997</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45997</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71127-2021</t>
        </is>
      </c>
      <c r="B46" s="1" t="n">
        <v>44537</v>
      </c>
      <c r="C46" s="1" t="n">
        <v>45997</v>
      </c>
      <c r="D46" t="inlineStr">
        <is>
          <t>ÖSTERGÖTLANDS LÄN</t>
        </is>
      </c>
      <c r="E46" t="inlineStr">
        <is>
          <t>LINKÖPING</t>
        </is>
      </c>
      <c r="F46" t="inlineStr">
        <is>
          <t>Kommuner</t>
        </is>
      </c>
      <c r="G46" t="n">
        <v>7.2</v>
      </c>
      <c r="H46" t="n">
        <v>0</v>
      </c>
      <c r="I46" t="n">
        <v>0</v>
      </c>
      <c r="J46" t="n">
        <v>1</v>
      </c>
      <c r="K46" t="n">
        <v>0</v>
      </c>
      <c r="L46" t="n">
        <v>0</v>
      </c>
      <c r="M46" t="n">
        <v>0</v>
      </c>
      <c r="N46" t="n">
        <v>0</v>
      </c>
      <c r="O46" t="n">
        <v>1</v>
      </c>
      <c r="P46" t="n">
        <v>0</v>
      </c>
      <c r="Q46" t="n">
        <v>1</v>
      </c>
      <c r="R46" s="2" t="inlineStr">
        <is>
          <t>Svinrot</t>
        </is>
      </c>
      <c r="S46">
        <f>HYPERLINK("https://klasma.github.io/Logging_0580/artfynd/A 71127-2021 artfynd.xlsx", "A 71127-2021")</f>
        <v/>
      </c>
      <c r="T46">
        <f>HYPERLINK("https://klasma.github.io/Logging_0580/kartor/A 71127-2021 karta.png", "A 71127-2021")</f>
        <v/>
      </c>
      <c r="V46">
        <f>HYPERLINK("https://klasma.github.io/Logging_0580/klagomål/A 71127-2021 FSC-klagomål.docx", "A 71127-2021")</f>
        <v/>
      </c>
      <c r="W46">
        <f>HYPERLINK("https://klasma.github.io/Logging_0580/klagomålsmail/A 71127-2021 FSC-klagomål mail.docx", "A 71127-2021")</f>
        <v/>
      </c>
      <c r="X46">
        <f>HYPERLINK("https://klasma.github.io/Logging_0580/tillsyn/A 71127-2021 tillsynsbegäran.docx", "A 71127-2021")</f>
        <v/>
      </c>
      <c r="Y46">
        <f>HYPERLINK("https://klasma.github.io/Logging_0580/tillsynsmail/A 71127-2021 tillsynsbegäran mail.docx", "A 71127-2021")</f>
        <v/>
      </c>
    </row>
    <row r="47" ht="15" customHeight="1">
      <c r="A47" t="inlineStr">
        <is>
          <t>A 46496-2022</t>
        </is>
      </c>
      <c r="B47" s="1" t="n">
        <v>44848</v>
      </c>
      <c r="C47" s="1" t="n">
        <v>45997</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5911-2022</t>
        </is>
      </c>
      <c r="B48" s="1" t="n">
        <v>44597</v>
      </c>
      <c r="C48" s="1" t="n">
        <v>45997</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17389-2021</t>
        </is>
      </c>
      <c r="B49" s="1" t="n">
        <v>44298.96792824074</v>
      </c>
      <c r="C49" s="1" t="n">
        <v>45997</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45997</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56128-2022</t>
        </is>
      </c>
      <c r="B51" s="1" t="n">
        <v>44889</v>
      </c>
      <c r="C51" s="1" t="n">
        <v>45997</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56250-2021</t>
        </is>
      </c>
      <c r="B52" s="1" t="n">
        <v>44479</v>
      </c>
      <c r="C52" s="1" t="n">
        <v>45997</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62071-2023</t>
        </is>
      </c>
      <c r="B53" s="1" t="n">
        <v>45266.73542824074</v>
      </c>
      <c r="C53" s="1" t="n">
        <v>45997</v>
      </c>
      <c r="D53" t="inlineStr">
        <is>
          <t>ÖSTERGÖTLANDS LÄN</t>
        </is>
      </c>
      <c r="E53" t="inlineStr">
        <is>
          <t>LINKÖPING</t>
        </is>
      </c>
      <c r="G53" t="n">
        <v>6.5</v>
      </c>
      <c r="H53" t="n">
        <v>0</v>
      </c>
      <c r="I53" t="n">
        <v>0</v>
      </c>
      <c r="J53" t="n">
        <v>1</v>
      </c>
      <c r="K53" t="n">
        <v>0</v>
      </c>
      <c r="L53" t="n">
        <v>0</v>
      </c>
      <c r="M53" t="n">
        <v>0</v>
      </c>
      <c r="N53" t="n">
        <v>0</v>
      </c>
      <c r="O53" t="n">
        <v>1</v>
      </c>
      <c r="P53" t="n">
        <v>0</v>
      </c>
      <c r="Q53" t="n">
        <v>1</v>
      </c>
      <c r="R53" s="2" t="inlineStr">
        <is>
          <t>Svinrot</t>
        </is>
      </c>
      <c r="S53">
        <f>HYPERLINK("https://klasma.github.io/Logging_0580/artfynd/A 62071-2023 artfynd.xlsx", "A 62071-2023")</f>
        <v/>
      </c>
      <c r="T53">
        <f>HYPERLINK("https://klasma.github.io/Logging_0580/kartor/A 62071-2023 karta.png", "A 62071-2023")</f>
        <v/>
      </c>
      <c r="V53">
        <f>HYPERLINK("https://klasma.github.io/Logging_0580/klagomål/A 62071-2023 FSC-klagomål.docx", "A 62071-2023")</f>
        <v/>
      </c>
      <c r="W53">
        <f>HYPERLINK("https://klasma.github.io/Logging_0580/klagomålsmail/A 62071-2023 FSC-klagomål mail.docx", "A 62071-2023")</f>
        <v/>
      </c>
      <c r="X53">
        <f>HYPERLINK("https://klasma.github.io/Logging_0580/tillsyn/A 62071-2023 tillsynsbegäran.docx", "A 62071-2023")</f>
        <v/>
      </c>
      <c r="Y53">
        <f>HYPERLINK("https://klasma.github.io/Logging_0580/tillsynsmail/A 62071-2023 tillsynsbegäran mail.docx", "A 62071-2023")</f>
        <v/>
      </c>
    </row>
    <row r="54" ht="15" customHeight="1">
      <c r="A54" t="inlineStr">
        <is>
          <t>A 90-2024</t>
        </is>
      </c>
      <c r="B54" s="1" t="n">
        <v>45293</v>
      </c>
      <c r="C54" s="1" t="n">
        <v>45997</v>
      </c>
      <c r="D54" t="inlineStr">
        <is>
          <t>ÖSTERGÖTLANDS LÄN</t>
        </is>
      </c>
      <c r="E54" t="inlineStr">
        <is>
          <t>LINKÖPING</t>
        </is>
      </c>
      <c r="G54" t="n">
        <v>1.8</v>
      </c>
      <c r="H54" t="n">
        <v>0</v>
      </c>
      <c r="I54" t="n">
        <v>1</v>
      </c>
      <c r="J54" t="n">
        <v>0</v>
      </c>
      <c r="K54" t="n">
        <v>0</v>
      </c>
      <c r="L54" t="n">
        <v>0</v>
      </c>
      <c r="M54" t="n">
        <v>0</v>
      </c>
      <c r="N54" t="n">
        <v>0</v>
      </c>
      <c r="O54" t="n">
        <v>0</v>
      </c>
      <c r="P54" t="n">
        <v>0</v>
      </c>
      <c r="Q54" t="n">
        <v>1</v>
      </c>
      <c r="R54" s="2" t="inlineStr">
        <is>
          <t>Grov fjädermossa</t>
        </is>
      </c>
      <c r="S54">
        <f>HYPERLINK("https://klasma.github.io/Logging_0580/artfynd/A 90-2024 artfynd.xlsx", "A 90-2024")</f>
        <v/>
      </c>
      <c r="T54">
        <f>HYPERLINK("https://klasma.github.io/Logging_0580/kartor/A 90-2024 karta.png", "A 90-2024")</f>
        <v/>
      </c>
      <c r="V54">
        <f>HYPERLINK("https://klasma.github.io/Logging_0580/klagomål/A 90-2024 FSC-klagomål.docx", "A 90-2024")</f>
        <v/>
      </c>
      <c r="W54">
        <f>HYPERLINK("https://klasma.github.io/Logging_0580/klagomålsmail/A 90-2024 FSC-klagomål mail.docx", "A 90-2024")</f>
        <v/>
      </c>
      <c r="X54">
        <f>HYPERLINK("https://klasma.github.io/Logging_0580/tillsyn/A 90-2024 tillsynsbegäran.docx", "A 90-2024")</f>
        <v/>
      </c>
      <c r="Y54">
        <f>HYPERLINK("https://klasma.github.io/Logging_0580/tillsynsmail/A 90-2024 tillsynsbegäran mail.docx", "A 90-2024")</f>
        <v/>
      </c>
    </row>
    <row r="55" ht="15" customHeight="1">
      <c r="A55" t="inlineStr">
        <is>
          <t>A 17444-2025</t>
        </is>
      </c>
      <c r="B55" s="1" t="n">
        <v>45757.43452546297</v>
      </c>
      <c r="C55" s="1" t="n">
        <v>45997</v>
      </c>
      <c r="D55" t="inlineStr">
        <is>
          <t>ÖSTERGÖTLANDS LÄN</t>
        </is>
      </c>
      <c r="E55" t="inlineStr">
        <is>
          <t>LINKÖPING</t>
        </is>
      </c>
      <c r="G55" t="n">
        <v>1.3</v>
      </c>
      <c r="H55" t="n">
        <v>1</v>
      </c>
      <c r="I55" t="n">
        <v>0</v>
      </c>
      <c r="J55" t="n">
        <v>1</v>
      </c>
      <c r="K55" t="n">
        <v>0</v>
      </c>
      <c r="L55" t="n">
        <v>0</v>
      </c>
      <c r="M55" t="n">
        <v>0</v>
      </c>
      <c r="N55" t="n">
        <v>0</v>
      </c>
      <c r="O55" t="n">
        <v>1</v>
      </c>
      <c r="P55" t="n">
        <v>0</v>
      </c>
      <c r="Q55" t="n">
        <v>1</v>
      </c>
      <c r="R55" s="2" t="inlineStr">
        <is>
          <t>Dårgräsfjäril</t>
        </is>
      </c>
      <c r="S55">
        <f>HYPERLINK("https://klasma.github.io/Logging_0580/artfynd/A 17444-2025 artfynd.xlsx", "A 17444-2025")</f>
        <v/>
      </c>
      <c r="T55">
        <f>HYPERLINK("https://klasma.github.io/Logging_0580/kartor/A 17444-2025 karta.png", "A 17444-2025")</f>
        <v/>
      </c>
      <c r="V55">
        <f>HYPERLINK("https://klasma.github.io/Logging_0580/klagomål/A 17444-2025 FSC-klagomål.docx", "A 17444-2025")</f>
        <v/>
      </c>
      <c r="W55">
        <f>HYPERLINK("https://klasma.github.io/Logging_0580/klagomålsmail/A 17444-2025 FSC-klagomål mail.docx", "A 17444-2025")</f>
        <v/>
      </c>
      <c r="X55">
        <f>HYPERLINK("https://klasma.github.io/Logging_0580/tillsyn/A 17444-2025 tillsynsbegäran.docx", "A 17444-2025")</f>
        <v/>
      </c>
      <c r="Y55">
        <f>HYPERLINK("https://klasma.github.io/Logging_0580/tillsynsmail/A 17444-2025 tillsynsbegäran mail.docx", "A 17444-2025")</f>
        <v/>
      </c>
    </row>
    <row r="56" ht="15" customHeight="1">
      <c r="A56" t="inlineStr">
        <is>
          <t>A 54835-2023</t>
        </is>
      </c>
      <c r="B56" s="1" t="n">
        <v>45236</v>
      </c>
      <c r="C56" s="1" t="n">
        <v>45997</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34881-2023</t>
        </is>
      </c>
      <c r="B57" s="1" t="n">
        <v>45140</v>
      </c>
      <c r="C57" s="1" t="n">
        <v>45997</v>
      </c>
      <c r="D57" t="inlineStr">
        <is>
          <t>ÖSTERGÖTLANDS LÄN</t>
        </is>
      </c>
      <c r="E57" t="inlineStr">
        <is>
          <t>LINKÖPING</t>
        </is>
      </c>
      <c r="G57" t="n">
        <v>1.9</v>
      </c>
      <c r="H57" t="n">
        <v>0</v>
      </c>
      <c r="I57" t="n">
        <v>0</v>
      </c>
      <c r="J57" t="n">
        <v>1</v>
      </c>
      <c r="K57" t="n">
        <v>0</v>
      </c>
      <c r="L57" t="n">
        <v>0</v>
      </c>
      <c r="M57" t="n">
        <v>0</v>
      </c>
      <c r="N57" t="n">
        <v>0</v>
      </c>
      <c r="O57" t="n">
        <v>1</v>
      </c>
      <c r="P57" t="n">
        <v>0</v>
      </c>
      <c r="Q57" t="n">
        <v>1</v>
      </c>
      <c r="R57" s="2" t="inlineStr">
        <is>
          <t>Tallticka</t>
        </is>
      </c>
      <c r="S57">
        <f>HYPERLINK("https://klasma.github.io/Logging_0580/artfynd/A 34881-2023 artfynd.xlsx", "A 34881-2023")</f>
        <v/>
      </c>
      <c r="T57">
        <f>HYPERLINK("https://klasma.github.io/Logging_0580/kartor/A 34881-2023 karta.png", "A 34881-2023")</f>
        <v/>
      </c>
      <c r="U57">
        <f>HYPERLINK("https://klasma.github.io/Logging_0580/knärot/A 34881-2023 karta knärot.png", "A 34881-2023")</f>
        <v/>
      </c>
      <c r="V57">
        <f>HYPERLINK("https://klasma.github.io/Logging_0580/klagomål/A 34881-2023 FSC-klagomål.docx", "A 34881-2023")</f>
        <v/>
      </c>
      <c r="W57">
        <f>HYPERLINK("https://klasma.github.io/Logging_0580/klagomålsmail/A 34881-2023 FSC-klagomål mail.docx", "A 34881-2023")</f>
        <v/>
      </c>
      <c r="X57">
        <f>HYPERLINK("https://klasma.github.io/Logging_0580/tillsyn/A 34881-2023 tillsynsbegäran.docx", "A 34881-2023")</f>
        <v/>
      </c>
      <c r="Y57">
        <f>HYPERLINK("https://klasma.github.io/Logging_0580/tillsynsmail/A 34881-2023 tillsynsbegäran mail.docx", "A 34881-2023")</f>
        <v/>
      </c>
    </row>
    <row r="58" ht="15" customHeight="1">
      <c r="A58" t="inlineStr">
        <is>
          <t>A 40309-2024</t>
        </is>
      </c>
      <c r="B58" s="1" t="n">
        <v>45554.724375</v>
      </c>
      <c r="C58" s="1" t="n">
        <v>45997</v>
      </c>
      <c r="D58" t="inlineStr">
        <is>
          <t>ÖSTERGÖTLANDS LÄN</t>
        </is>
      </c>
      <c r="E58" t="inlineStr">
        <is>
          <t>LINKÖPING</t>
        </is>
      </c>
      <c r="F58" t="inlineStr">
        <is>
          <t>Allmännings- och besparingsskogar</t>
        </is>
      </c>
      <c r="G58" t="n">
        <v>6</v>
      </c>
      <c r="H58" t="n">
        <v>0</v>
      </c>
      <c r="I58" t="n">
        <v>0</v>
      </c>
      <c r="J58" t="n">
        <v>1</v>
      </c>
      <c r="K58" t="n">
        <v>0</v>
      </c>
      <c r="L58" t="n">
        <v>0</v>
      </c>
      <c r="M58" t="n">
        <v>0</v>
      </c>
      <c r="N58" t="n">
        <v>0</v>
      </c>
      <c r="O58" t="n">
        <v>1</v>
      </c>
      <c r="P58" t="n">
        <v>0</v>
      </c>
      <c r="Q58" t="n">
        <v>1</v>
      </c>
      <c r="R58" s="2" t="inlineStr">
        <is>
          <t>Garnlav</t>
        </is>
      </c>
      <c r="S58">
        <f>HYPERLINK("https://klasma.github.io/Logging_0580/artfynd/A 40309-2024 artfynd.xlsx", "A 40309-2024")</f>
        <v/>
      </c>
      <c r="T58">
        <f>HYPERLINK("https://klasma.github.io/Logging_0580/kartor/A 40309-2024 karta.png", "A 40309-2024")</f>
        <v/>
      </c>
      <c r="V58">
        <f>HYPERLINK("https://klasma.github.io/Logging_0580/klagomål/A 40309-2024 FSC-klagomål.docx", "A 40309-2024")</f>
        <v/>
      </c>
      <c r="W58">
        <f>HYPERLINK("https://klasma.github.io/Logging_0580/klagomålsmail/A 40309-2024 FSC-klagomål mail.docx", "A 40309-2024")</f>
        <v/>
      </c>
      <c r="X58">
        <f>HYPERLINK("https://klasma.github.io/Logging_0580/tillsyn/A 40309-2024 tillsynsbegäran.docx", "A 40309-2024")</f>
        <v/>
      </c>
      <c r="Y58">
        <f>HYPERLINK("https://klasma.github.io/Logging_0580/tillsynsmail/A 40309-2024 tillsynsbegäran mail.docx", "A 40309-2024")</f>
        <v/>
      </c>
    </row>
    <row r="59" ht="15" customHeight="1">
      <c r="A59" t="inlineStr">
        <is>
          <t>A 19103-2021</t>
        </is>
      </c>
      <c r="B59" s="1" t="n">
        <v>44308</v>
      </c>
      <c r="C59" s="1" t="n">
        <v>45997</v>
      </c>
      <c r="D59" t="inlineStr">
        <is>
          <t>ÖSTERGÖTLANDS LÄN</t>
        </is>
      </c>
      <c r="E59" t="inlineStr">
        <is>
          <t>LINKÖPING</t>
        </is>
      </c>
      <c r="G59" t="n">
        <v>4.7</v>
      </c>
      <c r="H59" t="n">
        <v>0</v>
      </c>
      <c r="I59" t="n">
        <v>0</v>
      </c>
      <c r="J59" t="n">
        <v>1</v>
      </c>
      <c r="K59" t="n">
        <v>0</v>
      </c>
      <c r="L59" t="n">
        <v>0</v>
      </c>
      <c r="M59" t="n">
        <v>0</v>
      </c>
      <c r="N59" t="n">
        <v>0</v>
      </c>
      <c r="O59" t="n">
        <v>1</v>
      </c>
      <c r="P59" t="n">
        <v>0</v>
      </c>
      <c r="Q59" t="n">
        <v>1</v>
      </c>
      <c r="R59" s="2" t="inlineStr">
        <is>
          <t>Tallticka</t>
        </is>
      </c>
      <c r="S59">
        <f>HYPERLINK("https://klasma.github.io/Logging_0580/artfynd/A 19103-2021 artfynd.xlsx", "A 19103-2021")</f>
        <v/>
      </c>
      <c r="T59">
        <f>HYPERLINK("https://klasma.github.io/Logging_0580/kartor/A 19103-2021 karta.png", "A 19103-2021")</f>
        <v/>
      </c>
      <c r="V59">
        <f>HYPERLINK("https://klasma.github.io/Logging_0580/klagomål/A 19103-2021 FSC-klagomål.docx", "A 19103-2021")</f>
        <v/>
      </c>
      <c r="W59">
        <f>HYPERLINK("https://klasma.github.io/Logging_0580/klagomålsmail/A 19103-2021 FSC-klagomål mail.docx", "A 19103-2021")</f>
        <v/>
      </c>
      <c r="X59">
        <f>HYPERLINK("https://klasma.github.io/Logging_0580/tillsyn/A 19103-2021 tillsynsbegäran.docx", "A 19103-2021")</f>
        <v/>
      </c>
      <c r="Y59">
        <f>HYPERLINK("https://klasma.github.io/Logging_0580/tillsynsmail/A 19103-2021 tillsynsbegäran mail.docx", "A 19103-2021")</f>
        <v/>
      </c>
    </row>
    <row r="60" ht="15" customHeight="1">
      <c r="A60" t="inlineStr">
        <is>
          <t>A 45317-2023</t>
        </is>
      </c>
      <c r="B60" s="1" t="n">
        <v>45191.74868055555</v>
      </c>
      <c r="C60" s="1" t="n">
        <v>45997</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20295-2025</t>
        </is>
      </c>
      <c r="B61" s="1" t="n">
        <v>45774.74846064814</v>
      </c>
      <c r="C61" s="1" t="n">
        <v>45997</v>
      </c>
      <c r="D61" t="inlineStr">
        <is>
          <t>ÖSTERGÖTLANDS LÄN</t>
        </is>
      </c>
      <c r="E61" t="inlineStr">
        <is>
          <t>LINKÖPING</t>
        </is>
      </c>
      <c r="G61" t="n">
        <v>3</v>
      </c>
      <c r="H61" t="n">
        <v>0</v>
      </c>
      <c r="I61" t="n">
        <v>0</v>
      </c>
      <c r="J61" t="n">
        <v>1</v>
      </c>
      <c r="K61" t="n">
        <v>0</v>
      </c>
      <c r="L61" t="n">
        <v>0</v>
      </c>
      <c r="M61" t="n">
        <v>0</v>
      </c>
      <c r="N61" t="n">
        <v>0</v>
      </c>
      <c r="O61" t="n">
        <v>1</v>
      </c>
      <c r="P61" t="n">
        <v>0</v>
      </c>
      <c r="Q61" t="n">
        <v>1</v>
      </c>
      <c r="R61" s="2" t="inlineStr">
        <is>
          <t>Tallticka</t>
        </is>
      </c>
      <c r="S61">
        <f>HYPERLINK("https://klasma.github.io/Logging_0580/artfynd/A 20295-2025 artfynd.xlsx", "A 20295-2025")</f>
        <v/>
      </c>
      <c r="T61">
        <f>HYPERLINK("https://klasma.github.io/Logging_0580/kartor/A 20295-2025 karta.png", "A 20295-2025")</f>
        <v/>
      </c>
      <c r="V61">
        <f>HYPERLINK("https://klasma.github.io/Logging_0580/klagomål/A 20295-2025 FSC-klagomål.docx", "A 20295-2025")</f>
        <v/>
      </c>
      <c r="W61">
        <f>HYPERLINK("https://klasma.github.io/Logging_0580/klagomålsmail/A 20295-2025 FSC-klagomål mail.docx", "A 20295-2025")</f>
        <v/>
      </c>
      <c r="X61">
        <f>HYPERLINK("https://klasma.github.io/Logging_0580/tillsyn/A 20295-2025 tillsynsbegäran.docx", "A 20295-2025")</f>
        <v/>
      </c>
      <c r="Y61">
        <f>HYPERLINK("https://klasma.github.io/Logging_0580/tillsynsmail/A 20295-2025 tillsynsbegäran mail.docx", "A 20295-2025")</f>
        <v/>
      </c>
    </row>
    <row r="62" ht="15" customHeight="1">
      <c r="A62" t="inlineStr">
        <is>
          <t>A 37683-2024</t>
        </is>
      </c>
      <c r="B62" s="1" t="n">
        <v>45541.59120370371</v>
      </c>
      <c r="C62" s="1" t="n">
        <v>45997</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35948-2023</t>
        </is>
      </c>
      <c r="B63" s="1" t="n">
        <v>45148</v>
      </c>
      <c r="C63" s="1" t="n">
        <v>45997</v>
      </c>
      <c r="D63" t="inlineStr">
        <is>
          <t>ÖSTERGÖTLANDS LÄN</t>
        </is>
      </c>
      <c r="E63" t="inlineStr">
        <is>
          <t>LINKÖPING</t>
        </is>
      </c>
      <c r="G63" t="n">
        <v>1.9</v>
      </c>
      <c r="H63" t="n">
        <v>0</v>
      </c>
      <c r="I63" t="n">
        <v>1</v>
      </c>
      <c r="J63" t="n">
        <v>0</v>
      </c>
      <c r="K63" t="n">
        <v>0</v>
      </c>
      <c r="L63" t="n">
        <v>0</v>
      </c>
      <c r="M63" t="n">
        <v>0</v>
      </c>
      <c r="N63" t="n">
        <v>0</v>
      </c>
      <c r="O63" t="n">
        <v>0</v>
      </c>
      <c r="P63" t="n">
        <v>0</v>
      </c>
      <c r="Q63" t="n">
        <v>1</v>
      </c>
      <c r="R63" s="2" t="inlineStr">
        <is>
          <t>Brun nållav</t>
        </is>
      </c>
      <c r="S63">
        <f>HYPERLINK("https://klasma.github.io/Logging_0580/artfynd/A 35948-2023 artfynd.xlsx", "A 35948-2023")</f>
        <v/>
      </c>
      <c r="T63">
        <f>HYPERLINK("https://klasma.github.io/Logging_0580/kartor/A 35948-2023 karta.png", "A 35948-2023")</f>
        <v/>
      </c>
      <c r="V63">
        <f>HYPERLINK("https://klasma.github.io/Logging_0580/klagomål/A 35948-2023 FSC-klagomål.docx", "A 35948-2023")</f>
        <v/>
      </c>
      <c r="W63">
        <f>HYPERLINK("https://klasma.github.io/Logging_0580/klagomålsmail/A 35948-2023 FSC-klagomål mail.docx", "A 35948-2023")</f>
        <v/>
      </c>
      <c r="X63">
        <f>HYPERLINK("https://klasma.github.io/Logging_0580/tillsyn/A 35948-2023 tillsynsbegäran.docx", "A 35948-2023")</f>
        <v/>
      </c>
      <c r="Y63">
        <f>HYPERLINK("https://klasma.github.io/Logging_0580/tillsynsmail/A 35948-2023 tillsynsbegäran mail.docx", "A 35948-2023")</f>
        <v/>
      </c>
    </row>
    <row r="64" ht="15" customHeight="1">
      <c r="A64" t="inlineStr">
        <is>
          <t>A 15290-2025</t>
        </is>
      </c>
      <c r="B64" s="1" t="n">
        <v>45745.45288194445</v>
      </c>
      <c r="C64" s="1" t="n">
        <v>45997</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1716-2023</t>
        </is>
      </c>
      <c r="B65" s="1" t="n">
        <v>44938</v>
      </c>
      <c r="C65" s="1" t="n">
        <v>45997</v>
      </c>
      <c r="D65" t="inlineStr">
        <is>
          <t>ÖSTERGÖTLANDS LÄN</t>
        </is>
      </c>
      <c r="E65" t="inlineStr">
        <is>
          <t>LINKÖPING</t>
        </is>
      </c>
      <c r="G65" t="n">
        <v>3.6</v>
      </c>
      <c r="H65" t="n">
        <v>0</v>
      </c>
      <c r="I65" t="n">
        <v>0</v>
      </c>
      <c r="J65" t="n">
        <v>1</v>
      </c>
      <c r="K65" t="n">
        <v>0</v>
      </c>
      <c r="L65" t="n">
        <v>0</v>
      </c>
      <c r="M65" t="n">
        <v>0</v>
      </c>
      <c r="N65" t="n">
        <v>0</v>
      </c>
      <c r="O65" t="n">
        <v>1</v>
      </c>
      <c r="P65" t="n">
        <v>0</v>
      </c>
      <c r="Q65" t="n">
        <v>1</v>
      </c>
      <c r="R65" s="2" t="inlineStr">
        <is>
          <t>Svinrot</t>
        </is>
      </c>
      <c r="S65">
        <f>HYPERLINK("https://klasma.github.io/Logging_0580/artfynd/A 1716-2023 artfynd.xlsx", "A 1716-2023")</f>
        <v/>
      </c>
      <c r="T65">
        <f>HYPERLINK("https://klasma.github.io/Logging_0580/kartor/A 1716-2023 karta.png", "A 1716-2023")</f>
        <v/>
      </c>
      <c r="V65">
        <f>HYPERLINK("https://klasma.github.io/Logging_0580/klagomål/A 1716-2023 FSC-klagomål.docx", "A 1716-2023")</f>
        <v/>
      </c>
      <c r="W65">
        <f>HYPERLINK("https://klasma.github.io/Logging_0580/klagomålsmail/A 1716-2023 FSC-klagomål mail.docx", "A 1716-2023")</f>
        <v/>
      </c>
      <c r="X65">
        <f>HYPERLINK("https://klasma.github.io/Logging_0580/tillsyn/A 1716-2023 tillsynsbegäran.docx", "A 1716-2023")</f>
        <v/>
      </c>
      <c r="Y65">
        <f>HYPERLINK("https://klasma.github.io/Logging_0580/tillsynsmail/A 1716-2023 tillsynsbegäran mail.docx", "A 1716-2023")</f>
        <v/>
      </c>
    </row>
    <row r="66" ht="15" customHeight="1">
      <c r="A66" t="inlineStr">
        <is>
          <t>A 931-2025</t>
        </is>
      </c>
      <c r="B66" s="1" t="n">
        <v>45665.88498842593</v>
      </c>
      <c r="C66" s="1" t="n">
        <v>45997</v>
      </c>
      <c r="D66" t="inlineStr">
        <is>
          <t>ÖSTERGÖTLANDS LÄN</t>
        </is>
      </c>
      <c r="E66" t="inlineStr">
        <is>
          <t>LINKÖPING</t>
        </is>
      </c>
      <c r="F66" t="inlineStr">
        <is>
          <t>Övriga Aktiebolag</t>
        </is>
      </c>
      <c r="G66" t="n">
        <v>0.8</v>
      </c>
      <c r="H66" t="n">
        <v>0</v>
      </c>
      <c r="I66" t="n">
        <v>0</v>
      </c>
      <c r="J66" t="n">
        <v>1</v>
      </c>
      <c r="K66" t="n">
        <v>0</v>
      </c>
      <c r="L66" t="n">
        <v>0</v>
      </c>
      <c r="M66" t="n">
        <v>0</v>
      </c>
      <c r="N66" t="n">
        <v>0</v>
      </c>
      <c r="O66" t="n">
        <v>1</v>
      </c>
      <c r="P66" t="n">
        <v>0</v>
      </c>
      <c r="Q66" t="n">
        <v>1</v>
      </c>
      <c r="R66" s="2" t="inlineStr">
        <is>
          <t>Tallticka</t>
        </is>
      </c>
      <c r="S66">
        <f>HYPERLINK("https://klasma.github.io/Logging_0580/artfynd/A 931-2025 artfynd.xlsx", "A 931-2025")</f>
        <v/>
      </c>
      <c r="T66">
        <f>HYPERLINK("https://klasma.github.io/Logging_0580/kartor/A 931-2025 karta.png", "A 931-2025")</f>
        <v/>
      </c>
      <c r="V66">
        <f>HYPERLINK("https://klasma.github.io/Logging_0580/klagomål/A 931-2025 FSC-klagomål.docx", "A 931-2025")</f>
        <v/>
      </c>
      <c r="W66">
        <f>HYPERLINK("https://klasma.github.io/Logging_0580/klagomålsmail/A 931-2025 FSC-klagomål mail.docx", "A 931-2025")</f>
        <v/>
      </c>
      <c r="X66">
        <f>HYPERLINK("https://klasma.github.io/Logging_0580/tillsyn/A 931-2025 tillsynsbegäran.docx", "A 931-2025")</f>
        <v/>
      </c>
      <c r="Y66">
        <f>HYPERLINK("https://klasma.github.io/Logging_0580/tillsynsmail/A 931-2025 tillsynsbegäran mail.docx", "A 931-2025")</f>
        <v/>
      </c>
    </row>
    <row r="67" ht="15" customHeight="1">
      <c r="A67" t="inlineStr">
        <is>
          <t>A 126-2024</t>
        </is>
      </c>
      <c r="B67" s="1" t="n">
        <v>45294</v>
      </c>
      <c r="C67" s="1" t="n">
        <v>45997</v>
      </c>
      <c r="D67" t="inlineStr">
        <is>
          <t>ÖSTERGÖTLANDS LÄN</t>
        </is>
      </c>
      <c r="E67" t="inlineStr">
        <is>
          <t>LINKÖPING</t>
        </is>
      </c>
      <c r="G67" t="n">
        <v>1</v>
      </c>
      <c r="H67" t="n">
        <v>0</v>
      </c>
      <c r="I67" t="n">
        <v>1</v>
      </c>
      <c r="J67" t="n">
        <v>0</v>
      </c>
      <c r="K67" t="n">
        <v>0</v>
      </c>
      <c r="L67" t="n">
        <v>0</v>
      </c>
      <c r="M67" t="n">
        <v>0</v>
      </c>
      <c r="N67" t="n">
        <v>0</v>
      </c>
      <c r="O67" t="n">
        <v>0</v>
      </c>
      <c r="P67" t="n">
        <v>0</v>
      </c>
      <c r="Q67" t="n">
        <v>1</v>
      </c>
      <c r="R67" s="2" t="inlineStr">
        <is>
          <t>Blåmossa</t>
        </is>
      </c>
      <c r="S67">
        <f>HYPERLINK("https://klasma.github.io/Logging_0580/artfynd/A 126-2024 artfynd.xlsx", "A 126-2024")</f>
        <v/>
      </c>
      <c r="T67">
        <f>HYPERLINK("https://klasma.github.io/Logging_0580/kartor/A 126-2024 karta.png", "A 126-2024")</f>
        <v/>
      </c>
      <c r="V67">
        <f>HYPERLINK("https://klasma.github.io/Logging_0580/klagomål/A 126-2024 FSC-klagomål.docx", "A 126-2024")</f>
        <v/>
      </c>
      <c r="W67">
        <f>HYPERLINK("https://klasma.github.io/Logging_0580/klagomålsmail/A 126-2024 FSC-klagomål mail.docx", "A 126-2024")</f>
        <v/>
      </c>
      <c r="X67">
        <f>HYPERLINK("https://klasma.github.io/Logging_0580/tillsyn/A 126-2024 tillsynsbegäran.docx", "A 126-2024")</f>
        <v/>
      </c>
      <c r="Y67">
        <f>HYPERLINK("https://klasma.github.io/Logging_0580/tillsynsmail/A 126-2024 tillsynsbegäran mail.docx", "A 126-2024")</f>
        <v/>
      </c>
    </row>
    <row r="68" ht="15" customHeight="1">
      <c r="A68" t="inlineStr">
        <is>
          <t>A 3395-2023</t>
        </is>
      </c>
      <c r="B68" s="1" t="n">
        <v>44949</v>
      </c>
      <c r="C68" s="1" t="n">
        <v>45997</v>
      </c>
      <c r="D68" t="inlineStr">
        <is>
          <t>ÖSTERGÖTLANDS LÄN</t>
        </is>
      </c>
      <c r="E68" t="inlineStr">
        <is>
          <t>LINKÖPING</t>
        </is>
      </c>
      <c r="G68" t="n">
        <v>2</v>
      </c>
      <c r="H68" t="n">
        <v>0</v>
      </c>
      <c r="I68" t="n">
        <v>0</v>
      </c>
      <c r="J68" t="n">
        <v>1</v>
      </c>
      <c r="K68" t="n">
        <v>0</v>
      </c>
      <c r="L68" t="n">
        <v>0</v>
      </c>
      <c r="M68" t="n">
        <v>0</v>
      </c>
      <c r="N68" t="n">
        <v>0</v>
      </c>
      <c r="O68" t="n">
        <v>1</v>
      </c>
      <c r="P68" t="n">
        <v>0</v>
      </c>
      <c r="Q68" t="n">
        <v>1</v>
      </c>
      <c r="R68" s="2" t="inlineStr">
        <is>
          <t>Sommarfibbla</t>
        </is>
      </c>
      <c r="S68">
        <f>HYPERLINK("https://klasma.github.io/Logging_0580/artfynd/A 3395-2023 artfynd.xlsx", "A 3395-2023")</f>
        <v/>
      </c>
      <c r="T68">
        <f>HYPERLINK("https://klasma.github.io/Logging_0580/kartor/A 3395-2023 karta.png", "A 3395-2023")</f>
        <v/>
      </c>
      <c r="V68">
        <f>HYPERLINK("https://klasma.github.io/Logging_0580/klagomål/A 3395-2023 FSC-klagomål.docx", "A 3395-2023")</f>
        <v/>
      </c>
      <c r="W68">
        <f>HYPERLINK("https://klasma.github.io/Logging_0580/klagomålsmail/A 3395-2023 FSC-klagomål mail.docx", "A 3395-2023")</f>
        <v/>
      </c>
      <c r="X68">
        <f>HYPERLINK("https://klasma.github.io/Logging_0580/tillsyn/A 3395-2023 tillsynsbegäran.docx", "A 3395-2023")</f>
        <v/>
      </c>
      <c r="Y68">
        <f>HYPERLINK("https://klasma.github.io/Logging_0580/tillsynsmail/A 3395-2023 tillsynsbegäran mail.docx", "A 3395-2023")</f>
        <v/>
      </c>
    </row>
    <row r="69" ht="15" customHeight="1">
      <c r="A69" t="inlineStr">
        <is>
          <t>A 3397-2023</t>
        </is>
      </c>
      <c r="B69" s="1" t="n">
        <v>44949</v>
      </c>
      <c r="C69" s="1" t="n">
        <v>45997</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56651-2023</t>
        </is>
      </c>
      <c r="B70" s="1" t="n">
        <v>45243</v>
      </c>
      <c r="C70" s="1" t="n">
        <v>45997</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45997</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45997</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1213-2023</t>
        </is>
      </c>
      <c r="B73" s="1" t="n">
        <v>44930</v>
      </c>
      <c r="C73" s="1" t="n">
        <v>45997</v>
      </c>
      <c r="D73" t="inlineStr">
        <is>
          <t>ÖSTERGÖTLANDS LÄN</t>
        </is>
      </c>
      <c r="E73" t="inlineStr">
        <is>
          <t>LINKÖPING</t>
        </is>
      </c>
      <c r="F73" t="inlineStr">
        <is>
          <t>Övriga statliga verk och myndigheter</t>
        </is>
      </c>
      <c r="G73" t="n">
        <v>17.8</v>
      </c>
      <c r="H73" t="n">
        <v>0</v>
      </c>
      <c r="I73" t="n">
        <v>1</v>
      </c>
      <c r="J73" t="n">
        <v>0</v>
      </c>
      <c r="K73" t="n">
        <v>0</v>
      </c>
      <c r="L73" t="n">
        <v>0</v>
      </c>
      <c r="M73" t="n">
        <v>0</v>
      </c>
      <c r="N73" t="n">
        <v>0</v>
      </c>
      <c r="O73" t="n">
        <v>0</v>
      </c>
      <c r="P73" t="n">
        <v>0</v>
      </c>
      <c r="Q73" t="n">
        <v>1</v>
      </c>
      <c r="R73" s="2" t="inlineStr">
        <is>
          <t>Stubbspretmossa</t>
        </is>
      </c>
      <c r="S73">
        <f>HYPERLINK("https://klasma.github.io/Logging_0580/artfynd/A 1213-2023 artfynd.xlsx", "A 1213-2023")</f>
        <v/>
      </c>
      <c r="T73">
        <f>HYPERLINK("https://klasma.github.io/Logging_0580/kartor/A 1213-2023 karta.png", "A 1213-2023")</f>
        <v/>
      </c>
      <c r="V73">
        <f>HYPERLINK("https://klasma.github.io/Logging_0580/klagomål/A 1213-2023 FSC-klagomål.docx", "A 1213-2023")</f>
        <v/>
      </c>
      <c r="W73">
        <f>HYPERLINK("https://klasma.github.io/Logging_0580/klagomålsmail/A 1213-2023 FSC-klagomål mail.docx", "A 1213-2023")</f>
        <v/>
      </c>
      <c r="X73">
        <f>HYPERLINK("https://klasma.github.io/Logging_0580/tillsyn/A 1213-2023 tillsynsbegäran.docx", "A 1213-2023")</f>
        <v/>
      </c>
      <c r="Y73">
        <f>HYPERLINK("https://klasma.github.io/Logging_0580/tillsynsmail/A 1213-2023 tillsynsbegäran mail.docx", "A 1213-2023")</f>
        <v/>
      </c>
    </row>
    <row r="74" ht="15" customHeight="1">
      <c r="A74" t="inlineStr">
        <is>
          <t>A 41749-2023</t>
        </is>
      </c>
      <c r="B74" s="1" t="n">
        <v>45176</v>
      </c>
      <c r="C74" s="1" t="n">
        <v>45997</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41749-2023 artfynd.xlsx", "A 41749-2023")</f>
        <v/>
      </c>
      <c r="T74">
        <f>HYPERLINK("https://klasma.github.io/Logging_0580/kartor/A 41749-2023 karta.png", "A 41749-2023")</f>
        <v/>
      </c>
      <c r="V74">
        <f>HYPERLINK("https://klasma.github.io/Logging_0580/klagomål/A 41749-2023 FSC-klagomål.docx", "A 41749-2023")</f>
        <v/>
      </c>
      <c r="W74">
        <f>HYPERLINK("https://klasma.github.io/Logging_0580/klagomålsmail/A 41749-2023 FSC-klagomål mail.docx", "A 41749-2023")</f>
        <v/>
      </c>
      <c r="X74">
        <f>HYPERLINK("https://klasma.github.io/Logging_0580/tillsyn/A 41749-2023 tillsynsbegäran.docx", "A 41749-2023")</f>
        <v/>
      </c>
      <c r="Y74">
        <f>HYPERLINK("https://klasma.github.io/Logging_0580/tillsynsmail/A 41749-2023 tillsynsbegäran mail.docx", "A 41749-2023")</f>
        <v/>
      </c>
    </row>
    <row r="75" ht="15" customHeight="1">
      <c r="A75" t="inlineStr">
        <is>
          <t>A 22526-2025</t>
        </is>
      </c>
      <c r="B75" s="1" t="n">
        <v>45786.78096064815</v>
      </c>
      <c r="C75" s="1" t="n">
        <v>45997</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 skogslilja</t>
        </is>
      </c>
      <c r="S75">
        <f>HYPERLINK("https://klasma.github.io/Logging_0580/artfynd/A 22526-2025 artfynd.xlsx", "A 22526-2025")</f>
        <v/>
      </c>
      <c r="T75">
        <f>HYPERLINK("https://klasma.github.io/Logging_0580/kartor/A 22526-2025 karta.png", "A 22526-2025")</f>
        <v/>
      </c>
      <c r="V75">
        <f>HYPERLINK("https://klasma.github.io/Logging_0580/klagomål/A 22526-2025 FSC-klagomål.docx", "A 22526-2025")</f>
        <v/>
      </c>
      <c r="W75">
        <f>HYPERLINK("https://klasma.github.io/Logging_0580/klagomålsmail/A 22526-2025 FSC-klagomål mail.docx", "A 22526-2025")</f>
        <v/>
      </c>
      <c r="X75">
        <f>HYPERLINK("https://klasma.github.io/Logging_0580/tillsyn/A 22526-2025 tillsynsbegäran.docx", "A 22526-2025")</f>
        <v/>
      </c>
      <c r="Y75">
        <f>HYPERLINK("https://klasma.github.io/Logging_0580/tillsynsmail/A 22526-2025 tillsynsbegäran mail.docx", "A 22526-2025")</f>
        <v/>
      </c>
    </row>
    <row r="76" ht="15" customHeight="1">
      <c r="A76" t="inlineStr">
        <is>
          <t>A 48273-2025</t>
        </is>
      </c>
      <c r="B76" s="1" t="n">
        <v>45932</v>
      </c>
      <c r="C76" s="1" t="n">
        <v>45997</v>
      </c>
      <c r="D76" t="inlineStr">
        <is>
          <t>ÖSTERGÖTLANDS LÄN</t>
        </is>
      </c>
      <c r="E76" t="inlineStr">
        <is>
          <t>LINKÖPING</t>
        </is>
      </c>
      <c r="F76" t="inlineStr">
        <is>
          <t>Övriga Aktiebolag</t>
        </is>
      </c>
      <c r="G76" t="n">
        <v>4.6</v>
      </c>
      <c r="H76" t="n">
        <v>0</v>
      </c>
      <c r="I76" t="n">
        <v>0</v>
      </c>
      <c r="J76" t="n">
        <v>1</v>
      </c>
      <c r="K76" t="n">
        <v>0</v>
      </c>
      <c r="L76" t="n">
        <v>0</v>
      </c>
      <c r="M76" t="n">
        <v>0</v>
      </c>
      <c r="N76" t="n">
        <v>0</v>
      </c>
      <c r="O76" t="n">
        <v>1</v>
      </c>
      <c r="P76" t="n">
        <v>0</v>
      </c>
      <c r="Q76" t="n">
        <v>1</v>
      </c>
      <c r="R76" s="2" t="inlineStr">
        <is>
          <t>Barrviolspindling</t>
        </is>
      </c>
      <c r="S76">
        <f>HYPERLINK("https://klasma.github.io/Logging_0580/artfynd/A 48273-2025 artfynd.xlsx", "A 48273-2025")</f>
        <v/>
      </c>
      <c r="T76">
        <f>HYPERLINK("https://klasma.github.io/Logging_0580/kartor/A 48273-2025 karta.png", "A 48273-2025")</f>
        <v/>
      </c>
      <c r="V76">
        <f>HYPERLINK("https://klasma.github.io/Logging_0580/klagomål/A 48273-2025 FSC-klagomål.docx", "A 48273-2025")</f>
        <v/>
      </c>
      <c r="W76">
        <f>HYPERLINK("https://klasma.github.io/Logging_0580/klagomålsmail/A 48273-2025 FSC-klagomål mail.docx", "A 48273-2025")</f>
        <v/>
      </c>
      <c r="X76">
        <f>HYPERLINK("https://klasma.github.io/Logging_0580/tillsyn/A 48273-2025 tillsynsbegäran.docx", "A 48273-2025")</f>
        <v/>
      </c>
      <c r="Y76">
        <f>HYPERLINK("https://klasma.github.io/Logging_0580/tillsynsmail/A 48273-2025 tillsynsbegäran mail.docx", "A 48273-2025")</f>
        <v/>
      </c>
    </row>
    <row r="77" ht="15" customHeight="1">
      <c r="A77" t="inlineStr">
        <is>
          <t>A 48298-2025</t>
        </is>
      </c>
      <c r="B77" s="1" t="n">
        <v>45932</v>
      </c>
      <c r="C77" s="1" t="n">
        <v>45997</v>
      </c>
      <c r="D77" t="inlineStr">
        <is>
          <t>ÖSTERGÖTLANDS LÄN</t>
        </is>
      </c>
      <c r="E77" t="inlineStr">
        <is>
          <t>LINKÖPING</t>
        </is>
      </c>
      <c r="F77" t="inlineStr">
        <is>
          <t>Övriga Aktiebolag</t>
        </is>
      </c>
      <c r="G77" t="n">
        <v>1.7</v>
      </c>
      <c r="H77" t="n">
        <v>0</v>
      </c>
      <c r="I77" t="n">
        <v>1</v>
      </c>
      <c r="J77" t="n">
        <v>0</v>
      </c>
      <c r="K77" t="n">
        <v>0</v>
      </c>
      <c r="L77" t="n">
        <v>0</v>
      </c>
      <c r="M77" t="n">
        <v>0</v>
      </c>
      <c r="N77" t="n">
        <v>0</v>
      </c>
      <c r="O77" t="n">
        <v>0</v>
      </c>
      <c r="P77" t="n">
        <v>0</v>
      </c>
      <c r="Q77" t="n">
        <v>1</v>
      </c>
      <c r="R77" s="2" t="inlineStr">
        <is>
          <t>Västlig hakmossa</t>
        </is>
      </c>
      <c r="S77">
        <f>HYPERLINK("https://klasma.github.io/Logging_0580/artfynd/A 48298-2025 artfynd.xlsx", "A 48298-2025")</f>
        <v/>
      </c>
      <c r="T77">
        <f>HYPERLINK("https://klasma.github.io/Logging_0580/kartor/A 48298-2025 karta.png", "A 48298-2025")</f>
        <v/>
      </c>
      <c r="V77">
        <f>HYPERLINK("https://klasma.github.io/Logging_0580/klagomål/A 48298-2025 FSC-klagomål.docx", "A 48298-2025")</f>
        <v/>
      </c>
      <c r="W77">
        <f>HYPERLINK("https://klasma.github.io/Logging_0580/klagomålsmail/A 48298-2025 FSC-klagomål mail.docx", "A 48298-2025")</f>
        <v/>
      </c>
      <c r="X77">
        <f>HYPERLINK("https://klasma.github.io/Logging_0580/tillsyn/A 48298-2025 tillsynsbegäran.docx", "A 48298-2025")</f>
        <v/>
      </c>
      <c r="Y77">
        <f>HYPERLINK("https://klasma.github.io/Logging_0580/tillsynsmail/A 48298-2025 tillsynsbegäran mail.docx", "A 48298-2025")</f>
        <v/>
      </c>
    </row>
    <row r="78" ht="15" customHeight="1">
      <c r="A78" t="inlineStr">
        <is>
          <t>A 48353-2025</t>
        </is>
      </c>
      <c r="B78" s="1" t="n">
        <v>45932</v>
      </c>
      <c r="C78" s="1" t="n">
        <v>45997</v>
      </c>
      <c r="D78" t="inlineStr">
        <is>
          <t>ÖSTERGÖTLANDS LÄN</t>
        </is>
      </c>
      <c r="E78" t="inlineStr">
        <is>
          <t>LINKÖPING</t>
        </is>
      </c>
      <c r="F78" t="inlineStr">
        <is>
          <t>Övriga Aktiebolag</t>
        </is>
      </c>
      <c r="G78" t="n">
        <v>4.5</v>
      </c>
      <c r="H78" t="n">
        <v>1</v>
      </c>
      <c r="I78" t="n">
        <v>0</v>
      </c>
      <c r="J78" t="n">
        <v>1</v>
      </c>
      <c r="K78" t="n">
        <v>0</v>
      </c>
      <c r="L78" t="n">
        <v>0</v>
      </c>
      <c r="M78" t="n">
        <v>0</v>
      </c>
      <c r="N78" t="n">
        <v>0</v>
      </c>
      <c r="O78" t="n">
        <v>1</v>
      </c>
      <c r="P78" t="n">
        <v>0</v>
      </c>
      <c r="Q78" t="n">
        <v>1</v>
      </c>
      <c r="R78" s="2" t="inlineStr">
        <is>
          <t>Entita</t>
        </is>
      </c>
      <c r="S78">
        <f>HYPERLINK("https://klasma.github.io/Logging_0580/artfynd/A 48353-2025 artfynd.xlsx", "A 48353-2025")</f>
        <v/>
      </c>
      <c r="T78">
        <f>HYPERLINK("https://klasma.github.io/Logging_0580/kartor/A 48353-2025 karta.png", "A 48353-2025")</f>
        <v/>
      </c>
      <c r="V78">
        <f>HYPERLINK("https://klasma.github.io/Logging_0580/klagomål/A 48353-2025 FSC-klagomål.docx", "A 48353-2025")</f>
        <v/>
      </c>
      <c r="W78">
        <f>HYPERLINK("https://klasma.github.io/Logging_0580/klagomålsmail/A 48353-2025 FSC-klagomål mail.docx", "A 48353-2025")</f>
        <v/>
      </c>
      <c r="X78">
        <f>HYPERLINK("https://klasma.github.io/Logging_0580/tillsyn/A 48353-2025 tillsynsbegäran.docx", "A 48353-2025")</f>
        <v/>
      </c>
      <c r="Y78">
        <f>HYPERLINK("https://klasma.github.io/Logging_0580/tillsynsmail/A 48353-2025 tillsynsbegäran mail.docx", "A 48353-2025")</f>
        <v/>
      </c>
      <c r="Z78">
        <f>HYPERLINK("https://klasma.github.io/Logging_0580/fåglar/A 48353-2025 prioriterade fågelarter.docx", "A 48353-2025")</f>
        <v/>
      </c>
    </row>
    <row r="79" ht="15" customHeight="1">
      <c r="A79" t="inlineStr">
        <is>
          <t>A 56112-2025</t>
        </is>
      </c>
      <c r="B79" s="1" t="n">
        <v>45973.73625</v>
      </c>
      <c r="C79" s="1" t="n">
        <v>45997</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48347-2025</t>
        </is>
      </c>
      <c r="B80" s="1" t="n">
        <v>45932</v>
      </c>
      <c r="C80" s="1" t="n">
        <v>45997</v>
      </c>
      <c r="D80" t="inlineStr">
        <is>
          <t>ÖSTERGÖTLANDS LÄN</t>
        </is>
      </c>
      <c r="E80" t="inlineStr">
        <is>
          <t>LINKÖPING</t>
        </is>
      </c>
      <c r="F80" t="inlineStr">
        <is>
          <t>Övriga Aktiebolag</t>
        </is>
      </c>
      <c r="G80" t="n">
        <v>0.9</v>
      </c>
      <c r="H80" t="n">
        <v>0</v>
      </c>
      <c r="I80" t="n">
        <v>0</v>
      </c>
      <c r="J80" t="n">
        <v>1</v>
      </c>
      <c r="K80" t="n">
        <v>0</v>
      </c>
      <c r="L80" t="n">
        <v>0</v>
      </c>
      <c r="M80" t="n">
        <v>0</v>
      </c>
      <c r="N80" t="n">
        <v>0</v>
      </c>
      <c r="O80" t="n">
        <v>1</v>
      </c>
      <c r="P80" t="n">
        <v>0</v>
      </c>
      <c r="Q80" t="n">
        <v>1</v>
      </c>
      <c r="R80" s="2" t="inlineStr">
        <is>
          <t>Igelkott</t>
        </is>
      </c>
      <c r="S80">
        <f>HYPERLINK("https://klasma.github.io/Logging_0580/artfynd/A 48347-2025 artfynd.xlsx", "A 48347-2025")</f>
        <v/>
      </c>
      <c r="T80">
        <f>HYPERLINK("https://klasma.github.io/Logging_0580/kartor/A 48347-2025 karta.png", "A 48347-2025")</f>
        <v/>
      </c>
      <c r="V80">
        <f>HYPERLINK("https://klasma.github.io/Logging_0580/klagomål/A 48347-2025 FSC-klagomål.docx", "A 48347-2025")</f>
        <v/>
      </c>
      <c r="W80">
        <f>HYPERLINK("https://klasma.github.io/Logging_0580/klagomålsmail/A 48347-2025 FSC-klagomål mail.docx", "A 48347-2025")</f>
        <v/>
      </c>
      <c r="X80">
        <f>HYPERLINK("https://klasma.github.io/Logging_0580/tillsyn/A 48347-2025 tillsynsbegäran.docx", "A 48347-2025")</f>
        <v/>
      </c>
      <c r="Y80">
        <f>HYPERLINK("https://klasma.github.io/Logging_0580/tillsynsmail/A 48347-2025 tillsynsbegäran mail.docx", "A 48347-2025")</f>
        <v/>
      </c>
    </row>
    <row r="81" ht="15" customHeight="1">
      <c r="A81" t="inlineStr">
        <is>
          <t>A 43989-2025</t>
        </is>
      </c>
      <c r="B81" s="1" t="n">
        <v>45915.44128472222</v>
      </c>
      <c r="C81" s="1" t="n">
        <v>45997</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45997</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27403-2025</t>
        </is>
      </c>
      <c r="B83" s="1" t="n">
        <v>45812.72518518518</v>
      </c>
      <c r="C83" s="1" t="n">
        <v>45997</v>
      </c>
      <c r="D83" t="inlineStr">
        <is>
          <t>ÖSTERGÖTLANDS LÄN</t>
        </is>
      </c>
      <c r="E83" t="inlineStr">
        <is>
          <t>LINKÖPING</t>
        </is>
      </c>
      <c r="G83" t="n">
        <v>1.4</v>
      </c>
      <c r="H83" t="n">
        <v>0</v>
      </c>
      <c r="I83" t="n">
        <v>0</v>
      </c>
      <c r="J83" t="n">
        <v>1</v>
      </c>
      <c r="K83" t="n">
        <v>0</v>
      </c>
      <c r="L83" t="n">
        <v>0</v>
      </c>
      <c r="M83" t="n">
        <v>0</v>
      </c>
      <c r="N83" t="n">
        <v>0</v>
      </c>
      <c r="O83" t="n">
        <v>1</v>
      </c>
      <c r="P83" t="n">
        <v>0</v>
      </c>
      <c r="Q83" t="n">
        <v>1</v>
      </c>
      <c r="R83" s="2" t="inlineStr">
        <is>
          <t>Tallticka</t>
        </is>
      </c>
      <c r="S83">
        <f>HYPERLINK("https://klasma.github.io/Logging_0580/artfynd/A 27403-2025 artfynd.xlsx", "A 27403-2025")</f>
        <v/>
      </c>
      <c r="T83">
        <f>HYPERLINK("https://klasma.github.io/Logging_0580/kartor/A 27403-2025 karta.png", "A 27403-2025")</f>
        <v/>
      </c>
      <c r="V83">
        <f>HYPERLINK("https://klasma.github.io/Logging_0580/klagomål/A 27403-2025 FSC-klagomål.docx", "A 27403-2025")</f>
        <v/>
      </c>
      <c r="W83">
        <f>HYPERLINK("https://klasma.github.io/Logging_0580/klagomålsmail/A 27403-2025 FSC-klagomål mail.docx", "A 27403-2025")</f>
        <v/>
      </c>
      <c r="X83">
        <f>HYPERLINK("https://klasma.github.io/Logging_0580/tillsyn/A 27403-2025 tillsynsbegäran.docx", "A 27403-2025")</f>
        <v/>
      </c>
      <c r="Y83">
        <f>HYPERLINK("https://klasma.github.io/Logging_0580/tillsynsmail/A 27403-2025 tillsynsbegäran mail.docx", "A 27403-2025")</f>
        <v/>
      </c>
    </row>
    <row r="84" ht="15" customHeight="1">
      <c r="A84" t="inlineStr">
        <is>
          <t>A 50034-2025</t>
        </is>
      </c>
      <c r="B84" s="1" t="n">
        <v>45941</v>
      </c>
      <c r="C84" s="1" t="n">
        <v>45997</v>
      </c>
      <c r="D84" t="inlineStr">
        <is>
          <t>ÖSTERGÖTLANDS LÄN</t>
        </is>
      </c>
      <c r="E84" t="inlineStr">
        <is>
          <t>LINKÖPING</t>
        </is>
      </c>
      <c r="G84" t="n">
        <v>6.2</v>
      </c>
      <c r="H84" t="n">
        <v>0</v>
      </c>
      <c r="I84" t="n">
        <v>0</v>
      </c>
      <c r="J84" t="n">
        <v>0</v>
      </c>
      <c r="K84" t="n">
        <v>0</v>
      </c>
      <c r="L84" t="n">
        <v>0</v>
      </c>
      <c r="M84" t="n">
        <v>1</v>
      </c>
      <c r="N84" t="n">
        <v>0</v>
      </c>
      <c r="O84" t="n">
        <v>1</v>
      </c>
      <c r="P84" t="n">
        <v>1</v>
      </c>
      <c r="Q84" t="n">
        <v>1</v>
      </c>
      <c r="R84" s="2" t="inlineStr">
        <is>
          <t>Skogsalm</t>
        </is>
      </c>
      <c r="S84">
        <f>HYPERLINK("https://klasma.github.io/Logging_0580/artfynd/A 50034-2025 artfynd.xlsx", "A 50034-2025")</f>
        <v/>
      </c>
      <c r="T84">
        <f>HYPERLINK("https://klasma.github.io/Logging_0580/kartor/A 50034-2025 karta.png", "A 50034-2025")</f>
        <v/>
      </c>
      <c r="V84">
        <f>HYPERLINK("https://klasma.github.io/Logging_0580/klagomål/A 50034-2025 FSC-klagomål.docx", "A 50034-2025")</f>
        <v/>
      </c>
      <c r="W84">
        <f>HYPERLINK("https://klasma.github.io/Logging_0580/klagomålsmail/A 50034-2025 FSC-klagomål mail.docx", "A 50034-2025")</f>
        <v/>
      </c>
      <c r="X84">
        <f>HYPERLINK("https://klasma.github.io/Logging_0580/tillsyn/A 50034-2025 tillsynsbegäran.docx", "A 50034-2025")</f>
        <v/>
      </c>
      <c r="Y84">
        <f>HYPERLINK("https://klasma.github.io/Logging_0580/tillsynsmail/A 50034-2025 tillsynsbegäran mail.docx", "A 50034-2025")</f>
        <v/>
      </c>
    </row>
    <row r="85" ht="15" customHeight="1">
      <c r="A85" t="inlineStr">
        <is>
          <t>A 59474-2025</t>
        </is>
      </c>
      <c r="B85" s="1" t="n">
        <v>45989.58512731481</v>
      </c>
      <c r="C85" s="1" t="n">
        <v>45997</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45994.69293981481</v>
      </c>
      <c r="C86" s="1" t="n">
        <v>45997</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50471-2024</t>
        </is>
      </c>
      <c r="B87" s="1" t="n">
        <v>45601.47166666666</v>
      </c>
      <c r="C87" s="1" t="n">
        <v>45997</v>
      </c>
      <c r="D87" t="inlineStr">
        <is>
          <t>ÖSTERGÖTLANDS LÄN</t>
        </is>
      </c>
      <c r="E87" t="inlineStr">
        <is>
          <t>LINKÖPING</t>
        </is>
      </c>
      <c r="F87" t="inlineStr">
        <is>
          <t>Övriga Aktiebolag</t>
        </is>
      </c>
      <c r="G87" t="n">
        <v>2</v>
      </c>
      <c r="H87" t="n">
        <v>0</v>
      </c>
      <c r="I87" t="n">
        <v>1</v>
      </c>
      <c r="J87" t="n">
        <v>0</v>
      </c>
      <c r="K87" t="n">
        <v>0</v>
      </c>
      <c r="L87" t="n">
        <v>0</v>
      </c>
      <c r="M87" t="n">
        <v>0</v>
      </c>
      <c r="N87" t="n">
        <v>0</v>
      </c>
      <c r="O87" t="n">
        <v>0</v>
      </c>
      <c r="P87" t="n">
        <v>0</v>
      </c>
      <c r="Q87" t="n">
        <v>1</v>
      </c>
      <c r="R87" s="2" t="inlineStr">
        <is>
          <t>Västlig hakmossa</t>
        </is>
      </c>
      <c r="S87">
        <f>HYPERLINK("https://klasma.github.io/Logging_0580/artfynd/A 50471-2024 artfynd.xlsx", "A 50471-2024")</f>
        <v/>
      </c>
      <c r="T87">
        <f>HYPERLINK("https://klasma.github.io/Logging_0580/kartor/A 50471-2024 karta.png", "A 50471-2024")</f>
        <v/>
      </c>
      <c r="V87">
        <f>HYPERLINK("https://klasma.github.io/Logging_0580/klagomål/A 50471-2024 FSC-klagomål.docx", "A 50471-2024")</f>
        <v/>
      </c>
      <c r="W87">
        <f>HYPERLINK("https://klasma.github.io/Logging_0580/klagomålsmail/A 50471-2024 FSC-klagomål mail.docx", "A 50471-2024")</f>
        <v/>
      </c>
      <c r="X87">
        <f>HYPERLINK("https://klasma.github.io/Logging_0580/tillsyn/A 50471-2024 tillsynsbegäran.docx", "A 50471-2024")</f>
        <v/>
      </c>
      <c r="Y87">
        <f>HYPERLINK("https://klasma.github.io/Logging_0580/tillsynsmail/A 50471-2024 tillsynsbegäran mail.docx", "A 50471-2024")</f>
        <v/>
      </c>
    </row>
    <row r="88" ht="15" customHeight="1">
      <c r="A88" t="inlineStr">
        <is>
          <t>A 36723-2023</t>
        </is>
      </c>
      <c r="B88" s="1" t="n">
        <v>45153</v>
      </c>
      <c r="C88" s="1" t="n">
        <v>45997</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50806-2023</t>
        </is>
      </c>
      <c r="B89" s="1" t="n">
        <v>45217</v>
      </c>
      <c r="C89" s="1" t="n">
        <v>45997</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60573-2021</t>
        </is>
      </c>
      <c r="B90" s="1" t="n">
        <v>44496</v>
      </c>
      <c r="C90" s="1" t="n">
        <v>45997</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45997</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45997</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45997</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45997</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45997</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45997</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45997</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45997</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45997</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45997</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45997</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45997</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45997</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45997</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45997</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45997</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45997</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45997</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45997</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45997</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45997</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45997</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45997</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45997</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45997</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45997</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45997</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45997</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45997</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45997</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9935-2021</t>
        </is>
      </c>
      <c r="B121" s="1" t="n">
        <v>44253</v>
      </c>
      <c r="C121" s="1" t="n">
        <v>45997</v>
      </c>
      <c r="D121" t="inlineStr">
        <is>
          <t>ÖSTERGÖTLANDS LÄN</t>
        </is>
      </c>
      <c r="E121" t="inlineStr">
        <is>
          <t>LINKÖPING</t>
        </is>
      </c>
      <c r="G121" t="n">
        <v>4.5</v>
      </c>
      <c r="H121" t="n">
        <v>0</v>
      </c>
      <c r="I121" t="n">
        <v>0</v>
      </c>
      <c r="J121" t="n">
        <v>0</v>
      </c>
      <c r="K121" t="n">
        <v>0</v>
      </c>
      <c r="L121" t="n">
        <v>0</v>
      </c>
      <c r="M121" t="n">
        <v>0</v>
      </c>
      <c r="N121" t="n">
        <v>0</v>
      </c>
      <c r="O121" t="n">
        <v>0</v>
      </c>
      <c r="P121" t="n">
        <v>0</v>
      </c>
      <c r="Q121" t="n">
        <v>0</v>
      </c>
      <c r="R121" s="2" t="inlineStr"/>
    </row>
    <row r="122" ht="15" customHeight="1">
      <c r="A122" t="inlineStr">
        <is>
          <t>A 31705-2022</t>
        </is>
      </c>
      <c r="B122" s="1" t="n">
        <v>44776.43607638889</v>
      </c>
      <c r="C122" s="1" t="n">
        <v>45997</v>
      </c>
      <c r="D122" t="inlineStr">
        <is>
          <t>ÖSTERGÖTLANDS LÄN</t>
        </is>
      </c>
      <c r="E122" t="inlineStr">
        <is>
          <t>LINKÖPING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37012-2021</t>
        </is>
      </c>
      <c r="B123" s="1" t="n">
        <v>44393</v>
      </c>
      <c r="C123" s="1" t="n">
        <v>45997</v>
      </c>
      <c r="D123" t="inlineStr">
        <is>
          <t>ÖSTERGÖTLANDS LÄN</t>
        </is>
      </c>
      <c r="E123" t="inlineStr">
        <is>
          <t>LINKÖPING</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45997</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45997</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45997</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45997</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45997</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45997</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45997</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3679-2021</t>
        </is>
      </c>
      <c r="B131" s="1" t="n">
        <v>44221</v>
      </c>
      <c r="C131" s="1" t="n">
        <v>45997</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19318-2022</t>
        </is>
      </c>
      <c r="B132" s="1" t="n">
        <v>44692.5827662037</v>
      </c>
      <c r="C132" s="1" t="n">
        <v>45997</v>
      </c>
      <c r="D132" t="inlineStr">
        <is>
          <t>ÖSTERGÖTLANDS LÄN</t>
        </is>
      </c>
      <c r="E132" t="inlineStr">
        <is>
          <t>LINKÖPING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45997</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45997</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40437-2021</t>
        </is>
      </c>
      <c r="B135" s="1" t="n">
        <v>44419</v>
      </c>
      <c r="C135" s="1" t="n">
        <v>45997</v>
      </c>
      <c r="D135" t="inlineStr">
        <is>
          <t>ÖSTERGÖTLANDS LÄN</t>
        </is>
      </c>
      <c r="E135" t="inlineStr">
        <is>
          <t>LINKÖPING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45997</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45997</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45997</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36341-2022</t>
        </is>
      </c>
      <c r="B139" s="1" t="n">
        <v>44803</v>
      </c>
      <c r="C139" s="1" t="n">
        <v>45997</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45997</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45997</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45997</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45997</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45997</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4240-2022</t>
        </is>
      </c>
      <c r="B145" s="1" t="n">
        <v>44588</v>
      </c>
      <c r="C145" s="1" t="n">
        <v>45997</v>
      </c>
      <c r="D145" t="inlineStr">
        <is>
          <t>ÖSTERGÖTLANDS LÄN</t>
        </is>
      </c>
      <c r="E145" t="inlineStr">
        <is>
          <t>LINKÖPING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45997</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948-2022</t>
        </is>
      </c>
      <c r="B147" s="1" t="n">
        <v>44571</v>
      </c>
      <c r="C147" s="1" t="n">
        <v>45997</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37014-2021</t>
        </is>
      </c>
      <c r="B148" s="1" t="n">
        <v>44393</v>
      </c>
      <c r="C148" s="1" t="n">
        <v>45997</v>
      </c>
      <c r="D148" t="inlineStr">
        <is>
          <t>ÖSTERGÖTLANDS LÄN</t>
        </is>
      </c>
      <c r="E148" t="inlineStr">
        <is>
          <t>LINKÖPING</t>
        </is>
      </c>
      <c r="F148" t="inlineStr">
        <is>
          <t>Allmännings- och besparingsskogar</t>
        </is>
      </c>
      <c r="G148" t="n">
        <v>7.7</v>
      </c>
      <c r="H148" t="n">
        <v>0</v>
      </c>
      <c r="I148" t="n">
        <v>0</v>
      </c>
      <c r="J148" t="n">
        <v>0</v>
      </c>
      <c r="K148" t="n">
        <v>0</v>
      </c>
      <c r="L148" t="n">
        <v>0</v>
      </c>
      <c r="M148" t="n">
        <v>0</v>
      </c>
      <c r="N148" t="n">
        <v>0</v>
      </c>
      <c r="O148" t="n">
        <v>0</v>
      </c>
      <c r="P148" t="n">
        <v>0</v>
      </c>
      <c r="Q148" t="n">
        <v>0</v>
      </c>
      <c r="R148" s="2" t="inlineStr"/>
    </row>
    <row r="149" ht="15" customHeight="1">
      <c r="A149" t="inlineStr">
        <is>
          <t>A 46891-2021</t>
        </is>
      </c>
      <c r="B149" s="1" t="n">
        <v>44446.44587962963</v>
      </c>
      <c r="C149" s="1" t="n">
        <v>45997</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45997</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384-2021</t>
        </is>
      </c>
      <c r="B151" s="1" t="n">
        <v>44201.57689814815</v>
      </c>
      <c r="C151" s="1" t="n">
        <v>45997</v>
      </c>
      <c r="D151" t="inlineStr">
        <is>
          <t>ÖSTERGÖTLANDS LÄN</t>
        </is>
      </c>
      <c r="E151" t="inlineStr">
        <is>
          <t>LINKÖPING</t>
        </is>
      </c>
      <c r="G151" t="n">
        <v>0.2</v>
      </c>
      <c r="H151" t="n">
        <v>0</v>
      </c>
      <c r="I151" t="n">
        <v>0</v>
      </c>
      <c r="J151" t="n">
        <v>0</v>
      </c>
      <c r="K151" t="n">
        <v>0</v>
      </c>
      <c r="L151" t="n">
        <v>0</v>
      </c>
      <c r="M151" t="n">
        <v>0</v>
      </c>
      <c r="N151" t="n">
        <v>0</v>
      </c>
      <c r="O151" t="n">
        <v>0</v>
      </c>
      <c r="P151" t="n">
        <v>0</v>
      </c>
      <c r="Q151" t="n">
        <v>0</v>
      </c>
      <c r="R151" s="2" t="inlineStr"/>
    </row>
    <row r="152" ht="15" customHeight="1">
      <c r="A152" t="inlineStr">
        <is>
          <t>A 17497-2022</t>
        </is>
      </c>
      <c r="B152" s="1" t="n">
        <v>44679</v>
      </c>
      <c r="C152" s="1" t="n">
        <v>45997</v>
      </c>
      <c r="D152" t="inlineStr">
        <is>
          <t>ÖSTERGÖTLANDS LÄN</t>
        </is>
      </c>
      <c r="E152" t="inlineStr">
        <is>
          <t>LINKÖPING</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17500-2022</t>
        </is>
      </c>
      <c r="B153" s="1" t="n">
        <v>44679</v>
      </c>
      <c r="C153" s="1" t="n">
        <v>45997</v>
      </c>
      <c r="D153" t="inlineStr">
        <is>
          <t>ÖSTERGÖTLANDS LÄN</t>
        </is>
      </c>
      <c r="E153" t="inlineStr">
        <is>
          <t>LINKÖPING</t>
        </is>
      </c>
      <c r="F153" t="inlineStr">
        <is>
          <t>Kommuner</t>
        </is>
      </c>
      <c r="G153" t="n">
        <v>1.8</v>
      </c>
      <c r="H153" t="n">
        <v>0</v>
      </c>
      <c r="I153" t="n">
        <v>0</v>
      </c>
      <c r="J153" t="n">
        <v>0</v>
      </c>
      <c r="K153" t="n">
        <v>0</v>
      </c>
      <c r="L153" t="n">
        <v>0</v>
      </c>
      <c r="M153" t="n">
        <v>0</v>
      </c>
      <c r="N153" t="n">
        <v>0</v>
      </c>
      <c r="O153" t="n">
        <v>0</v>
      </c>
      <c r="P153" t="n">
        <v>0</v>
      </c>
      <c r="Q153" t="n">
        <v>0</v>
      </c>
      <c r="R153" s="2" t="inlineStr"/>
    </row>
    <row r="154" ht="15" customHeight="1">
      <c r="A154" t="inlineStr">
        <is>
          <t>A 32000-2022</t>
        </is>
      </c>
      <c r="B154" s="1" t="n">
        <v>44777</v>
      </c>
      <c r="C154" s="1" t="n">
        <v>45997</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44849-2022</t>
        </is>
      </c>
      <c r="B155" s="1" t="n">
        <v>44841</v>
      </c>
      <c r="C155" s="1" t="n">
        <v>45997</v>
      </c>
      <c r="D155" t="inlineStr">
        <is>
          <t>ÖSTERGÖTLANDS LÄN</t>
        </is>
      </c>
      <c r="E155" t="inlineStr">
        <is>
          <t>LINKÖPING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70835-2021</t>
        </is>
      </c>
      <c r="B156" s="1" t="n">
        <v>44537</v>
      </c>
      <c r="C156" s="1" t="n">
        <v>45997</v>
      </c>
      <c r="D156" t="inlineStr">
        <is>
          <t>ÖSTERGÖTLANDS LÄN</t>
        </is>
      </c>
      <c r="E156" t="inlineStr">
        <is>
          <t>LINKÖPING</t>
        </is>
      </c>
      <c r="G156" t="n">
        <v>2.3</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45997</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54854-2022</t>
        </is>
      </c>
      <c r="B158" s="1" t="n">
        <v>44884</v>
      </c>
      <c r="C158" s="1" t="n">
        <v>45997</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54855-2022</t>
        </is>
      </c>
      <c r="B159" s="1" t="n">
        <v>44884.59502314815</v>
      </c>
      <c r="C159" s="1" t="n">
        <v>45997</v>
      </c>
      <c r="D159" t="inlineStr">
        <is>
          <t>ÖSTERGÖTLANDS LÄN</t>
        </is>
      </c>
      <c r="E159" t="inlineStr">
        <is>
          <t>LINKÖPING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38130-2021</t>
        </is>
      </c>
      <c r="B160" s="1" t="n">
        <v>44405</v>
      </c>
      <c r="C160" s="1" t="n">
        <v>45997</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11079-2022</t>
        </is>
      </c>
      <c r="B161" s="1" t="n">
        <v>44628</v>
      </c>
      <c r="C161" s="1" t="n">
        <v>45997</v>
      </c>
      <c r="D161" t="inlineStr">
        <is>
          <t>ÖSTERGÖTLANDS LÄN</t>
        </is>
      </c>
      <c r="E161" t="inlineStr">
        <is>
          <t>LINKÖPING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40527-2022</t>
        </is>
      </c>
      <c r="B162" s="1" t="n">
        <v>44823</v>
      </c>
      <c r="C162" s="1" t="n">
        <v>45997</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20901-2021</t>
        </is>
      </c>
      <c r="B163" s="1" t="n">
        <v>44319</v>
      </c>
      <c r="C163" s="1" t="n">
        <v>45997</v>
      </c>
      <c r="D163" t="inlineStr">
        <is>
          <t>ÖSTERGÖTLANDS LÄN</t>
        </is>
      </c>
      <c r="E163" t="inlineStr">
        <is>
          <t>LINKÖPING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45997</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45997</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52968-2021</t>
        </is>
      </c>
      <c r="B166" s="1" t="n">
        <v>44467</v>
      </c>
      <c r="C166" s="1" t="n">
        <v>45997</v>
      </c>
      <c r="D166" t="inlineStr">
        <is>
          <t>ÖSTERGÖTLANDS LÄN</t>
        </is>
      </c>
      <c r="E166" t="inlineStr">
        <is>
          <t>LINKÖPING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65398-2021</t>
        </is>
      </c>
      <c r="B167" s="1" t="n">
        <v>44515</v>
      </c>
      <c r="C167" s="1" t="n">
        <v>45997</v>
      </c>
      <c r="D167" t="inlineStr">
        <is>
          <t>ÖSTERGÖTLANDS LÄN</t>
        </is>
      </c>
      <c r="E167" t="inlineStr">
        <is>
          <t>LINKÖPING</t>
        </is>
      </c>
      <c r="F167" t="inlineStr">
        <is>
          <t>Övriga statliga verk och myndigheter</t>
        </is>
      </c>
      <c r="G167" t="n">
        <v>2.4</v>
      </c>
      <c r="H167" t="n">
        <v>0</v>
      </c>
      <c r="I167" t="n">
        <v>0</v>
      </c>
      <c r="J167" t="n">
        <v>0</v>
      </c>
      <c r="K167" t="n">
        <v>0</v>
      </c>
      <c r="L167" t="n">
        <v>0</v>
      </c>
      <c r="M167" t="n">
        <v>0</v>
      </c>
      <c r="N167" t="n">
        <v>0</v>
      </c>
      <c r="O167" t="n">
        <v>0</v>
      </c>
      <c r="P167" t="n">
        <v>0</v>
      </c>
      <c r="Q167" t="n">
        <v>0</v>
      </c>
      <c r="R167" s="2" t="inlineStr"/>
    </row>
    <row r="168" ht="15" customHeight="1">
      <c r="A168" t="inlineStr">
        <is>
          <t>A 67912-2021</t>
        </is>
      </c>
      <c r="B168" s="1" t="n">
        <v>44525</v>
      </c>
      <c r="C168" s="1" t="n">
        <v>45997</v>
      </c>
      <c r="D168" t="inlineStr">
        <is>
          <t>ÖSTERGÖTLANDS LÄN</t>
        </is>
      </c>
      <c r="E168" t="inlineStr">
        <is>
          <t>LINKÖPING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67940-2021</t>
        </is>
      </c>
      <c r="B169" s="1" t="n">
        <v>44525.62849537037</v>
      </c>
      <c r="C169" s="1" t="n">
        <v>45997</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13922-2021</t>
        </is>
      </c>
      <c r="B170" s="1" t="n">
        <v>44277.45946759259</v>
      </c>
      <c r="C170" s="1" t="n">
        <v>45997</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45997</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65395-2021</t>
        </is>
      </c>
      <c r="B172" s="1" t="n">
        <v>44515</v>
      </c>
      <c r="C172" s="1" t="n">
        <v>45997</v>
      </c>
      <c r="D172" t="inlineStr">
        <is>
          <t>ÖSTERGÖTLANDS LÄN</t>
        </is>
      </c>
      <c r="E172" t="inlineStr">
        <is>
          <t>LINKÖPING</t>
        </is>
      </c>
      <c r="F172" t="inlineStr">
        <is>
          <t>Övriga statliga verk och myndigheter</t>
        </is>
      </c>
      <c r="G172" t="n">
        <v>0.7</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45997</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33876-2021</t>
        </is>
      </c>
      <c r="B174" s="1" t="n">
        <v>44378</v>
      </c>
      <c r="C174" s="1" t="n">
        <v>45997</v>
      </c>
      <c r="D174" t="inlineStr">
        <is>
          <t>ÖSTERGÖTLANDS LÄN</t>
        </is>
      </c>
      <c r="E174" t="inlineStr">
        <is>
          <t>LINKÖPING</t>
        </is>
      </c>
      <c r="G174" t="n">
        <v>6.3</v>
      </c>
      <c r="H174" t="n">
        <v>0</v>
      </c>
      <c r="I174" t="n">
        <v>0</v>
      </c>
      <c r="J174" t="n">
        <v>0</v>
      </c>
      <c r="K174" t="n">
        <v>0</v>
      </c>
      <c r="L174" t="n">
        <v>0</v>
      </c>
      <c r="M174" t="n">
        <v>0</v>
      </c>
      <c r="N174" t="n">
        <v>0</v>
      </c>
      <c r="O174" t="n">
        <v>0</v>
      </c>
      <c r="P174" t="n">
        <v>0</v>
      </c>
      <c r="Q174" t="n">
        <v>0</v>
      </c>
      <c r="R174" s="2" t="inlineStr"/>
    </row>
    <row r="175" ht="15" customHeight="1">
      <c r="A175" t="inlineStr">
        <is>
          <t>A 10123-2021</t>
        </is>
      </c>
      <c r="B175" s="1" t="n">
        <v>44256</v>
      </c>
      <c r="C175" s="1" t="n">
        <v>45997</v>
      </c>
      <c r="D175" t="inlineStr">
        <is>
          <t>ÖSTERGÖTLANDS LÄN</t>
        </is>
      </c>
      <c r="E175" t="inlineStr">
        <is>
          <t>LINKÖPING</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48016-2021</t>
        </is>
      </c>
      <c r="B176" s="1" t="n">
        <v>44449</v>
      </c>
      <c r="C176" s="1" t="n">
        <v>45997</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33134-2022</t>
        </is>
      </c>
      <c r="B177" s="1" t="n">
        <v>44785</v>
      </c>
      <c r="C177" s="1" t="n">
        <v>45997</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45997</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19254-2021</t>
        </is>
      </c>
      <c r="B179" s="1" t="n">
        <v>44309.38962962963</v>
      </c>
      <c r="C179" s="1" t="n">
        <v>45997</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30858-2022</t>
        </is>
      </c>
      <c r="B180" s="1" t="n">
        <v>44767</v>
      </c>
      <c r="C180" s="1" t="n">
        <v>45997</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45997</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3862-2021</t>
        </is>
      </c>
      <c r="B182" s="1" t="n">
        <v>44221</v>
      </c>
      <c r="C182" s="1" t="n">
        <v>45997</v>
      </c>
      <c r="D182" t="inlineStr">
        <is>
          <t>ÖSTERGÖTLANDS LÄN</t>
        </is>
      </c>
      <c r="E182" t="inlineStr">
        <is>
          <t>LINKÖPING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3961-2021</t>
        </is>
      </c>
      <c r="B183" s="1" t="n">
        <v>44222</v>
      </c>
      <c r="C183" s="1" t="n">
        <v>45997</v>
      </c>
      <c r="D183" t="inlineStr">
        <is>
          <t>ÖSTERGÖTLANDS LÄN</t>
        </is>
      </c>
      <c r="E183" t="inlineStr">
        <is>
          <t>LINKÖPING</t>
        </is>
      </c>
      <c r="G183" t="n">
        <v>3.9</v>
      </c>
      <c r="H183" t="n">
        <v>0</v>
      </c>
      <c r="I183" t="n">
        <v>0</v>
      </c>
      <c r="J183" t="n">
        <v>0</v>
      </c>
      <c r="K183" t="n">
        <v>0</v>
      </c>
      <c r="L183" t="n">
        <v>0</v>
      </c>
      <c r="M183" t="n">
        <v>0</v>
      </c>
      <c r="N183" t="n">
        <v>0</v>
      </c>
      <c r="O183" t="n">
        <v>0</v>
      </c>
      <c r="P183" t="n">
        <v>0</v>
      </c>
      <c r="Q183" t="n">
        <v>0</v>
      </c>
      <c r="R183" s="2" t="inlineStr"/>
    </row>
    <row r="184" ht="15" customHeight="1">
      <c r="A184" t="inlineStr">
        <is>
          <t>A 4377-2021</t>
        </is>
      </c>
      <c r="B184" s="1" t="n">
        <v>44223</v>
      </c>
      <c r="C184" s="1" t="n">
        <v>45997</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23175-2022</t>
        </is>
      </c>
      <c r="B185" s="1" t="n">
        <v>44719</v>
      </c>
      <c r="C185" s="1" t="n">
        <v>45997</v>
      </c>
      <c r="D185" t="inlineStr">
        <is>
          <t>ÖSTERGÖTLANDS LÄN</t>
        </is>
      </c>
      <c r="E185" t="inlineStr">
        <is>
          <t>LINKÖPING</t>
        </is>
      </c>
      <c r="F185" t="inlineStr">
        <is>
          <t>Allmännings- och besparingsskogar</t>
        </is>
      </c>
      <c r="G185" t="n">
        <v>1.4</v>
      </c>
      <c r="H185" t="n">
        <v>0</v>
      </c>
      <c r="I185" t="n">
        <v>0</v>
      </c>
      <c r="J185" t="n">
        <v>0</v>
      </c>
      <c r="K185" t="n">
        <v>0</v>
      </c>
      <c r="L185" t="n">
        <v>0</v>
      </c>
      <c r="M185" t="n">
        <v>0</v>
      </c>
      <c r="N185" t="n">
        <v>0</v>
      </c>
      <c r="O185" t="n">
        <v>0</v>
      </c>
      <c r="P185" t="n">
        <v>0</v>
      </c>
      <c r="Q185" t="n">
        <v>0</v>
      </c>
      <c r="R185" s="2" t="inlineStr"/>
    </row>
    <row r="186" ht="15" customHeight="1">
      <c r="A186" t="inlineStr">
        <is>
          <t>A 23416-2022</t>
        </is>
      </c>
      <c r="B186" s="1" t="n">
        <v>44720.78243055556</v>
      </c>
      <c r="C186" s="1" t="n">
        <v>45997</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5605-2022</t>
        </is>
      </c>
      <c r="B187" s="1" t="n">
        <v>44595</v>
      </c>
      <c r="C187" s="1" t="n">
        <v>45997</v>
      </c>
      <c r="D187" t="inlineStr">
        <is>
          <t>ÖSTERGÖTLANDS LÄN</t>
        </is>
      </c>
      <c r="E187" t="inlineStr">
        <is>
          <t>LINKÖPING</t>
        </is>
      </c>
      <c r="F187" t="inlineStr">
        <is>
          <t>Övriga statliga verk och myndigheter</t>
        </is>
      </c>
      <c r="G187" t="n">
        <v>3</v>
      </c>
      <c r="H187" t="n">
        <v>0</v>
      </c>
      <c r="I187" t="n">
        <v>0</v>
      </c>
      <c r="J187" t="n">
        <v>0</v>
      </c>
      <c r="K187" t="n">
        <v>0</v>
      </c>
      <c r="L187" t="n">
        <v>0</v>
      </c>
      <c r="M187" t="n">
        <v>0</v>
      </c>
      <c r="N187" t="n">
        <v>0</v>
      </c>
      <c r="O187" t="n">
        <v>0</v>
      </c>
      <c r="P187" t="n">
        <v>0</v>
      </c>
      <c r="Q187" t="n">
        <v>0</v>
      </c>
      <c r="R187" s="2" t="inlineStr"/>
    </row>
    <row r="188" ht="15" customHeight="1">
      <c r="A188" t="inlineStr">
        <is>
          <t>A 56688-2021</t>
        </is>
      </c>
      <c r="B188" s="1" t="n">
        <v>44481</v>
      </c>
      <c r="C188" s="1" t="n">
        <v>45997</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61153-2021</t>
        </is>
      </c>
      <c r="B189" s="1" t="n">
        <v>44497</v>
      </c>
      <c r="C189" s="1" t="n">
        <v>45997</v>
      </c>
      <c r="D189" t="inlineStr">
        <is>
          <t>ÖSTERGÖTLANDS LÄN</t>
        </is>
      </c>
      <c r="E189" t="inlineStr">
        <is>
          <t>LINKÖPING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33885-2021</t>
        </is>
      </c>
      <c r="B190" s="1" t="n">
        <v>44378</v>
      </c>
      <c r="C190" s="1" t="n">
        <v>45997</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34486-2021</t>
        </is>
      </c>
      <c r="B191" s="1" t="n">
        <v>44382.29295138889</v>
      </c>
      <c r="C191" s="1" t="n">
        <v>45997</v>
      </c>
      <c r="D191" t="inlineStr">
        <is>
          <t>ÖSTERGÖTLANDS LÄN</t>
        </is>
      </c>
      <c r="E191" t="inlineStr">
        <is>
          <t>LINKÖPING</t>
        </is>
      </c>
      <c r="G191" t="n">
        <v>4.4</v>
      </c>
      <c r="H191" t="n">
        <v>0</v>
      </c>
      <c r="I191" t="n">
        <v>0</v>
      </c>
      <c r="J191" t="n">
        <v>0</v>
      </c>
      <c r="K191" t="n">
        <v>0</v>
      </c>
      <c r="L191" t="n">
        <v>0</v>
      </c>
      <c r="M191" t="n">
        <v>0</v>
      </c>
      <c r="N191" t="n">
        <v>0</v>
      </c>
      <c r="O191" t="n">
        <v>0</v>
      </c>
      <c r="P191" t="n">
        <v>0</v>
      </c>
      <c r="Q191" t="n">
        <v>0</v>
      </c>
      <c r="R191" s="2" t="inlineStr"/>
    </row>
    <row r="192" ht="15" customHeight="1">
      <c r="A192" t="inlineStr">
        <is>
          <t>A 27769-2022</t>
        </is>
      </c>
      <c r="B192" s="1" t="n">
        <v>44743.53200231482</v>
      </c>
      <c r="C192" s="1" t="n">
        <v>45997</v>
      </c>
      <c r="D192" t="inlineStr">
        <is>
          <t>ÖSTERGÖTLANDS LÄN</t>
        </is>
      </c>
      <c r="E192" t="inlineStr">
        <is>
          <t>LINKÖPING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45997</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58266-2021</t>
        </is>
      </c>
      <c r="B194" s="1" t="n">
        <v>44487</v>
      </c>
      <c r="C194" s="1" t="n">
        <v>45997</v>
      </c>
      <c r="D194" t="inlineStr">
        <is>
          <t>ÖSTERGÖTLANDS LÄN</t>
        </is>
      </c>
      <c r="E194" t="inlineStr">
        <is>
          <t>LINKÖPING</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45997</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28447-2021</t>
        </is>
      </c>
      <c r="B196" s="1" t="n">
        <v>44356</v>
      </c>
      <c r="C196" s="1" t="n">
        <v>45997</v>
      </c>
      <c r="D196" t="inlineStr">
        <is>
          <t>ÖSTERGÖTLANDS LÄN</t>
        </is>
      </c>
      <c r="E196" t="inlineStr">
        <is>
          <t>LINKÖPING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45997</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45997</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45997</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34880-2022</t>
        </is>
      </c>
      <c r="B200" s="1" t="n">
        <v>44796</v>
      </c>
      <c r="C200" s="1" t="n">
        <v>45997</v>
      </c>
      <c r="D200" t="inlineStr">
        <is>
          <t>ÖSTERGÖTLANDS LÄN</t>
        </is>
      </c>
      <c r="E200" t="inlineStr">
        <is>
          <t>LINKÖPING</t>
        </is>
      </c>
      <c r="F200" t="inlineStr">
        <is>
          <t>Övriga statliga verk och myndigheter</t>
        </is>
      </c>
      <c r="G200" t="n">
        <v>4</v>
      </c>
      <c r="H200" t="n">
        <v>0</v>
      </c>
      <c r="I200" t="n">
        <v>0</v>
      </c>
      <c r="J200" t="n">
        <v>0</v>
      </c>
      <c r="K200" t="n">
        <v>0</v>
      </c>
      <c r="L200" t="n">
        <v>0</v>
      </c>
      <c r="M200" t="n">
        <v>0</v>
      </c>
      <c r="N200" t="n">
        <v>0</v>
      </c>
      <c r="O200" t="n">
        <v>0</v>
      </c>
      <c r="P200" t="n">
        <v>0</v>
      </c>
      <c r="Q200" t="n">
        <v>0</v>
      </c>
      <c r="R200" s="2" t="inlineStr"/>
    </row>
    <row r="201" ht="15" customHeight="1">
      <c r="A201" t="inlineStr">
        <is>
          <t>A 48042-2022</t>
        </is>
      </c>
      <c r="B201" s="1" t="n">
        <v>44855</v>
      </c>
      <c r="C201" s="1" t="n">
        <v>45997</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45997</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39021-2021</t>
        </is>
      </c>
      <c r="B203" s="1" t="n">
        <v>44412</v>
      </c>
      <c r="C203" s="1" t="n">
        <v>45997</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45997</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45997</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51484-2023</t>
        </is>
      </c>
      <c r="B206" s="1" t="n">
        <v>45222</v>
      </c>
      <c r="C206" s="1" t="n">
        <v>45997</v>
      </c>
      <c r="D206" t="inlineStr">
        <is>
          <t>ÖSTERGÖTLANDS LÄN</t>
        </is>
      </c>
      <c r="E206" t="inlineStr">
        <is>
          <t>LINKÖPING</t>
        </is>
      </c>
      <c r="F206" t="inlineStr">
        <is>
          <t>Övriga Aktiebolag</t>
        </is>
      </c>
      <c r="G206" t="n">
        <v>7.7</v>
      </c>
      <c r="H206" t="n">
        <v>0</v>
      </c>
      <c r="I206" t="n">
        <v>0</v>
      </c>
      <c r="J206" t="n">
        <v>0</v>
      </c>
      <c r="K206" t="n">
        <v>0</v>
      </c>
      <c r="L206" t="n">
        <v>0</v>
      </c>
      <c r="M206" t="n">
        <v>0</v>
      </c>
      <c r="N206" t="n">
        <v>0</v>
      </c>
      <c r="O206" t="n">
        <v>0</v>
      </c>
      <c r="P206" t="n">
        <v>0</v>
      </c>
      <c r="Q206" t="n">
        <v>0</v>
      </c>
      <c r="R206" s="2" t="inlineStr"/>
    </row>
    <row r="207" ht="15" customHeight="1">
      <c r="A207" t="inlineStr">
        <is>
          <t>A 43475-2024</t>
        </is>
      </c>
      <c r="B207" s="1" t="n">
        <v>45568</v>
      </c>
      <c r="C207" s="1" t="n">
        <v>45997</v>
      </c>
      <c r="D207" t="inlineStr">
        <is>
          <t>ÖSTERGÖTLANDS LÄN</t>
        </is>
      </c>
      <c r="E207" t="inlineStr">
        <is>
          <t>LINKÖPING</t>
        </is>
      </c>
      <c r="G207" t="n">
        <v>3.2</v>
      </c>
      <c r="H207" t="n">
        <v>0</v>
      </c>
      <c r="I207" t="n">
        <v>0</v>
      </c>
      <c r="J207" t="n">
        <v>0</v>
      </c>
      <c r="K207" t="n">
        <v>0</v>
      </c>
      <c r="L207" t="n">
        <v>0</v>
      </c>
      <c r="M207" t="n">
        <v>0</v>
      </c>
      <c r="N207" t="n">
        <v>0</v>
      </c>
      <c r="O207" t="n">
        <v>0</v>
      </c>
      <c r="P207" t="n">
        <v>0</v>
      </c>
      <c r="Q207" t="n">
        <v>0</v>
      </c>
      <c r="R207" s="2" t="inlineStr"/>
    </row>
    <row r="208" ht="15" customHeight="1">
      <c r="A208" t="inlineStr">
        <is>
          <t>A 17103-2025</t>
        </is>
      </c>
      <c r="B208" s="1" t="n">
        <v>45755.66143518518</v>
      </c>
      <c r="C208" s="1" t="n">
        <v>45997</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30551-2023</t>
        </is>
      </c>
      <c r="B209" s="1" t="n">
        <v>45111</v>
      </c>
      <c r="C209" s="1" t="n">
        <v>45997</v>
      </c>
      <c r="D209" t="inlineStr">
        <is>
          <t>ÖSTERGÖTLANDS LÄN</t>
        </is>
      </c>
      <c r="E209" t="inlineStr">
        <is>
          <t>LINKÖPING</t>
        </is>
      </c>
      <c r="G209" t="n">
        <v>0.6</v>
      </c>
      <c r="H209" t="n">
        <v>0</v>
      </c>
      <c r="I209" t="n">
        <v>0</v>
      </c>
      <c r="J209" t="n">
        <v>0</v>
      </c>
      <c r="K209" t="n">
        <v>0</v>
      </c>
      <c r="L209" t="n">
        <v>0</v>
      </c>
      <c r="M209" t="n">
        <v>0</v>
      </c>
      <c r="N209" t="n">
        <v>0</v>
      </c>
      <c r="O209" t="n">
        <v>0</v>
      </c>
      <c r="P209" t="n">
        <v>0</v>
      </c>
      <c r="Q209" t="n">
        <v>0</v>
      </c>
      <c r="R209" s="2" t="inlineStr"/>
    </row>
    <row r="210" ht="15" customHeight="1">
      <c r="A210" t="inlineStr">
        <is>
          <t>A 50784-2022</t>
        </is>
      </c>
      <c r="B210" s="1" t="n">
        <v>44862</v>
      </c>
      <c r="C210" s="1" t="n">
        <v>45997</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9434-2024</t>
        </is>
      </c>
      <c r="B211" s="1" t="n">
        <v>45359</v>
      </c>
      <c r="C211" s="1" t="n">
        <v>45997</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22043-2023</t>
        </is>
      </c>
      <c r="B212" s="1" t="n">
        <v>45069.39050925926</v>
      </c>
      <c r="C212" s="1" t="n">
        <v>45997</v>
      </c>
      <c r="D212" t="inlineStr">
        <is>
          <t>ÖSTERGÖTLANDS LÄN</t>
        </is>
      </c>
      <c r="E212" t="inlineStr">
        <is>
          <t>LINKÖPING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63678-2023</t>
        </is>
      </c>
      <c r="B213" s="1" t="n">
        <v>45275.64769675926</v>
      </c>
      <c r="C213" s="1" t="n">
        <v>45997</v>
      </c>
      <c r="D213" t="inlineStr">
        <is>
          <t>ÖSTERGÖTLANDS LÄN</t>
        </is>
      </c>
      <c r="E213" t="inlineStr">
        <is>
          <t>LINKÖPING</t>
        </is>
      </c>
      <c r="F213" t="inlineStr">
        <is>
          <t>Övriga Aktiebolag</t>
        </is>
      </c>
      <c r="G213" t="n">
        <v>0.4</v>
      </c>
      <c r="H213" t="n">
        <v>0</v>
      </c>
      <c r="I213" t="n">
        <v>0</v>
      </c>
      <c r="J213" t="n">
        <v>0</v>
      </c>
      <c r="K213" t="n">
        <v>0</v>
      </c>
      <c r="L213" t="n">
        <v>0</v>
      </c>
      <c r="M213" t="n">
        <v>0</v>
      </c>
      <c r="N213" t="n">
        <v>0</v>
      </c>
      <c r="O213" t="n">
        <v>0</v>
      </c>
      <c r="P213" t="n">
        <v>0</v>
      </c>
      <c r="Q213" t="n">
        <v>0</v>
      </c>
      <c r="R213" s="2" t="inlineStr"/>
    </row>
    <row r="214" ht="15" customHeight="1">
      <c r="A214" t="inlineStr">
        <is>
          <t>A 63688-2023</t>
        </is>
      </c>
      <c r="B214" s="1" t="n">
        <v>45275</v>
      </c>
      <c r="C214" s="1" t="n">
        <v>45997</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63691-2023</t>
        </is>
      </c>
      <c r="B215" s="1" t="n">
        <v>45275</v>
      </c>
      <c r="C215" s="1" t="n">
        <v>45997</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34557-2022</t>
        </is>
      </c>
      <c r="B216" s="1" t="n">
        <v>44794.57074074074</v>
      </c>
      <c r="C216" s="1" t="n">
        <v>45997</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49656-2021</t>
        </is>
      </c>
      <c r="B217" s="1" t="n">
        <v>44454</v>
      </c>
      <c r="C217" s="1" t="n">
        <v>45997</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45997</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13689-2025</t>
        </is>
      </c>
      <c r="B219" s="1" t="n">
        <v>45737.31590277778</v>
      </c>
      <c r="C219" s="1" t="n">
        <v>45997</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13696-2025</t>
        </is>
      </c>
      <c r="B220" s="1" t="n">
        <v>45737.32273148148</v>
      </c>
      <c r="C220" s="1" t="n">
        <v>45997</v>
      </c>
      <c r="D220" t="inlineStr">
        <is>
          <t>ÖSTERGÖTLANDS LÄN</t>
        </is>
      </c>
      <c r="E220" t="inlineStr">
        <is>
          <t>LINKÖPING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12428-2024</t>
        </is>
      </c>
      <c r="B221" s="1" t="n">
        <v>45379</v>
      </c>
      <c r="C221" s="1" t="n">
        <v>45997</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30465-2023</t>
        </is>
      </c>
      <c r="B222" s="1" t="n">
        <v>45111</v>
      </c>
      <c r="C222" s="1" t="n">
        <v>45997</v>
      </c>
      <c r="D222" t="inlineStr">
        <is>
          <t>ÖSTERGÖTLANDS LÄN</t>
        </is>
      </c>
      <c r="E222" t="inlineStr">
        <is>
          <t>LINKÖPING</t>
        </is>
      </c>
      <c r="F222" t="inlineStr">
        <is>
          <t>Övriga Aktiebolag</t>
        </is>
      </c>
      <c r="G222" t="n">
        <v>0.7</v>
      </c>
      <c r="H222" t="n">
        <v>0</v>
      </c>
      <c r="I222" t="n">
        <v>0</v>
      </c>
      <c r="J222" t="n">
        <v>0</v>
      </c>
      <c r="K222" t="n">
        <v>0</v>
      </c>
      <c r="L222" t="n">
        <v>0</v>
      </c>
      <c r="M222" t="n">
        <v>0</v>
      </c>
      <c r="N222" t="n">
        <v>0</v>
      </c>
      <c r="O222" t="n">
        <v>0</v>
      </c>
      <c r="P222" t="n">
        <v>0</v>
      </c>
      <c r="Q222" t="n">
        <v>0</v>
      </c>
      <c r="R222" s="2" t="inlineStr"/>
    </row>
    <row r="223" ht="15" customHeight="1">
      <c r="A223" t="inlineStr">
        <is>
          <t>A 46225-2021</t>
        </is>
      </c>
      <c r="B223" s="1" t="n">
        <v>44442</v>
      </c>
      <c r="C223" s="1" t="n">
        <v>45997</v>
      </c>
      <c r="D223" t="inlineStr">
        <is>
          <t>ÖSTERGÖTLANDS LÄN</t>
        </is>
      </c>
      <c r="E223" t="inlineStr">
        <is>
          <t>LINKÖPING</t>
        </is>
      </c>
      <c r="G223" t="n">
        <v>2.9</v>
      </c>
      <c r="H223" t="n">
        <v>0</v>
      </c>
      <c r="I223" t="n">
        <v>0</v>
      </c>
      <c r="J223" t="n">
        <v>0</v>
      </c>
      <c r="K223" t="n">
        <v>0</v>
      </c>
      <c r="L223" t="n">
        <v>0</v>
      </c>
      <c r="M223" t="n">
        <v>0</v>
      </c>
      <c r="N223" t="n">
        <v>0</v>
      </c>
      <c r="O223" t="n">
        <v>0</v>
      </c>
      <c r="P223" t="n">
        <v>0</v>
      </c>
      <c r="Q223" t="n">
        <v>0</v>
      </c>
      <c r="R223" s="2" t="inlineStr"/>
    </row>
    <row r="224" ht="15" customHeight="1">
      <c r="A224" t="inlineStr">
        <is>
          <t>A 54428-2022</t>
        </is>
      </c>
      <c r="B224" s="1" t="n">
        <v>44882.57643518518</v>
      </c>
      <c r="C224" s="1" t="n">
        <v>45997</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30521-2024</t>
        </is>
      </c>
      <c r="B225" s="1" t="n">
        <v>45492</v>
      </c>
      <c r="C225" s="1" t="n">
        <v>45997</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40618-2021</t>
        </is>
      </c>
      <c r="B226" s="1" t="n">
        <v>44420.49575231481</v>
      </c>
      <c r="C226" s="1" t="n">
        <v>45997</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11790-2024</t>
        </is>
      </c>
      <c r="B227" s="1" t="n">
        <v>45374</v>
      </c>
      <c r="C227" s="1" t="n">
        <v>45997</v>
      </c>
      <c r="D227" t="inlineStr">
        <is>
          <t>ÖSTERGÖTLANDS LÄN</t>
        </is>
      </c>
      <c r="E227" t="inlineStr">
        <is>
          <t>LINKÖPING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61302-2021</t>
        </is>
      </c>
      <c r="B228" s="1" t="n">
        <v>44498.63189814815</v>
      </c>
      <c r="C228" s="1" t="n">
        <v>45997</v>
      </c>
      <c r="D228" t="inlineStr">
        <is>
          <t>ÖSTERGÖTLANDS LÄN</t>
        </is>
      </c>
      <c r="E228" t="inlineStr">
        <is>
          <t>LINKÖPING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48962-2022</t>
        </is>
      </c>
      <c r="B229" s="1" t="n">
        <v>44860.31635416667</v>
      </c>
      <c r="C229" s="1" t="n">
        <v>45997</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23735-2023</t>
        </is>
      </c>
      <c r="B230" s="1" t="n">
        <v>45077</v>
      </c>
      <c r="C230" s="1" t="n">
        <v>45997</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53647-2021</t>
        </is>
      </c>
      <c r="B231" s="1" t="n">
        <v>44469</v>
      </c>
      <c r="C231" s="1" t="n">
        <v>45997</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22772-2024</t>
        </is>
      </c>
      <c r="B232" s="1" t="n">
        <v>45448.46712962963</v>
      </c>
      <c r="C232" s="1" t="n">
        <v>45997</v>
      </c>
      <c r="D232" t="inlineStr">
        <is>
          <t>ÖSTERGÖTLANDS LÄN</t>
        </is>
      </c>
      <c r="E232" t="inlineStr">
        <is>
          <t>LINKÖPING</t>
        </is>
      </c>
      <c r="F232" t="inlineStr">
        <is>
          <t>Sveaskog</t>
        </is>
      </c>
      <c r="G232" t="n">
        <v>3</v>
      </c>
      <c r="H232" t="n">
        <v>0</v>
      </c>
      <c r="I232" t="n">
        <v>0</v>
      </c>
      <c r="J232" t="n">
        <v>0</v>
      </c>
      <c r="K232" t="n">
        <v>0</v>
      </c>
      <c r="L232" t="n">
        <v>0</v>
      </c>
      <c r="M232" t="n">
        <v>0</v>
      </c>
      <c r="N232" t="n">
        <v>0</v>
      </c>
      <c r="O232" t="n">
        <v>0</v>
      </c>
      <c r="P232" t="n">
        <v>0</v>
      </c>
      <c r="Q232" t="n">
        <v>0</v>
      </c>
      <c r="R232" s="2" t="inlineStr"/>
    </row>
    <row r="233" ht="15" customHeight="1">
      <c r="A233" t="inlineStr">
        <is>
          <t>A 18916-2024</t>
        </is>
      </c>
      <c r="B233" s="1" t="n">
        <v>45427.39541666667</v>
      </c>
      <c r="C233" s="1" t="n">
        <v>45997</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350-2022</t>
        </is>
      </c>
      <c r="B234" s="1" t="n">
        <v>44565</v>
      </c>
      <c r="C234" s="1" t="n">
        <v>45997</v>
      </c>
      <c r="D234" t="inlineStr">
        <is>
          <t>ÖSTERGÖTLANDS LÄN</t>
        </is>
      </c>
      <c r="E234" t="inlineStr">
        <is>
          <t>LINKÖPING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24586-2024</t>
        </is>
      </c>
      <c r="B235" s="1" t="n">
        <v>45460.46664351852</v>
      </c>
      <c r="C235" s="1" t="n">
        <v>45997</v>
      </c>
      <c r="D235" t="inlineStr">
        <is>
          <t>ÖSTERGÖTLANDS LÄN</t>
        </is>
      </c>
      <c r="E235" t="inlineStr">
        <is>
          <t>LINKÖPING</t>
        </is>
      </c>
      <c r="G235" t="n">
        <v>4</v>
      </c>
      <c r="H235" t="n">
        <v>0</v>
      </c>
      <c r="I235" t="n">
        <v>0</v>
      </c>
      <c r="J235" t="n">
        <v>0</v>
      </c>
      <c r="K235" t="n">
        <v>0</v>
      </c>
      <c r="L235" t="n">
        <v>0</v>
      </c>
      <c r="M235" t="n">
        <v>0</v>
      </c>
      <c r="N235" t="n">
        <v>0</v>
      </c>
      <c r="O235" t="n">
        <v>0</v>
      </c>
      <c r="P235" t="n">
        <v>0</v>
      </c>
      <c r="Q235" t="n">
        <v>0</v>
      </c>
      <c r="R235" s="2" t="inlineStr"/>
    </row>
    <row r="236" ht="15" customHeight="1">
      <c r="A236" t="inlineStr">
        <is>
          <t>A 4256-2022</t>
        </is>
      </c>
      <c r="B236" s="1" t="n">
        <v>44588</v>
      </c>
      <c r="C236" s="1" t="n">
        <v>45997</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45755.69678240741</v>
      </c>
      <c r="C237" s="1" t="n">
        <v>45997</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45755.70814814815</v>
      </c>
      <c r="C238" s="1" t="n">
        <v>45997</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45755.92731481481</v>
      </c>
      <c r="C239" s="1" t="n">
        <v>45997</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56917-2022</t>
        </is>
      </c>
      <c r="B240" s="1" t="n">
        <v>44894</v>
      </c>
      <c r="C240" s="1" t="n">
        <v>45997</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25948-2023</t>
        </is>
      </c>
      <c r="B241" s="1" t="n">
        <v>45090</v>
      </c>
      <c r="C241" s="1" t="n">
        <v>45997</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39017-2021</t>
        </is>
      </c>
      <c r="B242" s="1" t="n">
        <v>44412</v>
      </c>
      <c r="C242" s="1" t="n">
        <v>45997</v>
      </c>
      <c r="D242" t="inlineStr">
        <is>
          <t>ÖSTERGÖTLANDS LÄN</t>
        </is>
      </c>
      <c r="E242" t="inlineStr">
        <is>
          <t>LINKÖPING</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16820-2024</t>
        </is>
      </c>
      <c r="B243" s="1" t="n">
        <v>45411.46809027778</v>
      </c>
      <c r="C243" s="1" t="n">
        <v>45997</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30980-2022</t>
        </is>
      </c>
      <c r="B244" s="1" t="n">
        <v>44768</v>
      </c>
      <c r="C244" s="1" t="n">
        <v>45997</v>
      </c>
      <c r="D244" t="inlineStr">
        <is>
          <t>ÖSTERGÖTLANDS LÄN</t>
        </is>
      </c>
      <c r="E244" t="inlineStr">
        <is>
          <t>LINKÖPING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33867-2023</t>
        </is>
      </c>
      <c r="B245" s="1" t="n">
        <v>45133.94640046296</v>
      </c>
      <c r="C245" s="1" t="n">
        <v>45997</v>
      </c>
      <c r="D245" t="inlineStr">
        <is>
          <t>ÖSTERGÖTLANDS LÄN</t>
        </is>
      </c>
      <c r="E245" t="inlineStr">
        <is>
          <t>LINKÖPING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24351-2024</t>
        </is>
      </c>
      <c r="B246" s="1" t="n">
        <v>45457.59011574074</v>
      </c>
      <c r="C246" s="1" t="n">
        <v>45997</v>
      </c>
      <c r="D246" t="inlineStr">
        <is>
          <t>ÖSTERGÖTLANDS LÄN</t>
        </is>
      </c>
      <c r="E246" t="inlineStr">
        <is>
          <t>LINKÖPING</t>
        </is>
      </c>
      <c r="G246" t="n">
        <v>11.9</v>
      </c>
      <c r="H246" t="n">
        <v>0</v>
      </c>
      <c r="I246" t="n">
        <v>0</v>
      </c>
      <c r="J246" t="n">
        <v>0</v>
      </c>
      <c r="K246" t="n">
        <v>0</v>
      </c>
      <c r="L246" t="n">
        <v>0</v>
      </c>
      <c r="M246" t="n">
        <v>0</v>
      </c>
      <c r="N246" t="n">
        <v>0</v>
      </c>
      <c r="O246" t="n">
        <v>0</v>
      </c>
      <c r="P246" t="n">
        <v>0</v>
      </c>
      <c r="Q246" t="n">
        <v>0</v>
      </c>
      <c r="R246" s="2" t="inlineStr"/>
    </row>
    <row r="247" ht="15" customHeight="1">
      <c r="A247" t="inlineStr">
        <is>
          <t>A 62501-2023</t>
        </is>
      </c>
      <c r="B247" s="1" t="n">
        <v>45268</v>
      </c>
      <c r="C247" s="1" t="n">
        <v>45997</v>
      </c>
      <c r="D247" t="inlineStr">
        <is>
          <t>ÖSTERGÖTLANDS LÄN</t>
        </is>
      </c>
      <c r="E247" t="inlineStr">
        <is>
          <t>LINKÖPING</t>
        </is>
      </c>
      <c r="G247" t="n">
        <v>7.4</v>
      </c>
      <c r="H247" t="n">
        <v>0</v>
      </c>
      <c r="I247" t="n">
        <v>0</v>
      </c>
      <c r="J247" t="n">
        <v>0</v>
      </c>
      <c r="K247" t="n">
        <v>0</v>
      </c>
      <c r="L247" t="n">
        <v>0</v>
      </c>
      <c r="M247" t="n">
        <v>0</v>
      </c>
      <c r="N247" t="n">
        <v>0</v>
      </c>
      <c r="O247" t="n">
        <v>0</v>
      </c>
      <c r="P247" t="n">
        <v>0</v>
      </c>
      <c r="Q247" t="n">
        <v>0</v>
      </c>
      <c r="R247" s="2" t="inlineStr"/>
    </row>
    <row r="248" ht="15" customHeight="1">
      <c r="A248" t="inlineStr">
        <is>
          <t>A 58947-2022</t>
        </is>
      </c>
      <c r="B248" s="1" t="n">
        <v>44903.64769675926</v>
      </c>
      <c r="C248" s="1" t="n">
        <v>45997</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49979-2022</t>
        </is>
      </c>
      <c r="B249" s="1" t="n">
        <v>44865</v>
      </c>
      <c r="C249" s="1" t="n">
        <v>45997</v>
      </c>
      <c r="D249" t="inlineStr">
        <is>
          <t>ÖSTERGÖTLANDS LÄN</t>
        </is>
      </c>
      <c r="E249" t="inlineStr">
        <is>
          <t>LINKÖPING</t>
        </is>
      </c>
      <c r="F249" t="inlineStr">
        <is>
          <t>Övriga Aktiebolag</t>
        </is>
      </c>
      <c r="G249" t="n">
        <v>11.4</v>
      </c>
      <c r="H249" t="n">
        <v>0</v>
      </c>
      <c r="I249" t="n">
        <v>0</v>
      </c>
      <c r="J249" t="n">
        <v>0</v>
      </c>
      <c r="K249" t="n">
        <v>0</v>
      </c>
      <c r="L249" t="n">
        <v>0</v>
      </c>
      <c r="M249" t="n">
        <v>0</v>
      </c>
      <c r="N249" t="n">
        <v>0</v>
      </c>
      <c r="O249" t="n">
        <v>0</v>
      </c>
      <c r="P249" t="n">
        <v>0</v>
      </c>
      <c r="Q249" t="n">
        <v>0</v>
      </c>
      <c r="R249" s="2" t="inlineStr"/>
    </row>
    <row r="250" ht="15" customHeight="1">
      <c r="A250" t="inlineStr">
        <is>
          <t>A 24462-2023</t>
        </is>
      </c>
      <c r="B250" s="1" t="n">
        <v>45082</v>
      </c>
      <c r="C250" s="1" t="n">
        <v>45997</v>
      </c>
      <c r="D250" t="inlineStr">
        <is>
          <t>ÖSTERGÖTLANDS LÄN</t>
        </is>
      </c>
      <c r="E250" t="inlineStr">
        <is>
          <t>LINKÖPING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53827-2023</t>
        </is>
      </c>
      <c r="B251" s="1" t="n">
        <v>45230</v>
      </c>
      <c r="C251" s="1" t="n">
        <v>45997</v>
      </c>
      <c r="D251" t="inlineStr">
        <is>
          <t>ÖSTERGÖTLANDS LÄN</t>
        </is>
      </c>
      <c r="E251" t="inlineStr">
        <is>
          <t>LINKÖPING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940-2023</t>
        </is>
      </c>
      <c r="B252" s="1" t="n">
        <v>44933</v>
      </c>
      <c r="C252" s="1" t="n">
        <v>45997</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48829-2023</t>
        </is>
      </c>
      <c r="B253" s="1" t="n">
        <v>45209.38177083333</v>
      </c>
      <c r="C253" s="1" t="n">
        <v>45997</v>
      </c>
      <c r="D253" t="inlineStr">
        <is>
          <t>ÖSTERGÖTLANDS LÄN</t>
        </is>
      </c>
      <c r="E253" t="inlineStr">
        <is>
          <t>LINKÖPING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7992-2023</t>
        </is>
      </c>
      <c r="B254" s="1" t="n">
        <v>44970</v>
      </c>
      <c r="C254" s="1" t="n">
        <v>45997</v>
      </c>
      <c r="D254" t="inlineStr">
        <is>
          <t>ÖSTERGÖTLANDS LÄN</t>
        </is>
      </c>
      <c r="E254" t="inlineStr">
        <is>
          <t>LINKÖPING</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45819-2024</t>
        </is>
      </c>
      <c r="B255" s="1" t="n">
        <v>45579.7454050926</v>
      </c>
      <c r="C255" s="1" t="n">
        <v>45997</v>
      </c>
      <c r="D255" t="inlineStr">
        <is>
          <t>ÖSTERGÖTLANDS LÄN</t>
        </is>
      </c>
      <c r="E255" t="inlineStr">
        <is>
          <t>LINKÖPING</t>
        </is>
      </c>
      <c r="G255" t="n">
        <v>5</v>
      </c>
      <c r="H255" t="n">
        <v>0</v>
      </c>
      <c r="I255" t="n">
        <v>0</v>
      </c>
      <c r="J255" t="n">
        <v>0</v>
      </c>
      <c r="K255" t="n">
        <v>0</v>
      </c>
      <c r="L255" t="n">
        <v>0</v>
      </c>
      <c r="M255" t="n">
        <v>0</v>
      </c>
      <c r="N255" t="n">
        <v>0</v>
      </c>
      <c r="O255" t="n">
        <v>0</v>
      </c>
      <c r="P255" t="n">
        <v>0</v>
      </c>
      <c r="Q255" t="n">
        <v>0</v>
      </c>
      <c r="R255" s="2" t="inlineStr"/>
    </row>
    <row r="256" ht="15" customHeight="1">
      <c r="A256" t="inlineStr">
        <is>
          <t>A 3041-2024</t>
        </is>
      </c>
      <c r="B256" s="1" t="n">
        <v>45316.34875</v>
      </c>
      <c r="C256" s="1" t="n">
        <v>45997</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38231-2022</t>
        </is>
      </c>
      <c r="B257" s="1" t="n">
        <v>44812</v>
      </c>
      <c r="C257" s="1" t="n">
        <v>45997</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50799-2022</t>
        </is>
      </c>
      <c r="B258" s="1" t="n">
        <v>44862</v>
      </c>
      <c r="C258" s="1" t="n">
        <v>45997</v>
      </c>
      <c r="D258" t="inlineStr">
        <is>
          <t>ÖSTERGÖTLANDS LÄN</t>
        </is>
      </c>
      <c r="E258" t="inlineStr">
        <is>
          <t>LINKÖPING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3530-2024</t>
        </is>
      </c>
      <c r="B259" s="1" t="n">
        <v>45320.54717592592</v>
      </c>
      <c r="C259" s="1" t="n">
        <v>45997</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40431-2024</t>
        </is>
      </c>
      <c r="B260" s="1" t="n">
        <v>45555.47070601852</v>
      </c>
      <c r="C260" s="1" t="n">
        <v>45997</v>
      </c>
      <c r="D260" t="inlineStr">
        <is>
          <t>ÖSTERGÖTLANDS LÄN</t>
        </is>
      </c>
      <c r="E260" t="inlineStr">
        <is>
          <t>LINKÖPING</t>
        </is>
      </c>
      <c r="F260" t="inlineStr">
        <is>
          <t>Allmännings- och besparingsskogar</t>
        </is>
      </c>
      <c r="G260" t="n">
        <v>2.9</v>
      </c>
      <c r="H260" t="n">
        <v>0</v>
      </c>
      <c r="I260" t="n">
        <v>0</v>
      </c>
      <c r="J260" t="n">
        <v>0</v>
      </c>
      <c r="K260" t="n">
        <v>0</v>
      </c>
      <c r="L260" t="n">
        <v>0</v>
      </c>
      <c r="M260" t="n">
        <v>0</v>
      </c>
      <c r="N260" t="n">
        <v>0</v>
      </c>
      <c r="O260" t="n">
        <v>0</v>
      </c>
      <c r="P260" t="n">
        <v>0</v>
      </c>
      <c r="Q260" t="n">
        <v>0</v>
      </c>
      <c r="R260" s="2" t="inlineStr"/>
    </row>
    <row r="261" ht="15" customHeight="1">
      <c r="A261" t="inlineStr">
        <is>
          <t>A 62686-2023</t>
        </is>
      </c>
      <c r="B261" s="1" t="n">
        <v>45271</v>
      </c>
      <c r="C261" s="1" t="n">
        <v>45997</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267-2023</t>
        </is>
      </c>
      <c r="B262" s="1" t="n">
        <v>44928.80907407407</v>
      </c>
      <c r="C262" s="1" t="n">
        <v>45997</v>
      </c>
      <c r="D262" t="inlineStr">
        <is>
          <t>ÖSTERGÖTLANDS LÄN</t>
        </is>
      </c>
      <c r="E262" t="inlineStr">
        <is>
          <t>LINKÖPING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26618-2023</t>
        </is>
      </c>
      <c r="B263" s="1" t="n">
        <v>45092.70306712963</v>
      </c>
      <c r="C263" s="1" t="n">
        <v>45997</v>
      </c>
      <c r="D263" t="inlineStr">
        <is>
          <t>ÖSTERGÖTLANDS LÄN</t>
        </is>
      </c>
      <c r="E263" t="inlineStr">
        <is>
          <t>LINKÖPING</t>
        </is>
      </c>
      <c r="G263" t="n">
        <v>6.9</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45997</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55345-2021</t>
        </is>
      </c>
      <c r="B265" s="1" t="n">
        <v>44475</v>
      </c>
      <c r="C265" s="1" t="n">
        <v>45997</v>
      </c>
      <c r="D265" t="inlineStr">
        <is>
          <t>ÖSTERGÖTLANDS LÄN</t>
        </is>
      </c>
      <c r="E265" t="inlineStr">
        <is>
          <t>LINKÖPING</t>
        </is>
      </c>
      <c r="G265" t="n">
        <v>5.7</v>
      </c>
      <c r="H265" t="n">
        <v>0</v>
      </c>
      <c r="I265" t="n">
        <v>0</v>
      </c>
      <c r="J265" t="n">
        <v>0</v>
      </c>
      <c r="K265" t="n">
        <v>0</v>
      </c>
      <c r="L265" t="n">
        <v>0</v>
      </c>
      <c r="M265" t="n">
        <v>0</v>
      </c>
      <c r="N265" t="n">
        <v>0</v>
      </c>
      <c r="O265" t="n">
        <v>0</v>
      </c>
      <c r="P265" t="n">
        <v>0</v>
      </c>
      <c r="Q265" t="n">
        <v>0</v>
      </c>
      <c r="R265" s="2" t="inlineStr"/>
    </row>
    <row r="266" ht="15" customHeight="1">
      <c r="A266" t="inlineStr">
        <is>
          <t>A 63489-2023</t>
        </is>
      </c>
      <c r="B266" s="1" t="n">
        <v>45274.66761574074</v>
      </c>
      <c r="C266" s="1" t="n">
        <v>45997</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70-2024</t>
        </is>
      </c>
      <c r="B267" s="1" t="n">
        <v>45293</v>
      </c>
      <c r="C267" s="1" t="n">
        <v>45997</v>
      </c>
      <c r="D267" t="inlineStr">
        <is>
          <t>ÖSTERGÖTLANDS LÄN</t>
        </is>
      </c>
      <c r="E267" t="inlineStr">
        <is>
          <t>LINKÖPING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67123-2020</t>
        </is>
      </c>
      <c r="B268" s="1" t="n">
        <v>44180</v>
      </c>
      <c r="C268" s="1" t="n">
        <v>45997</v>
      </c>
      <c r="D268" t="inlineStr">
        <is>
          <t>ÖSTERGÖTLANDS LÄN</t>
        </is>
      </c>
      <c r="E268" t="inlineStr">
        <is>
          <t>LINKÖPING</t>
        </is>
      </c>
      <c r="F268" t="inlineStr">
        <is>
          <t>Övriga statliga verk och myndigheter</t>
        </is>
      </c>
      <c r="G268" t="n">
        <v>1.3</v>
      </c>
      <c r="H268" t="n">
        <v>0</v>
      </c>
      <c r="I268" t="n">
        <v>0</v>
      </c>
      <c r="J268" t="n">
        <v>0</v>
      </c>
      <c r="K268" t="n">
        <v>0</v>
      </c>
      <c r="L268" t="n">
        <v>0</v>
      </c>
      <c r="M268" t="n">
        <v>0</v>
      </c>
      <c r="N268" t="n">
        <v>0</v>
      </c>
      <c r="O268" t="n">
        <v>0</v>
      </c>
      <c r="P268" t="n">
        <v>0</v>
      </c>
      <c r="Q268" t="n">
        <v>0</v>
      </c>
      <c r="R268" s="2" t="inlineStr"/>
    </row>
    <row r="269" ht="15" customHeight="1">
      <c r="A269" t="inlineStr">
        <is>
          <t>A 6782-2024</t>
        </is>
      </c>
      <c r="B269" s="1" t="n">
        <v>45342</v>
      </c>
      <c r="C269" s="1" t="n">
        <v>45997</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617-2024</t>
        </is>
      </c>
      <c r="B270" s="1" t="n">
        <v>45299.66028935185</v>
      </c>
      <c r="C270" s="1" t="n">
        <v>45997</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670-2024</t>
        </is>
      </c>
      <c r="B271" s="1" t="n">
        <v>45300.3408912037</v>
      </c>
      <c r="C271" s="1" t="n">
        <v>45997</v>
      </c>
      <c r="D271" t="inlineStr">
        <is>
          <t>ÖSTERGÖTLANDS LÄN</t>
        </is>
      </c>
      <c r="E271" t="inlineStr">
        <is>
          <t>LINKÖPING</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52125-2022</t>
        </is>
      </c>
      <c r="B272" s="1" t="n">
        <v>44873</v>
      </c>
      <c r="C272" s="1" t="n">
        <v>45997</v>
      </c>
      <c r="D272" t="inlineStr">
        <is>
          <t>ÖSTERGÖTLANDS LÄN</t>
        </is>
      </c>
      <c r="E272" t="inlineStr">
        <is>
          <t>LINKÖPING</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30429-2024</t>
        </is>
      </c>
      <c r="B273" s="1" t="n">
        <v>45491.68972222223</v>
      </c>
      <c r="C273" s="1" t="n">
        <v>45997</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1084-2023</t>
        </is>
      </c>
      <c r="B274" s="1" t="n">
        <v>44929</v>
      </c>
      <c r="C274" s="1" t="n">
        <v>45997</v>
      </c>
      <c r="D274" t="inlineStr">
        <is>
          <t>ÖSTERGÖTLANDS LÄN</t>
        </is>
      </c>
      <c r="E274" t="inlineStr">
        <is>
          <t>LINKÖPING</t>
        </is>
      </c>
      <c r="G274" t="n">
        <v>10.4</v>
      </c>
      <c r="H274" t="n">
        <v>0</v>
      </c>
      <c r="I274" t="n">
        <v>0</v>
      </c>
      <c r="J274" t="n">
        <v>0</v>
      </c>
      <c r="K274" t="n">
        <v>0</v>
      </c>
      <c r="L274" t="n">
        <v>0</v>
      </c>
      <c r="M274" t="n">
        <v>0</v>
      </c>
      <c r="N274" t="n">
        <v>0</v>
      </c>
      <c r="O274" t="n">
        <v>0</v>
      </c>
      <c r="P274" t="n">
        <v>0</v>
      </c>
      <c r="Q274" t="n">
        <v>0</v>
      </c>
      <c r="R274" s="2" t="inlineStr"/>
    </row>
    <row r="275" ht="15" customHeight="1">
      <c r="A275" t="inlineStr">
        <is>
          <t>A 29859-2024</t>
        </is>
      </c>
      <c r="B275" s="1" t="n">
        <v>45485.6846412037</v>
      </c>
      <c r="C275" s="1" t="n">
        <v>45997</v>
      </c>
      <c r="D275" t="inlineStr">
        <is>
          <t>ÖSTERGÖTLANDS LÄN</t>
        </is>
      </c>
      <c r="E275" t="inlineStr">
        <is>
          <t>LINKÖPING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51571-2024</t>
        </is>
      </c>
      <c r="B276" s="1" t="n">
        <v>45604</v>
      </c>
      <c r="C276" s="1" t="n">
        <v>45997</v>
      </c>
      <c r="D276" t="inlineStr">
        <is>
          <t>ÖSTERGÖTLANDS LÄN</t>
        </is>
      </c>
      <c r="E276" t="inlineStr">
        <is>
          <t>LINKÖPING</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223-2024</t>
        </is>
      </c>
      <c r="B277" s="1" t="n">
        <v>45294.72739583333</v>
      </c>
      <c r="C277" s="1" t="n">
        <v>45997</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227-2024</t>
        </is>
      </c>
      <c r="B278" s="1" t="n">
        <v>45294.73603009259</v>
      </c>
      <c r="C278" s="1" t="n">
        <v>45997</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45997</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53816-2023</t>
        </is>
      </c>
      <c r="B280" s="1" t="n">
        <v>45231.40012731482</v>
      </c>
      <c r="C280" s="1" t="n">
        <v>45997</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36557-2023</t>
        </is>
      </c>
      <c r="B281" s="1" t="n">
        <v>45153</v>
      </c>
      <c r="C281" s="1" t="n">
        <v>45997</v>
      </c>
      <c r="D281" t="inlineStr">
        <is>
          <t>ÖSTERGÖTLANDS LÄN</t>
        </is>
      </c>
      <c r="E281" t="inlineStr">
        <is>
          <t>LINKÖPING</t>
        </is>
      </c>
      <c r="F281" t="inlineStr">
        <is>
          <t>Övriga Aktiebolag</t>
        </is>
      </c>
      <c r="G281" t="n">
        <v>3.1</v>
      </c>
      <c r="H281" t="n">
        <v>0</v>
      </c>
      <c r="I281" t="n">
        <v>0</v>
      </c>
      <c r="J281" t="n">
        <v>0</v>
      </c>
      <c r="K281" t="n">
        <v>0</v>
      </c>
      <c r="L281" t="n">
        <v>0</v>
      </c>
      <c r="M281" t="n">
        <v>0</v>
      </c>
      <c r="N281" t="n">
        <v>0</v>
      </c>
      <c r="O281" t="n">
        <v>0</v>
      </c>
      <c r="P281" t="n">
        <v>0</v>
      </c>
      <c r="Q281" t="n">
        <v>0</v>
      </c>
      <c r="R281" s="2" t="inlineStr"/>
    </row>
    <row r="282" ht="15" customHeight="1">
      <c r="A282" t="inlineStr">
        <is>
          <t>A 6599-2023</t>
        </is>
      </c>
      <c r="B282" s="1" t="n">
        <v>44966.52603009259</v>
      </c>
      <c r="C282" s="1" t="n">
        <v>45997</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43473-2024</t>
        </is>
      </c>
      <c r="B283" s="1" t="n">
        <v>45568</v>
      </c>
      <c r="C283" s="1" t="n">
        <v>45997</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30860-2022</t>
        </is>
      </c>
      <c r="B284" s="1" t="n">
        <v>44767</v>
      </c>
      <c r="C284" s="1" t="n">
        <v>45997</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48186-2022</t>
        </is>
      </c>
      <c r="B285" s="1" t="n">
        <v>44858</v>
      </c>
      <c r="C285" s="1" t="n">
        <v>45997</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41426-2022</t>
        </is>
      </c>
      <c r="B286" s="1" t="n">
        <v>44826</v>
      </c>
      <c r="C286" s="1" t="n">
        <v>45997</v>
      </c>
      <c r="D286" t="inlineStr">
        <is>
          <t>ÖSTERGÖTLANDS LÄN</t>
        </is>
      </c>
      <c r="E286" t="inlineStr">
        <is>
          <t>LINKÖPING</t>
        </is>
      </c>
      <c r="G286" t="n">
        <v>3</v>
      </c>
      <c r="H286" t="n">
        <v>0</v>
      </c>
      <c r="I286" t="n">
        <v>0</v>
      </c>
      <c r="J286" t="n">
        <v>0</v>
      </c>
      <c r="K286" t="n">
        <v>0</v>
      </c>
      <c r="L286" t="n">
        <v>0</v>
      </c>
      <c r="M286" t="n">
        <v>0</v>
      </c>
      <c r="N286" t="n">
        <v>0</v>
      </c>
      <c r="O286" t="n">
        <v>0</v>
      </c>
      <c r="P286" t="n">
        <v>0</v>
      </c>
      <c r="Q286" t="n">
        <v>0</v>
      </c>
      <c r="R286" s="2" t="inlineStr"/>
    </row>
    <row r="287" ht="15" customHeight="1">
      <c r="A287" t="inlineStr">
        <is>
          <t>A 28266-2024</t>
        </is>
      </c>
      <c r="B287" s="1" t="n">
        <v>45477.43600694444</v>
      </c>
      <c r="C287" s="1" t="n">
        <v>45997</v>
      </c>
      <c r="D287" t="inlineStr">
        <is>
          <t>ÖSTERGÖTLANDS LÄN</t>
        </is>
      </c>
      <c r="E287" t="inlineStr">
        <is>
          <t>LINKÖPING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31548-2022</t>
        </is>
      </c>
      <c r="B288" s="1" t="n">
        <v>44775.39832175926</v>
      </c>
      <c r="C288" s="1" t="n">
        <v>45997</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1211-2023</t>
        </is>
      </c>
      <c r="B289" s="1" t="n">
        <v>44930</v>
      </c>
      <c r="C289" s="1" t="n">
        <v>45997</v>
      </c>
      <c r="D289" t="inlineStr">
        <is>
          <t>ÖSTERGÖTLANDS LÄN</t>
        </is>
      </c>
      <c r="E289" t="inlineStr">
        <is>
          <t>LINKÖPING</t>
        </is>
      </c>
      <c r="F289" t="inlineStr">
        <is>
          <t>Övriga statliga verk och myndigheter</t>
        </is>
      </c>
      <c r="G289" t="n">
        <v>7.9</v>
      </c>
      <c r="H289" t="n">
        <v>0</v>
      </c>
      <c r="I289" t="n">
        <v>0</v>
      </c>
      <c r="J289" t="n">
        <v>0</v>
      </c>
      <c r="K289" t="n">
        <v>0</v>
      </c>
      <c r="L289" t="n">
        <v>0</v>
      </c>
      <c r="M289" t="n">
        <v>0</v>
      </c>
      <c r="N289" t="n">
        <v>0</v>
      </c>
      <c r="O289" t="n">
        <v>0</v>
      </c>
      <c r="P289" t="n">
        <v>0</v>
      </c>
      <c r="Q289" t="n">
        <v>0</v>
      </c>
      <c r="R289" s="2" t="inlineStr"/>
    </row>
    <row r="290" ht="15" customHeight="1">
      <c r="A290" t="inlineStr">
        <is>
          <t>A 51191-2022</t>
        </is>
      </c>
      <c r="B290" s="1" t="n">
        <v>44865</v>
      </c>
      <c r="C290" s="1" t="n">
        <v>45997</v>
      </c>
      <c r="D290" t="inlineStr">
        <is>
          <t>ÖSTERGÖTLANDS LÄN</t>
        </is>
      </c>
      <c r="E290" t="inlineStr">
        <is>
          <t>LINKÖPING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45997</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61532-2021</t>
        </is>
      </c>
      <c r="B292" s="1" t="n">
        <v>44501</v>
      </c>
      <c r="C292" s="1" t="n">
        <v>45997</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45997</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224-2024</t>
        </is>
      </c>
      <c r="B294" s="1" t="n">
        <v>45294</v>
      </c>
      <c r="C294" s="1" t="n">
        <v>45997</v>
      </c>
      <c r="D294" t="inlineStr">
        <is>
          <t>ÖSTERGÖTLANDS LÄN</t>
        </is>
      </c>
      <c r="E294" t="inlineStr">
        <is>
          <t>LINKÖPING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6726-2024</t>
        </is>
      </c>
      <c r="B295" s="1" t="n">
        <v>45341</v>
      </c>
      <c r="C295" s="1" t="n">
        <v>45997</v>
      </c>
      <c r="D295" t="inlineStr">
        <is>
          <t>ÖSTERGÖTLANDS LÄN</t>
        </is>
      </c>
      <c r="E295" t="inlineStr">
        <is>
          <t>LINKÖPING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63669-2023</t>
        </is>
      </c>
      <c r="B296" s="1" t="n">
        <v>45275</v>
      </c>
      <c r="C296" s="1" t="n">
        <v>45997</v>
      </c>
      <c r="D296" t="inlineStr">
        <is>
          <t>ÖSTERGÖTLANDS LÄN</t>
        </is>
      </c>
      <c r="E296" t="inlineStr">
        <is>
          <t>LINKÖPING</t>
        </is>
      </c>
      <c r="F296" t="inlineStr">
        <is>
          <t>Övriga Aktiebolag</t>
        </is>
      </c>
      <c r="G296" t="n">
        <v>3</v>
      </c>
      <c r="H296" t="n">
        <v>0</v>
      </c>
      <c r="I296" t="n">
        <v>0</v>
      </c>
      <c r="J296" t="n">
        <v>0</v>
      </c>
      <c r="K296" t="n">
        <v>0</v>
      </c>
      <c r="L296" t="n">
        <v>0</v>
      </c>
      <c r="M296" t="n">
        <v>0</v>
      </c>
      <c r="N296" t="n">
        <v>0</v>
      </c>
      <c r="O296" t="n">
        <v>0</v>
      </c>
      <c r="P296" t="n">
        <v>0</v>
      </c>
      <c r="Q296" t="n">
        <v>0</v>
      </c>
      <c r="R296" s="2" t="inlineStr"/>
    </row>
    <row r="297" ht="15" customHeight="1">
      <c r="A297" t="inlineStr">
        <is>
          <t>A 12289-2025</t>
        </is>
      </c>
      <c r="B297" s="1" t="n">
        <v>45729</v>
      </c>
      <c r="C297" s="1" t="n">
        <v>45997</v>
      </c>
      <c r="D297" t="inlineStr">
        <is>
          <t>ÖSTERGÖTLANDS LÄN</t>
        </is>
      </c>
      <c r="E297" t="inlineStr">
        <is>
          <t>LINKÖPING</t>
        </is>
      </c>
      <c r="F297" t="inlineStr">
        <is>
          <t>Övriga statliga verk och myndigheter</t>
        </is>
      </c>
      <c r="G297" t="n">
        <v>6.5</v>
      </c>
      <c r="H297" t="n">
        <v>0</v>
      </c>
      <c r="I297" t="n">
        <v>0</v>
      </c>
      <c r="J297" t="n">
        <v>0</v>
      </c>
      <c r="K297" t="n">
        <v>0</v>
      </c>
      <c r="L297" t="n">
        <v>0</v>
      </c>
      <c r="M297" t="n">
        <v>0</v>
      </c>
      <c r="N297" t="n">
        <v>0</v>
      </c>
      <c r="O297" t="n">
        <v>0</v>
      </c>
      <c r="P297" t="n">
        <v>0</v>
      </c>
      <c r="Q297" t="n">
        <v>0</v>
      </c>
      <c r="R297" s="2" t="inlineStr"/>
    </row>
    <row r="298" ht="15" customHeight="1">
      <c r="A298" t="inlineStr">
        <is>
          <t>A 36657-2023</t>
        </is>
      </c>
      <c r="B298" s="1" t="n">
        <v>45153.5702662037</v>
      </c>
      <c r="C298" s="1" t="n">
        <v>45997</v>
      </c>
      <c r="D298" t="inlineStr">
        <is>
          <t>ÖSTERGÖTLANDS LÄN</t>
        </is>
      </c>
      <c r="E298" t="inlineStr">
        <is>
          <t>LINKÖPING</t>
        </is>
      </c>
      <c r="F298" t="inlineStr">
        <is>
          <t>Allmännings- och besparingsskogar</t>
        </is>
      </c>
      <c r="G298" t="n">
        <v>2</v>
      </c>
      <c r="H298" t="n">
        <v>0</v>
      </c>
      <c r="I298" t="n">
        <v>0</v>
      </c>
      <c r="J298" t="n">
        <v>0</v>
      </c>
      <c r="K298" t="n">
        <v>0</v>
      </c>
      <c r="L298" t="n">
        <v>0</v>
      </c>
      <c r="M298" t="n">
        <v>0</v>
      </c>
      <c r="N298" t="n">
        <v>0</v>
      </c>
      <c r="O298" t="n">
        <v>0</v>
      </c>
      <c r="P298" t="n">
        <v>0</v>
      </c>
      <c r="Q298" t="n">
        <v>0</v>
      </c>
      <c r="R298" s="2" t="inlineStr"/>
    </row>
    <row r="299" ht="15" customHeight="1">
      <c r="A299" t="inlineStr">
        <is>
          <t>A 19169-2023</t>
        </is>
      </c>
      <c r="B299" s="1" t="n">
        <v>45044</v>
      </c>
      <c r="C299" s="1" t="n">
        <v>45997</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1209-2023</t>
        </is>
      </c>
      <c r="B300" s="1" t="n">
        <v>44930</v>
      </c>
      <c r="C300" s="1" t="n">
        <v>45997</v>
      </c>
      <c r="D300" t="inlineStr">
        <is>
          <t>ÖSTERGÖTLANDS LÄN</t>
        </is>
      </c>
      <c r="E300" t="inlineStr">
        <is>
          <t>LINKÖPING</t>
        </is>
      </c>
      <c r="F300" t="inlineStr">
        <is>
          <t>Övriga statliga verk och myndigheter</t>
        </is>
      </c>
      <c r="G300" t="n">
        <v>25.8</v>
      </c>
      <c r="H300" t="n">
        <v>0</v>
      </c>
      <c r="I300" t="n">
        <v>0</v>
      </c>
      <c r="J300" t="n">
        <v>0</v>
      </c>
      <c r="K300" t="n">
        <v>0</v>
      </c>
      <c r="L300" t="n">
        <v>0</v>
      </c>
      <c r="M300" t="n">
        <v>0</v>
      </c>
      <c r="N300" t="n">
        <v>0</v>
      </c>
      <c r="O300" t="n">
        <v>0</v>
      </c>
      <c r="P300" t="n">
        <v>0</v>
      </c>
      <c r="Q300" t="n">
        <v>0</v>
      </c>
      <c r="R300" s="2" t="inlineStr"/>
    </row>
    <row r="301" ht="15" customHeight="1">
      <c r="A301" t="inlineStr">
        <is>
          <t>A 1265-2023</t>
        </is>
      </c>
      <c r="B301" s="1" t="n">
        <v>44936</v>
      </c>
      <c r="C301" s="1" t="n">
        <v>45997</v>
      </c>
      <c r="D301" t="inlineStr">
        <is>
          <t>ÖSTERGÖTLANDS LÄN</t>
        </is>
      </c>
      <c r="E301" t="inlineStr">
        <is>
          <t>LINKÖPING</t>
        </is>
      </c>
      <c r="G301" t="n">
        <v>2.3</v>
      </c>
      <c r="H301" t="n">
        <v>0</v>
      </c>
      <c r="I301" t="n">
        <v>0</v>
      </c>
      <c r="J301" t="n">
        <v>0</v>
      </c>
      <c r="K301" t="n">
        <v>0</v>
      </c>
      <c r="L301" t="n">
        <v>0</v>
      </c>
      <c r="M301" t="n">
        <v>0</v>
      </c>
      <c r="N301" t="n">
        <v>0</v>
      </c>
      <c r="O301" t="n">
        <v>0</v>
      </c>
      <c r="P301" t="n">
        <v>0</v>
      </c>
      <c r="Q301" t="n">
        <v>0</v>
      </c>
      <c r="R301" s="2" t="inlineStr"/>
    </row>
    <row r="302" ht="15" customHeight="1">
      <c r="A302" t="inlineStr">
        <is>
          <t>A 2085-2024</t>
        </is>
      </c>
      <c r="B302" s="1" t="n">
        <v>45309</v>
      </c>
      <c r="C302" s="1" t="n">
        <v>45997</v>
      </c>
      <c r="D302" t="inlineStr">
        <is>
          <t>ÖSTERGÖTLANDS LÄN</t>
        </is>
      </c>
      <c r="E302" t="inlineStr">
        <is>
          <t>LINKÖPING</t>
        </is>
      </c>
      <c r="G302" t="n">
        <v>4.5</v>
      </c>
      <c r="H302" t="n">
        <v>0</v>
      </c>
      <c r="I302" t="n">
        <v>0</v>
      </c>
      <c r="J302" t="n">
        <v>0</v>
      </c>
      <c r="K302" t="n">
        <v>0</v>
      </c>
      <c r="L302" t="n">
        <v>0</v>
      </c>
      <c r="M302" t="n">
        <v>0</v>
      </c>
      <c r="N302" t="n">
        <v>0</v>
      </c>
      <c r="O302" t="n">
        <v>0</v>
      </c>
      <c r="P302" t="n">
        <v>0</v>
      </c>
      <c r="Q302" t="n">
        <v>0</v>
      </c>
      <c r="R302" s="2" t="inlineStr"/>
    </row>
    <row r="303" ht="15" customHeight="1">
      <c r="A303" t="inlineStr">
        <is>
          <t>A 1362-2023</t>
        </is>
      </c>
      <c r="B303" s="1" t="n">
        <v>44931</v>
      </c>
      <c r="C303" s="1" t="n">
        <v>45997</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53814-2023</t>
        </is>
      </c>
      <c r="B304" s="1" t="n">
        <v>45231</v>
      </c>
      <c r="C304" s="1" t="n">
        <v>45997</v>
      </c>
      <c r="D304" t="inlineStr">
        <is>
          <t>ÖSTERGÖTLANDS LÄN</t>
        </is>
      </c>
      <c r="E304" t="inlineStr">
        <is>
          <t>LINKÖPING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48-2024</t>
        </is>
      </c>
      <c r="B305" s="1" t="n">
        <v>45293</v>
      </c>
      <c r="C305" s="1" t="n">
        <v>45997</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60004-2022</t>
        </is>
      </c>
      <c r="B306" s="1" t="n">
        <v>44909.47206018519</v>
      </c>
      <c r="C306" s="1" t="n">
        <v>45997</v>
      </c>
      <c r="D306" t="inlineStr">
        <is>
          <t>ÖSTERGÖTLANDS LÄN</t>
        </is>
      </c>
      <c r="E306" t="inlineStr">
        <is>
          <t>LINKÖPING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56560-2023</t>
        </is>
      </c>
      <c r="B307" s="1" t="n">
        <v>45238</v>
      </c>
      <c r="C307" s="1" t="n">
        <v>45997</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52796-2023</t>
        </is>
      </c>
      <c r="B308" s="1" t="n">
        <v>45219</v>
      </c>
      <c r="C308" s="1" t="n">
        <v>45997</v>
      </c>
      <c r="D308" t="inlineStr">
        <is>
          <t>ÖSTERGÖTLANDS LÄN</t>
        </is>
      </c>
      <c r="E308" t="inlineStr">
        <is>
          <t>LINKÖPING</t>
        </is>
      </c>
      <c r="F308" t="inlineStr">
        <is>
          <t>Övriga statliga verk och myndigheter</t>
        </is>
      </c>
      <c r="G308" t="n">
        <v>3.9</v>
      </c>
      <c r="H308" t="n">
        <v>0</v>
      </c>
      <c r="I308" t="n">
        <v>0</v>
      </c>
      <c r="J308" t="n">
        <v>0</v>
      </c>
      <c r="K308" t="n">
        <v>0</v>
      </c>
      <c r="L308" t="n">
        <v>0</v>
      </c>
      <c r="M308" t="n">
        <v>0</v>
      </c>
      <c r="N308" t="n">
        <v>0</v>
      </c>
      <c r="O308" t="n">
        <v>0</v>
      </c>
      <c r="P308" t="n">
        <v>0</v>
      </c>
      <c r="Q308" t="n">
        <v>0</v>
      </c>
      <c r="R308" s="2" t="inlineStr"/>
    </row>
    <row r="309" ht="15" customHeight="1">
      <c r="A309" t="inlineStr">
        <is>
          <t>A 50743-2023</t>
        </is>
      </c>
      <c r="B309" s="1" t="n">
        <v>45217</v>
      </c>
      <c r="C309" s="1" t="n">
        <v>45997</v>
      </c>
      <c r="D309" t="inlineStr">
        <is>
          <t>ÖSTERGÖTLANDS LÄN</t>
        </is>
      </c>
      <c r="E309" t="inlineStr">
        <is>
          <t>LINKÖPING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45771-2023</t>
        </is>
      </c>
      <c r="B310" s="1" t="n">
        <v>45195.4384375</v>
      </c>
      <c r="C310" s="1" t="n">
        <v>45997</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19132-2023</t>
        </is>
      </c>
      <c r="B311" s="1" t="n">
        <v>45048.54754629629</v>
      </c>
      <c r="C311" s="1" t="n">
        <v>45997</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63554-2023</t>
        </is>
      </c>
      <c r="B312" s="1" t="n">
        <v>45275</v>
      </c>
      <c r="C312" s="1" t="n">
        <v>45997</v>
      </c>
      <c r="D312" t="inlineStr">
        <is>
          <t>ÖSTERGÖTLANDS LÄN</t>
        </is>
      </c>
      <c r="E312" t="inlineStr">
        <is>
          <t>LINKÖPING</t>
        </is>
      </c>
      <c r="G312" t="n">
        <v>4.3</v>
      </c>
      <c r="H312" t="n">
        <v>0</v>
      </c>
      <c r="I312" t="n">
        <v>0</v>
      </c>
      <c r="J312" t="n">
        <v>0</v>
      </c>
      <c r="K312" t="n">
        <v>0</v>
      </c>
      <c r="L312" t="n">
        <v>0</v>
      </c>
      <c r="M312" t="n">
        <v>0</v>
      </c>
      <c r="N312" t="n">
        <v>0</v>
      </c>
      <c r="O312" t="n">
        <v>0</v>
      </c>
      <c r="P312" t="n">
        <v>0</v>
      </c>
      <c r="Q312" t="n">
        <v>0</v>
      </c>
      <c r="R312" s="2" t="inlineStr"/>
    </row>
    <row r="313" ht="15" customHeight="1">
      <c r="A313" t="inlineStr">
        <is>
          <t>A 52412-2023</t>
        </is>
      </c>
      <c r="B313" s="1" t="n">
        <v>45225.27888888889</v>
      </c>
      <c r="C313" s="1" t="n">
        <v>45997</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30111-2024</t>
        </is>
      </c>
      <c r="B314" s="1" t="n">
        <v>45489.46947916667</v>
      </c>
      <c r="C314" s="1" t="n">
        <v>45997</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30119-2024</t>
        </is>
      </c>
      <c r="B315" s="1" t="n">
        <v>45489</v>
      </c>
      <c r="C315" s="1" t="n">
        <v>45997</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6206-2024</t>
        </is>
      </c>
      <c r="B316" s="1" t="n">
        <v>45337.5977662037</v>
      </c>
      <c r="C316" s="1" t="n">
        <v>45997</v>
      </c>
      <c r="D316" t="inlineStr">
        <is>
          <t>ÖSTERGÖTLANDS LÄN</t>
        </is>
      </c>
      <c r="E316" t="inlineStr">
        <is>
          <t>LINKÖPING</t>
        </is>
      </c>
      <c r="G316" t="n">
        <v>2</v>
      </c>
      <c r="H316" t="n">
        <v>0</v>
      </c>
      <c r="I316" t="n">
        <v>0</v>
      </c>
      <c r="J316" t="n">
        <v>0</v>
      </c>
      <c r="K316" t="n">
        <v>0</v>
      </c>
      <c r="L316" t="n">
        <v>0</v>
      </c>
      <c r="M316" t="n">
        <v>0</v>
      </c>
      <c r="N316" t="n">
        <v>0</v>
      </c>
      <c r="O316" t="n">
        <v>0</v>
      </c>
      <c r="P316" t="n">
        <v>0</v>
      </c>
      <c r="Q316" t="n">
        <v>0</v>
      </c>
      <c r="R316" s="2" t="inlineStr"/>
    </row>
    <row r="317" ht="15" customHeight="1">
      <c r="A317" t="inlineStr">
        <is>
          <t>A 34162-2022</t>
        </is>
      </c>
      <c r="B317" s="1" t="n">
        <v>44791</v>
      </c>
      <c r="C317" s="1" t="n">
        <v>45997</v>
      </c>
      <c r="D317" t="inlineStr">
        <is>
          <t>ÖSTERGÖTLANDS LÄN</t>
        </is>
      </c>
      <c r="E317" t="inlineStr">
        <is>
          <t>LINKÖPING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61298-2021</t>
        </is>
      </c>
      <c r="B318" s="1" t="n">
        <v>44498.62533564815</v>
      </c>
      <c r="C318" s="1" t="n">
        <v>45997</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61333-2021</t>
        </is>
      </c>
      <c r="B319" s="1" t="n">
        <v>44498.6764699074</v>
      </c>
      <c r="C319" s="1" t="n">
        <v>45997</v>
      </c>
      <c r="D319" t="inlineStr">
        <is>
          <t>ÖSTERGÖTLANDS LÄN</t>
        </is>
      </c>
      <c r="E319" t="inlineStr">
        <is>
          <t>LINKÖPING</t>
        </is>
      </c>
      <c r="G319" t="n">
        <v>7.5</v>
      </c>
      <c r="H319" t="n">
        <v>0</v>
      </c>
      <c r="I319" t="n">
        <v>0</v>
      </c>
      <c r="J319" t="n">
        <v>0</v>
      </c>
      <c r="K319" t="n">
        <v>0</v>
      </c>
      <c r="L319" t="n">
        <v>0</v>
      </c>
      <c r="M319" t="n">
        <v>0</v>
      </c>
      <c r="N319" t="n">
        <v>0</v>
      </c>
      <c r="O319" t="n">
        <v>0</v>
      </c>
      <c r="P319" t="n">
        <v>0</v>
      </c>
      <c r="Q319" t="n">
        <v>0</v>
      </c>
      <c r="R319" s="2" t="inlineStr"/>
    </row>
    <row r="320" ht="15" customHeight="1">
      <c r="A320" t="inlineStr">
        <is>
          <t>A 54034-2022</t>
        </is>
      </c>
      <c r="B320" s="1" t="n">
        <v>44881</v>
      </c>
      <c r="C320" s="1" t="n">
        <v>45997</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12412-2022</t>
        </is>
      </c>
      <c r="B321" s="1" t="n">
        <v>44638</v>
      </c>
      <c r="C321" s="1" t="n">
        <v>45997</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62492-2023</t>
        </is>
      </c>
      <c r="B322" s="1" t="n">
        <v>45268.58987268519</v>
      </c>
      <c r="C322" s="1" t="n">
        <v>45997</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55493-2021</t>
        </is>
      </c>
      <c r="B323" s="1" t="n">
        <v>44475.61988425926</v>
      </c>
      <c r="C323" s="1" t="n">
        <v>45997</v>
      </c>
      <c r="D323" t="inlineStr">
        <is>
          <t>ÖSTERGÖTLANDS LÄN</t>
        </is>
      </c>
      <c r="E323" t="inlineStr">
        <is>
          <t>LINKÖPING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15714-2024</t>
        </is>
      </c>
      <c r="B324" s="1" t="n">
        <v>45404.48288194444</v>
      </c>
      <c r="C324" s="1" t="n">
        <v>45997</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45997</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74160-2021</t>
        </is>
      </c>
      <c r="B326" s="1" t="n">
        <v>44558</v>
      </c>
      <c r="C326" s="1" t="n">
        <v>45997</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63559-2023</t>
        </is>
      </c>
      <c r="B327" s="1" t="n">
        <v>45275.35924768518</v>
      </c>
      <c r="C327" s="1" t="n">
        <v>45997</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5872-2025</t>
        </is>
      </c>
      <c r="B328" s="1" t="n">
        <v>45695.36659722222</v>
      </c>
      <c r="C328" s="1" t="n">
        <v>45997</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59674-2024</t>
        </is>
      </c>
      <c r="B329" s="1" t="n">
        <v>45639</v>
      </c>
      <c r="C329" s="1" t="n">
        <v>45997</v>
      </c>
      <c r="D329" t="inlineStr">
        <is>
          <t>ÖSTERGÖTLANDS LÄN</t>
        </is>
      </c>
      <c r="E329" t="inlineStr">
        <is>
          <t>LINKÖPING</t>
        </is>
      </c>
      <c r="G329" t="n">
        <v>6.3</v>
      </c>
      <c r="H329" t="n">
        <v>0</v>
      </c>
      <c r="I329" t="n">
        <v>0</v>
      </c>
      <c r="J329" t="n">
        <v>0</v>
      </c>
      <c r="K329" t="n">
        <v>0</v>
      </c>
      <c r="L329" t="n">
        <v>0</v>
      </c>
      <c r="M329" t="n">
        <v>0</v>
      </c>
      <c r="N329" t="n">
        <v>0</v>
      </c>
      <c r="O329" t="n">
        <v>0</v>
      </c>
      <c r="P329" t="n">
        <v>0</v>
      </c>
      <c r="Q329" t="n">
        <v>0</v>
      </c>
      <c r="R329" s="2" t="inlineStr"/>
    </row>
    <row r="330" ht="15" customHeight="1">
      <c r="A330" t="inlineStr">
        <is>
          <t>A 38230-2023</t>
        </is>
      </c>
      <c r="B330" s="1" t="n">
        <v>45161.55373842592</v>
      </c>
      <c r="C330" s="1" t="n">
        <v>45997</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56756-2023</t>
        </is>
      </c>
      <c r="B331" s="1" t="n">
        <v>45244</v>
      </c>
      <c r="C331" s="1" t="n">
        <v>45997</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23491-2024</t>
        </is>
      </c>
      <c r="B332" s="1" t="n">
        <v>45453</v>
      </c>
      <c r="C332" s="1" t="n">
        <v>45997</v>
      </c>
      <c r="D332" t="inlineStr">
        <is>
          <t>ÖSTERGÖTLANDS LÄN</t>
        </is>
      </c>
      <c r="E332" t="inlineStr">
        <is>
          <t>LINKÖPING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29309-2024</t>
        </is>
      </c>
      <c r="B333" s="1" t="n">
        <v>45483</v>
      </c>
      <c r="C333" s="1" t="n">
        <v>45997</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29411-2023</t>
        </is>
      </c>
      <c r="B334" s="1" t="n">
        <v>45106.46225694445</v>
      </c>
      <c r="C334" s="1" t="n">
        <v>45997</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29412-2023</t>
        </is>
      </c>
      <c r="B335" s="1" t="n">
        <v>45106.46359953703</v>
      </c>
      <c r="C335" s="1" t="n">
        <v>45997</v>
      </c>
      <c r="D335" t="inlineStr">
        <is>
          <t>ÖSTERGÖTLANDS LÄN</t>
        </is>
      </c>
      <c r="E335" t="inlineStr">
        <is>
          <t>LINKÖPING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29413-2023</t>
        </is>
      </c>
      <c r="B336" s="1" t="n">
        <v>45106.46465277778</v>
      </c>
      <c r="C336" s="1" t="n">
        <v>45997</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38886-2024</t>
        </is>
      </c>
      <c r="B337" s="1" t="n">
        <v>45547.66443287037</v>
      </c>
      <c r="C337" s="1" t="n">
        <v>45997</v>
      </c>
      <c r="D337" t="inlineStr">
        <is>
          <t>ÖSTERGÖTLANDS LÄN</t>
        </is>
      </c>
      <c r="E337" t="inlineStr">
        <is>
          <t>LINKÖPING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11590-2023</t>
        </is>
      </c>
      <c r="B338" s="1" t="n">
        <v>44994.36689814815</v>
      </c>
      <c r="C338" s="1" t="n">
        <v>45997</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24151-2024</t>
        </is>
      </c>
      <c r="B339" s="1" t="n">
        <v>45456.67717592593</v>
      </c>
      <c r="C339" s="1" t="n">
        <v>45997</v>
      </c>
      <c r="D339" t="inlineStr">
        <is>
          <t>ÖSTERGÖTLANDS LÄN</t>
        </is>
      </c>
      <c r="E339" t="inlineStr">
        <is>
          <t>LINKÖPING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10461-2023</t>
        </is>
      </c>
      <c r="B340" s="1" t="n">
        <v>44987.5969212963</v>
      </c>
      <c r="C340" s="1" t="n">
        <v>45997</v>
      </c>
      <c r="D340" t="inlineStr">
        <is>
          <t>ÖSTERGÖTLANDS LÄN</t>
        </is>
      </c>
      <c r="E340" t="inlineStr">
        <is>
          <t>LINKÖPING</t>
        </is>
      </c>
      <c r="G340" t="n">
        <v>7.8</v>
      </c>
      <c r="H340" t="n">
        <v>0</v>
      </c>
      <c r="I340" t="n">
        <v>0</v>
      </c>
      <c r="J340" t="n">
        <v>0</v>
      </c>
      <c r="K340" t="n">
        <v>0</v>
      </c>
      <c r="L340" t="n">
        <v>0</v>
      </c>
      <c r="M340" t="n">
        <v>0</v>
      </c>
      <c r="N340" t="n">
        <v>0</v>
      </c>
      <c r="O340" t="n">
        <v>0</v>
      </c>
      <c r="P340" t="n">
        <v>0</v>
      </c>
      <c r="Q340" t="n">
        <v>0</v>
      </c>
      <c r="R340" s="2" t="inlineStr"/>
    </row>
    <row r="341" ht="15" customHeight="1">
      <c r="A341" t="inlineStr">
        <is>
          <t>A 63845-2021</t>
        </is>
      </c>
      <c r="B341" s="1" t="n">
        <v>44509</v>
      </c>
      <c r="C341" s="1" t="n">
        <v>45997</v>
      </c>
      <c r="D341" t="inlineStr">
        <is>
          <t>ÖSTERGÖTLANDS LÄN</t>
        </is>
      </c>
      <c r="E341" t="inlineStr">
        <is>
          <t>LINKÖPING</t>
        </is>
      </c>
      <c r="G341" t="n">
        <v>5</v>
      </c>
      <c r="H341" t="n">
        <v>0</v>
      </c>
      <c r="I341" t="n">
        <v>0</v>
      </c>
      <c r="J341" t="n">
        <v>0</v>
      </c>
      <c r="K341" t="n">
        <v>0</v>
      </c>
      <c r="L341" t="n">
        <v>0</v>
      </c>
      <c r="M341" t="n">
        <v>0</v>
      </c>
      <c r="N341" t="n">
        <v>0</v>
      </c>
      <c r="O341" t="n">
        <v>0</v>
      </c>
      <c r="P341" t="n">
        <v>0</v>
      </c>
      <c r="Q341" t="n">
        <v>0</v>
      </c>
      <c r="R341" s="2" t="inlineStr"/>
    </row>
    <row r="342" ht="15" customHeight="1">
      <c r="A342" t="inlineStr">
        <is>
          <t>A 41345-2021</t>
        </is>
      </c>
      <c r="B342" s="1" t="n">
        <v>44424.61851851852</v>
      </c>
      <c r="C342" s="1" t="n">
        <v>45997</v>
      </c>
      <c r="D342" t="inlineStr">
        <is>
          <t>ÖSTERGÖTLANDS LÄN</t>
        </is>
      </c>
      <c r="E342" t="inlineStr">
        <is>
          <t>LINKÖPING</t>
        </is>
      </c>
      <c r="F342" t="inlineStr">
        <is>
          <t>Sveaskog</t>
        </is>
      </c>
      <c r="G342" t="n">
        <v>6.3</v>
      </c>
      <c r="H342" t="n">
        <v>0</v>
      </c>
      <c r="I342" t="n">
        <v>0</v>
      </c>
      <c r="J342" t="n">
        <v>0</v>
      </c>
      <c r="K342" t="n">
        <v>0</v>
      </c>
      <c r="L342" t="n">
        <v>0</v>
      </c>
      <c r="M342" t="n">
        <v>0</v>
      </c>
      <c r="N342" t="n">
        <v>0</v>
      </c>
      <c r="O342" t="n">
        <v>0</v>
      </c>
      <c r="P342" t="n">
        <v>0</v>
      </c>
      <c r="Q342" t="n">
        <v>0</v>
      </c>
      <c r="R342" s="2" t="inlineStr"/>
    </row>
    <row r="343" ht="15" customHeight="1">
      <c r="A343" t="inlineStr">
        <is>
          <t>A 17785-2023</t>
        </is>
      </c>
      <c r="B343" s="1" t="n">
        <v>45037.55094907407</v>
      </c>
      <c r="C343" s="1" t="n">
        <v>45997</v>
      </c>
      <c r="D343" t="inlineStr">
        <is>
          <t>ÖSTERGÖTLANDS LÄN</t>
        </is>
      </c>
      <c r="E343" t="inlineStr">
        <is>
          <t>LINKÖPING</t>
        </is>
      </c>
      <c r="F343" t="inlineStr">
        <is>
          <t>Allmännings- och besparingsskogar</t>
        </is>
      </c>
      <c r="G343" t="n">
        <v>3.1</v>
      </c>
      <c r="H343" t="n">
        <v>0</v>
      </c>
      <c r="I343" t="n">
        <v>0</v>
      </c>
      <c r="J343" t="n">
        <v>0</v>
      </c>
      <c r="K343" t="n">
        <v>0</v>
      </c>
      <c r="L343" t="n">
        <v>0</v>
      </c>
      <c r="M343" t="n">
        <v>0</v>
      </c>
      <c r="N343" t="n">
        <v>0</v>
      </c>
      <c r="O343" t="n">
        <v>0</v>
      </c>
      <c r="P343" t="n">
        <v>0</v>
      </c>
      <c r="Q343" t="n">
        <v>0</v>
      </c>
      <c r="R343" s="2" t="inlineStr"/>
    </row>
    <row r="344" ht="15" customHeight="1">
      <c r="A344" t="inlineStr">
        <is>
          <t>A 32346-2023</t>
        </is>
      </c>
      <c r="B344" s="1" t="n">
        <v>45120</v>
      </c>
      <c r="C344" s="1" t="n">
        <v>45997</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1627-2023</t>
        </is>
      </c>
      <c r="B345" s="1" t="n">
        <v>44937</v>
      </c>
      <c r="C345" s="1" t="n">
        <v>45997</v>
      </c>
      <c r="D345" t="inlineStr">
        <is>
          <t>ÖSTERGÖTLANDS LÄN</t>
        </is>
      </c>
      <c r="E345" t="inlineStr">
        <is>
          <t>LINKÖPING</t>
        </is>
      </c>
      <c r="G345" t="n">
        <v>10.8</v>
      </c>
      <c r="H345" t="n">
        <v>0</v>
      </c>
      <c r="I345" t="n">
        <v>0</v>
      </c>
      <c r="J345" t="n">
        <v>0</v>
      </c>
      <c r="K345" t="n">
        <v>0</v>
      </c>
      <c r="L345" t="n">
        <v>0</v>
      </c>
      <c r="M345" t="n">
        <v>0</v>
      </c>
      <c r="N345" t="n">
        <v>0</v>
      </c>
      <c r="O345" t="n">
        <v>0</v>
      </c>
      <c r="P345" t="n">
        <v>0</v>
      </c>
      <c r="Q345" t="n">
        <v>0</v>
      </c>
      <c r="R345" s="2" t="inlineStr"/>
    </row>
    <row r="346" ht="15" customHeight="1">
      <c r="A346" t="inlineStr">
        <is>
          <t>A 67129-2020</t>
        </is>
      </c>
      <c r="B346" s="1" t="n">
        <v>44180</v>
      </c>
      <c r="C346" s="1" t="n">
        <v>45997</v>
      </c>
      <c r="D346" t="inlineStr">
        <is>
          <t>ÖSTERGÖTLANDS LÄN</t>
        </is>
      </c>
      <c r="E346" t="inlineStr">
        <is>
          <t>LINKÖPING</t>
        </is>
      </c>
      <c r="F346" t="inlineStr">
        <is>
          <t>Övriga statliga verk och myndigheter</t>
        </is>
      </c>
      <c r="G346" t="n">
        <v>2.7</v>
      </c>
      <c r="H346" t="n">
        <v>0</v>
      </c>
      <c r="I346" t="n">
        <v>0</v>
      </c>
      <c r="J346" t="n">
        <v>0</v>
      </c>
      <c r="K346" t="n">
        <v>0</v>
      </c>
      <c r="L346" t="n">
        <v>0</v>
      </c>
      <c r="M346" t="n">
        <v>0</v>
      </c>
      <c r="N346" t="n">
        <v>0</v>
      </c>
      <c r="O346" t="n">
        <v>0</v>
      </c>
      <c r="P346" t="n">
        <v>0</v>
      </c>
      <c r="Q346" t="n">
        <v>0</v>
      </c>
      <c r="R346" s="2" t="inlineStr"/>
    </row>
    <row r="347" ht="15" customHeight="1">
      <c r="A347" t="inlineStr">
        <is>
          <t>A 16665-2023</t>
        </is>
      </c>
      <c r="B347" s="1" t="n">
        <v>45030.5583912037</v>
      </c>
      <c r="C347" s="1" t="n">
        <v>45997</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61307-2021</t>
        </is>
      </c>
      <c r="B348" s="1" t="n">
        <v>44498.63928240741</v>
      </c>
      <c r="C348" s="1" t="n">
        <v>45997</v>
      </c>
      <c r="D348" t="inlineStr">
        <is>
          <t>ÖSTERGÖTLANDS LÄN</t>
        </is>
      </c>
      <c r="E348" t="inlineStr">
        <is>
          <t>LINKÖPING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61325-2021</t>
        </is>
      </c>
      <c r="B349" s="1" t="n">
        <v>44498.66814814815</v>
      </c>
      <c r="C349" s="1" t="n">
        <v>45997</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60010-2022</t>
        </is>
      </c>
      <c r="B350" s="1" t="n">
        <v>44909.4740625</v>
      </c>
      <c r="C350" s="1" t="n">
        <v>45997</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60860-2024</t>
        </is>
      </c>
      <c r="B351" s="1" t="n">
        <v>45644.6893287037</v>
      </c>
      <c r="C351" s="1" t="n">
        <v>45997</v>
      </c>
      <c r="D351" t="inlineStr">
        <is>
          <t>ÖSTERGÖTLANDS LÄN</t>
        </is>
      </c>
      <c r="E351" t="inlineStr">
        <is>
          <t>LINKÖPING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31640-2023</t>
        </is>
      </c>
      <c r="B352" s="1" t="n">
        <v>45117</v>
      </c>
      <c r="C352" s="1" t="n">
        <v>45997</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16213-2025</t>
        </is>
      </c>
      <c r="B353" s="1" t="n">
        <v>45750.62740740741</v>
      </c>
      <c r="C353" s="1" t="n">
        <v>45997</v>
      </c>
      <c r="D353" t="inlineStr">
        <is>
          <t>ÖSTERGÖTLANDS LÄN</t>
        </is>
      </c>
      <c r="E353" t="inlineStr">
        <is>
          <t>LINKÖPING</t>
        </is>
      </c>
      <c r="G353" t="n">
        <v>3.4</v>
      </c>
      <c r="H353" t="n">
        <v>0</v>
      </c>
      <c r="I353" t="n">
        <v>0</v>
      </c>
      <c r="J353" t="n">
        <v>0</v>
      </c>
      <c r="K353" t="n">
        <v>0</v>
      </c>
      <c r="L353" t="n">
        <v>0</v>
      </c>
      <c r="M353" t="n">
        <v>0</v>
      </c>
      <c r="N353" t="n">
        <v>0</v>
      </c>
      <c r="O353" t="n">
        <v>0</v>
      </c>
      <c r="P353" t="n">
        <v>0</v>
      </c>
      <c r="Q353" t="n">
        <v>0</v>
      </c>
      <c r="R353" s="2" t="inlineStr"/>
    </row>
    <row r="354" ht="15" customHeight="1">
      <c r="A354" t="inlineStr">
        <is>
          <t>A 30518-2024</t>
        </is>
      </c>
      <c r="B354" s="1" t="n">
        <v>45492</v>
      </c>
      <c r="C354" s="1" t="n">
        <v>45997</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34872-2023</t>
        </is>
      </c>
      <c r="B355" s="1" t="n">
        <v>45140</v>
      </c>
      <c r="C355" s="1" t="n">
        <v>45997</v>
      </c>
      <c r="D355" t="inlineStr">
        <is>
          <t>ÖSTERGÖTLANDS LÄN</t>
        </is>
      </c>
      <c r="E355" t="inlineStr">
        <is>
          <t>LINKÖPING</t>
        </is>
      </c>
      <c r="G355" t="n">
        <v>4.8</v>
      </c>
      <c r="H355" t="n">
        <v>0</v>
      </c>
      <c r="I355" t="n">
        <v>0</v>
      </c>
      <c r="J355" t="n">
        <v>0</v>
      </c>
      <c r="K355" t="n">
        <v>0</v>
      </c>
      <c r="L355" t="n">
        <v>0</v>
      </c>
      <c r="M355" t="n">
        <v>0</v>
      </c>
      <c r="N355" t="n">
        <v>0</v>
      </c>
      <c r="O355" t="n">
        <v>0</v>
      </c>
      <c r="P355" t="n">
        <v>0</v>
      </c>
      <c r="Q355" t="n">
        <v>0</v>
      </c>
      <c r="R355" s="2" t="inlineStr"/>
    </row>
    <row r="356" ht="15" customHeight="1">
      <c r="A356" t="inlineStr">
        <is>
          <t>A 4908-2023</t>
        </is>
      </c>
      <c r="B356" s="1" t="n">
        <v>44958</v>
      </c>
      <c r="C356" s="1" t="n">
        <v>45997</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33000-2023</t>
        </is>
      </c>
      <c r="B357" s="1" t="n">
        <v>45125</v>
      </c>
      <c r="C357" s="1" t="n">
        <v>45997</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37715-2022</t>
        </is>
      </c>
      <c r="B358" s="1" t="n">
        <v>44810</v>
      </c>
      <c r="C358" s="1" t="n">
        <v>45997</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2997-2025</t>
        </is>
      </c>
      <c r="B359" s="1" t="n">
        <v>45678.54631944445</v>
      </c>
      <c r="C359" s="1" t="n">
        <v>45997</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31534-2023</t>
        </is>
      </c>
      <c r="B360" s="1" t="n">
        <v>45116</v>
      </c>
      <c r="C360" s="1" t="n">
        <v>45997</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3742-2021</t>
        </is>
      </c>
      <c r="B361" s="1" t="n">
        <v>44221</v>
      </c>
      <c r="C361" s="1" t="n">
        <v>45997</v>
      </c>
      <c r="D361" t="inlineStr">
        <is>
          <t>ÖSTERGÖTLANDS LÄN</t>
        </is>
      </c>
      <c r="E361" t="inlineStr">
        <is>
          <t>LINKÖPING</t>
        </is>
      </c>
      <c r="G361" t="n">
        <v>5.5</v>
      </c>
      <c r="H361" t="n">
        <v>0</v>
      </c>
      <c r="I361" t="n">
        <v>0</v>
      </c>
      <c r="J361" t="n">
        <v>0</v>
      </c>
      <c r="K361" t="n">
        <v>0</v>
      </c>
      <c r="L361" t="n">
        <v>0</v>
      </c>
      <c r="M361" t="n">
        <v>0</v>
      </c>
      <c r="N361" t="n">
        <v>0</v>
      </c>
      <c r="O361" t="n">
        <v>0</v>
      </c>
      <c r="P361" t="n">
        <v>0</v>
      </c>
      <c r="Q361" t="n">
        <v>0</v>
      </c>
      <c r="R361" s="2" t="inlineStr"/>
    </row>
    <row r="362" ht="15" customHeight="1">
      <c r="A362" t="inlineStr">
        <is>
          <t>A 26803-2024</t>
        </is>
      </c>
      <c r="B362" s="1" t="n">
        <v>45470</v>
      </c>
      <c r="C362" s="1" t="n">
        <v>45997</v>
      </c>
      <c r="D362" t="inlineStr">
        <is>
          <t>ÖSTERGÖTLANDS LÄN</t>
        </is>
      </c>
      <c r="E362" t="inlineStr">
        <is>
          <t>LINKÖPING</t>
        </is>
      </c>
      <c r="F362" t="inlineStr">
        <is>
          <t>Allmännings- och besparingsskogar</t>
        </is>
      </c>
      <c r="G362" t="n">
        <v>4.5</v>
      </c>
      <c r="H362" t="n">
        <v>0</v>
      </c>
      <c r="I362" t="n">
        <v>0</v>
      </c>
      <c r="J362" t="n">
        <v>0</v>
      </c>
      <c r="K362" t="n">
        <v>0</v>
      </c>
      <c r="L362" t="n">
        <v>0</v>
      </c>
      <c r="M362" t="n">
        <v>0</v>
      </c>
      <c r="N362" t="n">
        <v>0</v>
      </c>
      <c r="O362" t="n">
        <v>0</v>
      </c>
      <c r="P362" t="n">
        <v>0</v>
      </c>
      <c r="Q362" t="n">
        <v>0</v>
      </c>
      <c r="R362" s="2" t="inlineStr"/>
    </row>
    <row r="363" ht="15" customHeight="1">
      <c r="A363" t="inlineStr">
        <is>
          <t>A 3011-2023</t>
        </is>
      </c>
      <c r="B363" s="1" t="n">
        <v>44945</v>
      </c>
      <c r="C363" s="1" t="n">
        <v>45997</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45442-2024</t>
        </is>
      </c>
      <c r="B364" s="1" t="n">
        <v>45576.64189814815</v>
      </c>
      <c r="C364" s="1" t="n">
        <v>45997</v>
      </c>
      <c r="D364" t="inlineStr">
        <is>
          <t>ÖSTERGÖTLANDS LÄN</t>
        </is>
      </c>
      <c r="E364" t="inlineStr">
        <is>
          <t>LINKÖPING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45806-2024</t>
        </is>
      </c>
      <c r="B365" s="1" t="n">
        <v>45579.69619212963</v>
      </c>
      <c r="C365" s="1" t="n">
        <v>45997</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3432-2023</t>
        </is>
      </c>
      <c r="B366" s="1" t="n">
        <v>44949</v>
      </c>
      <c r="C366" s="1" t="n">
        <v>45997</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1440-2021</t>
        </is>
      </c>
      <c r="B367" s="1" t="n">
        <v>44208</v>
      </c>
      <c r="C367" s="1" t="n">
        <v>45997</v>
      </c>
      <c r="D367" t="inlineStr">
        <is>
          <t>ÖSTERGÖTLANDS LÄN</t>
        </is>
      </c>
      <c r="E367" t="inlineStr">
        <is>
          <t>LINKÖPING</t>
        </is>
      </c>
      <c r="G367" t="n">
        <v>8.4</v>
      </c>
      <c r="H367" t="n">
        <v>0</v>
      </c>
      <c r="I367" t="n">
        <v>0</v>
      </c>
      <c r="J367" t="n">
        <v>0</v>
      </c>
      <c r="K367" t="n">
        <v>0</v>
      </c>
      <c r="L367" t="n">
        <v>0</v>
      </c>
      <c r="M367" t="n">
        <v>0</v>
      </c>
      <c r="N367" t="n">
        <v>0</v>
      </c>
      <c r="O367" t="n">
        <v>0</v>
      </c>
      <c r="P367" t="n">
        <v>0</v>
      </c>
      <c r="Q367" t="n">
        <v>0</v>
      </c>
      <c r="R367" s="2" t="inlineStr"/>
    </row>
    <row r="368" ht="15" customHeight="1">
      <c r="A368" t="inlineStr">
        <is>
          <t>A 60472-2022</t>
        </is>
      </c>
      <c r="B368" s="1" t="n">
        <v>44911.41037037037</v>
      </c>
      <c r="C368" s="1" t="n">
        <v>45997</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12720-2022</t>
        </is>
      </c>
      <c r="B369" s="1" t="n">
        <v>44641</v>
      </c>
      <c r="C369" s="1" t="n">
        <v>45997</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37154-2023</t>
        </is>
      </c>
      <c r="B370" s="1" t="n">
        <v>45155</v>
      </c>
      <c r="C370" s="1" t="n">
        <v>45997</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11330-2023</t>
        </is>
      </c>
      <c r="B371" s="1" t="n">
        <v>44993.24648148148</v>
      </c>
      <c r="C371" s="1" t="n">
        <v>45997</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42000-2023</t>
        </is>
      </c>
      <c r="B372" s="1" t="n">
        <v>45177</v>
      </c>
      <c r="C372" s="1" t="n">
        <v>45997</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45831-2024</t>
        </is>
      </c>
      <c r="B373" s="1" t="n">
        <v>45579.90508101852</v>
      </c>
      <c r="C373" s="1" t="n">
        <v>45997</v>
      </c>
      <c r="D373" t="inlineStr">
        <is>
          <t>ÖSTERGÖTLANDS LÄN</t>
        </is>
      </c>
      <c r="E373" t="inlineStr">
        <is>
          <t>LINKÖPING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57396-2021</t>
        </is>
      </c>
      <c r="B374" s="1" t="n">
        <v>44483.56151620371</v>
      </c>
      <c r="C374" s="1" t="n">
        <v>45997</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22842-2023</t>
        </is>
      </c>
      <c r="B375" s="1" t="n">
        <v>45071</v>
      </c>
      <c r="C375" s="1" t="n">
        <v>45997</v>
      </c>
      <c r="D375" t="inlineStr">
        <is>
          <t>ÖSTERGÖTLANDS LÄN</t>
        </is>
      </c>
      <c r="E375" t="inlineStr">
        <is>
          <t>LINKÖPING</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50386-2021</t>
        </is>
      </c>
      <c r="B376" s="1" t="n">
        <v>44459</v>
      </c>
      <c r="C376" s="1" t="n">
        <v>45997</v>
      </c>
      <c r="D376" t="inlineStr">
        <is>
          <t>ÖSTERGÖTLANDS LÄN</t>
        </is>
      </c>
      <c r="E376" t="inlineStr">
        <is>
          <t>LINKÖPING</t>
        </is>
      </c>
      <c r="G376" t="n">
        <v>2.3</v>
      </c>
      <c r="H376" t="n">
        <v>0</v>
      </c>
      <c r="I376" t="n">
        <v>0</v>
      </c>
      <c r="J376" t="n">
        <v>0</v>
      </c>
      <c r="K376" t="n">
        <v>0</v>
      </c>
      <c r="L376" t="n">
        <v>0</v>
      </c>
      <c r="M376" t="n">
        <v>0</v>
      </c>
      <c r="N376" t="n">
        <v>0</v>
      </c>
      <c r="O376" t="n">
        <v>0</v>
      </c>
      <c r="P376" t="n">
        <v>0</v>
      </c>
      <c r="Q376" t="n">
        <v>0</v>
      </c>
      <c r="R376" s="2" t="inlineStr"/>
    </row>
    <row r="377" ht="15" customHeight="1">
      <c r="A377" t="inlineStr">
        <is>
          <t>A 35781-2023</t>
        </is>
      </c>
      <c r="B377" s="1" t="n">
        <v>45147</v>
      </c>
      <c r="C377" s="1" t="n">
        <v>45997</v>
      </c>
      <c r="D377" t="inlineStr">
        <is>
          <t>ÖSTERGÖTLANDS LÄN</t>
        </is>
      </c>
      <c r="E377" t="inlineStr">
        <is>
          <t>LINKÖPING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22770-2024</t>
        </is>
      </c>
      <c r="B378" s="1" t="n">
        <v>45448.4634375</v>
      </c>
      <c r="C378" s="1" t="n">
        <v>45997</v>
      </c>
      <c r="D378" t="inlineStr">
        <is>
          <t>ÖSTERGÖTLANDS LÄN</t>
        </is>
      </c>
      <c r="E378" t="inlineStr">
        <is>
          <t>LINKÖPING</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11671-2023</t>
        </is>
      </c>
      <c r="B379" s="1" t="n">
        <v>44994.48125</v>
      </c>
      <c r="C379" s="1" t="n">
        <v>45997</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32602-2022</t>
        </is>
      </c>
      <c r="B380" s="1" t="n">
        <v>44783.43192129629</v>
      </c>
      <c r="C380" s="1" t="n">
        <v>45997</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54425-2022</t>
        </is>
      </c>
      <c r="B381" s="1" t="n">
        <v>44882.57453703704</v>
      </c>
      <c r="C381" s="1" t="n">
        <v>45997</v>
      </c>
      <c r="D381" t="inlineStr">
        <is>
          <t>ÖSTERGÖTLANDS LÄN</t>
        </is>
      </c>
      <c r="E381" t="inlineStr">
        <is>
          <t>LINKÖPING</t>
        </is>
      </c>
      <c r="G381" t="n">
        <v>1.5</v>
      </c>
      <c r="H381" t="n">
        <v>0</v>
      </c>
      <c r="I381" t="n">
        <v>0</v>
      </c>
      <c r="J381" t="n">
        <v>0</v>
      </c>
      <c r="K381" t="n">
        <v>0</v>
      </c>
      <c r="L381" t="n">
        <v>0</v>
      </c>
      <c r="M381" t="n">
        <v>0</v>
      </c>
      <c r="N381" t="n">
        <v>0</v>
      </c>
      <c r="O381" t="n">
        <v>0</v>
      </c>
      <c r="P381" t="n">
        <v>0</v>
      </c>
      <c r="Q381" t="n">
        <v>0</v>
      </c>
      <c r="R381" s="2" t="inlineStr"/>
    </row>
    <row r="382" ht="15" customHeight="1">
      <c r="A382" t="inlineStr">
        <is>
          <t>A 6054-2022</t>
        </is>
      </c>
      <c r="B382" s="1" t="n">
        <v>44599.53623842593</v>
      </c>
      <c r="C382" s="1" t="n">
        <v>45997</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4927-2021</t>
        </is>
      </c>
      <c r="B383" s="1" t="n">
        <v>44227.57215277778</v>
      </c>
      <c r="C383" s="1" t="n">
        <v>45997</v>
      </c>
      <c r="D383" t="inlineStr">
        <is>
          <t>ÖSTERGÖTLANDS LÄN</t>
        </is>
      </c>
      <c r="E383" t="inlineStr">
        <is>
          <t>LINKÖPING</t>
        </is>
      </c>
      <c r="G383" t="n">
        <v>0.3</v>
      </c>
      <c r="H383" t="n">
        <v>0</v>
      </c>
      <c r="I383" t="n">
        <v>0</v>
      </c>
      <c r="J383" t="n">
        <v>0</v>
      </c>
      <c r="K383" t="n">
        <v>0</v>
      </c>
      <c r="L383" t="n">
        <v>0</v>
      </c>
      <c r="M383" t="n">
        <v>0</v>
      </c>
      <c r="N383" t="n">
        <v>0</v>
      </c>
      <c r="O383" t="n">
        <v>0</v>
      </c>
      <c r="P383" t="n">
        <v>0</v>
      </c>
      <c r="Q383" t="n">
        <v>0</v>
      </c>
      <c r="R383" s="2" t="inlineStr"/>
    </row>
    <row r="384" ht="15" customHeight="1">
      <c r="A384" t="inlineStr">
        <is>
          <t>A 30547-2023</t>
        </is>
      </c>
      <c r="B384" s="1" t="n">
        <v>45111.75905092592</v>
      </c>
      <c r="C384" s="1" t="n">
        <v>45997</v>
      </c>
      <c r="D384" t="inlineStr">
        <is>
          <t>ÖSTERGÖTLANDS LÄN</t>
        </is>
      </c>
      <c r="E384" t="inlineStr">
        <is>
          <t>LINKÖPING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24904-2024</t>
        </is>
      </c>
      <c r="B385" s="1" t="n">
        <v>45461</v>
      </c>
      <c r="C385" s="1" t="n">
        <v>45997</v>
      </c>
      <c r="D385" t="inlineStr">
        <is>
          <t>ÖSTERGÖTLANDS LÄN</t>
        </is>
      </c>
      <c r="E385" t="inlineStr">
        <is>
          <t>LINKÖPING</t>
        </is>
      </c>
      <c r="G385" t="n">
        <v>3.8</v>
      </c>
      <c r="H385" t="n">
        <v>0</v>
      </c>
      <c r="I385" t="n">
        <v>0</v>
      </c>
      <c r="J385" t="n">
        <v>0</v>
      </c>
      <c r="K385" t="n">
        <v>0</v>
      </c>
      <c r="L385" t="n">
        <v>0</v>
      </c>
      <c r="M385" t="n">
        <v>0</v>
      </c>
      <c r="N385" t="n">
        <v>0</v>
      </c>
      <c r="O385" t="n">
        <v>0</v>
      </c>
      <c r="P385" t="n">
        <v>0</v>
      </c>
      <c r="Q385" t="n">
        <v>0</v>
      </c>
      <c r="R385" s="2" t="inlineStr"/>
    </row>
    <row r="386" ht="15" customHeight="1">
      <c r="A386" t="inlineStr">
        <is>
          <t>A 26788-2022</t>
        </is>
      </c>
      <c r="B386" s="1" t="n">
        <v>44740</v>
      </c>
      <c r="C386" s="1" t="n">
        <v>45997</v>
      </c>
      <c r="D386" t="inlineStr">
        <is>
          <t>ÖSTERGÖTLANDS LÄN</t>
        </is>
      </c>
      <c r="E386" t="inlineStr">
        <is>
          <t>LINKÖPING</t>
        </is>
      </c>
      <c r="G386" t="n">
        <v>3.2</v>
      </c>
      <c r="H386" t="n">
        <v>0</v>
      </c>
      <c r="I386" t="n">
        <v>0</v>
      </c>
      <c r="J386" t="n">
        <v>0</v>
      </c>
      <c r="K386" t="n">
        <v>0</v>
      </c>
      <c r="L386" t="n">
        <v>0</v>
      </c>
      <c r="M386" t="n">
        <v>0</v>
      </c>
      <c r="N386" t="n">
        <v>0</v>
      </c>
      <c r="O386" t="n">
        <v>0</v>
      </c>
      <c r="P386" t="n">
        <v>0</v>
      </c>
      <c r="Q386" t="n">
        <v>0</v>
      </c>
      <c r="R386" s="2" t="inlineStr"/>
    </row>
    <row r="387" ht="15" customHeight="1">
      <c r="A387" t="inlineStr">
        <is>
          <t>A 15121-2022</t>
        </is>
      </c>
      <c r="B387" s="1" t="n">
        <v>44658</v>
      </c>
      <c r="C387" s="1" t="n">
        <v>45997</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51919-2024</t>
        </is>
      </c>
      <c r="B388" s="1" t="n">
        <v>45607.60791666667</v>
      </c>
      <c r="C388" s="1" t="n">
        <v>45997</v>
      </c>
      <c r="D388" t="inlineStr">
        <is>
          <t>ÖSTERGÖTLANDS LÄN</t>
        </is>
      </c>
      <c r="E388" t="inlineStr">
        <is>
          <t>LINKÖPING</t>
        </is>
      </c>
      <c r="G388" t="n">
        <v>2.5</v>
      </c>
      <c r="H388" t="n">
        <v>0</v>
      </c>
      <c r="I388" t="n">
        <v>0</v>
      </c>
      <c r="J388" t="n">
        <v>0</v>
      </c>
      <c r="K388" t="n">
        <v>0</v>
      </c>
      <c r="L388" t="n">
        <v>0</v>
      </c>
      <c r="M388" t="n">
        <v>0</v>
      </c>
      <c r="N388" t="n">
        <v>0</v>
      </c>
      <c r="O388" t="n">
        <v>0</v>
      </c>
      <c r="P388" t="n">
        <v>0</v>
      </c>
      <c r="Q388" t="n">
        <v>0</v>
      </c>
      <c r="R388" s="2" t="inlineStr"/>
    </row>
    <row r="389" ht="15" customHeight="1">
      <c r="A389" t="inlineStr">
        <is>
          <t>A 55009-2023</t>
        </is>
      </c>
      <c r="B389" s="1" t="n">
        <v>45237</v>
      </c>
      <c r="C389" s="1" t="n">
        <v>45997</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20291-2025</t>
        </is>
      </c>
      <c r="B390" s="1" t="n">
        <v>45774.74288194445</v>
      </c>
      <c r="C390" s="1" t="n">
        <v>45997</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20293-2025</t>
        </is>
      </c>
      <c r="B391" s="1" t="n">
        <v>45774.74611111111</v>
      </c>
      <c r="C391" s="1" t="n">
        <v>45997</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660-2023</t>
        </is>
      </c>
      <c r="B392" s="1" t="n">
        <v>44930</v>
      </c>
      <c r="C392" s="1" t="n">
        <v>45997</v>
      </c>
      <c r="D392" t="inlineStr">
        <is>
          <t>ÖSTERGÖTLANDS LÄN</t>
        </is>
      </c>
      <c r="E392" t="inlineStr">
        <is>
          <t>LINKÖPING</t>
        </is>
      </c>
      <c r="F392" t="inlineStr">
        <is>
          <t>Kyrkan</t>
        </is>
      </c>
      <c r="G392" t="n">
        <v>1.6</v>
      </c>
      <c r="H392" t="n">
        <v>0</v>
      </c>
      <c r="I392" t="n">
        <v>0</v>
      </c>
      <c r="J392" t="n">
        <v>0</v>
      </c>
      <c r="K392" t="n">
        <v>0</v>
      </c>
      <c r="L392" t="n">
        <v>0</v>
      </c>
      <c r="M392" t="n">
        <v>0</v>
      </c>
      <c r="N392" t="n">
        <v>0</v>
      </c>
      <c r="O392" t="n">
        <v>0</v>
      </c>
      <c r="P392" t="n">
        <v>0</v>
      </c>
      <c r="Q392" t="n">
        <v>0</v>
      </c>
      <c r="R392" s="2" t="inlineStr"/>
    </row>
    <row r="393" ht="15" customHeight="1">
      <c r="A393" t="inlineStr">
        <is>
          <t>A 59576-2024</t>
        </is>
      </c>
      <c r="B393" s="1" t="n">
        <v>45638.66378472222</v>
      </c>
      <c r="C393" s="1" t="n">
        <v>45997</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25119-2023</t>
        </is>
      </c>
      <c r="B394" s="1" t="n">
        <v>45086.42326388889</v>
      </c>
      <c r="C394" s="1" t="n">
        <v>45997</v>
      </c>
      <c r="D394" t="inlineStr">
        <is>
          <t>ÖSTERGÖTLANDS LÄN</t>
        </is>
      </c>
      <c r="E394" t="inlineStr">
        <is>
          <t>LINKÖPING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64694-2023</t>
        </is>
      </c>
      <c r="B395" s="1" t="n">
        <v>45281</v>
      </c>
      <c r="C395" s="1" t="n">
        <v>45997</v>
      </c>
      <c r="D395" t="inlineStr">
        <is>
          <t>ÖSTERGÖTLANDS LÄN</t>
        </is>
      </c>
      <c r="E395" t="inlineStr">
        <is>
          <t>LINKÖPING</t>
        </is>
      </c>
      <c r="F395" t="inlineStr">
        <is>
          <t>Övriga statliga verk och myndigheter</t>
        </is>
      </c>
      <c r="G395" t="n">
        <v>4.9</v>
      </c>
      <c r="H395" t="n">
        <v>0</v>
      </c>
      <c r="I395" t="n">
        <v>0</v>
      </c>
      <c r="J395" t="n">
        <v>0</v>
      </c>
      <c r="K395" t="n">
        <v>0</v>
      </c>
      <c r="L395" t="n">
        <v>0</v>
      </c>
      <c r="M395" t="n">
        <v>0</v>
      </c>
      <c r="N395" t="n">
        <v>0</v>
      </c>
      <c r="O395" t="n">
        <v>0</v>
      </c>
      <c r="P395" t="n">
        <v>0</v>
      </c>
      <c r="Q395" t="n">
        <v>0</v>
      </c>
      <c r="R395" s="2" t="inlineStr"/>
    </row>
    <row r="396" ht="15" customHeight="1">
      <c r="A396" t="inlineStr">
        <is>
          <t>A 13413-2023</t>
        </is>
      </c>
      <c r="B396" s="1" t="n">
        <v>45005.58341435185</v>
      </c>
      <c r="C396" s="1" t="n">
        <v>45997</v>
      </c>
      <c r="D396" t="inlineStr">
        <is>
          <t>ÖSTERGÖTLANDS LÄN</t>
        </is>
      </c>
      <c r="E396" t="inlineStr">
        <is>
          <t>LINKÖPING</t>
        </is>
      </c>
      <c r="G396" t="n">
        <v>2.4</v>
      </c>
      <c r="H396" t="n">
        <v>0</v>
      </c>
      <c r="I396" t="n">
        <v>0</v>
      </c>
      <c r="J396" t="n">
        <v>0</v>
      </c>
      <c r="K396" t="n">
        <v>0</v>
      </c>
      <c r="L396" t="n">
        <v>0</v>
      </c>
      <c r="M396" t="n">
        <v>0</v>
      </c>
      <c r="N396" t="n">
        <v>0</v>
      </c>
      <c r="O396" t="n">
        <v>0</v>
      </c>
      <c r="P396" t="n">
        <v>0</v>
      </c>
      <c r="Q396" t="n">
        <v>0</v>
      </c>
      <c r="R396" s="2" t="inlineStr"/>
    </row>
    <row r="397" ht="15" customHeight="1">
      <c r="A397" t="inlineStr">
        <is>
          <t>A 51583-2024</t>
        </is>
      </c>
      <c r="B397" s="1" t="n">
        <v>45604.6397337963</v>
      </c>
      <c r="C397" s="1" t="n">
        <v>45997</v>
      </c>
      <c r="D397" t="inlineStr">
        <is>
          <t>ÖSTERGÖTLANDS LÄN</t>
        </is>
      </c>
      <c r="E397" t="inlineStr">
        <is>
          <t>LINKÖPING</t>
        </is>
      </c>
      <c r="F397" t="inlineStr">
        <is>
          <t>Övriga Aktiebolag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62019-2024</t>
        </is>
      </c>
      <c r="B398" s="1" t="n">
        <v>45655.82</v>
      </c>
      <c r="C398" s="1" t="n">
        <v>45997</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38317-2024</t>
        </is>
      </c>
      <c r="B399" s="1" t="n">
        <v>45545.65766203704</v>
      </c>
      <c r="C399" s="1" t="n">
        <v>45997</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63528-2023</t>
        </is>
      </c>
      <c r="B400" s="1" t="n">
        <v>45274.94810185185</v>
      </c>
      <c r="C400" s="1" t="n">
        <v>45997</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63638-2023</t>
        </is>
      </c>
      <c r="B401" s="1" t="n">
        <v>45275</v>
      </c>
      <c r="C401" s="1" t="n">
        <v>45997</v>
      </c>
      <c r="D401" t="inlineStr">
        <is>
          <t>ÖSTERGÖTLANDS LÄN</t>
        </is>
      </c>
      <c r="E401" t="inlineStr">
        <is>
          <t>LINKÖPING</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63658-2023</t>
        </is>
      </c>
      <c r="B402" s="1" t="n">
        <v>45275</v>
      </c>
      <c r="C402" s="1" t="n">
        <v>45997</v>
      </c>
      <c r="D402" t="inlineStr">
        <is>
          <t>ÖSTERGÖTLANDS LÄN</t>
        </is>
      </c>
      <c r="E402" t="inlineStr">
        <is>
          <t>LINKÖPING</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7808-2022</t>
        </is>
      </c>
      <c r="B403" s="1" t="n">
        <v>44608</v>
      </c>
      <c r="C403" s="1" t="n">
        <v>45997</v>
      </c>
      <c r="D403" t="inlineStr">
        <is>
          <t>ÖSTERGÖTLANDS LÄN</t>
        </is>
      </c>
      <c r="E403" t="inlineStr">
        <is>
          <t>LINKÖPING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63487-2023</t>
        </is>
      </c>
      <c r="B404" s="1" t="n">
        <v>45274.66712962963</v>
      </c>
      <c r="C404" s="1" t="n">
        <v>45997</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36336-2023</t>
        </is>
      </c>
      <c r="B405" s="1" t="n">
        <v>45152.45078703704</v>
      </c>
      <c r="C405" s="1" t="n">
        <v>45997</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50182-2023</t>
        </is>
      </c>
      <c r="B406" s="1" t="n">
        <v>45208</v>
      </c>
      <c r="C406" s="1" t="n">
        <v>45997</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56623-2024</t>
        </is>
      </c>
      <c r="B407" s="1" t="n">
        <v>45625</v>
      </c>
      <c r="C407" s="1" t="n">
        <v>45997</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1844-2025</t>
        </is>
      </c>
      <c r="B408" s="1" t="n">
        <v>45671.57730324074</v>
      </c>
      <c r="C408" s="1" t="n">
        <v>45997</v>
      </c>
      <c r="D408" t="inlineStr">
        <is>
          <t>ÖSTERGÖTLANDS LÄN</t>
        </is>
      </c>
      <c r="E408" t="inlineStr">
        <is>
          <t>LINKÖPING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4456-2024</t>
        </is>
      </c>
      <c r="B409" s="1" t="n">
        <v>45327.52847222222</v>
      </c>
      <c r="C409" s="1" t="n">
        <v>45997</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20455-2024</t>
        </is>
      </c>
      <c r="B410" s="1" t="n">
        <v>45435.65314814815</v>
      </c>
      <c r="C410" s="1" t="n">
        <v>45997</v>
      </c>
      <c r="D410" t="inlineStr">
        <is>
          <t>ÖSTERGÖTLANDS LÄN</t>
        </is>
      </c>
      <c r="E410" t="inlineStr">
        <is>
          <t>LINKÖPING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30471-2023</t>
        </is>
      </c>
      <c r="B411" s="1" t="n">
        <v>45111.58931712963</v>
      </c>
      <c r="C411" s="1" t="n">
        <v>45997</v>
      </c>
      <c r="D411" t="inlineStr">
        <is>
          <t>ÖSTERGÖTLANDS LÄN</t>
        </is>
      </c>
      <c r="E411" t="inlineStr">
        <is>
          <t>LINKÖPING</t>
        </is>
      </c>
      <c r="G411" t="n">
        <v>2.9</v>
      </c>
      <c r="H411" t="n">
        <v>0</v>
      </c>
      <c r="I411" t="n">
        <v>0</v>
      </c>
      <c r="J411" t="n">
        <v>0</v>
      </c>
      <c r="K411" t="n">
        <v>0</v>
      </c>
      <c r="L411" t="n">
        <v>0</v>
      </c>
      <c r="M411" t="n">
        <v>0</v>
      </c>
      <c r="N411" t="n">
        <v>0</v>
      </c>
      <c r="O411" t="n">
        <v>0</v>
      </c>
      <c r="P411" t="n">
        <v>0</v>
      </c>
      <c r="Q411" t="n">
        <v>0</v>
      </c>
      <c r="R411" s="2" t="inlineStr"/>
    </row>
    <row r="412" ht="15" customHeight="1">
      <c r="A412" t="inlineStr">
        <is>
          <t>A 58114-2021</t>
        </is>
      </c>
      <c r="B412" s="1" t="n">
        <v>44487</v>
      </c>
      <c r="C412" s="1" t="n">
        <v>45997</v>
      </c>
      <c r="D412" t="inlineStr">
        <is>
          <t>ÖSTERGÖTLANDS LÄN</t>
        </is>
      </c>
      <c r="E412" t="inlineStr">
        <is>
          <t>LINKÖPING</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14093-2024</t>
        </is>
      </c>
      <c r="B413" s="1" t="n">
        <v>45392.60278935185</v>
      </c>
      <c r="C413" s="1" t="n">
        <v>45997</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13011-2022</t>
        </is>
      </c>
      <c r="B414" s="1" t="n">
        <v>44643</v>
      </c>
      <c r="C414" s="1" t="n">
        <v>45997</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11595-2025</t>
        </is>
      </c>
      <c r="B415" s="1" t="n">
        <v>45727.41893518518</v>
      </c>
      <c r="C415" s="1" t="n">
        <v>45997</v>
      </c>
      <c r="D415" t="inlineStr">
        <is>
          <t>ÖSTERGÖTLANDS LÄN</t>
        </is>
      </c>
      <c r="E415" t="inlineStr">
        <is>
          <t>LINKÖPING</t>
        </is>
      </c>
      <c r="G415" t="n">
        <v>6.6</v>
      </c>
      <c r="H415" t="n">
        <v>0</v>
      </c>
      <c r="I415" t="n">
        <v>0</v>
      </c>
      <c r="J415" t="n">
        <v>0</v>
      </c>
      <c r="K415" t="n">
        <v>0</v>
      </c>
      <c r="L415" t="n">
        <v>0</v>
      </c>
      <c r="M415" t="n">
        <v>0</v>
      </c>
      <c r="N415" t="n">
        <v>0</v>
      </c>
      <c r="O415" t="n">
        <v>0</v>
      </c>
      <c r="P415" t="n">
        <v>0</v>
      </c>
      <c r="Q415" t="n">
        <v>0</v>
      </c>
      <c r="R415" s="2" t="inlineStr"/>
    </row>
    <row r="416" ht="15" customHeight="1">
      <c r="A416" t="inlineStr">
        <is>
          <t>A 63304-2021</t>
        </is>
      </c>
      <c r="B416" s="1" t="n">
        <v>44508.4396412037</v>
      </c>
      <c r="C416" s="1" t="n">
        <v>45997</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52892-2024</t>
        </is>
      </c>
      <c r="B417" s="1" t="n">
        <v>45610</v>
      </c>
      <c r="C417" s="1" t="n">
        <v>45997</v>
      </c>
      <c r="D417" t="inlineStr">
        <is>
          <t>ÖSTERGÖTLANDS LÄN</t>
        </is>
      </c>
      <c r="E417" t="inlineStr">
        <is>
          <t>LINKÖPING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19362-2023</t>
        </is>
      </c>
      <c r="B418" s="1" t="n">
        <v>45049</v>
      </c>
      <c r="C418" s="1" t="n">
        <v>45997</v>
      </c>
      <c r="D418" t="inlineStr">
        <is>
          <t>ÖSTERGÖTLANDS LÄN</t>
        </is>
      </c>
      <c r="E418" t="inlineStr">
        <is>
          <t>LINKÖPING</t>
        </is>
      </c>
      <c r="G418" t="n">
        <v>0.1</v>
      </c>
      <c r="H418" t="n">
        <v>0</v>
      </c>
      <c r="I418" t="n">
        <v>0</v>
      </c>
      <c r="J418" t="n">
        <v>0</v>
      </c>
      <c r="K418" t="n">
        <v>0</v>
      </c>
      <c r="L418" t="n">
        <v>0</v>
      </c>
      <c r="M418" t="n">
        <v>0</v>
      </c>
      <c r="N418" t="n">
        <v>0</v>
      </c>
      <c r="O418" t="n">
        <v>0</v>
      </c>
      <c r="P418" t="n">
        <v>0</v>
      </c>
      <c r="Q418" t="n">
        <v>0</v>
      </c>
      <c r="R418" s="2" t="inlineStr"/>
    </row>
    <row r="419" ht="15" customHeight="1">
      <c r="A419" t="inlineStr">
        <is>
          <t>A 50508-2024</t>
        </is>
      </c>
      <c r="B419" s="1" t="n">
        <v>45601.53907407408</v>
      </c>
      <c r="C419" s="1" t="n">
        <v>45997</v>
      </c>
      <c r="D419" t="inlineStr">
        <is>
          <t>ÖSTERGÖTLANDS LÄN</t>
        </is>
      </c>
      <c r="E419" t="inlineStr">
        <is>
          <t>LINKÖPING</t>
        </is>
      </c>
      <c r="F419" t="inlineStr">
        <is>
          <t>Övriga Aktiebolag</t>
        </is>
      </c>
      <c r="G419" t="n">
        <v>2</v>
      </c>
      <c r="H419" t="n">
        <v>0</v>
      </c>
      <c r="I419" t="n">
        <v>0</v>
      </c>
      <c r="J419" t="n">
        <v>0</v>
      </c>
      <c r="K419" t="n">
        <v>0</v>
      </c>
      <c r="L419" t="n">
        <v>0</v>
      </c>
      <c r="M419" t="n">
        <v>0</v>
      </c>
      <c r="N419" t="n">
        <v>0</v>
      </c>
      <c r="O419" t="n">
        <v>0</v>
      </c>
      <c r="P419" t="n">
        <v>0</v>
      </c>
      <c r="Q419" t="n">
        <v>0</v>
      </c>
      <c r="R419" s="2" t="inlineStr"/>
    </row>
    <row r="420" ht="15" customHeight="1">
      <c r="A420" t="inlineStr">
        <is>
          <t>A 21155-2025</t>
        </is>
      </c>
      <c r="B420" s="1" t="n">
        <v>45779.37586805555</v>
      </c>
      <c r="C420" s="1" t="n">
        <v>45997</v>
      </c>
      <c r="D420" t="inlineStr">
        <is>
          <t>ÖSTERGÖTLANDS LÄN</t>
        </is>
      </c>
      <c r="E420" t="inlineStr">
        <is>
          <t>LINKÖPING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35463-2023</t>
        </is>
      </c>
      <c r="B421" s="1" t="n">
        <v>45146</v>
      </c>
      <c r="C421" s="1" t="n">
        <v>45997</v>
      </c>
      <c r="D421" t="inlineStr">
        <is>
          <t>ÖSTERGÖTLANDS LÄN</t>
        </is>
      </c>
      <c r="E421" t="inlineStr">
        <is>
          <t>LINKÖPING</t>
        </is>
      </c>
      <c r="F421" t="inlineStr">
        <is>
          <t>Övriga Aktiebolag</t>
        </is>
      </c>
      <c r="G421" t="n">
        <v>1.8</v>
      </c>
      <c r="H421" t="n">
        <v>0</v>
      </c>
      <c r="I421" t="n">
        <v>0</v>
      </c>
      <c r="J421" t="n">
        <v>0</v>
      </c>
      <c r="K421" t="n">
        <v>0</v>
      </c>
      <c r="L421" t="n">
        <v>0</v>
      </c>
      <c r="M421" t="n">
        <v>0</v>
      </c>
      <c r="N421" t="n">
        <v>0</v>
      </c>
      <c r="O421" t="n">
        <v>0</v>
      </c>
      <c r="P421" t="n">
        <v>0</v>
      </c>
      <c r="Q421" t="n">
        <v>0</v>
      </c>
      <c r="R421" s="2" t="inlineStr"/>
    </row>
    <row r="422" ht="15" customHeight="1">
      <c r="A422" t="inlineStr">
        <is>
          <t>A 21165-2025</t>
        </is>
      </c>
      <c r="B422" s="1" t="n">
        <v>45779.39417824074</v>
      </c>
      <c r="C422" s="1" t="n">
        <v>45997</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45997</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36336-2022</t>
        </is>
      </c>
      <c r="B424" s="1" t="n">
        <v>44803</v>
      </c>
      <c r="C424" s="1" t="n">
        <v>45997</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3008-2023</t>
        </is>
      </c>
      <c r="B425" s="1" t="n">
        <v>44945.79784722222</v>
      </c>
      <c r="C425" s="1" t="n">
        <v>45997</v>
      </c>
      <c r="D425" t="inlineStr">
        <is>
          <t>ÖSTERGÖTLANDS LÄN</t>
        </is>
      </c>
      <c r="E425" t="inlineStr">
        <is>
          <t>LINKÖPING</t>
        </is>
      </c>
      <c r="G425" t="n">
        <v>19.3</v>
      </c>
      <c r="H425" t="n">
        <v>0</v>
      </c>
      <c r="I425" t="n">
        <v>0</v>
      </c>
      <c r="J425" t="n">
        <v>0</v>
      </c>
      <c r="K425" t="n">
        <v>0</v>
      </c>
      <c r="L425" t="n">
        <v>0</v>
      </c>
      <c r="M425" t="n">
        <v>0</v>
      </c>
      <c r="N425" t="n">
        <v>0</v>
      </c>
      <c r="O425" t="n">
        <v>0</v>
      </c>
      <c r="P425" t="n">
        <v>0</v>
      </c>
      <c r="Q425" t="n">
        <v>0</v>
      </c>
      <c r="R425" s="2" t="inlineStr"/>
    </row>
    <row r="426" ht="15" customHeight="1">
      <c r="A426" t="inlineStr">
        <is>
          <t>A 31635-2023</t>
        </is>
      </c>
      <c r="B426" s="1" t="n">
        <v>45105</v>
      </c>
      <c r="C426" s="1" t="n">
        <v>45997</v>
      </c>
      <c r="D426" t="inlineStr">
        <is>
          <t>ÖSTERGÖTLANDS LÄN</t>
        </is>
      </c>
      <c r="E426" t="inlineStr">
        <is>
          <t>LINKÖPING</t>
        </is>
      </c>
      <c r="F426" t="inlineStr">
        <is>
          <t>Övriga statliga verk och myndigheter</t>
        </is>
      </c>
      <c r="G426" t="n">
        <v>4.6</v>
      </c>
      <c r="H426" t="n">
        <v>0</v>
      </c>
      <c r="I426" t="n">
        <v>0</v>
      </c>
      <c r="J426" t="n">
        <v>0</v>
      </c>
      <c r="K426" t="n">
        <v>0</v>
      </c>
      <c r="L426" t="n">
        <v>0</v>
      </c>
      <c r="M426" t="n">
        <v>0</v>
      </c>
      <c r="N426" t="n">
        <v>0</v>
      </c>
      <c r="O426" t="n">
        <v>0</v>
      </c>
      <c r="P426" t="n">
        <v>0</v>
      </c>
      <c r="Q426" t="n">
        <v>0</v>
      </c>
      <c r="R426" s="2" t="inlineStr"/>
    </row>
    <row r="427" ht="15" customHeight="1">
      <c r="A427" t="inlineStr">
        <is>
          <t>A 48839-2022</t>
        </is>
      </c>
      <c r="B427" s="1" t="n">
        <v>44859</v>
      </c>
      <c r="C427" s="1" t="n">
        <v>45997</v>
      </c>
      <c r="D427" t="inlineStr">
        <is>
          <t>ÖSTERGÖTLANDS LÄN</t>
        </is>
      </c>
      <c r="E427" t="inlineStr">
        <is>
          <t>LINKÖPING</t>
        </is>
      </c>
      <c r="F427" t="inlineStr">
        <is>
          <t>Övriga Aktiebolag</t>
        </is>
      </c>
      <c r="G427" t="n">
        <v>0.6</v>
      </c>
      <c r="H427" t="n">
        <v>0</v>
      </c>
      <c r="I427" t="n">
        <v>0</v>
      </c>
      <c r="J427" t="n">
        <v>0</v>
      </c>
      <c r="K427" t="n">
        <v>0</v>
      </c>
      <c r="L427" t="n">
        <v>0</v>
      </c>
      <c r="M427" t="n">
        <v>0</v>
      </c>
      <c r="N427" t="n">
        <v>0</v>
      </c>
      <c r="O427" t="n">
        <v>0</v>
      </c>
      <c r="P427" t="n">
        <v>0</v>
      </c>
      <c r="Q427" t="n">
        <v>0</v>
      </c>
      <c r="R427" s="2" t="inlineStr"/>
    </row>
    <row r="428" ht="15" customHeight="1">
      <c r="A428" t="inlineStr">
        <is>
          <t>A 49928-2024</t>
        </is>
      </c>
      <c r="B428" s="1" t="n">
        <v>45597.57811342592</v>
      </c>
      <c r="C428" s="1" t="n">
        <v>45997</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54845-2023</t>
        </is>
      </c>
      <c r="B429" s="1" t="n">
        <v>45236</v>
      </c>
      <c r="C429" s="1" t="n">
        <v>45997</v>
      </c>
      <c r="D429" t="inlineStr">
        <is>
          <t>ÖSTERGÖTLANDS LÄN</t>
        </is>
      </c>
      <c r="E429" t="inlineStr">
        <is>
          <t>LINKÖPING</t>
        </is>
      </c>
      <c r="F429" t="inlineStr">
        <is>
          <t>Övriga Aktiebolag</t>
        </is>
      </c>
      <c r="G429" t="n">
        <v>5.7</v>
      </c>
      <c r="H429" t="n">
        <v>0</v>
      </c>
      <c r="I429" t="n">
        <v>0</v>
      </c>
      <c r="J429" t="n">
        <v>0</v>
      </c>
      <c r="K429" t="n">
        <v>0</v>
      </c>
      <c r="L429" t="n">
        <v>0</v>
      </c>
      <c r="M429" t="n">
        <v>0</v>
      </c>
      <c r="N429" t="n">
        <v>0</v>
      </c>
      <c r="O429" t="n">
        <v>0</v>
      </c>
      <c r="P429" t="n">
        <v>0</v>
      </c>
      <c r="Q429" t="n">
        <v>0</v>
      </c>
      <c r="R429" s="2" t="inlineStr"/>
    </row>
    <row r="430" ht="15" customHeight="1">
      <c r="A430" t="inlineStr">
        <is>
          <t>A 6387-2022</t>
        </is>
      </c>
      <c r="B430" s="1" t="n">
        <v>44600</v>
      </c>
      <c r="C430" s="1" t="n">
        <v>45997</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46687-2021</t>
        </is>
      </c>
      <c r="B431" s="1" t="n">
        <v>44445</v>
      </c>
      <c r="C431" s="1" t="n">
        <v>45997</v>
      </c>
      <c r="D431" t="inlineStr">
        <is>
          <t>ÖSTERGÖTLANDS LÄN</t>
        </is>
      </c>
      <c r="E431" t="inlineStr">
        <is>
          <t>LINKÖPING</t>
        </is>
      </c>
      <c r="F431" t="inlineStr">
        <is>
          <t>Övriga statliga verk och myndigheter</t>
        </is>
      </c>
      <c r="G431" t="n">
        <v>2.3</v>
      </c>
      <c r="H431" t="n">
        <v>0</v>
      </c>
      <c r="I431" t="n">
        <v>0</v>
      </c>
      <c r="J431" t="n">
        <v>0</v>
      </c>
      <c r="K431" t="n">
        <v>0</v>
      </c>
      <c r="L431" t="n">
        <v>0</v>
      </c>
      <c r="M431" t="n">
        <v>0</v>
      </c>
      <c r="N431" t="n">
        <v>0</v>
      </c>
      <c r="O431" t="n">
        <v>0</v>
      </c>
      <c r="P431" t="n">
        <v>0</v>
      </c>
      <c r="Q431" t="n">
        <v>0</v>
      </c>
      <c r="R431" s="2" t="inlineStr"/>
    </row>
    <row r="432" ht="15" customHeight="1">
      <c r="A432" t="inlineStr">
        <is>
          <t>A 30855-2022</t>
        </is>
      </c>
      <c r="B432" s="1" t="n">
        <v>44767</v>
      </c>
      <c r="C432" s="1" t="n">
        <v>45997</v>
      </c>
      <c r="D432" t="inlineStr">
        <is>
          <t>ÖSTERGÖTLANDS LÄN</t>
        </is>
      </c>
      <c r="E432" t="inlineStr">
        <is>
          <t>LINKÖPING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1355-2023</t>
        </is>
      </c>
      <c r="B433" s="1" t="n">
        <v>44931</v>
      </c>
      <c r="C433" s="1" t="n">
        <v>45997</v>
      </c>
      <c r="D433" t="inlineStr">
        <is>
          <t>ÖSTERGÖTLANDS LÄN</t>
        </is>
      </c>
      <c r="E433" t="inlineStr">
        <is>
          <t>LINKÖPING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34641-2022</t>
        </is>
      </c>
      <c r="B434" s="1" t="n">
        <v>44795</v>
      </c>
      <c r="C434" s="1" t="n">
        <v>45997</v>
      </c>
      <c r="D434" t="inlineStr">
        <is>
          <t>ÖSTERGÖTLANDS LÄN</t>
        </is>
      </c>
      <c r="E434" t="inlineStr">
        <is>
          <t>LINKÖPING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13687-2025</t>
        </is>
      </c>
      <c r="B435" s="1" t="n">
        <v>45737.31425925926</v>
      </c>
      <c r="C435" s="1" t="n">
        <v>45997</v>
      </c>
      <c r="D435" t="inlineStr">
        <is>
          <t>ÖSTERGÖTLANDS LÄN</t>
        </is>
      </c>
      <c r="E435" t="inlineStr">
        <is>
          <t>LINKÖPING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13695-2025</t>
        </is>
      </c>
      <c r="B436" s="1" t="n">
        <v>45737.32219907407</v>
      </c>
      <c r="C436" s="1" t="n">
        <v>45997</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27844-2024</t>
        </is>
      </c>
      <c r="B437" s="1" t="n">
        <v>45475.63047453704</v>
      </c>
      <c r="C437" s="1" t="n">
        <v>45997</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52413-2023</t>
        </is>
      </c>
      <c r="B438" s="1" t="n">
        <v>45225.27950231481</v>
      </c>
      <c r="C438" s="1" t="n">
        <v>45997</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42054-2022</t>
        </is>
      </c>
      <c r="B439" s="1" t="n">
        <v>44830</v>
      </c>
      <c r="C439" s="1" t="n">
        <v>45997</v>
      </c>
      <c r="D439" t="inlineStr">
        <is>
          <t>ÖSTERGÖTLANDS LÄN</t>
        </is>
      </c>
      <c r="E439" t="inlineStr">
        <is>
          <t>LINKÖPING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53797-2023</t>
        </is>
      </c>
      <c r="B440" s="1" t="n">
        <v>45230</v>
      </c>
      <c r="C440" s="1" t="n">
        <v>45997</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10741-2023</t>
        </is>
      </c>
      <c r="B441" s="1" t="n">
        <v>44988.70084490741</v>
      </c>
      <c r="C441" s="1" t="n">
        <v>45997</v>
      </c>
      <c r="D441" t="inlineStr">
        <is>
          <t>ÖSTERGÖTLANDS LÄN</t>
        </is>
      </c>
      <c r="E441" t="inlineStr">
        <is>
          <t>LINKÖPING</t>
        </is>
      </c>
      <c r="F441" t="inlineStr">
        <is>
          <t>Allmännings- och besparingsskogar</t>
        </is>
      </c>
      <c r="G441" t="n">
        <v>11.2</v>
      </c>
      <c r="H441" t="n">
        <v>0</v>
      </c>
      <c r="I441" t="n">
        <v>0</v>
      </c>
      <c r="J441" t="n">
        <v>0</v>
      </c>
      <c r="K441" t="n">
        <v>0</v>
      </c>
      <c r="L441" t="n">
        <v>0</v>
      </c>
      <c r="M441" t="n">
        <v>0</v>
      </c>
      <c r="N441" t="n">
        <v>0</v>
      </c>
      <c r="O441" t="n">
        <v>0</v>
      </c>
      <c r="P441" t="n">
        <v>0</v>
      </c>
      <c r="Q441" t="n">
        <v>0</v>
      </c>
      <c r="R441" s="2" t="inlineStr"/>
    </row>
    <row r="442" ht="15" customHeight="1">
      <c r="A442" t="inlineStr">
        <is>
          <t>A 50963-2021</t>
        </is>
      </c>
      <c r="B442" s="1" t="n">
        <v>44460</v>
      </c>
      <c r="C442" s="1" t="n">
        <v>45997</v>
      </c>
      <c r="D442" t="inlineStr">
        <is>
          <t>ÖSTERGÖTLANDS LÄN</t>
        </is>
      </c>
      <c r="E442" t="inlineStr">
        <is>
          <t>LINKÖPING</t>
        </is>
      </c>
      <c r="G442" t="n">
        <v>4.4</v>
      </c>
      <c r="H442" t="n">
        <v>0</v>
      </c>
      <c r="I442" t="n">
        <v>0</v>
      </c>
      <c r="J442" t="n">
        <v>0</v>
      </c>
      <c r="K442" t="n">
        <v>0</v>
      </c>
      <c r="L442" t="n">
        <v>0</v>
      </c>
      <c r="M442" t="n">
        <v>0</v>
      </c>
      <c r="N442" t="n">
        <v>0</v>
      </c>
      <c r="O442" t="n">
        <v>0</v>
      </c>
      <c r="P442" t="n">
        <v>0</v>
      </c>
      <c r="Q442" t="n">
        <v>0</v>
      </c>
      <c r="R442" s="2" t="inlineStr"/>
    </row>
    <row r="443" ht="15" customHeight="1">
      <c r="A443" t="inlineStr">
        <is>
          <t>A 45821-2024</t>
        </is>
      </c>
      <c r="B443" s="1" t="n">
        <v>45579.75803240741</v>
      </c>
      <c r="C443" s="1" t="n">
        <v>45997</v>
      </c>
      <c r="D443" t="inlineStr">
        <is>
          <t>ÖSTERGÖTLANDS LÄN</t>
        </is>
      </c>
      <c r="E443" t="inlineStr">
        <is>
          <t>LINKÖPING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61936-2023</t>
        </is>
      </c>
      <c r="B444" s="1" t="n">
        <v>45266.54534722222</v>
      </c>
      <c r="C444" s="1" t="n">
        <v>45997</v>
      </c>
      <c r="D444" t="inlineStr">
        <is>
          <t>ÖSTERGÖTLANDS LÄN</t>
        </is>
      </c>
      <c r="E444" t="inlineStr">
        <is>
          <t>LINKÖPING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1263-2024</t>
        </is>
      </c>
      <c r="B445" s="1" t="n">
        <v>45302</v>
      </c>
      <c r="C445" s="1" t="n">
        <v>45997</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22833-2023</t>
        </is>
      </c>
      <c r="B446" s="1" t="n">
        <v>45071</v>
      </c>
      <c r="C446" s="1" t="n">
        <v>45997</v>
      </c>
      <c r="D446" t="inlineStr">
        <is>
          <t>ÖSTERGÖTLANDS LÄN</t>
        </is>
      </c>
      <c r="E446" t="inlineStr">
        <is>
          <t>LINKÖPING</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24464-2023</t>
        </is>
      </c>
      <c r="B447" s="1" t="n">
        <v>45082.58068287037</v>
      </c>
      <c r="C447" s="1" t="n">
        <v>45997</v>
      </c>
      <c r="D447" t="inlineStr">
        <is>
          <t>ÖSTERGÖTLANDS LÄN</t>
        </is>
      </c>
      <c r="E447" t="inlineStr">
        <is>
          <t>LINKÖPING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17898-2022</t>
        </is>
      </c>
      <c r="B448" s="1" t="n">
        <v>44683</v>
      </c>
      <c r="C448" s="1" t="n">
        <v>45997</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62017-2024</t>
        </is>
      </c>
      <c r="B449" s="1" t="n">
        <v>45655.81140046296</v>
      </c>
      <c r="C449" s="1" t="n">
        <v>45997</v>
      </c>
      <c r="D449" t="inlineStr">
        <is>
          <t>ÖSTERGÖTLANDS LÄN</t>
        </is>
      </c>
      <c r="E449" t="inlineStr">
        <is>
          <t>LINKÖPING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48389-2024</t>
        </is>
      </c>
      <c r="B450" s="1" t="n">
        <v>45590.59991898148</v>
      </c>
      <c r="C450" s="1" t="n">
        <v>45997</v>
      </c>
      <c r="D450" t="inlineStr">
        <is>
          <t>ÖSTERGÖTLANDS LÄN</t>
        </is>
      </c>
      <c r="E450" t="inlineStr">
        <is>
          <t>LINKÖPING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61281-2021</t>
        </is>
      </c>
      <c r="B451" s="1" t="n">
        <v>44498.60736111111</v>
      </c>
      <c r="C451" s="1" t="n">
        <v>45997</v>
      </c>
      <c r="D451" t="inlineStr">
        <is>
          <t>ÖSTERGÖTLANDS LÄN</t>
        </is>
      </c>
      <c r="E451" t="inlineStr">
        <is>
          <t>LINKÖPING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6369-2023</t>
        </is>
      </c>
      <c r="B452" s="1" t="n">
        <v>44965.61106481482</v>
      </c>
      <c r="C452" s="1" t="n">
        <v>45997</v>
      </c>
      <c r="D452" t="inlineStr">
        <is>
          <t>ÖSTERGÖTLANDS LÄN</t>
        </is>
      </c>
      <c r="E452" t="inlineStr">
        <is>
          <t>LINKÖPING</t>
        </is>
      </c>
      <c r="G452" t="n">
        <v>4</v>
      </c>
      <c r="H452" t="n">
        <v>0</v>
      </c>
      <c r="I452" t="n">
        <v>0</v>
      </c>
      <c r="J452" t="n">
        <v>0</v>
      </c>
      <c r="K452" t="n">
        <v>0</v>
      </c>
      <c r="L452" t="n">
        <v>0</v>
      </c>
      <c r="M452" t="n">
        <v>0</v>
      </c>
      <c r="N452" t="n">
        <v>0</v>
      </c>
      <c r="O452" t="n">
        <v>0</v>
      </c>
      <c r="P452" t="n">
        <v>0</v>
      </c>
      <c r="Q452" t="n">
        <v>0</v>
      </c>
      <c r="R452" s="2" t="inlineStr"/>
    </row>
    <row r="453" ht="15" customHeight="1">
      <c r="A453" t="inlineStr">
        <is>
          <t>A 12411-2022</t>
        </is>
      </c>
      <c r="B453" s="1" t="n">
        <v>44638.21601851852</v>
      </c>
      <c r="C453" s="1" t="n">
        <v>45997</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10492-2022</t>
        </is>
      </c>
      <c r="B454" s="1" t="n">
        <v>44623.6377199074</v>
      </c>
      <c r="C454" s="1" t="n">
        <v>45997</v>
      </c>
      <c r="D454" t="inlineStr">
        <is>
          <t>ÖSTERGÖTLANDS LÄN</t>
        </is>
      </c>
      <c r="E454" t="inlineStr">
        <is>
          <t>LINKÖPING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10094-2024</t>
        </is>
      </c>
      <c r="B455" s="1" t="n">
        <v>45364</v>
      </c>
      <c r="C455" s="1" t="n">
        <v>45997</v>
      </c>
      <c r="D455" t="inlineStr">
        <is>
          <t>ÖSTERGÖTLANDS LÄN</t>
        </is>
      </c>
      <c r="E455" t="inlineStr">
        <is>
          <t>LINKÖPING</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7343-2025</t>
        </is>
      </c>
      <c r="B456" s="1" t="n">
        <v>45703.67853009259</v>
      </c>
      <c r="C456" s="1" t="n">
        <v>45997</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8967-2025</t>
        </is>
      </c>
      <c r="B457" s="1" t="n">
        <v>45712</v>
      </c>
      <c r="C457" s="1" t="n">
        <v>45997</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1207-2023</t>
        </is>
      </c>
      <c r="B458" s="1" t="n">
        <v>44930</v>
      </c>
      <c r="C458" s="1" t="n">
        <v>45997</v>
      </c>
      <c r="D458" t="inlineStr">
        <is>
          <t>ÖSTERGÖTLANDS LÄN</t>
        </is>
      </c>
      <c r="E458" t="inlineStr">
        <is>
          <t>LINKÖPING</t>
        </is>
      </c>
      <c r="F458" t="inlineStr">
        <is>
          <t>Övriga statliga verk och myndigheter</t>
        </is>
      </c>
      <c r="G458" t="n">
        <v>32.8</v>
      </c>
      <c r="H458" t="n">
        <v>0</v>
      </c>
      <c r="I458" t="n">
        <v>0</v>
      </c>
      <c r="J458" t="n">
        <v>0</v>
      </c>
      <c r="K458" t="n">
        <v>0</v>
      </c>
      <c r="L458" t="n">
        <v>0</v>
      </c>
      <c r="M458" t="n">
        <v>0</v>
      </c>
      <c r="N458" t="n">
        <v>0</v>
      </c>
      <c r="O458" t="n">
        <v>0</v>
      </c>
      <c r="P458" t="n">
        <v>0</v>
      </c>
      <c r="Q458" t="n">
        <v>0</v>
      </c>
      <c r="R458" s="2" t="inlineStr"/>
    </row>
    <row r="459" ht="15" customHeight="1">
      <c r="A459" t="inlineStr">
        <is>
          <t>A 35427-2023</t>
        </is>
      </c>
      <c r="B459" s="1" t="n">
        <v>45146</v>
      </c>
      <c r="C459" s="1" t="n">
        <v>45997</v>
      </c>
      <c r="D459" t="inlineStr">
        <is>
          <t>ÖSTERGÖTLANDS LÄN</t>
        </is>
      </c>
      <c r="E459" t="inlineStr">
        <is>
          <t>LINKÖPING</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62015-2024</t>
        </is>
      </c>
      <c r="B460" s="1" t="n">
        <v>45655.80457175926</v>
      </c>
      <c r="C460" s="1" t="n">
        <v>45997</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62020-2024</t>
        </is>
      </c>
      <c r="B461" s="1" t="n">
        <v>45655.83563657408</v>
      </c>
      <c r="C461" s="1" t="n">
        <v>45997</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62021-2024</t>
        </is>
      </c>
      <c r="B462" s="1" t="n">
        <v>45655.84232638889</v>
      </c>
      <c r="C462" s="1" t="n">
        <v>45997</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30468-2023</t>
        </is>
      </c>
      <c r="B463" s="1" t="n">
        <v>45111.58732638889</v>
      </c>
      <c r="C463" s="1" t="n">
        <v>45997</v>
      </c>
      <c r="D463" t="inlineStr">
        <is>
          <t>ÖSTERGÖTLANDS LÄN</t>
        </is>
      </c>
      <c r="E463" t="inlineStr">
        <is>
          <t>LINKÖPING</t>
        </is>
      </c>
      <c r="G463" t="n">
        <v>10.1</v>
      </c>
      <c r="H463" t="n">
        <v>0</v>
      </c>
      <c r="I463" t="n">
        <v>0</v>
      </c>
      <c r="J463" t="n">
        <v>0</v>
      </c>
      <c r="K463" t="n">
        <v>0</v>
      </c>
      <c r="L463" t="n">
        <v>0</v>
      </c>
      <c r="M463" t="n">
        <v>0</v>
      </c>
      <c r="N463" t="n">
        <v>0</v>
      </c>
      <c r="O463" t="n">
        <v>0</v>
      </c>
      <c r="P463" t="n">
        <v>0</v>
      </c>
      <c r="Q463" t="n">
        <v>0</v>
      </c>
      <c r="R463" s="2" t="inlineStr"/>
    </row>
    <row r="464" ht="15" customHeight="1">
      <c r="A464" t="inlineStr">
        <is>
          <t>A 27891-2021</t>
        </is>
      </c>
      <c r="B464" s="1" t="n">
        <v>44354.65108796296</v>
      </c>
      <c r="C464" s="1" t="n">
        <v>45997</v>
      </c>
      <c r="D464" t="inlineStr">
        <is>
          <t>ÖSTERGÖTLANDS LÄN</t>
        </is>
      </c>
      <c r="E464" t="inlineStr">
        <is>
          <t>LINKÖPING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55736-2022</t>
        </is>
      </c>
      <c r="B465" s="1" t="n">
        <v>44888</v>
      </c>
      <c r="C465" s="1" t="n">
        <v>45997</v>
      </c>
      <c r="D465" t="inlineStr">
        <is>
          <t>ÖSTERGÖTLANDS LÄN</t>
        </is>
      </c>
      <c r="E465" t="inlineStr">
        <is>
          <t>LINKÖPING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57391-2023</t>
        </is>
      </c>
      <c r="B466" s="1" t="n">
        <v>45245</v>
      </c>
      <c r="C466" s="1" t="n">
        <v>45997</v>
      </c>
      <c r="D466" t="inlineStr">
        <is>
          <t>ÖSTERGÖTLANDS LÄN</t>
        </is>
      </c>
      <c r="E466" t="inlineStr">
        <is>
          <t>LINKÖPING</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20294-2025</t>
        </is>
      </c>
      <c r="B467" s="1" t="n">
        <v>45774.74667824074</v>
      </c>
      <c r="C467" s="1" t="n">
        <v>45997</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60013-2022</t>
        </is>
      </c>
      <c r="B468" s="1" t="n">
        <v>44909.47482638889</v>
      </c>
      <c r="C468" s="1" t="n">
        <v>45997</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3007-2025</t>
        </is>
      </c>
      <c r="B469" s="1" t="n">
        <v>45678.56328703704</v>
      </c>
      <c r="C469" s="1" t="n">
        <v>45997</v>
      </c>
      <c r="D469" t="inlineStr">
        <is>
          <t>ÖSTERGÖTLANDS LÄN</t>
        </is>
      </c>
      <c r="E469" t="inlineStr">
        <is>
          <t>LINKÖPING</t>
        </is>
      </c>
      <c r="G469" t="n">
        <v>3.1</v>
      </c>
      <c r="H469" t="n">
        <v>0</v>
      </c>
      <c r="I469" t="n">
        <v>0</v>
      </c>
      <c r="J469" t="n">
        <v>0</v>
      </c>
      <c r="K469" t="n">
        <v>0</v>
      </c>
      <c r="L469" t="n">
        <v>0</v>
      </c>
      <c r="M469" t="n">
        <v>0</v>
      </c>
      <c r="N469" t="n">
        <v>0</v>
      </c>
      <c r="O469" t="n">
        <v>0</v>
      </c>
      <c r="P469" t="n">
        <v>0</v>
      </c>
      <c r="Q469" t="n">
        <v>0</v>
      </c>
      <c r="R469" s="2" t="inlineStr"/>
    </row>
    <row r="470" ht="15" customHeight="1">
      <c r="A470" t="inlineStr">
        <is>
          <t>A 34877-2023</t>
        </is>
      </c>
      <c r="B470" s="1" t="n">
        <v>45140</v>
      </c>
      <c r="C470" s="1" t="n">
        <v>45997</v>
      </c>
      <c r="D470" t="inlineStr">
        <is>
          <t>ÖSTERGÖTLANDS LÄN</t>
        </is>
      </c>
      <c r="E470" t="inlineStr">
        <is>
          <t>LINKÖPING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1924-2024</t>
        </is>
      </c>
      <c r="B471" s="1" t="n">
        <v>45308</v>
      </c>
      <c r="C471" s="1" t="n">
        <v>45997</v>
      </c>
      <c r="D471" t="inlineStr">
        <is>
          <t>ÖSTERGÖTLANDS LÄN</t>
        </is>
      </c>
      <c r="E471" t="inlineStr">
        <is>
          <t>LINKÖPING</t>
        </is>
      </c>
      <c r="F471" t="inlineStr">
        <is>
          <t>Övriga Aktiebolag</t>
        </is>
      </c>
      <c r="G471" t="n">
        <v>0.5</v>
      </c>
      <c r="H471" t="n">
        <v>0</v>
      </c>
      <c r="I471" t="n">
        <v>0</v>
      </c>
      <c r="J471" t="n">
        <v>0</v>
      </c>
      <c r="K471" t="n">
        <v>0</v>
      </c>
      <c r="L471" t="n">
        <v>0</v>
      </c>
      <c r="M471" t="n">
        <v>0</v>
      </c>
      <c r="N471" t="n">
        <v>0</v>
      </c>
      <c r="O471" t="n">
        <v>0</v>
      </c>
      <c r="P471" t="n">
        <v>0</v>
      </c>
      <c r="Q471" t="n">
        <v>0</v>
      </c>
      <c r="R471" s="2" t="inlineStr"/>
    </row>
    <row r="472" ht="15" customHeight="1">
      <c r="A472" t="inlineStr">
        <is>
          <t>A 20296-2025</t>
        </is>
      </c>
      <c r="B472" s="1" t="n">
        <v>45774.74922453704</v>
      </c>
      <c r="C472" s="1" t="n">
        <v>45997</v>
      </c>
      <c r="D472" t="inlineStr">
        <is>
          <t>ÖSTERGÖTLANDS LÄN</t>
        </is>
      </c>
      <c r="E472" t="inlineStr">
        <is>
          <t>LINKÖPING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34558-2022</t>
        </is>
      </c>
      <c r="B473" s="1" t="n">
        <v>44794.57594907407</v>
      </c>
      <c r="C473" s="1" t="n">
        <v>45997</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168-2024</t>
        </is>
      </c>
      <c r="B474" s="1" t="n">
        <v>45294</v>
      </c>
      <c r="C474" s="1" t="n">
        <v>45997</v>
      </c>
      <c r="D474" t="inlineStr">
        <is>
          <t>ÖSTERGÖTLANDS LÄN</t>
        </is>
      </c>
      <c r="E474" t="inlineStr">
        <is>
          <t>LINKÖPING</t>
        </is>
      </c>
      <c r="F474" t="inlineStr">
        <is>
          <t>Allmännings- och besparingsskogar</t>
        </is>
      </c>
      <c r="G474" t="n">
        <v>8.9</v>
      </c>
      <c r="H474" t="n">
        <v>0</v>
      </c>
      <c r="I474" t="n">
        <v>0</v>
      </c>
      <c r="J474" t="n">
        <v>0</v>
      </c>
      <c r="K474" t="n">
        <v>0</v>
      </c>
      <c r="L474" t="n">
        <v>0</v>
      </c>
      <c r="M474" t="n">
        <v>0</v>
      </c>
      <c r="N474" t="n">
        <v>0</v>
      </c>
      <c r="O474" t="n">
        <v>0</v>
      </c>
      <c r="P474" t="n">
        <v>0</v>
      </c>
      <c r="Q474" t="n">
        <v>0</v>
      </c>
      <c r="R474" s="2" t="inlineStr"/>
    </row>
    <row r="475" ht="15" customHeight="1">
      <c r="A475" t="inlineStr">
        <is>
          <t>A 56841-2023</t>
        </is>
      </c>
      <c r="B475" s="1" t="n">
        <v>45244</v>
      </c>
      <c r="C475" s="1" t="n">
        <v>45997</v>
      </c>
      <c r="D475" t="inlineStr">
        <is>
          <t>ÖSTERGÖTLANDS LÄN</t>
        </is>
      </c>
      <c r="E475" t="inlineStr">
        <is>
          <t>LINKÖPING</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15658-2023</t>
        </is>
      </c>
      <c r="B476" s="1" t="n">
        <v>45021.41194444444</v>
      </c>
      <c r="C476" s="1" t="n">
        <v>45997</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30433-2024</t>
        </is>
      </c>
      <c r="B477" s="1" t="n">
        <v>45491.69741898148</v>
      </c>
      <c r="C477" s="1" t="n">
        <v>45997</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52220-2023</t>
        </is>
      </c>
      <c r="B478" s="1" t="n">
        <v>45217</v>
      </c>
      <c r="C478" s="1" t="n">
        <v>45997</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52225-2023</t>
        </is>
      </c>
      <c r="B479" s="1" t="n">
        <v>45217</v>
      </c>
      <c r="C479" s="1" t="n">
        <v>45997</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19464-2024</t>
        </is>
      </c>
      <c r="B480" s="1" t="n">
        <v>45429</v>
      </c>
      <c r="C480" s="1" t="n">
        <v>45997</v>
      </c>
      <c r="D480" t="inlineStr">
        <is>
          <t>ÖSTERGÖTLANDS LÄN</t>
        </is>
      </c>
      <c r="E480" t="inlineStr">
        <is>
          <t>LINKÖPING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42044-2023</t>
        </is>
      </c>
      <c r="B481" s="1" t="n">
        <v>45177</v>
      </c>
      <c r="C481" s="1" t="n">
        <v>45997</v>
      </c>
      <c r="D481" t="inlineStr">
        <is>
          <t>ÖSTERGÖTLANDS LÄN</t>
        </is>
      </c>
      <c r="E481" t="inlineStr">
        <is>
          <t>LINKÖPING</t>
        </is>
      </c>
      <c r="G481" t="n">
        <v>3.9</v>
      </c>
      <c r="H481" t="n">
        <v>0</v>
      </c>
      <c r="I481" t="n">
        <v>0</v>
      </c>
      <c r="J481" t="n">
        <v>0</v>
      </c>
      <c r="K481" t="n">
        <v>0</v>
      </c>
      <c r="L481" t="n">
        <v>0</v>
      </c>
      <c r="M481" t="n">
        <v>0</v>
      </c>
      <c r="N481" t="n">
        <v>0</v>
      </c>
      <c r="O481" t="n">
        <v>0</v>
      </c>
      <c r="P481" t="n">
        <v>0</v>
      </c>
      <c r="Q481" t="n">
        <v>0</v>
      </c>
      <c r="R481" s="2" t="inlineStr"/>
    </row>
    <row r="482" ht="15" customHeight="1">
      <c r="A482" t="inlineStr">
        <is>
          <t>A 53812-2023</t>
        </is>
      </c>
      <c r="B482" s="1" t="n">
        <v>45231.39583333334</v>
      </c>
      <c r="C482" s="1" t="n">
        <v>45997</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53830-2023</t>
        </is>
      </c>
      <c r="B483" s="1" t="n">
        <v>45230</v>
      </c>
      <c r="C483" s="1" t="n">
        <v>45997</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630-2024</t>
        </is>
      </c>
      <c r="B484" s="1" t="n">
        <v>45299.67736111111</v>
      </c>
      <c r="C484" s="1" t="n">
        <v>45997</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38715-2023</t>
        </is>
      </c>
      <c r="B485" s="1" t="n">
        <v>45160</v>
      </c>
      <c r="C485" s="1" t="n">
        <v>45997</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21782-2024</t>
        </is>
      </c>
      <c r="B486" s="1" t="n">
        <v>45442.63368055555</v>
      </c>
      <c r="C486" s="1" t="n">
        <v>45997</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57752-2023</t>
        </is>
      </c>
      <c r="B487" s="1" t="n">
        <v>45246.78474537037</v>
      </c>
      <c r="C487" s="1" t="n">
        <v>45997</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57766-2023</t>
        </is>
      </c>
      <c r="B488" s="1" t="n">
        <v>45246</v>
      </c>
      <c r="C488" s="1" t="n">
        <v>45997</v>
      </c>
      <c r="D488" t="inlineStr">
        <is>
          <t>ÖSTERGÖTLANDS LÄN</t>
        </is>
      </c>
      <c r="E488" t="inlineStr">
        <is>
          <t>LINKÖPING</t>
        </is>
      </c>
      <c r="F488" t="inlineStr">
        <is>
          <t>Allmännings- och besparingsskogar</t>
        </is>
      </c>
      <c r="G488" t="n">
        <v>12.8</v>
      </c>
      <c r="H488" t="n">
        <v>0</v>
      </c>
      <c r="I488" t="n">
        <v>0</v>
      </c>
      <c r="J488" t="n">
        <v>0</v>
      </c>
      <c r="K488" t="n">
        <v>0</v>
      </c>
      <c r="L488" t="n">
        <v>0</v>
      </c>
      <c r="M488" t="n">
        <v>0</v>
      </c>
      <c r="N488" t="n">
        <v>0</v>
      </c>
      <c r="O488" t="n">
        <v>0</v>
      </c>
      <c r="P488" t="n">
        <v>0</v>
      </c>
      <c r="Q488" t="n">
        <v>0</v>
      </c>
      <c r="R488" s="2" t="inlineStr"/>
    </row>
    <row r="489" ht="15" customHeight="1">
      <c r="A489" t="inlineStr">
        <is>
          <t>A 27766-2022</t>
        </is>
      </c>
      <c r="B489" s="1" t="n">
        <v>44743.53112268518</v>
      </c>
      <c r="C489" s="1" t="n">
        <v>45997</v>
      </c>
      <c r="D489" t="inlineStr">
        <is>
          <t>ÖSTERGÖTLANDS LÄN</t>
        </is>
      </c>
      <c r="E489" t="inlineStr">
        <is>
          <t>LINKÖPING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27186-2021</t>
        </is>
      </c>
      <c r="B490" s="1" t="n">
        <v>44350.67715277777</v>
      </c>
      <c r="C490" s="1" t="n">
        <v>45997</v>
      </c>
      <c r="D490" t="inlineStr">
        <is>
          <t>ÖSTERGÖTLANDS LÄN</t>
        </is>
      </c>
      <c r="E490" t="inlineStr">
        <is>
          <t>LINKÖPING</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10194-2023</t>
        </is>
      </c>
      <c r="B491" s="1" t="n">
        <v>44986.52277777778</v>
      </c>
      <c r="C491" s="1" t="n">
        <v>45997</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55944-2024</t>
        </is>
      </c>
      <c r="B492" s="1" t="n">
        <v>45623.61640046296</v>
      </c>
      <c r="C492" s="1" t="n">
        <v>45997</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55947-2024</t>
        </is>
      </c>
      <c r="B493" s="1" t="n">
        <v>45623</v>
      </c>
      <c r="C493" s="1" t="n">
        <v>45997</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47703-2023</t>
        </is>
      </c>
      <c r="B494" s="1" t="n">
        <v>45203</v>
      </c>
      <c r="C494" s="1" t="n">
        <v>45997</v>
      </c>
      <c r="D494" t="inlineStr">
        <is>
          <t>ÖSTERGÖTLANDS LÄN</t>
        </is>
      </c>
      <c r="E494" t="inlineStr">
        <is>
          <t>LINKÖPING</t>
        </is>
      </c>
      <c r="G494" t="n">
        <v>4.1</v>
      </c>
      <c r="H494" t="n">
        <v>0</v>
      </c>
      <c r="I494" t="n">
        <v>0</v>
      </c>
      <c r="J494" t="n">
        <v>0</v>
      </c>
      <c r="K494" t="n">
        <v>0</v>
      </c>
      <c r="L494" t="n">
        <v>0</v>
      </c>
      <c r="M494" t="n">
        <v>0</v>
      </c>
      <c r="N494" t="n">
        <v>0</v>
      </c>
      <c r="O494" t="n">
        <v>0</v>
      </c>
      <c r="P494" t="n">
        <v>0</v>
      </c>
      <c r="Q494" t="n">
        <v>0</v>
      </c>
      <c r="R494" s="2" t="inlineStr"/>
    </row>
    <row r="495" ht="15" customHeight="1">
      <c r="A495" t="inlineStr">
        <is>
          <t>A 51559-2024</t>
        </is>
      </c>
      <c r="B495" s="1" t="n">
        <v>45604.61431712963</v>
      </c>
      <c r="C495" s="1" t="n">
        <v>45997</v>
      </c>
      <c r="D495" t="inlineStr">
        <is>
          <t>ÖSTERGÖTLANDS LÄN</t>
        </is>
      </c>
      <c r="E495" t="inlineStr">
        <is>
          <t>LINKÖPING</t>
        </is>
      </c>
      <c r="F495" t="inlineStr">
        <is>
          <t>Övriga Aktiebolag</t>
        </is>
      </c>
      <c r="G495" t="n">
        <v>2.4</v>
      </c>
      <c r="H495" t="n">
        <v>0</v>
      </c>
      <c r="I495" t="n">
        <v>0</v>
      </c>
      <c r="J495" t="n">
        <v>0</v>
      </c>
      <c r="K495" t="n">
        <v>0</v>
      </c>
      <c r="L495" t="n">
        <v>0</v>
      </c>
      <c r="M495" t="n">
        <v>0</v>
      </c>
      <c r="N495" t="n">
        <v>0</v>
      </c>
      <c r="O495" t="n">
        <v>0</v>
      </c>
      <c r="P495" t="n">
        <v>0</v>
      </c>
      <c r="Q495" t="n">
        <v>0</v>
      </c>
      <c r="R495" s="2" t="inlineStr"/>
    </row>
    <row r="496" ht="15" customHeight="1">
      <c r="A496" t="inlineStr">
        <is>
          <t>A 62353-2022</t>
        </is>
      </c>
      <c r="B496" s="1" t="n">
        <v>44923</v>
      </c>
      <c r="C496" s="1" t="n">
        <v>45997</v>
      </c>
      <c r="D496" t="inlineStr">
        <is>
          <t>ÖSTERGÖTLANDS LÄN</t>
        </is>
      </c>
      <c r="E496" t="inlineStr">
        <is>
          <t>LINKÖPING</t>
        </is>
      </c>
      <c r="F496" t="inlineStr">
        <is>
          <t>Allmännings- och besparingsskogar</t>
        </is>
      </c>
      <c r="G496" t="n">
        <v>1.7</v>
      </c>
      <c r="H496" t="n">
        <v>0</v>
      </c>
      <c r="I496" t="n">
        <v>0</v>
      </c>
      <c r="J496" t="n">
        <v>0</v>
      </c>
      <c r="K496" t="n">
        <v>0</v>
      </c>
      <c r="L496" t="n">
        <v>0</v>
      </c>
      <c r="M496" t="n">
        <v>0</v>
      </c>
      <c r="N496" t="n">
        <v>0</v>
      </c>
      <c r="O496" t="n">
        <v>0</v>
      </c>
      <c r="P496" t="n">
        <v>0</v>
      </c>
      <c r="Q496" t="n">
        <v>0</v>
      </c>
      <c r="R496" s="2" t="inlineStr"/>
    </row>
    <row r="497" ht="15" customHeight="1">
      <c r="A497" t="inlineStr">
        <is>
          <t>A 15754-2025</t>
        </is>
      </c>
      <c r="B497" s="1" t="n">
        <v>45748.56105324074</v>
      </c>
      <c r="C497" s="1" t="n">
        <v>45997</v>
      </c>
      <c r="D497" t="inlineStr">
        <is>
          <t>ÖSTERGÖTLANDS LÄN</t>
        </is>
      </c>
      <c r="E497" t="inlineStr">
        <is>
          <t>LINKÖPING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4298-2023</t>
        </is>
      </c>
      <c r="B498" s="1" t="n">
        <v>44953</v>
      </c>
      <c r="C498" s="1" t="n">
        <v>45997</v>
      </c>
      <c r="D498" t="inlineStr">
        <is>
          <t>ÖSTERGÖTLANDS LÄN</t>
        </is>
      </c>
      <c r="E498" t="inlineStr">
        <is>
          <t>LINKÖPING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48271-2023</t>
        </is>
      </c>
      <c r="B499" s="1" t="n">
        <v>45205</v>
      </c>
      <c r="C499" s="1" t="n">
        <v>45997</v>
      </c>
      <c r="D499" t="inlineStr">
        <is>
          <t>ÖSTERGÖTLANDS LÄN</t>
        </is>
      </c>
      <c r="E499" t="inlineStr">
        <is>
          <t>LINKÖPING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18145-2021</t>
        </is>
      </c>
      <c r="B500" s="1" t="n">
        <v>44302</v>
      </c>
      <c r="C500" s="1" t="n">
        <v>45997</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25568-2024</t>
        </is>
      </c>
      <c r="B501" s="1" t="n">
        <v>45463.58699074074</v>
      </c>
      <c r="C501" s="1" t="n">
        <v>45997</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38136-2023</t>
        </is>
      </c>
      <c r="B502" s="1" t="n">
        <v>45161.37310185185</v>
      </c>
      <c r="C502" s="1" t="n">
        <v>45997</v>
      </c>
      <c r="D502" t="inlineStr">
        <is>
          <t>ÖSTERGÖTLANDS LÄN</t>
        </is>
      </c>
      <c r="E502" t="inlineStr">
        <is>
          <t>LINKÖPING</t>
        </is>
      </c>
      <c r="G502" t="n">
        <v>5.6</v>
      </c>
      <c r="H502" t="n">
        <v>0</v>
      </c>
      <c r="I502" t="n">
        <v>0</v>
      </c>
      <c r="J502" t="n">
        <v>0</v>
      </c>
      <c r="K502" t="n">
        <v>0</v>
      </c>
      <c r="L502" t="n">
        <v>0</v>
      </c>
      <c r="M502" t="n">
        <v>0</v>
      </c>
      <c r="N502" t="n">
        <v>0</v>
      </c>
      <c r="O502" t="n">
        <v>0</v>
      </c>
      <c r="P502" t="n">
        <v>0</v>
      </c>
      <c r="Q502" t="n">
        <v>0</v>
      </c>
      <c r="R502" s="2" t="inlineStr"/>
    </row>
    <row r="503" ht="15" customHeight="1">
      <c r="A503" t="inlineStr">
        <is>
          <t>A 12317-2025</t>
        </is>
      </c>
      <c r="B503" s="1" t="n">
        <v>45729.8487037037</v>
      </c>
      <c r="C503" s="1" t="n">
        <v>45997</v>
      </c>
      <c r="D503" t="inlineStr">
        <is>
          <t>ÖSTERGÖTLANDS LÄN</t>
        </is>
      </c>
      <c r="E503" t="inlineStr">
        <is>
          <t>LINKÖPING</t>
        </is>
      </c>
      <c r="G503" t="n">
        <v>8</v>
      </c>
      <c r="H503" t="n">
        <v>0</v>
      </c>
      <c r="I503" t="n">
        <v>0</v>
      </c>
      <c r="J503" t="n">
        <v>0</v>
      </c>
      <c r="K503" t="n">
        <v>0</v>
      </c>
      <c r="L503" t="n">
        <v>0</v>
      </c>
      <c r="M503" t="n">
        <v>0</v>
      </c>
      <c r="N503" t="n">
        <v>0</v>
      </c>
      <c r="O503" t="n">
        <v>0</v>
      </c>
      <c r="P503" t="n">
        <v>0</v>
      </c>
      <c r="Q503" t="n">
        <v>0</v>
      </c>
      <c r="R503" s="2" t="inlineStr"/>
    </row>
    <row r="504" ht="15" customHeight="1">
      <c r="A504" t="inlineStr">
        <is>
          <t>A 14528-2025</t>
        </is>
      </c>
      <c r="B504" s="1" t="n">
        <v>45741</v>
      </c>
      <c r="C504" s="1" t="n">
        <v>45997</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61649-2023</t>
        </is>
      </c>
      <c r="B505" s="1" t="n">
        <v>45265</v>
      </c>
      <c r="C505" s="1" t="n">
        <v>45997</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60985-2023</t>
        </is>
      </c>
      <c r="B506" s="1" t="n">
        <v>45261.48429398148</v>
      </c>
      <c r="C506" s="1" t="n">
        <v>45997</v>
      </c>
      <c r="D506" t="inlineStr">
        <is>
          <t>ÖSTERGÖTLANDS LÄN</t>
        </is>
      </c>
      <c r="E506" t="inlineStr">
        <is>
          <t>LINKÖPING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421-2024</t>
        </is>
      </c>
      <c r="B507" s="1" t="n">
        <v>45296.51877314815</v>
      </c>
      <c r="C507" s="1" t="n">
        <v>45997</v>
      </c>
      <c r="D507" t="inlineStr">
        <is>
          <t>ÖSTERGÖTLANDS LÄN</t>
        </is>
      </c>
      <c r="E507" t="inlineStr">
        <is>
          <t>LINKÖPING</t>
        </is>
      </c>
      <c r="G507" t="n">
        <v>3.7</v>
      </c>
      <c r="H507" t="n">
        <v>0</v>
      </c>
      <c r="I507" t="n">
        <v>0</v>
      </c>
      <c r="J507" t="n">
        <v>0</v>
      </c>
      <c r="K507" t="n">
        <v>0</v>
      </c>
      <c r="L507" t="n">
        <v>0</v>
      </c>
      <c r="M507" t="n">
        <v>0</v>
      </c>
      <c r="N507" t="n">
        <v>0</v>
      </c>
      <c r="O507" t="n">
        <v>0</v>
      </c>
      <c r="P507" t="n">
        <v>0</v>
      </c>
      <c r="Q507" t="n">
        <v>0</v>
      </c>
      <c r="R507" s="2" t="inlineStr"/>
    </row>
    <row r="508" ht="15" customHeight="1">
      <c r="A508" t="inlineStr">
        <is>
          <t>A 13266-2025</t>
        </is>
      </c>
      <c r="B508" s="1" t="n">
        <v>45735.53318287037</v>
      </c>
      <c r="C508" s="1" t="n">
        <v>45997</v>
      </c>
      <c r="D508" t="inlineStr">
        <is>
          <t>ÖSTERGÖTLANDS LÄN</t>
        </is>
      </c>
      <c r="E508" t="inlineStr">
        <is>
          <t>LINKÖPING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51405-2023</t>
        </is>
      </c>
      <c r="B509" s="1" t="n">
        <v>45219</v>
      </c>
      <c r="C509" s="1" t="n">
        <v>45997</v>
      </c>
      <c r="D509" t="inlineStr">
        <is>
          <t>ÖSTERGÖTLANDS LÄN</t>
        </is>
      </c>
      <c r="E509" t="inlineStr">
        <is>
          <t>LINKÖPING</t>
        </is>
      </c>
      <c r="F509" t="inlineStr">
        <is>
          <t>Övriga Aktiebolag</t>
        </is>
      </c>
      <c r="G509" t="n">
        <v>3</v>
      </c>
      <c r="H509" t="n">
        <v>0</v>
      </c>
      <c r="I509" t="n">
        <v>0</v>
      </c>
      <c r="J509" t="n">
        <v>0</v>
      </c>
      <c r="K509" t="n">
        <v>0</v>
      </c>
      <c r="L509" t="n">
        <v>0</v>
      </c>
      <c r="M509" t="n">
        <v>0</v>
      </c>
      <c r="N509" t="n">
        <v>0</v>
      </c>
      <c r="O509" t="n">
        <v>0</v>
      </c>
      <c r="P509" t="n">
        <v>0</v>
      </c>
      <c r="Q509" t="n">
        <v>0</v>
      </c>
      <c r="R509" s="2" t="inlineStr"/>
    </row>
    <row r="510" ht="15" customHeight="1">
      <c r="A510" t="inlineStr">
        <is>
          <t>A 53639-2023</t>
        </is>
      </c>
      <c r="B510" s="1" t="n">
        <v>45230.59686342593</v>
      </c>
      <c r="C510" s="1" t="n">
        <v>45997</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24467-2023</t>
        </is>
      </c>
      <c r="B511" s="1" t="n">
        <v>45082</v>
      </c>
      <c r="C511" s="1" t="n">
        <v>45997</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62488-2023</t>
        </is>
      </c>
      <c r="B512" s="1" t="n">
        <v>45268.5847337963</v>
      </c>
      <c r="C512" s="1" t="n">
        <v>45997</v>
      </c>
      <c r="D512" t="inlineStr">
        <is>
          <t>ÖSTERGÖTLANDS LÄN</t>
        </is>
      </c>
      <c r="E512" t="inlineStr">
        <is>
          <t>LINKÖPING</t>
        </is>
      </c>
      <c r="G512" t="n">
        <v>4.1</v>
      </c>
      <c r="H512" t="n">
        <v>0</v>
      </c>
      <c r="I512" t="n">
        <v>0</v>
      </c>
      <c r="J512" t="n">
        <v>0</v>
      </c>
      <c r="K512" t="n">
        <v>0</v>
      </c>
      <c r="L512" t="n">
        <v>0</v>
      </c>
      <c r="M512" t="n">
        <v>0</v>
      </c>
      <c r="N512" t="n">
        <v>0</v>
      </c>
      <c r="O512" t="n">
        <v>0</v>
      </c>
      <c r="P512" t="n">
        <v>0</v>
      </c>
      <c r="Q512" t="n">
        <v>0</v>
      </c>
      <c r="R512" s="2" t="inlineStr"/>
    </row>
    <row r="513" ht="15" customHeight="1">
      <c r="A513" t="inlineStr">
        <is>
          <t>A 62495-2023</t>
        </is>
      </c>
      <c r="B513" s="1" t="n">
        <v>45268.59717592593</v>
      </c>
      <c r="C513" s="1" t="n">
        <v>45997</v>
      </c>
      <c r="D513" t="inlineStr">
        <is>
          <t>ÖSTERGÖTLANDS LÄN</t>
        </is>
      </c>
      <c r="E513" t="inlineStr">
        <is>
          <t>LINKÖPING</t>
        </is>
      </c>
      <c r="G513" t="n">
        <v>4.1</v>
      </c>
      <c r="H513" t="n">
        <v>0</v>
      </c>
      <c r="I513" t="n">
        <v>0</v>
      </c>
      <c r="J513" t="n">
        <v>0</v>
      </c>
      <c r="K513" t="n">
        <v>0</v>
      </c>
      <c r="L513" t="n">
        <v>0</v>
      </c>
      <c r="M513" t="n">
        <v>0</v>
      </c>
      <c r="N513" t="n">
        <v>0</v>
      </c>
      <c r="O513" t="n">
        <v>0</v>
      </c>
      <c r="P513" t="n">
        <v>0</v>
      </c>
      <c r="Q513" t="n">
        <v>0</v>
      </c>
      <c r="R513" s="2" t="inlineStr"/>
    </row>
    <row r="514" ht="15" customHeight="1">
      <c r="A514" t="inlineStr">
        <is>
          <t>A 10198-2023</t>
        </is>
      </c>
      <c r="B514" s="1" t="n">
        <v>44986.54665509259</v>
      </c>
      <c r="C514" s="1" t="n">
        <v>45997</v>
      </c>
      <c r="D514" t="inlineStr">
        <is>
          <t>ÖSTERGÖTLANDS LÄN</t>
        </is>
      </c>
      <c r="E514" t="inlineStr">
        <is>
          <t>LINKÖPING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60001-2022</t>
        </is>
      </c>
      <c r="B515" s="1" t="n">
        <v>44909.47087962963</v>
      </c>
      <c r="C515" s="1" t="n">
        <v>45997</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22771-2024</t>
        </is>
      </c>
      <c r="B516" s="1" t="n">
        <v>45448.46574074074</v>
      </c>
      <c r="C516" s="1" t="n">
        <v>45997</v>
      </c>
      <c r="D516" t="inlineStr">
        <is>
          <t>ÖSTERGÖTLANDS LÄN</t>
        </is>
      </c>
      <c r="E516" t="inlineStr">
        <is>
          <t>LINKÖPING</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17128-2025</t>
        </is>
      </c>
      <c r="B517" s="1" t="n">
        <v>45755.72622685185</v>
      </c>
      <c r="C517" s="1" t="n">
        <v>45997</v>
      </c>
      <c r="D517" t="inlineStr">
        <is>
          <t>ÖSTERGÖTLANDS LÄN</t>
        </is>
      </c>
      <c r="E517" t="inlineStr">
        <is>
          <t>LINKÖPING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1657-2024</t>
        </is>
      </c>
      <c r="B518" s="1" t="n">
        <v>45306.82501157407</v>
      </c>
      <c r="C518" s="1" t="n">
        <v>45997</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62018-2024</t>
        </is>
      </c>
      <c r="B519" s="1" t="n">
        <v>45655.81387731482</v>
      </c>
      <c r="C519" s="1" t="n">
        <v>45997</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62073-2023</t>
        </is>
      </c>
      <c r="B520" s="1" t="n">
        <v>45266.73844907407</v>
      </c>
      <c r="C520" s="1" t="n">
        <v>45997</v>
      </c>
      <c r="D520" t="inlineStr">
        <is>
          <t>ÖSTERGÖTLANDS LÄN</t>
        </is>
      </c>
      <c r="E520" t="inlineStr">
        <is>
          <t>LINKÖPING</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45997</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42832-2023</t>
        </is>
      </c>
      <c r="B522" s="1" t="n">
        <v>45182.38091435185</v>
      </c>
      <c r="C522" s="1" t="n">
        <v>45997</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35747-2025</t>
        </is>
      </c>
      <c r="B523" s="1" t="n">
        <v>45860.56385416666</v>
      </c>
      <c r="C523" s="1" t="n">
        <v>45997</v>
      </c>
      <c r="D523" t="inlineStr">
        <is>
          <t>ÖSTERGÖTLANDS LÄN</t>
        </is>
      </c>
      <c r="E523" t="inlineStr">
        <is>
          <t>LINKÖPING</t>
        </is>
      </c>
      <c r="G523" t="n">
        <v>2.4</v>
      </c>
      <c r="H523" t="n">
        <v>0</v>
      </c>
      <c r="I523" t="n">
        <v>0</v>
      </c>
      <c r="J523" t="n">
        <v>0</v>
      </c>
      <c r="K523" t="n">
        <v>0</v>
      </c>
      <c r="L523" t="n">
        <v>0</v>
      </c>
      <c r="M523" t="n">
        <v>0</v>
      </c>
      <c r="N523" t="n">
        <v>0</v>
      </c>
      <c r="O523" t="n">
        <v>0</v>
      </c>
      <c r="P523" t="n">
        <v>0</v>
      </c>
      <c r="Q523" t="n">
        <v>0</v>
      </c>
      <c r="R523" s="2" t="inlineStr"/>
    </row>
    <row r="524" ht="15" customHeight="1">
      <c r="A524" t="inlineStr">
        <is>
          <t>A 35745-2025</t>
        </is>
      </c>
      <c r="B524" s="1" t="n">
        <v>45860.54739583333</v>
      </c>
      <c r="C524" s="1" t="n">
        <v>45997</v>
      </c>
      <c r="D524" t="inlineStr">
        <is>
          <t>ÖSTERGÖTLANDS LÄN</t>
        </is>
      </c>
      <c r="E524" t="inlineStr">
        <is>
          <t>LINKÖPING</t>
        </is>
      </c>
      <c r="G524" t="n">
        <v>4.4</v>
      </c>
      <c r="H524" t="n">
        <v>0</v>
      </c>
      <c r="I524" t="n">
        <v>0</v>
      </c>
      <c r="J524" t="n">
        <v>0</v>
      </c>
      <c r="K524" t="n">
        <v>0</v>
      </c>
      <c r="L524" t="n">
        <v>0</v>
      </c>
      <c r="M524" t="n">
        <v>0</v>
      </c>
      <c r="N524" t="n">
        <v>0</v>
      </c>
      <c r="O524" t="n">
        <v>0</v>
      </c>
      <c r="P524" t="n">
        <v>0</v>
      </c>
      <c r="Q524" t="n">
        <v>0</v>
      </c>
      <c r="R524" s="2" t="inlineStr"/>
    </row>
    <row r="525" ht="15" customHeight="1">
      <c r="A525" t="inlineStr">
        <is>
          <t>A 35757-2025</t>
        </is>
      </c>
      <c r="B525" s="1" t="n">
        <v>45860.59876157407</v>
      </c>
      <c r="C525" s="1" t="n">
        <v>45997</v>
      </c>
      <c r="D525" t="inlineStr">
        <is>
          <t>ÖSTERGÖTLANDS LÄN</t>
        </is>
      </c>
      <c r="E525" t="inlineStr">
        <is>
          <t>LINKÖPING</t>
        </is>
      </c>
      <c r="G525" t="n">
        <v>5.7</v>
      </c>
      <c r="H525" t="n">
        <v>0</v>
      </c>
      <c r="I525" t="n">
        <v>0</v>
      </c>
      <c r="J525" t="n">
        <v>0</v>
      </c>
      <c r="K525" t="n">
        <v>0</v>
      </c>
      <c r="L525" t="n">
        <v>0</v>
      </c>
      <c r="M525" t="n">
        <v>0</v>
      </c>
      <c r="N525" t="n">
        <v>0</v>
      </c>
      <c r="O525" t="n">
        <v>0</v>
      </c>
      <c r="P525" t="n">
        <v>0</v>
      </c>
      <c r="Q525" t="n">
        <v>0</v>
      </c>
      <c r="R525" s="2" t="inlineStr"/>
    </row>
    <row r="526" ht="15" customHeight="1">
      <c r="A526" t="inlineStr">
        <is>
          <t>A 35759-2025</t>
        </is>
      </c>
      <c r="B526" s="1" t="n">
        <v>45860</v>
      </c>
      <c r="C526" s="1" t="n">
        <v>45997</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30976-2022</t>
        </is>
      </c>
      <c r="B527" s="1" t="n">
        <v>44768</v>
      </c>
      <c r="C527" s="1" t="n">
        <v>45997</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38046-2025</t>
        </is>
      </c>
      <c r="B528" s="1" t="n">
        <v>45882.39939814815</v>
      </c>
      <c r="C528" s="1" t="n">
        <v>45997</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9473-2024</t>
        </is>
      </c>
      <c r="B529" s="1" t="n">
        <v>45359.55474537037</v>
      </c>
      <c r="C529" s="1" t="n">
        <v>45997</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10797-2024</t>
        </is>
      </c>
      <c r="B530" s="1" t="n">
        <v>45369.6190162037</v>
      </c>
      <c r="C530" s="1" t="n">
        <v>45997</v>
      </c>
      <c r="D530" t="inlineStr">
        <is>
          <t>ÖSTERGÖTLANDS LÄN</t>
        </is>
      </c>
      <c r="E530" t="inlineStr">
        <is>
          <t>LINKÖPING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22264-2025</t>
        </is>
      </c>
      <c r="B531" s="1" t="n">
        <v>45785</v>
      </c>
      <c r="C531" s="1" t="n">
        <v>45997</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30434-2024</t>
        </is>
      </c>
      <c r="B532" s="1" t="n">
        <v>45491.69811342593</v>
      </c>
      <c r="C532" s="1" t="n">
        <v>45997</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3008-2023</t>
        </is>
      </c>
      <c r="B533" s="1" t="n">
        <v>44945.79784722222</v>
      </c>
      <c r="C533" s="1" t="n">
        <v>45997</v>
      </c>
      <c r="D533" t="inlineStr">
        <is>
          <t>ÖSTERGÖTLANDS LÄN</t>
        </is>
      </c>
      <c r="E533" t="inlineStr">
        <is>
          <t>LINKÖPING</t>
        </is>
      </c>
      <c r="G533" t="n">
        <v>19.3</v>
      </c>
      <c r="H533" t="n">
        <v>0</v>
      </c>
      <c r="I533" t="n">
        <v>0</v>
      </c>
      <c r="J533" t="n">
        <v>0</v>
      </c>
      <c r="K533" t="n">
        <v>0</v>
      </c>
      <c r="L533" t="n">
        <v>0</v>
      </c>
      <c r="M533" t="n">
        <v>0</v>
      </c>
      <c r="N533" t="n">
        <v>0</v>
      </c>
      <c r="O533" t="n">
        <v>0</v>
      </c>
      <c r="P533" t="n">
        <v>0</v>
      </c>
      <c r="Q533" t="n">
        <v>0</v>
      </c>
      <c r="R533" s="2" t="inlineStr"/>
    </row>
    <row r="534" ht="15" customHeight="1">
      <c r="A534" t="inlineStr">
        <is>
          <t>A 55345-2021</t>
        </is>
      </c>
      <c r="B534" s="1" t="n">
        <v>44475</v>
      </c>
      <c r="C534" s="1" t="n">
        <v>45997</v>
      </c>
      <c r="D534" t="inlineStr">
        <is>
          <t>ÖSTERGÖTLANDS LÄN</t>
        </is>
      </c>
      <c r="E534" t="inlineStr">
        <is>
          <t>LINKÖPING</t>
        </is>
      </c>
      <c r="G534" t="n">
        <v>5.7</v>
      </c>
      <c r="H534" t="n">
        <v>0</v>
      </c>
      <c r="I534" t="n">
        <v>0</v>
      </c>
      <c r="J534" t="n">
        <v>0</v>
      </c>
      <c r="K534" t="n">
        <v>0</v>
      </c>
      <c r="L534" t="n">
        <v>0</v>
      </c>
      <c r="M534" t="n">
        <v>0</v>
      </c>
      <c r="N534" t="n">
        <v>0</v>
      </c>
      <c r="O534" t="n">
        <v>0</v>
      </c>
      <c r="P534" t="n">
        <v>0</v>
      </c>
      <c r="Q534" t="n">
        <v>0</v>
      </c>
      <c r="R534" s="2" t="inlineStr"/>
    </row>
    <row r="535" ht="15" customHeight="1">
      <c r="A535" t="inlineStr">
        <is>
          <t>A 11084-2022</t>
        </is>
      </c>
      <c r="B535" s="1" t="n">
        <v>44628</v>
      </c>
      <c r="C535" s="1" t="n">
        <v>45997</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37057-2025</t>
        </is>
      </c>
      <c r="B536" s="1" t="n">
        <v>45875.37489583333</v>
      </c>
      <c r="C536" s="1" t="n">
        <v>45997</v>
      </c>
      <c r="D536" t="inlineStr">
        <is>
          <t>ÖSTERGÖTLANDS LÄN</t>
        </is>
      </c>
      <c r="E536" t="inlineStr">
        <is>
          <t>LINKÖPING</t>
        </is>
      </c>
      <c r="G536" t="n">
        <v>3.3</v>
      </c>
      <c r="H536" t="n">
        <v>0</v>
      </c>
      <c r="I536" t="n">
        <v>0</v>
      </c>
      <c r="J536" t="n">
        <v>0</v>
      </c>
      <c r="K536" t="n">
        <v>0</v>
      </c>
      <c r="L536" t="n">
        <v>0</v>
      </c>
      <c r="M536" t="n">
        <v>0</v>
      </c>
      <c r="N536" t="n">
        <v>0</v>
      </c>
      <c r="O536" t="n">
        <v>0</v>
      </c>
      <c r="P536" t="n">
        <v>0</v>
      </c>
      <c r="Q536" t="n">
        <v>0</v>
      </c>
      <c r="R536" s="2" t="inlineStr"/>
    </row>
    <row r="537" ht="15" customHeight="1">
      <c r="A537" t="inlineStr">
        <is>
          <t>A 6859-2024</t>
        </is>
      </c>
      <c r="B537" s="1" t="n">
        <v>45342</v>
      </c>
      <c r="C537" s="1" t="n">
        <v>45997</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38580-2024</t>
        </is>
      </c>
      <c r="B538" s="1" t="n">
        <v>45546.64825231482</v>
      </c>
      <c r="C538" s="1" t="n">
        <v>45997</v>
      </c>
      <c r="D538" t="inlineStr">
        <is>
          <t>ÖSTERGÖTLANDS LÄN</t>
        </is>
      </c>
      <c r="E538" t="inlineStr">
        <is>
          <t>LINKÖPING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572-2025</t>
        </is>
      </c>
      <c r="B539" s="1" t="n">
        <v>45664.56349537037</v>
      </c>
      <c r="C539" s="1" t="n">
        <v>45997</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22364-2025</t>
        </is>
      </c>
      <c r="B540" s="1" t="n">
        <v>45786.46930555555</v>
      </c>
      <c r="C540" s="1" t="n">
        <v>45997</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57745-2022</t>
        </is>
      </c>
      <c r="B541" s="1" t="n">
        <v>44897.58119212963</v>
      </c>
      <c r="C541" s="1" t="n">
        <v>45997</v>
      </c>
      <c r="D541" t="inlineStr">
        <is>
          <t>ÖSTERGÖTLANDS LÄN</t>
        </is>
      </c>
      <c r="E541" t="inlineStr">
        <is>
          <t>LINKÖPING</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61281-2021</t>
        </is>
      </c>
      <c r="B542" s="1" t="n">
        <v>44498.60736111111</v>
      </c>
      <c r="C542" s="1" t="n">
        <v>45997</v>
      </c>
      <c r="D542" t="inlineStr">
        <is>
          <t>ÖSTERGÖTLANDS LÄN</t>
        </is>
      </c>
      <c r="E542" t="inlineStr">
        <is>
          <t>LINKÖPING</t>
        </is>
      </c>
      <c r="G542" t="n">
        <v>4.5</v>
      </c>
      <c r="H542" t="n">
        <v>0</v>
      </c>
      <c r="I542" t="n">
        <v>0</v>
      </c>
      <c r="J542" t="n">
        <v>0</v>
      </c>
      <c r="K542" t="n">
        <v>0</v>
      </c>
      <c r="L542" t="n">
        <v>0</v>
      </c>
      <c r="M542" t="n">
        <v>0</v>
      </c>
      <c r="N542" t="n">
        <v>0</v>
      </c>
      <c r="O542" t="n">
        <v>0</v>
      </c>
      <c r="P542" t="n">
        <v>0</v>
      </c>
      <c r="Q542" t="n">
        <v>0</v>
      </c>
      <c r="R542" s="2" t="inlineStr"/>
    </row>
    <row r="543" ht="15" customHeight="1">
      <c r="A543" t="inlineStr">
        <is>
          <t>A 63935-2021</t>
        </is>
      </c>
      <c r="B543" s="1" t="n">
        <v>44509</v>
      </c>
      <c r="C543" s="1" t="n">
        <v>45997</v>
      </c>
      <c r="D543" t="inlineStr">
        <is>
          <t>ÖSTERGÖTLANDS LÄN</t>
        </is>
      </c>
      <c r="E543" t="inlineStr">
        <is>
          <t>LINKÖPING</t>
        </is>
      </c>
      <c r="F543" t="inlineStr">
        <is>
          <t>Övriga statliga verk och myndigheter</t>
        </is>
      </c>
      <c r="G543" t="n">
        <v>2.8</v>
      </c>
      <c r="H543" t="n">
        <v>0</v>
      </c>
      <c r="I543" t="n">
        <v>0</v>
      </c>
      <c r="J543" t="n">
        <v>0</v>
      </c>
      <c r="K543" t="n">
        <v>0</v>
      </c>
      <c r="L543" t="n">
        <v>0</v>
      </c>
      <c r="M543" t="n">
        <v>0</v>
      </c>
      <c r="N543" t="n">
        <v>0</v>
      </c>
      <c r="O543" t="n">
        <v>0</v>
      </c>
      <c r="P543" t="n">
        <v>0</v>
      </c>
      <c r="Q543" t="n">
        <v>0</v>
      </c>
      <c r="R543" s="2" t="inlineStr"/>
    </row>
    <row r="544" ht="15" customHeight="1">
      <c r="A544" t="inlineStr">
        <is>
          <t>A 44287-2024</t>
        </is>
      </c>
      <c r="B544" s="1" t="n">
        <v>45573.50582175926</v>
      </c>
      <c r="C544" s="1" t="n">
        <v>45997</v>
      </c>
      <c r="D544" t="inlineStr">
        <is>
          <t>ÖSTERGÖTLANDS LÄN</t>
        </is>
      </c>
      <c r="E544" t="inlineStr">
        <is>
          <t>LINKÖPING</t>
        </is>
      </c>
      <c r="G544" t="n">
        <v>12.7</v>
      </c>
      <c r="H544" t="n">
        <v>0</v>
      </c>
      <c r="I544" t="n">
        <v>0</v>
      </c>
      <c r="J544" t="n">
        <v>0</v>
      </c>
      <c r="K544" t="n">
        <v>0</v>
      </c>
      <c r="L544" t="n">
        <v>0</v>
      </c>
      <c r="M544" t="n">
        <v>0</v>
      </c>
      <c r="N544" t="n">
        <v>0</v>
      </c>
      <c r="O544" t="n">
        <v>0</v>
      </c>
      <c r="P544" t="n">
        <v>0</v>
      </c>
      <c r="Q544" t="n">
        <v>0</v>
      </c>
      <c r="R544" s="2" t="inlineStr"/>
    </row>
    <row r="545" ht="15" customHeight="1">
      <c r="A545" t="inlineStr">
        <is>
          <t>A 25292-2021</t>
        </is>
      </c>
      <c r="B545" s="1" t="n">
        <v>44342</v>
      </c>
      <c r="C545" s="1" t="n">
        <v>45997</v>
      </c>
      <c r="D545" t="inlineStr">
        <is>
          <t>ÖSTERGÖTLANDS LÄN</t>
        </is>
      </c>
      <c r="E545" t="inlineStr">
        <is>
          <t>LINKÖPING</t>
        </is>
      </c>
      <c r="F545" t="inlineStr">
        <is>
          <t>Övriga Aktiebolag</t>
        </is>
      </c>
      <c r="G545" t="n">
        <v>12.8</v>
      </c>
      <c r="H545" t="n">
        <v>0</v>
      </c>
      <c r="I545" t="n">
        <v>0</v>
      </c>
      <c r="J545" t="n">
        <v>0</v>
      </c>
      <c r="K545" t="n">
        <v>0</v>
      </c>
      <c r="L545" t="n">
        <v>0</v>
      </c>
      <c r="M545" t="n">
        <v>0</v>
      </c>
      <c r="N545" t="n">
        <v>0</v>
      </c>
      <c r="O545" t="n">
        <v>0</v>
      </c>
      <c r="P545" t="n">
        <v>0</v>
      </c>
      <c r="Q545" t="n">
        <v>0</v>
      </c>
      <c r="R545" s="2" t="inlineStr"/>
    </row>
    <row r="546" ht="15" customHeight="1">
      <c r="A546" t="inlineStr">
        <is>
          <t>A 14520-2025</t>
        </is>
      </c>
      <c r="B546" s="1" t="n">
        <v>45741</v>
      </c>
      <c r="C546" s="1" t="n">
        <v>45997</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29312-2024</t>
        </is>
      </c>
      <c r="B547" s="1" t="n">
        <v>45483</v>
      </c>
      <c r="C547" s="1" t="n">
        <v>45997</v>
      </c>
      <c r="D547" t="inlineStr">
        <is>
          <t>ÖSTERGÖTLANDS LÄN</t>
        </is>
      </c>
      <c r="E547" t="inlineStr">
        <is>
          <t>LINKÖPING</t>
        </is>
      </c>
      <c r="G547" t="n">
        <v>2.1</v>
      </c>
      <c r="H547" t="n">
        <v>0</v>
      </c>
      <c r="I547" t="n">
        <v>0</v>
      </c>
      <c r="J547" t="n">
        <v>0</v>
      </c>
      <c r="K547" t="n">
        <v>0</v>
      </c>
      <c r="L547" t="n">
        <v>0</v>
      </c>
      <c r="M547" t="n">
        <v>0</v>
      </c>
      <c r="N547" t="n">
        <v>0</v>
      </c>
      <c r="O547" t="n">
        <v>0</v>
      </c>
      <c r="P547" t="n">
        <v>0</v>
      </c>
      <c r="Q547" t="n">
        <v>0</v>
      </c>
      <c r="R547" s="2" t="inlineStr"/>
    </row>
    <row r="548" ht="15" customHeight="1">
      <c r="A548" t="inlineStr">
        <is>
          <t>A 25829-2025</t>
        </is>
      </c>
      <c r="B548" s="1" t="n">
        <v>45804.44505787037</v>
      </c>
      <c r="C548" s="1" t="n">
        <v>45997</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39074-2025</t>
        </is>
      </c>
      <c r="B549" s="1" t="n">
        <v>45888</v>
      </c>
      <c r="C549" s="1" t="n">
        <v>45997</v>
      </c>
      <c r="D549" t="inlineStr">
        <is>
          <t>ÖSTERGÖTLANDS LÄN</t>
        </is>
      </c>
      <c r="E549" t="inlineStr">
        <is>
          <t>LINKÖPING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38971-2025</t>
        </is>
      </c>
      <c r="B550" s="1" t="n">
        <v>45887.71827546296</v>
      </c>
      <c r="C550" s="1" t="n">
        <v>45997</v>
      </c>
      <c r="D550" t="inlineStr">
        <is>
          <t>ÖSTERGÖTLANDS LÄN</t>
        </is>
      </c>
      <c r="E550" t="inlineStr">
        <is>
          <t>LINKÖPING</t>
        </is>
      </c>
      <c r="G550" t="n">
        <v>3.9</v>
      </c>
      <c r="H550" t="n">
        <v>0</v>
      </c>
      <c r="I550" t="n">
        <v>0</v>
      </c>
      <c r="J550" t="n">
        <v>0</v>
      </c>
      <c r="K550" t="n">
        <v>0</v>
      </c>
      <c r="L550" t="n">
        <v>0</v>
      </c>
      <c r="M550" t="n">
        <v>0</v>
      </c>
      <c r="N550" t="n">
        <v>0</v>
      </c>
      <c r="O550" t="n">
        <v>0</v>
      </c>
      <c r="P550" t="n">
        <v>0</v>
      </c>
      <c r="Q550" t="n">
        <v>0</v>
      </c>
      <c r="R550" s="2" t="inlineStr"/>
    </row>
    <row r="551" ht="15" customHeight="1">
      <c r="A551" t="inlineStr">
        <is>
          <t>A 72567-2021</t>
        </is>
      </c>
      <c r="B551" s="1" t="n">
        <v>44546.45023148148</v>
      </c>
      <c r="C551" s="1" t="n">
        <v>45997</v>
      </c>
      <c r="D551" t="inlineStr">
        <is>
          <t>ÖSTERGÖTLANDS LÄN</t>
        </is>
      </c>
      <c r="E551" t="inlineStr">
        <is>
          <t>LINKÖPING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27264-2025</t>
        </is>
      </c>
      <c r="B552" s="1" t="n">
        <v>45812.4794212963</v>
      </c>
      <c r="C552" s="1" t="n">
        <v>45997</v>
      </c>
      <c r="D552" t="inlineStr">
        <is>
          <t>ÖSTERGÖTLANDS LÄN</t>
        </is>
      </c>
      <c r="E552" t="inlineStr">
        <is>
          <t>LINKÖPING</t>
        </is>
      </c>
      <c r="G552" t="n">
        <v>2.6</v>
      </c>
      <c r="H552" t="n">
        <v>0</v>
      </c>
      <c r="I552" t="n">
        <v>0</v>
      </c>
      <c r="J552" t="n">
        <v>0</v>
      </c>
      <c r="K552" t="n">
        <v>0</v>
      </c>
      <c r="L552" t="n">
        <v>0</v>
      </c>
      <c r="M552" t="n">
        <v>0</v>
      </c>
      <c r="N552" t="n">
        <v>0</v>
      </c>
      <c r="O552" t="n">
        <v>0</v>
      </c>
      <c r="P552" t="n">
        <v>0</v>
      </c>
      <c r="Q552" t="n">
        <v>0</v>
      </c>
      <c r="R552" s="2" t="inlineStr"/>
    </row>
    <row r="553" ht="15" customHeight="1">
      <c r="A553" t="inlineStr">
        <is>
          <t>A 39438-2025</t>
        </is>
      </c>
      <c r="B553" s="1" t="n">
        <v>45889.68641203704</v>
      </c>
      <c r="C553" s="1" t="n">
        <v>45997</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47304-2025</t>
        </is>
      </c>
      <c r="B554" s="1" t="n">
        <v>45930.52037037037</v>
      </c>
      <c r="C554" s="1" t="n">
        <v>45997</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47233-2025</t>
        </is>
      </c>
      <c r="B555" s="1" t="n">
        <v>45930.40612268518</v>
      </c>
      <c r="C555" s="1" t="n">
        <v>45997</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40169-2025</t>
        </is>
      </c>
      <c r="B556" s="1" t="n">
        <v>45894.62824074074</v>
      </c>
      <c r="C556" s="1" t="n">
        <v>45997</v>
      </c>
      <c r="D556" t="inlineStr">
        <is>
          <t>ÖSTERGÖTLANDS LÄN</t>
        </is>
      </c>
      <c r="E556" t="inlineStr">
        <is>
          <t>LINKÖPING</t>
        </is>
      </c>
      <c r="G556" t="n">
        <v>2.8</v>
      </c>
      <c r="H556" t="n">
        <v>0</v>
      </c>
      <c r="I556" t="n">
        <v>0</v>
      </c>
      <c r="J556" t="n">
        <v>0</v>
      </c>
      <c r="K556" t="n">
        <v>0</v>
      </c>
      <c r="L556" t="n">
        <v>0</v>
      </c>
      <c r="M556" t="n">
        <v>0</v>
      </c>
      <c r="N556" t="n">
        <v>0</v>
      </c>
      <c r="O556" t="n">
        <v>0</v>
      </c>
      <c r="P556" t="n">
        <v>0</v>
      </c>
      <c r="Q556" t="n">
        <v>0</v>
      </c>
      <c r="R556" s="2" t="inlineStr"/>
    </row>
    <row r="557" ht="15" customHeight="1">
      <c r="A557" t="inlineStr">
        <is>
          <t>A 55683-2025</t>
        </is>
      </c>
      <c r="B557" s="1" t="n">
        <v>45972.4255324074</v>
      </c>
      <c r="C557" s="1" t="n">
        <v>45997</v>
      </c>
      <c r="D557" t="inlineStr">
        <is>
          <t>ÖSTERGÖTLANDS LÄN</t>
        </is>
      </c>
      <c r="E557" t="inlineStr">
        <is>
          <t>LINKÖPING</t>
        </is>
      </c>
      <c r="G557" t="n">
        <v>3.3</v>
      </c>
      <c r="H557" t="n">
        <v>0</v>
      </c>
      <c r="I557" t="n">
        <v>0</v>
      </c>
      <c r="J557" t="n">
        <v>0</v>
      </c>
      <c r="K557" t="n">
        <v>0</v>
      </c>
      <c r="L557" t="n">
        <v>0</v>
      </c>
      <c r="M557" t="n">
        <v>0</v>
      </c>
      <c r="N557" t="n">
        <v>0</v>
      </c>
      <c r="O557" t="n">
        <v>0</v>
      </c>
      <c r="P557" t="n">
        <v>0</v>
      </c>
      <c r="Q557" t="n">
        <v>0</v>
      </c>
      <c r="R557" s="2" t="inlineStr"/>
    </row>
    <row r="558" ht="15" customHeight="1">
      <c r="A558" t="inlineStr">
        <is>
          <t>A 46847-2025</t>
        </is>
      </c>
      <c r="B558" s="1" t="n">
        <v>45928.69971064815</v>
      </c>
      <c r="C558" s="1" t="n">
        <v>45997</v>
      </c>
      <c r="D558" t="inlineStr">
        <is>
          <t>ÖSTERGÖTLANDS LÄN</t>
        </is>
      </c>
      <c r="E558" t="inlineStr">
        <is>
          <t>LINKÖPING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56113-2025</t>
        </is>
      </c>
      <c r="B559" s="1" t="n">
        <v>45973.73924768518</v>
      </c>
      <c r="C559" s="1" t="n">
        <v>45997</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56064-2022</t>
        </is>
      </c>
      <c r="B560" s="1" t="n">
        <v>44889.59107638889</v>
      </c>
      <c r="C560" s="1" t="n">
        <v>45997</v>
      </c>
      <c r="D560" t="inlineStr">
        <is>
          <t>ÖSTERGÖTLANDS LÄN</t>
        </is>
      </c>
      <c r="E560" t="inlineStr">
        <is>
          <t>LINKÖPING</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48343-2025</t>
        </is>
      </c>
      <c r="B561" s="1" t="n">
        <v>45932</v>
      </c>
      <c r="C561" s="1" t="n">
        <v>45997</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47606-2025</t>
        </is>
      </c>
      <c r="B562" s="1" t="n">
        <v>45931.46402777778</v>
      </c>
      <c r="C562" s="1" t="n">
        <v>45997</v>
      </c>
      <c r="D562" t="inlineStr">
        <is>
          <t>ÖSTERGÖTLANDS LÄN</t>
        </is>
      </c>
      <c r="E562" t="inlineStr">
        <is>
          <t>LINKÖPING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48254-2025</t>
        </is>
      </c>
      <c r="B563" s="1" t="n">
        <v>45932</v>
      </c>
      <c r="C563" s="1" t="n">
        <v>45997</v>
      </c>
      <c r="D563" t="inlineStr">
        <is>
          <t>ÖSTERGÖTLANDS LÄN</t>
        </is>
      </c>
      <c r="E563" t="inlineStr">
        <is>
          <t>LINKÖPING</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48266-2025</t>
        </is>
      </c>
      <c r="B564" s="1" t="n">
        <v>45932</v>
      </c>
      <c r="C564" s="1" t="n">
        <v>45997</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56105-2025</t>
        </is>
      </c>
      <c r="B565" s="1" t="n">
        <v>45973.72855324074</v>
      </c>
      <c r="C565" s="1" t="n">
        <v>45997</v>
      </c>
      <c r="D565" t="inlineStr">
        <is>
          <t>ÖSTERGÖTLANDS LÄN</t>
        </is>
      </c>
      <c r="E565" t="inlineStr">
        <is>
          <t>LINKÖPING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41706-2025</t>
        </is>
      </c>
      <c r="B566" s="1" t="n">
        <v>45902.42209490741</v>
      </c>
      <c r="C566" s="1" t="n">
        <v>45997</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41511-2025</t>
        </is>
      </c>
      <c r="B567" s="1" t="n">
        <v>45901.53839120371</v>
      </c>
      <c r="C567" s="1" t="n">
        <v>45997</v>
      </c>
      <c r="D567" t="inlineStr">
        <is>
          <t>ÖSTERGÖTLANDS LÄN</t>
        </is>
      </c>
      <c r="E567" t="inlineStr">
        <is>
          <t>LINKÖPING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3042-2024</t>
        </is>
      </c>
      <c r="B568" s="1" t="n">
        <v>45316.35028935185</v>
      </c>
      <c r="C568" s="1" t="n">
        <v>45997</v>
      </c>
      <c r="D568" t="inlineStr">
        <is>
          <t>ÖSTERGÖTLANDS LÄN</t>
        </is>
      </c>
      <c r="E568" t="inlineStr">
        <is>
          <t>LINKÖPING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29293-2025</t>
        </is>
      </c>
      <c r="B569" s="1" t="n">
        <v>45824</v>
      </c>
      <c r="C569" s="1" t="n">
        <v>45997</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54329-2025</t>
        </is>
      </c>
      <c r="B570" s="1" t="n">
        <v>45965.34706018519</v>
      </c>
      <c r="C570" s="1" t="n">
        <v>45997</v>
      </c>
      <c r="D570" t="inlineStr">
        <is>
          <t>ÖSTERGÖTLANDS LÄN</t>
        </is>
      </c>
      <c r="E570" t="inlineStr">
        <is>
          <t>LINKÖPING</t>
        </is>
      </c>
      <c r="F570" t="inlineStr">
        <is>
          <t>Sveaskog</t>
        </is>
      </c>
      <c r="G570" t="n">
        <v>5.1</v>
      </c>
      <c r="H570" t="n">
        <v>0</v>
      </c>
      <c r="I570" t="n">
        <v>0</v>
      </c>
      <c r="J570" t="n">
        <v>0</v>
      </c>
      <c r="K570" t="n">
        <v>0</v>
      </c>
      <c r="L570" t="n">
        <v>0</v>
      </c>
      <c r="M570" t="n">
        <v>0</v>
      </c>
      <c r="N570" t="n">
        <v>0</v>
      </c>
      <c r="O570" t="n">
        <v>0</v>
      </c>
      <c r="P570" t="n">
        <v>0</v>
      </c>
      <c r="Q570" t="n">
        <v>0</v>
      </c>
      <c r="R570" s="2" t="inlineStr"/>
    </row>
    <row r="571" ht="15" customHeight="1">
      <c r="A571" t="inlineStr">
        <is>
          <t>A 52740-2025</t>
        </is>
      </c>
      <c r="B571" s="1" t="n">
        <v>45957.37747685185</v>
      </c>
      <c r="C571" s="1" t="n">
        <v>45997</v>
      </c>
      <c r="D571" t="inlineStr">
        <is>
          <t>ÖSTERGÖTLANDS LÄN</t>
        </is>
      </c>
      <c r="E571" t="inlineStr">
        <is>
          <t>LINKÖPING</t>
        </is>
      </c>
      <c r="G571" t="n">
        <v>3.7</v>
      </c>
      <c r="H571" t="n">
        <v>0</v>
      </c>
      <c r="I571" t="n">
        <v>0</v>
      </c>
      <c r="J571" t="n">
        <v>0</v>
      </c>
      <c r="K571" t="n">
        <v>0</v>
      </c>
      <c r="L571" t="n">
        <v>0</v>
      </c>
      <c r="M571" t="n">
        <v>0</v>
      </c>
      <c r="N571" t="n">
        <v>0</v>
      </c>
      <c r="O571" t="n">
        <v>0</v>
      </c>
      <c r="P571" t="n">
        <v>0</v>
      </c>
      <c r="Q571" t="n">
        <v>0</v>
      </c>
      <c r="R571" s="2" t="inlineStr"/>
    </row>
    <row r="572" ht="15" customHeight="1">
      <c r="A572" t="inlineStr">
        <is>
          <t>A 42623-2025</t>
        </is>
      </c>
      <c r="B572" s="1" t="n">
        <v>45905</v>
      </c>
      <c r="C572" s="1" t="n">
        <v>45997</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56704-2025</t>
        </is>
      </c>
      <c r="B573" s="1" t="n">
        <v>45977.50608796296</v>
      </c>
      <c r="C573" s="1" t="n">
        <v>45997</v>
      </c>
      <c r="D573" t="inlineStr">
        <is>
          <t>ÖSTERGÖTLANDS LÄN</t>
        </is>
      </c>
      <c r="E573" t="inlineStr">
        <is>
          <t>LINKÖPING</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40502-2024</t>
        </is>
      </c>
      <c r="B574" s="1" t="n">
        <v>45555.57263888889</v>
      </c>
      <c r="C574" s="1" t="n">
        <v>45997</v>
      </c>
      <c r="D574" t="inlineStr">
        <is>
          <t>ÖSTERGÖTLANDS LÄN</t>
        </is>
      </c>
      <c r="E574" t="inlineStr">
        <is>
          <t>LINKÖPING</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23120-2025</t>
        </is>
      </c>
      <c r="B575" s="1" t="n">
        <v>45791.37481481482</v>
      </c>
      <c r="C575" s="1" t="n">
        <v>45997</v>
      </c>
      <c r="D575" t="inlineStr">
        <is>
          <t>ÖSTERGÖTLANDS LÄN</t>
        </is>
      </c>
      <c r="E575" t="inlineStr">
        <is>
          <t>LINKÖPING</t>
        </is>
      </c>
      <c r="G575" t="n">
        <v>2.9</v>
      </c>
      <c r="H575" t="n">
        <v>0</v>
      </c>
      <c r="I575" t="n">
        <v>0</v>
      </c>
      <c r="J575" t="n">
        <v>0</v>
      </c>
      <c r="K575" t="n">
        <v>0</v>
      </c>
      <c r="L575" t="n">
        <v>0</v>
      </c>
      <c r="M575" t="n">
        <v>0</v>
      </c>
      <c r="N575" t="n">
        <v>0</v>
      </c>
      <c r="O575" t="n">
        <v>0</v>
      </c>
      <c r="P575" t="n">
        <v>0</v>
      </c>
      <c r="Q575" t="n">
        <v>0</v>
      </c>
      <c r="R575" s="2" t="inlineStr"/>
    </row>
    <row r="576" ht="15" customHeight="1">
      <c r="A576" t="inlineStr">
        <is>
          <t>A 42624-2025</t>
        </is>
      </c>
      <c r="B576" s="1" t="n">
        <v>45905</v>
      </c>
      <c r="C576" s="1" t="n">
        <v>45997</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42626-2025</t>
        </is>
      </c>
      <c r="B577" s="1" t="n">
        <v>45905</v>
      </c>
      <c r="C577" s="1" t="n">
        <v>45997</v>
      </c>
      <c r="D577" t="inlineStr">
        <is>
          <t>ÖSTERGÖTLANDS LÄN</t>
        </is>
      </c>
      <c r="E577" t="inlineStr">
        <is>
          <t>LINKÖPING</t>
        </is>
      </c>
      <c r="G577" t="n">
        <v>3.6</v>
      </c>
      <c r="H577" t="n">
        <v>0</v>
      </c>
      <c r="I577" t="n">
        <v>0</v>
      </c>
      <c r="J577" t="n">
        <v>0</v>
      </c>
      <c r="K577" t="n">
        <v>0</v>
      </c>
      <c r="L577" t="n">
        <v>0</v>
      </c>
      <c r="M577" t="n">
        <v>0</v>
      </c>
      <c r="N577" t="n">
        <v>0</v>
      </c>
      <c r="O577" t="n">
        <v>0</v>
      </c>
      <c r="P577" t="n">
        <v>0</v>
      </c>
      <c r="Q577" t="n">
        <v>0</v>
      </c>
      <c r="R577" s="2" t="inlineStr"/>
    </row>
    <row r="578" ht="15" customHeight="1">
      <c r="A578" t="inlineStr">
        <is>
          <t>A 54332-2025</t>
        </is>
      </c>
      <c r="B578" s="1" t="n">
        <v>45965.34915509259</v>
      </c>
      <c r="C578" s="1" t="n">
        <v>45997</v>
      </c>
      <c r="D578" t="inlineStr">
        <is>
          <t>ÖSTERGÖTLANDS LÄN</t>
        </is>
      </c>
      <c r="E578" t="inlineStr">
        <is>
          <t>LINKÖPING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48699-2024</t>
        </is>
      </c>
      <c r="B579" s="1" t="n">
        <v>45593.52091435185</v>
      </c>
      <c r="C579" s="1" t="n">
        <v>45997</v>
      </c>
      <c r="D579" t="inlineStr">
        <is>
          <t>ÖSTERGÖTLANDS LÄN</t>
        </is>
      </c>
      <c r="E579" t="inlineStr">
        <is>
          <t>LINKÖPING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44155-2024</t>
        </is>
      </c>
      <c r="B580" s="1" t="n">
        <v>45572.68226851852</v>
      </c>
      <c r="C580" s="1" t="n">
        <v>45997</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13911-2025</t>
        </is>
      </c>
      <c r="B581" s="1" t="n">
        <v>45737.64784722222</v>
      </c>
      <c r="C581" s="1" t="n">
        <v>45997</v>
      </c>
      <c r="D581" t="inlineStr">
        <is>
          <t>ÖSTERGÖTLANDS LÄN</t>
        </is>
      </c>
      <c r="E581" t="inlineStr">
        <is>
          <t>LINKÖPING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23768-2025</t>
        </is>
      </c>
      <c r="B582" s="1" t="n">
        <v>45793.47493055555</v>
      </c>
      <c r="C582" s="1" t="n">
        <v>45997</v>
      </c>
      <c r="D582" t="inlineStr">
        <is>
          <t>ÖSTERGÖTLANDS LÄN</t>
        </is>
      </c>
      <c r="E582" t="inlineStr">
        <is>
          <t>LINKÖPING</t>
        </is>
      </c>
      <c r="G582" t="n">
        <v>3.4</v>
      </c>
      <c r="H582" t="n">
        <v>0</v>
      </c>
      <c r="I582" t="n">
        <v>0</v>
      </c>
      <c r="J582" t="n">
        <v>0</v>
      </c>
      <c r="K582" t="n">
        <v>0</v>
      </c>
      <c r="L582" t="n">
        <v>0</v>
      </c>
      <c r="M582" t="n">
        <v>0</v>
      </c>
      <c r="N582" t="n">
        <v>0</v>
      </c>
      <c r="O582" t="n">
        <v>0</v>
      </c>
      <c r="P582" t="n">
        <v>0</v>
      </c>
      <c r="Q582" t="n">
        <v>0</v>
      </c>
      <c r="R582" s="2" t="inlineStr"/>
    </row>
    <row r="583" ht="15" customHeight="1">
      <c r="A583" t="inlineStr">
        <is>
          <t>A 56403-2025</t>
        </is>
      </c>
      <c r="B583" s="1" t="n">
        <v>45974</v>
      </c>
      <c r="C583" s="1" t="n">
        <v>45997</v>
      </c>
      <c r="D583" t="inlineStr">
        <is>
          <t>ÖSTERGÖTLANDS LÄN</t>
        </is>
      </c>
      <c r="E583" t="inlineStr">
        <is>
          <t>LINKÖPING</t>
        </is>
      </c>
      <c r="G583" t="n">
        <v>3.3</v>
      </c>
      <c r="H583" t="n">
        <v>0</v>
      </c>
      <c r="I583" t="n">
        <v>0</v>
      </c>
      <c r="J583" t="n">
        <v>0</v>
      </c>
      <c r="K583" t="n">
        <v>0</v>
      </c>
      <c r="L583" t="n">
        <v>0</v>
      </c>
      <c r="M583" t="n">
        <v>0</v>
      </c>
      <c r="N583" t="n">
        <v>0</v>
      </c>
      <c r="O583" t="n">
        <v>0</v>
      </c>
      <c r="P583" t="n">
        <v>0</v>
      </c>
      <c r="Q583" t="n">
        <v>0</v>
      </c>
      <c r="R583" s="2" t="inlineStr"/>
    </row>
    <row r="584" ht="15" customHeight="1">
      <c r="A584" t="inlineStr">
        <is>
          <t>A 43755-2025</t>
        </is>
      </c>
      <c r="B584" s="1" t="n">
        <v>45912.47329861111</v>
      </c>
      <c r="C584" s="1" t="n">
        <v>45997</v>
      </c>
      <c r="D584" t="inlineStr">
        <is>
          <t>ÖSTERGÖTLANDS LÄN</t>
        </is>
      </c>
      <c r="E584" t="inlineStr">
        <is>
          <t>LINKÖPING</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49605-2025</t>
        </is>
      </c>
      <c r="B585" s="1" t="n">
        <v>45938</v>
      </c>
      <c r="C585" s="1" t="n">
        <v>45997</v>
      </c>
      <c r="D585" t="inlineStr">
        <is>
          <t>ÖSTERGÖTLANDS LÄN</t>
        </is>
      </c>
      <c r="E585" t="inlineStr">
        <is>
          <t>LINKÖPING</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42997-2021</t>
        </is>
      </c>
      <c r="B586" s="1" t="n">
        <v>44431.45556712963</v>
      </c>
      <c r="C586" s="1" t="n">
        <v>45997</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43753-2025</t>
        </is>
      </c>
      <c r="B587" s="1" t="n">
        <v>45912.4715625</v>
      </c>
      <c r="C587" s="1" t="n">
        <v>45997</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43758-2025</t>
        </is>
      </c>
      <c r="B588" s="1" t="n">
        <v>45912.47711805555</v>
      </c>
      <c r="C588" s="1" t="n">
        <v>45997</v>
      </c>
      <c r="D588" t="inlineStr">
        <is>
          <t>ÖSTERGÖTLANDS LÄN</t>
        </is>
      </c>
      <c r="E588" t="inlineStr">
        <is>
          <t>LINKÖPING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49647-2025</t>
        </is>
      </c>
      <c r="B589" s="1" t="n">
        <v>45938</v>
      </c>
      <c r="C589" s="1" t="n">
        <v>45997</v>
      </c>
      <c r="D589" t="inlineStr">
        <is>
          <t>ÖSTERGÖTLANDS LÄN</t>
        </is>
      </c>
      <c r="E589" t="inlineStr">
        <is>
          <t>LINKÖPING</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44170-2025</t>
        </is>
      </c>
      <c r="B590" s="1" t="n">
        <v>45915.59864583334</v>
      </c>
      <c r="C590" s="1" t="n">
        <v>45997</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49633-2025</t>
        </is>
      </c>
      <c r="B591" s="1" t="n">
        <v>45938</v>
      </c>
      <c r="C591" s="1" t="n">
        <v>45997</v>
      </c>
      <c r="D591" t="inlineStr">
        <is>
          <t>ÖSTERGÖTLANDS LÄN</t>
        </is>
      </c>
      <c r="E591" t="inlineStr">
        <is>
          <t>LINKÖPING</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49663-2025</t>
        </is>
      </c>
      <c r="B592" s="1" t="n">
        <v>45938</v>
      </c>
      <c r="C592" s="1" t="n">
        <v>45997</v>
      </c>
      <c r="D592" t="inlineStr">
        <is>
          <t>ÖSTERGÖTLANDS LÄN</t>
        </is>
      </c>
      <c r="E592" t="inlineStr">
        <is>
          <t>LINKÖPING</t>
        </is>
      </c>
      <c r="F592" t="inlineStr">
        <is>
          <t>Övriga Aktiebolag</t>
        </is>
      </c>
      <c r="G592" t="n">
        <v>1.2</v>
      </c>
      <c r="H592" t="n">
        <v>0</v>
      </c>
      <c r="I592" t="n">
        <v>0</v>
      </c>
      <c r="J592" t="n">
        <v>0</v>
      </c>
      <c r="K592" t="n">
        <v>0</v>
      </c>
      <c r="L592" t="n">
        <v>0</v>
      </c>
      <c r="M592" t="n">
        <v>0</v>
      </c>
      <c r="N592" t="n">
        <v>0</v>
      </c>
      <c r="O592" t="n">
        <v>0</v>
      </c>
      <c r="P592" t="n">
        <v>0</v>
      </c>
      <c r="Q592" t="n">
        <v>0</v>
      </c>
      <c r="R592" s="2" t="inlineStr"/>
    </row>
    <row r="593" ht="15" customHeight="1">
      <c r="A593" t="inlineStr">
        <is>
          <t>A 52743-2025</t>
        </is>
      </c>
      <c r="B593" s="1" t="n">
        <v>45957.38039351852</v>
      </c>
      <c r="C593" s="1" t="n">
        <v>45997</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44280-2024</t>
        </is>
      </c>
      <c r="B594" s="1" t="n">
        <v>45573.49461805556</v>
      </c>
      <c r="C594" s="1" t="n">
        <v>45997</v>
      </c>
      <c r="D594" t="inlineStr">
        <is>
          <t>ÖSTERGÖTLANDS LÄN</t>
        </is>
      </c>
      <c r="E594" t="inlineStr">
        <is>
          <t>LINKÖPING</t>
        </is>
      </c>
      <c r="G594" t="n">
        <v>5.3</v>
      </c>
      <c r="H594" t="n">
        <v>0</v>
      </c>
      <c r="I594" t="n">
        <v>0</v>
      </c>
      <c r="J594" t="n">
        <v>0</v>
      </c>
      <c r="K594" t="n">
        <v>0</v>
      </c>
      <c r="L594" t="n">
        <v>0</v>
      </c>
      <c r="M594" t="n">
        <v>0</v>
      </c>
      <c r="N594" t="n">
        <v>0</v>
      </c>
      <c r="O594" t="n">
        <v>0</v>
      </c>
      <c r="P594" t="n">
        <v>0</v>
      </c>
      <c r="Q594" t="n">
        <v>0</v>
      </c>
      <c r="R594" s="2" t="inlineStr"/>
    </row>
    <row r="595" ht="15" customHeight="1">
      <c r="A595" t="inlineStr">
        <is>
          <t>A 49455-2025</t>
        </is>
      </c>
      <c r="B595" s="1" t="n">
        <v>45938</v>
      </c>
      <c r="C595" s="1" t="n">
        <v>45997</v>
      </c>
      <c r="D595" t="inlineStr">
        <is>
          <t>ÖSTERGÖTLANDS LÄN</t>
        </is>
      </c>
      <c r="E595" t="inlineStr">
        <is>
          <t>LINKÖPING</t>
        </is>
      </c>
      <c r="F595" t="inlineStr">
        <is>
          <t>Övriga Aktiebolag</t>
        </is>
      </c>
      <c r="G595" t="n">
        <v>5.9</v>
      </c>
      <c r="H595" t="n">
        <v>0</v>
      </c>
      <c r="I595" t="n">
        <v>0</v>
      </c>
      <c r="J595" t="n">
        <v>0</v>
      </c>
      <c r="K595" t="n">
        <v>0</v>
      </c>
      <c r="L595" t="n">
        <v>0</v>
      </c>
      <c r="M595" t="n">
        <v>0</v>
      </c>
      <c r="N595" t="n">
        <v>0</v>
      </c>
      <c r="O595" t="n">
        <v>0</v>
      </c>
      <c r="P595" t="n">
        <v>0</v>
      </c>
      <c r="Q595" t="n">
        <v>0</v>
      </c>
      <c r="R595" s="2" t="inlineStr"/>
    </row>
    <row r="596" ht="15" customHeight="1">
      <c r="A596" t="inlineStr">
        <is>
          <t>A 49652-2025</t>
        </is>
      </c>
      <c r="B596" s="1" t="n">
        <v>45938</v>
      </c>
      <c r="C596" s="1" t="n">
        <v>45997</v>
      </c>
      <c r="D596" t="inlineStr">
        <is>
          <t>ÖSTERGÖTLANDS LÄN</t>
        </is>
      </c>
      <c r="E596" t="inlineStr">
        <is>
          <t>LINKÖPING</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49654-2025</t>
        </is>
      </c>
      <c r="B597" s="1" t="n">
        <v>45938</v>
      </c>
      <c r="C597" s="1" t="n">
        <v>45997</v>
      </c>
      <c r="D597" t="inlineStr">
        <is>
          <t>ÖSTERGÖTLANDS LÄN</t>
        </is>
      </c>
      <c r="E597" t="inlineStr">
        <is>
          <t>LINKÖPING</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49619-2025</t>
        </is>
      </c>
      <c r="B598" s="1" t="n">
        <v>45938</v>
      </c>
      <c r="C598" s="1" t="n">
        <v>45997</v>
      </c>
      <c r="D598" t="inlineStr">
        <is>
          <t>ÖSTERGÖTLANDS LÄN</t>
        </is>
      </c>
      <c r="E598" t="inlineStr">
        <is>
          <t>LINKÖPING</t>
        </is>
      </c>
      <c r="F598" t="inlineStr">
        <is>
          <t>Övriga Aktiebolag</t>
        </is>
      </c>
      <c r="G598" t="n">
        <v>2.3</v>
      </c>
      <c r="H598" t="n">
        <v>0</v>
      </c>
      <c r="I598" t="n">
        <v>0</v>
      </c>
      <c r="J598" t="n">
        <v>0</v>
      </c>
      <c r="K598" t="n">
        <v>0</v>
      </c>
      <c r="L598" t="n">
        <v>0</v>
      </c>
      <c r="M598" t="n">
        <v>0</v>
      </c>
      <c r="N598" t="n">
        <v>0</v>
      </c>
      <c r="O598" t="n">
        <v>0</v>
      </c>
      <c r="P598" t="n">
        <v>0</v>
      </c>
      <c r="Q598" t="n">
        <v>0</v>
      </c>
      <c r="R598" s="2" t="inlineStr"/>
    </row>
    <row r="599" ht="15" customHeight="1">
      <c r="A599" t="inlineStr">
        <is>
          <t>A 49629-2025</t>
        </is>
      </c>
      <c r="B599" s="1" t="n">
        <v>45938</v>
      </c>
      <c r="C599" s="1" t="n">
        <v>45997</v>
      </c>
      <c r="D599" t="inlineStr">
        <is>
          <t>ÖSTERGÖTLANDS LÄN</t>
        </is>
      </c>
      <c r="E599" t="inlineStr">
        <is>
          <t>LINKÖPING</t>
        </is>
      </c>
      <c r="F599" t="inlineStr">
        <is>
          <t>Övriga Aktiebolag</t>
        </is>
      </c>
      <c r="G599" t="n">
        <v>4.5</v>
      </c>
      <c r="H599" t="n">
        <v>0</v>
      </c>
      <c r="I599" t="n">
        <v>0</v>
      </c>
      <c r="J599" t="n">
        <v>0</v>
      </c>
      <c r="K599" t="n">
        <v>0</v>
      </c>
      <c r="L599" t="n">
        <v>0</v>
      </c>
      <c r="M599" t="n">
        <v>0</v>
      </c>
      <c r="N599" t="n">
        <v>0</v>
      </c>
      <c r="O599" t="n">
        <v>0</v>
      </c>
      <c r="P599" t="n">
        <v>0</v>
      </c>
      <c r="Q599" t="n">
        <v>0</v>
      </c>
      <c r="R599" s="2" t="inlineStr"/>
    </row>
    <row r="600" ht="15" customHeight="1">
      <c r="A600" t="inlineStr">
        <is>
          <t>A 49650-2025</t>
        </is>
      </c>
      <c r="B600" s="1" t="n">
        <v>45938</v>
      </c>
      <c r="C600" s="1" t="n">
        <v>45997</v>
      </c>
      <c r="D600" t="inlineStr">
        <is>
          <t>ÖSTERGÖTLANDS LÄN</t>
        </is>
      </c>
      <c r="E600" t="inlineStr">
        <is>
          <t>LINKÖPING</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49632-2025</t>
        </is>
      </c>
      <c r="B601" s="1" t="n">
        <v>45938</v>
      </c>
      <c r="C601" s="1" t="n">
        <v>45997</v>
      </c>
      <c r="D601" t="inlineStr">
        <is>
          <t>ÖSTERGÖTLANDS LÄN</t>
        </is>
      </c>
      <c r="E601" t="inlineStr">
        <is>
          <t>LINKÖPING</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25996-2025</t>
        </is>
      </c>
      <c r="B602" s="1" t="n">
        <v>45804.65851851852</v>
      </c>
      <c r="C602" s="1" t="n">
        <v>45997</v>
      </c>
      <c r="D602" t="inlineStr">
        <is>
          <t>ÖSTERGÖTLANDS LÄN</t>
        </is>
      </c>
      <c r="E602" t="inlineStr">
        <is>
          <t>LINKÖPING</t>
        </is>
      </c>
      <c r="G602" t="n">
        <v>3.2</v>
      </c>
      <c r="H602" t="n">
        <v>0</v>
      </c>
      <c r="I602" t="n">
        <v>0</v>
      </c>
      <c r="J602" t="n">
        <v>0</v>
      </c>
      <c r="K602" t="n">
        <v>0</v>
      </c>
      <c r="L602" t="n">
        <v>0</v>
      </c>
      <c r="M602" t="n">
        <v>0</v>
      </c>
      <c r="N602" t="n">
        <v>0</v>
      </c>
      <c r="O602" t="n">
        <v>0</v>
      </c>
      <c r="P602" t="n">
        <v>0</v>
      </c>
      <c r="Q602" t="n">
        <v>0</v>
      </c>
      <c r="R602" s="2" t="inlineStr"/>
    </row>
    <row r="603" ht="15" customHeight="1">
      <c r="A603" t="inlineStr">
        <is>
          <t>A 52800-2025</t>
        </is>
      </c>
      <c r="B603" s="1" t="n">
        <v>45957.44152777778</v>
      </c>
      <c r="C603" s="1" t="n">
        <v>45997</v>
      </c>
      <c r="D603" t="inlineStr">
        <is>
          <t>ÖSTERGÖTLANDS LÄN</t>
        </is>
      </c>
      <c r="E603" t="inlineStr">
        <is>
          <t>LINKÖPING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49615-2025</t>
        </is>
      </c>
      <c r="B604" s="1" t="n">
        <v>45938</v>
      </c>
      <c r="C604" s="1" t="n">
        <v>45997</v>
      </c>
      <c r="D604" t="inlineStr">
        <is>
          <t>ÖSTERGÖTLANDS LÄN</t>
        </is>
      </c>
      <c r="E604" t="inlineStr">
        <is>
          <t>LINKÖPING</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26002-2025</t>
        </is>
      </c>
      <c r="B605" s="1" t="n">
        <v>45804.66534722222</v>
      </c>
      <c r="C605" s="1" t="n">
        <v>45997</v>
      </c>
      <c r="D605" t="inlineStr">
        <is>
          <t>ÖSTERGÖTLANDS LÄN</t>
        </is>
      </c>
      <c r="E605" t="inlineStr">
        <is>
          <t>LINKÖPING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52802-2025</t>
        </is>
      </c>
      <c r="B606" s="1" t="n">
        <v>45957.44295138889</v>
      </c>
      <c r="C606" s="1" t="n">
        <v>45997</v>
      </c>
      <c r="D606" t="inlineStr">
        <is>
          <t>ÖSTERGÖTLANDS LÄN</t>
        </is>
      </c>
      <c r="E606" t="inlineStr">
        <is>
          <t>LINKÖPING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44759-2025</t>
        </is>
      </c>
      <c r="B607" s="1" t="n">
        <v>45917.7152662037</v>
      </c>
      <c r="C607" s="1" t="n">
        <v>45997</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44764-2025</t>
        </is>
      </c>
      <c r="B608" s="1" t="n">
        <v>45917.72821759259</v>
      </c>
      <c r="C608" s="1" t="n">
        <v>45997</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40983-2025</t>
        </is>
      </c>
      <c r="B609" s="1" t="n">
        <v>45898</v>
      </c>
      <c r="C609" s="1" t="n">
        <v>45997</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45112-2025</t>
        </is>
      </c>
      <c r="B610" s="1" t="n">
        <v>45919</v>
      </c>
      <c r="C610" s="1" t="n">
        <v>45997</v>
      </c>
      <c r="D610" t="inlineStr">
        <is>
          <t>ÖSTERGÖTLANDS LÄN</t>
        </is>
      </c>
      <c r="E610" t="inlineStr">
        <is>
          <t>LINKÖPING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52807-2025</t>
        </is>
      </c>
      <c r="B611" s="1" t="n">
        <v>45957.44837962963</v>
      </c>
      <c r="C611" s="1" t="n">
        <v>45997</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50056-2025</t>
        </is>
      </c>
      <c r="B612" s="1" t="n">
        <v>45941</v>
      </c>
      <c r="C612" s="1" t="n">
        <v>45997</v>
      </c>
      <c r="D612" t="inlineStr">
        <is>
          <t>ÖSTERGÖTLANDS LÄN</t>
        </is>
      </c>
      <c r="E612" t="inlineStr">
        <is>
          <t>LINKÖPING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55004-2025</t>
        </is>
      </c>
      <c r="B613" s="1" t="n">
        <v>45967</v>
      </c>
      <c r="C613" s="1" t="n">
        <v>45997</v>
      </c>
      <c r="D613" t="inlineStr">
        <is>
          <t>ÖSTERGÖTLANDS LÄN</t>
        </is>
      </c>
      <c r="E613" t="inlineStr">
        <is>
          <t>LINKÖPING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28200-2025</t>
        </is>
      </c>
      <c r="B614" s="1" t="n">
        <v>45818.4428125</v>
      </c>
      <c r="C614" s="1" t="n">
        <v>45997</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59205-2025</t>
        </is>
      </c>
      <c r="B615" s="1" t="n">
        <v>45988.60721064815</v>
      </c>
      <c r="C615" s="1" t="n">
        <v>45997</v>
      </c>
      <c r="D615" t="inlineStr">
        <is>
          <t>ÖSTERGÖTLANDS LÄN</t>
        </is>
      </c>
      <c r="E615" t="inlineStr">
        <is>
          <t>LINKÖPING</t>
        </is>
      </c>
      <c r="F615" t="inlineStr">
        <is>
          <t>Sveaskog</t>
        </is>
      </c>
      <c r="G615" t="n">
        <v>11.3</v>
      </c>
      <c r="H615" t="n">
        <v>0</v>
      </c>
      <c r="I615" t="n">
        <v>0</v>
      </c>
      <c r="J615" t="n">
        <v>0</v>
      </c>
      <c r="K615" t="n">
        <v>0</v>
      </c>
      <c r="L615" t="n">
        <v>0</v>
      </c>
      <c r="M615" t="n">
        <v>0</v>
      </c>
      <c r="N615" t="n">
        <v>0</v>
      </c>
      <c r="O615" t="n">
        <v>0</v>
      </c>
      <c r="P615" t="n">
        <v>0</v>
      </c>
      <c r="Q615" t="n">
        <v>0</v>
      </c>
      <c r="R615" s="2" t="inlineStr"/>
    </row>
    <row r="616" ht="15" customHeight="1">
      <c r="A616" t="inlineStr">
        <is>
          <t>A 58802-2025</t>
        </is>
      </c>
      <c r="B616" s="1" t="n">
        <v>45986.8768287037</v>
      </c>
      <c r="C616" s="1" t="n">
        <v>45997</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27950-2025</t>
        </is>
      </c>
      <c r="B617" s="1" t="n">
        <v>45817.52960648148</v>
      </c>
      <c r="C617" s="1" t="n">
        <v>45997</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27797-2025</t>
        </is>
      </c>
      <c r="B618" s="1" t="n">
        <v>45816.80521990741</v>
      </c>
      <c r="C618" s="1" t="n">
        <v>45997</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27798-2025</t>
        </is>
      </c>
      <c r="B619" s="1" t="n">
        <v>45816.81532407407</v>
      </c>
      <c r="C619" s="1" t="n">
        <v>45997</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54333-2025</t>
        </is>
      </c>
      <c r="B620" s="1" t="n">
        <v>45965.35090277778</v>
      </c>
      <c r="C620" s="1" t="n">
        <v>45997</v>
      </c>
      <c r="D620" t="inlineStr">
        <is>
          <t>ÖSTERGÖTLANDS LÄN</t>
        </is>
      </c>
      <c r="E620" t="inlineStr">
        <is>
          <t>LINKÖPING</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28209-2025</t>
        </is>
      </c>
      <c r="B621" s="1" t="n">
        <v>45818.45112268518</v>
      </c>
      <c r="C621" s="1" t="n">
        <v>45997</v>
      </c>
      <c r="D621" t="inlineStr">
        <is>
          <t>ÖSTERGÖTLANDS LÄN</t>
        </is>
      </c>
      <c r="E621" t="inlineStr">
        <is>
          <t>LINKÖPING</t>
        </is>
      </c>
      <c r="G621" t="n">
        <v>4.2</v>
      </c>
      <c r="H621" t="n">
        <v>0</v>
      </c>
      <c r="I621" t="n">
        <v>0</v>
      </c>
      <c r="J621" t="n">
        <v>0</v>
      </c>
      <c r="K621" t="n">
        <v>0</v>
      </c>
      <c r="L621" t="n">
        <v>0</v>
      </c>
      <c r="M621" t="n">
        <v>0</v>
      </c>
      <c r="N621" t="n">
        <v>0</v>
      </c>
      <c r="O621" t="n">
        <v>0</v>
      </c>
      <c r="P621" t="n">
        <v>0</v>
      </c>
      <c r="Q621" t="n">
        <v>0</v>
      </c>
      <c r="R621" s="2" t="inlineStr"/>
    </row>
    <row r="622" ht="15" customHeight="1">
      <c r="A622" t="inlineStr">
        <is>
          <t>A 45634-2025</t>
        </is>
      </c>
      <c r="B622" s="1" t="n">
        <v>45922.85089120371</v>
      </c>
      <c r="C622" s="1" t="n">
        <v>45997</v>
      </c>
      <c r="D622" t="inlineStr">
        <is>
          <t>ÖSTERGÖTLANDS LÄN</t>
        </is>
      </c>
      <c r="E622" t="inlineStr">
        <is>
          <t>LINKÖPING</t>
        </is>
      </c>
      <c r="F622" t="inlineStr">
        <is>
          <t>Övriga Aktiebolag</t>
        </is>
      </c>
      <c r="G622" t="n">
        <v>0.3</v>
      </c>
      <c r="H622" t="n">
        <v>0</v>
      </c>
      <c r="I622" t="n">
        <v>0</v>
      </c>
      <c r="J622" t="n">
        <v>0</v>
      </c>
      <c r="K622" t="n">
        <v>0</v>
      </c>
      <c r="L622" t="n">
        <v>0</v>
      </c>
      <c r="M622" t="n">
        <v>0</v>
      </c>
      <c r="N622" t="n">
        <v>0</v>
      </c>
      <c r="O622" t="n">
        <v>0</v>
      </c>
      <c r="P622" t="n">
        <v>0</v>
      </c>
      <c r="Q622" t="n">
        <v>0</v>
      </c>
      <c r="R622" s="2" t="inlineStr"/>
    </row>
    <row r="623" ht="15" customHeight="1">
      <c r="A623" t="inlineStr">
        <is>
          <t>A 28204-2025</t>
        </is>
      </c>
      <c r="B623" s="1" t="n">
        <v>45818.4477662037</v>
      </c>
      <c r="C623" s="1" t="n">
        <v>45997</v>
      </c>
      <c r="D623" t="inlineStr">
        <is>
          <t>ÖSTERGÖTLANDS LÄN</t>
        </is>
      </c>
      <c r="E623" t="inlineStr">
        <is>
          <t>LINKÖPING</t>
        </is>
      </c>
      <c r="G623" t="n">
        <v>2.9</v>
      </c>
      <c r="H623" t="n">
        <v>0</v>
      </c>
      <c r="I623" t="n">
        <v>0</v>
      </c>
      <c r="J623" t="n">
        <v>0</v>
      </c>
      <c r="K623" t="n">
        <v>0</v>
      </c>
      <c r="L623" t="n">
        <v>0</v>
      </c>
      <c r="M623" t="n">
        <v>0</v>
      </c>
      <c r="N623" t="n">
        <v>0</v>
      </c>
      <c r="O623" t="n">
        <v>0</v>
      </c>
      <c r="P623" t="n">
        <v>0</v>
      </c>
      <c r="Q623" t="n">
        <v>0</v>
      </c>
      <c r="R623" s="2" t="inlineStr"/>
    </row>
    <row r="624" ht="15" customHeight="1">
      <c r="A624" t="inlineStr">
        <is>
          <t>A 45792-2025</t>
        </is>
      </c>
      <c r="B624" s="1" t="n">
        <v>45923.56998842592</v>
      </c>
      <c r="C624" s="1" t="n">
        <v>45997</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50667-2025</t>
        </is>
      </c>
      <c r="B625" s="1" t="n">
        <v>45945</v>
      </c>
      <c r="C625" s="1" t="n">
        <v>45997</v>
      </c>
      <c r="D625" t="inlineStr">
        <is>
          <t>ÖSTERGÖTLANDS LÄN</t>
        </is>
      </c>
      <c r="E625" t="inlineStr">
        <is>
          <t>LINKÖPING</t>
        </is>
      </c>
      <c r="G625" t="n">
        <v>3.3</v>
      </c>
      <c r="H625" t="n">
        <v>0</v>
      </c>
      <c r="I625" t="n">
        <v>0</v>
      </c>
      <c r="J625" t="n">
        <v>0</v>
      </c>
      <c r="K625" t="n">
        <v>0</v>
      </c>
      <c r="L625" t="n">
        <v>0</v>
      </c>
      <c r="M625" t="n">
        <v>0</v>
      </c>
      <c r="N625" t="n">
        <v>0</v>
      </c>
      <c r="O625" t="n">
        <v>0</v>
      </c>
      <c r="P625" t="n">
        <v>0</v>
      </c>
      <c r="Q625" t="n">
        <v>0</v>
      </c>
      <c r="R625" s="2" t="inlineStr"/>
    </row>
    <row r="626" ht="15" customHeight="1">
      <c r="A626" t="inlineStr">
        <is>
          <t>A 28398-2025</t>
        </is>
      </c>
      <c r="B626" s="1" t="n">
        <v>45819.34208333334</v>
      </c>
      <c r="C626" s="1" t="n">
        <v>45997</v>
      </c>
      <c r="D626" t="inlineStr">
        <is>
          <t>ÖSTERGÖTLANDS LÄN</t>
        </is>
      </c>
      <c r="E626" t="inlineStr">
        <is>
          <t>LINKÖPING</t>
        </is>
      </c>
      <c r="F626" t="inlineStr">
        <is>
          <t>Sveaskog</t>
        </is>
      </c>
      <c r="G626" t="n">
        <v>7.9</v>
      </c>
      <c r="H626" t="n">
        <v>0</v>
      </c>
      <c r="I626" t="n">
        <v>0</v>
      </c>
      <c r="J626" t="n">
        <v>0</v>
      </c>
      <c r="K626" t="n">
        <v>0</v>
      </c>
      <c r="L626" t="n">
        <v>0</v>
      </c>
      <c r="M626" t="n">
        <v>0</v>
      </c>
      <c r="N626" t="n">
        <v>0</v>
      </c>
      <c r="O626" t="n">
        <v>0</v>
      </c>
      <c r="P626" t="n">
        <v>0</v>
      </c>
      <c r="Q626" t="n">
        <v>0</v>
      </c>
      <c r="R626" s="2" t="inlineStr"/>
    </row>
    <row r="627" ht="15" customHeight="1">
      <c r="A627" t="inlineStr">
        <is>
          <t>A 45804-2025</t>
        </is>
      </c>
      <c r="B627" s="1" t="n">
        <v>45923.5819675926</v>
      </c>
      <c r="C627" s="1" t="n">
        <v>45997</v>
      </c>
      <c r="D627" t="inlineStr">
        <is>
          <t>ÖSTERGÖTLANDS LÄN</t>
        </is>
      </c>
      <c r="E627" t="inlineStr">
        <is>
          <t>LINKÖPING</t>
        </is>
      </c>
      <c r="G627" t="n">
        <v>3.3</v>
      </c>
      <c r="H627" t="n">
        <v>0</v>
      </c>
      <c r="I627" t="n">
        <v>0</v>
      </c>
      <c r="J627" t="n">
        <v>0</v>
      </c>
      <c r="K627" t="n">
        <v>0</v>
      </c>
      <c r="L627" t="n">
        <v>0</v>
      </c>
      <c r="M627" t="n">
        <v>0</v>
      </c>
      <c r="N627" t="n">
        <v>0</v>
      </c>
      <c r="O627" t="n">
        <v>0</v>
      </c>
      <c r="P627" t="n">
        <v>0</v>
      </c>
      <c r="Q627" t="n">
        <v>0</v>
      </c>
      <c r="R627" s="2" t="inlineStr"/>
    </row>
    <row r="628" ht="15" customHeight="1">
      <c r="A628" t="inlineStr">
        <is>
          <t>A 28416-2025</t>
        </is>
      </c>
      <c r="B628" s="1" t="n">
        <v>45819.35346064815</v>
      </c>
      <c r="C628" s="1" t="n">
        <v>45997</v>
      </c>
      <c r="D628" t="inlineStr">
        <is>
          <t>ÖSTERGÖTLANDS LÄN</t>
        </is>
      </c>
      <c r="E628" t="inlineStr">
        <is>
          <t>LINKÖPING</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29027-2025</t>
        </is>
      </c>
      <c r="B629" s="1" t="n">
        <v>45821.4375462963</v>
      </c>
      <c r="C629" s="1" t="n">
        <v>45997</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29393-2025</t>
        </is>
      </c>
      <c r="B630" s="1" t="n">
        <v>45824.6057175926</v>
      </c>
      <c r="C630" s="1" t="n">
        <v>45997</v>
      </c>
      <c r="D630" t="inlineStr">
        <is>
          <t>ÖSTERGÖTLANDS LÄN</t>
        </is>
      </c>
      <c r="E630" t="inlineStr">
        <is>
          <t>LINKÖPING</t>
        </is>
      </c>
      <c r="F630" t="inlineStr">
        <is>
          <t>Sveaskog</t>
        </is>
      </c>
      <c r="G630" t="n">
        <v>24.6</v>
      </c>
      <c r="H630" t="n">
        <v>0</v>
      </c>
      <c r="I630" t="n">
        <v>0</v>
      </c>
      <c r="J630" t="n">
        <v>0</v>
      </c>
      <c r="K630" t="n">
        <v>0</v>
      </c>
      <c r="L630" t="n">
        <v>0</v>
      </c>
      <c r="M630" t="n">
        <v>0</v>
      </c>
      <c r="N630" t="n">
        <v>0</v>
      </c>
      <c r="O630" t="n">
        <v>0</v>
      </c>
      <c r="P630" t="n">
        <v>0</v>
      </c>
      <c r="Q630" t="n">
        <v>0</v>
      </c>
      <c r="R630" s="2" t="inlineStr"/>
    </row>
    <row r="631" ht="15" customHeight="1">
      <c r="A631" t="inlineStr">
        <is>
          <t>A 55132-2025</t>
        </is>
      </c>
      <c r="B631" s="1" t="n">
        <v>45968.41912037037</v>
      </c>
      <c r="C631" s="1" t="n">
        <v>45997</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29411-2025</t>
        </is>
      </c>
      <c r="B632" s="1" t="n">
        <v>45824.6219212963</v>
      </c>
      <c r="C632" s="1" t="n">
        <v>45997</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46428-2025</t>
        </is>
      </c>
      <c r="B633" s="1" t="n">
        <v>45925.60758101852</v>
      </c>
      <c r="C633" s="1" t="n">
        <v>45997</v>
      </c>
      <c r="D633" t="inlineStr">
        <is>
          <t>ÖSTERGÖTLANDS LÄN</t>
        </is>
      </c>
      <c r="E633" t="inlineStr">
        <is>
          <t>LINKÖPING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46426-2025</t>
        </is>
      </c>
      <c r="B634" s="1" t="n">
        <v>45925.6012962963</v>
      </c>
      <c r="C634" s="1" t="n">
        <v>45997</v>
      </c>
      <c r="D634" t="inlineStr">
        <is>
          <t>ÖSTERGÖTLANDS LÄN</t>
        </is>
      </c>
      <c r="E634" t="inlineStr">
        <is>
          <t>LINKÖPING</t>
        </is>
      </c>
      <c r="G634" t="n">
        <v>4.4</v>
      </c>
      <c r="H634" t="n">
        <v>0</v>
      </c>
      <c r="I634" t="n">
        <v>0</v>
      </c>
      <c r="J634" t="n">
        <v>0</v>
      </c>
      <c r="K634" t="n">
        <v>0</v>
      </c>
      <c r="L634" t="n">
        <v>0</v>
      </c>
      <c r="M634" t="n">
        <v>0</v>
      </c>
      <c r="N634" t="n">
        <v>0</v>
      </c>
      <c r="O634" t="n">
        <v>0</v>
      </c>
      <c r="P634" t="n">
        <v>0</v>
      </c>
      <c r="Q634" t="n">
        <v>0</v>
      </c>
      <c r="R634" s="2" t="inlineStr"/>
    </row>
    <row r="635" ht="15" customHeight="1">
      <c r="A635" t="inlineStr">
        <is>
          <t>A 59472-2025</t>
        </is>
      </c>
      <c r="B635" s="1" t="n">
        <v>45989.58321759259</v>
      </c>
      <c r="C635" s="1" t="n">
        <v>45997</v>
      </c>
      <c r="D635" t="inlineStr">
        <is>
          <t>ÖSTERGÖTLANDS LÄN</t>
        </is>
      </c>
      <c r="E635" t="inlineStr">
        <is>
          <t>LINKÖPING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29599-2025</t>
        </is>
      </c>
      <c r="B636" s="1" t="n">
        <v>45825.41101851852</v>
      </c>
      <c r="C636" s="1" t="n">
        <v>45997</v>
      </c>
      <c r="D636" t="inlineStr">
        <is>
          <t>ÖSTERGÖTLANDS LÄN</t>
        </is>
      </c>
      <c r="E636" t="inlineStr">
        <is>
          <t>LINKÖPING</t>
        </is>
      </c>
      <c r="G636" t="n">
        <v>0.9</v>
      </c>
      <c r="H636" t="n">
        <v>0</v>
      </c>
      <c r="I636" t="n">
        <v>0</v>
      </c>
      <c r="J636" t="n">
        <v>0</v>
      </c>
      <c r="K636" t="n">
        <v>0</v>
      </c>
      <c r="L636" t="n">
        <v>0</v>
      </c>
      <c r="M636" t="n">
        <v>0</v>
      </c>
      <c r="N636" t="n">
        <v>0</v>
      </c>
      <c r="O636" t="n">
        <v>0</v>
      </c>
      <c r="P636" t="n">
        <v>0</v>
      </c>
      <c r="Q636" t="n">
        <v>0</v>
      </c>
      <c r="R636" s="2" t="inlineStr"/>
    </row>
    <row r="637" ht="15" customHeight="1">
      <c r="A637" t="inlineStr">
        <is>
          <t>A 51802-2025</t>
        </is>
      </c>
      <c r="B637" s="1" t="n">
        <v>45950</v>
      </c>
      <c r="C637" s="1" t="n">
        <v>45997</v>
      </c>
      <c r="D637" t="inlineStr">
        <is>
          <t>ÖSTERGÖTLANDS LÄN</t>
        </is>
      </c>
      <c r="E637" t="inlineStr">
        <is>
          <t>LINKÖPING</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10253-2022</t>
        </is>
      </c>
      <c r="B638" s="1" t="n">
        <v>44622</v>
      </c>
      <c r="C638" s="1" t="n">
        <v>45997</v>
      </c>
      <c r="D638" t="inlineStr">
        <is>
          <t>ÖSTERGÖTLANDS LÄN</t>
        </is>
      </c>
      <c r="E638" t="inlineStr">
        <is>
          <t>LINKÖPING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55102-2025</t>
        </is>
      </c>
      <c r="B639" s="1" t="n">
        <v>45968.35410879629</v>
      </c>
      <c r="C639" s="1" t="n">
        <v>45997</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55109-2025</t>
        </is>
      </c>
      <c r="B640" s="1" t="n">
        <v>45968.37731481482</v>
      </c>
      <c r="C640" s="1" t="n">
        <v>45997</v>
      </c>
      <c r="D640" t="inlineStr">
        <is>
          <t>ÖSTERGÖTLANDS LÄN</t>
        </is>
      </c>
      <c r="E640" t="inlineStr">
        <is>
          <t>LINKÖPING</t>
        </is>
      </c>
      <c r="G640" t="n">
        <v>3.2</v>
      </c>
      <c r="H640" t="n">
        <v>0</v>
      </c>
      <c r="I640" t="n">
        <v>0</v>
      </c>
      <c r="J640" t="n">
        <v>0</v>
      </c>
      <c r="K640" t="n">
        <v>0</v>
      </c>
      <c r="L640" t="n">
        <v>0</v>
      </c>
      <c r="M640" t="n">
        <v>0</v>
      </c>
      <c r="N640" t="n">
        <v>0</v>
      </c>
      <c r="O640" t="n">
        <v>0</v>
      </c>
      <c r="P640" t="n">
        <v>0</v>
      </c>
      <c r="Q640" t="n">
        <v>0</v>
      </c>
      <c r="R640" s="2" t="inlineStr"/>
    </row>
    <row r="641" ht="15" customHeight="1">
      <c r="A641" t="inlineStr">
        <is>
          <t>A 46377-2025</t>
        </is>
      </c>
      <c r="B641" s="1" t="n">
        <v>45925.51773148148</v>
      </c>
      <c r="C641" s="1" t="n">
        <v>45997</v>
      </c>
      <c r="D641" t="inlineStr">
        <is>
          <t>ÖSTERGÖTLANDS LÄN</t>
        </is>
      </c>
      <c r="E641" t="inlineStr">
        <is>
          <t>LINKÖPING</t>
        </is>
      </c>
      <c r="G641" t="n">
        <v>3.1</v>
      </c>
      <c r="H641" t="n">
        <v>0</v>
      </c>
      <c r="I641" t="n">
        <v>0</v>
      </c>
      <c r="J641" t="n">
        <v>0</v>
      </c>
      <c r="K641" t="n">
        <v>0</v>
      </c>
      <c r="L641" t="n">
        <v>0</v>
      </c>
      <c r="M641" t="n">
        <v>0</v>
      </c>
      <c r="N641" t="n">
        <v>0</v>
      </c>
      <c r="O641" t="n">
        <v>0</v>
      </c>
      <c r="P641" t="n">
        <v>0</v>
      </c>
      <c r="Q641" t="n">
        <v>0</v>
      </c>
      <c r="R641" s="2" t="inlineStr"/>
    </row>
    <row r="642" ht="15" customHeight="1">
      <c r="A642" t="inlineStr">
        <is>
          <t>A 30355-2025</t>
        </is>
      </c>
      <c r="B642" s="1" t="n">
        <v>45827</v>
      </c>
      <c r="C642" s="1" t="n">
        <v>45997</v>
      </c>
      <c r="D642" t="inlineStr">
        <is>
          <t>ÖSTERGÖTLANDS LÄN</t>
        </is>
      </c>
      <c r="E642" t="inlineStr">
        <is>
          <t>LINKÖPING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55165-2025</t>
        </is>
      </c>
      <c r="B643" s="1" t="n">
        <v>45968.48194444444</v>
      </c>
      <c r="C643" s="1" t="n">
        <v>45997</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30353-2025</t>
        </is>
      </c>
      <c r="B644" s="1" t="n">
        <v>45827</v>
      </c>
      <c r="C644" s="1" t="n">
        <v>45997</v>
      </c>
      <c r="D644" t="inlineStr">
        <is>
          <t>ÖSTERGÖTLANDS LÄN</t>
        </is>
      </c>
      <c r="E644" t="inlineStr">
        <is>
          <t>LINKÖPING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60087-2025</t>
        </is>
      </c>
      <c r="B645" s="1" t="n">
        <v>45993.71726851852</v>
      </c>
      <c r="C645" s="1" t="n">
        <v>45997</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60284-2025</t>
        </is>
      </c>
      <c r="B646" s="1" t="n">
        <v>45994.64373842593</v>
      </c>
      <c r="C646" s="1" t="n">
        <v>45997</v>
      </c>
      <c r="D646" t="inlineStr">
        <is>
          <t>ÖSTERGÖTLANDS LÄN</t>
        </is>
      </c>
      <c r="E646" t="inlineStr">
        <is>
          <t>LINKÖPING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60306-2025</t>
        </is>
      </c>
      <c r="B647" s="1" t="n">
        <v>45994.68326388889</v>
      </c>
      <c r="C647" s="1" t="n">
        <v>45997</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52111-2025</t>
        </is>
      </c>
      <c r="B648" s="1" t="n">
        <v>45952.69527777778</v>
      </c>
      <c r="C648" s="1" t="n">
        <v>45997</v>
      </c>
      <c r="D648" t="inlineStr">
        <is>
          <t>ÖSTERGÖTLANDS LÄN</t>
        </is>
      </c>
      <c r="E648" t="inlineStr">
        <is>
          <t>LINKÖPING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31581-2025</t>
        </is>
      </c>
      <c r="B649" s="1" t="n">
        <v>45833.6840162037</v>
      </c>
      <c r="C649" s="1" t="n">
        <v>45997</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31585-2025</t>
        </is>
      </c>
      <c r="B650" s="1" t="n">
        <v>45833.68815972222</v>
      </c>
      <c r="C650" s="1" t="n">
        <v>45997</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32723-2025</t>
        </is>
      </c>
      <c r="B651" s="1" t="n">
        <v>45838</v>
      </c>
      <c r="C651" s="1" t="n">
        <v>45997</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60703-2025</t>
        </is>
      </c>
      <c r="B652" s="1" t="n">
        <v>45996.6052662037</v>
      </c>
      <c r="C652" s="1" t="n">
        <v>45997</v>
      </c>
      <c r="D652" t="inlineStr">
        <is>
          <t>ÖSTERGÖTLANDS LÄN</t>
        </is>
      </c>
      <c r="E652" t="inlineStr">
        <is>
          <t>LINKÖPING</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33947-2025</t>
        </is>
      </c>
      <c r="B653" s="1" t="n">
        <v>45842.65444444444</v>
      </c>
      <c r="C653" s="1" t="n">
        <v>45997</v>
      </c>
      <c r="D653" t="inlineStr">
        <is>
          <t>ÖSTERGÖTLANDS LÄN</t>
        </is>
      </c>
      <c r="E653" t="inlineStr">
        <is>
          <t>LINKÖPING</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14028-2024</t>
        </is>
      </c>
      <c r="B654" s="1" t="n">
        <v>45392</v>
      </c>
      <c r="C654" s="1" t="n">
        <v>45997</v>
      </c>
      <c r="D654" t="inlineStr">
        <is>
          <t>ÖSTERGÖTLANDS LÄN</t>
        </is>
      </c>
      <c r="E654" t="inlineStr">
        <is>
          <t>LINKÖPING</t>
        </is>
      </c>
      <c r="G654" t="n">
        <v>1.7</v>
      </c>
      <c r="H654" t="n">
        <v>0</v>
      </c>
      <c r="I654" t="n">
        <v>0</v>
      </c>
      <c r="J654" t="n">
        <v>0</v>
      </c>
      <c r="K654" t="n">
        <v>0</v>
      </c>
      <c r="L654" t="n">
        <v>0</v>
      </c>
      <c r="M654" t="n">
        <v>0</v>
      </c>
      <c r="N654" t="n">
        <v>0</v>
      </c>
      <c r="O654" t="n">
        <v>0</v>
      </c>
      <c r="P654" t="n">
        <v>0</v>
      </c>
      <c r="Q654" t="n">
        <v>0</v>
      </c>
      <c r="R654" s="2" t="inlineStr"/>
    </row>
    <row r="655" ht="15" customHeight="1">
      <c r="A655" t="inlineStr">
        <is>
          <t>A 62012-2024</t>
        </is>
      </c>
      <c r="B655" s="1" t="n">
        <v>45655.79679398148</v>
      </c>
      <c r="C655" s="1" t="n">
        <v>45997</v>
      </c>
      <c r="D655" t="inlineStr">
        <is>
          <t>ÖSTERGÖTLANDS LÄN</t>
        </is>
      </c>
      <c r="E655" t="inlineStr">
        <is>
          <t>LINKÖPING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14667-2024</t>
        </is>
      </c>
      <c r="B656" s="1" t="n">
        <v>45397.42005787037</v>
      </c>
      <c r="C656" s="1" t="n">
        <v>45997</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53529-2024</t>
        </is>
      </c>
      <c r="B657" s="1" t="n">
        <v>45614</v>
      </c>
      <c r="C657" s="1" t="n">
        <v>45997</v>
      </c>
      <c r="D657" t="inlineStr">
        <is>
          <t>ÖSTERGÖTLANDS LÄN</t>
        </is>
      </c>
      <c r="E657" t="inlineStr">
        <is>
          <t>LINKÖPING</t>
        </is>
      </c>
      <c r="G657" t="n">
        <v>6.7</v>
      </c>
      <c r="H657" t="n">
        <v>0</v>
      </c>
      <c r="I657" t="n">
        <v>0</v>
      </c>
      <c r="J657" t="n">
        <v>0</v>
      </c>
      <c r="K657" t="n">
        <v>0</v>
      </c>
      <c r="L657" t="n">
        <v>0</v>
      </c>
      <c r="M657" t="n">
        <v>0</v>
      </c>
      <c r="N657" t="n">
        <v>0</v>
      </c>
      <c r="O657" t="n">
        <v>0</v>
      </c>
      <c r="P657" t="n">
        <v>0</v>
      </c>
      <c r="Q657" t="n">
        <v>0</v>
      </c>
      <c r="R657" s="2" t="inlineStr"/>
    </row>
    <row r="658" ht="15" customHeight="1">
      <c r="A658" t="inlineStr">
        <is>
          <t>A 2697-2023</t>
        </is>
      </c>
      <c r="B658" s="1" t="n">
        <v>44944</v>
      </c>
      <c r="C658" s="1" t="n">
        <v>45997</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53641-2023</t>
        </is>
      </c>
      <c r="B659" s="1" t="n">
        <v>45230</v>
      </c>
      <c r="C659" s="1" t="n">
        <v>45997</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48707-2023</t>
        </is>
      </c>
      <c r="B660" s="1" t="n">
        <v>45202</v>
      </c>
      <c r="C660" s="1" t="n">
        <v>45997</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20469-2025</t>
        </is>
      </c>
      <c r="B661" s="1" t="n">
        <v>45775</v>
      </c>
      <c r="C661" s="1" t="n">
        <v>45997</v>
      </c>
      <c r="D661" t="inlineStr">
        <is>
          <t>ÖSTERGÖTLANDS LÄN</t>
        </is>
      </c>
      <c r="E661" t="inlineStr">
        <is>
          <t>LINKÖPING</t>
        </is>
      </c>
      <c r="F661" t="inlineStr">
        <is>
          <t>Kyrkan</t>
        </is>
      </c>
      <c r="G661" t="n">
        <v>6.1</v>
      </c>
      <c r="H661" t="n">
        <v>0</v>
      </c>
      <c r="I661" t="n">
        <v>0</v>
      </c>
      <c r="J661" t="n">
        <v>0</v>
      </c>
      <c r="K661" t="n">
        <v>0</v>
      </c>
      <c r="L661" t="n">
        <v>0</v>
      </c>
      <c r="M661" t="n">
        <v>0</v>
      </c>
      <c r="N661" t="n">
        <v>0</v>
      </c>
      <c r="O661" t="n">
        <v>0</v>
      </c>
      <c r="P661" t="n">
        <v>0</v>
      </c>
      <c r="Q661" t="n">
        <v>0</v>
      </c>
      <c r="R661" s="2" t="inlineStr"/>
    </row>
    <row r="662" ht="15" customHeight="1">
      <c r="A662" t="inlineStr">
        <is>
          <t>A 53411-2023</t>
        </is>
      </c>
      <c r="B662" s="1" t="n">
        <v>45229.81049768518</v>
      </c>
      <c r="C662" s="1" t="n">
        <v>45997</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56741-2023</t>
        </is>
      </c>
      <c r="B663" s="1" t="n">
        <v>45244</v>
      </c>
      <c r="C663" s="1" t="n">
        <v>45997</v>
      </c>
      <c r="D663" t="inlineStr">
        <is>
          <t>ÖSTERGÖTLANDS LÄN</t>
        </is>
      </c>
      <c r="E663" t="inlineStr">
        <is>
          <t>LINKÖPING</t>
        </is>
      </c>
      <c r="F663" t="inlineStr">
        <is>
          <t>Övriga Aktiebolag</t>
        </is>
      </c>
      <c r="G663" t="n">
        <v>1.1</v>
      </c>
      <c r="H663" t="n">
        <v>0</v>
      </c>
      <c r="I663" t="n">
        <v>0</v>
      </c>
      <c r="J663" t="n">
        <v>0</v>
      </c>
      <c r="K663" t="n">
        <v>0</v>
      </c>
      <c r="L663" t="n">
        <v>0</v>
      </c>
      <c r="M663" t="n">
        <v>0</v>
      </c>
      <c r="N663" t="n">
        <v>0</v>
      </c>
      <c r="O663" t="n">
        <v>0</v>
      </c>
      <c r="P663" t="n">
        <v>0</v>
      </c>
      <c r="Q663" t="n">
        <v>0</v>
      </c>
      <c r="R663" s="2" t="inlineStr"/>
    </row>
    <row r="664" ht="15" customHeight="1">
      <c r="A664" t="inlineStr">
        <is>
          <t>A 56792-2023</t>
        </is>
      </c>
      <c r="B664" s="1" t="n">
        <v>45244</v>
      </c>
      <c r="C664" s="1" t="n">
        <v>45997</v>
      </c>
      <c r="D664" t="inlineStr">
        <is>
          <t>ÖSTERGÖTLANDS LÄN</t>
        </is>
      </c>
      <c r="E664" t="inlineStr">
        <is>
          <t>LINKÖPING</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45997</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40338-2024</t>
        </is>
      </c>
      <c r="B666" s="1" t="n">
        <v>45555.32940972222</v>
      </c>
      <c r="C666" s="1" t="n">
        <v>45997</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3013-2023</t>
        </is>
      </c>
      <c r="B667" s="1" t="n">
        <v>44945.8092824074</v>
      </c>
      <c r="C667" s="1" t="n">
        <v>45997</v>
      </c>
      <c r="D667" t="inlineStr">
        <is>
          <t>ÖSTERGÖTLANDS LÄN</t>
        </is>
      </c>
      <c r="E667" t="inlineStr">
        <is>
          <t>LINKÖPING</t>
        </is>
      </c>
      <c r="G667" t="n">
        <v>5.2</v>
      </c>
      <c r="H667" t="n">
        <v>0</v>
      </c>
      <c r="I667" t="n">
        <v>0</v>
      </c>
      <c r="J667" t="n">
        <v>0</v>
      </c>
      <c r="K667" t="n">
        <v>0</v>
      </c>
      <c r="L667" t="n">
        <v>0</v>
      </c>
      <c r="M667" t="n">
        <v>0</v>
      </c>
      <c r="N667" t="n">
        <v>0</v>
      </c>
      <c r="O667" t="n">
        <v>0</v>
      </c>
      <c r="P667" t="n">
        <v>0</v>
      </c>
      <c r="Q667" t="n">
        <v>0</v>
      </c>
      <c r="R667" s="2" t="inlineStr"/>
    </row>
    <row r="668" ht="15" customHeight="1">
      <c r="A668" t="inlineStr">
        <is>
          <t>A 55945-2024</t>
        </is>
      </c>
      <c r="B668" s="1" t="n">
        <v>45623.61754629629</v>
      </c>
      <c r="C668" s="1" t="n">
        <v>45997</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45997</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47991-2023</t>
        </is>
      </c>
      <c r="B670" s="1" t="n">
        <v>45204.62655092592</v>
      </c>
      <c r="C670" s="1" t="n">
        <v>45997</v>
      </c>
      <c r="D670" t="inlineStr">
        <is>
          <t>ÖSTERGÖTLANDS LÄN</t>
        </is>
      </c>
      <c r="E670" t="inlineStr">
        <is>
          <t>LINKÖPING</t>
        </is>
      </c>
      <c r="F670" t="inlineStr">
        <is>
          <t>Allmännings- och besparingsskogar</t>
        </is>
      </c>
      <c r="G670" t="n">
        <v>7.3</v>
      </c>
      <c r="H670" t="n">
        <v>0</v>
      </c>
      <c r="I670" t="n">
        <v>0</v>
      </c>
      <c r="J670" t="n">
        <v>0</v>
      </c>
      <c r="K670" t="n">
        <v>0</v>
      </c>
      <c r="L670" t="n">
        <v>0</v>
      </c>
      <c r="M670" t="n">
        <v>0</v>
      </c>
      <c r="N670" t="n">
        <v>0</v>
      </c>
      <c r="O670" t="n">
        <v>0</v>
      </c>
      <c r="P670" t="n">
        <v>0</v>
      </c>
      <c r="Q670" t="n">
        <v>0</v>
      </c>
      <c r="R670" s="2" t="inlineStr"/>
    </row>
    <row r="671" ht="15" customHeight="1">
      <c r="A671" t="inlineStr">
        <is>
          <t>A 1993-2023</t>
        </is>
      </c>
      <c r="B671" s="1" t="n">
        <v>44939</v>
      </c>
      <c r="C671" s="1" t="n">
        <v>45997</v>
      </c>
      <c r="D671" t="inlineStr">
        <is>
          <t>ÖSTERGÖTLANDS LÄN</t>
        </is>
      </c>
      <c r="E671" t="inlineStr">
        <is>
          <t>LINKÖPING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2618-2023</t>
        </is>
      </c>
      <c r="B672" s="1" t="n">
        <v>44944.35847222222</v>
      </c>
      <c r="C672" s="1" t="n">
        <v>45997</v>
      </c>
      <c r="D672" t="inlineStr">
        <is>
          <t>ÖSTERGÖTLANDS LÄN</t>
        </is>
      </c>
      <c r="E672" t="inlineStr">
        <is>
          <t>LINKÖPING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10203-2023</t>
        </is>
      </c>
      <c r="B673" s="1" t="n">
        <v>44986.55711805556</v>
      </c>
      <c r="C673" s="1" t="n">
        <v>45997</v>
      </c>
      <c r="D673" t="inlineStr">
        <is>
          <t>ÖSTERGÖTLANDS LÄN</t>
        </is>
      </c>
      <c r="E673" t="inlineStr">
        <is>
          <t>LINKÖPING</t>
        </is>
      </c>
      <c r="G673" t="n">
        <v>3.3</v>
      </c>
      <c r="H673" t="n">
        <v>0</v>
      </c>
      <c r="I673" t="n">
        <v>0</v>
      </c>
      <c r="J673" t="n">
        <v>0</v>
      </c>
      <c r="K673" t="n">
        <v>0</v>
      </c>
      <c r="L673" t="n">
        <v>0</v>
      </c>
      <c r="M673" t="n">
        <v>0</v>
      </c>
      <c r="N673" t="n">
        <v>0</v>
      </c>
      <c r="O673" t="n">
        <v>0</v>
      </c>
      <c r="P673" t="n">
        <v>0</v>
      </c>
      <c r="Q673" t="n">
        <v>0</v>
      </c>
      <c r="R673" s="2" t="inlineStr"/>
    </row>
    <row r="674" ht="15" customHeight="1">
      <c r="A674" t="inlineStr">
        <is>
          <t>A 34889-2023</t>
        </is>
      </c>
      <c r="B674" s="1" t="n">
        <v>45140</v>
      </c>
      <c r="C674" s="1" t="n">
        <v>45997</v>
      </c>
      <c r="D674" t="inlineStr">
        <is>
          <t>ÖSTERGÖTLANDS LÄN</t>
        </is>
      </c>
      <c r="E674" t="inlineStr">
        <is>
          <t>LINKÖPING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34928-2023</t>
        </is>
      </c>
      <c r="B675" s="1" t="n">
        <v>45142</v>
      </c>
      <c r="C675" s="1" t="n">
        <v>45997</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35178-2025</t>
        </is>
      </c>
      <c r="B676" s="1" t="n">
        <v>45852.91939814815</v>
      </c>
      <c r="C676" s="1" t="n">
        <v>45997</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35174-2025</t>
        </is>
      </c>
      <c r="B677" s="1" t="n">
        <v>45852.90648148148</v>
      </c>
      <c r="C677" s="1" t="n">
        <v>45997</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26007-2025</t>
        </is>
      </c>
      <c r="B678" s="1" t="n">
        <v>45804.67081018518</v>
      </c>
      <c r="C678" s="1" t="n">
        <v>45997</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35179-2025</t>
        </is>
      </c>
      <c r="B679" s="1" t="n">
        <v>45852.93737268518</v>
      </c>
      <c r="C679" s="1" t="n">
        <v>45997</v>
      </c>
      <c r="D679" t="inlineStr">
        <is>
          <t>ÖSTERGÖTLANDS LÄN</t>
        </is>
      </c>
      <c r="E679" t="inlineStr">
        <is>
          <t>LINKÖPING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35180-2025</t>
        </is>
      </c>
      <c r="B680" s="1" t="n">
        <v>45852.9413425926</v>
      </c>
      <c r="C680" s="1" t="n">
        <v>45997</v>
      </c>
      <c r="D680" t="inlineStr">
        <is>
          <t>ÖSTERGÖTLANDS LÄN</t>
        </is>
      </c>
      <c r="E680" t="inlineStr">
        <is>
          <t>LINKÖPING</t>
        </is>
      </c>
      <c r="G680" t="n">
        <v>1.9</v>
      </c>
      <c r="H680" t="n">
        <v>0</v>
      </c>
      <c r="I680" t="n">
        <v>0</v>
      </c>
      <c r="J680" t="n">
        <v>0</v>
      </c>
      <c r="K680" t="n">
        <v>0</v>
      </c>
      <c r="L680" t="n">
        <v>0</v>
      </c>
      <c r="M680" t="n">
        <v>0</v>
      </c>
      <c r="N680" t="n">
        <v>0</v>
      </c>
      <c r="O680" t="n">
        <v>0</v>
      </c>
      <c r="P680" t="n">
        <v>0</v>
      </c>
      <c r="Q680" t="n">
        <v>0</v>
      </c>
      <c r="R680" s="2" t="inlineStr"/>
    </row>
    <row r="681" ht="15" customHeight="1">
      <c r="A681" t="inlineStr">
        <is>
          <t>A 1268-2023</t>
        </is>
      </c>
      <c r="B681" s="1" t="n">
        <v>44936</v>
      </c>
      <c r="C681" s="1" t="n">
        <v>45997</v>
      </c>
      <c r="D681" t="inlineStr">
        <is>
          <t>ÖSTERGÖTLANDS LÄN</t>
        </is>
      </c>
      <c r="E681" t="inlineStr">
        <is>
          <t>LINKÖPING</t>
        </is>
      </c>
      <c r="G681" t="n">
        <v>4.6</v>
      </c>
      <c r="H681" t="n">
        <v>0</v>
      </c>
      <c r="I681" t="n">
        <v>0</v>
      </c>
      <c r="J681" t="n">
        <v>0</v>
      </c>
      <c r="K681" t="n">
        <v>0</v>
      </c>
      <c r="L681" t="n">
        <v>0</v>
      </c>
      <c r="M681" t="n">
        <v>0</v>
      </c>
      <c r="N681" t="n">
        <v>0</v>
      </c>
      <c r="O681" t="n">
        <v>0</v>
      </c>
      <c r="P681" t="n">
        <v>0</v>
      </c>
      <c r="Q681" t="n">
        <v>0</v>
      </c>
      <c r="R681" s="2" t="inlineStr"/>
    </row>
    <row r="682" ht="15" customHeight="1">
      <c r="A682" t="inlineStr">
        <is>
          <t>A 5314-2021</t>
        </is>
      </c>
      <c r="B682" s="1" t="n">
        <v>44229</v>
      </c>
      <c r="C682" s="1" t="n">
        <v>45997</v>
      </c>
      <c r="D682" t="inlineStr">
        <is>
          <t>ÖSTERGÖTLANDS LÄN</t>
        </is>
      </c>
      <c r="E682" t="inlineStr">
        <is>
          <t>LINKÖPING</t>
        </is>
      </c>
      <c r="G682" t="n">
        <v>6.2</v>
      </c>
      <c r="H682" t="n">
        <v>0</v>
      </c>
      <c r="I682" t="n">
        <v>0</v>
      </c>
      <c r="J682" t="n">
        <v>0</v>
      </c>
      <c r="K682" t="n">
        <v>0</v>
      </c>
      <c r="L682" t="n">
        <v>0</v>
      </c>
      <c r="M682" t="n">
        <v>0</v>
      </c>
      <c r="N682" t="n">
        <v>0</v>
      </c>
      <c r="O682" t="n">
        <v>0</v>
      </c>
      <c r="P682" t="n">
        <v>0</v>
      </c>
      <c r="Q682" t="n">
        <v>0</v>
      </c>
      <c r="R682" s="2" t="inlineStr"/>
    </row>
    <row r="683" ht="15" customHeight="1">
      <c r="A683" t="inlineStr">
        <is>
          <t>A 49747-2024</t>
        </is>
      </c>
      <c r="B683" s="1" t="n">
        <v>45596</v>
      </c>
      <c r="C683" s="1" t="n">
        <v>45997</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31725-2022</t>
        </is>
      </c>
      <c r="B684" s="1" t="n">
        <v>44776.48541666667</v>
      </c>
      <c r="C684" s="1" t="n">
        <v>45997</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2389-2023</t>
        </is>
      </c>
      <c r="B685" s="1" t="n">
        <v>44942</v>
      </c>
      <c r="C685" s="1" t="n">
        <v>45997</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3627-2023</t>
        </is>
      </c>
      <c r="B686" s="1" t="n">
        <v>44950.64782407408</v>
      </c>
      <c r="C686" s="1" t="n">
        <v>45997</v>
      </c>
      <c r="D686" t="inlineStr">
        <is>
          <t>ÖSTERGÖTLANDS LÄN</t>
        </is>
      </c>
      <c r="E686" t="inlineStr">
        <is>
          <t>LINKÖPING</t>
        </is>
      </c>
      <c r="G686" t="n">
        <v>3.1</v>
      </c>
      <c r="H686" t="n">
        <v>0</v>
      </c>
      <c r="I686" t="n">
        <v>0</v>
      </c>
      <c r="J686" t="n">
        <v>0</v>
      </c>
      <c r="K686" t="n">
        <v>0</v>
      </c>
      <c r="L686" t="n">
        <v>0</v>
      </c>
      <c r="M686" t="n">
        <v>0</v>
      </c>
      <c r="N686" t="n">
        <v>0</v>
      </c>
      <c r="O686" t="n">
        <v>0</v>
      </c>
      <c r="P686" t="n">
        <v>0</v>
      </c>
      <c r="Q686" t="n">
        <v>0</v>
      </c>
      <c r="R686" s="2" t="inlineStr"/>
    </row>
    <row r="687" ht="15" customHeight="1">
      <c r="A687" t="inlineStr">
        <is>
          <t>A 62687-2023</t>
        </is>
      </c>
      <c r="B687" s="1" t="n">
        <v>45271</v>
      </c>
      <c r="C687" s="1" t="n">
        <v>45997</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18891-2022</t>
        </is>
      </c>
      <c r="B688" s="1" t="n">
        <v>44690</v>
      </c>
      <c r="C688" s="1" t="n">
        <v>45997</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26620-2023</t>
        </is>
      </c>
      <c r="B689" s="1" t="n">
        <v>45092.70390046296</v>
      </c>
      <c r="C689" s="1" t="n">
        <v>45997</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56180-2024</t>
        </is>
      </c>
      <c r="B690" s="1" t="n">
        <v>45624.56611111111</v>
      </c>
      <c r="C690" s="1" t="n">
        <v>45997</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938-2023</t>
        </is>
      </c>
      <c r="B691" s="1" t="n">
        <v>44933</v>
      </c>
      <c r="C691" s="1" t="n">
        <v>45997</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25418-2023</t>
        </is>
      </c>
      <c r="B692" s="1" t="n">
        <v>45089</v>
      </c>
      <c r="C692" s="1" t="n">
        <v>45997</v>
      </c>
      <c r="D692" t="inlineStr">
        <is>
          <t>ÖSTERGÖTLANDS LÄN</t>
        </is>
      </c>
      <c r="E692" t="inlineStr">
        <is>
          <t>LINKÖPING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60007-2022</t>
        </is>
      </c>
      <c r="B693" s="1" t="n">
        <v>44909.47282407407</v>
      </c>
      <c r="C693" s="1" t="n">
        <v>45997</v>
      </c>
      <c r="D693" t="inlineStr">
        <is>
          <t>ÖSTERGÖTLANDS LÄN</t>
        </is>
      </c>
      <c r="E693" t="inlineStr">
        <is>
          <t>LINKÖPING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11601-2023</t>
        </is>
      </c>
      <c r="B694" s="1" t="n">
        <v>44994</v>
      </c>
      <c r="C694" s="1" t="n">
        <v>45997</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1260-2023</t>
        </is>
      </c>
      <c r="B695" s="1" t="n">
        <v>44936</v>
      </c>
      <c r="C695" s="1" t="n">
        <v>45997</v>
      </c>
      <c r="D695" t="inlineStr">
        <is>
          <t>ÖSTERGÖTLANDS LÄN</t>
        </is>
      </c>
      <c r="E695" t="inlineStr">
        <is>
          <t>LINKÖPING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7702-2023</t>
        </is>
      </c>
      <c r="B696" s="1" t="n">
        <v>44967</v>
      </c>
      <c r="C696" s="1" t="n">
        <v>45997</v>
      </c>
      <c r="D696" t="inlineStr">
        <is>
          <t>ÖSTERGÖTLANDS LÄN</t>
        </is>
      </c>
      <c r="E696" t="inlineStr">
        <is>
          <t>LINKÖPING</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674-2024</t>
        </is>
      </c>
      <c r="B697" s="1" t="n">
        <v>45300.34408564815</v>
      </c>
      <c r="C697" s="1" t="n">
        <v>45997</v>
      </c>
      <c r="D697" t="inlineStr">
        <is>
          <t>ÖSTERGÖTLANDS LÄN</t>
        </is>
      </c>
      <c r="E697" t="inlineStr">
        <is>
          <t>LINKÖPING</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63684-2023</t>
        </is>
      </c>
      <c r="B698" s="1" t="n">
        <v>45275</v>
      </c>
      <c r="C698" s="1" t="n">
        <v>45997</v>
      </c>
      <c r="D698" t="inlineStr">
        <is>
          <t>ÖSTERGÖTLANDS LÄN</t>
        </is>
      </c>
      <c r="E698" t="inlineStr">
        <is>
          <t>LINKÖPING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167-2024</t>
        </is>
      </c>
      <c r="B699" s="1" t="n">
        <v>45294</v>
      </c>
      <c r="C699" s="1" t="n">
        <v>45997</v>
      </c>
      <c r="D699" t="inlineStr">
        <is>
          <t>ÖSTERGÖTLANDS LÄN</t>
        </is>
      </c>
      <c r="E699" t="inlineStr">
        <is>
          <t>LINKÖPING</t>
        </is>
      </c>
      <c r="F699" t="inlineStr">
        <is>
          <t>Allmännings- och besparingsskogar</t>
        </is>
      </c>
      <c r="G699" t="n">
        <v>11.6</v>
      </c>
      <c r="H699" t="n">
        <v>0</v>
      </c>
      <c r="I699" t="n">
        <v>0</v>
      </c>
      <c r="J699" t="n">
        <v>0</v>
      </c>
      <c r="K699" t="n">
        <v>0</v>
      </c>
      <c r="L699" t="n">
        <v>0</v>
      </c>
      <c r="M699" t="n">
        <v>0</v>
      </c>
      <c r="N699" t="n">
        <v>0</v>
      </c>
      <c r="O699" t="n">
        <v>0</v>
      </c>
      <c r="P699" t="n">
        <v>0</v>
      </c>
      <c r="Q699" t="n">
        <v>0</v>
      </c>
      <c r="R699" s="2" t="inlineStr"/>
    </row>
    <row r="700" ht="15" customHeight="1">
      <c r="A700" t="inlineStr">
        <is>
          <t>A 36725-2023</t>
        </is>
      </c>
      <c r="B700" s="1" t="n">
        <v>45153.68471064815</v>
      </c>
      <c r="C700" s="1" t="n">
        <v>45997</v>
      </c>
      <c r="D700" t="inlineStr">
        <is>
          <t>ÖSTERGÖTLANDS LÄN</t>
        </is>
      </c>
      <c r="E700" t="inlineStr">
        <is>
          <t>LINKÖPING</t>
        </is>
      </c>
      <c r="F700" t="inlineStr">
        <is>
          <t>Allmännings- och besparingsskogar</t>
        </is>
      </c>
      <c r="G700" t="n">
        <v>2.6</v>
      </c>
      <c r="H700" t="n">
        <v>0</v>
      </c>
      <c r="I700" t="n">
        <v>0</v>
      </c>
      <c r="J700" t="n">
        <v>0</v>
      </c>
      <c r="K700" t="n">
        <v>0</v>
      </c>
      <c r="L700" t="n">
        <v>0</v>
      </c>
      <c r="M700" t="n">
        <v>0</v>
      </c>
      <c r="N700" t="n">
        <v>0</v>
      </c>
      <c r="O700" t="n">
        <v>0</v>
      </c>
      <c r="P700" t="n">
        <v>0</v>
      </c>
      <c r="Q700" t="n">
        <v>0</v>
      </c>
      <c r="R700" s="2" t="inlineStr"/>
    </row>
    <row r="701" ht="15" customHeight="1">
      <c r="A701" t="inlineStr">
        <is>
          <t>A 27343-2023</t>
        </is>
      </c>
      <c r="B701" s="1" t="n">
        <v>45096</v>
      </c>
      <c r="C701" s="1" t="n">
        <v>45997</v>
      </c>
      <c r="D701" t="inlineStr">
        <is>
          <t>ÖSTERGÖTLANDS LÄN</t>
        </is>
      </c>
      <c r="E701" t="inlineStr">
        <is>
          <t>LINKÖPING</t>
        </is>
      </c>
      <c r="F701" t="inlineStr">
        <is>
          <t>Allmännings- och besparingsskogar</t>
        </is>
      </c>
      <c r="G701" t="n">
        <v>6.9</v>
      </c>
      <c r="H701" t="n">
        <v>0</v>
      </c>
      <c r="I701" t="n">
        <v>0</v>
      </c>
      <c r="J701" t="n">
        <v>0</v>
      </c>
      <c r="K701" t="n">
        <v>0</v>
      </c>
      <c r="L701" t="n">
        <v>0</v>
      </c>
      <c r="M701" t="n">
        <v>0</v>
      </c>
      <c r="N701" t="n">
        <v>0</v>
      </c>
      <c r="O701" t="n">
        <v>0</v>
      </c>
      <c r="P701" t="n">
        <v>0</v>
      </c>
      <c r="Q701" t="n">
        <v>0</v>
      </c>
      <c r="R701" s="2" t="inlineStr"/>
    </row>
    <row r="702" ht="15" customHeight="1">
      <c r="A702" t="inlineStr">
        <is>
          <t>A 22774-2024</t>
        </is>
      </c>
      <c r="B702" s="1" t="n">
        <v>45448.46924768519</v>
      </c>
      <c r="C702" s="1" t="n">
        <v>45997</v>
      </c>
      <c r="D702" t="inlineStr">
        <is>
          <t>ÖSTERGÖTLANDS LÄN</t>
        </is>
      </c>
      <c r="E702" t="inlineStr">
        <is>
          <t>LINKÖPING</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22778-2024</t>
        </is>
      </c>
      <c r="B703" s="1" t="n">
        <v>45448.47233796296</v>
      </c>
      <c r="C703" s="1" t="n">
        <v>45997</v>
      </c>
      <c r="D703" t="inlineStr">
        <is>
          <t>ÖSTERGÖTLANDS LÄN</t>
        </is>
      </c>
      <c r="E703" t="inlineStr">
        <is>
          <t>LINKÖPING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34864-2023</t>
        </is>
      </c>
      <c r="B704" s="1" t="n">
        <v>45141</v>
      </c>
      <c r="C704" s="1" t="n">
        <v>45997</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52531-2023</t>
        </is>
      </c>
      <c r="B705" s="1" t="n">
        <v>45225</v>
      </c>
      <c r="C705" s="1" t="n">
        <v>45997</v>
      </c>
      <c r="D705" t="inlineStr">
        <is>
          <t>ÖSTERGÖTLANDS LÄN</t>
        </is>
      </c>
      <c r="E705" t="inlineStr">
        <is>
          <t>LINKÖPING</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34930-2023</t>
        </is>
      </c>
      <c r="B706" s="1" t="n">
        <v>45142</v>
      </c>
      <c r="C706" s="1" t="n">
        <v>45997</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30985-2022</t>
        </is>
      </c>
      <c r="B707" s="1" t="n">
        <v>44768</v>
      </c>
      <c r="C707" s="1" t="n">
        <v>45997</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59642-2024</t>
        </is>
      </c>
      <c r="B708" s="1" t="n">
        <v>45639.31511574074</v>
      </c>
      <c r="C708" s="1" t="n">
        <v>45997</v>
      </c>
      <c r="D708" t="inlineStr">
        <is>
          <t>ÖSTERGÖTLANDS LÄN</t>
        </is>
      </c>
      <c r="E708" t="inlineStr">
        <is>
          <t>LINKÖPING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15748-2025</t>
        </is>
      </c>
      <c r="B709" s="1" t="n">
        <v>45748.55282407408</v>
      </c>
      <c r="C709" s="1" t="n">
        <v>45997</v>
      </c>
      <c r="D709" t="inlineStr">
        <is>
          <t>ÖSTERGÖTLANDS LÄN</t>
        </is>
      </c>
      <c r="E709" t="inlineStr">
        <is>
          <t>LINKÖPING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31792-2021</t>
        </is>
      </c>
      <c r="B710" s="1" t="n">
        <v>44369</v>
      </c>
      <c r="C710" s="1" t="n">
        <v>45997</v>
      </c>
      <c r="D710" t="inlineStr">
        <is>
          <t>ÖSTERGÖTLANDS LÄN</t>
        </is>
      </c>
      <c r="E710" t="inlineStr">
        <is>
          <t>LINKÖPING</t>
        </is>
      </c>
      <c r="G710" t="n">
        <v>1.9</v>
      </c>
      <c r="H710" t="n">
        <v>0</v>
      </c>
      <c r="I710" t="n">
        <v>0</v>
      </c>
      <c r="J710" t="n">
        <v>0</v>
      </c>
      <c r="K710" t="n">
        <v>0</v>
      </c>
      <c r="L710" t="n">
        <v>0</v>
      </c>
      <c r="M710" t="n">
        <v>0</v>
      </c>
      <c r="N710" t="n">
        <v>0</v>
      </c>
      <c r="O710" t="n">
        <v>0</v>
      </c>
      <c r="P710" t="n">
        <v>0</v>
      </c>
      <c r="Q710" t="n">
        <v>0</v>
      </c>
      <c r="R710" s="2" t="inlineStr"/>
    </row>
    <row r="711" ht="15" customHeight="1">
      <c r="A711" t="inlineStr">
        <is>
          <t>A 25097-2023</t>
        </is>
      </c>
      <c r="B711" s="1" t="n">
        <v>45086</v>
      </c>
      <c r="C711" s="1" t="n">
        <v>45997</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35735-2023</t>
        </is>
      </c>
      <c r="B712" s="1" t="n">
        <v>45147</v>
      </c>
      <c r="C712" s="1" t="n">
        <v>45997</v>
      </c>
      <c r="D712" t="inlineStr">
        <is>
          <t>ÖSTERGÖTLANDS LÄN</t>
        </is>
      </c>
      <c r="E712" t="inlineStr">
        <is>
          <t>LINKÖPING</t>
        </is>
      </c>
      <c r="G712" t="n">
        <v>2.8</v>
      </c>
      <c r="H712" t="n">
        <v>0</v>
      </c>
      <c r="I712" t="n">
        <v>0</v>
      </c>
      <c r="J712" t="n">
        <v>0</v>
      </c>
      <c r="K712" t="n">
        <v>0</v>
      </c>
      <c r="L712" t="n">
        <v>0</v>
      </c>
      <c r="M712" t="n">
        <v>0</v>
      </c>
      <c r="N712" t="n">
        <v>0</v>
      </c>
      <c r="O712" t="n">
        <v>0</v>
      </c>
      <c r="P712" t="n">
        <v>0</v>
      </c>
      <c r="Q712" t="n">
        <v>0</v>
      </c>
      <c r="R712" s="2" t="inlineStr"/>
    </row>
    <row r="713" ht="15" customHeight="1">
      <c r="A713" t="inlineStr">
        <is>
          <t>A 16462-2021</t>
        </is>
      </c>
      <c r="B713" s="1" t="n">
        <v>44293</v>
      </c>
      <c r="C713" s="1" t="n">
        <v>45997</v>
      </c>
      <c r="D713" t="inlineStr">
        <is>
          <t>ÖSTERGÖTLANDS LÄN</t>
        </is>
      </c>
      <c r="E713" t="inlineStr">
        <is>
          <t>LINKÖPING</t>
        </is>
      </c>
      <c r="F713" t="inlineStr">
        <is>
          <t>Allmännings- och besparingsskogar</t>
        </is>
      </c>
      <c r="G713" t="n">
        <v>24.7</v>
      </c>
      <c r="H713" t="n">
        <v>0</v>
      </c>
      <c r="I713" t="n">
        <v>0</v>
      </c>
      <c r="J713" t="n">
        <v>0</v>
      </c>
      <c r="K713" t="n">
        <v>0</v>
      </c>
      <c r="L713" t="n">
        <v>0</v>
      </c>
      <c r="M713" t="n">
        <v>0</v>
      </c>
      <c r="N713" t="n">
        <v>0</v>
      </c>
      <c r="O713" t="n">
        <v>0</v>
      </c>
      <c r="P713" t="n">
        <v>0</v>
      </c>
      <c r="Q713" t="n">
        <v>0</v>
      </c>
      <c r="R713" s="2" t="inlineStr"/>
    </row>
    <row r="714" ht="15" customHeight="1">
      <c r="A714" t="inlineStr">
        <is>
          <t>A 25776-2021</t>
        </is>
      </c>
      <c r="B714" s="1" t="n">
        <v>44343</v>
      </c>
      <c r="C714" s="1" t="n">
        <v>45997</v>
      </c>
      <c r="D714" t="inlineStr">
        <is>
          <t>ÖSTERGÖTLANDS LÄN</t>
        </is>
      </c>
      <c r="E714" t="inlineStr">
        <is>
          <t>LINKÖPING</t>
        </is>
      </c>
      <c r="G714" t="n">
        <v>2.6</v>
      </c>
      <c r="H714" t="n">
        <v>0</v>
      </c>
      <c r="I714" t="n">
        <v>0</v>
      </c>
      <c r="J714" t="n">
        <v>0</v>
      </c>
      <c r="K714" t="n">
        <v>0</v>
      </c>
      <c r="L714" t="n">
        <v>0</v>
      </c>
      <c r="M714" t="n">
        <v>0</v>
      </c>
      <c r="N714" t="n">
        <v>0</v>
      </c>
      <c r="O714" t="n">
        <v>0</v>
      </c>
      <c r="P714" t="n">
        <v>0</v>
      </c>
      <c r="Q714" t="n">
        <v>0</v>
      </c>
      <c r="R714" s="2" t="inlineStr"/>
    </row>
    <row r="715" ht="15" customHeight="1">
      <c r="A715" t="inlineStr">
        <is>
          <t>A 30856-2022</t>
        </is>
      </c>
      <c r="B715" s="1" t="n">
        <v>44767</v>
      </c>
      <c r="C715" s="1" t="n">
        <v>45997</v>
      </c>
      <c r="D715" t="inlineStr">
        <is>
          <t>ÖSTERGÖTLANDS LÄN</t>
        </is>
      </c>
      <c r="E715" t="inlineStr">
        <is>
          <t>LINKÖPING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19187-2021</t>
        </is>
      </c>
      <c r="B716" s="1" t="n">
        <v>44308</v>
      </c>
      <c r="C716" s="1" t="n">
        <v>45997</v>
      </c>
      <c r="D716" t="inlineStr">
        <is>
          <t>ÖSTERGÖTLANDS LÄN</t>
        </is>
      </c>
      <c r="E716" t="inlineStr">
        <is>
          <t>LINKÖPING</t>
        </is>
      </c>
      <c r="F716" t="inlineStr">
        <is>
          <t>Allmännings- och besparingsskogar</t>
        </is>
      </c>
      <c r="G716" t="n">
        <v>20</v>
      </c>
      <c r="H716" t="n">
        <v>0</v>
      </c>
      <c r="I716" t="n">
        <v>0</v>
      </c>
      <c r="J716" t="n">
        <v>0</v>
      </c>
      <c r="K716" t="n">
        <v>0</v>
      </c>
      <c r="L716" t="n">
        <v>0</v>
      </c>
      <c r="M716" t="n">
        <v>0</v>
      </c>
      <c r="N716" t="n">
        <v>0</v>
      </c>
      <c r="O716" t="n">
        <v>0</v>
      </c>
      <c r="P716" t="n">
        <v>0</v>
      </c>
      <c r="Q716" t="n">
        <v>0</v>
      </c>
      <c r="R716" s="2" t="inlineStr"/>
    </row>
    <row r="717" ht="15" customHeight="1">
      <c r="A717" t="inlineStr">
        <is>
          <t>A 39219-2021</t>
        </is>
      </c>
      <c r="B717" s="1" t="n">
        <v>44413</v>
      </c>
      <c r="C717" s="1" t="n">
        <v>45997</v>
      </c>
      <c r="D717" t="inlineStr">
        <is>
          <t>ÖSTERGÖTLANDS LÄN</t>
        </is>
      </c>
      <c r="E717" t="inlineStr">
        <is>
          <t>LINKÖPING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39224-2021</t>
        </is>
      </c>
      <c r="B718" s="1" t="n">
        <v>44413</v>
      </c>
      <c r="C718" s="1" t="n">
        <v>45997</v>
      </c>
      <c r="D718" t="inlineStr">
        <is>
          <t>ÖSTERGÖTLANDS LÄN</t>
        </is>
      </c>
      <c r="E718" t="inlineStr">
        <is>
          <t>LINKÖPING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43934-2023</t>
        </is>
      </c>
      <c r="B719" s="1" t="n">
        <v>45187</v>
      </c>
      <c r="C719" s="1" t="n">
        <v>45997</v>
      </c>
      <c r="D719" t="inlineStr">
        <is>
          <t>ÖSTERGÖTLANDS LÄN</t>
        </is>
      </c>
      <c r="E719" t="inlineStr">
        <is>
          <t>LINKÖPING</t>
        </is>
      </c>
      <c r="F719" t="inlineStr">
        <is>
          <t>Övriga Aktiebolag</t>
        </is>
      </c>
      <c r="G719" t="n">
        <v>3.8</v>
      </c>
      <c r="H719" t="n">
        <v>0</v>
      </c>
      <c r="I719" t="n">
        <v>0</v>
      </c>
      <c r="J719" t="n">
        <v>0</v>
      </c>
      <c r="K719" t="n">
        <v>0</v>
      </c>
      <c r="L719" t="n">
        <v>0</v>
      </c>
      <c r="M719" t="n">
        <v>0</v>
      </c>
      <c r="N719" t="n">
        <v>0</v>
      </c>
      <c r="O719" t="n">
        <v>0</v>
      </c>
      <c r="P719" t="n">
        <v>0</v>
      </c>
      <c r="Q719" t="n">
        <v>0</v>
      </c>
      <c r="R719" s="2" t="inlineStr"/>
    </row>
    <row r="720" ht="15" customHeight="1">
      <c r="A720" t="inlineStr">
        <is>
          <t>A 7354-2025</t>
        </is>
      </c>
      <c r="B720" s="1" t="n">
        <v>45704.41174768518</v>
      </c>
      <c r="C720" s="1" t="n">
        <v>45997</v>
      </c>
      <c r="D720" t="inlineStr">
        <is>
          <t>ÖSTERGÖTLANDS LÄN</t>
        </is>
      </c>
      <c r="E720" t="inlineStr">
        <is>
          <t>LINKÖPING</t>
        </is>
      </c>
      <c r="G720" t="n">
        <v>4.8</v>
      </c>
      <c r="H720" t="n">
        <v>0</v>
      </c>
      <c r="I720" t="n">
        <v>0</v>
      </c>
      <c r="J720" t="n">
        <v>0</v>
      </c>
      <c r="K720" t="n">
        <v>0</v>
      </c>
      <c r="L720" t="n">
        <v>0</v>
      </c>
      <c r="M720" t="n">
        <v>0</v>
      </c>
      <c r="N720" t="n">
        <v>0</v>
      </c>
      <c r="O720" t="n">
        <v>0</v>
      </c>
      <c r="P720" t="n">
        <v>0</v>
      </c>
      <c r="Q720" t="n">
        <v>0</v>
      </c>
      <c r="R720" s="2" t="inlineStr"/>
    </row>
    <row r="721" ht="15" customHeight="1">
      <c r="A721" t="inlineStr">
        <is>
          <t>A 63935-2021</t>
        </is>
      </c>
      <c r="B721" s="1" t="n">
        <v>44509</v>
      </c>
      <c r="C721" s="1" t="n">
        <v>45997</v>
      </c>
      <c r="D721" t="inlineStr">
        <is>
          <t>ÖSTERGÖTLANDS LÄN</t>
        </is>
      </c>
      <c r="E721" t="inlineStr">
        <is>
          <t>LINKÖPING</t>
        </is>
      </c>
      <c r="F721" t="inlineStr">
        <is>
          <t>Övriga statliga verk och myndigheter</t>
        </is>
      </c>
      <c r="G721" t="n">
        <v>2.8</v>
      </c>
      <c r="H721" t="n">
        <v>0</v>
      </c>
      <c r="I721" t="n">
        <v>0</v>
      </c>
      <c r="J721" t="n">
        <v>0</v>
      </c>
      <c r="K721" t="n">
        <v>0</v>
      </c>
      <c r="L721" t="n">
        <v>0</v>
      </c>
      <c r="M721" t="n">
        <v>0</v>
      </c>
      <c r="N721" t="n">
        <v>0</v>
      </c>
      <c r="O721" t="n">
        <v>0</v>
      </c>
      <c r="P721" t="n">
        <v>0</v>
      </c>
      <c r="Q721" t="n">
        <v>0</v>
      </c>
      <c r="R721" s="2" t="inlineStr"/>
    </row>
    <row r="722" ht="15" customHeight="1">
      <c r="A722" t="inlineStr">
        <is>
          <t>A 40810-2022</t>
        </is>
      </c>
      <c r="B722" s="1" t="n">
        <v>44824</v>
      </c>
      <c r="C722" s="1" t="n">
        <v>45997</v>
      </c>
      <c r="D722" t="inlineStr">
        <is>
          <t>ÖSTERGÖTLANDS LÄN</t>
        </is>
      </c>
      <c r="E722" t="inlineStr">
        <is>
          <t>LINKÖPING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20298-2025</t>
        </is>
      </c>
      <c r="B723" s="1" t="n">
        <v>45774.75024305555</v>
      </c>
      <c r="C723" s="1" t="n">
        <v>45997</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14576-2023</t>
        </is>
      </c>
      <c r="B724" s="1" t="n">
        <v>45013</v>
      </c>
      <c r="C724" s="1" t="n">
        <v>45997</v>
      </c>
      <c r="D724" t="inlineStr">
        <is>
          <t>ÖSTERGÖTLANDS LÄN</t>
        </is>
      </c>
      <c r="E724" t="inlineStr">
        <is>
          <t>LINKÖPING</t>
        </is>
      </c>
      <c r="G724" t="n">
        <v>3.2</v>
      </c>
      <c r="H724" t="n">
        <v>0</v>
      </c>
      <c r="I724" t="n">
        <v>0</v>
      </c>
      <c r="J724" t="n">
        <v>0</v>
      </c>
      <c r="K724" t="n">
        <v>0</v>
      </c>
      <c r="L724" t="n">
        <v>0</v>
      </c>
      <c r="M724" t="n">
        <v>0</v>
      </c>
      <c r="N724" t="n">
        <v>0</v>
      </c>
      <c r="O724" t="n">
        <v>0</v>
      </c>
      <c r="P724" t="n">
        <v>0</v>
      </c>
      <c r="Q724" t="n">
        <v>0</v>
      </c>
      <c r="R724" s="2" t="inlineStr"/>
    </row>
    <row r="725">
      <c r="A725" t="inlineStr">
        <is>
          <t>A 12089-2025</t>
        </is>
      </c>
      <c r="B725" s="1" t="n">
        <v>45729</v>
      </c>
      <c r="C725" s="1" t="n">
        <v>45997</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2025-12-06T10:26:53Z</dcterms:created>
  <dcterms:modified xmlns:dcterms="http://purl.org/dc/terms/" xmlns:xsi="http://www.w3.org/2001/XMLSchema-instance" xsi:type="dcterms:W3CDTF">2025-12-06T10:26:53Z</dcterms:modified>
</cp:coreProperties>
</file>