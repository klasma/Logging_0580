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45970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45970</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45970</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45970</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45970</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45970</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45970</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45970</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45970</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45970</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45970</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45970</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45970</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45970</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55344-2024</t>
        </is>
      </c>
      <c r="B26" s="1" t="n">
        <v>45621.7202662037</v>
      </c>
      <c r="C26" s="1" t="n">
        <v>45970</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58068-2021</t>
        </is>
      </c>
      <c r="B27" s="1" t="n">
        <v>44487</v>
      </c>
      <c r="C27" s="1" t="n">
        <v>45970</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20292-2025</t>
        </is>
      </c>
      <c r="B28" s="1" t="n">
        <v>45774.7449537037</v>
      </c>
      <c r="C28" s="1" t="n">
        <v>45970</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22040-2023</t>
        </is>
      </c>
      <c r="B29" s="1" t="n">
        <v>45068</v>
      </c>
      <c r="C29" s="1" t="n">
        <v>45970</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27981-2022</t>
        </is>
      </c>
      <c r="B30" s="1" t="n">
        <v>44745</v>
      </c>
      <c r="C30" s="1" t="n">
        <v>45970</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50404-2023</t>
        </is>
      </c>
      <c r="B31" s="1" t="n">
        <v>45216</v>
      </c>
      <c r="C31" s="1" t="n">
        <v>45970</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45970</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45970</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45970</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45970</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45970</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45970</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50048-2025</t>
        </is>
      </c>
      <c r="B38" s="1" t="n">
        <v>45941</v>
      </c>
      <c r="C38" s="1" t="n">
        <v>45970</v>
      </c>
      <c r="D38" t="inlineStr">
        <is>
          <t>ÖSTERGÖTLANDS LÄN</t>
        </is>
      </c>
      <c r="E38" t="inlineStr">
        <is>
          <t>LINKÖPING</t>
        </is>
      </c>
      <c r="G38" t="n">
        <v>2.4</v>
      </c>
      <c r="H38" t="n">
        <v>2</v>
      </c>
      <c r="I38" t="n">
        <v>0</v>
      </c>
      <c r="J38" t="n">
        <v>1</v>
      </c>
      <c r="K38" t="n">
        <v>0</v>
      </c>
      <c r="L38" t="n">
        <v>0</v>
      </c>
      <c r="M38" t="n">
        <v>0</v>
      </c>
      <c r="N38" t="n">
        <v>0</v>
      </c>
      <c r="O38" t="n">
        <v>1</v>
      </c>
      <c r="P38" t="n">
        <v>0</v>
      </c>
      <c r="Q38" t="n">
        <v>2</v>
      </c>
      <c r="R38" s="2" t="inlineStr">
        <is>
          <t>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25985-2025</t>
        </is>
      </c>
      <c r="B39" s="1" t="n">
        <v>45804.64479166667</v>
      </c>
      <c r="C39" s="1" t="n">
        <v>45970</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8818-2025</t>
        </is>
      </c>
      <c r="B40" s="1" t="n">
        <v>45712</v>
      </c>
      <c r="C40" s="1" t="n">
        <v>45970</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45970</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38129-2021</t>
        </is>
      </c>
      <c r="B42" s="1" t="n">
        <v>44405.37199074074</v>
      </c>
      <c r="C42" s="1" t="n">
        <v>45970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71127-2021</t>
        </is>
      </c>
      <c r="B43" s="1" t="n">
        <v>44537</v>
      </c>
      <c r="C43" s="1" t="n">
        <v>45970</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45970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45970</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46496-2022</t>
        </is>
      </c>
      <c r="B46" s="1" t="n">
        <v>44848</v>
      </c>
      <c r="C46" s="1" t="n">
        <v>45970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60573-2021</t>
        </is>
      </c>
      <c r="B47" s="1" t="n">
        <v>44496</v>
      </c>
      <c r="C47" s="1" t="n">
        <v>45970</v>
      </c>
      <c r="D47" t="inlineStr">
        <is>
          <t>ÖSTERGÖTLANDS LÄN</t>
        </is>
      </c>
      <c r="E47" t="inlineStr">
        <is>
          <t>LINKÖPING</t>
        </is>
      </c>
      <c r="F47" t="inlineStr">
        <is>
          <t>Övriga Aktiebolag</t>
        </is>
      </c>
      <c r="G47" t="n">
        <v>5.6</v>
      </c>
      <c r="H47" t="n">
        <v>0</v>
      </c>
      <c r="I47" t="n">
        <v>0</v>
      </c>
      <c r="J47" t="n">
        <v>1</v>
      </c>
      <c r="K47" t="n">
        <v>0</v>
      </c>
      <c r="L47" t="n">
        <v>0</v>
      </c>
      <c r="M47" t="n">
        <v>0</v>
      </c>
      <c r="N47" t="n">
        <v>0</v>
      </c>
      <c r="O47" t="n">
        <v>1</v>
      </c>
      <c r="P47" t="n">
        <v>0</v>
      </c>
      <c r="Q47" t="n">
        <v>1</v>
      </c>
      <c r="R47" s="2" t="inlineStr">
        <is>
          <t>Sommarfibbla</t>
        </is>
      </c>
      <c r="S47">
        <f>HYPERLINK("https://klasma.github.io/Logging_0580/artfynd/A 60573-2021 artfynd.xlsx", "A 60573-2021")</f>
        <v/>
      </c>
      <c r="T47">
        <f>HYPERLINK("https://klasma.github.io/Logging_0580/kartor/A 60573-2021 karta.png", "A 60573-2021")</f>
        <v/>
      </c>
      <c r="V47">
        <f>HYPERLINK("https://klasma.github.io/Logging_0580/klagomål/A 60573-2021 FSC-klagomål.docx", "A 60573-2021")</f>
        <v/>
      </c>
      <c r="W47">
        <f>HYPERLINK("https://klasma.github.io/Logging_0580/klagomålsmail/A 60573-2021 FSC-klagomål mail.docx", "A 60573-2021")</f>
        <v/>
      </c>
      <c r="X47">
        <f>HYPERLINK("https://klasma.github.io/Logging_0580/tillsyn/A 60573-2021 tillsynsbegäran.docx", "A 60573-2021")</f>
        <v/>
      </c>
      <c r="Y47">
        <f>HYPERLINK("https://klasma.github.io/Logging_0580/tillsynsmail/A 60573-2021 tillsynsbegäran mail.docx", "A 60573-2021")</f>
        <v/>
      </c>
    </row>
    <row r="48" ht="15" customHeight="1">
      <c r="A48" t="inlineStr">
        <is>
          <t>A 43017-2021</t>
        </is>
      </c>
      <c r="B48" s="1" t="n">
        <v>44431</v>
      </c>
      <c r="C48" s="1" t="n">
        <v>45970</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Hapalopilus aurantiacus</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56250-2021</t>
        </is>
      </c>
      <c r="B49" s="1" t="n">
        <v>44479</v>
      </c>
      <c r="C49" s="1" t="n">
        <v>45970</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40309-2024</t>
        </is>
      </c>
      <c r="B50" s="1" t="n">
        <v>45554.724375</v>
      </c>
      <c r="C50" s="1" t="n">
        <v>45970</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17389-2021</t>
        </is>
      </c>
      <c r="B51" s="1" t="n">
        <v>44298.96792824074</v>
      </c>
      <c r="C51" s="1" t="n">
        <v>45970</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45970</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22526-2025</t>
        </is>
      </c>
      <c r="B53" s="1" t="n">
        <v>45786.78096064815</v>
      </c>
      <c r="C53" s="1" t="n">
        <v>45970</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15290-2025</t>
        </is>
      </c>
      <c r="B54" s="1" t="n">
        <v>45745.45288194445</v>
      </c>
      <c r="C54" s="1" t="n">
        <v>45970</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1716-2023</t>
        </is>
      </c>
      <c r="B55" s="1" t="n">
        <v>44938</v>
      </c>
      <c r="C55" s="1" t="n">
        <v>45970</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5911-2022</t>
        </is>
      </c>
      <c r="B56" s="1" t="n">
        <v>44597</v>
      </c>
      <c r="C56" s="1" t="n">
        <v>45970</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931-2025</t>
        </is>
      </c>
      <c r="B57" s="1" t="n">
        <v>45665.88498842593</v>
      </c>
      <c r="C57" s="1" t="n">
        <v>45970</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45970</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1213-2023</t>
        </is>
      </c>
      <c r="B59" s="1" t="n">
        <v>44930</v>
      </c>
      <c r="C59" s="1" t="n">
        <v>45970</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3395-2023</t>
        </is>
      </c>
      <c r="B60" s="1" t="n">
        <v>44949</v>
      </c>
      <c r="C60" s="1" t="n">
        <v>45970</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3397-2023</t>
        </is>
      </c>
      <c r="B61" s="1" t="n">
        <v>44949</v>
      </c>
      <c r="C61" s="1" t="n">
        <v>45970</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56128-2022</t>
        </is>
      </c>
      <c r="B62" s="1" t="n">
        <v>44889</v>
      </c>
      <c r="C62" s="1" t="n">
        <v>45970</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48347-2025</t>
        </is>
      </c>
      <c r="B63" s="1" t="n">
        <v>45932</v>
      </c>
      <c r="C63" s="1" t="n">
        <v>45970</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45970</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48298-2025</t>
        </is>
      </c>
      <c r="B65" s="1" t="n">
        <v>45932</v>
      </c>
      <c r="C65" s="1" t="n">
        <v>45970</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50471-2024</t>
        </is>
      </c>
      <c r="B66" s="1" t="n">
        <v>45601.47166666666</v>
      </c>
      <c r="C66" s="1" t="n">
        <v>45970</v>
      </c>
      <c r="D66" t="inlineStr">
        <is>
          <t>ÖSTERGÖTLANDS LÄN</t>
        </is>
      </c>
      <c r="E66" t="inlineStr">
        <is>
          <t>LINKÖPING</t>
        </is>
      </c>
      <c r="F66" t="inlineStr">
        <is>
          <t>Övriga Aktiebolag</t>
        </is>
      </c>
      <c r="G66" t="n">
        <v>2</v>
      </c>
      <c r="H66" t="n">
        <v>0</v>
      </c>
      <c r="I66" t="n">
        <v>1</v>
      </c>
      <c r="J66" t="n">
        <v>0</v>
      </c>
      <c r="K66" t="n">
        <v>0</v>
      </c>
      <c r="L66" t="n">
        <v>0</v>
      </c>
      <c r="M66" t="n">
        <v>0</v>
      </c>
      <c r="N66" t="n">
        <v>0</v>
      </c>
      <c r="O66" t="n">
        <v>0</v>
      </c>
      <c r="P66" t="n">
        <v>0</v>
      </c>
      <c r="Q66" t="n">
        <v>1</v>
      </c>
      <c r="R66" s="2" t="inlineStr">
        <is>
          <t>Västlig hakmossa</t>
        </is>
      </c>
      <c r="S66">
        <f>HYPERLINK("https://klasma.github.io/Logging_0580/artfynd/A 50471-2024 artfynd.xlsx", "A 50471-2024")</f>
        <v/>
      </c>
      <c r="T66">
        <f>HYPERLINK("https://klasma.github.io/Logging_0580/kartor/A 50471-2024 karta.png", "A 50471-2024")</f>
        <v/>
      </c>
      <c r="V66">
        <f>HYPERLINK("https://klasma.github.io/Logging_0580/klagomål/A 50471-2024 FSC-klagomål.docx", "A 50471-2024")</f>
        <v/>
      </c>
      <c r="W66">
        <f>HYPERLINK("https://klasma.github.io/Logging_0580/klagomålsmail/A 50471-2024 FSC-klagomål mail.docx", "A 50471-2024")</f>
        <v/>
      </c>
      <c r="X66">
        <f>HYPERLINK("https://klasma.github.io/Logging_0580/tillsyn/A 50471-2024 tillsynsbegäran.docx", "A 50471-2024")</f>
        <v/>
      </c>
      <c r="Y66">
        <f>HYPERLINK("https://klasma.github.io/Logging_0580/tillsynsmail/A 50471-2024 tillsynsbegäran mail.docx", "A 50471-2024")</f>
        <v/>
      </c>
    </row>
    <row r="67" ht="15" customHeight="1">
      <c r="A67" t="inlineStr">
        <is>
          <t>A 48273-2025</t>
        </is>
      </c>
      <c r="B67" s="1" t="n">
        <v>45932</v>
      </c>
      <c r="C67" s="1" t="n">
        <v>45970</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50806-2023</t>
        </is>
      </c>
      <c r="B68" s="1" t="n">
        <v>45217</v>
      </c>
      <c r="C68" s="1" t="n">
        <v>45970</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54835-2023</t>
        </is>
      </c>
      <c r="B69" s="1" t="n">
        <v>45236</v>
      </c>
      <c r="C69" s="1" t="n">
        <v>45970</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45970</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41749-2023</t>
        </is>
      </c>
      <c r="B71" s="1" t="n">
        <v>45176</v>
      </c>
      <c r="C71" s="1" t="n">
        <v>45970</v>
      </c>
      <c r="D71" t="inlineStr">
        <is>
          <t>ÖSTERGÖTLANDS LÄN</t>
        </is>
      </c>
      <c r="E71" t="inlineStr">
        <is>
          <t>LINKÖPING</t>
        </is>
      </c>
      <c r="G71" t="n">
        <v>3.6</v>
      </c>
      <c r="H71" t="n">
        <v>0</v>
      </c>
      <c r="I71" t="n">
        <v>0</v>
      </c>
      <c r="J71" t="n">
        <v>1</v>
      </c>
      <c r="K71" t="n">
        <v>0</v>
      </c>
      <c r="L71" t="n">
        <v>0</v>
      </c>
      <c r="M71" t="n">
        <v>0</v>
      </c>
      <c r="N71" t="n">
        <v>0</v>
      </c>
      <c r="O71" t="n">
        <v>1</v>
      </c>
      <c r="P71" t="n">
        <v>0</v>
      </c>
      <c r="Q71" t="n">
        <v>1</v>
      </c>
      <c r="R71" s="2" t="inlineStr">
        <is>
          <t>Svinrot</t>
        </is>
      </c>
      <c r="S71">
        <f>HYPERLINK("https://klasma.github.io/Logging_0580/artfynd/A 41749-2023 artfynd.xlsx", "A 41749-2023")</f>
        <v/>
      </c>
      <c r="T71">
        <f>HYPERLINK("https://klasma.github.io/Logging_0580/kartor/A 41749-2023 karta.png", "A 41749-2023")</f>
        <v/>
      </c>
      <c r="V71">
        <f>HYPERLINK("https://klasma.github.io/Logging_0580/klagomål/A 41749-2023 FSC-klagomål.docx", "A 41749-2023")</f>
        <v/>
      </c>
      <c r="W71">
        <f>HYPERLINK("https://klasma.github.io/Logging_0580/klagomålsmail/A 41749-2023 FSC-klagomål mail.docx", "A 41749-2023")</f>
        <v/>
      </c>
      <c r="X71">
        <f>HYPERLINK("https://klasma.github.io/Logging_0580/tillsyn/A 41749-2023 tillsynsbegäran.docx", "A 41749-2023")</f>
        <v/>
      </c>
      <c r="Y71">
        <f>HYPERLINK("https://klasma.github.io/Logging_0580/tillsynsmail/A 41749-2023 tillsynsbegäran mail.docx", "A 41749-2023")</f>
        <v/>
      </c>
    </row>
    <row r="72" ht="15" customHeight="1">
      <c r="A72" t="inlineStr">
        <is>
          <t>A 19103-2021</t>
        </is>
      </c>
      <c r="B72" s="1" t="n">
        <v>44308</v>
      </c>
      <c r="C72" s="1" t="n">
        <v>45970</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45970</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45970</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45970</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45970</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27403-2025</t>
        </is>
      </c>
      <c r="B77" s="1" t="n">
        <v>45812.72518518518</v>
      </c>
      <c r="C77" s="1" t="n">
        <v>45970</v>
      </c>
      <c r="D77" t="inlineStr">
        <is>
          <t>ÖSTERGÖTLANDS LÄN</t>
        </is>
      </c>
      <c r="E77" t="inlineStr">
        <is>
          <t>LINKÖPING</t>
        </is>
      </c>
      <c r="G77" t="n">
        <v>1.4</v>
      </c>
      <c r="H77" t="n">
        <v>0</v>
      </c>
      <c r="I77" t="n">
        <v>0</v>
      </c>
      <c r="J77" t="n">
        <v>1</v>
      </c>
      <c r="K77" t="n">
        <v>0</v>
      </c>
      <c r="L77" t="n">
        <v>0</v>
      </c>
      <c r="M77" t="n">
        <v>0</v>
      </c>
      <c r="N77" t="n">
        <v>0</v>
      </c>
      <c r="O77" t="n">
        <v>1</v>
      </c>
      <c r="P77" t="n">
        <v>0</v>
      </c>
      <c r="Q77" t="n">
        <v>1</v>
      </c>
      <c r="R77" s="2" t="inlineStr">
        <is>
          <t>Tallticka</t>
        </is>
      </c>
      <c r="S77">
        <f>HYPERLINK("https://klasma.github.io/Logging_0580/artfynd/A 27403-2025 artfynd.xlsx", "A 27403-2025")</f>
        <v/>
      </c>
      <c r="T77">
        <f>HYPERLINK("https://klasma.github.io/Logging_0580/kartor/A 27403-2025 karta.png", "A 27403-2025")</f>
        <v/>
      </c>
      <c r="V77">
        <f>HYPERLINK("https://klasma.github.io/Logging_0580/klagomål/A 27403-2025 FSC-klagomål.docx", "A 27403-2025")</f>
        <v/>
      </c>
      <c r="W77">
        <f>HYPERLINK("https://klasma.github.io/Logging_0580/klagomålsmail/A 27403-2025 FSC-klagomål mail.docx", "A 27403-2025")</f>
        <v/>
      </c>
      <c r="X77">
        <f>HYPERLINK("https://klasma.github.io/Logging_0580/tillsyn/A 27403-2025 tillsynsbegäran.docx", "A 27403-2025")</f>
        <v/>
      </c>
      <c r="Y77">
        <f>HYPERLINK("https://klasma.github.io/Logging_0580/tillsynsmail/A 27403-2025 tillsynsbegäran mail.docx", "A 27403-2025")</f>
        <v/>
      </c>
    </row>
    <row r="78" ht="15" customHeight="1">
      <c r="A78" t="inlineStr">
        <is>
          <t>A 56651-2023</t>
        </is>
      </c>
      <c r="B78" s="1" t="n">
        <v>45243</v>
      </c>
      <c r="C78" s="1" t="n">
        <v>45970</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45970</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43989-2025</t>
        </is>
      </c>
      <c r="B80" s="1" t="n">
        <v>45915.44128472222</v>
      </c>
      <c r="C80" s="1" t="n">
        <v>45970</v>
      </c>
      <c r="D80" t="inlineStr">
        <is>
          <t>ÖSTERGÖTLANDS LÄN</t>
        </is>
      </c>
      <c r="E80" t="inlineStr">
        <is>
          <t>LINKÖPING</t>
        </is>
      </c>
      <c r="F80" t="inlineStr">
        <is>
          <t>Allmännings- och besparingsskogar</t>
        </is>
      </c>
      <c r="G80" t="n">
        <v>3.5</v>
      </c>
      <c r="H80" t="n">
        <v>0</v>
      </c>
      <c r="I80" t="n">
        <v>0</v>
      </c>
      <c r="J80" t="n">
        <v>1</v>
      </c>
      <c r="K80" t="n">
        <v>0</v>
      </c>
      <c r="L80" t="n">
        <v>0</v>
      </c>
      <c r="M80" t="n">
        <v>0</v>
      </c>
      <c r="N80" t="n">
        <v>0</v>
      </c>
      <c r="O80" t="n">
        <v>1</v>
      </c>
      <c r="P80" t="n">
        <v>0</v>
      </c>
      <c r="Q80" t="n">
        <v>1</v>
      </c>
      <c r="R80" s="2" t="inlineStr">
        <is>
          <t>Kavelhirs</t>
        </is>
      </c>
      <c r="S80">
        <f>HYPERLINK("https://klasma.github.io/Logging_0580/artfynd/A 43989-2025 artfynd.xlsx", "A 43989-2025")</f>
        <v/>
      </c>
      <c r="T80">
        <f>HYPERLINK("https://klasma.github.io/Logging_0580/kartor/A 43989-2025 karta.png", "A 43989-2025")</f>
        <v/>
      </c>
      <c r="V80">
        <f>HYPERLINK("https://klasma.github.io/Logging_0580/klagomål/A 43989-2025 FSC-klagomål.docx", "A 43989-2025")</f>
        <v/>
      </c>
      <c r="W80">
        <f>HYPERLINK("https://klasma.github.io/Logging_0580/klagomålsmail/A 43989-2025 FSC-klagomål mail.docx", "A 43989-2025")</f>
        <v/>
      </c>
      <c r="X80">
        <f>HYPERLINK("https://klasma.github.io/Logging_0580/tillsyn/A 43989-2025 tillsynsbegäran.docx", "A 43989-2025")</f>
        <v/>
      </c>
      <c r="Y80">
        <f>HYPERLINK("https://klasma.github.io/Logging_0580/tillsynsmail/A 43989-2025 tillsynsbegäran mail.docx", "A 43989-2025")</f>
        <v/>
      </c>
    </row>
    <row r="81" ht="15" customHeight="1">
      <c r="A81" t="inlineStr">
        <is>
          <t>A 44760-2025</t>
        </is>
      </c>
      <c r="B81" s="1" t="n">
        <v>45917.71873842592</v>
      </c>
      <c r="C81" s="1" t="n">
        <v>45970</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62071-2023</t>
        </is>
      </c>
      <c r="B82" s="1" t="n">
        <v>45266.73542824074</v>
      </c>
      <c r="C82" s="1" t="n">
        <v>45970</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90-2024</t>
        </is>
      </c>
      <c r="B83" s="1" t="n">
        <v>45293</v>
      </c>
      <c r="C83" s="1" t="n">
        <v>45970</v>
      </c>
      <c r="D83" t="inlineStr">
        <is>
          <t>ÖSTERGÖTLANDS LÄN</t>
        </is>
      </c>
      <c r="E83" t="inlineStr">
        <is>
          <t>LINKÖPING</t>
        </is>
      </c>
      <c r="G83" t="n">
        <v>1.8</v>
      </c>
      <c r="H83" t="n">
        <v>0</v>
      </c>
      <c r="I83" t="n">
        <v>1</v>
      </c>
      <c r="J83" t="n">
        <v>0</v>
      </c>
      <c r="K83" t="n">
        <v>0</v>
      </c>
      <c r="L83" t="n">
        <v>0</v>
      </c>
      <c r="M83" t="n">
        <v>0</v>
      </c>
      <c r="N83" t="n">
        <v>0</v>
      </c>
      <c r="O83" t="n">
        <v>0</v>
      </c>
      <c r="P83" t="n">
        <v>0</v>
      </c>
      <c r="Q83" t="n">
        <v>1</v>
      </c>
      <c r="R83" s="2" t="inlineStr">
        <is>
          <t>Grov fjädermossa</t>
        </is>
      </c>
      <c r="S83">
        <f>HYPERLINK("https://klasma.github.io/Logging_0580/artfynd/A 90-2024 artfynd.xlsx", "A 90-2024")</f>
        <v/>
      </c>
      <c r="T83">
        <f>HYPERLINK("https://klasma.github.io/Logging_0580/kartor/A 90-2024 karta.png", "A 90-2024")</f>
        <v/>
      </c>
      <c r="V83">
        <f>HYPERLINK("https://klasma.github.io/Logging_0580/klagomål/A 90-2024 FSC-klagomål.docx", "A 90-2024")</f>
        <v/>
      </c>
      <c r="W83">
        <f>HYPERLINK("https://klasma.github.io/Logging_0580/klagomålsmail/A 90-2024 FSC-klagomål mail.docx", "A 90-2024")</f>
        <v/>
      </c>
      <c r="X83">
        <f>HYPERLINK("https://klasma.github.io/Logging_0580/tillsyn/A 90-2024 tillsynsbegäran.docx", "A 90-2024")</f>
        <v/>
      </c>
      <c r="Y83">
        <f>HYPERLINK("https://klasma.github.io/Logging_0580/tillsynsmail/A 90-2024 tillsynsbegäran mail.docx", "A 90-2024")</f>
        <v/>
      </c>
    </row>
    <row r="84" ht="15" customHeight="1">
      <c r="A84" t="inlineStr">
        <is>
          <t>A 36723-2023</t>
        </is>
      </c>
      <c r="B84" s="1" t="n">
        <v>45153</v>
      </c>
      <c r="C84" s="1" t="n">
        <v>45970</v>
      </c>
      <c r="D84" t="inlineStr">
        <is>
          <t>ÖSTERGÖTLANDS LÄN</t>
        </is>
      </c>
      <c r="E84" t="inlineStr">
        <is>
          <t>LINKÖPING</t>
        </is>
      </c>
      <c r="F84" t="inlineStr">
        <is>
          <t>Allmännings- och besparingsskogar</t>
        </is>
      </c>
      <c r="G84" t="n">
        <v>9.9</v>
      </c>
      <c r="H84" t="n">
        <v>0</v>
      </c>
      <c r="I84" t="n">
        <v>0</v>
      </c>
      <c r="J84" t="n">
        <v>0</v>
      </c>
      <c r="K84" t="n">
        <v>1</v>
      </c>
      <c r="L84" t="n">
        <v>0</v>
      </c>
      <c r="M84" t="n">
        <v>0</v>
      </c>
      <c r="N84" t="n">
        <v>0</v>
      </c>
      <c r="O84" t="n">
        <v>1</v>
      </c>
      <c r="P84" t="n">
        <v>1</v>
      </c>
      <c r="Q84" t="n">
        <v>1</v>
      </c>
      <c r="R84" s="2" t="inlineStr">
        <is>
          <t>Bitter taggsvamp</t>
        </is>
      </c>
      <c r="S84">
        <f>HYPERLINK("https://klasma.github.io/Logging_0580/artfynd/A 36723-2023 artfynd.xlsx", "A 36723-2023")</f>
        <v/>
      </c>
      <c r="T84">
        <f>HYPERLINK("https://klasma.github.io/Logging_0580/kartor/A 36723-2023 karta.png", "A 36723-2023")</f>
        <v/>
      </c>
      <c r="V84">
        <f>HYPERLINK("https://klasma.github.io/Logging_0580/klagomål/A 36723-2023 FSC-klagomål.docx", "A 36723-2023")</f>
        <v/>
      </c>
      <c r="W84">
        <f>HYPERLINK("https://klasma.github.io/Logging_0580/klagomålsmail/A 36723-2023 FSC-klagomål mail.docx", "A 36723-2023")</f>
        <v/>
      </c>
      <c r="X84">
        <f>HYPERLINK("https://klasma.github.io/Logging_0580/tillsyn/A 36723-2023 tillsynsbegäran.docx", "A 36723-2023")</f>
        <v/>
      </c>
      <c r="Y84">
        <f>HYPERLINK("https://klasma.github.io/Logging_0580/tillsynsmail/A 36723-2023 tillsynsbegäran mail.docx", "A 36723-2023")</f>
        <v/>
      </c>
    </row>
    <row r="85" ht="15" customHeight="1">
      <c r="A85" t="inlineStr">
        <is>
          <t>A 50034-2025</t>
        </is>
      </c>
      <c r="B85" s="1" t="n">
        <v>45941</v>
      </c>
      <c r="C85" s="1" t="n">
        <v>45970</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17444-2025</t>
        </is>
      </c>
      <c r="B86" s="1" t="n">
        <v>45757.43452546297</v>
      </c>
      <c r="C86" s="1" t="n">
        <v>45970</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38881-2021</t>
        </is>
      </c>
      <c r="B87" s="1" t="n">
        <v>44411.46893518518</v>
      </c>
      <c r="C87" s="1" t="n">
        <v>45970</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45970</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45970</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45970</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45970</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45970</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45970</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45970</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45970</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45970</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45970</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45970</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45970</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45970</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45970</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45970</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45970</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45970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45970</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45970</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45970</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45970</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45970</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45970</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45970</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45970</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45970</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45970</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45970</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45970</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45970</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45970</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45970</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45970</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45970</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45970</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45970</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45970</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45970</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45970</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45970</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45970</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45970</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45970</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45970</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45970</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45970</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45970</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45970</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45970</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45970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45970</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45970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45970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45970</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45970</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45970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45970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45970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45970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45970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45970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45970</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45970</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45970</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45970</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45970</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45970</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45970</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45970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45970</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45970</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45970</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45970</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45970</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45970</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45970</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45970</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5605-2022</t>
        </is>
      </c>
      <c r="B166" s="1" t="n">
        <v>44595</v>
      </c>
      <c r="C166" s="1" t="n">
        <v>45970</v>
      </c>
      <c r="D166" t="inlineStr">
        <is>
          <t>ÖSTERGÖTLANDS LÄN</t>
        </is>
      </c>
      <c r="E166" t="inlineStr">
        <is>
          <t>LINKÖPING</t>
        </is>
      </c>
      <c r="F166" t="inlineStr">
        <is>
          <t>Övriga statliga verk och myndigheter</t>
        </is>
      </c>
      <c r="G166" t="n">
        <v>3</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45970</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45970</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27769-2022</t>
        </is>
      </c>
      <c r="B169" s="1" t="n">
        <v>44743.53200231482</v>
      </c>
      <c r="C169" s="1" t="n">
        <v>45970</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45970</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38235-2022</t>
        </is>
      </c>
      <c r="B171" s="1" t="n">
        <v>44812</v>
      </c>
      <c r="C171" s="1" t="n">
        <v>45970</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34880-2022</t>
        </is>
      </c>
      <c r="B172" s="1" t="n">
        <v>44796</v>
      </c>
      <c r="C172" s="1" t="n">
        <v>45970</v>
      </c>
      <c r="D172" t="inlineStr">
        <is>
          <t>ÖSTERGÖTLANDS LÄN</t>
        </is>
      </c>
      <c r="E172" t="inlineStr">
        <is>
          <t>LINKÖPING</t>
        </is>
      </c>
      <c r="F172" t="inlineStr">
        <is>
          <t>Övriga statliga verk och myndigheter</t>
        </is>
      </c>
      <c r="G172" t="n">
        <v>4</v>
      </c>
      <c r="H172" t="n">
        <v>0</v>
      </c>
      <c r="I172" t="n">
        <v>0</v>
      </c>
      <c r="J172" t="n">
        <v>0</v>
      </c>
      <c r="K172" t="n">
        <v>0</v>
      </c>
      <c r="L172" t="n">
        <v>0</v>
      </c>
      <c r="M172" t="n">
        <v>0</v>
      </c>
      <c r="N172" t="n">
        <v>0</v>
      </c>
      <c r="O172" t="n">
        <v>0</v>
      </c>
      <c r="P172" t="n">
        <v>0</v>
      </c>
      <c r="Q172" t="n">
        <v>0</v>
      </c>
      <c r="R172" s="2" t="inlineStr"/>
    </row>
    <row r="173" ht="15" customHeight="1">
      <c r="A173" t="inlineStr">
        <is>
          <t>A 48042-2022</t>
        </is>
      </c>
      <c r="B173" s="1" t="n">
        <v>44855</v>
      </c>
      <c r="C173" s="1" t="n">
        <v>45970</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4929-2021</t>
        </is>
      </c>
      <c r="B174" s="1" t="n">
        <v>44227.57533564815</v>
      </c>
      <c r="C174" s="1" t="n">
        <v>45970</v>
      </c>
      <c r="D174" t="inlineStr">
        <is>
          <t>ÖSTERGÖTLANDS LÄN</t>
        </is>
      </c>
      <c r="E174" t="inlineStr">
        <is>
          <t>LINKÖPING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45970</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33891-2021</t>
        </is>
      </c>
      <c r="B176" s="1" t="n">
        <v>44378</v>
      </c>
      <c r="C176" s="1" t="n">
        <v>45970</v>
      </c>
      <c r="D176" t="inlineStr">
        <is>
          <t>ÖSTERGÖTLANDS LÄN</t>
        </is>
      </c>
      <c r="E176" t="inlineStr">
        <is>
          <t>LINKÖPING</t>
        </is>
      </c>
      <c r="G176" t="n">
        <v>5.1</v>
      </c>
      <c r="H176" t="n">
        <v>0</v>
      </c>
      <c r="I176" t="n">
        <v>0</v>
      </c>
      <c r="J176" t="n">
        <v>0</v>
      </c>
      <c r="K176" t="n">
        <v>0</v>
      </c>
      <c r="L176" t="n">
        <v>0</v>
      </c>
      <c r="M176" t="n">
        <v>0</v>
      </c>
      <c r="N176" t="n">
        <v>0</v>
      </c>
      <c r="O176" t="n">
        <v>0</v>
      </c>
      <c r="P176" t="n">
        <v>0</v>
      </c>
      <c r="Q176" t="n">
        <v>0</v>
      </c>
      <c r="R176" s="2" t="inlineStr"/>
    </row>
    <row r="177" ht="15" customHeight="1">
      <c r="A177" t="inlineStr">
        <is>
          <t>A 948-2022</t>
        </is>
      </c>
      <c r="B177" s="1" t="n">
        <v>44571</v>
      </c>
      <c r="C177" s="1" t="n">
        <v>45970</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19254-2021</t>
        </is>
      </c>
      <c r="B178" s="1" t="n">
        <v>44309.38962962963</v>
      </c>
      <c r="C178" s="1" t="n">
        <v>45970</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60129-2020</t>
        </is>
      </c>
      <c r="B179" s="1" t="n">
        <v>44152</v>
      </c>
      <c r="C179" s="1" t="n">
        <v>45970</v>
      </c>
      <c r="D179" t="inlineStr">
        <is>
          <t>ÖSTERGÖTLANDS LÄN</t>
        </is>
      </c>
      <c r="E179" t="inlineStr">
        <is>
          <t>LINKÖPING</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37014-2021</t>
        </is>
      </c>
      <c r="B180" s="1" t="n">
        <v>44393</v>
      </c>
      <c r="C180" s="1" t="n">
        <v>45970</v>
      </c>
      <c r="D180" t="inlineStr">
        <is>
          <t>ÖSTERGÖTLANDS LÄN</t>
        </is>
      </c>
      <c r="E180" t="inlineStr">
        <is>
          <t>LINKÖPING</t>
        </is>
      </c>
      <c r="F180" t="inlineStr">
        <is>
          <t>Allmännings- och besparingsskogar</t>
        </is>
      </c>
      <c r="G180" t="n">
        <v>7.7</v>
      </c>
      <c r="H180" t="n">
        <v>0</v>
      </c>
      <c r="I180" t="n">
        <v>0</v>
      </c>
      <c r="J180" t="n">
        <v>0</v>
      </c>
      <c r="K180" t="n">
        <v>0</v>
      </c>
      <c r="L180" t="n">
        <v>0</v>
      </c>
      <c r="M180" t="n">
        <v>0</v>
      </c>
      <c r="N180" t="n">
        <v>0</v>
      </c>
      <c r="O180" t="n">
        <v>0</v>
      </c>
      <c r="P180" t="n">
        <v>0</v>
      </c>
      <c r="Q180" t="n">
        <v>0</v>
      </c>
      <c r="R180" s="2" t="inlineStr"/>
    </row>
    <row r="181" ht="15" customHeight="1">
      <c r="A181" t="inlineStr">
        <is>
          <t>A 4377-2021</t>
        </is>
      </c>
      <c r="B181" s="1" t="n">
        <v>44223</v>
      </c>
      <c r="C181" s="1" t="n">
        <v>45970</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10407-2025</t>
        </is>
      </c>
      <c r="B182" s="1" t="n">
        <v>45720.62863425926</v>
      </c>
      <c r="C182" s="1" t="n">
        <v>45970</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45970</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45970</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45970</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39021-2021</t>
        </is>
      </c>
      <c r="B186" s="1" t="n">
        <v>44412</v>
      </c>
      <c r="C186" s="1" t="n">
        <v>45970</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12413-2022</t>
        </is>
      </c>
      <c r="B187" s="1" t="n">
        <v>44638</v>
      </c>
      <c r="C187" s="1" t="n">
        <v>45970</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45970</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45970</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34486-2021</t>
        </is>
      </c>
      <c r="B190" s="1" t="n">
        <v>44382.29295138889</v>
      </c>
      <c r="C190" s="1" t="n">
        <v>45970</v>
      </c>
      <c r="D190" t="inlineStr">
        <is>
          <t>ÖSTERGÖTLANDS LÄN</t>
        </is>
      </c>
      <c r="E190" t="inlineStr">
        <is>
          <t>LINKÖPING</t>
        </is>
      </c>
      <c r="G190" t="n">
        <v>4.4</v>
      </c>
      <c r="H190" t="n">
        <v>0</v>
      </c>
      <c r="I190" t="n">
        <v>0</v>
      </c>
      <c r="J190" t="n">
        <v>0</v>
      </c>
      <c r="K190" t="n">
        <v>0</v>
      </c>
      <c r="L190" t="n">
        <v>0</v>
      </c>
      <c r="M190" t="n">
        <v>0</v>
      </c>
      <c r="N190" t="n">
        <v>0</v>
      </c>
      <c r="O190" t="n">
        <v>0</v>
      </c>
      <c r="P190" t="n">
        <v>0</v>
      </c>
      <c r="Q190" t="n">
        <v>0</v>
      </c>
      <c r="R190" s="2" t="inlineStr"/>
    </row>
    <row r="191" ht="15" customHeight="1">
      <c r="A191" t="inlineStr">
        <is>
          <t>A 37934-2022</t>
        </is>
      </c>
      <c r="B191" s="1" t="n">
        <v>44809</v>
      </c>
      <c r="C191" s="1" t="n">
        <v>45970</v>
      </c>
      <c r="D191" t="inlineStr">
        <is>
          <t>ÖSTERGÖTLANDS LÄN</t>
        </is>
      </c>
      <c r="E191" t="inlineStr">
        <is>
          <t>LINKÖPING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45970</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12035-2025</t>
        </is>
      </c>
      <c r="B193" s="1" t="n">
        <v>45728.64946759259</v>
      </c>
      <c r="C193" s="1" t="n">
        <v>45970</v>
      </c>
      <c r="D193" t="inlineStr">
        <is>
          <t>ÖSTERGÖTLANDS LÄN</t>
        </is>
      </c>
      <c r="E193" t="inlineStr">
        <is>
          <t>LINKÖPING</t>
        </is>
      </c>
      <c r="G193" t="n">
        <v>3.7</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45970</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44884.59502314815</v>
      </c>
      <c r="C195" s="1" t="n">
        <v>45970</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45970</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20901-2021</t>
        </is>
      </c>
      <c r="B197" s="1" t="n">
        <v>44319</v>
      </c>
      <c r="C197" s="1" t="n">
        <v>45970</v>
      </c>
      <c r="D197" t="inlineStr">
        <is>
          <t>ÖSTERGÖTLANDS LÄN</t>
        </is>
      </c>
      <c r="E197" t="inlineStr">
        <is>
          <t>LINKÖPING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11601-2023</t>
        </is>
      </c>
      <c r="B198" s="1" t="n">
        <v>44994</v>
      </c>
      <c r="C198" s="1" t="n">
        <v>45970</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51484-2023</t>
        </is>
      </c>
      <c r="B199" s="1" t="n">
        <v>45222</v>
      </c>
      <c r="C199" s="1" t="n">
        <v>45970</v>
      </c>
      <c r="D199" t="inlineStr">
        <is>
          <t>ÖSTERGÖTLANDS LÄN</t>
        </is>
      </c>
      <c r="E199" t="inlineStr">
        <is>
          <t>LINKÖPING</t>
        </is>
      </c>
      <c r="F199" t="inlineStr">
        <is>
          <t>Övriga Aktiebolag</t>
        </is>
      </c>
      <c r="G199" t="n">
        <v>7.7</v>
      </c>
      <c r="H199" t="n">
        <v>0</v>
      </c>
      <c r="I199" t="n">
        <v>0</v>
      </c>
      <c r="J199" t="n">
        <v>0</v>
      </c>
      <c r="K199" t="n">
        <v>0</v>
      </c>
      <c r="L199" t="n">
        <v>0</v>
      </c>
      <c r="M199" t="n">
        <v>0</v>
      </c>
      <c r="N199" t="n">
        <v>0</v>
      </c>
      <c r="O199" t="n">
        <v>0</v>
      </c>
      <c r="P199" t="n">
        <v>0</v>
      </c>
      <c r="Q199" t="n">
        <v>0</v>
      </c>
      <c r="R199" s="2" t="inlineStr"/>
    </row>
    <row r="200" ht="15" customHeight="1">
      <c r="A200" t="inlineStr">
        <is>
          <t>A 65398-2021</t>
        </is>
      </c>
      <c r="B200" s="1" t="n">
        <v>44515</v>
      </c>
      <c r="C200" s="1" t="n">
        <v>45970</v>
      </c>
      <c r="D200" t="inlineStr">
        <is>
          <t>ÖSTERGÖTLANDS LÄN</t>
        </is>
      </c>
      <c r="E200" t="inlineStr">
        <is>
          <t>LINKÖPING</t>
        </is>
      </c>
      <c r="F200" t="inlineStr">
        <is>
          <t>Övriga statliga verk och myndigheter</t>
        </is>
      </c>
      <c r="G200" t="n">
        <v>2.4</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45970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67912-2021</t>
        </is>
      </c>
      <c r="B202" s="1" t="n">
        <v>44525</v>
      </c>
      <c r="C202" s="1" t="n">
        <v>45970</v>
      </c>
      <c r="D202" t="inlineStr">
        <is>
          <t>ÖSTERGÖTLANDS LÄN</t>
        </is>
      </c>
      <c r="E202" t="inlineStr">
        <is>
          <t>LINKÖPING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67940-2021</t>
        </is>
      </c>
      <c r="B203" s="1" t="n">
        <v>44525.62849537037</v>
      </c>
      <c r="C203" s="1" t="n">
        <v>45970</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1260-2023</t>
        </is>
      </c>
      <c r="B204" s="1" t="n">
        <v>44936</v>
      </c>
      <c r="C204" s="1" t="n">
        <v>45970</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7702-2023</t>
        </is>
      </c>
      <c r="B205" s="1" t="n">
        <v>44967</v>
      </c>
      <c r="C205" s="1" t="n">
        <v>45970</v>
      </c>
      <c r="D205" t="inlineStr">
        <is>
          <t>ÖSTERGÖTLANDS LÄN</t>
        </is>
      </c>
      <c r="E205" t="inlineStr">
        <is>
          <t>LINKÖPING</t>
        </is>
      </c>
      <c r="F205" t="inlineStr">
        <is>
          <t>Övriga statliga verk och myndigheter</t>
        </is>
      </c>
      <c r="G205" t="n">
        <v>8</v>
      </c>
      <c r="H205" t="n">
        <v>0</v>
      </c>
      <c r="I205" t="n">
        <v>0</v>
      </c>
      <c r="J205" t="n">
        <v>0</v>
      </c>
      <c r="K205" t="n">
        <v>0</v>
      </c>
      <c r="L205" t="n">
        <v>0</v>
      </c>
      <c r="M205" t="n">
        <v>0</v>
      </c>
      <c r="N205" t="n">
        <v>0</v>
      </c>
      <c r="O205" t="n">
        <v>0</v>
      </c>
      <c r="P205" t="n">
        <v>0</v>
      </c>
      <c r="Q205" t="n">
        <v>0</v>
      </c>
      <c r="R205" s="2" t="inlineStr"/>
    </row>
    <row r="206" ht="15" customHeight="1">
      <c r="A206" t="inlineStr">
        <is>
          <t>A 10951-2022</t>
        </is>
      </c>
      <c r="B206" s="1" t="n">
        <v>44627</v>
      </c>
      <c r="C206" s="1" t="n">
        <v>45970</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45970</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45970</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674-2024</t>
        </is>
      </c>
      <c r="B209" s="1" t="n">
        <v>45300.34408564815</v>
      </c>
      <c r="C209" s="1" t="n">
        <v>45970</v>
      </c>
      <c r="D209" t="inlineStr">
        <is>
          <t>ÖSTERGÖTLANDS LÄN</t>
        </is>
      </c>
      <c r="E209" t="inlineStr">
        <is>
          <t>LINKÖPING</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63684-2023</t>
        </is>
      </c>
      <c r="B210" s="1" t="n">
        <v>45275</v>
      </c>
      <c r="C210" s="1" t="n">
        <v>45970</v>
      </c>
      <c r="D210" t="inlineStr">
        <is>
          <t>ÖSTERGÖTLANDS LÄN</t>
        </is>
      </c>
      <c r="E210" t="inlineStr">
        <is>
          <t>LINKÖPING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167-2024</t>
        </is>
      </c>
      <c r="B211" s="1" t="n">
        <v>45294</v>
      </c>
      <c r="C211" s="1" t="n">
        <v>45970</v>
      </c>
      <c r="D211" t="inlineStr">
        <is>
          <t>ÖSTERGÖTLANDS LÄN</t>
        </is>
      </c>
      <c r="E211" t="inlineStr">
        <is>
          <t>LINKÖPING</t>
        </is>
      </c>
      <c r="F211" t="inlineStr">
        <is>
          <t>Allmännings- och besparingsskogar</t>
        </is>
      </c>
      <c r="G211" t="n">
        <v>11.6</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45970</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45970</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45970</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36725-2023</t>
        </is>
      </c>
      <c r="B215" s="1" t="n">
        <v>45153.68471064815</v>
      </c>
      <c r="C215" s="1" t="n">
        <v>45970</v>
      </c>
      <c r="D215" t="inlineStr">
        <is>
          <t>ÖSTERGÖTLANDS LÄN</t>
        </is>
      </c>
      <c r="E215" t="inlineStr">
        <is>
          <t>LINKÖPING</t>
        </is>
      </c>
      <c r="F215" t="inlineStr">
        <is>
          <t>Allmännings- och besparingsskogar</t>
        </is>
      </c>
      <c r="G215" t="n">
        <v>2.6</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45970</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45970</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45970</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34162-2022</t>
        </is>
      </c>
      <c r="B219" s="1" t="n">
        <v>44791</v>
      </c>
      <c r="C219" s="1" t="n">
        <v>45970</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61298-2021</t>
        </is>
      </c>
      <c r="B220" s="1" t="n">
        <v>44498.62533564815</v>
      </c>
      <c r="C220" s="1" t="n">
        <v>45970</v>
      </c>
      <c r="D220" t="inlineStr">
        <is>
          <t>ÖSTERGÖTLANDS LÄN</t>
        </is>
      </c>
      <c r="E220" t="inlineStr">
        <is>
          <t>LINKÖPING</t>
        </is>
      </c>
      <c r="G220" t="n">
        <v>4.3</v>
      </c>
      <c r="H220" t="n">
        <v>0</v>
      </c>
      <c r="I220" t="n">
        <v>0</v>
      </c>
      <c r="J220" t="n">
        <v>0</v>
      </c>
      <c r="K220" t="n">
        <v>0</v>
      </c>
      <c r="L220" t="n">
        <v>0</v>
      </c>
      <c r="M220" t="n">
        <v>0</v>
      </c>
      <c r="N220" t="n">
        <v>0</v>
      </c>
      <c r="O220" t="n">
        <v>0</v>
      </c>
      <c r="P220" t="n">
        <v>0</v>
      </c>
      <c r="Q220" t="n">
        <v>0</v>
      </c>
      <c r="R220" s="2" t="inlineStr"/>
    </row>
    <row r="221" ht="15" customHeight="1">
      <c r="A221" t="inlineStr">
        <is>
          <t>A 61333-2021</t>
        </is>
      </c>
      <c r="B221" s="1" t="n">
        <v>44498.6764699074</v>
      </c>
      <c r="C221" s="1" t="n">
        <v>45970</v>
      </c>
      <c r="D221" t="inlineStr">
        <is>
          <t>ÖSTERGÖTLANDS LÄN</t>
        </is>
      </c>
      <c r="E221" t="inlineStr">
        <is>
          <t>LINKÖPING</t>
        </is>
      </c>
      <c r="G221" t="n">
        <v>7.5</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45970</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27343-2023</t>
        </is>
      </c>
      <c r="B223" s="1" t="n">
        <v>45096</v>
      </c>
      <c r="C223" s="1" t="n">
        <v>45970</v>
      </c>
      <c r="D223" t="inlineStr">
        <is>
          <t>ÖSTERGÖTLANDS LÄN</t>
        </is>
      </c>
      <c r="E223" t="inlineStr">
        <is>
          <t>LINKÖPING</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45737.31590277778</v>
      </c>
      <c r="C224" s="1" t="n">
        <v>45970</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45737.32273148148</v>
      </c>
      <c r="C225" s="1" t="n">
        <v>45970</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45831-2024</t>
        </is>
      </c>
      <c r="B226" s="1" t="n">
        <v>45579.90508101852</v>
      </c>
      <c r="C226" s="1" t="n">
        <v>45970</v>
      </c>
      <c r="D226" t="inlineStr">
        <is>
          <t>ÖSTERGÖTLANDS LÄN</t>
        </is>
      </c>
      <c r="E226" t="inlineStr">
        <is>
          <t>LINKÖPING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45970</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22774-2024</t>
        </is>
      </c>
      <c r="B228" s="1" t="n">
        <v>45448.46924768519</v>
      </c>
      <c r="C228" s="1" t="n">
        <v>45970</v>
      </c>
      <c r="D228" t="inlineStr">
        <is>
          <t>ÖSTERGÖTLANDS LÄN</t>
        </is>
      </c>
      <c r="E228" t="inlineStr">
        <is>
          <t>LINKÖPING</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22778-2024</t>
        </is>
      </c>
      <c r="B229" s="1" t="n">
        <v>45448.47233796296</v>
      </c>
      <c r="C229" s="1" t="n">
        <v>45970</v>
      </c>
      <c r="D229" t="inlineStr">
        <is>
          <t>ÖSTERGÖTLANDS LÄN</t>
        </is>
      </c>
      <c r="E229" t="inlineStr">
        <is>
          <t>LINKÖPING</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57396-2021</t>
        </is>
      </c>
      <c r="B230" s="1" t="n">
        <v>44483.56151620371</v>
      </c>
      <c r="C230" s="1" t="n">
        <v>45970</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22842-2023</t>
        </is>
      </c>
      <c r="B231" s="1" t="n">
        <v>45071</v>
      </c>
      <c r="C231" s="1" t="n">
        <v>45970</v>
      </c>
      <c r="D231" t="inlineStr">
        <is>
          <t>ÖSTERGÖTLANDS LÄN</t>
        </is>
      </c>
      <c r="E231" t="inlineStr">
        <is>
          <t>LINKÖPING</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50386-2021</t>
        </is>
      </c>
      <c r="B232" s="1" t="n">
        <v>44459</v>
      </c>
      <c r="C232" s="1" t="n">
        <v>45970</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45970</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22770-2024</t>
        </is>
      </c>
      <c r="B234" s="1" t="n">
        <v>45448.4634375</v>
      </c>
      <c r="C234" s="1" t="n">
        <v>45970</v>
      </c>
      <c r="D234" t="inlineStr">
        <is>
          <t>ÖSTERGÖTLANDS LÄN</t>
        </is>
      </c>
      <c r="E234" t="inlineStr">
        <is>
          <t>LINKÖPING</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34864-2023</t>
        </is>
      </c>
      <c r="B235" s="1" t="n">
        <v>45141</v>
      </c>
      <c r="C235" s="1" t="n">
        <v>45970</v>
      </c>
      <c r="D235" t="inlineStr">
        <is>
          <t>ÖSTERGÖTLANDS LÄN</t>
        </is>
      </c>
      <c r="E235" t="inlineStr">
        <is>
          <t>LINKÖPING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11671-2023</t>
        </is>
      </c>
      <c r="B236" s="1" t="n">
        <v>44994.48125</v>
      </c>
      <c r="C236" s="1" t="n">
        <v>45970</v>
      </c>
      <c r="D236" t="inlineStr">
        <is>
          <t>ÖSTERGÖTLANDS LÄN</t>
        </is>
      </c>
      <c r="E236" t="inlineStr">
        <is>
          <t>LINKÖPING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52531-2023</t>
        </is>
      </c>
      <c r="B237" s="1" t="n">
        <v>45225</v>
      </c>
      <c r="C237" s="1" t="n">
        <v>45970</v>
      </c>
      <c r="D237" t="inlineStr">
        <is>
          <t>ÖSTERGÖTLANDS LÄN</t>
        </is>
      </c>
      <c r="E237" t="inlineStr">
        <is>
          <t>LINKÖPING</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34930-2023</t>
        </is>
      </c>
      <c r="B238" s="1" t="n">
        <v>45142</v>
      </c>
      <c r="C238" s="1" t="n">
        <v>45970</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45970</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54425-2022</t>
        </is>
      </c>
      <c r="B240" s="1" t="n">
        <v>44882.57453703704</v>
      </c>
      <c r="C240" s="1" t="n">
        <v>45970</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46225-2021</t>
        </is>
      </c>
      <c r="B241" s="1" t="n">
        <v>44442</v>
      </c>
      <c r="C241" s="1" t="n">
        <v>45970</v>
      </c>
      <c r="D241" t="inlineStr">
        <is>
          <t>ÖSTERGÖTLANDS LÄN</t>
        </is>
      </c>
      <c r="E241" t="inlineStr">
        <is>
          <t>LINKÖPING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54428-2022</t>
        </is>
      </c>
      <c r="B242" s="1" t="n">
        <v>44882.57643518518</v>
      </c>
      <c r="C242" s="1" t="n">
        <v>45970</v>
      </c>
      <c r="D242" t="inlineStr">
        <is>
          <t>ÖSTERGÖTLANDS LÄN</t>
        </is>
      </c>
      <c r="E242" t="inlineStr">
        <is>
          <t>LINKÖPING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4927-2021</t>
        </is>
      </c>
      <c r="B243" s="1" t="n">
        <v>44227.57215277778</v>
      </c>
      <c r="C243" s="1" t="n">
        <v>45970</v>
      </c>
      <c r="D243" t="inlineStr">
        <is>
          <t>ÖSTERGÖTLANDS LÄN</t>
        </is>
      </c>
      <c r="E243" t="inlineStr">
        <is>
          <t>LINKÖPING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30547-2023</t>
        </is>
      </c>
      <c r="B244" s="1" t="n">
        <v>45111.75905092592</v>
      </c>
      <c r="C244" s="1" t="n">
        <v>45970</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24904-2024</t>
        </is>
      </c>
      <c r="B245" s="1" t="n">
        <v>45461</v>
      </c>
      <c r="C245" s="1" t="n">
        <v>45970</v>
      </c>
      <c r="D245" t="inlineStr">
        <is>
          <t>ÖSTERGÖTLANDS LÄN</t>
        </is>
      </c>
      <c r="E245" t="inlineStr">
        <is>
          <t>LINKÖPING</t>
        </is>
      </c>
      <c r="G245" t="n">
        <v>3.8</v>
      </c>
      <c r="H245" t="n">
        <v>0</v>
      </c>
      <c r="I245" t="n">
        <v>0</v>
      </c>
      <c r="J245" t="n">
        <v>0</v>
      </c>
      <c r="K245" t="n">
        <v>0</v>
      </c>
      <c r="L245" t="n">
        <v>0</v>
      </c>
      <c r="M245" t="n">
        <v>0</v>
      </c>
      <c r="N245" t="n">
        <v>0</v>
      </c>
      <c r="O245" t="n">
        <v>0</v>
      </c>
      <c r="P245" t="n">
        <v>0</v>
      </c>
      <c r="Q245" t="n">
        <v>0</v>
      </c>
      <c r="R245" s="2" t="inlineStr"/>
    </row>
    <row r="246" ht="15" customHeight="1">
      <c r="A246" t="inlineStr">
        <is>
          <t>A 11790-2024</t>
        </is>
      </c>
      <c r="B246" s="1" t="n">
        <v>45374</v>
      </c>
      <c r="C246" s="1" t="n">
        <v>45970</v>
      </c>
      <c r="D246" t="inlineStr">
        <is>
          <t>ÖSTERGÖTLANDS LÄN</t>
        </is>
      </c>
      <c r="E246" t="inlineStr">
        <is>
          <t>LINKÖPING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45970</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26788-2022</t>
        </is>
      </c>
      <c r="B248" s="1" t="n">
        <v>44740</v>
      </c>
      <c r="C248" s="1" t="n">
        <v>45970</v>
      </c>
      <c r="D248" t="inlineStr">
        <is>
          <t>ÖSTERGÖTLANDS LÄN</t>
        </is>
      </c>
      <c r="E248" t="inlineStr">
        <is>
          <t>LINKÖPING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53647-2021</t>
        </is>
      </c>
      <c r="B249" s="1" t="n">
        <v>44469</v>
      </c>
      <c r="C249" s="1" t="n">
        <v>45970</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22772-2024</t>
        </is>
      </c>
      <c r="B250" s="1" t="n">
        <v>45448.46712962963</v>
      </c>
      <c r="C250" s="1" t="n">
        <v>45970</v>
      </c>
      <c r="D250" t="inlineStr">
        <is>
          <t>ÖSTERGÖTLANDS LÄN</t>
        </is>
      </c>
      <c r="E250" t="inlineStr">
        <is>
          <t>LINKÖPING</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45970</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15121-2022</t>
        </is>
      </c>
      <c r="B252" s="1" t="n">
        <v>44658</v>
      </c>
      <c r="C252" s="1" t="n">
        <v>45970</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51919-2024</t>
        </is>
      </c>
      <c r="B253" s="1" t="n">
        <v>45607.60791666667</v>
      </c>
      <c r="C253" s="1" t="n">
        <v>45970</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55009-2023</t>
        </is>
      </c>
      <c r="B254" s="1" t="n">
        <v>45237</v>
      </c>
      <c r="C254" s="1" t="n">
        <v>45970</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20291-2025</t>
        </is>
      </c>
      <c r="B255" s="1" t="n">
        <v>45774.74288194445</v>
      </c>
      <c r="C255" s="1" t="n">
        <v>45970</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20293-2025</t>
        </is>
      </c>
      <c r="B256" s="1" t="n">
        <v>45774.74611111111</v>
      </c>
      <c r="C256" s="1" t="n">
        <v>45970</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59642-2024</t>
        </is>
      </c>
      <c r="B257" s="1" t="n">
        <v>45639.31511574074</v>
      </c>
      <c r="C257" s="1" t="n">
        <v>45970</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660-2023</t>
        </is>
      </c>
      <c r="B258" s="1" t="n">
        <v>44930</v>
      </c>
      <c r="C258" s="1" t="n">
        <v>45970</v>
      </c>
      <c r="D258" t="inlineStr">
        <is>
          <t>ÖSTERGÖTLANDS LÄN</t>
        </is>
      </c>
      <c r="E258" t="inlineStr">
        <is>
          <t>LINKÖPING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15748-2025</t>
        </is>
      </c>
      <c r="B259" s="1" t="n">
        <v>45748.55282407408</v>
      </c>
      <c r="C259" s="1" t="n">
        <v>45970</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24586-2024</t>
        </is>
      </c>
      <c r="B260" s="1" t="n">
        <v>45460.46664351852</v>
      </c>
      <c r="C260" s="1" t="n">
        <v>45970</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31792-2021</t>
        </is>
      </c>
      <c r="B261" s="1" t="n">
        <v>44369</v>
      </c>
      <c r="C261" s="1" t="n">
        <v>45970</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25097-2023</t>
        </is>
      </c>
      <c r="B262" s="1" t="n">
        <v>45086</v>
      </c>
      <c r="C262" s="1" t="n">
        <v>45970</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17124-2025</t>
        </is>
      </c>
      <c r="B263" s="1" t="n">
        <v>45755.69678240741</v>
      </c>
      <c r="C263" s="1" t="n">
        <v>45970</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17126-2025</t>
        </is>
      </c>
      <c r="B264" s="1" t="n">
        <v>45755.70814814815</v>
      </c>
      <c r="C264" s="1" t="n">
        <v>45970</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17143-2025</t>
        </is>
      </c>
      <c r="B265" s="1" t="n">
        <v>45755.92731481481</v>
      </c>
      <c r="C265" s="1" t="n">
        <v>45970</v>
      </c>
      <c r="D265" t="inlineStr">
        <is>
          <t>ÖSTERGÖTLANDS LÄN</t>
        </is>
      </c>
      <c r="E265" t="inlineStr">
        <is>
          <t>LINKÖPING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35735-2023</t>
        </is>
      </c>
      <c r="B266" s="1" t="n">
        <v>45147</v>
      </c>
      <c r="C266" s="1" t="n">
        <v>45970</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45970</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16462-2021</t>
        </is>
      </c>
      <c r="B268" s="1" t="n">
        <v>44293</v>
      </c>
      <c r="C268" s="1" t="n">
        <v>45970</v>
      </c>
      <c r="D268" t="inlineStr">
        <is>
          <t>ÖSTERGÖTLANDS LÄN</t>
        </is>
      </c>
      <c r="E268" t="inlineStr">
        <is>
          <t>LINKÖPING</t>
        </is>
      </c>
      <c r="F268" t="inlineStr">
        <is>
          <t>Allmännings- och besparingsskogar</t>
        </is>
      </c>
      <c r="G268" t="n">
        <v>24.7</v>
      </c>
      <c r="H268" t="n">
        <v>0</v>
      </c>
      <c r="I268" t="n">
        <v>0</v>
      </c>
      <c r="J268" t="n">
        <v>0</v>
      </c>
      <c r="K268" t="n">
        <v>0</v>
      </c>
      <c r="L268" t="n">
        <v>0</v>
      </c>
      <c r="M268" t="n">
        <v>0</v>
      </c>
      <c r="N268" t="n">
        <v>0</v>
      </c>
      <c r="O268" t="n">
        <v>0</v>
      </c>
      <c r="P268" t="n">
        <v>0</v>
      </c>
      <c r="Q268" t="n">
        <v>0</v>
      </c>
      <c r="R268" s="2" t="inlineStr"/>
    </row>
    <row r="269" ht="15" customHeight="1">
      <c r="A269" t="inlineStr">
        <is>
          <t>A 25776-2021</t>
        </is>
      </c>
      <c r="B269" s="1" t="n">
        <v>44343</v>
      </c>
      <c r="C269" s="1" t="n">
        <v>45970</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30856-2022</t>
        </is>
      </c>
      <c r="B270" s="1" t="n">
        <v>44767</v>
      </c>
      <c r="C270" s="1" t="n">
        <v>45970</v>
      </c>
      <c r="D270" t="inlineStr">
        <is>
          <t>ÖSTERGÖTLANDS LÄN</t>
        </is>
      </c>
      <c r="E270" t="inlineStr">
        <is>
          <t>LINKÖPING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19187-2021</t>
        </is>
      </c>
      <c r="B271" s="1" t="n">
        <v>44308</v>
      </c>
      <c r="C271" s="1" t="n">
        <v>45970</v>
      </c>
      <c r="D271" t="inlineStr">
        <is>
          <t>ÖSTERGÖTLANDS LÄN</t>
        </is>
      </c>
      <c r="E271" t="inlineStr">
        <is>
          <t>LINKÖPING</t>
        </is>
      </c>
      <c r="F271" t="inlineStr">
        <is>
          <t>Allmännings- och besparingsskogar</t>
        </is>
      </c>
      <c r="G271" t="n">
        <v>20</v>
      </c>
      <c r="H271" t="n">
        <v>0</v>
      </c>
      <c r="I271" t="n">
        <v>0</v>
      </c>
      <c r="J271" t="n">
        <v>0</v>
      </c>
      <c r="K271" t="n">
        <v>0</v>
      </c>
      <c r="L271" t="n">
        <v>0</v>
      </c>
      <c r="M271" t="n">
        <v>0</v>
      </c>
      <c r="N271" t="n">
        <v>0</v>
      </c>
      <c r="O271" t="n">
        <v>0</v>
      </c>
      <c r="P271" t="n">
        <v>0</v>
      </c>
      <c r="Q271" t="n">
        <v>0</v>
      </c>
      <c r="R271" s="2" t="inlineStr"/>
    </row>
    <row r="272" ht="15" customHeight="1">
      <c r="A272" t="inlineStr">
        <is>
          <t>A 38046-2025</t>
        </is>
      </c>
      <c r="B272" s="1" t="n">
        <v>45882.39939814815</v>
      </c>
      <c r="C272" s="1" t="n">
        <v>45970</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39017-2021</t>
        </is>
      </c>
      <c r="B273" s="1" t="n">
        <v>44412</v>
      </c>
      <c r="C273" s="1" t="n">
        <v>45970</v>
      </c>
      <c r="D273" t="inlineStr">
        <is>
          <t>ÖSTERGÖTLANDS LÄN</t>
        </is>
      </c>
      <c r="E273" t="inlineStr">
        <is>
          <t>LINKÖPING</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63487-2023</t>
        </is>
      </c>
      <c r="B274" s="1" t="n">
        <v>45274.66712962963</v>
      </c>
      <c r="C274" s="1" t="n">
        <v>45970</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3008-2023</t>
        </is>
      </c>
      <c r="B275" s="1" t="n">
        <v>44945.79784722222</v>
      </c>
      <c r="C275" s="1" t="n">
        <v>45970</v>
      </c>
      <c r="D275" t="inlineStr">
        <is>
          <t>ÖSTERGÖTLANDS LÄN</t>
        </is>
      </c>
      <c r="E275" t="inlineStr">
        <is>
          <t>LINKÖPING</t>
        </is>
      </c>
      <c r="G275" t="n">
        <v>19.3</v>
      </c>
      <c r="H275" t="n">
        <v>0</v>
      </c>
      <c r="I275" t="n">
        <v>0</v>
      </c>
      <c r="J275" t="n">
        <v>0</v>
      </c>
      <c r="K275" t="n">
        <v>0</v>
      </c>
      <c r="L275" t="n">
        <v>0</v>
      </c>
      <c r="M275" t="n">
        <v>0</v>
      </c>
      <c r="N275" t="n">
        <v>0</v>
      </c>
      <c r="O275" t="n">
        <v>0</v>
      </c>
      <c r="P275" t="n">
        <v>0</v>
      </c>
      <c r="Q275" t="n">
        <v>0</v>
      </c>
      <c r="R275" s="2" t="inlineStr"/>
    </row>
    <row r="276" ht="15" customHeight="1">
      <c r="A276" t="inlineStr">
        <is>
          <t>A 55345-2021</t>
        </is>
      </c>
      <c r="B276" s="1" t="n">
        <v>44475</v>
      </c>
      <c r="C276" s="1" t="n">
        <v>45970</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16820-2024</t>
        </is>
      </c>
      <c r="B277" s="1" t="n">
        <v>45411.46809027778</v>
      </c>
      <c r="C277" s="1" t="n">
        <v>45970</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39219-2021</t>
        </is>
      </c>
      <c r="B278" s="1" t="n">
        <v>44413</v>
      </c>
      <c r="C278" s="1" t="n">
        <v>45970</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39224-2021</t>
        </is>
      </c>
      <c r="B279" s="1" t="n">
        <v>44413</v>
      </c>
      <c r="C279" s="1" t="n">
        <v>45970</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61281-2021</t>
        </is>
      </c>
      <c r="B280" s="1" t="n">
        <v>44498.60736111111</v>
      </c>
      <c r="C280" s="1" t="n">
        <v>45970</v>
      </c>
      <c r="D280" t="inlineStr">
        <is>
          <t>ÖSTERGÖTLANDS LÄN</t>
        </is>
      </c>
      <c r="E280" t="inlineStr">
        <is>
          <t>LINKÖPING</t>
        </is>
      </c>
      <c r="G280" t="n">
        <v>4.5</v>
      </c>
      <c r="H280" t="n">
        <v>0</v>
      </c>
      <c r="I280" t="n">
        <v>0</v>
      </c>
      <c r="J280" t="n">
        <v>0</v>
      </c>
      <c r="K280" t="n">
        <v>0</v>
      </c>
      <c r="L280" t="n">
        <v>0</v>
      </c>
      <c r="M280" t="n">
        <v>0</v>
      </c>
      <c r="N280" t="n">
        <v>0</v>
      </c>
      <c r="O280" t="n">
        <v>0</v>
      </c>
      <c r="P280" t="n">
        <v>0</v>
      </c>
      <c r="Q280" t="n">
        <v>0</v>
      </c>
      <c r="R280" s="2" t="inlineStr"/>
    </row>
    <row r="281" ht="15" customHeight="1">
      <c r="A281" t="inlineStr">
        <is>
          <t>A 63935-2021</t>
        </is>
      </c>
      <c r="B281" s="1" t="n">
        <v>44509</v>
      </c>
      <c r="C281" s="1" t="n">
        <v>45970</v>
      </c>
      <c r="D281" t="inlineStr">
        <is>
          <t>ÖSTERGÖTLANDS LÄN</t>
        </is>
      </c>
      <c r="E281" t="inlineStr">
        <is>
          <t>LINKÖPING</t>
        </is>
      </c>
      <c r="F281" t="inlineStr">
        <is>
          <t>Övriga statliga verk och myndigheter</t>
        </is>
      </c>
      <c r="G281" t="n">
        <v>2.8</v>
      </c>
      <c r="H281" t="n">
        <v>0</v>
      </c>
      <c r="I281" t="n">
        <v>0</v>
      </c>
      <c r="J281" t="n">
        <v>0</v>
      </c>
      <c r="K281" t="n">
        <v>0</v>
      </c>
      <c r="L281" t="n">
        <v>0</v>
      </c>
      <c r="M281" t="n">
        <v>0</v>
      </c>
      <c r="N281" t="n">
        <v>0</v>
      </c>
      <c r="O281" t="n">
        <v>0</v>
      </c>
      <c r="P281" t="n">
        <v>0</v>
      </c>
      <c r="Q281" t="n">
        <v>0</v>
      </c>
      <c r="R281" s="2" t="inlineStr"/>
    </row>
    <row r="282" ht="15" customHeight="1">
      <c r="A282" t="inlineStr">
        <is>
          <t>A 30980-2022</t>
        </is>
      </c>
      <c r="B282" s="1" t="n">
        <v>44768</v>
      </c>
      <c r="C282" s="1" t="n">
        <v>45970</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25292-2021</t>
        </is>
      </c>
      <c r="B283" s="1" t="n">
        <v>44342</v>
      </c>
      <c r="C283" s="1" t="n">
        <v>45970</v>
      </c>
      <c r="D283" t="inlineStr">
        <is>
          <t>ÖSTERGÖTLANDS LÄN</t>
        </is>
      </c>
      <c r="E283" t="inlineStr">
        <is>
          <t>LINKÖPING</t>
        </is>
      </c>
      <c r="F283" t="inlineStr">
        <is>
          <t>Övriga Aktiebolag</t>
        </is>
      </c>
      <c r="G283" t="n">
        <v>12.8</v>
      </c>
      <c r="H283" t="n">
        <v>0</v>
      </c>
      <c r="I283" t="n">
        <v>0</v>
      </c>
      <c r="J283" t="n">
        <v>0</v>
      </c>
      <c r="K283" t="n">
        <v>0</v>
      </c>
      <c r="L283" t="n">
        <v>0</v>
      </c>
      <c r="M283" t="n">
        <v>0</v>
      </c>
      <c r="N283" t="n">
        <v>0</v>
      </c>
      <c r="O283" t="n">
        <v>0</v>
      </c>
      <c r="P283" t="n">
        <v>0</v>
      </c>
      <c r="Q283" t="n">
        <v>0</v>
      </c>
      <c r="R283" s="2" t="inlineStr"/>
    </row>
    <row r="284" ht="15" customHeight="1">
      <c r="A284" t="inlineStr">
        <is>
          <t>A 24351-2024</t>
        </is>
      </c>
      <c r="B284" s="1" t="n">
        <v>45457.59011574074</v>
      </c>
      <c r="C284" s="1" t="n">
        <v>45970</v>
      </c>
      <c r="D284" t="inlineStr">
        <is>
          <t>ÖSTERGÖTLANDS LÄN</t>
        </is>
      </c>
      <c r="E284" t="inlineStr">
        <is>
          <t>LINKÖPING</t>
        </is>
      </c>
      <c r="G284" t="n">
        <v>11.9</v>
      </c>
      <c r="H284" t="n">
        <v>0</v>
      </c>
      <c r="I284" t="n">
        <v>0</v>
      </c>
      <c r="J284" t="n">
        <v>0</v>
      </c>
      <c r="K284" t="n">
        <v>0</v>
      </c>
      <c r="L284" t="n">
        <v>0</v>
      </c>
      <c r="M284" t="n">
        <v>0</v>
      </c>
      <c r="N284" t="n">
        <v>0</v>
      </c>
      <c r="O284" t="n">
        <v>0</v>
      </c>
      <c r="P284" t="n">
        <v>0</v>
      </c>
      <c r="Q284" t="n">
        <v>0</v>
      </c>
      <c r="R284" s="2" t="inlineStr"/>
    </row>
    <row r="285" ht="15" customHeight="1">
      <c r="A285" t="inlineStr">
        <is>
          <t>A 20455-2024</t>
        </is>
      </c>
      <c r="B285" s="1" t="n">
        <v>45435.65314814815</v>
      </c>
      <c r="C285" s="1" t="n">
        <v>45970</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62501-2023</t>
        </is>
      </c>
      <c r="B286" s="1" t="n">
        <v>45268</v>
      </c>
      <c r="C286" s="1" t="n">
        <v>45970</v>
      </c>
      <c r="D286" t="inlineStr">
        <is>
          <t>ÖSTERGÖTLANDS LÄN</t>
        </is>
      </c>
      <c r="E286" t="inlineStr">
        <is>
          <t>LINKÖPING</t>
        </is>
      </c>
      <c r="G286" t="n">
        <v>7.4</v>
      </c>
      <c r="H286" t="n">
        <v>0</v>
      </c>
      <c r="I286" t="n">
        <v>0</v>
      </c>
      <c r="J286" t="n">
        <v>0</v>
      </c>
      <c r="K286" t="n">
        <v>0</v>
      </c>
      <c r="L286" t="n">
        <v>0</v>
      </c>
      <c r="M286" t="n">
        <v>0</v>
      </c>
      <c r="N286" t="n">
        <v>0</v>
      </c>
      <c r="O286" t="n">
        <v>0</v>
      </c>
      <c r="P286" t="n">
        <v>0</v>
      </c>
      <c r="Q286" t="n">
        <v>0</v>
      </c>
      <c r="R286" s="2" t="inlineStr"/>
    </row>
    <row r="287" ht="15" customHeight="1">
      <c r="A287" t="inlineStr">
        <is>
          <t>A 39074-2025</t>
        </is>
      </c>
      <c r="B287" s="1" t="n">
        <v>45888</v>
      </c>
      <c r="C287" s="1" t="n">
        <v>45970</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30471-2023</t>
        </is>
      </c>
      <c r="B288" s="1" t="n">
        <v>45111.58931712963</v>
      </c>
      <c r="C288" s="1" t="n">
        <v>45970</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44903.64769675926</v>
      </c>
      <c r="C289" s="1" t="n">
        <v>45970</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49979-2022</t>
        </is>
      </c>
      <c r="B290" s="1" t="n">
        <v>44865</v>
      </c>
      <c r="C290" s="1" t="n">
        <v>45970</v>
      </c>
      <c r="D290" t="inlineStr">
        <is>
          <t>ÖSTERGÖTLANDS LÄN</t>
        </is>
      </c>
      <c r="E290" t="inlineStr">
        <is>
          <t>LINKÖPING</t>
        </is>
      </c>
      <c r="F290" t="inlineStr">
        <is>
          <t>Övriga Aktiebolag</t>
        </is>
      </c>
      <c r="G290" t="n">
        <v>11.4</v>
      </c>
      <c r="H290" t="n">
        <v>0</v>
      </c>
      <c r="I290" t="n">
        <v>0</v>
      </c>
      <c r="J290" t="n">
        <v>0</v>
      </c>
      <c r="K290" t="n">
        <v>0</v>
      </c>
      <c r="L290" t="n">
        <v>0</v>
      </c>
      <c r="M290" t="n">
        <v>0</v>
      </c>
      <c r="N290" t="n">
        <v>0</v>
      </c>
      <c r="O290" t="n">
        <v>0</v>
      </c>
      <c r="P290" t="n">
        <v>0</v>
      </c>
      <c r="Q290" t="n">
        <v>0</v>
      </c>
      <c r="R290" s="2" t="inlineStr"/>
    </row>
    <row r="291" ht="15" customHeight="1">
      <c r="A291" t="inlineStr">
        <is>
          <t>A 43934-2023</t>
        </is>
      </c>
      <c r="B291" s="1" t="n">
        <v>45187</v>
      </c>
      <c r="C291" s="1" t="n">
        <v>45970</v>
      </c>
      <c r="D291" t="inlineStr">
        <is>
          <t>ÖSTERGÖTLANDS LÄN</t>
        </is>
      </c>
      <c r="E291" t="inlineStr">
        <is>
          <t>LINKÖPING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47233-2025</t>
        </is>
      </c>
      <c r="B292" s="1" t="n">
        <v>45930.40612268518</v>
      </c>
      <c r="C292" s="1" t="n">
        <v>45970</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53827-2023</t>
        </is>
      </c>
      <c r="B293" s="1" t="n">
        <v>45230</v>
      </c>
      <c r="C293" s="1" t="n">
        <v>45970</v>
      </c>
      <c r="D293" t="inlineStr">
        <is>
          <t>ÖSTERGÖTLANDS LÄN</t>
        </is>
      </c>
      <c r="E293" t="inlineStr">
        <is>
          <t>LINKÖPING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14093-2024</t>
        </is>
      </c>
      <c r="B294" s="1" t="n">
        <v>45392.60278935185</v>
      </c>
      <c r="C294" s="1" t="n">
        <v>45970</v>
      </c>
      <c r="D294" t="inlineStr">
        <is>
          <t>ÖSTERGÖTLANDS LÄN</t>
        </is>
      </c>
      <c r="E294" t="inlineStr">
        <is>
          <t>LINKÖPING</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940-2023</t>
        </is>
      </c>
      <c r="B295" s="1" t="n">
        <v>44933</v>
      </c>
      <c r="C295" s="1" t="n">
        <v>45970</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38971-2025</t>
        </is>
      </c>
      <c r="B296" s="1" t="n">
        <v>45887.71827546296</v>
      </c>
      <c r="C296" s="1" t="n">
        <v>45970</v>
      </c>
      <c r="D296" t="inlineStr">
        <is>
          <t>ÖSTERGÖTLANDS LÄN</t>
        </is>
      </c>
      <c r="E296" t="inlineStr">
        <is>
          <t>LINKÖPING</t>
        </is>
      </c>
      <c r="G296" t="n">
        <v>3.9</v>
      </c>
      <c r="H296" t="n">
        <v>0</v>
      </c>
      <c r="I296" t="n">
        <v>0</v>
      </c>
      <c r="J296" t="n">
        <v>0</v>
      </c>
      <c r="K296" t="n">
        <v>0</v>
      </c>
      <c r="L296" t="n">
        <v>0</v>
      </c>
      <c r="M296" t="n">
        <v>0</v>
      </c>
      <c r="N296" t="n">
        <v>0</v>
      </c>
      <c r="O296" t="n">
        <v>0</v>
      </c>
      <c r="P296" t="n">
        <v>0</v>
      </c>
      <c r="Q296" t="n">
        <v>0</v>
      </c>
      <c r="R296" s="2" t="inlineStr"/>
    </row>
    <row r="297" ht="15" customHeight="1">
      <c r="A297" t="inlineStr">
        <is>
          <t>A 63304-2021</t>
        </is>
      </c>
      <c r="B297" s="1" t="n">
        <v>44508.4396412037</v>
      </c>
      <c r="C297" s="1" t="n">
        <v>45970</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72567-2021</t>
        </is>
      </c>
      <c r="B298" s="1" t="n">
        <v>44546.45023148148</v>
      </c>
      <c r="C298" s="1" t="n">
        <v>45970</v>
      </c>
      <c r="D298" t="inlineStr">
        <is>
          <t>ÖSTERGÖTLANDS LÄN</t>
        </is>
      </c>
      <c r="E298" t="inlineStr">
        <is>
          <t>LINKÖPING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7992-2023</t>
        </is>
      </c>
      <c r="B299" s="1" t="n">
        <v>44970</v>
      </c>
      <c r="C299" s="1" t="n">
        <v>45970</v>
      </c>
      <c r="D299" t="inlineStr">
        <is>
          <t>ÖSTERGÖTLANDS LÄN</t>
        </is>
      </c>
      <c r="E299" t="inlineStr">
        <is>
          <t>LINKÖPING</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45819-2024</t>
        </is>
      </c>
      <c r="B300" s="1" t="n">
        <v>45579.7454050926</v>
      </c>
      <c r="C300" s="1" t="n">
        <v>45970</v>
      </c>
      <c r="D300" t="inlineStr">
        <is>
          <t>ÖSTERGÖTLANDS LÄN</t>
        </is>
      </c>
      <c r="E300" t="inlineStr">
        <is>
          <t>LINKÖPING</t>
        </is>
      </c>
      <c r="G300" t="n">
        <v>5</v>
      </c>
      <c r="H300" t="n">
        <v>0</v>
      </c>
      <c r="I300" t="n">
        <v>0</v>
      </c>
      <c r="J300" t="n">
        <v>0</v>
      </c>
      <c r="K300" t="n">
        <v>0</v>
      </c>
      <c r="L300" t="n">
        <v>0</v>
      </c>
      <c r="M300" t="n">
        <v>0</v>
      </c>
      <c r="N300" t="n">
        <v>0</v>
      </c>
      <c r="O300" t="n">
        <v>0</v>
      </c>
      <c r="P300" t="n">
        <v>0</v>
      </c>
      <c r="Q300" t="n">
        <v>0</v>
      </c>
      <c r="R300" s="2" t="inlineStr"/>
    </row>
    <row r="301" ht="15" customHeight="1">
      <c r="A301" t="inlineStr">
        <is>
          <t>A 19362-2023</t>
        </is>
      </c>
      <c r="B301" s="1" t="n">
        <v>45049</v>
      </c>
      <c r="C301" s="1" t="n">
        <v>45970</v>
      </c>
      <c r="D301" t="inlineStr">
        <is>
          <t>ÖSTERGÖTLANDS LÄN</t>
        </is>
      </c>
      <c r="E301" t="inlineStr">
        <is>
          <t>LINKÖPING</t>
        </is>
      </c>
      <c r="G301" t="n">
        <v>0.1</v>
      </c>
      <c r="H301" t="n">
        <v>0</v>
      </c>
      <c r="I301" t="n">
        <v>0</v>
      </c>
      <c r="J301" t="n">
        <v>0</v>
      </c>
      <c r="K301" t="n">
        <v>0</v>
      </c>
      <c r="L301" t="n">
        <v>0</v>
      </c>
      <c r="M301" t="n">
        <v>0</v>
      </c>
      <c r="N301" t="n">
        <v>0</v>
      </c>
      <c r="O301" t="n">
        <v>0</v>
      </c>
      <c r="P301" t="n">
        <v>0</v>
      </c>
      <c r="Q301" t="n">
        <v>0</v>
      </c>
      <c r="R301" s="2" t="inlineStr"/>
    </row>
    <row r="302" ht="15" customHeight="1">
      <c r="A302" t="inlineStr">
        <is>
          <t>A 3041-2024</t>
        </is>
      </c>
      <c r="B302" s="1" t="n">
        <v>45316.34875</v>
      </c>
      <c r="C302" s="1" t="n">
        <v>45970</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45970</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16111-2022</t>
        </is>
      </c>
      <c r="B304" s="1" t="n">
        <v>44665</v>
      </c>
      <c r="C304" s="1" t="n">
        <v>45970</v>
      </c>
      <c r="D304" t="inlineStr">
        <is>
          <t>ÖSTERGÖTLANDS LÄN</t>
        </is>
      </c>
      <c r="E304" t="inlineStr">
        <is>
          <t>LINKÖPING</t>
        </is>
      </c>
      <c r="F304" t="inlineStr">
        <is>
          <t>Övriga Aktiebolag</t>
        </is>
      </c>
      <c r="G304" t="n">
        <v>2.9</v>
      </c>
      <c r="H304" t="n">
        <v>0</v>
      </c>
      <c r="I304" t="n">
        <v>0</v>
      </c>
      <c r="J304" t="n">
        <v>0</v>
      </c>
      <c r="K304" t="n">
        <v>0</v>
      </c>
      <c r="L304" t="n">
        <v>0</v>
      </c>
      <c r="M304" t="n">
        <v>0</v>
      </c>
      <c r="N304" t="n">
        <v>0</v>
      </c>
      <c r="O304" t="n">
        <v>0</v>
      </c>
      <c r="P304" t="n">
        <v>0</v>
      </c>
      <c r="Q304" t="n">
        <v>0</v>
      </c>
      <c r="R304" s="2" t="inlineStr"/>
    </row>
    <row r="305" ht="15" customHeight="1">
      <c r="A305" t="inlineStr">
        <is>
          <t>A 3530-2024</t>
        </is>
      </c>
      <c r="B305" s="1" t="n">
        <v>45320.54717592592</v>
      </c>
      <c r="C305" s="1" t="n">
        <v>45970</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31635-2023</t>
        </is>
      </c>
      <c r="B306" s="1" t="n">
        <v>45105</v>
      </c>
      <c r="C306" s="1" t="n">
        <v>45970</v>
      </c>
      <c r="D306" t="inlineStr">
        <is>
          <t>ÖSTERGÖTLANDS LÄN</t>
        </is>
      </c>
      <c r="E306" t="inlineStr">
        <is>
          <t>LINKÖPING</t>
        </is>
      </c>
      <c r="F306" t="inlineStr">
        <is>
          <t>Övriga statliga verk och myndigheter</t>
        </is>
      </c>
      <c r="G306" t="n">
        <v>4.6</v>
      </c>
      <c r="H306" t="n">
        <v>0</v>
      </c>
      <c r="I306" t="n">
        <v>0</v>
      </c>
      <c r="J306" t="n">
        <v>0</v>
      </c>
      <c r="K306" t="n">
        <v>0</v>
      </c>
      <c r="L306" t="n">
        <v>0</v>
      </c>
      <c r="M306" t="n">
        <v>0</v>
      </c>
      <c r="N306" t="n">
        <v>0</v>
      </c>
      <c r="O306" t="n">
        <v>0</v>
      </c>
      <c r="P306" t="n">
        <v>0</v>
      </c>
      <c r="Q306" t="n">
        <v>0</v>
      </c>
      <c r="R306" s="2" t="inlineStr"/>
    </row>
    <row r="307" ht="15" customHeight="1">
      <c r="A307" t="inlineStr">
        <is>
          <t>A 7354-2025</t>
        </is>
      </c>
      <c r="B307" s="1" t="n">
        <v>45704.41174768518</v>
      </c>
      <c r="C307" s="1" t="n">
        <v>45970</v>
      </c>
      <c r="D307" t="inlineStr">
        <is>
          <t>ÖSTERGÖTLANDS LÄN</t>
        </is>
      </c>
      <c r="E307" t="inlineStr">
        <is>
          <t>LINKÖPING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49928-2024</t>
        </is>
      </c>
      <c r="B308" s="1" t="n">
        <v>45597.57811342592</v>
      </c>
      <c r="C308" s="1" t="n">
        <v>45970</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63935-2021</t>
        </is>
      </c>
      <c r="B309" s="1" t="n">
        <v>44509</v>
      </c>
      <c r="C309" s="1" t="n">
        <v>45970</v>
      </c>
      <c r="D309" t="inlineStr">
        <is>
          <t>ÖSTERGÖTLANDS LÄN</t>
        </is>
      </c>
      <c r="E309" t="inlineStr">
        <is>
          <t>LINKÖPING</t>
        </is>
      </c>
      <c r="F309" t="inlineStr">
        <is>
          <t>Övriga statliga verk och myndigheter</t>
        </is>
      </c>
      <c r="G309" t="n">
        <v>2.8</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45970</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54845-2023</t>
        </is>
      </c>
      <c r="B311" s="1" t="n">
        <v>45236</v>
      </c>
      <c r="C311" s="1" t="n">
        <v>45970</v>
      </c>
      <c r="D311" t="inlineStr">
        <is>
          <t>ÖSTERGÖTLANDS LÄN</t>
        </is>
      </c>
      <c r="E311" t="inlineStr">
        <is>
          <t>LINKÖPING</t>
        </is>
      </c>
      <c r="F311" t="inlineStr">
        <is>
          <t>Övriga Aktiebolag</t>
        </is>
      </c>
      <c r="G311" t="n">
        <v>5.7</v>
      </c>
      <c r="H311" t="n">
        <v>0</v>
      </c>
      <c r="I311" t="n">
        <v>0</v>
      </c>
      <c r="J311" t="n">
        <v>0</v>
      </c>
      <c r="K311" t="n">
        <v>0</v>
      </c>
      <c r="L311" t="n">
        <v>0</v>
      </c>
      <c r="M311" t="n">
        <v>0</v>
      </c>
      <c r="N311" t="n">
        <v>0</v>
      </c>
      <c r="O311" t="n">
        <v>0</v>
      </c>
      <c r="P311" t="n">
        <v>0</v>
      </c>
      <c r="Q311" t="n">
        <v>0</v>
      </c>
      <c r="R311" s="2" t="inlineStr"/>
    </row>
    <row r="312" ht="15" customHeight="1">
      <c r="A312" t="inlineStr">
        <is>
          <t>A 46687-2021</t>
        </is>
      </c>
      <c r="B312" s="1" t="n">
        <v>44445</v>
      </c>
      <c r="C312" s="1" t="n">
        <v>45970</v>
      </c>
      <c r="D312" t="inlineStr">
        <is>
          <t>ÖSTERGÖTLANDS LÄN</t>
        </is>
      </c>
      <c r="E312" t="inlineStr">
        <is>
          <t>LINKÖPING</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45970</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45970</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30855-2022</t>
        </is>
      </c>
      <c r="B315" s="1" t="n">
        <v>44767</v>
      </c>
      <c r="C315" s="1" t="n">
        <v>45970</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40810-2022</t>
        </is>
      </c>
      <c r="B316" s="1" t="n">
        <v>44824</v>
      </c>
      <c r="C316" s="1" t="n">
        <v>45970</v>
      </c>
      <c r="D316" t="inlineStr">
        <is>
          <t>ÖSTERGÖTLANDS LÄN</t>
        </is>
      </c>
      <c r="E316" t="inlineStr">
        <is>
          <t>LINKÖPING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1355-2023</t>
        </is>
      </c>
      <c r="B317" s="1" t="n">
        <v>44931</v>
      </c>
      <c r="C317" s="1" t="n">
        <v>45970</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45970</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27844-2024</t>
        </is>
      </c>
      <c r="B319" s="1" t="n">
        <v>45475.63047453704</v>
      </c>
      <c r="C319" s="1" t="n">
        <v>45970</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6782-2024</t>
        </is>
      </c>
      <c r="B320" s="1" t="n">
        <v>45342</v>
      </c>
      <c r="C320" s="1" t="n">
        <v>45970</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617-2024</t>
        </is>
      </c>
      <c r="B321" s="1" t="n">
        <v>45299.66028935185</v>
      </c>
      <c r="C321" s="1" t="n">
        <v>45970</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670-2024</t>
        </is>
      </c>
      <c r="B322" s="1" t="n">
        <v>45300.3408912037</v>
      </c>
      <c r="C322" s="1" t="n">
        <v>45970</v>
      </c>
      <c r="D322" t="inlineStr">
        <is>
          <t>ÖSTERGÖTLANDS LÄN</t>
        </is>
      </c>
      <c r="E322" t="inlineStr">
        <is>
          <t>LINKÖPING</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52125-2022</t>
        </is>
      </c>
      <c r="B323" s="1" t="n">
        <v>44873</v>
      </c>
      <c r="C323" s="1" t="n">
        <v>45970</v>
      </c>
      <c r="D323" t="inlineStr">
        <is>
          <t>ÖSTERGÖTLANDS LÄN</t>
        </is>
      </c>
      <c r="E323" t="inlineStr">
        <is>
          <t>LINKÖPING</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20298-2025</t>
        </is>
      </c>
      <c r="B324" s="1" t="n">
        <v>45774.75024305555</v>
      </c>
      <c r="C324" s="1" t="n">
        <v>45970</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14576-2023</t>
        </is>
      </c>
      <c r="B325" s="1" t="n">
        <v>45013</v>
      </c>
      <c r="C325" s="1" t="n">
        <v>45970</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45970</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10741-2023</t>
        </is>
      </c>
      <c r="B327" s="1" t="n">
        <v>44988.70084490741</v>
      </c>
      <c r="C327" s="1" t="n">
        <v>45970</v>
      </c>
      <c r="D327" t="inlineStr">
        <is>
          <t>ÖSTERGÖTLANDS LÄN</t>
        </is>
      </c>
      <c r="E327" t="inlineStr">
        <is>
          <t>LINKÖPING</t>
        </is>
      </c>
      <c r="F327" t="inlineStr">
        <is>
          <t>Allmännings- och besparingsskogar</t>
        </is>
      </c>
      <c r="G327" t="n">
        <v>11.2</v>
      </c>
      <c r="H327" t="n">
        <v>0</v>
      </c>
      <c r="I327" t="n">
        <v>0</v>
      </c>
      <c r="J327" t="n">
        <v>0</v>
      </c>
      <c r="K327" t="n">
        <v>0</v>
      </c>
      <c r="L327" t="n">
        <v>0</v>
      </c>
      <c r="M327" t="n">
        <v>0</v>
      </c>
      <c r="N327" t="n">
        <v>0</v>
      </c>
      <c r="O327" t="n">
        <v>0</v>
      </c>
      <c r="P327" t="n">
        <v>0</v>
      </c>
      <c r="Q327" t="n">
        <v>0</v>
      </c>
      <c r="R327" s="2" t="inlineStr"/>
    </row>
    <row r="328" ht="15" customHeight="1">
      <c r="A328" t="inlineStr">
        <is>
          <t>A 50963-2021</t>
        </is>
      </c>
      <c r="B328" s="1" t="n">
        <v>44460</v>
      </c>
      <c r="C328" s="1" t="n">
        <v>45970</v>
      </c>
      <c r="D328" t="inlineStr">
        <is>
          <t>ÖSTERGÖTLANDS LÄN</t>
        </is>
      </c>
      <c r="E328" t="inlineStr">
        <is>
          <t>LINKÖPING</t>
        </is>
      </c>
      <c r="G328" t="n">
        <v>4.4</v>
      </c>
      <c r="H328" t="n">
        <v>0</v>
      </c>
      <c r="I328" t="n">
        <v>0</v>
      </c>
      <c r="J328" t="n">
        <v>0</v>
      </c>
      <c r="K328" t="n">
        <v>0</v>
      </c>
      <c r="L328" t="n">
        <v>0</v>
      </c>
      <c r="M328" t="n">
        <v>0</v>
      </c>
      <c r="N328" t="n">
        <v>0</v>
      </c>
      <c r="O328" t="n">
        <v>0</v>
      </c>
      <c r="P328" t="n">
        <v>0</v>
      </c>
      <c r="Q328" t="n">
        <v>0</v>
      </c>
      <c r="R328" s="2" t="inlineStr"/>
    </row>
    <row r="329" ht="15" customHeight="1">
      <c r="A329" t="inlineStr">
        <is>
          <t>A 12089-2025</t>
        </is>
      </c>
      <c r="B329" s="1" t="n">
        <v>45729</v>
      </c>
      <c r="C329" s="1" t="n">
        <v>45970</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29859-2024</t>
        </is>
      </c>
      <c r="B330" s="1" t="n">
        <v>45485.6846412037</v>
      </c>
      <c r="C330" s="1" t="n">
        <v>45970</v>
      </c>
      <c r="D330" t="inlineStr">
        <is>
          <t>ÖSTERGÖTLANDS LÄN</t>
        </is>
      </c>
      <c r="E330" t="inlineStr">
        <is>
          <t>LINKÖPING</t>
        </is>
      </c>
      <c r="G330" t="n">
        <v>0.4</v>
      </c>
      <c r="H330" t="n">
        <v>0</v>
      </c>
      <c r="I330" t="n">
        <v>0</v>
      </c>
      <c r="J330" t="n">
        <v>0</v>
      </c>
      <c r="K330" t="n">
        <v>0</v>
      </c>
      <c r="L330" t="n">
        <v>0</v>
      </c>
      <c r="M330" t="n">
        <v>0</v>
      </c>
      <c r="N330" t="n">
        <v>0</v>
      </c>
      <c r="O330" t="n">
        <v>0</v>
      </c>
      <c r="P330" t="n">
        <v>0</v>
      </c>
      <c r="Q330" t="n">
        <v>0</v>
      </c>
      <c r="R330" s="2" t="inlineStr"/>
    </row>
    <row r="331" ht="15" customHeight="1">
      <c r="A331" t="inlineStr">
        <is>
          <t>A 51571-2024</t>
        </is>
      </c>
      <c r="B331" s="1" t="n">
        <v>45604</v>
      </c>
      <c r="C331" s="1" t="n">
        <v>45970</v>
      </c>
      <c r="D331" t="inlineStr">
        <is>
          <t>ÖSTERGÖTLANDS LÄN</t>
        </is>
      </c>
      <c r="E331" t="inlineStr">
        <is>
          <t>LINKÖPING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223-2024</t>
        </is>
      </c>
      <c r="B332" s="1" t="n">
        <v>45294.72739583333</v>
      </c>
      <c r="C332" s="1" t="n">
        <v>45970</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227-2024</t>
        </is>
      </c>
      <c r="B333" s="1" t="n">
        <v>45294.73603009259</v>
      </c>
      <c r="C333" s="1" t="n">
        <v>45970</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45821-2024</t>
        </is>
      </c>
      <c r="B334" s="1" t="n">
        <v>45579.75803240741</v>
      </c>
      <c r="C334" s="1" t="n">
        <v>45970</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61936-2023</t>
        </is>
      </c>
      <c r="B335" s="1" t="n">
        <v>45266.54534722222</v>
      </c>
      <c r="C335" s="1" t="n">
        <v>45970</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1263-2024</t>
        </is>
      </c>
      <c r="B336" s="1" t="n">
        <v>45302</v>
      </c>
      <c r="C336" s="1" t="n">
        <v>45970</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24464-2023</t>
        </is>
      </c>
      <c r="B337" s="1" t="n">
        <v>45082.58068287037</v>
      </c>
      <c r="C337" s="1" t="n">
        <v>45970</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46847-2025</t>
        </is>
      </c>
      <c r="B338" s="1" t="n">
        <v>45928.69971064815</v>
      </c>
      <c r="C338" s="1" t="n">
        <v>45970</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59954-2020</t>
        </is>
      </c>
      <c r="B339" s="1" t="n">
        <v>44151</v>
      </c>
      <c r="C339" s="1" t="n">
        <v>45970</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59969-2020</t>
        </is>
      </c>
      <c r="B340" s="1" t="n">
        <v>44151</v>
      </c>
      <c r="C340" s="1" t="n">
        <v>45970</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45970</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45970</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61281-2021</t>
        </is>
      </c>
      <c r="B343" s="1" t="n">
        <v>44498.60736111111</v>
      </c>
      <c r="C343" s="1" t="n">
        <v>45970</v>
      </c>
      <c r="D343" t="inlineStr">
        <is>
          <t>ÖSTERGÖTLANDS LÄN</t>
        </is>
      </c>
      <c r="E343" t="inlineStr">
        <is>
          <t>LINKÖPING</t>
        </is>
      </c>
      <c r="G343" t="n">
        <v>4.5</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45970</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45970</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6369-2023</t>
        </is>
      </c>
      <c r="B346" s="1" t="n">
        <v>44965.61106481482</v>
      </c>
      <c r="C346" s="1" t="n">
        <v>45970</v>
      </c>
      <c r="D346" t="inlineStr">
        <is>
          <t>ÖSTERGÖTLANDS LÄN</t>
        </is>
      </c>
      <c r="E346" t="inlineStr">
        <is>
          <t>LINKÖPING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45970</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62321-2022</t>
        </is>
      </c>
      <c r="B348" s="1" t="n">
        <v>44916</v>
      </c>
      <c r="C348" s="1" t="n">
        <v>45970</v>
      </c>
      <c r="D348" t="inlineStr">
        <is>
          <t>ÖSTERGÖTLANDS LÄN</t>
        </is>
      </c>
      <c r="E348" t="inlineStr">
        <is>
          <t>LINKÖPING</t>
        </is>
      </c>
      <c r="F348" t="inlineStr">
        <is>
          <t>Kommuner</t>
        </is>
      </c>
      <c r="G348" t="n">
        <v>5.3</v>
      </c>
      <c r="H348" t="n">
        <v>0</v>
      </c>
      <c r="I348" t="n">
        <v>0</v>
      </c>
      <c r="J348" t="n">
        <v>0</v>
      </c>
      <c r="K348" t="n">
        <v>0</v>
      </c>
      <c r="L348" t="n">
        <v>0</v>
      </c>
      <c r="M348" t="n">
        <v>0</v>
      </c>
      <c r="N348" t="n">
        <v>0</v>
      </c>
      <c r="O348" t="n">
        <v>0</v>
      </c>
      <c r="P348" t="n">
        <v>0</v>
      </c>
      <c r="Q348" t="n">
        <v>0</v>
      </c>
      <c r="R348" s="2" t="inlineStr"/>
    </row>
    <row r="349" ht="15" customHeight="1">
      <c r="A349" t="inlineStr">
        <is>
          <t>A 55493-2021</t>
        </is>
      </c>
      <c r="B349" s="1" t="n">
        <v>44475.61988425926</v>
      </c>
      <c r="C349" s="1" t="n">
        <v>45970</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43475-2024</t>
        </is>
      </c>
      <c r="B350" s="1" t="n">
        <v>45568</v>
      </c>
      <c r="C350" s="1" t="n">
        <v>45970</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45970</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10094-2024</t>
        </is>
      </c>
      <c r="B352" s="1" t="n">
        <v>45364</v>
      </c>
      <c r="C352" s="1" t="n">
        <v>45970</v>
      </c>
      <c r="D352" t="inlineStr">
        <is>
          <t>ÖSTERGÖTLANDS LÄN</t>
        </is>
      </c>
      <c r="E352" t="inlineStr">
        <is>
          <t>LINKÖPING</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25119-2023</t>
        </is>
      </c>
      <c r="B353" s="1" t="n">
        <v>45086.42326388889</v>
      </c>
      <c r="C353" s="1" t="n">
        <v>45970</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17103-2025</t>
        </is>
      </c>
      <c r="B354" s="1" t="n">
        <v>45755.66143518518</v>
      </c>
      <c r="C354" s="1" t="n">
        <v>45970</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30551-2023</t>
        </is>
      </c>
      <c r="B355" s="1" t="n">
        <v>45111</v>
      </c>
      <c r="C355" s="1" t="n">
        <v>45970</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50784-2022</t>
        </is>
      </c>
      <c r="B356" s="1" t="n">
        <v>44862</v>
      </c>
      <c r="C356" s="1" t="n">
        <v>45970</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4456-2024</t>
        </is>
      </c>
      <c r="B357" s="1" t="n">
        <v>45327.52847222222</v>
      </c>
      <c r="C357" s="1" t="n">
        <v>45970</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1207-2023</t>
        </is>
      </c>
      <c r="B358" s="1" t="n">
        <v>44930</v>
      </c>
      <c r="C358" s="1" t="n">
        <v>45970</v>
      </c>
      <c r="D358" t="inlineStr">
        <is>
          <t>ÖSTERGÖTLANDS LÄN</t>
        </is>
      </c>
      <c r="E358" t="inlineStr">
        <is>
          <t>LINKÖPING</t>
        </is>
      </c>
      <c r="F358" t="inlineStr">
        <is>
          <t>Övriga statliga verk och myndigheter</t>
        </is>
      </c>
      <c r="G358" t="n">
        <v>32.8</v>
      </c>
      <c r="H358" t="n">
        <v>0</v>
      </c>
      <c r="I358" t="n">
        <v>0</v>
      </c>
      <c r="J358" t="n">
        <v>0</v>
      </c>
      <c r="K358" t="n">
        <v>0</v>
      </c>
      <c r="L358" t="n">
        <v>0</v>
      </c>
      <c r="M358" t="n">
        <v>0</v>
      </c>
      <c r="N358" t="n">
        <v>0</v>
      </c>
      <c r="O358" t="n">
        <v>0</v>
      </c>
      <c r="P358" t="n">
        <v>0</v>
      </c>
      <c r="Q358" t="n">
        <v>0</v>
      </c>
      <c r="R358" s="2" t="inlineStr"/>
    </row>
    <row r="359" ht="15" customHeight="1">
      <c r="A359" t="inlineStr">
        <is>
          <t>A 62015-2024</t>
        </is>
      </c>
      <c r="B359" s="1" t="n">
        <v>45655.80457175926</v>
      </c>
      <c r="C359" s="1" t="n">
        <v>45970</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62020-2024</t>
        </is>
      </c>
      <c r="B360" s="1" t="n">
        <v>45655.83563657408</v>
      </c>
      <c r="C360" s="1" t="n">
        <v>45970</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62021-2024</t>
        </is>
      </c>
      <c r="B361" s="1" t="n">
        <v>45655.84232638889</v>
      </c>
      <c r="C361" s="1" t="n">
        <v>45970</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22043-2023</t>
        </is>
      </c>
      <c r="B362" s="1" t="n">
        <v>45069.39050925926</v>
      </c>
      <c r="C362" s="1" t="n">
        <v>45970</v>
      </c>
      <c r="D362" t="inlineStr">
        <is>
          <t>ÖSTERGÖTLANDS LÄN</t>
        </is>
      </c>
      <c r="E362" t="inlineStr">
        <is>
          <t>LINKÖPING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45970</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47304-2025</t>
        </is>
      </c>
      <c r="B364" s="1" t="n">
        <v>45930.52037037037</v>
      </c>
      <c r="C364" s="1" t="n">
        <v>45970</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27891-2021</t>
        </is>
      </c>
      <c r="B365" s="1" t="n">
        <v>44354.65108796296</v>
      </c>
      <c r="C365" s="1" t="n">
        <v>45970</v>
      </c>
      <c r="D365" t="inlineStr">
        <is>
          <t>ÖSTERGÖTLANDS LÄN</t>
        </is>
      </c>
      <c r="E365" t="inlineStr">
        <is>
          <t>LINKÖPING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49656-2021</t>
        </is>
      </c>
      <c r="B366" s="1" t="n">
        <v>44454</v>
      </c>
      <c r="C366" s="1" t="n">
        <v>45970</v>
      </c>
      <c r="D366" t="inlineStr">
        <is>
          <t>ÖSTERGÖTLANDS LÄN</t>
        </is>
      </c>
      <c r="E366" t="inlineStr">
        <is>
          <t>LINKÖPING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57391-2023</t>
        </is>
      </c>
      <c r="B367" s="1" t="n">
        <v>45245</v>
      </c>
      <c r="C367" s="1" t="n">
        <v>45970</v>
      </c>
      <c r="D367" t="inlineStr">
        <is>
          <t>ÖSTERGÖTLANDS LÄN</t>
        </is>
      </c>
      <c r="E367" t="inlineStr">
        <is>
          <t>LINKÖPING</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45970</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27264-2025</t>
        </is>
      </c>
      <c r="B369" s="1" t="n">
        <v>45812.4794212963</v>
      </c>
      <c r="C369" s="1" t="n">
        <v>45970</v>
      </c>
      <c r="D369" t="inlineStr">
        <is>
          <t>ÖSTERGÖTLANDS LÄN</t>
        </is>
      </c>
      <c r="E369" t="inlineStr">
        <is>
          <t>LINKÖPING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20294-2025</t>
        </is>
      </c>
      <c r="B370" s="1" t="n">
        <v>45774.74667824074</v>
      </c>
      <c r="C370" s="1" t="n">
        <v>45970</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60013-2022</t>
        </is>
      </c>
      <c r="B371" s="1" t="n">
        <v>44909.47482638889</v>
      </c>
      <c r="C371" s="1" t="n">
        <v>45970</v>
      </c>
      <c r="D371" t="inlineStr">
        <is>
          <t>ÖSTERGÖTLANDS LÄN</t>
        </is>
      </c>
      <c r="E371" t="inlineStr">
        <is>
          <t>LINKÖPING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45970</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3007-2025</t>
        </is>
      </c>
      <c r="B373" s="1" t="n">
        <v>45678.56328703704</v>
      </c>
      <c r="C373" s="1" t="n">
        <v>45970</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3008-2023</t>
        </is>
      </c>
      <c r="B374" s="1" t="n">
        <v>44945.79784722222</v>
      </c>
      <c r="C374" s="1" t="n">
        <v>45970</v>
      </c>
      <c r="D374" t="inlineStr">
        <is>
          <t>ÖSTERGÖTLANDS LÄN</t>
        </is>
      </c>
      <c r="E374" t="inlineStr">
        <is>
          <t>LINKÖPING</t>
        </is>
      </c>
      <c r="G374" t="n">
        <v>19.3</v>
      </c>
      <c r="H374" t="n">
        <v>0</v>
      </c>
      <c r="I374" t="n">
        <v>0</v>
      </c>
      <c r="J374" t="n">
        <v>0</v>
      </c>
      <c r="K374" t="n">
        <v>0</v>
      </c>
      <c r="L374" t="n">
        <v>0</v>
      </c>
      <c r="M374" t="n">
        <v>0</v>
      </c>
      <c r="N374" t="n">
        <v>0</v>
      </c>
      <c r="O374" t="n">
        <v>0</v>
      </c>
      <c r="P374" t="n">
        <v>0</v>
      </c>
      <c r="Q374" t="n">
        <v>0</v>
      </c>
      <c r="R374" s="2" t="inlineStr"/>
    </row>
    <row r="375" ht="15" customHeight="1">
      <c r="A375" t="inlineStr">
        <is>
          <t>A 34877-2023</t>
        </is>
      </c>
      <c r="B375" s="1" t="n">
        <v>45140</v>
      </c>
      <c r="C375" s="1" t="n">
        <v>45970</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30521-2024</t>
        </is>
      </c>
      <c r="B376" s="1" t="n">
        <v>45492</v>
      </c>
      <c r="C376" s="1" t="n">
        <v>45970</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1924-2024</t>
        </is>
      </c>
      <c r="B377" s="1" t="n">
        <v>45308</v>
      </c>
      <c r="C377" s="1" t="n">
        <v>45970</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40618-2021</t>
        </is>
      </c>
      <c r="B378" s="1" t="n">
        <v>44420.49575231481</v>
      </c>
      <c r="C378" s="1" t="n">
        <v>45970</v>
      </c>
      <c r="D378" t="inlineStr">
        <is>
          <t>ÖSTERGÖTLANDS LÄN</t>
        </is>
      </c>
      <c r="E378" t="inlineStr">
        <is>
          <t>LINKÖPING</t>
        </is>
      </c>
      <c r="G378" t="n">
        <v>2.3</v>
      </c>
      <c r="H378" t="n">
        <v>0</v>
      </c>
      <c r="I378" t="n">
        <v>0</v>
      </c>
      <c r="J378" t="n">
        <v>0</v>
      </c>
      <c r="K378" t="n">
        <v>0</v>
      </c>
      <c r="L378" t="n">
        <v>0</v>
      </c>
      <c r="M378" t="n">
        <v>0</v>
      </c>
      <c r="N378" t="n">
        <v>0</v>
      </c>
      <c r="O378" t="n">
        <v>0</v>
      </c>
      <c r="P378" t="n">
        <v>0</v>
      </c>
      <c r="Q378" t="n">
        <v>0</v>
      </c>
      <c r="R378" s="2" t="inlineStr"/>
    </row>
    <row r="379" ht="15" customHeight="1">
      <c r="A379" t="inlineStr">
        <is>
          <t>A 55736-2022</t>
        </is>
      </c>
      <c r="B379" s="1" t="n">
        <v>44888</v>
      </c>
      <c r="C379" s="1" t="n">
        <v>45970</v>
      </c>
      <c r="D379" t="inlineStr">
        <is>
          <t>ÖSTERGÖTLANDS LÄN</t>
        </is>
      </c>
      <c r="E379" t="inlineStr">
        <is>
          <t>LINKÖPING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62374-2020</t>
        </is>
      </c>
      <c r="B380" s="1" t="n">
        <v>44159</v>
      </c>
      <c r="C380" s="1" t="n">
        <v>45970</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45970</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350-2022</t>
        </is>
      </c>
      <c r="B382" s="1" t="n">
        <v>44565</v>
      </c>
      <c r="C382" s="1" t="n">
        <v>45970</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4256-2022</t>
        </is>
      </c>
      <c r="B383" s="1" t="n">
        <v>44588</v>
      </c>
      <c r="C383" s="1" t="n">
        <v>45970</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34558-2022</t>
        </is>
      </c>
      <c r="B384" s="1" t="n">
        <v>44794.57594907407</v>
      </c>
      <c r="C384" s="1" t="n">
        <v>45970</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39438-2025</t>
        </is>
      </c>
      <c r="B385" s="1" t="n">
        <v>45889.68641203704</v>
      </c>
      <c r="C385" s="1" t="n">
        <v>45970</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25948-2023</t>
        </is>
      </c>
      <c r="B386" s="1" t="n">
        <v>45090</v>
      </c>
      <c r="C386" s="1" t="n">
        <v>45970</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168-2024</t>
        </is>
      </c>
      <c r="B387" s="1" t="n">
        <v>45294</v>
      </c>
      <c r="C387" s="1" t="n">
        <v>45970</v>
      </c>
      <c r="D387" t="inlineStr">
        <is>
          <t>ÖSTERGÖTLANDS LÄN</t>
        </is>
      </c>
      <c r="E387" t="inlineStr">
        <is>
          <t>LINKÖPING</t>
        </is>
      </c>
      <c r="F387" t="inlineStr">
        <is>
          <t>Allmännings- och besparingsskogar</t>
        </is>
      </c>
      <c r="G387" t="n">
        <v>8.9</v>
      </c>
      <c r="H387" t="n">
        <v>0</v>
      </c>
      <c r="I387" t="n">
        <v>0</v>
      </c>
      <c r="J387" t="n">
        <v>0</v>
      </c>
      <c r="K387" t="n">
        <v>0</v>
      </c>
      <c r="L387" t="n">
        <v>0</v>
      </c>
      <c r="M387" t="n">
        <v>0</v>
      </c>
      <c r="N387" t="n">
        <v>0</v>
      </c>
      <c r="O387" t="n">
        <v>0</v>
      </c>
      <c r="P387" t="n">
        <v>0</v>
      </c>
      <c r="Q387" t="n">
        <v>0</v>
      </c>
      <c r="R387" s="2" t="inlineStr"/>
    </row>
    <row r="388" ht="15" customHeight="1">
      <c r="A388" t="inlineStr">
        <is>
          <t>A 30434-2024</t>
        </is>
      </c>
      <c r="B388" s="1" t="n">
        <v>45491.69811342593</v>
      </c>
      <c r="C388" s="1" t="n">
        <v>45970</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15658-2023</t>
        </is>
      </c>
      <c r="B389" s="1" t="n">
        <v>45021.41194444444</v>
      </c>
      <c r="C389" s="1" t="n">
        <v>45970</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33867-2023</t>
        </is>
      </c>
      <c r="B390" s="1" t="n">
        <v>45133.94640046296</v>
      </c>
      <c r="C390" s="1" t="n">
        <v>45970</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30433-2024</t>
        </is>
      </c>
      <c r="B391" s="1" t="n">
        <v>45491.69741898148</v>
      </c>
      <c r="C391" s="1" t="n">
        <v>45970</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11084-2022</t>
        </is>
      </c>
      <c r="B392" s="1" t="n">
        <v>44628</v>
      </c>
      <c r="C392" s="1" t="n">
        <v>45970</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57745-2022</t>
        </is>
      </c>
      <c r="B393" s="1" t="n">
        <v>44897.58119212963</v>
      </c>
      <c r="C393" s="1" t="n">
        <v>45970</v>
      </c>
      <c r="D393" t="inlineStr">
        <is>
          <t>ÖSTERGÖTLANDS LÄN</t>
        </is>
      </c>
      <c r="E393" t="inlineStr">
        <is>
          <t>LINKÖPING</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52220-2023</t>
        </is>
      </c>
      <c r="B394" s="1" t="n">
        <v>45217</v>
      </c>
      <c r="C394" s="1" t="n">
        <v>45970</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52225-2023</t>
        </is>
      </c>
      <c r="B395" s="1" t="n">
        <v>45217</v>
      </c>
      <c r="C395" s="1" t="n">
        <v>45970</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19464-2024</t>
        </is>
      </c>
      <c r="B396" s="1" t="n">
        <v>45429</v>
      </c>
      <c r="C396" s="1" t="n">
        <v>45970</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24462-2023</t>
        </is>
      </c>
      <c r="B397" s="1" t="n">
        <v>45082</v>
      </c>
      <c r="C397" s="1" t="n">
        <v>45970</v>
      </c>
      <c r="D397" t="inlineStr">
        <is>
          <t>ÖSTERGÖTLANDS LÄN</t>
        </is>
      </c>
      <c r="E397" t="inlineStr">
        <is>
          <t>LINKÖPING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42044-2023</t>
        </is>
      </c>
      <c r="B398" s="1" t="n">
        <v>45177</v>
      </c>
      <c r="C398" s="1" t="n">
        <v>45970</v>
      </c>
      <c r="D398" t="inlineStr">
        <is>
          <t>ÖSTERGÖTLANDS LÄN</t>
        </is>
      </c>
      <c r="E398" t="inlineStr">
        <is>
          <t>LINKÖPING</t>
        </is>
      </c>
      <c r="G398" t="n">
        <v>3.9</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45970</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45970</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48829-2023</t>
        </is>
      </c>
      <c r="B401" s="1" t="n">
        <v>45209.38177083333</v>
      </c>
      <c r="C401" s="1" t="n">
        <v>45970</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630-2024</t>
        </is>
      </c>
      <c r="B402" s="1" t="n">
        <v>45299.67736111111</v>
      </c>
      <c r="C402" s="1" t="n">
        <v>45970</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38231-2022</t>
        </is>
      </c>
      <c r="B403" s="1" t="n">
        <v>44812</v>
      </c>
      <c r="C403" s="1" t="n">
        <v>45970</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45970</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50799-2022</t>
        </is>
      </c>
      <c r="B405" s="1" t="n">
        <v>44862</v>
      </c>
      <c r="C405" s="1" t="n">
        <v>45970</v>
      </c>
      <c r="D405" t="inlineStr">
        <is>
          <t>ÖSTERGÖTLANDS LÄN</t>
        </is>
      </c>
      <c r="E405" t="inlineStr">
        <is>
          <t>LINKÖPING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45970</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40431-2024</t>
        </is>
      </c>
      <c r="B407" s="1" t="n">
        <v>45555.47070601852</v>
      </c>
      <c r="C407" s="1" t="n">
        <v>45970</v>
      </c>
      <c r="D407" t="inlineStr">
        <is>
          <t>ÖSTERGÖTLANDS LÄN</t>
        </is>
      </c>
      <c r="E407" t="inlineStr">
        <is>
          <t>LINKÖPING</t>
        </is>
      </c>
      <c r="F407" t="inlineStr">
        <is>
          <t>Allmännings- och besparingsskogar</t>
        </is>
      </c>
      <c r="G407" t="n">
        <v>2.9</v>
      </c>
      <c r="H407" t="n">
        <v>0</v>
      </c>
      <c r="I407" t="n">
        <v>0</v>
      </c>
      <c r="J407" t="n">
        <v>0</v>
      </c>
      <c r="K407" t="n">
        <v>0</v>
      </c>
      <c r="L407" t="n">
        <v>0</v>
      </c>
      <c r="M407" t="n">
        <v>0</v>
      </c>
      <c r="N407" t="n">
        <v>0</v>
      </c>
      <c r="O407" t="n">
        <v>0</v>
      </c>
      <c r="P407" t="n">
        <v>0</v>
      </c>
      <c r="Q407" t="n">
        <v>0</v>
      </c>
      <c r="R407" s="2" t="inlineStr"/>
    </row>
    <row r="408" ht="15" customHeight="1">
      <c r="A408" t="inlineStr">
        <is>
          <t>A 21782-2024</t>
        </is>
      </c>
      <c r="B408" s="1" t="n">
        <v>45442.63368055555</v>
      </c>
      <c r="C408" s="1" t="n">
        <v>45970</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267-2023</t>
        </is>
      </c>
      <c r="B409" s="1" t="n">
        <v>44928.80907407407</v>
      </c>
      <c r="C409" s="1" t="n">
        <v>45970</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26618-2023</t>
        </is>
      </c>
      <c r="B410" s="1" t="n">
        <v>45092.70306712963</v>
      </c>
      <c r="C410" s="1" t="n">
        <v>45970</v>
      </c>
      <c r="D410" t="inlineStr">
        <is>
          <t>ÖSTERGÖTLANDS LÄN</t>
        </is>
      </c>
      <c r="E410" t="inlineStr">
        <is>
          <t>LINKÖPING</t>
        </is>
      </c>
      <c r="G410" t="n">
        <v>6.9</v>
      </c>
      <c r="H410" t="n">
        <v>0</v>
      </c>
      <c r="I410" t="n">
        <v>0</v>
      </c>
      <c r="J410" t="n">
        <v>0</v>
      </c>
      <c r="K410" t="n">
        <v>0</v>
      </c>
      <c r="L410" t="n">
        <v>0</v>
      </c>
      <c r="M410" t="n">
        <v>0</v>
      </c>
      <c r="N410" t="n">
        <v>0</v>
      </c>
      <c r="O410" t="n">
        <v>0</v>
      </c>
      <c r="P410" t="n">
        <v>0</v>
      </c>
      <c r="Q410" t="n">
        <v>0</v>
      </c>
      <c r="R410" s="2" t="inlineStr"/>
    </row>
    <row r="411" ht="15" customHeight="1">
      <c r="A411" t="inlineStr">
        <is>
          <t>A 63665-2023</t>
        </is>
      </c>
      <c r="B411" s="1" t="n">
        <v>45275</v>
      </c>
      <c r="C411" s="1" t="n">
        <v>45970</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44155-2024</t>
        </is>
      </c>
      <c r="B412" s="1" t="n">
        <v>45572.68226851852</v>
      </c>
      <c r="C412" s="1" t="n">
        <v>45970</v>
      </c>
      <c r="D412" t="inlineStr">
        <is>
          <t>ÖSTERGÖTLANDS LÄN</t>
        </is>
      </c>
      <c r="E412" t="inlineStr">
        <is>
          <t>LINKÖPING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45970</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47606-2025</t>
        </is>
      </c>
      <c r="B414" s="1" t="n">
        <v>45931.46402777778</v>
      </c>
      <c r="C414" s="1" t="n">
        <v>45970</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42997-2021</t>
        </is>
      </c>
      <c r="B415" s="1" t="n">
        <v>44431.45556712963</v>
      </c>
      <c r="C415" s="1" t="n">
        <v>45970</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57766-2023</t>
        </is>
      </c>
      <c r="B416" s="1" t="n">
        <v>45246</v>
      </c>
      <c r="C416" s="1" t="n">
        <v>45970</v>
      </c>
      <c r="D416" t="inlineStr">
        <is>
          <t>ÖSTERGÖTLANDS LÄN</t>
        </is>
      </c>
      <c r="E416" t="inlineStr">
        <is>
          <t>LINKÖPING</t>
        </is>
      </c>
      <c r="F416" t="inlineStr">
        <is>
          <t>Allmännings- och besparingsskogar</t>
        </is>
      </c>
      <c r="G416" t="n">
        <v>12.8</v>
      </c>
      <c r="H416" t="n">
        <v>0</v>
      </c>
      <c r="I416" t="n">
        <v>0</v>
      </c>
      <c r="J416" t="n">
        <v>0</v>
      </c>
      <c r="K416" t="n">
        <v>0</v>
      </c>
      <c r="L416" t="n">
        <v>0</v>
      </c>
      <c r="M416" t="n">
        <v>0</v>
      </c>
      <c r="N416" t="n">
        <v>0</v>
      </c>
      <c r="O416" t="n">
        <v>0</v>
      </c>
      <c r="P416" t="n">
        <v>0</v>
      </c>
      <c r="Q416" t="n">
        <v>0</v>
      </c>
      <c r="R416" s="2" t="inlineStr"/>
    </row>
    <row r="417" ht="15" customHeight="1">
      <c r="A417" t="inlineStr">
        <is>
          <t>A 30429-2024</t>
        </is>
      </c>
      <c r="B417" s="1" t="n">
        <v>45491.68972222223</v>
      </c>
      <c r="C417" s="1" t="n">
        <v>45970</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27186-2021</t>
        </is>
      </c>
      <c r="B418" s="1" t="n">
        <v>44350.67715277777</v>
      </c>
      <c r="C418" s="1" t="n">
        <v>45970</v>
      </c>
      <c r="D418" t="inlineStr">
        <is>
          <t>ÖSTERGÖTLANDS LÄN</t>
        </is>
      </c>
      <c r="E418" t="inlineStr">
        <is>
          <t>LINKÖPING</t>
        </is>
      </c>
      <c r="F418" t="inlineStr">
        <is>
          <t>Allmännings- och besparingsskogar</t>
        </is>
      </c>
      <c r="G418" t="n">
        <v>1.4</v>
      </c>
      <c r="H418" t="n">
        <v>0</v>
      </c>
      <c r="I418" t="n">
        <v>0</v>
      </c>
      <c r="J418" t="n">
        <v>0</v>
      </c>
      <c r="K418" t="n">
        <v>0</v>
      </c>
      <c r="L418" t="n">
        <v>0</v>
      </c>
      <c r="M418" t="n">
        <v>0</v>
      </c>
      <c r="N418" t="n">
        <v>0</v>
      </c>
      <c r="O418" t="n">
        <v>0</v>
      </c>
      <c r="P418" t="n">
        <v>0</v>
      </c>
      <c r="Q418" t="n">
        <v>0</v>
      </c>
      <c r="R418" s="2" t="inlineStr"/>
    </row>
    <row r="419" ht="15" customHeight="1">
      <c r="A419" t="inlineStr">
        <is>
          <t>A 30435-2024</t>
        </is>
      </c>
      <c r="B419" s="1" t="n">
        <v>45491.69962962963</v>
      </c>
      <c r="C419" s="1" t="n">
        <v>45970</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10194-2023</t>
        </is>
      </c>
      <c r="B420" s="1" t="n">
        <v>44986.52277777778</v>
      </c>
      <c r="C420" s="1" t="n">
        <v>45970</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55944-2024</t>
        </is>
      </c>
      <c r="B421" s="1" t="n">
        <v>45623.61640046296</v>
      </c>
      <c r="C421" s="1" t="n">
        <v>45970</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55947-2024</t>
        </is>
      </c>
      <c r="B422" s="1" t="n">
        <v>45623</v>
      </c>
      <c r="C422" s="1" t="n">
        <v>45970</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47703-2023</t>
        </is>
      </c>
      <c r="B423" s="1" t="n">
        <v>45203</v>
      </c>
      <c r="C423" s="1" t="n">
        <v>45970</v>
      </c>
      <c r="D423" t="inlineStr">
        <is>
          <t>ÖSTERGÖTLANDS LÄN</t>
        </is>
      </c>
      <c r="E423" t="inlineStr">
        <is>
          <t>LINKÖPING</t>
        </is>
      </c>
      <c r="G423" t="n">
        <v>4.1</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45970</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45970</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51559-2024</t>
        </is>
      </c>
      <c r="B426" s="1" t="n">
        <v>45604.61431712963</v>
      </c>
      <c r="C426" s="1" t="n">
        <v>45970</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6599-2023</t>
        </is>
      </c>
      <c r="B427" s="1" t="n">
        <v>44966.52603009259</v>
      </c>
      <c r="C427" s="1" t="n">
        <v>45970</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43473-2024</t>
        </is>
      </c>
      <c r="B428" s="1" t="n">
        <v>45568</v>
      </c>
      <c r="C428" s="1" t="n">
        <v>45970</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62353-2022</t>
        </is>
      </c>
      <c r="B429" s="1" t="n">
        <v>44923</v>
      </c>
      <c r="C429" s="1" t="n">
        <v>45970</v>
      </c>
      <c r="D429" t="inlineStr">
        <is>
          <t>ÖSTERGÖTLANDS LÄN</t>
        </is>
      </c>
      <c r="E429" t="inlineStr">
        <is>
          <t>LINKÖPING</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15754-2025</t>
        </is>
      </c>
      <c r="B430" s="1" t="n">
        <v>45748.56105324074</v>
      </c>
      <c r="C430" s="1" t="n">
        <v>45970</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4298-2023</t>
        </is>
      </c>
      <c r="B431" s="1" t="n">
        <v>44953</v>
      </c>
      <c r="C431" s="1" t="n">
        <v>45970</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45970</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45970</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25568-2024</t>
        </is>
      </c>
      <c r="B434" s="1" t="n">
        <v>45463.58699074074</v>
      </c>
      <c r="C434" s="1" t="n">
        <v>45970</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40169-2025</t>
        </is>
      </c>
      <c r="B435" s="1" t="n">
        <v>45894.62824074074</v>
      </c>
      <c r="C435" s="1" t="n">
        <v>45970</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38136-2023</t>
        </is>
      </c>
      <c r="B436" s="1" t="n">
        <v>45161.37310185185</v>
      </c>
      <c r="C436" s="1" t="n">
        <v>45970</v>
      </c>
      <c r="D436" t="inlineStr">
        <is>
          <t>ÖSTERGÖTLANDS LÄN</t>
        </is>
      </c>
      <c r="E436" t="inlineStr">
        <is>
          <t>LINKÖPING</t>
        </is>
      </c>
      <c r="G436" t="n">
        <v>5.6</v>
      </c>
      <c r="H436" t="n">
        <v>0</v>
      </c>
      <c r="I436" t="n">
        <v>0</v>
      </c>
      <c r="J436" t="n">
        <v>0</v>
      </c>
      <c r="K436" t="n">
        <v>0</v>
      </c>
      <c r="L436" t="n">
        <v>0</v>
      </c>
      <c r="M436" t="n">
        <v>0</v>
      </c>
      <c r="N436" t="n">
        <v>0</v>
      </c>
      <c r="O436" t="n">
        <v>0</v>
      </c>
      <c r="P436" t="n">
        <v>0</v>
      </c>
      <c r="Q436" t="n">
        <v>0</v>
      </c>
      <c r="R436" s="2" t="inlineStr"/>
    </row>
    <row r="437" ht="15" customHeight="1">
      <c r="A437" t="inlineStr">
        <is>
          <t>A 12317-2025</t>
        </is>
      </c>
      <c r="B437" s="1" t="n">
        <v>45729.8487037037</v>
      </c>
      <c r="C437" s="1" t="n">
        <v>45970</v>
      </c>
      <c r="D437" t="inlineStr">
        <is>
          <t>ÖSTERGÖTLANDS LÄN</t>
        </is>
      </c>
      <c r="E437" t="inlineStr">
        <is>
          <t>LINKÖPING</t>
        </is>
      </c>
      <c r="G437" t="n">
        <v>8</v>
      </c>
      <c r="H437" t="n">
        <v>0</v>
      </c>
      <c r="I437" t="n">
        <v>0</v>
      </c>
      <c r="J437" t="n">
        <v>0</v>
      </c>
      <c r="K437" t="n">
        <v>0</v>
      </c>
      <c r="L437" t="n">
        <v>0</v>
      </c>
      <c r="M437" t="n">
        <v>0</v>
      </c>
      <c r="N437" t="n">
        <v>0</v>
      </c>
      <c r="O437" t="n">
        <v>0</v>
      </c>
      <c r="P437" t="n">
        <v>0</v>
      </c>
      <c r="Q437" t="n">
        <v>0</v>
      </c>
      <c r="R437" s="2" t="inlineStr"/>
    </row>
    <row r="438" ht="15" customHeight="1">
      <c r="A438" t="inlineStr">
        <is>
          <t>A 14528-2025</t>
        </is>
      </c>
      <c r="B438" s="1" t="n">
        <v>45741</v>
      </c>
      <c r="C438" s="1" t="n">
        <v>45970</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45970</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61649-2023</t>
        </is>
      </c>
      <c r="B440" s="1" t="n">
        <v>45265</v>
      </c>
      <c r="C440" s="1" t="n">
        <v>45970</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3374-2023</t>
        </is>
      </c>
      <c r="B441" s="1" t="n">
        <v>44949</v>
      </c>
      <c r="C441" s="1" t="n">
        <v>45970</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224-2024</t>
        </is>
      </c>
      <c r="B442" s="1" t="n">
        <v>45294</v>
      </c>
      <c r="C442" s="1" t="n">
        <v>45970</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6726-2024</t>
        </is>
      </c>
      <c r="B443" s="1" t="n">
        <v>45341</v>
      </c>
      <c r="C443" s="1" t="n">
        <v>45970</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60985-2023</t>
        </is>
      </c>
      <c r="B444" s="1" t="n">
        <v>45261.48429398148</v>
      </c>
      <c r="C444" s="1" t="n">
        <v>45970</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48343-2025</t>
        </is>
      </c>
      <c r="B445" s="1" t="n">
        <v>45932</v>
      </c>
      <c r="C445" s="1" t="n">
        <v>45970</v>
      </c>
      <c r="D445" t="inlineStr">
        <is>
          <t>ÖSTERGÖTLANDS LÄN</t>
        </is>
      </c>
      <c r="E445" t="inlineStr">
        <is>
          <t>LINKÖPING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45970</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45970</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51405-2023</t>
        </is>
      </c>
      <c r="B448" s="1" t="n">
        <v>45219</v>
      </c>
      <c r="C448" s="1" t="n">
        <v>45970</v>
      </c>
      <c r="D448" t="inlineStr">
        <is>
          <t>ÖSTERGÖTLANDS LÄN</t>
        </is>
      </c>
      <c r="E448" t="inlineStr">
        <is>
          <t>LINKÖPING</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2697-2023</t>
        </is>
      </c>
      <c r="B449" s="1" t="n">
        <v>44944</v>
      </c>
      <c r="C449" s="1" t="n">
        <v>45970</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53639-2023</t>
        </is>
      </c>
      <c r="B450" s="1" t="n">
        <v>45230.59686342593</v>
      </c>
      <c r="C450" s="1" t="n">
        <v>45970</v>
      </c>
      <c r="D450" t="inlineStr">
        <is>
          <t>ÖSTERGÖTLANDS LÄN</t>
        </is>
      </c>
      <c r="E450" t="inlineStr">
        <is>
          <t>LINKÖPING</t>
        </is>
      </c>
      <c r="G450" t="n">
        <v>2.3</v>
      </c>
      <c r="H450" t="n">
        <v>0</v>
      </c>
      <c r="I450" t="n">
        <v>0</v>
      </c>
      <c r="J450" t="n">
        <v>0</v>
      </c>
      <c r="K450" t="n">
        <v>0</v>
      </c>
      <c r="L450" t="n">
        <v>0</v>
      </c>
      <c r="M450" t="n">
        <v>0</v>
      </c>
      <c r="N450" t="n">
        <v>0</v>
      </c>
      <c r="O450" t="n">
        <v>0</v>
      </c>
      <c r="P450" t="n">
        <v>0</v>
      </c>
      <c r="Q450" t="n">
        <v>0</v>
      </c>
      <c r="R450" s="2" t="inlineStr"/>
    </row>
    <row r="451" ht="15" customHeight="1">
      <c r="A451" t="inlineStr">
        <is>
          <t>A 24467-2023</t>
        </is>
      </c>
      <c r="B451" s="1" t="n">
        <v>45082</v>
      </c>
      <c r="C451" s="1" t="n">
        <v>45970</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53641-2023</t>
        </is>
      </c>
      <c r="B452" s="1" t="n">
        <v>45230</v>
      </c>
      <c r="C452" s="1" t="n">
        <v>45970</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48707-2023</t>
        </is>
      </c>
      <c r="B453" s="1" t="n">
        <v>45202</v>
      </c>
      <c r="C453" s="1" t="n">
        <v>45970</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53411-2023</t>
        </is>
      </c>
      <c r="B454" s="1" t="n">
        <v>45229.81049768518</v>
      </c>
      <c r="C454" s="1" t="n">
        <v>45970</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62488-2023</t>
        </is>
      </c>
      <c r="B455" s="1" t="n">
        <v>45268.5847337963</v>
      </c>
      <c r="C455" s="1" t="n">
        <v>45970</v>
      </c>
      <c r="D455" t="inlineStr">
        <is>
          <t>ÖSTERGÖTLANDS LÄN</t>
        </is>
      </c>
      <c r="E455" t="inlineStr">
        <is>
          <t>LINKÖPING</t>
        </is>
      </c>
      <c r="G455" t="n">
        <v>4.1</v>
      </c>
      <c r="H455" t="n">
        <v>0</v>
      </c>
      <c r="I455" t="n">
        <v>0</v>
      </c>
      <c r="J455" t="n">
        <v>0</v>
      </c>
      <c r="K455" t="n">
        <v>0</v>
      </c>
      <c r="L455" t="n">
        <v>0</v>
      </c>
      <c r="M455" t="n">
        <v>0</v>
      </c>
      <c r="N455" t="n">
        <v>0</v>
      </c>
      <c r="O455" t="n">
        <v>0</v>
      </c>
      <c r="P455" t="n">
        <v>0</v>
      </c>
      <c r="Q455" t="n">
        <v>0</v>
      </c>
      <c r="R455" s="2" t="inlineStr"/>
    </row>
    <row r="456" ht="15" customHeight="1">
      <c r="A456" t="inlineStr">
        <is>
          <t>A 53814-2023</t>
        </is>
      </c>
      <c r="B456" s="1" t="n">
        <v>45231</v>
      </c>
      <c r="C456" s="1" t="n">
        <v>45970</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62495-2023</t>
        </is>
      </c>
      <c r="B457" s="1" t="n">
        <v>45268.59717592593</v>
      </c>
      <c r="C457" s="1" t="n">
        <v>45970</v>
      </c>
      <c r="D457" t="inlineStr">
        <is>
          <t>ÖSTERGÖTLANDS LÄN</t>
        </is>
      </c>
      <c r="E457" t="inlineStr">
        <is>
          <t>LINKÖPING</t>
        </is>
      </c>
      <c r="G457" t="n">
        <v>4.1</v>
      </c>
      <c r="H457" t="n">
        <v>0</v>
      </c>
      <c r="I457" t="n">
        <v>0</v>
      </c>
      <c r="J457" t="n">
        <v>0</v>
      </c>
      <c r="K457" t="n">
        <v>0</v>
      </c>
      <c r="L457" t="n">
        <v>0</v>
      </c>
      <c r="M457" t="n">
        <v>0</v>
      </c>
      <c r="N457" t="n">
        <v>0</v>
      </c>
      <c r="O457" t="n">
        <v>0</v>
      </c>
      <c r="P457" t="n">
        <v>0</v>
      </c>
      <c r="Q457" t="n">
        <v>0</v>
      </c>
      <c r="R457" s="2" t="inlineStr"/>
    </row>
    <row r="458" ht="15" customHeight="1">
      <c r="A458" t="inlineStr">
        <is>
          <t>A 56741-2023</t>
        </is>
      </c>
      <c r="B458" s="1" t="n">
        <v>45244</v>
      </c>
      <c r="C458" s="1" t="n">
        <v>45970</v>
      </c>
      <c r="D458" t="inlineStr">
        <is>
          <t>ÖSTERGÖTLANDS LÄN</t>
        </is>
      </c>
      <c r="E458" t="inlineStr">
        <is>
          <t>LINKÖPING</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45970</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3007-2023</t>
        </is>
      </c>
      <c r="B460" s="1" t="n">
        <v>44945</v>
      </c>
      <c r="C460" s="1" t="n">
        <v>45970</v>
      </c>
      <c r="D460" t="inlineStr">
        <is>
          <t>ÖSTERGÖTLANDS LÄN</t>
        </is>
      </c>
      <c r="E460" t="inlineStr">
        <is>
          <t>LINKÖPING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40338-2024</t>
        </is>
      </c>
      <c r="B461" s="1" t="n">
        <v>45555.32940972222</v>
      </c>
      <c r="C461" s="1" t="n">
        <v>45970</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3013-2023</t>
        </is>
      </c>
      <c r="B462" s="1" t="n">
        <v>44945.8092824074</v>
      </c>
      <c r="C462" s="1" t="n">
        <v>45970</v>
      </c>
      <c r="D462" t="inlineStr">
        <is>
          <t>ÖSTERGÖTLANDS LÄN</t>
        </is>
      </c>
      <c r="E462" t="inlineStr">
        <is>
          <t>LINKÖPING</t>
        </is>
      </c>
      <c r="G462" t="n">
        <v>5.2</v>
      </c>
      <c r="H462" t="n">
        <v>0</v>
      </c>
      <c r="I462" t="n">
        <v>0</v>
      </c>
      <c r="J462" t="n">
        <v>0</v>
      </c>
      <c r="K462" t="n">
        <v>0</v>
      </c>
      <c r="L462" t="n">
        <v>0</v>
      </c>
      <c r="M462" t="n">
        <v>0</v>
      </c>
      <c r="N462" t="n">
        <v>0</v>
      </c>
      <c r="O462" t="n">
        <v>0</v>
      </c>
      <c r="P462" t="n">
        <v>0</v>
      </c>
      <c r="Q462" t="n">
        <v>0</v>
      </c>
      <c r="R462" s="2" t="inlineStr"/>
    </row>
    <row r="463" ht="15" customHeight="1">
      <c r="A463" t="inlineStr">
        <is>
          <t>A 55945-2024</t>
        </is>
      </c>
      <c r="B463" s="1" t="n">
        <v>45623.61754629629</v>
      </c>
      <c r="C463" s="1" t="n">
        <v>45970</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10198-2023</t>
        </is>
      </c>
      <c r="B464" s="1" t="n">
        <v>44986.54665509259</v>
      </c>
      <c r="C464" s="1" t="n">
        <v>45970</v>
      </c>
      <c r="D464" t="inlineStr">
        <is>
          <t>ÖSTERGÖTLANDS LÄN</t>
        </is>
      </c>
      <c r="E464" t="inlineStr">
        <is>
          <t>LINKÖPING</t>
        </is>
      </c>
      <c r="G464" t="n">
        <v>4.6</v>
      </c>
      <c r="H464" t="n">
        <v>0</v>
      </c>
      <c r="I464" t="n">
        <v>0</v>
      </c>
      <c r="J464" t="n">
        <v>0</v>
      </c>
      <c r="K464" t="n">
        <v>0</v>
      </c>
      <c r="L464" t="n">
        <v>0</v>
      </c>
      <c r="M464" t="n">
        <v>0</v>
      </c>
      <c r="N464" t="n">
        <v>0</v>
      </c>
      <c r="O464" t="n">
        <v>0</v>
      </c>
      <c r="P464" t="n">
        <v>0</v>
      </c>
      <c r="Q464" t="n">
        <v>0</v>
      </c>
      <c r="R464" s="2" t="inlineStr"/>
    </row>
    <row r="465" ht="15" customHeight="1">
      <c r="A465" t="inlineStr">
        <is>
          <t>A 1993-2023</t>
        </is>
      </c>
      <c r="B465" s="1" t="n">
        <v>44939</v>
      </c>
      <c r="C465" s="1" t="n">
        <v>45970</v>
      </c>
      <c r="D465" t="inlineStr">
        <is>
          <t>ÖSTERGÖTLANDS LÄN</t>
        </is>
      </c>
      <c r="E465" t="inlineStr">
        <is>
          <t>LINKÖPING</t>
        </is>
      </c>
      <c r="G465" t="n">
        <v>3.7</v>
      </c>
      <c r="H465" t="n">
        <v>0</v>
      </c>
      <c r="I465" t="n">
        <v>0</v>
      </c>
      <c r="J465" t="n">
        <v>0</v>
      </c>
      <c r="K465" t="n">
        <v>0</v>
      </c>
      <c r="L465" t="n">
        <v>0</v>
      </c>
      <c r="M465" t="n">
        <v>0</v>
      </c>
      <c r="N465" t="n">
        <v>0</v>
      </c>
      <c r="O465" t="n">
        <v>0</v>
      </c>
      <c r="P465" t="n">
        <v>0</v>
      </c>
      <c r="Q465" t="n">
        <v>0</v>
      </c>
      <c r="R465" s="2" t="inlineStr"/>
    </row>
    <row r="466" ht="15" customHeight="1">
      <c r="A466" t="inlineStr">
        <is>
          <t>A 22771-2024</t>
        </is>
      </c>
      <c r="B466" s="1" t="n">
        <v>45448.46574074074</v>
      </c>
      <c r="C466" s="1" t="n">
        <v>45970</v>
      </c>
      <c r="D466" t="inlineStr">
        <is>
          <t>ÖSTERGÖTLANDS LÄN</t>
        </is>
      </c>
      <c r="E466" t="inlineStr">
        <is>
          <t>LINKÖPING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2618-2023</t>
        </is>
      </c>
      <c r="B467" s="1" t="n">
        <v>44944.35847222222</v>
      </c>
      <c r="C467" s="1" t="n">
        <v>45970</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10203-2023</t>
        </is>
      </c>
      <c r="B468" s="1" t="n">
        <v>44986.55711805556</v>
      </c>
      <c r="C468" s="1" t="n">
        <v>45970</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17128-2025</t>
        </is>
      </c>
      <c r="B469" s="1" t="n">
        <v>45755.72622685185</v>
      </c>
      <c r="C469" s="1" t="n">
        <v>45970</v>
      </c>
      <c r="D469" t="inlineStr">
        <is>
          <t>ÖSTERGÖTLANDS LÄN</t>
        </is>
      </c>
      <c r="E469" t="inlineStr">
        <is>
          <t>LINKÖPING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60004-2022</t>
        </is>
      </c>
      <c r="B470" s="1" t="n">
        <v>44909.47206018519</v>
      </c>
      <c r="C470" s="1" t="n">
        <v>45970</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52796-2023</t>
        </is>
      </c>
      <c r="B471" s="1" t="n">
        <v>45219</v>
      </c>
      <c r="C471" s="1" t="n">
        <v>45970</v>
      </c>
      <c r="D471" t="inlineStr">
        <is>
          <t>ÖSTERGÖTLANDS LÄN</t>
        </is>
      </c>
      <c r="E471" t="inlineStr">
        <is>
          <t>LINKÖPING</t>
        </is>
      </c>
      <c r="F471" t="inlineStr">
        <is>
          <t>Övriga statliga verk och myndigheter</t>
        </is>
      </c>
      <c r="G471" t="n">
        <v>3.9</v>
      </c>
      <c r="H471" t="n">
        <v>0</v>
      </c>
      <c r="I471" t="n">
        <v>0</v>
      </c>
      <c r="J471" t="n">
        <v>0</v>
      </c>
      <c r="K471" t="n">
        <v>0</v>
      </c>
      <c r="L471" t="n">
        <v>0</v>
      </c>
      <c r="M471" t="n">
        <v>0</v>
      </c>
      <c r="N471" t="n">
        <v>0</v>
      </c>
      <c r="O471" t="n">
        <v>0</v>
      </c>
      <c r="P471" t="n">
        <v>0</v>
      </c>
      <c r="Q471" t="n">
        <v>0</v>
      </c>
      <c r="R471" s="2" t="inlineStr"/>
    </row>
    <row r="472" ht="15" customHeight="1">
      <c r="A472" t="inlineStr">
        <is>
          <t>A 50743-2023</t>
        </is>
      </c>
      <c r="B472" s="1" t="n">
        <v>45217</v>
      </c>
      <c r="C472" s="1" t="n">
        <v>45970</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45771-2023</t>
        </is>
      </c>
      <c r="B473" s="1" t="n">
        <v>45195.4384375</v>
      </c>
      <c r="C473" s="1" t="n">
        <v>45970</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34889-2023</t>
        </is>
      </c>
      <c r="B474" s="1" t="n">
        <v>45140</v>
      </c>
      <c r="C474" s="1" t="n">
        <v>45970</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34928-2023</t>
        </is>
      </c>
      <c r="B475" s="1" t="n">
        <v>45142</v>
      </c>
      <c r="C475" s="1" t="n">
        <v>45970</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48266-2025</t>
        </is>
      </c>
      <c r="B476" s="1" t="n">
        <v>45932</v>
      </c>
      <c r="C476" s="1" t="n">
        <v>45970</v>
      </c>
      <c r="D476" t="inlineStr">
        <is>
          <t>ÖSTERGÖTLANDS LÄN</t>
        </is>
      </c>
      <c r="E476" t="inlineStr">
        <is>
          <t>LINKÖPING</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62018-2024</t>
        </is>
      </c>
      <c r="B477" s="1" t="n">
        <v>45655.81387731482</v>
      </c>
      <c r="C477" s="1" t="n">
        <v>45970</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1268-2023</t>
        </is>
      </c>
      <c r="B478" s="1" t="n">
        <v>44936</v>
      </c>
      <c r="C478" s="1" t="n">
        <v>45970</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63554-2023</t>
        </is>
      </c>
      <c r="B479" s="1" t="n">
        <v>45275</v>
      </c>
      <c r="C479" s="1" t="n">
        <v>45970</v>
      </c>
      <c r="D479" t="inlineStr">
        <is>
          <t>ÖSTERGÖTLANDS LÄN</t>
        </is>
      </c>
      <c r="E479" t="inlineStr">
        <is>
          <t>LINKÖPING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62073-2023</t>
        </is>
      </c>
      <c r="B480" s="1" t="n">
        <v>45266.73844907407</v>
      </c>
      <c r="C480" s="1" t="n">
        <v>45970</v>
      </c>
      <c r="D480" t="inlineStr">
        <is>
          <t>ÖSTERGÖTLANDS LÄN</t>
        </is>
      </c>
      <c r="E480" t="inlineStr">
        <is>
          <t>LINKÖPING</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5314-2021</t>
        </is>
      </c>
      <c r="B481" s="1" t="n">
        <v>44229</v>
      </c>
      <c r="C481" s="1" t="n">
        <v>45970</v>
      </c>
      <c r="D481" t="inlineStr">
        <is>
          <t>ÖSTERGÖTLANDS LÄN</t>
        </is>
      </c>
      <c r="E481" t="inlineStr">
        <is>
          <t>LINKÖPING</t>
        </is>
      </c>
      <c r="G481" t="n">
        <v>6.2</v>
      </c>
      <c r="H481" t="n">
        <v>0</v>
      </c>
      <c r="I481" t="n">
        <v>0</v>
      </c>
      <c r="J481" t="n">
        <v>0</v>
      </c>
      <c r="K481" t="n">
        <v>0</v>
      </c>
      <c r="L481" t="n">
        <v>0</v>
      </c>
      <c r="M481" t="n">
        <v>0</v>
      </c>
      <c r="N481" t="n">
        <v>0</v>
      </c>
      <c r="O481" t="n">
        <v>0</v>
      </c>
      <c r="P481" t="n">
        <v>0</v>
      </c>
      <c r="Q481" t="n">
        <v>0</v>
      </c>
      <c r="R481" s="2" t="inlineStr"/>
    </row>
    <row r="482" ht="15" customHeight="1">
      <c r="A482" t="inlineStr">
        <is>
          <t>A 30111-2024</t>
        </is>
      </c>
      <c r="B482" s="1" t="n">
        <v>45489.46947916667</v>
      </c>
      <c r="C482" s="1" t="n">
        <v>45970</v>
      </c>
      <c r="D482" t="inlineStr">
        <is>
          <t>ÖSTERGÖTLANDS LÄN</t>
        </is>
      </c>
      <c r="E482" t="inlineStr">
        <is>
          <t>LINKÖPING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30119-2024</t>
        </is>
      </c>
      <c r="B483" s="1" t="n">
        <v>45489</v>
      </c>
      <c r="C483" s="1" t="n">
        <v>45970</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6206-2024</t>
        </is>
      </c>
      <c r="B484" s="1" t="n">
        <v>45337.5977662037</v>
      </c>
      <c r="C484" s="1" t="n">
        <v>45970</v>
      </c>
      <c r="D484" t="inlineStr">
        <is>
          <t>ÖSTERGÖTLANDS LÄN</t>
        </is>
      </c>
      <c r="E484" t="inlineStr">
        <is>
          <t>LINKÖPING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672-2024</t>
        </is>
      </c>
      <c r="B485" s="1" t="n">
        <v>45300</v>
      </c>
      <c r="C485" s="1" t="n">
        <v>45970</v>
      </c>
      <c r="D485" t="inlineStr">
        <is>
          <t>ÖSTERGÖTLANDS LÄN</t>
        </is>
      </c>
      <c r="E485" t="inlineStr">
        <is>
          <t>LINKÖPING</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42832-2023</t>
        </is>
      </c>
      <c r="B486" s="1" t="n">
        <v>45182.38091435185</v>
      </c>
      <c r="C486" s="1" t="n">
        <v>45970</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15714-2024</t>
        </is>
      </c>
      <c r="B487" s="1" t="n">
        <v>45404.48288194444</v>
      </c>
      <c r="C487" s="1" t="n">
        <v>45970</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49747-2024</t>
        </is>
      </c>
      <c r="B488" s="1" t="n">
        <v>45596</v>
      </c>
      <c r="C488" s="1" t="n">
        <v>45970</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30481-2023</t>
        </is>
      </c>
      <c r="B489" s="1" t="n">
        <v>45111</v>
      </c>
      <c r="C489" s="1" t="n">
        <v>45970</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31725-2022</t>
        </is>
      </c>
      <c r="B490" s="1" t="n">
        <v>44776.48541666667</v>
      </c>
      <c r="C490" s="1" t="n">
        <v>45970</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5872-2025</t>
        </is>
      </c>
      <c r="B491" s="1" t="n">
        <v>45695.36659722222</v>
      </c>
      <c r="C491" s="1" t="n">
        <v>45970</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59674-2024</t>
        </is>
      </c>
      <c r="B492" s="1" t="n">
        <v>45639</v>
      </c>
      <c r="C492" s="1" t="n">
        <v>45970</v>
      </c>
      <c r="D492" t="inlineStr">
        <is>
          <t>ÖSTERGÖTLANDS LÄN</t>
        </is>
      </c>
      <c r="E492" t="inlineStr">
        <is>
          <t>LINKÖPING</t>
        </is>
      </c>
      <c r="G492" t="n">
        <v>6.3</v>
      </c>
      <c r="H492" t="n">
        <v>0</v>
      </c>
      <c r="I492" t="n">
        <v>0</v>
      </c>
      <c r="J492" t="n">
        <v>0</v>
      </c>
      <c r="K492" t="n">
        <v>0</v>
      </c>
      <c r="L492" t="n">
        <v>0</v>
      </c>
      <c r="M492" t="n">
        <v>0</v>
      </c>
      <c r="N492" t="n">
        <v>0</v>
      </c>
      <c r="O492" t="n">
        <v>0</v>
      </c>
      <c r="P492" t="n">
        <v>0</v>
      </c>
      <c r="Q492" t="n">
        <v>0</v>
      </c>
      <c r="R492" s="2" t="inlineStr"/>
    </row>
    <row r="493" ht="15" customHeight="1">
      <c r="A493" t="inlineStr">
        <is>
          <t>A 74160-2021</t>
        </is>
      </c>
      <c r="B493" s="1" t="n">
        <v>44558</v>
      </c>
      <c r="C493" s="1" t="n">
        <v>45970</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63559-2023</t>
        </is>
      </c>
      <c r="B494" s="1" t="n">
        <v>45275.35924768518</v>
      </c>
      <c r="C494" s="1" t="n">
        <v>45970</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59576-2024</t>
        </is>
      </c>
      <c r="B495" s="1" t="n">
        <v>45638.66378472222</v>
      </c>
      <c r="C495" s="1" t="n">
        <v>45970</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48254-2025</t>
        </is>
      </c>
      <c r="B496" s="1" t="n">
        <v>45932</v>
      </c>
      <c r="C496" s="1" t="n">
        <v>45970</v>
      </c>
      <c r="D496" t="inlineStr">
        <is>
          <t>ÖSTERGÖTLANDS LÄN</t>
        </is>
      </c>
      <c r="E496" t="inlineStr">
        <is>
          <t>LINKÖPING</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2389-2023</t>
        </is>
      </c>
      <c r="B497" s="1" t="n">
        <v>44942</v>
      </c>
      <c r="C497" s="1" t="n">
        <v>45970</v>
      </c>
      <c r="D497" t="inlineStr">
        <is>
          <t>ÖSTERGÖTLANDS LÄN</t>
        </is>
      </c>
      <c r="E497" t="inlineStr">
        <is>
          <t>LINKÖPING</t>
        </is>
      </c>
      <c r="G497" t="n">
        <v>3.3</v>
      </c>
      <c r="H497" t="n">
        <v>0</v>
      </c>
      <c r="I497" t="n">
        <v>0</v>
      </c>
      <c r="J497" t="n">
        <v>0</v>
      </c>
      <c r="K497" t="n">
        <v>0</v>
      </c>
      <c r="L497" t="n">
        <v>0</v>
      </c>
      <c r="M497" t="n">
        <v>0</v>
      </c>
      <c r="N497" t="n">
        <v>0</v>
      </c>
      <c r="O497" t="n">
        <v>0</v>
      </c>
      <c r="P497" t="n">
        <v>0</v>
      </c>
      <c r="Q497" t="n">
        <v>0</v>
      </c>
      <c r="R497" s="2" t="inlineStr"/>
    </row>
    <row r="498" ht="15" customHeight="1">
      <c r="A498" t="inlineStr">
        <is>
          <t>A 51583-2024</t>
        </is>
      </c>
      <c r="B498" s="1" t="n">
        <v>45604.6397337963</v>
      </c>
      <c r="C498" s="1" t="n">
        <v>45970</v>
      </c>
      <c r="D498" t="inlineStr">
        <is>
          <t>ÖSTERGÖTLANDS LÄN</t>
        </is>
      </c>
      <c r="E498" t="inlineStr">
        <is>
          <t>LINKÖPING</t>
        </is>
      </c>
      <c r="F498" t="inlineStr">
        <is>
          <t>Övriga Aktiebolag</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62019-2024</t>
        </is>
      </c>
      <c r="B499" s="1" t="n">
        <v>45655.82</v>
      </c>
      <c r="C499" s="1" t="n">
        <v>45970</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23491-2024</t>
        </is>
      </c>
      <c r="B500" s="1" t="n">
        <v>45453</v>
      </c>
      <c r="C500" s="1" t="n">
        <v>45970</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3627-2023</t>
        </is>
      </c>
      <c r="B501" s="1" t="n">
        <v>44950.64782407408</v>
      </c>
      <c r="C501" s="1" t="n">
        <v>45970</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38317-2024</t>
        </is>
      </c>
      <c r="B502" s="1" t="n">
        <v>45545.65766203704</v>
      </c>
      <c r="C502" s="1" t="n">
        <v>45970</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62687-2023</t>
        </is>
      </c>
      <c r="B503" s="1" t="n">
        <v>45271</v>
      </c>
      <c r="C503" s="1" t="n">
        <v>45970</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29309-2024</t>
        </is>
      </c>
      <c r="B504" s="1" t="n">
        <v>45483</v>
      </c>
      <c r="C504" s="1" t="n">
        <v>45970</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29411-2023</t>
        </is>
      </c>
      <c r="B505" s="1" t="n">
        <v>45106.46225694445</v>
      </c>
      <c r="C505" s="1" t="n">
        <v>45970</v>
      </c>
      <c r="D505" t="inlineStr">
        <is>
          <t>ÖSTERGÖTLANDS LÄN</t>
        </is>
      </c>
      <c r="E505" t="inlineStr">
        <is>
          <t>LINKÖPING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29412-2023</t>
        </is>
      </c>
      <c r="B506" s="1" t="n">
        <v>45106.46359953703</v>
      </c>
      <c r="C506" s="1" t="n">
        <v>45970</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45970</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18891-2022</t>
        </is>
      </c>
      <c r="B508" s="1" t="n">
        <v>44690</v>
      </c>
      <c r="C508" s="1" t="n">
        <v>45970</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50182-2023</t>
        </is>
      </c>
      <c r="B509" s="1" t="n">
        <v>45208</v>
      </c>
      <c r="C509" s="1" t="n">
        <v>45970</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24151-2024</t>
        </is>
      </c>
      <c r="B510" s="1" t="n">
        <v>45456.67717592593</v>
      </c>
      <c r="C510" s="1" t="n">
        <v>45970</v>
      </c>
      <c r="D510" t="inlineStr">
        <is>
          <t>ÖSTERGÖTLANDS LÄN</t>
        </is>
      </c>
      <c r="E510" t="inlineStr">
        <is>
          <t>LINKÖPING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1844-2025</t>
        </is>
      </c>
      <c r="B511" s="1" t="n">
        <v>45671.57730324074</v>
      </c>
      <c r="C511" s="1" t="n">
        <v>45970</v>
      </c>
      <c r="D511" t="inlineStr">
        <is>
          <t>ÖSTERGÖTLANDS LÄN</t>
        </is>
      </c>
      <c r="E511" t="inlineStr">
        <is>
          <t>LINKÖPING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26620-2023</t>
        </is>
      </c>
      <c r="B512" s="1" t="n">
        <v>45092.70390046296</v>
      </c>
      <c r="C512" s="1" t="n">
        <v>45970</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63845-2021</t>
        </is>
      </c>
      <c r="B513" s="1" t="n">
        <v>44509</v>
      </c>
      <c r="C513" s="1" t="n">
        <v>45970</v>
      </c>
      <c r="D513" t="inlineStr">
        <is>
          <t>ÖSTERGÖTLANDS LÄN</t>
        </is>
      </c>
      <c r="E513" t="inlineStr">
        <is>
          <t>LINKÖPING</t>
        </is>
      </c>
      <c r="G513" t="n">
        <v>5</v>
      </c>
      <c r="H513" t="n">
        <v>0</v>
      </c>
      <c r="I513" t="n">
        <v>0</v>
      </c>
      <c r="J513" t="n">
        <v>0</v>
      </c>
      <c r="K513" t="n">
        <v>0</v>
      </c>
      <c r="L513" t="n">
        <v>0</v>
      </c>
      <c r="M513" t="n">
        <v>0</v>
      </c>
      <c r="N513" t="n">
        <v>0</v>
      </c>
      <c r="O513" t="n">
        <v>0</v>
      </c>
      <c r="P513" t="n">
        <v>0</v>
      </c>
      <c r="Q513" t="n">
        <v>0</v>
      </c>
      <c r="R513" s="2" t="inlineStr"/>
    </row>
    <row r="514" ht="15" customHeight="1">
      <c r="A514" t="inlineStr">
        <is>
          <t>A 17785-2023</t>
        </is>
      </c>
      <c r="B514" s="1" t="n">
        <v>45037.55094907407</v>
      </c>
      <c r="C514" s="1" t="n">
        <v>45970</v>
      </c>
      <c r="D514" t="inlineStr">
        <is>
          <t>ÖSTERGÖTLANDS LÄN</t>
        </is>
      </c>
      <c r="E514" t="inlineStr">
        <is>
          <t>LINKÖPING</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32346-2023</t>
        </is>
      </c>
      <c r="B515" s="1" t="n">
        <v>45120</v>
      </c>
      <c r="C515" s="1" t="n">
        <v>45970</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56180-2024</t>
        </is>
      </c>
      <c r="B516" s="1" t="n">
        <v>45624.56611111111</v>
      </c>
      <c r="C516" s="1" t="n">
        <v>45970</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938-2023</t>
        </is>
      </c>
      <c r="B517" s="1" t="n">
        <v>44933</v>
      </c>
      <c r="C517" s="1" t="n">
        <v>45970</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1627-2023</t>
        </is>
      </c>
      <c r="B518" s="1" t="n">
        <v>44937</v>
      </c>
      <c r="C518" s="1" t="n">
        <v>45970</v>
      </c>
      <c r="D518" t="inlineStr">
        <is>
          <t>ÖSTERGÖTLANDS LÄN</t>
        </is>
      </c>
      <c r="E518" t="inlineStr">
        <is>
          <t>LINKÖPING</t>
        </is>
      </c>
      <c r="G518" t="n">
        <v>10.8</v>
      </c>
      <c r="H518" t="n">
        <v>0</v>
      </c>
      <c r="I518" t="n">
        <v>0</v>
      </c>
      <c r="J518" t="n">
        <v>0</v>
      </c>
      <c r="K518" t="n">
        <v>0</v>
      </c>
      <c r="L518" t="n">
        <v>0</v>
      </c>
      <c r="M518" t="n">
        <v>0</v>
      </c>
      <c r="N518" t="n">
        <v>0</v>
      </c>
      <c r="O518" t="n">
        <v>0</v>
      </c>
      <c r="P518" t="n">
        <v>0</v>
      </c>
      <c r="Q518" t="n">
        <v>0</v>
      </c>
      <c r="R518" s="2" t="inlineStr"/>
    </row>
    <row r="519" ht="15" customHeight="1">
      <c r="A519" t="inlineStr">
        <is>
          <t>A 25418-2023</t>
        </is>
      </c>
      <c r="B519" s="1" t="n">
        <v>45089</v>
      </c>
      <c r="C519" s="1" t="n">
        <v>45970</v>
      </c>
      <c r="D519" t="inlineStr">
        <is>
          <t>ÖSTERGÖTLANDS LÄN</t>
        </is>
      </c>
      <c r="E519" t="inlineStr">
        <is>
          <t>LINKÖPING</t>
        </is>
      </c>
      <c r="F519" t="inlineStr">
        <is>
          <t>Övriga Aktiebolag</t>
        </is>
      </c>
      <c r="G519" t="n">
        <v>2.4</v>
      </c>
      <c r="H519" t="n">
        <v>0</v>
      </c>
      <c r="I519" t="n">
        <v>0</v>
      </c>
      <c r="J519" t="n">
        <v>0</v>
      </c>
      <c r="K519" t="n">
        <v>0</v>
      </c>
      <c r="L519" t="n">
        <v>0</v>
      </c>
      <c r="M519" t="n">
        <v>0</v>
      </c>
      <c r="N519" t="n">
        <v>0</v>
      </c>
      <c r="O519" t="n">
        <v>0</v>
      </c>
      <c r="P519" t="n">
        <v>0</v>
      </c>
      <c r="Q519" t="n">
        <v>0</v>
      </c>
      <c r="R519" s="2" t="inlineStr"/>
    </row>
    <row r="520" ht="15" customHeight="1">
      <c r="A520" t="inlineStr">
        <is>
          <t>A 60007-2022</t>
        </is>
      </c>
      <c r="B520" s="1" t="n">
        <v>44909.47282407407</v>
      </c>
      <c r="C520" s="1" t="n">
        <v>45970</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21155-2025</t>
        </is>
      </c>
      <c r="B521" s="1" t="n">
        <v>45779.37586805555</v>
      </c>
      <c r="C521" s="1" t="n">
        <v>45970</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21165-2025</t>
        </is>
      </c>
      <c r="B522" s="1" t="n">
        <v>45779.39417824074</v>
      </c>
      <c r="C522" s="1" t="n">
        <v>45970</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16665-2023</t>
        </is>
      </c>
      <c r="B523" s="1" t="n">
        <v>45030.5583912037</v>
      </c>
      <c r="C523" s="1" t="n">
        <v>45970</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60860-2024</t>
        </is>
      </c>
      <c r="B524" s="1" t="n">
        <v>45644.6893287037</v>
      </c>
      <c r="C524" s="1" t="n">
        <v>45970</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45970</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49615-2025</t>
        </is>
      </c>
      <c r="B526" s="1" t="n">
        <v>45938</v>
      </c>
      <c r="C526" s="1" t="n">
        <v>45970</v>
      </c>
      <c r="D526" t="inlineStr">
        <is>
          <t>ÖSTERGÖTLANDS LÄN</t>
        </is>
      </c>
      <c r="E526" t="inlineStr">
        <is>
          <t>LINKÖPING</t>
        </is>
      </c>
      <c r="F526" t="inlineStr">
        <is>
          <t>Övriga Aktiebolag</t>
        </is>
      </c>
      <c r="G526" t="n">
        <v>1.6</v>
      </c>
      <c r="H526" t="n">
        <v>0</v>
      </c>
      <c r="I526" t="n">
        <v>0</v>
      </c>
      <c r="J526" t="n">
        <v>0</v>
      </c>
      <c r="K526" t="n">
        <v>0</v>
      </c>
      <c r="L526" t="n">
        <v>0</v>
      </c>
      <c r="M526" t="n">
        <v>0</v>
      </c>
      <c r="N526" t="n">
        <v>0</v>
      </c>
      <c r="O526" t="n">
        <v>0</v>
      </c>
      <c r="P526" t="n">
        <v>0</v>
      </c>
      <c r="Q526" t="n">
        <v>0</v>
      </c>
      <c r="R526" s="2" t="inlineStr"/>
    </row>
    <row r="527" ht="15" customHeight="1">
      <c r="A527" t="inlineStr">
        <is>
          <t>A 49619-2025</t>
        </is>
      </c>
      <c r="B527" s="1" t="n">
        <v>45938</v>
      </c>
      <c r="C527" s="1" t="n">
        <v>45970</v>
      </c>
      <c r="D527" t="inlineStr">
        <is>
          <t>ÖSTERGÖTLANDS LÄN</t>
        </is>
      </c>
      <c r="E527" t="inlineStr">
        <is>
          <t>LINKÖPING</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49629-2025</t>
        </is>
      </c>
      <c r="B528" s="1" t="n">
        <v>45938</v>
      </c>
      <c r="C528" s="1" t="n">
        <v>45970</v>
      </c>
      <c r="D528" t="inlineStr">
        <is>
          <t>ÖSTERGÖTLANDS LÄN</t>
        </is>
      </c>
      <c r="E528" t="inlineStr">
        <is>
          <t>LINKÖPING</t>
        </is>
      </c>
      <c r="F528" t="inlineStr">
        <is>
          <t>Övriga Aktiebolag</t>
        </is>
      </c>
      <c r="G528" t="n">
        <v>4.5</v>
      </c>
      <c r="H528" t="n">
        <v>0</v>
      </c>
      <c r="I528" t="n">
        <v>0</v>
      </c>
      <c r="J528" t="n">
        <v>0</v>
      </c>
      <c r="K528" t="n">
        <v>0</v>
      </c>
      <c r="L528" t="n">
        <v>0</v>
      </c>
      <c r="M528" t="n">
        <v>0</v>
      </c>
      <c r="N528" t="n">
        <v>0</v>
      </c>
      <c r="O528" t="n">
        <v>0</v>
      </c>
      <c r="P528" t="n">
        <v>0</v>
      </c>
      <c r="Q528" t="n">
        <v>0</v>
      </c>
      <c r="R528" s="2" t="inlineStr"/>
    </row>
    <row r="529" ht="15" customHeight="1">
      <c r="A529" t="inlineStr">
        <is>
          <t>A 49633-2025</t>
        </is>
      </c>
      <c r="B529" s="1" t="n">
        <v>45938</v>
      </c>
      <c r="C529" s="1" t="n">
        <v>45970</v>
      </c>
      <c r="D529" t="inlineStr">
        <is>
          <t>ÖSTERGÖTLANDS LÄN</t>
        </is>
      </c>
      <c r="E529" t="inlineStr">
        <is>
          <t>LINKÖPING</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45970</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45970</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45970</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49455-2025</t>
        </is>
      </c>
      <c r="B533" s="1" t="n">
        <v>45938</v>
      </c>
      <c r="C533" s="1" t="n">
        <v>45970</v>
      </c>
      <c r="D533" t="inlineStr">
        <is>
          <t>ÖSTERGÖTLANDS LÄN</t>
        </is>
      </c>
      <c r="E533" t="inlineStr">
        <is>
          <t>LINKÖPING</t>
        </is>
      </c>
      <c r="F533" t="inlineStr">
        <is>
          <t>Övriga Aktiebolag</t>
        </is>
      </c>
      <c r="G533" t="n">
        <v>5.9</v>
      </c>
      <c r="H533" t="n">
        <v>0</v>
      </c>
      <c r="I533" t="n">
        <v>0</v>
      </c>
      <c r="J533" t="n">
        <v>0</v>
      </c>
      <c r="K533" t="n">
        <v>0</v>
      </c>
      <c r="L533" t="n">
        <v>0</v>
      </c>
      <c r="M533" t="n">
        <v>0</v>
      </c>
      <c r="N533" t="n">
        <v>0</v>
      </c>
      <c r="O533" t="n">
        <v>0</v>
      </c>
      <c r="P533" t="n">
        <v>0</v>
      </c>
      <c r="Q533" t="n">
        <v>0</v>
      </c>
      <c r="R533" s="2" t="inlineStr"/>
    </row>
    <row r="534" ht="15" customHeight="1">
      <c r="A534" t="inlineStr">
        <is>
          <t>A 57752-2023</t>
        </is>
      </c>
      <c r="B534" s="1" t="n">
        <v>45246.78474537037</v>
      </c>
      <c r="C534" s="1" t="n">
        <v>45970</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2997-2025</t>
        </is>
      </c>
      <c r="B535" s="1" t="n">
        <v>45678.54631944445</v>
      </c>
      <c r="C535" s="1" t="n">
        <v>45970</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31534-2023</t>
        </is>
      </c>
      <c r="B536" s="1" t="n">
        <v>45116</v>
      </c>
      <c r="C536" s="1" t="n">
        <v>45970</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26803-2024</t>
        </is>
      </c>
      <c r="B537" s="1" t="n">
        <v>45470</v>
      </c>
      <c r="C537" s="1" t="n">
        <v>45970</v>
      </c>
      <c r="D537" t="inlineStr">
        <is>
          <t>ÖSTERGÖTLANDS LÄN</t>
        </is>
      </c>
      <c r="E537" t="inlineStr">
        <is>
          <t>LINKÖPING</t>
        </is>
      </c>
      <c r="F537" t="inlineStr">
        <is>
          <t>Allmännings- och besparingsskogar</t>
        </is>
      </c>
      <c r="G537" t="n">
        <v>4.5</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45359.55474537037</v>
      </c>
      <c r="C538" s="1" t="n">
        <v>45970</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45806-2024</t>
        </is>
      </c>
      <c r="B539" s="1" t="n">
        <v>45579.69619212963</v>
      </c>
      <c r="C539" s="1" t="n">
        <v>45970</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10797-2024</t>
        </is>
      </c>
      <c r="B540" s="1" t="n">
        <v>45369.6190162037</v>
      </c>
      <c r="C540" s="1" t="n">
        <v>45970</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22264-2025</t>
        </is>
      </c>
      <c r="B541" s="1" t="n">
        <v>45785</v>
      </c>
      <c r="C541" s="1" t="n">
        <v>45970</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49632-2025</t>
        </is>
      </c>
      <c r="B542" s="1" t="n">
        <v>45938</v>
      </c>
      <c r="C542" s="1" t="n">
        <v>45970</v>
      </c>
      <c r="D542" t="inlineStr">
        <is>
          <t>ÖSTERGÖTLANDS LÄN</t>
        </is>
      </c>
      <c r="E542" t="inlineStr">
        <is>
          <t>LINKÖPING</t>
        </is>
      </c>
      <c r="F542" t="inlineStr">
        <is>
          <t>Övriga Aktiebolag</t>
        </is>
      </c>
      <c r="G542" t="n">
        <v>1.6</v>
      </c>
      <c r="H542" t="n">
        <v>0</v>
      </c>
      <c r="I542" t="n">
        <v>0</v>
      </c>
      <c r="J542" t="n">
        <v>0</v>
      </c>
      <c r="K542" t="n">
        <v>0</v>
      </c>
      <c r="L542" t="n">
        <v>0</v>
      </c>
      <c r="M542" t="n">
        <v>0</v>
      </c>
      <c r="N542" t="n">
        <v>0</v>
      </c>
      <c r="O542" t="n">
        <v>0</v>
      </c>
      <c r="P542" t="n">
        <v>0</v>
      </c>
      <c r="Q542" t="n">
        <v>0</v>
      </c>
      <c r="R542" s="2" t="inlineStr"/>
    </row>
    <row r="543" ht="15" customHeight="1">
      <c r="A543" t="inlineStr">
        <is>
          <t>A 37154-2023</t>
        </is>
      </c>
      <c r="B543" s="1" t="n">
        <v>45155</v>
      </c>
      <c r="C543" s="1" t="n">
        <v>45970</v>
      </c>
      <c r="D543" t="inlineStr">
        <is>
          <t>ÖSTERGÖTLANDS LÄN</t>
        </is>
      </c>
      <c r="E543" t="inlineStr">
        <is>
          <t>LINKÖPING</t>
        </is>
      </c>
      <c r="G543" t="n">
        <v>1.7</v>
      </c>
      <c r="H543" t="n">
        <v>0</v>
      </c>
      <c r="I543" t="n">
        <v>0</v>
      </c>
      <c r="J543" t="n">
        <v>0</v>
      </c>
      <c r="K543" t="n">
        <v>0</v>
      </c>
      <c r="L543" t="n">
        <v>0</v>
      </c>
      <c r="M543" t="n">
        <v>0</v>
      </c>
      <c r="N543" t="n">
        <v>0</v>
      </c>
      <c r="O543" t="n">
        <v>0</v>
      </c>
      <c r="P543" t="n">
        <v>0</v>
      </c>
      <c r="Q543" t="n">
        <v>0</v>
      </c>
      <c r="R543" s="2" t="inlineStr"/>
    </row>
    <row r="544" ht="15" customHeight="1">
      <c r="A544" t="inlineStr">
        <is>
          <t>A 6859-2024</t>
        </is>
      </c>
      <c r="B544" s="1" t="n">
        <v>45342</v>
      </c>
      <c r="C544" s="1" t="n">
        <v>45970</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38580-2024</t>
        </is>
      </c>
      <c r="B545" s="1" t="n">
        <v>45546.64825231482</v>
      </c>
      <c r="C545" s="1" t="n">
        <v>45970</v>
      </c>
      <c r="D545" t="inlineStr">
        <is>
          <t>ÖSTERGÖTLANDS LÄN</t>
        </is>
      </c>
      <c r="E545" t="inlineStr">
        <is>
          <t>LINKÖPING</t>
        </is>
      </c>
      <c r="G545" t="n">
        <v>4.8</v>
      </c>
      <c r="H545" t="n">
        <v>0</v>
      </c>
      <c r="I545" t="n">
        <v>0</v>
      </c>
      <c r="J545" t="n">
        <v>0</v>
      </c>
      <c r="K545" t="n">
        <v>0</v>
      </c>
      <c r="L545" t="n">
        <v>0</v>
      </c>
      <c r="M545" t="n">
        <v>0</v>
      </c>
      <c r="N545" t="n">
        <v>0</v>
      </c>
      <c r="O545" t="n">
        <v>0</v>
      </c>
      <c r="P545" t="n">
        <v>0</v>
      </c>
      <c r="Q545" t="n">
        <v>0</v>
      </c>
      <c r="R545" s="2" t="inlineStr"/>
    </row>
    <row r="546" ht="15" customHeight="1">
      <c r="A546" t="inlineStr">
        <is>
          <t>A 572-2025</t>
        </is>
      </c>
      <c r="B546" s="1" t="n">
        <v>45664.56349537037</v>
      </c>
      <c r="C546" s="1" t="n">
        <v>45970</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22364-2025</t>
        </is>
      </c>
      <c r="B547" s="1" t="n">
        <v>45786.46930555555</v>
      </c>
      <c r="C547" s="1" t="n">
        <v>45970</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45970</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42000-2023</t>
        </is>
      </c>
      <c r="B549" s="1" t="n">
        <v>45177</v>
      </c>
      <c r="C549" s="1" t="n">
        <v>45970</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44287-2024</t>
        </is>
      </c>
      <c r="B550" s="1" t="n">
        <v>45573.50582175926</v>
      </c>
      <c r="C550" s="1" t="n">
        <v>45970</v>
      </c>
      <c r="D550" t="inlineStr">
        <is>
          <t>ÖSTERGÖTLANDS LÄN</t>
        </is>
      </c>
      <c r="E550" t="inlineStr">
        <is>
          <t>LINKÖPING</t>
        </is>
      </c>
      <c r="G550" t="n">
        <v>12.7</v>
      </c>
      <c r="H550" t="n">
        <v>0</v>
      </c>
      <c r="I550" t="n">
        <v>0</v>
      </c>
      <c r="J550" t="n">
        <v>0</v>
      </c>
      <c r="K550" t="n">
        <v>0</v>
      </c>
      <c r="L550" t="n">
        <v>0</v>
      </c>
      <c r="M550" t="n">
        <v>0</v>
      </c>
      <c r="N550" t="n">
        <v>0</v>
      </c>
      <c r="O550" t="n">
        <v>0</v>
      </c>
      <c r="P550" t="n">
        <v>0</v>
      </c>
      <c r="Q550" t="n">
        <v>0</v>
      </c>
      <c r="R550" s="2" t="inlineStr"/>
    </row>
    <row r="551" ht="15" customHeight="1">
      <c r="A551" t="inlineStr">
        <is>
          <t>A 49650-2025</t>
        </is>
      </c>
      <c r="B551" s="1" t="n">
        <v>45938</v>
      </c>
      <c r="C551" s="1" t="n">
        <v>45970</v>
      </c>
      <c r="D551" t="inlineStr">
        <is>
          <t>ÖSTERGÖTLANDS LÄN</t>
        </is>
      </c>
      <c r="E551" t="inlineStr">
        <is>
          <t>LINKÖPING</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49652-2025</t>
        </is>
      </c>
      <c r="B552" s="1" t="n">
        <v>45938</v>
      </c>
      <c r="C552" s="1" t="n">
        <v>45970</v>
      </c>
      <c r="D552" t="inlineStr">
        <is>
          <t>ÖSTERGÖTLANDS LÄN</t>
        </is>
      </c>
      <c r="E552" t="inlineStr">
        <is>
          <t>LINKÖPING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29312-2024</t>
        </is>
      </c>
      <c r="B553" s="1" t="n">
        <v>45483</v>
      </c>
      <c r="C553" s="1" t="n">
        <v>45970</v>
      </c>
      <c r="D553" t="inlineStr">
        <is>
          <t>ÖSTERGÖTLANDS LÄN</t>
        </is>
      </c>
      <c r="E553" t="inlineStr">
        <is>
          <t>LINKÖPING</t>
        </is>
      </c>
      <c r="G553" t="n">
        <v>2.1</v>
      </c>
      <c r="H553" t="n">
        <v>0</v>
      </c>
      <c r="I553" t="n">
        <v>0</v>
      </c>
      <c r="J553" t="n">
        <v>0</v>
      </c>
      <c r="K553" t="n">
        <v>0</v>
      </c>
      <c r="L553" t="n">
        <v>0</v>
      </c>
      <c r="M553" t="n">
        <v>0</v>
      </c>
      <c r="N553" t="n">
        <v>0</v>
      </c>
      <c r="O553" t="n">
        <v>0</v>
      </c>
      <c r="P553" t="n">
        <v>0</v>
      </c>
      <c r="Q553" t="n">
        <v>0</v>
      </c>
      <c r="R553" s="2" t="inlineStr"/>
    </row>
    <row r="554" ht="15" customHeight="1">
      <c r="A554" t="inlineStr">
        <is>
          <t>A 49654-2025</t>
        </is>
      </c>
      <c r="B554" s="1" t="n">
        <v>45938</v>
      </c>
      <c r="C554" s="1" t="n">
        <v>45970</v>
      </c>
      <c r="D554" t="inlineStr">
        <is>
          <t>ÖSTERGÖTLANDS LÄN</t>
        </is>
      </c>
      <c r="E554" t="inlineStr">
        <is>
          <t>LINKÖPING</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32602-2022</t>
        </is>
      </c>
      <c r="B555" s="1" t="n">
        <v>44783.43192129629</v>
      </c>
      <c r="C555" s="1" t="n">
        <v>45970</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49647-2025</t>
        </is>
      </c>
      <c r="B556" s="1" t="n">
        <v>45938</v>
      </c>
      <c r="C556" s="1" t="n">
        <v>45970</v>
      </c>
      <c r="D556" t="inlineStr">
        <is>
          <t>ÖSTERGÖTLANDS LÄN</t>
        </is>
      </c>
      <c r="E556" t="inlineStr">
        <is>
          <t>LINKÖPING</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45970</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49605-2025</t>
        </is>
      </c>
      <c r="B558" s="1" t="n">
        <v>45938</v>
      </c>
      <c r="C558" s="1" t="n">
        <v>45970</v>
      </c>
      <c r="D558" t="inlineStr">
        <is>
          <t>ÖSTERGÖTLANDS LÄN</t>
        </is>
      </c>
      <c r="E558" t="inlineStr">
        <is>
          <t>LINKÖPING</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49663-2025</t>
        </is>
      </c>
      <c r="B559" s="1" t="n">
        <v>45938</v>
      </c>
      <c r="C559" s="1" t="n">
        <v>45970</v>
      </c>
      <c r="D559" t="inlineStr">
        <is>
          <t>ÖSTERGÖTLANDS LÄN</t>
        </is>
      </c>
      <c r="E559" t="inlineStr">
        <is>
          <t>LINKÖPING</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40983-2025</t>
        </is>
      </c>
      <c r="B560" s="1" t="n">
        <v>45898</v>
      </c>
      <c r="C560" s="1" t="n">
        <v>45970</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41706-2025</t>
        </is>
      </c>
      <c r="B561" s="1" t="n">
        <v>45902.42209490741</v>
      </c>
      <c r="C561" s="1" t="n">
        <v>45970</v>
      </c>
      <c r="D561" t="inlineStr">
        <is>
          <t>ÖSTERGÖTLANDS LÄN</t>
        </is>
      </c>
      <c r="E561" t="inlineStr">
        <is>
          <t>LINKÖPING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45970</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41511-2025</t>
        </is>
      </c>
      <c r="B563" s="1" t="n">
        <v>45901.53839120371</v>
      </c>
      <c r="C563" s="1" t="n">
        <v>45970</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13911-2025</t>
        </is>
      </c>
      <c r="B564" s="1" t="n">
        <v>45737.64784722222</v>
      </c>
      <c r="C564" s="1" t="n">
        <v>45970</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23768-2025</t>
        </is>
      </c>
      <c r="B565" s="1" t="n">
        <v>45793.47493055555</v>
      </c>
      <c r="C565" s="1" t="n">
        <v>45970</v>
      </c>
      <c r="D565" t="inlineStr">
        <is>
          <t>ÖSTERGÖTLANDS LÄN</t>
        </is>
      </c>
      <c r="E565" t="inlineStr">
        <is>
          <t>LINKÖPING</t>
        </is>
      </c>
      <c r="G565" t="n">
        <v>3.4</v>
      </c>
      <c r="H565" t="n">
        <v>0</v>
      </c>
      <c r="I565" t="n">
        <v>0</v>
      </c>
      <c r="J565" t="n">
        <v>0</v>
      </c>
      <c r="K565" t="n">
        <v>0</v>
      </c>
      <c r="L565" t="n">
        <v>0</v>
      </c>
      <c r="M565" t="n">
        <v>0</v>
      </c>
      <c r="N565" t="n">
        <v>0</v>
      </c>
      <c r="O565" t="n">
        <v>0</v>
      </c>
      <c r="P565" t="n">
        <v>0</v>
      </c>
      <c r="Q565" t="n">
        <v>0</v>
      </c>
      <c r="R565" s="2" t="inlineStr"/>
    </row>
    <row r="566" ht="15" customHeight="1">
      <c r="A566" t="inlineStr">
        <is>
          <t>A 13413-2023</t>
        </is>
      </c>
      <c r="B566" s="1" t="n">
        <v>45005.58341435185</v>
      </c>
      <c r="C566" s="1" t="n">
        <v>45970</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63528-2023</t>
        </is>
      </c>
      <c r="B567" s="1" t="n">
        <v>45274.94810185185</v>
      </c>
      <c r="C567" s="1" t="n">
        <v>45970</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63638-2023</t>
        </is>
      </c>
      <c r="B568" s="1" t="n">
        <v>45275</v>
      </c>
      <c r="C568" s="1" t="n">
        <v>45970</v>
      </c>
      <c r="D568" t="inlineStr">
        <is>
          <t>ÖSTERGÖTLANDS LÄN</t>
        </is>
      </c>
      <c r="E568" t="inlineStr">
        <is>
          <t>LINKÖPING</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63658-2023</t>
        </is>
      </c>
      <c r="B569" s="1" t="n">
        <v>45275</v>
      </c>
      <c r="C569" s="1" t="n">
        <v>45970</v>
      </c>
      <c r="D569" t="inlineStr">
        <is>
          <t>ÖSTERGÖTLANDS LÄN</t>
        </is>
      </c>
      <c r="E569" t="inlineStr">
        <is>
          <t>LINKÖPING</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7808-2022</t>
        </is>
      </c>
      <c r="B570" s="1" t="n">
        <v>44608</v>
      </c>
      <c r="C570" s="1" t="n">
        <v>45970</v>
      </c>
      <c r="D570" t="inlineStr">
        <is>
          <t>ÖSTERGÖTLANDS LÄN</t>
        </is>
      </c>
      <c r="E570" t="inlineStr">
        <is>
          <t>LINKÖPING</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36336-2023</t>
        </is>
      </c>
      <c r="B571" s="1" t="n">
        <v>45152.45078703704</v>
      </c>
      <c r="C571" s="1" t="n">
        <v>45970</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56623-2024</t>
        </is>
      </c>
      <c r="B572" s="1" t="n">
        <v>45625</v>
      </c>
      <c r="C572" s="1" t="n">
        <v>45970</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3042-2024</t>
        </is>
      </c>
      <c r="B573" s="1" t="n">
        <v>45316.35028935185</v>
      </c>
      <c r="C573" s="1" t="n">
        <v>45970</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13011-2022</t>
        </is>
      </c>
      <c r="B574" s="1" t="n">
        <v>44643</v>
      </c>
      <c r="C574" s="1" t="n">
        <v>45970</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11595-2025</t>
        </is>
      </c>
      <c r="B575" s="1" t="n">
        <v>45727.41893518518</v>
      </c>
      <c r="C575" s="1" t="n">
        <v>45970</v>
      </c>
      <c r="D575" t="inlineStr">
        <is>
          <t>ÖSTERGÖTLANDS LÄN</t>
        </is>
      </c>
      <c r="E575" t="inlineStr">
        <is>
          <t>LINKÖPING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29293-2025</t>
        </is>
      </c>
      <c r="B576" s="1" t="n">
        <v>45824</v>
      </c>
      <c r="C576" s="1" t="n">
        <v>45970</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44280-2024</t>
        </is>
      </c>
      <c r="B577" s="1" t="n">
        <v>45573.49461805556</v>
      </c>
      <c r="C577" s="1" t="n">
        <v>45970</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45970</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36336-2022</t>
        </is>
      </c>
      <c r="B579" s="1" t="n">
        <v>44803</v>
      </c>
      <c r="C579" s="1" t="n">
        <v>45970</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48839-2022</t>
        </is>
      </c>
      <c r="B580" s="1" t="n">
        <v>44859</v>
      </c>
      <c r="C580" s="1" t="n">
        <v>45970</v>
      </c>
      <c r="D580" t="inlineStr">
        <is>
          <t>ÖSTERGÖTLANDS LÄN</t>
        </is>
      </c>
      <c r="E580" t="inlineStr">
        <is>
          <t>LINKÖPING</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25996-2025</t>
        </is>
      </c>
      <c r="B581" s="1" t="n">
        <v>45804.65851851852</v>
      </c>
      <c r="C581" s="1" t="n">
        <v>45970</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50667-2025</t>
        </is>
      </c>
      <c r="B582" s="1" t="n">
        <v>45945</v>
      </c>
      <c r="C582" s="1" t="n">
        <v>45970</v>
      </c>
      <c r="D582" t="inlineStr">
        <is>
          <t>ÖSTERGÖTLANDS LÄN</t>
        </is>
      </c>
      <c r="E582" t="inlineStr">
        <is>
          <t>LINKÖPING</t>
        </is>
      </c>
      <c r="G582" t="n">
        <v>3.3</v>
      </c>
      <c r="H582" t="n">
        <v>0</v>
      </c>
      <c r="I582" t="n">
        <v>0</v>
      </c>
      <c r="J582" t="n">
        <v>0</v>
      </c>
      <c r="K582" t="n">
        <v>0</v>
      </c>
      <c r="L582" t="n">
        <v>0</v>
      </c>
      <c r="M582" t="n">
        <v>0</v>
      </c>
      <c r="N582" t="n">
        <v>0</v>
      </c>
      <c r="O582" t="n">
        <v>0</v>
      </c>
      <c r="P582" t="n">
        <v>0</v>
      </c>
      <c r="Q582" t="n">
        <v>0</v>
      </c>
      <c r="R582" s="2" t="inlineStr"/>
    </row>
    <row r="583" ht="15" customHeight="1">
      <c r="A583" t="inlineStr">
        <is>
          <t>A 26002-2025</t>
        </is>
      </c>
      <c r="B583" s="1" t="n">
        <v>45804.66534722222</v>
      </c>
      <c r="C583" s="1" t="n">
        <v>45970</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45970</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45970</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45970</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45970</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42623-2025</t>
        </is>
      </c>
      <c r="B588" s="1" t="n">
        <v>45905</v>
      </c>
      <c r="C588" s="1" t="n">
        <v>45970</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45970</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42624-2025</t>
        </is>
      </c>
      <c r="B590" s="1" t="n">
        <v>45905</v>
      </c>
      <c r="C590" s="1" t="n">
        <v>45970</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42626-2025</t>
        </is>
      </c>
      <c r="B591" s="1" t="n">
        <v>45905</v>
      </c>
      <c r="C591" s="1" t="n">
        <v>45970</v>
      </c>
      <c r="D591" t="inlineStr">
        <is>
          <t>ÖSTERGÖTLANDS LÄN</t>
        </is>
      </c>
      <c r="E591" t="inlineStr">
        <is>
          <t>LINKÖPING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42054-2022</t>
        </is>
      </c>
      <c r="B592" s="1" t="n">
        <v>44830</v>
      </c>
      <c r="C592" s="1" t="n">
        <v>45970</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45970</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10253-2022</t>
        </is>
      </c>
      <c r="B594" s="1" t="n">
        <v>44622</v>
      </c>
      <c r="C594" s="1" t="n">
        <v>45970</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51802-2025</t>
        </is>
      </c>
      <c r="B595" s="1" t="n">
        <v>45950</v>
      </c>
      <c r="C595" s="1" t="n">
        <v>45970</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22833-2023</t>
        </is>
      </c>
      <c r="B596" s="1" t="n">
        <v>45071</v>
      </c>
      <c r="C596" s="1" t="n">
        <v>45970</v>
      </c>
      <c r="D596" t="inlineStr">
        <is>
          <t>ÖSTERGÖTLANDS LÄN</t>
        </is>
      </c>
      <c r="E596" t="inlineStr">
        <is>
          <t>LINKÖPING</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17898-2022</t>
        </is>
      </c>
      <c r="B597" s="1" t="n">
        <v>44683</v>
      </c>
      <c r="C597" s="1" t="n">
        <v>45970</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52111-2025</t>
        </is>
      </c>
      <c r="B598" s="1" t="n">
        <v>45952.69527777778</v>
      </c>
      <c r="C598" s="1" t="n">
        <v>45970</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62017-2024</t>
        </is>
      </c>
      <c r="B599" s="1" t="n">
        <v>45655.81140046296</v>
      </c>
      <c r="C599" s="1" t="n">
        <v>45970</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44638.21601851852</v>
      </c>
      <c r="C600" s="1" t="n">
        <v>45970</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10492-2022</t>
        </is>
      </c>
      <c r="B601" s="1" t="n">
        <v>44623.6377199074</v>
      </c>
      <c r="C601" s="1" t="n">
        <v>45970</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28200-2025</t>
        </is>
      </c>
      <c r="B602" s="1" t="n">
        <v>45818.4428125</v>
      </c>
      <c r="C602" s="1" t="n">
        <v>45970</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45970</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8967-2025</t>
        </is>
      </c>
      <c r="B604" s="1" t="n">
        <v>45712</v>
      </c>
      <c r="C604" s="1" t="n">
        <v>45970</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35427-2023</t>
        </is>
      </c>
      <c r="B605" s="1" t="n">
        <v>45146</v>
      </c>
      <c r="C605" s="1" t="n">
        <v>45970</v>
      </c>
      <c r="D605" t="inlineStr">
        <is>
          <t>ÖSTERGÖTLANDS LÄN</t>
        </is>
      </c>
      <c r="E605" t="inlineStr">
        <is>
          <t>LINKÖPING</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30468-2023</t>
        </is>
      </c>
      <c r="B606" s="1" t="n">
        <v>45111.58732638889</v>
      </c>
      <c r="C606" s="1" t="n">
        <v>45970</v>
      </c>
      <c r="D606" t="inlineStr">
        <is>
          <t>ÖSTERGÖTLANDS LÄN</t>
        </is>
      </c>
      <c r="E606" t="inlineStr">
        <is>
          <t>LINKÖPING</t>
        </is>
      </c>
      <c r="G606" t="n">
        <v>10.1</v>
      </c>
      <c r="H606" t="n">
        <v>0</v>
      </c>
      <c r="I606" t="n">
        <v>0</v>
      </c>
      <c r="J606" t="n">
        <v>0</v>
      </c>
      <c r="K606" t="n">
        <v>0</v>
      </c>
      <c r="L606" t="n">
        <v>0</v>
      </c>
      <c r="M606" t="n">
        <v>0</v>
      </c>
      <c r="N606" t="n">
        <v>0</v>
      </c>
      <c r="O606" t="n">
        <v>0</v>
      </c>
      <c r="P606" t="n">
        <v>0</v>
      </c>
      <c r="Q606" t="n">
        <v>0</v>
      </c>
      <c r="R606" s="2" t="inlineStr"/>
    </row>
    <row r="607" ht="15" customHeight="1">
      <c r="A607" t="inlineStr">
        <is>
          <t>A 27950-2025</t>
        </is>
      </c>
      <c r="B607" s="1" t="n">
        <v>45817.52960648148</v>
      </c>
      <c r="C607" s="1" t="n">
        <v>45970</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27797-2025</t>
        </is>
      </c>
      <c r="B608" s="1" t="n">
        <v>45816.80521990741</v>
      </c>
      <c r="C608" s="1" t="n">
        <v>45970</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27798-2025</t>
        </is>
      </c>
      <c r="B609" s="1" t="n">
        <v>45816.81532407407</v>
      </c>
      <c r="C609" s="1" t="n">
        <v>45970</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28209-2025</t>
        </is>
      </c>
      <c r="B610" s="1" t="n">
        <v>45818.45112268518</v>
      </c>
      <c r="C610" s="1" t="n">
        <v>45970</v>
      </c>
      <c r="D610" t="inlineStr">
        <is>
          <t>ÖSTERGÖTLANDS LÄN</t>
        </is>
      </c>
      <c r="E610" t="inlineStr">
        <is>
          <t>LINKÖPING</t>
        </is>
      </c>
      <c r="G610" t="n">
        <v>4.2</v>
      </c>
      <c r="H610" t="n">
        <v>0</v>
      </c>
      <c r="I610" t="n">
        <v>0</v>
      </c>
      <c r="J610" t="n">
        <v>0</v>
      </c>
      <c r="K610" t="n">
        <v>0</v>
      </c>
      <c r="L610" t="n">
        <v>0</v>
      </c>
      <c r="M610" t="n">
        <v>0</v>
      </c>
      <c r="N610" t="n">
        <v>0</v>
      </c>
      <c r="O610" t="n">
        <v>0</v>
      </c>
      <c r="P610" t="n">
        <v>0</v>
      </c>
      <c r="Q610" t="n">
        <v>0</v>
      </c>
      <c r="R610" s="2" t="inlineStr"/>
    </row>
    <row r="611" ht="15" customHeight="1">
      <c r="A611" t="inlineStr">
        <is>
          <t>A 28204-2025</t>
        </is>
      </c>
      <c r="B611" s="1" t="n">
        <v>45818.4477662037</v>
      </c>
      <c r="C611" s="1" t="n">
        <v>45970</v>
      </c>
      <c r="D611" t="inlineStr">
        <is>
          <t>ÖSTERGÖTLANDS LÄN</t>
        </is>
      </c>
      <c r="E611" t="inlineStr">
        <is>
          <t>LINKÖPING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28398-2025</t>
        </is>
      </c>
      <c r="B612" s="1" t="n">
        <v>45819.34208333334</v>
      </c>
      <c r="C612" s="1" t="n">
        <v>45970</v>
      </c>
      <c r="D612" t="inlineStr">
        <is>
          <t>ÖSTERGÖTLANDS LÄN</t>
        </is>
      </c>
      <c r="E612" t="inlineStr">
        <is>
          <t>LINKÖPING</t>
        </is>
      </c>
      <c r="F612" t="inlineStr">
        <is>
          <t>Sveaskog</t>
        </is>
      </c>
      <c r="G612" t="n">
        <v>7.9</v>
      </c>
      <c r="H612" t="n">
        <v>0</v>
      </c>
      <c r="I612" t="n">
        <v>0</v>
      </c>
      <c r="J612" t="n">
        <v>0</v>
      </c>
      <c r="K612" t="n">
        <v>0</v>
      </c>
      <c r="L612" t="n">
        <v>0</v>
      </c>
      <c r="M612" t="n">
        <v>0</v>
      </c>
      <c r="N612" t="n">
        <v>0</v>
      </c>
      <c r="O612" t="n">
        <v>0</v>
      </c>
      <c r="P612" t="n">
        <v>0</v>
      </c>
      <c r="Q612" t="n">
        <v>0</v>
      </c>
      <c r="R612" s="2" t="inlineStr"/>
    </row>
    <row r="613" ht="15" customHeight="1">
      <c r="A613" t="inlineStr">
        <is>
          <t>A 20296-2025</t>
        </is>
      </c>
      <c r="B613" s="1" t="n">
        <v>45774.74922453704</v>
      </c>
      <c r="C613" s="1" t="n">
        <v>45970</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43755-2025</t>
        </is>
      </c>
      <c r="B614" s="1" t="n">
        <v>45912.47329861111</v>
      </c>
      <c r="C614" s="1" t="n">
        <v>45970</v>
      </c>
      <c r="D614" t="inlineStr">
        <is>
          <t>ÖSTERGÖTLANDS LÄN</t>
        </is>
      </c>
      <c r="E614" t="inlineStr">
        <is>
          <t>LINKÖPING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28416-2025</t>
        </is>
      </c>
      <c r="B615" s="1" t="n">
        <v>45819.35346064815</v>
      </c>
      <c r="C615" s="1" t="n">
        <v>45970</v>
      </c>
      <c r="D615" t="inlineStr">
        <is>
          <t>ÖSTERGÖTLANDS LÄN</t>
        </is>
      </c>
      <c r="E615" t="inlineStr">
        <is>
          <t>LINKÖPING</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29027-2025</t>
        </is>
      </c>
      <c r="B616" s="1" t="n">
        <v>45821.4375462963</v>
      </c>
      <c r="C616" s="1" t="n">
        <v>45970</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56841-2023</t>
        </is>
      </c>
      <c r="B617" s="1" t="n">
        <v>45244</v>
      </c>
      <c r="C617" s="1" t="n">
        <v>45970</v>
      </c>
      <c r="D617" t="inlineStr">
        <is>
          <t>ÖSTERGÖTLANDS LÄN</t>
        </is>
      </c>
      <c r="E617" t="inlineStr">
        <is>
          <t>LINKÖPING</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29393-2025</t>
        </is>
      </c>
      <c r="B618" s="1" t="n">
        <v>45824.6057175926</v>
      </c>
      <c r="C618" s="1" t="n">
        <v>45970</v>
      </c>
      <c r="D618" t="inlineStr">
        <is>
          <t>ÖSTERGÖTLANDS LÄN</t>
        </is>
      </c>
      <c r="E618" t="inlineStr">
        <is>
          <t>LINKÖPING</t>
        </is>
      </c>
      <c r="F618" t="inlineStr">
        <is>
          <t>Sveaskog</t>
        </is>
      </c>
      <c r="G618" t="n">
        <v>24.6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45970</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43758-2025</t>
        </is>
      </c>
      <c r="B620" s="1" t="n">
        <v>45912.47711805555</v>
      </c>
      <c r="C620" s="1" t="n">
        <v>45970</v>
      </c>
      <c r="D620" t="inlineStr">
        <is>
          <t>ÖSTERGÖTLANDS LÄN</t>
        </is>
      </c>
      <c r="E620" t="inlineStr">
        <is>
          <t>LINKÖPING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29411-2025</t>
        </is>
      </c>
      <c r="B621" s="1" t="n">
        <v>45824.6219212963</v>
      </c>
      <c r="C621" s="1" t="n">
        <v>45970</v>
      </c>
      <c r="D621" t="inlineStr">
        <is>
          <t>ÖSTERGÖTLANDS LÄN</t>
        </is>
      </c>
      <c r="E621" t="inlineStr">
        <is>
          <t>LINKÖPING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53812-2023</t>
        </is>
      </c>
      <c r="B622" s="1" t="n">
        <v>45231.39583333334</v>
      </c>
      <c r="C622" s="1" t="n">
        <v>45970</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53830-2023</t>
        </is>
      </c>
      <c r="B623" s="1" t="n">
        <v>45230</v>
      </c>
      <c r="C623" s="1" t="n">
        <v>45970</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29599-2025</t>
        </is>
      </c>
      <c r="B624" s="1" t="n">
        <v>45825.41101851852</v>
      </c>
      <c r="C624" s="1" t="n">
        <v>45970</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44170-2025</t>
        </is>
      </c>
      <c r="B625" s="1" t="n">
        <v>45915.59864583334</v>
      </c>
      <c r="C625" s="1" t="n">
        <v>45970</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38715-2023</t>
        </is>
      </c>
      <c r="B626" s="1" t="n">
        <v>45160</v>
      </c>
      <c r="C626" s="1" t="n">
        <v>45970</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52740-2025</t>
        </is>
      </c>
      <c r="B627" s="1" t="n">
        <v>45957.37747685185</v>
      </c>
      <c r="C627" s="1" t="n">
        <v>45970</v>
      </c>
      <c r="D627" t="inlineStr">
        <is>
          <t>ÖSTERGÖTLANDS LÄN</t>
        </is>
      </c>
      <c r="E627" t="inlineStr">
        <is>
          <t>LINKÖPING</t>
        </is>
      </c>
      <c r="G627" t="n">
        <v>3.7</v>
      </c>
      <c r="H627" t="n">
        <v>0</v>
      </c>
      <c r="I627" t="n">
        <v>0</v>
      </c>
      <c r="J627" t="n">
        <v>0</v>
      </c>
      <c r="K627" t="n">
        <v>0</v>
      </c>
      <c r="L627" t="n">
        <v>0</v>
      </c>
      <c r="M627" t="n">
        <v>0</v>
      </c>
      <c r="N627" t="n">
        <v>0</v>
      </c>
      <c r="O627" t="n">
        <v>0</v>
      </c>
      <c r="P627" t="n">
        <v>0</v>
      </c>
      <c r="Q627" t="n">
        <v>0</v>
      </c>
      <c r="R627" s="2" t="inlineStr"/>
    </row>
    <row r="628" ht="15" customHeight="1">
      <c r="A628" t="inlineStr">
        <is>
          <t>A 30355-2025</t>
        </is>
      </c>
      <c r="B628" s="1" t="n">
        <v>45827</v>
      </c>
      <c r="C628" s="1" t="n">
        <v>45970</v>
      </c>
      <c r="D628" t="inlineStr">
        <is>
          <t>ÖSTERGÖTLANDS LÄN</t>
        </is>
      </c>
      <c r="E628" t="inlineStr">
        <is>
          <t>LINKÖPING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52743-2025</t>
        </is>
      </c>
      <c r="B629" s="1" t="n">
        <v>45957.38039351852</v>
      </c>
      <c r="C629" s="1" t="n">
        <v>45970</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30353-2025</t>
        </is>
      </c>
      <c r="B630" s="1" t="n">
        <v>45827</v>
      </c>
      <c r="C630" s="1" t="n">
        <v>45970</v>
      </c>
      <c r="D630" t="inlineStr">
        <is>
          <t>ÖSTERGÖTLANDS LÄN</t>
        </is>
      </c>
      <c r="E630" t="inlineStr">
        <is>
          <t>LINKÖPING</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27766-2022</t>
        </is>
      </c>
      <c r="B631" s="1" t="n">
        <v>44743.53112268518</v>
      </c>
      <c r="C631" s="1" t="n">
        <v>45970</v>
      </c>
      <c r="D631" t="inlineStr">
        <is>
          <t>ÖSTERGÖTLANDS LÄN</t>
        </is>
      </c>
      <c r="E631" t="inlineStr">
        <is>
          <t>LINKÖPING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52807-2025</t>
        </is>
      </c>
      <c r="B632" s="1" t="n">
        <v>45957.44837962963</v>
      </c>
      <c r="C632" s="1" t="n">
        <v>45970</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52800-2025</t>
        </is>
      </c>
      <c r="B633" s="1" t="n">
        <v>45957.44152777778</v>
      </c>
      <c r="C633" s="1" t="n">
        <v>45970</v>
      </c>
      <c r="D633" t="inlineStr">
        <is>
          <t>ÖSTERGÖTLANDS LÄN</t>
        </is>
      </c>
      <c r="E633" t="inlineStr">
        <is>
          <t>LINKÖPING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31581-2025</t>
        </is>
      </c>
      <c r="B634" s="1" t="n">
        <v>45833.6840162037</v>
      </c>
      <c r="C634" s="1" t="n">
        <v>45970</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31585-2025</t>
        </is>
      </c>
      <c r="B635" s="1" t="n">
        <v>45833.68815972222</v>
      </c>
      <c r="C635" s="1" t="n">
        <v>45970</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48271-2023</t>
        </is>
      </c>
      <c r="B636" s="1" t="n">
        <v>45205</v>
      </c>
      <c r="C636" s="1" t="n">
        <v>45970</v>
      </c>
      <c r="D636" t="inlineStr">
        <is>
          <t>ÖSTERGÖTLANDS LÄN</t>
        </is>
      </c>
      <c r="E636" t="inlineStr">
        <is>
          <t>LINKÖPING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52802-2025</t>
        </is>
      </c>
      <c r="B637" s="1" t="n">
        <v>45957.44295138889</v>
      </c>
      <c r="C637" s="1" t="n">
        <v>45970</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32723-2025</t>
        </is>
      </c>
      <c r="B638" s="1" t="n">
        <v>45838</v>
      </c>
      <c r="C638" s="1" t="n">
        <v>45970</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13266-2025</t>
        </is>
      </c>
      <c r="B639" s="1" t="n">
        <v>45735.53318287037</v>
      </c>
      <c r="C639" s="1" t="n">
        <v>45970</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44759-2025</t>
        </is>
      </c>
      <c r="B640" s="1" t="n">
        <v>45917.7152662037</v>
      </c>
      <c r="C640" s="1" t="n">
        <v>45970</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44764-2025</t>
        </is>
      </c>
      <c r="B641" s="1" t="n">
        <v>45917.72821759259</v>
      </c>
      <c r="C641" s="1" t="n">
        <v>45970</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60001-2022</t>
        </is>
      </c>
      <c r="B642" s="1" t="n">
        <v>44909.47087962963</v>
      </c>
      <c r="C642" s="1" t="n">
        <v>45970</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39457-2023</t>
        </is>
      </c>
      <c r="B643" s="1" t="n">
        <v>45166</v>
      </c>
      <c r="C643" s="1" t="n">
        <v>45970</v>
      </c>
      <c r="D643" t="inlineStr">
        <is>
          <t>ÖSTERGÖTLANDS LÄN</t>
        </is>
      </c>
      <c r="E643" t="inlineStr">
        <is>
          <t>LINKÖPING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1657-2024</t>
        </is>
      </c>
      <c r="B644" s="1" t="n">
        <v>45306.82501157407</v>
      </c>
      <c r="C644" s="1" t="n">
        <v>45970</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33947-2025</t>
        </is>
      </c>
      <c r="B645" s="1" t="n">
        <v>45842.65444444444</v>
      </c>
      <c r="C645" s="1" t="n">
        <v>45970</v>
      </c>
      <c r="D645" t="inlineStr">
        <is>
          <t>ÖSTERGÖTLANDS LÄN</t>
        </is>
      </c>
      <c r="E645" t="inlineStr">
        <is>
          <t>LINKÖPING</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30976-2022</t>
        </is>
      </c>
      <c r="B646" s="1" t="n">
        <v>44768</v>
      </c>
      <c r="C646" s="1" t="n">
        <v>45970</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30860-2022</t>
        </is>
      </c>
      <c r="B647" s="1" t="n">
        <v>44767</v>
      </c>
      <c r="C647" s="1" t="n">
        <v>45970</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62012-2024</t>
        </is>
      </c>
      <c r="B648" s="1" t="n">
        <v>45655.79679398148</v>
      </c>
      <c r="C648" s="1" t="n">
        <v>45970</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45970</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28266-2024</t>
        </is>
      </c>
      <c r="B650" s="1" t="n">
        <v>45477.43600694444</v>
      </c>
      <c r="C650" s="1" t="n">
        <v>45970</v>
      </c>
      <c r="D650" t="inlineStr">
        <is>
          <t>ÖSTERGÖTLANDS LÄN</t>
        </is>
      </c>
      <c r="E650" t="inlineStr">
        <is>
          <t>LINKÖPING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53529-2024</t>
        </is>
      </c>
      <c r="B651" s="1" t="n">
        <v>45614</v>
      </c>
      <c r="C651" s="1" t="n">
        <v>45970</v>
      </c>
      <c r="D651" t="inlineStr">
        <is>
          <t>ÖSTERGÖTLANDS LÄN</t>
        </is>
      </c>
      <c r="E651" t="inlineStr">
        <is>
          <t>LINKÖPING</t>
        </is>
      </c>
      <c r="G651" t="n">
        <v>6.7</v>
      </c>
      <c r="H651" t="n">
        <v>0</v>
      </c>
      <c r="I651" t="n">
        <v>0</v>
      </c>
      <c r="J651" t="n">
        <v>0</v>
      </c>
      <c r="K651" t="n">
        <v>0</v>
      </c>
      <c r="L651" t="n">
        <v>0</v>
      </c>
      <c r="M651" t="n">
        <v>0</v>
      </c>
      <c r="N651" t="n">
        <v>0</v>
      </c>
      <c r="O651" t="n">
        <v>0</v>
      </c>
      <c r="P651" t="n">
        <v>0</v>
      </c>
      <c r="Q651" t="n">
        <v>0</v>
      </c>
      <c r="R651" s="2" t="inlineStr"/>
    </row>
    <row r="652" ht="15" customHeight="1">
      <c r="A652" t="inlineStr">
        <is>
          <t>A 31548-2022</t>
        </is>
      </c>
      <c r="B652" s="1" t="n">
        <v>44775.39832175926</v>
      </c>
      <c r="C652" s="1" t="n">
        <v>45970</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1211-2023</t>
        </is>
      </c>
      <c r="B653" s="1" t="n">
        <v>44930</v>
      </c>
      <c r="C653" s="1" t="n">
        <v>45970</v>
      </c>
      <c r="D653" t="inlineStr">
        <is>
          <t>ÖSTERGÖTLANDS LÄN</t>
        </is>
      </c>
      <c r="E653" t="inlineStr">
        <is>
          <t>LINKÖPING</t>
        </is>
      </c>
      <c r="F653" t="inlineStr">
        <is>
          <t>Övriga statliga verk och myndigheter</t>
        </is>
      </c>
      <c r="G653" t="n">
        <v>7.9</v>
      </c>
      <c r="H653" t="n">
        <v>0</v>
      </c>
      <c r="I653" t="n">
        <v>0</v>
      </c>
      <c r="J653" t="n">
        <v>0</v>
      </c>
      <c r="K653" t="n">
        <v>0</v>
      </c>
      <c r="L653" t="n">
        <v>0</v>
      </c>
      <c r="M653" t="n">
        <v>0</v>
      </c>
      <c r="N653" t="n">
        <v>0</v>
      </c>
      <c r="O653" t="n">
        <v>0</v>
      </c>
      <c r="P653" t="n">
        <v>0</v>
      </c>
      <c r="Q653" t="n">
        <v>0</v>
      </c>
      <c r="R653" s="2" t="inlineStr"/>
    </row>
    <row r="654" ht="15" customHeight="1">
      <c r="A654" t="inlineStr">
        <is>
          <t>A 51191-2022</t>
        </is>
      </c>
      <c r="B654" s="1" t="n">
        <v>44865</v>
      </c>
      <c r="C654" s="1" t="n">
        <v>45970</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20469-2025</t>
        </is>
      </c>
      <c r="B655" s="1" t="n">
        <v>45775</v>
      </c>
      <c r="C655" s="1" t="n">
        <v>45970</v>
      </c>
      <c r="D655" t="inlineStr">
        <is>
          <t>ÖSTERGÖTLANDS LÄN</t>
        </is>
      </c>
      <c r="E655" t="inlineStr">
        <is>
          <t>LINKÖPING</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55632-2022</t>
        </is>
      </c>
      <c r="B656" s="1" t="n">
        <v>44888</v>
      </c>
      <c r="C656" s="1" t="n">
        <v>45970</v>
      </c>
      <c r="D656" t="inlineStr">
        <is>
          <t>ÖSTERGÖTLANDS LÄN</t>
        </is>
      </c>
      <c r="E656" t="inlineStr">
        <is>
          <t>LINKÖPING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33800-2023</t>
        </is>
      </c>
      <c r="B657" s="1" t="n">
        <v>45121</v>
      </c>
      <c r="C657" s="1" t="n">
        <v>45970</v>
      </c>
      <c r="D657" t="inlineStr">
        <is>
          <t>ÖSTERGÖTLANDS LÄN</t>
        </is>
      </c>
      <c r="E657" t="inlineStr">
        <is>
          <t>LINKÖPING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47991-2023</t>
        </is>
      </c>
      <c r="B658" s="1" t="n">
        <v>45204.62655092592</v>
      </c>
      <c r="C658" s="1" t="n">
        <v>45970</v>
      </c>
      <c r="D658" t="inlineStr">
        <is>
          <t>ÖSTERGÖTLANDS LÄN</t>
        </is>
      </c>
      <c r="E658" t="inlineStr">
        <is>
          <t>LINKÖPING</t>
        </is>
      </c>
      <c r="F658" t="inlineStr">
        <is>
          <t>Allmännings- och besparingsskogar</t>
        </is>
      </c>
      <c r="G658" t="n">
        <v>7.3</v>
      </c>
      <c r="H658" t="n">
        <v>0</v>
      </c>
      <c r="I658" t="n">
        <v>0</v>
      </c>
      <c r="J658" t="n">
        <v>0</v>
      </c>
      <c r="K658" t="n">
        <v>0</v>
      </c>
      <c r="L658" t="n">
        <v>0</v>
      </c>
      <c r="M658" t="n">
        <v>0</v>
      </c>
      <c r="N658" t="n">
        <v>0</v>
      </c>
      <c r="O658" t="n">
        <v>0</v>
      </c>
      <c r="P658" t="n">
        <v>0</v>
      </c>
      <c r="Q658" t="n">
        <v>0</v>
      </c>
      <c r="R658" s="2" t="inlineStr"/>
    </row>
    <row r="659" ht="15" customHeight="1">
      <c r="A659" t="inlineStr">
        <is>
          <t>A 63669-2023</t>
        </is>
      </c>
      <c r="B659" s="1" t="n">
        <v>45275</v>
      </c>
      <c r="C659" s="1" t="n">
        <v>45970</v>
      </c>
      <c r="D659" t="inlineStr">
        <is>
          <t>ÖSTERGÖTLANDS LÄN</t>
        </is>
      </c>
      <c r="E659" t="inlineStr">
        <is>
          <t>LINKÖPING</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12289-2025</t>
        </is>
      </c>
      <c r="B660" s="1" t="n">
        <v>45729</v>
      </c>
      <c r="C660" s="1" t="n">
        <v>45970</v>
      </c>
      <c r="D660" t="inlineStr">
        <is>
          <t>ÖSTERGÖTLANDS LÄN</t>
        </is>
      </c>
      <c r="E660" t="inlineStr">
        <is>
          <t>LINKÖPING</t>
        </is>
      </c>
      <c r="F660" t="inlineStr">
        <is>
          <t>Övriga statliga verk och myndigheter</t>
        </is>
      </c>
      <c r="G660" t="n">
        <v>6.5</v>
      </c>
      <c r="H660" t="n">
        <v>0</v>
      </c>
      <c r="I660" t="n">
        <v>0</v>
      </c>
      <c r="J660" t="n">
        <v>0</v>
      </c>
      <c r="K660" t="n">
        <v>0</v>
      </c>
      <c r="L660" t="n">
        <v>0</v>
      </c>
      <c r="M660" t="n">
        <v>0</v>
      </c>
      <c r="N660" t="n">
        <v>0</v>
      </c>
      <c r="O660" t="n">
        <v>0</v>
      </c>
      <c r="P660" t="n">
        <v>0</v>
      </c>
      <c r="Q660" t="n">
        <v>0</v>
      </c>
      <c r="R660" s="2" t="inlineStr"/>
    </row>
    <row r="661" ht="15" customHeight="1">
      <c r="A661" t="inlineStr">
        <is>
          <t>A 36657-2023</t>
        </is>
      </c>
      <c r="B661" s="1" t="n">
        <v>45153.5702662037</v>
      </c>
      <c r="C661" s="1" t="n">
        <v>45970</v>
      </c>
      <c r="D661" t="inlineStr">
        <is>
          <t>ÖSTERGÖTLANDS LÄN</t>
        </is>
      </c>
      <c r="E661" t="inlineStr">
        <is>
          <t>LINKÖPING</t>
        </is>
      </c>
      <c r="F661" t="inlineStr">
        <is>
          <t>Allmännings- och besparingsskogar</t>
        </is>
      </c>
      <c r="G661" t="n">
        <v>2</v>
      </c>
      <c r="H661" t="n">
        <v>0</v>
      </c>
      <c r="I661" t="n">
        <v>0</v>
      </c>
      <c r="J661" t="n">
        <v>0</v>
      </c>
      <c r="K661" t="n">
        <v>0</v>
      </c>
      <c r="L661" t="n">
        <v>0</v>
      </c>
      <c r="M661" t="n">
        <v>0</v>
      </c>
      <c r="N661" t="n">
        <v>0</v>
      </c>
      <c r="O661" t="n">
        <v>0</v>
      </c>
      <c r="P661" t="n">
        <v>0</v>
      </c>
      <c r="Q661" t="n">
        <v>0</v>
      </c>
      <c r="R661" s="2" t="inlineStr"/>
    </row>
    <row r="662" ht="15" customHeight="1">
      <c r="A662" t="inlineStr">
        <is>
          <t>A 19169-2023</t>
        </is>
      </c>
      <c r="B662" s="1" t="n">
        <v>45044</v>
      </c>
      <c r="C662" s="1" t="n">
        <v>45970</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1209-2023</t>
        </is>
      </c>
      <c r="B663" s="1" t="n">
        <v>44930</v>
      </c>
      <c r="C663" s="1" t="n">
        <v>45970</v>
      </c>
      <c r="D663" t="inlineStr">
        <is>
          <t>ÖSTERGÖTLANDS LÄN</t>
        </is>
      </c>
      <c r="E663" t="inlineStr">
        <is>
          <t>LINKÖPING</t>
        </is>
      </c>
      <c r="F663" t="inlineStr">
        <is>
          <t>Övriga statliga verk och myndigheter</t>
        </is>
      </c>
      <c r="G663" t="n">
        <v>25.8</v>
      </c>
      <c r="H663" t="n">
        <v>0</v>
      </c>
      <c r="I663" t="n">
        <v>0</v>
      </c>
      <c r="J663" t="n">
        <v>0</v>
      </c>
      <c r="K663" t="n">
        <v>0</v>
      </c>
      <c r="L663" t="n">
        <v>0</v>
      </c>
      <c r="M663" t="n">
        <v>0</v>
      </c>
      <c r="N663" t="n">
        <v>0</v>
      </c>
      <c r="O663" t="n">
        <v>0</v>
      </c>
      <c r="P663" t="n">
        <v>0</v>
      </c>
      <c r="Q663" t="n">
        <v>0</v>
      </c>
      <c r="R663" s="2" t="inlineStr"/>
    </row>
    <row r="664" ht="15" customHeight="1">
      <c r="A664" t="inlineStr">
        <is>
          <t>A 35178-2025</t>
        </is>
      </c>
      <c r="B664" s="1" t="n">
        <v>45852.91939814815</v>
      </c>
      <c r="C664" s="1" t="n">
        <v>45970</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35174-2025</t>
        </is>
      </c>
      <c r="B665" s="1" t="n">
        <v>45852.90648148148</v>
      </c>
      <c r="C665" s="1" t="n">
        <v>45970</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2085-2024</t>
        </is>
      </c>
      <c r="B666" s="1" t="n">
        <v>45309</v>
      </c>
      <c r="C666" s="1" t="n">
        <v>45970</v>
      </c>
      <c r="D666" t="inlineStr">
        <is>
          <t>ÖSTERGÖTLANDS LÄN</t>
        </is>
      </c>
      <c r="E666" t="inlineStr">
        <is>
          <t>LINKÖPING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26007-2025</t>
        </is>
      </c>
      <c r="B667" s="1" t="n">
        <v>45804.67081018518</v>
      </c>
      <c r="C667" s="1" t="n">
        <v>45970</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35179-2025</t>
        </is>
      </c>
      <c r="B668" s="1" t="n">
        <v>45852.93737268518</v>
      </c>
      <c r="C668" s="1" t="n">
        <v>45970</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35180-2025</t>
        </is>
      </c>
      <c r="B669" s="1" t="n">
        <v>45852.9413425926</v>
      </c>
      <c r="C669" s="1" t="n">
        <v>45970</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48-2024</t>
        </is>
      </c>
      <c r="B670" s="1" t="n">
        <v>45293</v>
      </c>
      <c r="C670" s="1" t="n">
        <v>45970</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45112-2025</t>
        </is>
      </c>
      <c r="B671" s="1" t="n">
        <v>45919</v>
      </c>
      <c r="C671" s="1" t="n">
        <v>45970</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35747-2025</t>
        </is>
      </c>
      <c r="B672" s="1" t="n">
        <v>45860.56385416666</v>
      </c>
      <c r="C672" s="1" t="n">
        <v>45970</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35745-2025</t>
        </is>
      </c>
      <c r="B673" s="1" t="n">
        <v>45860.54739583333</v>
      </c>
      <c r="C673" s="1" t="n">
        <v>45970</v>
      </c>
      <c r="D673" t="inlineStr">
        <is>
          <t>ÖSTERGÖTLANDS LÄN</t>
        </is>
      </c>
      <c r="E673" t="inlineStr">
        <is>
          <t>LINKÖPING</t>
        </is>
      </c>
      <c r="G673" t="n">
        <v>4.4</v>
      </c>
      <c r="H673" t="n">
        <v>0</v>
      </c>
      <c r="I673" t="n">
        <v>0</v>
      </c>
      <c r="J673" t="n">
        <v>0</v>
      </c>
      <c r="K673" t="n">
        <v>0</v>
      </c>
      <c r="L673" t="n">
        <v>0</v>
      </c>
      <c r="M673" t="n">
        <v>0</v>
      </c>
      <c r="N673" t="n">
        <v>0</v>
      </c>
      <c r="O673" t="n">
        <v>0</v>
      </c>
      <c r="P673" t="n">
        <v>0</v>
      </c>
      <c r="Q673" t="n">
        <v>0</v>
      </c>
      <c r="R673" s="2" t="inlineStr"/>
    </row>
    <row r="674" ht="15" customHeight="1">
      <c r="A674" t="inlineStr">
        <is>
          <t>A 35757-2025</t>
        </is>
      </c>
      <c r="B674" s="1" t="n">
        <v>45860.59876157407</v>
      </c>
      <c r="C674" s="1" t="n">
        <v>45970</v>
      </c>
      <c r="D674" t="inlineStr">
        <is>
          <t>ÖSTERGÖTLANDS LÄN</t>
        </is>
      </c>
      <c r="E674" t="inlineStr">
        <is>
          <t>LINKÖPING</t>
        </is>
      </c>
      <c r="G674" t="n">
        <v>5.7</v>
      </c>
      <c r="H674" t="n">
        <v>0</v>
      </c>
      <c r="I674" t="n">
        <v>0</v>
      </c>
      <c r="J674" t="n">
        <v>0</v>
      </c>
      <c r="K674" t="n">
        <v>0</v>
      </c>
      <c r="L674" t="n">
        <v>0</v>
      </c>
      <c r="M674" t="n">
        <v>0</v>
      </c>
      <c r="N674" t="n">
        <v>0</v>
      </c>
      <c r="O674" t="n">
        <v>0</v>
      </c>
      <c r="P674" t="n">
        <v>0</v>
      </c>
      <c r="Q674" t="n">
        <v>0</v>
      </c>
      <c r="R674" s="2" t="inlineStr"/>
    </row>
    <row r="675" ht="15" customHeight="1">
      <c r="A675" t="inlineStr">
        <is>
          <t>A 35759-2025</t>
        </is>
      </c>
      <c r="B675" s="1" t="n">
        <v>45860</v>
      </c>
      <c r="C675" s="1" t="n">
        <v>45970</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56560-2023</t>
        </is>
      </c>
      <c r="B676" s="1" t="n">
        <v>45238</v>
      </c>
      <c r="C676" s="1" t="n">
        <v>45970</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19132-2023</t>
        </is>
      </c>
      <c r="B677" s="1" t="n">
        <v>45048.54754629629</v>
      </c>
      <c r="C677" s="1" t="n">
        <v>45970</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50056-2025</t>
        </is>
      </c>
      <c r="B678" s="1" t="n">
        <v>45941</v>
      </c>
      <c r="C678" s="1" t="n">
        <v>45970</v>
      </c>
      <c r="D678" t="inlineStr">
        <is>
          <t>ÖSTERGÖTLANDS LÄN</t>
        </is>
      </c>
      <c r="E678" t="inlineStr">
        <is>
          <t>LINKÖPING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52412-2023</t>
        </is>
      </c>
      <c r="B679" s="1" t="n">
        <v>45225.27888888889</v>
      </c>
      <c r="C679" s="1" t="n">
        <v>45970</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62492-2023</t>
        </is>
      </c>
      <c r="B680" s="1" t="n">
        <v>45268.58987268519</v>
      </c>
      <c r="C680" s="1" t="n">
        <v>45970</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38230-2023</t>
        </is>
      </c>
      <c r="B681" s="1" t="n">
        <v>45161.55373842592</v>
      </c>
      <c r="C681" s="1" t="n">
        <v>45970</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54332-2025</t>
        </is>
      </c>
      <c r="B682" s="1" t="n">
        <v>45965.34915509259</v>
      </c>
      <c r="C682" s="1" t="n">
        <v>45970</v>
      </c>
      <c r="D682" t="inlineStr">
        <is>
          <t>ÖSTERGÖTLANDS LÄN</t>
        </is>
      </c>
      <c r="E682" t="inlineStr">
        <is>
          <t>LINKÖPING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56756-2023</t>
        </is>
      </c>
      <c r="B683" s="1" t="n">
        <v>45244</v>
      </c>
      <c r="C683" s="1" t="n">
        <v>45970</v>
      </c>
      <c r="D683" t="inlineStr">
        <is>
          <t>ÖSTERGÖTLANDS LÄN</t>
        </is>
      </c>
      <c r="E683" t="inlineStr">
        <is>
          <t>LINKÖPING</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38886-2024</t>
        </is>
      </c>
      <c r="B684" s="1" t="n">
        <v>45547.66443287037</v>
      </c>
      <c r="C684" s="1" t="n">
        <v>45970</v>
      </c>
      <c r="D684" t="inlineStr">
        <is>
          <t>ÖSTERGÖTLANDS LÄN</t>
        </is>
      </c>
      <c r="E684" t="inlineStr">
        <is>
          <t>LINKÖPING</t>
        </is>
      </c>
      <c r="G684" t="n">
        <v>5.3</v>
      </c>
      <c r="H684" t="n">
        <v>0</v>
      </c>
      <c r="I684" t="n">
        <v>0</v>
      </c>
      <c r="J684" t="n">
        <v>0</v>
      </c>
      <c r="K684" t="n">
        <v>0</v>
      </c>
      <c r="L684" t="n">
        <v>0</v>
      </c>
      <c r="M684" t="n">
        <v>0</v>
      </c>
      <c r="N684" t="n">
        <v>0</v>
      </c>
      <c r="O684" t="n">
        <v>0</v>
      </c>
      <c r="P684" t="n">
        <v>0</v>
      </c>
      <c r="Q684" t="n">
        <v>0</v>
      </c>
      <c r="R684" s="2" t="inlineStr"/>
    </row>
    <row r="685" ht="15" customHeight="1">
      <c r="A685" t="inlineStr">
        <is>
          <t>A 11590-2023</t>
        </is>
      </c>
      <c r="B685" s="1" t="n">
        <v>44994.36689814815</v>
      </c>
      <c r="C685" s="1" t="n">
        <v>45970</v>
      </c>
      <c r="D685" t="inlineStr">
        <is>
          <t>ÖSTERGÖTLANDS LÄN</t>
        </is>
      </c>
      <c r="E685" t="inlineStr">
        <is>
          <t>LINKÖPING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10461-2023</t>
        </is>
      </c>
      <c r="B686" s="1" t="n">
        <v>44987.5969212963</v>
      </c>
      <c r="C686" s="1" t="n">
        <v>45970</v>
      </c>
      <c r="D686" t="inlineStr">
        <is>
          <t>ÖSTERGÖTLANDS LÄN</t>
        </is>
      </c>
      <c r="E686" t="inlineStr">
        <is>
          <t>LINKÖPING</t>
        </is>
      </c>
      <c r="G686" t="n">
        <v>7.8</v>
      </c>
      <c r="H686" t="n">
        <v>0</v>
      </c>
      <c r="I686" t="n">
        <v>0</v>
      </c>
      <c r="J686" t="n">
        <v>0</v>
      </c>
      <c r="K686" t="n">
        <v>0</v>
      </c>
      <c r="L686" t="n">
        <v>0</v>
      </c>
      <c r="M686" t="n">
        <v>0</v>
      </c>
      <c r="N686" t="n">
        <v>0</v>
      </c>
      <c r="O686" t="n">
        <v>0</v>
      </c>
      <c r="P686" t="n">
        <v>0</v>
      </c>
      <c r="Q686" t="n">
        <v>0</v>
      </c>
      <c r="R686" s="2" t="inlineStr"/>
    </row>
    <row r="687" ht="15" customHeight="1">
      <c r="A687" t="inlineStr">
        <is>
          <t>A 41345-2021</t>
        </is>
      </c>
      <c r="B687" s="1" t="n">
        <v>44424.61851851852</v>
      </c>
      <c r="C687" s="1" t="n">
        <v>45970</v>
      </c>
      <c r="D687" t="inlineStr">
        <is>
          <t>ÖSTERGÖTLANDS LÄN</t>
        </is>
      </c>
      <c r="E687" t="inlineStr">
        <is>
          <t>LINKÖPING</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54333-2025</t>
        </is>
      </c>
      <c r="B688" s="1" t="n">
        <v>45965.35090277778</v>
      </c>
      <c r="C688" s="1" t="n">
        <v>45970</v>
      </c>
      <c r="D688" t="inlineStr">
        <is>
          <t>ÖSTERGÖTLANDS LÄN</t>
        </is>
      </c>
      <c r="E688" t="inlineStr">
        <is>
          <t>LINKÖPING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45634-2025</t>
        </is>
      </c>
      <c r="B689" s="1" t="n">
        <v>45922.85089120371</v>
      </c>
      <c r="C689" s="1" t="n">
        <v>45970</v>
      </c>
      <c r="D689" t="inlineStr">
        <is>
          <t>ÖSTERGÖTLANDS LÄN</t>
        </is>
      </c>
      <c r="E689" t="inlineStr">
        <is>
          <t>LINKÖPING</t>
        </is>
      </c>
      <c r="F689" t="inlineStr">
        <is>
          <t>Övriga Aktiebolag</t>
        </is>
      </c>
      <c r="G689" t="n">
        <v>0.3</v>
      </c>
      <c r="H689" t="n">
        <v>0</v>
      </c>
      <c r="I689" t="n">
        <v>0</v>
      </c>
      <c r="J689" t="n">
        <v>0</v>
      </c>
      <c r="K689" t="n">
        <v>0</v>
      </c>
      <c r="L689" t="n">
        <v>0</v>
      </c>
      <c r="M689" t="n">
        <v>0</v>
      </c>
      <c r="N689" t="n">
        <v>0</v>
      </c>
      <c r="O689" t="n">
        <v>0</v>
      </c>
      <c r="P689" t="n">
        <v>0</v>
      </c>
      <c r="Q689" t="n">
        <v>0</v>
      </c>
      <c r="R689" s="2" t="inlineStr"/>
    </row>
    <row r="690" ht="15" customHeight="1">
      <c r="A690" t="inlineStr">
        <is>
          <t>A 45792-2025</t>
        </is>
      </c>
      <c r="B690" s="1" t="n">
        <v>45923.56998842592</v>
      </c>
      <c r="C690" s="1" t="n">
        <v>45970</v>
      </c>
      <c r="D690" t="inlineStr">
        <is>
          <t>ÖSTERGÖTLANDS LÄN</t>
        </is>
      </c>
      <c r="E690" t="inlineStr">
        <is>
          <t>LINKÖPING</t>
        </is>
      </c>
      <c r="G690" t="n">
        <v>2.6</v>
      </c>
      <c r="H690" t="n">
        <v>0</v>
      </c>
      <c r="I690" t="n">
        <v>0</v>
      </c>
      <c r="J690" t="n">
        <v>0</v>
      </c>
      <c r="K690" t="n">
        <v>0</v>
      </c>
      <c r="L690" t="n">
        <v>0</v>
      </c>
      <c r="M690" t="n">
        <v>0</v>
      </c>
      <c r="N690" t="n">
        <v>0</v>
      </c>
      <c r="O690" t="n">
        <v>0</v>
      </c>
      <c r="P690" t="n">
        <v>0</v>
      </c>
      <c r="Q690" t="n">
        <v>0</v>
      </c>
      <c r="R690" s="2" t="inlineStr"/>
    </row>
    <row r="691" ht="15" customHeight="1">
      <c r="A691" t="inlineStr">
        <is>
          <t>A 37057-2025</t>
        </is>
      </c>
      <c r="B691" s="1" t="n">
        <v>45875.37489583333</v>
      </c>
      <c r="C691" s="1" t="n">
        <v>45970</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67129-2020</t>
        </is>
      </c>
      <c r="B692" s="1" t="n">
        <v>44180</v>
      </c>
      <c r="C692" s="1" t="n">
        <v>45970</v>
      </c>
      <c r="D692" t="inlineStr">
        <is>
          <t>ÖSTERGÖTLANDS LÄN</t>
        </is>
      </c>
      <c r="E692" t="inlineStr">
        <is>
          <t>LINKÖPING</t>
        </is>
      </c>
      <c r="F692" t="inlineStr">
        <is>
          <t>Övriga statliga verk och myndigheter</t>
        </is>
      </c>
      <c r="G692" t="n">
        <v>2.7</v>
      </c>
      <c r="H692" t="n">
        <v>0</v>
      </c>
      <c r="I692" t="n">
        <v>0</v>
      </c>
      <c r="J692" t="n">
        <v>0</v>
      </c>
      <c r="K692" t="n">
        <v>0</v>
      </c>
      <c r="L692" t="n">
        <v>0</v>
      </c>
      <c r="M692" t="n">
        <v>0</v>
      </c>
      <c r="N692" t="n">
        <v>0</v>
      </c>
      <c r="O692" t="n">
        <v>0</v>
      </c>
      <c r="P692" t="n">
        <v>0</v>
      </c>
      <c r="Q692" t="n">
        <v>0</v>
      </c>
      <c r="R692" s="2" t="inlineStr"/>
    </row>
    <row r="693" ht="15" customHeight="1">
      <c r="A693" t="inlineStr">
        <is>
          <t>A 61307-2021</t>
        </is>
      </c>
      <c r="B693" s="1" t="n">
        <v>44498.63928240741</v>
      </c>
      <c r="C693" s="1" t="n">
        <v>45970</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61325-2021</t>
        </is>
      </c>
      <c r="B694" s="1" t="n">
        <v>44498.66814814815</v>
      </c>
      <c r="C694" s="1" t="n">
        <v>45970</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60010-2022</t>
        </is>
      </c>
      <c r="B695" s="1" t="n">
        <v>44909.4740625</v>
      </c>
      <c r="C695" s="1" t="n">
        <v>45970</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54329-2025</t>
        </is>
      </c>
      <c r="B696" s="1" t="n">
        <v>45965.34706018519</v>
      </c>
      <c r="C696" s="1" t="n">
        <v>45970</v>
      </c>
      <c r="D696" t="inlineStr">
        <is>
          <t>ÖSTERGÖTLANDS LÄN</t>
        </is>
      </c>
      <c r="E696" t="inlineStr">
        <is>
          <t>LINKÖPING</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30518-2024</t>
        </is>
      </c>
      <c r="B697" s="1" t="n">
        <v>45492</v>
      </c>
      <c r="C697" s="1" t="n">
        <v>45970</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4908-2023</t>
        </is>
      </c>
      <c r="B698" s="1" t="n">
        <v>44958</v>
      </c>
      <c r="C698" s="1" t="n">
        <v>45970</v>
      </c>
      <c r="D698" t="inlineStr">
        <is>
          <t>ÖSTERGÖTLANDS LÄN</t>
        </is>
      </c>
      <c r="E698" t="inlineStr">
        <is>
          <t>LINKÖPING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37715-2022</t>
        </is>
      </c>
      <c r="B699" s="1" t="n">
        <v>44810</v>
      </c>
      <c r="C699" s="1" t="n">
        <v>45970</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45804-2025</t>
        </is>
      </c>
      <c r="B700" s="1" t="n">
        <v>45923.5819675926</v>
      </c>
      <c r="C700" s="1" t="n">
        <v>45970</v>
      </c>
      <c r="D700" t="inlineStr">
        <is>
          <t>ÖSTERGÖTLANDS LÄN</t>
        </is>
      </c>
      <c r="E700" t="inlineStr">
        <is>
          <t>LINKÖPING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25829-2025</t>
        </is>
      </c>
      <c r="B701" s="1" t="n">
        <v>45804.44505787037</v>
      </c>
      <c r="C701" s="1" t="n">
        <v>45970</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3742-2021</t>
        </is>
      </c>
      <c r="B702" s="1" t="n">
        <v>44221</v>
      </c>
      <c r="C702" s="1" t="n">
        <v>45970</v>
      </c>
      <c r="D702" t="inlineStr">
        <is>
          <t>ÖSTERGÖTLANDS LÄN</t>
        </is>
      </c>
      <c r="E702" t="inlineStr">
        <is>
          <t>LINKÖPING</t>
        </is>
      </c>
      <c r="G702" t="n">
        <v>5.5</v>
      </c>
      <c r="H702" t="n">
        <v>0</v>
      </c>
      <c r="I702" t="n">
        <v>0</v>
      </c>
      <c r="J702" t="n">
        <v>0</v>
      </c>
      <c r="K702" t="n">
        <v>0</v>
      </c>
      <c r="L702" t="n">
        <v>0</v>
      </c>
      <c r="M702" t="n">
        <v>0</v>
      </c>
      <c r="N702" t="n">
        <v>0</v>
      </c>
      <c r="O702" t="n">
        <v>0</v>
      </c>
      <c r="P702" t="n">
        <v>0</v>
      </c>
      <c r="Q702" t="n">
        <v>0</v>
      </c>
      <c r="R702" s="2" t="inlineStr"/>
    </row>
    <row r="703" ht="15" customHeight="1">
      <c r="A703" t="inlineStr">
        <is>
          <t>A 3011-2023</t>
        </is>
      </c>
      <c r="B703" s="1" t="n">
        <v>44945</v>
      </c>
      <c r="C703" s="1" t="n">
        <v>45970</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45442-2024</t>
        </is>
      </c>
      <c r="B704" s="1" t="n">
        <v>45576.64189814815</v>
      </c>
      <c r="C704" s="1" t="n">
        <v>45970</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55132-2025</t>
        </is>
      </c>
      <c r="B705" s="1" t="n">
        <v>45968.41912037037</v>
      </c>
      <c r="C705" s="1" t="n">
        <v>45970</v>
      </c>
      <c r="D705" t="inlineStr">
        <is>
          <t>ÖSTERGÖTLANDS LÄN</t>
        </is>
      </c>
      <c r="E705" t="inlineStr">
        <is>
          <t>LINKÖPING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3432-2023</t>
        </is>
      </c>
      <c r="B706" s="1" t="n">
        <v>44949</v>
      </c>
      <c r="C706" s="1" t="n">
        <v>45970</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1440-2021</t>
        </is>
      </c>
      <c r="B707" s="1" t="n">
        <v>44208</v>
      </c>
      <c r="C707" s="1" t="n">
        <v>45970</v>
      </c>
      <c r="D707" t="inlineStr">
        <is>
          <t>ÖSTERGÖTLANDS LÄN</t>
        </is>
      </c>
      <c r="E707" t="inlineStr">
        <is>
          <t>LINKÖPING</t>
        </is>
      </c>
      <c r="G707" t="n">
        <v>8.4</v>
      </c>
      <c r="H707" t="n">
        <v>0</v>
      </c>
      <c r="I707" t="n">
        <v>0</v>
      </c>
      <c r="J707" t="n">
        <v>0</v>
      </c>
      <c r="K707" t="n">
        <v>0</v>
      </c>
      <c r="L707" t="n">
        <v>0</v>
      </c>
      <c r="M707" t="n">
        <v>0</v>
      </c>
      <c r="N707" t="n">
        <v>0</v>
      </c>
      <c r="O707" t="n">
        <v>0</v>
      </c>
      <c r="P707" t="n">
        <v>0</v>
      </c>
      <c r="Q707" t="n">
        <v>0</v>
      </c>
      <c r="R707" s="2" t="inlineStr"/>
    </row>
    <row r="708" ht="15" customHeight="1">
      <c r="A708" t="inlineStr">
        <is>
          <t>A 60472-2022</t>
        </is>
      </c>
      <c r="B708" s="1" t="n">
        <v>44911.41037037037</v>
      </c>
      <c r="C708" s="1" t="n">
        <v>45970</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12720-2022</t>
        </is>
      </c>
      <c r="B709" s="1" t="n">
        <v>44641</v>
      </c>
      <c r="C709" s="1" t="n">
        <v>45970</v>
      </c>
      <c r="D709" t="inlineStr">
        <is>
          <t>ÖSTERGÖTLANDS LÄN</t>
        </is>
      </c>
      <c r="E709" t="inlineStr">
        <is>
          <t>LINKÖPING</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46428-2025</t>
        </is>
      </c>
      <c r="B710" s="1" t="n">
        <v>45925.60758101852</v>
      </c>
      <c r="C710" s="1" t="n">
        <v>45970</v>
      </c>
      <c r="D710" t="inlineStr">
        <is>
          <t>ÖSTERGÖTLANDS LÄN</t>
        </is>
      </c>
      <c r="E710" t="inlineStr">
        <is>
          <t>LINKÖPING</t>
        </is>
      </c>
      <c r="G710" t="n">
        <v>3</v>
      </c>
      <c r="H710" t="n">
        <v>0</v>
      </c>
      <c r="I710" t="n">
        <v>0</v>
      </c>
      <c r="J710" t="n">
        <v>0</v>
      </c>
      <c r="K710" t="n">
        <v>0</v>
      </c>
      <c r="L710" t="n">
        <v>0</v>
      </c>
      <c r="M710" t="n">
        <v>0</v>
      </c>
      <c r="N710" t="n">
        <v>0</v>
      </c>
      <c r="O710" t="n">
        <v>0</v>
      </c>
      <c r="P710" t="n">
        <v>0</v>
      </c>
      <c r="Q710" t="n">
        <v>0</v>
      </c>
      <c r="R710" s="2" t="inlineStr"/>
    </row>
    <row r="711" ht="15" customHeight="1">
      <c r="A711" t="inlineStr">
        <is>
          <t>A 46426-2025</t>
        </is>
      </c>
      <c r="B711" s="1" t="n">
        <v>45925.6012962963</v>
      </c>
      <c r="C711" s="1" t="n">
        <v>45970</v>
      </c>
      <c r="D711" t="inlineStr">
        <is>
          <t>ÖSTERGÖTLANDS LÄN</t>
        </is>
      </c>
      <c r="E711" t="inlineStr">
        <is>
          <t>LINKÖPING</t>
        </is>
      </c>
      <c r="G711" t="n">
        <v>4.4</v>
      </c>
      <c r="H711" t="n">
        <v>0</v>
      </c>
      <c r="I711" t="n">
        <v>0</v>
      </c>
      <c r="J711" t="n">
        <v>0</v>
      </c>
      <c r="K711" t="n">
        <v>0</v>
      </c>
      <c r="L711" t="n">
        <v>0</v>
      </c>
      <c r="M711" t="n">
        <v>0</v>
      </c>
      <c r="N711" t="n">
        <v>0</v>
      </c>
      <c r="O711" t="n">
        <v>0</v>
      </c>
      <c r="P711" t="n">
        <v>0</v>
      </c>
      <c r="Q711" t="n">
        <v>0</v>
      </c>
      <c r="R711" s="2" t="inlineStr"/>
    </row>
    <row r="712" ht="15" customHeight="1">
      <c r="A712" t="inlineStr">
        <is>
          <t>A 55102-2025</t>
        </is>
      </c>
      <c r="B712" s="1" t="n">
        <v>45968.35410879629</v>
      </c>
      <c r="C712" s="1" t="n">
        <v>45970</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55109-2025</t>
        </is>
      </c>
      <c r="B713" s="1" t="n">
        <v>45968.37731481482</v>
      </c>
      <c r="C713" s="1" t="n">
        <v>45970</v>
      </c>
      <c r="D713" t="inlineStr">
        <is>
          <t>ÖSTERGÖTLANDS LÄN</t>
        </is>
      </c>
      <c r="E713" t="inlineStr">
        <is>
          <t>LINKÖPING</t>
        </is>
      </c>
      <c r="G713" t="n">
        <v>3.2</v>
      </c>
      <c r="H713" t="n">
        <v>0</v>
      </c>
      <c r="I713" t="n">
        <v>0</v>
      </c>
      <c r="J713" t="n">
        <v>0</v>
      </c>
      <c r="K713" t="n">
        <v>0</v>
      </c>
      <c r="L713" t="n">
        <v>0</v>
      </c>
      <c r="M713" t="n">
        <v>0</v>
      </c>
      <c r="N713" t="n">
        <v>0</v>
      </c>
      <c r="O713" t="n">
        <v>0</v>
      </c>
      <c r="P713" t="n">
        <v>0</v>
      </c>
      <c r="Q713" t="n">
        <v>0</v>
      </c>
      <c r="R713" s="2" t="inlineStr"/>
    </row>
    <row r="714" ht="15" customHeight="1">
      <c r="A714" t="inlineStr">
        <is>
          <t>A 46377-2025</t>
        </is>
      </c>
      <c r="B714" s="1" t="n">
        <v>45925.51773148148</v>
      </c>
      <c r="C714" s="1" t="n">
        <v>45970</v>
      </c>
      <c r="D714" t="inlineStr">
        <is>
          <t>ÖSTERGÖTLANDS LÄN</t>
        </is>
      </c>
      <c r="E714" t="inlineStr">
        <is>
          <t>LINKÖPING</t>
        </is>
      </c>
      <c r="G714" t="n">
        <v>3.1</v>
      </c>
      <c r="H714" t="n">
        <v>0</v>
      </c>
      <c r="I714" t="n">
        <v>0</v>
      </c>
      <c r="J714" t="n">
        <v>0</v>
      </c>
      <c r="K714" t="n">
        <v>0</v>
      </c>
      <c r="L714" t="n">
        <v>0</v>
      </c>
      <c r="M714" t="n">
        <v>0</v>
      </c>
      <c r="N714" t="n">
        <v>0</v>
      </c>
      <c r="O714" t="n">
        <v>0</v>
      </c>
      <c r="P714" t="n">
        <v>0</v>
      </c>
      <c r="Q714" t="n">
        <v>0</v>
      </c>
      <c r="R714" s="2" t="inlineStr"/>
    </row>
    <row r="715">
      <c r="A715" t="inlineStr">
        <is>
          <t>A 55165-2025</t>
        </is>
      </c>
      <c r="B715" s="1" t="n">
        <v>45968.48194444444</v>
      </c>
      <c r="C715" s="1" t="n">
        <v>45970</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2025-11-09T10:11:16Z</dcterms:created>
  <dcterms:modified xmlns:dcterms="http://purl.org/dc/terms/" xmlns:xsi="http://www.w3.org/2001/XMLSchema-instance" xsi:type="dcterms:W3CDTF">2025-11-09T10:11:17Z</dcterms:modified>
</cp:coreProperties>
</file>