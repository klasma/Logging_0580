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46160</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46160</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46160</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46160</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46160</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48329-2025</t>
        </is>
      </c>
      <c r="B13" s="1" t="n">
        <v>45932</v>
      </c>
      <c r="C13" s="1" t="n">
        <v>46160</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9192-2025</t>
        </is>
      </c>
      <c r="B14" s="1" t="n">
        <v>45714.45943287037</v>
      </c>
      <c r="C14" s="1" t="n">
        <v>46160</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46160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6353-2026</t>
        </is>
      </c>
      <c r="B16" s="1" t="n">
        <v>46055.61385416667</v>
      </c>
      <c r="C16" s="1" t="n">
        <v>46160</v>
      </c>
      <c r="D16" t="inlineStr">
        <is>
          <t>ÖSTERGÖTLANDS LÄN</t>
        </is>
      </c>
      <c r="E16" t="inlineStr">
        <is>
          <t>LINKÖPING</t>
        </is>
      </c>
      <c r="F16" t="inlineStr">
        <is>
          <t>Övriga Aktiebolag</t>
        </is>
      </c>
      <c r="G16" t="n">
        <v>6.8</v>
      </c>
      <c r="H16" t="n">
        <v>1</v>
      </c>
      <c r="I16" t="n">
        <v>0</v>
      </c>
      <c r="J16" t="n">
        <v>0</v>
      </c>
      <c r="K16" t="n">
        <v>1</v>
      </c>
      <c r="L16" t="n">
        <v>1</v>
      </c>
      <c r="M16" t="n">
        <v>0</v>
      </c>
      <c r="N16" t="n">
        <v>0</v>
      </c>
      <c r="O16" t="n">
        <v>2</v>
      </c>
      <c r="P16" t="n">
        <v>2</v>
      </c>
      <c r="Q16" t="n">
        <v>3</v>
      </c>
      <c r="R16" s="2" t="inlineStr">
        <is>
          <t>Ask
Gulvit blekspik
Gullviva</t>
        </is>
      </c>
      <c r="S16">
        <f>HYPERLINK("https://klasma.github.io/Logging_0580/artfynd/A 6353-2026 artfynd.xlsx", "A 6353-2026")</f>
        <v/>
      </c>
      <c r="T16">
        <f>HYPERLINK("https://klasma.github.io/Logging_0580/kartor/A 6353-2026 karta.png", "A 6353-2026")</f>
        <v/>
      </c>
      <c r="V16">
        <f>HYPERLINK("https://klasma.github.io/Logging_0580/klagomål/A 6353-2026 FSC-klagomål.docx", "A 6353-2026")</f>
        <v/>
      </c>
      <c r="W16">
        <f>HYPERLINK("https://klasma.github.io/Logging_0580/klagomålsmail/A 6353-2026 FSC-klagomål mail.docx", "A 6353-2026")</f>
        <v/>
      </c>
      <c r="X16">
        <f>HYPERLINK("https://klasma.github.io/Logging_0580/tillsyn/A 6353-2026 tillsynsbegäran.docx", "A 6353-2026")</f>
        <v/>
      </c>
      <c r="Y16">
        <f>HYPERLINK("https://klasma.github.io/Logging_0580/tillsynsmail/A 6353-2026 tillsynsbegäran mail.docx", "A 6353-2026")</f>
        <v/>
      </c>
    </row>
    <row r="17" ht="15" customHeight="1">
      <c r="A17" t="inlineStr">
        <is>
          <t>A 49999-2025</t>
        </is>
      </c>
      <c r="B17" s="1" t="n">
        <v>45943.30185185185</v>
      </c>
      <c r="C17" s="1" t="n">
        <v>46160</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46160</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11097-2026</t>
        </is>
      </c>
      <c r="B19" s="1" t="n">
        <v>46079.64511574074</v>
      </c>
      <c r="C19" s="1" t="n">
        <v>46160</v>
      </c>
      <c r="D19" t="inlineStr">
        <is>
          <t>ÖSTERGÖTLANDS LÄN</t>
        </is>
      </c>
      <c r="E19" t="inlineStr">
        <is>
          <t>LINKÖPING</t>
        </is>
      </c>
      <c r="G19" t="n">
        <v>3.7</v>
      </c>
      <c r="H19" t="n">
        <v>0</v>
      </c>
      <c r="I19" t="n">
        <v>1</v>
      </c>
      <c r="J19" t="n">
        <v>2</v>
      </c>
      <c r="K19" t="n">
        <v>0</v>
      </c>
      <c r="L19" t="n">
        <v>0</v>
      </c>
      <c r="M19" t="n">
        <v>0</v>
      </c>
      <c r="N19" t="n">
        <v>0</v>
      </c>
      <c r="O19" t="n">
        <v>2</v>
      </c>
      <c r="P19" t="n">
        <v>0</v>
      </c>
      <c r="Q19" t="n">
        <v>3</v>
      </c>
      <c r="R19" s="2" t="inlineStr">
        <is>
          <t>Bäcksidenmossa
Vedtrappmossa
Trubbfjädermossa</t>
        </is>
      </c>
      <c r="S19">
        <f>HYPERLINK("https://klasma.github.io/Logging_0580/artfynd/A 11097-2026 artfynd.xlsx", "A 11097-2026")</f>
        <v/>
      </c>
      <c r="T19">
        <f>HYPERLINK("https://klasma.github.io/Logging_0580/kartor/A 11097-2026 karta.png", "A 11097-2026")</f>
        <v/>
      </c>
      <c r="V19">
        <f>HYPERLINK("https://klasma.github.io/Logging_0580/klagomål/A 11097-2026 FSC-klagomål.docx", "A 11097-2026")</f>
        <v/>
      </c>
      <c r="W19">
        <f>HYPERLINK("https://klasma.github.io/Logging_0580/klagomålsmail/A 11097-2026 FSC-klagomål mail.docx", "A 11097-2026")</f>
        <v/>
      </c>
      <c r="X19">
        <f>HYPERLINK("https://klasma.github.io/Logging_0580/tillsyn/A 11097-2026 tillsynsbegäran.docx", "A 11097-2026")</f>
        <v/>
      </c>
      <c r="Y19">
        <f>HYPERLINK("https://klasma.github.io/Logging_0580/tillsynsmail/A 11097-2026 tillsynsbegäran mail.docx", "A 11097-2026")</f>
        <v/>
      </c>
    </row>
    <row r="20" ht="15" customHeight="1">
      <c r="A20" t="inlineStr">
        <is>
          <t>A 11048-2026</t>
        </is>
      </c>
      <c r="B20" s="1" t="n">
        <v>46079.58841435185</v>
      </c>
      <c r="C20" s="1" t="n">
        <v>46160</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12494-2026</t>
        </is>
      </c>
      <c r="B21" s="1" t="n">
        <v>46090.56896990741</v>
      </c>
      <c r="C21" s="1" t="n">
        <v>46160</v>
      </c>
      <c r="D21" t="inlineStr">
        <is>
          <t>ÖSTERGÖTLANDS LÄN</t>
        </is>
      </c>
      <c r="E21" t="inlineStr">
        <is>
          <t>LINKÖPING</t>
        </is>
      </c>
      <c r="G21" t="n">
        <v>3.4</v>
      </c>
      <c r="H21" t="n">
        <v>1</v>
      </c>
      <c r="I21" t="n">
        <v>0</v>
      </c>
      <c r="J21" t="n">
        <v>1</v>
      </c>
      <c r="K21" t="n">
        <v>1</v>
      </c>
      <c r="L21" t="n">
        <v>0</v>
      </c>
      <c r="M21" t="n">
        <v>0</v>
      </c>
      <c r="N21" t="n">
        <v>0</v>
      </c>
      <c r="O21" t="n">
        <v>2</v>
      </c>
      <c r="P21" t="n">
        <v>1</v>
      </c>
      <c r="Q21" t="n">
        <v>3</v>
      </c>
      <c r="R21" s="2" t="inlineStr">
        <is>
          <t>Slåttergubbe
Svinrot
Blåsippa</t>
        </is>
      </c>
      <c r="S21">
        <f>HYPERLINK("https://klasma.github.io/Logging_0580/artfynd/A 12494-2026 artfynd.xlsx", "A 12494-2026")</f>
        <v/>
      </c>
      <c r="T21">
        <f>HYPERLINK("https://klasma.github.io/Logging_0580/kartor/A 12494-2026 karta.png", "A 12494-2026")</f>
        <v/>
      </c>
      <c r="V21">
        <f>HYPERLINK("https://klasma.github.io/Logging_0580/klagomål/A 12494-2026 FSC-klagomål.docx", "A 12494-2026")</f>
        <v/>
      </c>
      <c r="W21">
        <f>HYPERLINK("https://klasma.github.io/Logging_0580/klagomålsmail/A 12494-2026 FSC-klagomål mail.docx", "A 12494-2026")</f>
        <v/>
      </c>
      <c r="X21">
        <f>HYPERLINK("https://klasma.github.io/Logging_0580/tillsyn/A 12494-2026 tillsynsbegäran.docx", "A 12494-2026")</f>
        <v/>
      </c>
      <c r="Y21">
        <f>HYPERLINK("https://klasma.github.io/Logging_0580/tillsynsmail/A 12494-2026 tillsynsbegäran mail.docx", "A 12494-2026")</f>
        <v/>
      </c>
    </row>
    <row r="22" ht="15" customHeight="1">
      <c r="A22" t="inlineStr">
        <is>
          <t>A 38913-2023</t>
        </is>
      </c>
      <c r="B22" s="1" t="n">
        <v>45163</v>
      </c>
      <c r="C22" s="1" t="n">
        <v>46160</v>
      </c>
      <c r="D22" t="inlineStr">
        <is>
          <t>ÖSTERGÖTLANDS LÄN</t>
        </is>
      </c>
      <c r="E22" t="inlineStr">
        <is>
          <t>LINKÖPING</t>
        </is>
      </c>
      <c r="G22" t="n">
        <v>2.7</v>
      </c>
      <c r="H22" t="n">
        <v>2</v>
      </c>
      <c r="I22" t="n">
        <v>1</v>
      </c>
      <c r="J22" t="n">
        <v>0</v>
      </c>
      <c r="K22" t="n">
        <v>0</v>
      </c>
      <c r="L22" t="n">
        <v>0</v>
      </c>
      <c r="M22" t="n">
        <v>0</v>
      </c>
      <c r="N22" t="n">
        <v>0</v>
      </c>
      <c r="O22" t="n">
        <v>0</v>
      </c>
      <c r="P22" t="n">
        <v>0</v>
      </c>
      <c r="Q22" t="n">
        <v>3</v>
      </c>
      <c r="R22" s="2" t="inlineStr">
        <is>
          <t>Skogsbräsma
Dubbelnycklar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55341-2024</t>
        </is>
      </c>
      <c r="B23" s="1" t="n">
        <v>45621.71255787037</v>
      </c>
      <c r="C23" s="1" t="n">
        <v>46160</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577-2025</t>
        </is>
      </c>
      <c r="B24" s="1" t="n">
        <v>45664.56525462963</v>
      </c>
      <c r="C24" s="1" t="n">
        <v>46160</v>
      </c>
      <c r="D24" t="inlineStr">
        <is>
          <t>ÖSTERGÖTLANDS LÄN</t>
        </is>
      </c>
      <c r="E24" t="inlineStr">
        <is>
          <t>LINKÖPING</t>
        </is>
      </c>
      <c r="G24" t="n">
        <v>3.7</v>
      </c>
      <c r="H24" t="n">
        <v>3</v>
      </c>
      <c r="I24" t="n">
        <v>0</v>
      </c>
      <c r="J24" t="n">
        <v>1</v>
      </c>
      <c r="K24" t="n">
        <v>0</v>
      </c>
      <c r="L24" t="n">
        <v>0</v>
      </c>
      <c r="M24" t="n">
        <v>0</v>
      </c>
      <c r="N24" t="n">
        <v>0</v>
      </c>
      <c r="O24" t="n">
        <v>1</v>
      </c>
      <c r="P24" t="n">
        <v>0</v>
      </c>
      <c r="Q24" t="n">
        <v>3</v>
      </c>
      <c r="R24" s="2" t="inlineStr">
        <is>
          <t>Brunlångöra
Dvärgpipistrell
Större brunfladdermus</t>
        </is>
      </c>
      <c r="S24">
        <f>HYPERLINK("https://klasma.github.io/Logging_0580/artfynd/A 577-2025 artfynd.xlsx", "A 577-2025")</f>
        <v/>
      </c>
      <c r="T24">
        <f>HYPERLINK("https://klasma.github.io/Logging_0580/kartor/A 577-2025 karta.png", "A 577-2025")</f>
        <v/>
      </c>
      <c r="V24">
        <f>HYPERLINK("https://klasma.github.io/Logging_0580/klagomål/A 577-2025 FSC-klagomål.docx", "A 577-2025")</f>
        <v/>
      </c>
      <c r="W24">
        <f>HYPERLINK("https://klasma.github.io/Logging_0580/klagomålsmail/A 577-2025 FSC-klagomål mail.docx", "A 577-2025")</f>
        <v/>
      </c>
      <c r="X24">
        <f>HYPERLINK("https://klasma.github.io/Logging_0580/tillsyn/A 577-2025 tillsynsbegäran.docx", "A 577-2025")</f>
        <v/>
      </c>
      <c r="Y24">
        <f>HYPERLINK("https://klasma.github.io/Logging_0580/tillsynsmail/A 577-2025 tillsynsbegäran mail.docx", "A 577-2025")</f>
        <v/>
      </c>
    </row>
    <row r="25" ht="15" customHeight="1">
      <c r="A25" t="inlineStr">
        <is>
          <t>A 38137-2021</t>
        </is>
      </c>
      <c r="B25" s="1" t="n">
        <v>44405.38357638889</v>
      </c>
      <c r="C25" s="1" t="n">
        <v>46160</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46160</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20297-2025</t>
        </is>
      </c>
      <c r="B27" s="1" t="n">
        <v>45774.74971064815</v>
      </c>
      <c r="C27" s="1" t="n">
        <v>46160</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49188-2024</t>
        </is>
      </c>
      <c r="B28" s="1" t="n">
        <v>45595</v>
      </c>
      <c r="C28" s="1" t="n">
        <v>46160</v>
      </c>
      <c r="D28" t="inlineStr">
        <is>
          <t>ÖSTERGÖTLANDS LÄN</t>
        </is>
      </c>
      <c r="E28" t="inlineStr">
        <is>
          <t>LINKÖPING</t>
        </is>
      </c>
      <c r="G28" t="n">
        <v>3.1</v>
      </c>
      <c r="H28" t="n">
        <v>0</v>
      </c>
      <c r="I28" t="n">
        <v>0</v>
      </c>
      <c r="J28" t="n">
        <v>0</v>
      </c>
      <c r="K28" t="n">
        <v>0</v>
      </c>
      <c r="L28" t="n">
        <v>1</v>
      </c>
      <c r="M28" t="n">
        <v>1</v>
      </c>
      <c r="N28" t="n">
        <v>0</v>
      </c>
      <c r="O28" t="n">
        <v>2</v>
      </c>
      <c r="P28" t="n">
        <v>2</v>
      </c>
      <c r="Q28" t="n">
        <v>2</v>
      </c>
      <c r="R28" s="2" t="inlineStr">
        <is>
          <t>Skogsalm
Ask</t>
        </is>
      </c>
      <c r="S28">
        <f>HYPERLINK("https://klasma.github.io/Logging_0580/artfynd/A 49188-2024 artfynd.xlsx", "A 49188-2024")</f>
        <v/>
      </c>
      <c r="T28">
        <f>HYPERLINK("https://klasma.github.io/Logging_0580/kartor/A 49188-2024 karta.png", "A 49188-2024")</f>
        <v/>
      </c>
      <c r="V28">
        <f>HYPERLINK("https://klasma.github.io/Logging_0580/klagomål/A 49188-2024 FSC-klagomål.docx", "A 49188-2024")</f>
        <v/>
      </c>
      <c r="W28">
        <f>HYPERLINK("https://klasma.github.io/Logging_0580/klagomålsmail/A 49188-2024 FSC-klagomål mail.docx", "A 49188-2024")</f>
        <v/>
      </c>
      <c r="X28">
        <f>HYPERLINK("https://klasma.github.io/Logging_0580/tillsyn/A 49188-2024 tillsynsbegäran.docx", "A 49188-2024")</f>
        <v/>
      </c>
      <c r="Y28">
        <f>HYPERLINK("https://klasma.github.io/Logging_0580/tillsynsmail/A 49188-2024 tillsynsbegäran mail.docx", "A 49188-2024")</f>
        <v/>
      </c>
    </row>
    <row r="29" ht="15" customHeight="1">
      <c r="A29" t="inlineStr">
        <is>
          <t>A 58068-2021</t>
        </is>
      </c>
      <c r="B29" s="1" t="n">
        <v>44487</v>
      </c>
      <c r="C29" s="1" t="n">
        <v>46160</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27795-2025</t>
        </is>
      </c>
      <c r="B30" s="1" t="n">
        <v>45816.7908912037</v>
      </c>
      <c r="C30" s="1" t="n">
        <v>46160</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3912-2026</t>
        </is>
      </c>
      <c r="B31" s="1" t="n">
        <v>46043.71958333333</v>
      </c>
      <c r="C31" s="1" t="n">
        <v>46160</v>
      </c>
      <c r="D31" t="inlineStr">
        <is>
          <t>ÖSTERGÖTLANDS LÄN</t>
        </is>
      </c>
      <c r="E31" t="inlineStr">
        <is>
          <t>LINKÖPING</t>
        </is>
      </c>
      <c r="F31" t="inlineStr">
        <is>
          <t>Kyrkan</t>
        </is>
      </c>
      <c r="G31" t="n">
        <v>6.8</v>
      </c>
      <c r="H31" t="n">
        <v>1</v>
      </c>
      <c r="I31" t="n">
        <v>1</v>
      </c>
      <c r="J31" t="n">
        <v>0</v>
      </c>
      <c r="K31" t="n">
        <v>1</v>
      </c>
      <c r="L31" t="n">
        <v>0</v>
      </c>
      <c r="M31" t="n">
        <v>0</v>
      </c>
      <c r="N31" t="n">
        <v>0</v>
      </c>
      <c r="O31" t="n">
        <v>1</v>
      </c>
      <c r="P31" t="n">
        <v>1</v>
      </c>
      <c r="Q31" t="n">
        <v>2</v>
      </c>
      <c r="R31" s="2" t="inlineStr">
        <is>
          <t>Knärot
Grönpyrola</t>
        </is>
      </c>
      <c r="S31">
        <f>HYPERLINK("https://klasma.github.io/Logging_0580/artfynd/A 3912-2026 artfynd.xlsx", "A 3912-2026")</f>
        <v/>
      </c>
      <c r="T31">
        <f>HYPERLINK("https://klasma.github.io/Logging_0580/kartor/A 3912-2026 karta.png", "A 3912-2026")</f>
        <v/>
      </c>
      <c r="U31">
        <f>HYPERLINK("https://klasma.github.io/Logging_0580/knärot/A 3912-2026 karta knärot.png", "A 3912-2026")</f>
        <v/>
      </c>
      <c r="V31">
        <f>HYPERLINK("https://klasma.github.io/Logging_0580/klagomål/A 3912-2026 FSC-klagomål.docx", "A 3912-2026")</f>
        <v/>
      </c>
      <c r="W31">
        <f>HYPERLINK("https://klasma.github.io/Logging_0580/klagomålsmail/A 3912-2026 FSC-klagomål mail.docx", "A 3912-2026")</f>
        <v/>
      </c>
      <c r="X31">
        <f>HYPERLINK("https://klasma.github.io/Logging_0580/tillsyn/A 3912-2026 tillsynsbegäran.docx", "A 3912-2026")</f>
        <v/>
      </c>
      <c r="Y31">
        <f>HYPERLINK("https://klasma.github.io/Logging_0580/tillsynsmail/A 3912-2026 tillsynsbegäran mail.docx", "A 3912-2026")</f>
        <v/>
      </c>
    </row>
    <row r="32" ht="15" customHeight="1">
      <c r="A32" t="inlineStr">
        <is>
          <t>A 27981-2022</t>
        </is>
      </c>
      <c r="B32" s="1" t="n">
        <v>44745</v>
      </c>
      <c r="C32" s="1" t="n">
        <v>46160</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50048-2025</t>
        </is>
      </c>
      <c r="B33" s="1" t="n">
        <v>45941</v>
      </c>
      <c r="C33" s="1" t="n">
        <v>46160</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25985-2025</t>
        </is>
      </c>
      <c r="B34" s="1" t="n">
        <v>45804.64479166667</v>
      </c>
      <c r="C34" s="1" t="n">
        <v>46160</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58068-2021</t>
        </is>
      </c>
      <c r="B35" s="1" t="n">
        <v>44487</v>
      </c>
      <c r="C35" s="1" t="n">
        <v>46160</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12247-2026</t>
        </is>
      </c>
      <c r="B36" s="1" t="n">
        <v>46087.44436342592</v>
      </c>
      <c r="C36" s="1" t="n">
        <v>46160</v>
      </c>
      <c r="D36" t="inlineStr">
        <is>
          <t>ÖSTERGÖTLANDS LÄN</t>
        </is>
      </c>
      <c r="E36" t="inlineStr">
        <is>
          <t>LINKÖPING</t>
        </is>
      </c>
      <c r="G36" t="n">
        <v>0.9</v>
      </c>
      <c r="H36" t="n">
        <v>1</v>
      </c>
      <c r="I36" t="n">
        <v>0</v>
      </c>
      <c r="J36" t="n">
        <v>2</v>
      </c>
      <c r="K36" t="n">
        <v>0</v>
      </c>
      <c r="L36" t="n">
        <v>0</v>
      </c>
      <c r="M36" t="n">
        <v>0</v>
      </c>
      <c r="N36" t="n">
        <v>0</v>
      </c>
      <c r="O36" t="n">
        <v>2</v>
      </c>
      <c r="P36" t="n">
        <v>0</v>
      </c>
      <c r="Q36" t="n">
        <v>2</v>
      </c>
      <c r="R36" s="2" t="inlineStr">
        <is>
          <t>Spillkråka
Vedtrappmossa</t>
        </is>
      </c>
      <c r="S36">
        <f>HYPERLINK("https://klasma.github.io/Logging_0580/artfynd/A 12247-2026 artfynd.xlsx", "A 12247-2026")</f>
        <v/>
      </c>
      <c r="T36">
        <f>HYPERLINK("https://klasma.github.io/Logging_0580/kartor/A 12247-2026 karta.png", "A 12247-2026")</f>
        <v/>
      </c>
      <c r="V36">
        <f>HYPERLINK("https://klasma.github.io/Logging_0580/klagomål/A 12247-2026 FSC-klagomål.docx", "A 12247-2026")</f>
        <v/>
      </c>
      <c r="W36">
        <f>HYPERLINK("https://klasma.github.io/Logging_0580/klagomålsmail/A 12247-2026 FSC-klagomål mail.docx", "A 12247-2026")</f>
        <v/>
      </c>
      <c r="X36">
        <f>HYPERLINK("https://klasma.github.io/Logging_0580/tillsyn/A 12247-2026 tillsynsbegäran.docx", "A 12247-2026")</f>
        <v/>
      </c>
      <c r="Y36">
        <f>HYPERLINK("https://klasma.github.io/Logging_0580/tillsynsmail/A 12247-2026 tillsynsbegäran mail.docx", "A 12247-2026")</f>
        <v/>
      </c>
      <c r="Z36">
        <f>HYPERLINK("https://klasma.github.io/Logging_0580/fåglar/A 12247-2026 prioriterade fågelarter.docx", "A 12247-2026")</f>
        <v/>
      </c>
    </row>
    <row r="37" ht="15" customHeight="1">
      <c r="A37" t="inlineStr">
        <is>
          <t>A 21228-2026</t>
        </is>
      </c>
      <c r="B37" s="1" t="n">
        <v>46146.7919212963</v>
      </c>
      <c r="C37" s="1" t="n">
        <v>46160</v>
      </c>
      <c r="D37" t="inlineStr">
        <is>
          <t>ÖSTERGÖTLANDS LÄN</t>
        </is>
      </c>
      <c r="E37" t="inlineStr">
        <is>
          <t>LINKÖPING</t>
        </is>
      </c>
      <c r="G37" t="n">
        <v>2.5</v>
      </c>
      <c r="H37" t="n">
        <v>2</v>
      </c>
      <c r="I37" t="n">
        <v>0</v>
      </c>
      <c r="J37" t="n">
        <v>0</v>
      </c>
      <c r="K37" t="n">
        <v>0</v>
      </c>
      <c r="L37" t="n">
        <v>0</v>
      </c>
      <c r="M37" t="n">
        <v>0</v>
      </c>
      <c r="N37" t="n">
        <v>0</v>
      </c>
      <c r="O37" t="n">
        <v>0</v>
      </c>
      <c r="P37" t="n">
        <v>0</v>
      </c>
      <c r="Q37" t="n">
        <v>2</v>
      </c>
      <c r="R37" s="2" t="inlineStr">
        <is>
          <t>Kungsfågel
Vanlig groda</t>
        </is>
      </c>
      <c r="S37">
        <f>HYPERLINK("https://klasma.github.io/Logging_0580/artfynd/A 21228-2026 artfynd.xlsx", "A 21228-2026")</f>
        <v/>
      </c>
      <c r="T37">
        <f>HYPERLINK("https://klasma.github.io/Logging_0580/kartor/A 21228-2026 karta.png", "A 21228-2026")</f>
        <v/>
      </c>
      <c r="V37">
        <f>HYPERLINK("https://klasma.github.io/Logging_0580/klagomål/A 21228-2026 FSC-klagomål.docx", "A 21228-2026")</f>
        <v/>
      </c>
      <c r="W37">
        <f>HYPERLINK("https://klasma.github.io/Logging_0580/klagomålsmail/A 21228-2026 FSC-klagomål mail.docx", "A 21228-2026")</f>
        <v/>
      </c>
      <c r="X37">
        <f>HYPERLINK("https://klasma.github.io/Logging_0580/tillsyn/A 21228-2026 tillsynsbegäran.docx", "A 21228-2026")</f>
        <v/>
      </c>
      <c r="Y37">
        <f>HYPERLINK("https://klasma.github.io/Logging_0580/tillsynsmail/A 21228-2026 tillsynsbegäran mail.docx", "A 21228-2026")</f>
        <v/>
      </c>
      <c r="Z37">
        <f>HYPERLINK("https://klasma.github.io/Logging_0580/fåglar/A 21228-2026 prioriterade fågelarter.docx", "A 21228-2026")</f>
        <v/>
      </c>
    </row>
    <row r="38" ht="15" customHeight="1">
      <c r="A38" t="inlineStr">
        <is>
          <t>A 15856-2026</t>
        </is>
      </c>
      <c r="B38" s="1" t="n">
        <v>46107.57620370371</v>
      </c>
      <c r="C38" s="1" t="n">
        <v>46160</v>
      </c>
      <c r="D38" t="inlineStr">
        <is>
          <t>ÖSTERGÖTLANDS LÄN</t>
        </is>
      </c>
      <c r="E38" t="inlineStr">
        <is>
          <t>LINKÖPING</t>
        </is>
      </c>
      <c r="F38" t="inlineStr">
        <is>
          <t>Sveaskog</t>
        </is>
      </c>
      <c r="G38" t="n">
        <v>16.2</v>
      </c>
      <c r="H38" t="n">
        <v>0</v>
      </c>
      <c r="I38" t="n">
        <v>1</v>
      </c>
      <c r="J38" t="n">
        <v>1</v>
      </c>
      <c r="K38" t="n">
        <v>0</v>
      </c>
      <c r="L38" t="n">
        <v>0</v>
      </c>
      <c r="M38" t="n">
        <v>0</v>
      </c>
      <c r="N38" t="n">
        <v>0</v>
      </c>
      <c r="O38" t="n">
        <v>1</v>
      </c>
      <c r="P38" t="n">
        <v>0</v>
      </c>
      <c r="Q38" t="n">
        <v>2</v>
      </c>
      <c r="R38" s="2" t="inlineStr">
        <is>
          <t>Svinrot
Granbräken</t>
        </is>
      </c>
      <c r="S38">
        <f>HYPERLINK("https://klasma.github.io/Logging_0580/artfynd/A 15856-2026 artfynd.xlsx", "A 15856-2026")</f>
        <v/>
      </c>
      <c r="T38">
        <f>HYPERLINK("https://klasma.github.io/Logging_0580/kartor/A 15856-2026 karta.png", "A 15856-2026")</f>
        <v/>
      </c>
      <c r="V38">
        <f>HYPERLINK("https://klasma.github.io/Logging_0580/klagomål/A 15856-2026 FSC-klagomål.docx", "A 15856-2026")</f>
        <v/>
      </c>
      <c r="W38">
        <f>HYPERLINK("https://klasma.github.io/Logging_0580/klagomålsmail/A 15856-2026 FSC-klagomål mail.docx", "A 15856-2026")</f>
        <v/>
      </c>
      <c r="X38">
        <f>HYPERLINK("https://klasma.github.io/Logging_0580/tillsyn/A 15856-2026 tillsynsbegäran.docx", "A 15856-2026")</f>
        <v/>
      </c>
      <c r="Y38">
        <f>HYPERLINK("https://klasma.github.io/Logging_0580/tillsynsmail/A 15856-2026 tillsynsbegäran mail.docx", "A 15856-2026")</f>
        <v/>
      </c>
    </row>
    <row r="39" ht="15" customHeight="1">
      <c r="A39" t="inlineStr">
        <is>
          <t>A 15844-2026</t>
        </is>
      </c>
      <c r="B39" s="1" t="n">
        <v>46107.56542824074</v>
      </c>
      <c r="C39" s="1" t="n">
        <v>46160</v>
      </c>
      <c r="D39" t="inlineStr">
        <is>
          <t>ÖSTERGÖTLANDS LÄN</t>
        </is>
      </c>
      <c r="E39" t="inlineStr">
        <is>
          <t>LINKÖPING</t>
        </is>
      </c>
      <c r="F39" t="inlineStr">
        <is>
          <t>Sveaskog</t>
        </is>
      </c>
      <c r="G39" t="n">
        <v>10.6</v>
      </c>
      <c r="H39" t="n">
        <v>0</v>
      </c>
      <c r="I39" t="n">
        <v>2</v>
      </c>
      <c r="J39" t="n">
        <v>0</v>
      </c>
      <c r="K39" t="n">
        <v>0</v>
      </c>
      <c r="L39" t="n">
        <v>0</v>
      </c>
      <c r="M39" t="n">
        <v>0</v>
      </c>
      <c r="N39" t="n">
        <v>0</v>
      </c>
      <c r="O39" t="n">
        <v>0</v>
      </c>
      <c r="P39" t="n">
        <v>0</v>
      </c>
      <c r="Q39" t="n">
        <v>2</v>
      </c>
      <c r="R39" s="2" t="inlineStr">
        <is>
          <t>Fällmossa
Toppvaxing</t>
        </is>
      </c>
      <c r="S39">
        <f>HYPERLINK("https://klasma.github.io/Logging_0580/artfynd/A 15844-2026 artfynd.xlsx", "A 15844-2026")</f>
        <v/>
      </c>
      <c r="T39">
        <f>HYPERLINK("https://klasma.github.io/Logging_0580/kartor/A 15844-2026 karta.png", "A 15844-2026")</f>
        <v/>
      </c>
      <c r="V39">
        <f>HYPERLINK("https://klasma.github.io/Logging_0580/klagomål/A 15844-2026 FSC-klagomål.docx", "A 15844-2026")</f>
        <v/>
      </c>
      <c r="W39">
        <f>HYPERLINK("https://klasma.github.io/Logging_0580/klagomålsmail/A 15844-2026 FSC-klagomål mail.docx", "A 15844-2026")</f>
        <v/>
      </c>
      <c r="X39">
        <f>HYPERLINK("https://klasma.github.io/Logging_0580/tillsyn/A 15844-2026 tillsynsbegäran.docx", "A 15844-2026")</f>
        <v/>
      </c>
      <c r="Y39">
        <f>HYPERLINK("https://klasma.github.io/Logging_0580/tillsynsmail/A 15844-2026 tillsynsbegäran mail.docx", "A 15844-2026")</f>
        <v/>
      </c>
    </row>
    <row r="40" ht="15" customHeight="1">
      <c r="A40" t="inlineStr">
        <is>
          <t>A 22074-2026</t>
        </is>
      </c>
      <c r="B40" s="1" t="n">
        <v>46153.50032407408</v>
      </c>
      <c r="C40" s="1" t="n">
        <v>46160</v>
      </c>
      <c r="D40" t="inlineStr">
        <is>
          <t>ÖSTERGÖTLANDS LÄN</t>
        </is>
      </c>
      <c r="E40" t="inlineStr">
        <is>
          <t>LINKÖPING</t>
        </is>
      </c>
      <c r="G40" t="n">
        <v>1.9</v>
      </c>
      <c r="H40" t="n">
        <v>0</v>
      </c>
      <c r="I40" t="n">
        <v>2</v>
      </c>
      <c r="J40" t="n">
        <v>0</v>
      </c>
      <c r="K40" t="n">
        <v>0</v>
      </c>
      <c r="L40" t="n">
        <v>0</v>
      </c>
      <c r="M40" t="n">
        <v>0</v>
      </c>
      <c r="N40" t="n">
        <v>0</v>
      </c>
      <c r="O40" t="n">
        <v>0</v>
      </c>
      <c r="P40" t="n">
        <v>0</v>
      </c>
      <c r="Q40" t="n">
        <v>2</v>
      </c>
      <c r="R40" s="2" t="inlineStr">
        <is>
          <t>Blomkålssvamp
Mandelriska</t>
        </is>
      </c>
      <c r="S40">
        <f>HYPERLINK("https://klasma.github.io/Logging_0580/artfynd/A 22074-2026 artfynd.xlsx", "A 22074-2026")</f>
        <v/>
      </c>
      <c r="T40">
        <f>HYPERLINK("https://klasma.github.io/Logging_0580/kartor/A 22074-2026 karta.png", "A 22074-2026")</f>
        <v/>
      </c>
      <c r="V40">
        <f>HYPERLINK("https://klasma.github.io/Logging_0580/klagomål/A 22074-2026 FSC-klagomål.docx", "A 22074-2026")</f>
        <v/>
      </c>
      <c r="W40">
        <f>HYPERLINK("https://klasma.github.io/Logging_0580/klagomålsmail/A 22074-2026 FSC-klagomål mail.docx", "A 22074-2026")</f>
        <v/>
      </c>
      <c r="X40">
        <f>HYPERLINK("https://klasma.github.io/Logging_0580/tillsyn/A 22074-2026 tillsynsbegäran.docx", "A 22074-2026")</f>
        <v/>
      </c>
      <c r="Y40">
        <f>HYPERLINK("https://klasma.github.io/Logging_0580/tillsynsmail/A 22074-2026 tillsynsbegäran mail.docx", "A 22074-2026")</f>
        <v/>
      </c>
    </row>
    <row r="41" ht="15" customHeight="1">
      <c r="A41" t="inlineStr">
        <is>
          <t>A 42858-2023</t>
        </is>
      </c>
      <c r="B41" s="1" t="n">
        <v>45177</v>
      </c>
      <c r="C41" s="1" t="n">
        <v>46160</v>
      </c>
      <c r="D41" t="inlineStr">
        <is>
          <t>ÖSTERGÖTLANDS LÄN</t>
        </is>
      </c>
      <c r="E41" t="inlineStr">
        <is>
          <t>LINKÖPING</t>
        </is>
      </c>
      <c r="G41" t="n">
        <v>5.3</v>
      </c>
      <c r="H41" t="n">
        <v>1</v>
      </c>
      <c r="I41" t="n">
        <v>0</v>
      </c>
      <c r="J41" t="n">
        <v>1</v>
      </c>
      <c r="K41" t="n">
        <v>0</v>
      </c>
      <c r="L41" t="n">
        <v>0</v>
      </c>
      <c r="M41" t="n">
        <v>0</v>
      </c>
      <c r="N41" t="n">
        <v>0</v>
      </c>
      <c r="O41" t="n">
        <v>1</v>
      </c>
      <c r="P41" t="n">
        <v>0</v>
      </c>
      <c r="Q41" t="n">
        <v>2</v>
      </c>
      <c r="R41" s="2" t="inlineStr">
        <is>
          <t>Svinrot
Skogsödla</t>
        </is>
      </c>
      <c r="S41">
        <f>HYPERLINK("https://klasma.github.io/Logging_0580/artfynd/A 42858-2023 artfynd.xlsx", "A 42858-2023")</f>
        <v/>
      </c>
      <c r="T41">
        <f>HYPERLINK("https://klasma.github.io/Logging_0580/kartor/A 42858-2023 karta.png", "A 42858-2023")</f>
        <v/>
      </c>
      <c r="V41">
        <f>HYPERLINK("https://klasma.github.io/Logging_0580/klagomål/A 42858-2023 FSC-klagomål.docx", "A 42858-2023")</f>
        <v/>
      </c>
      <c r="W41">
        <f>HYPERLINK("https://klasma.github.io/Logging_0580/klagomålsmail/A 42858-2023 FSC-klagomål mail.docx", "A 42858-2023")</f>
        <v/>
      </c>
      <c r="X41">
        <f>HYPERLINK("https://klasma.github.io/Logging_0580/tillsyn/A 42858-2023 tillsynsbegäran.docx", "A 42858-2023")</f>
        <v/>
      </c>
      <c r="Y41">
        <f>HYPERLINK("https://klasma.github.io/Logging_0580/tillsynsmail/A 42858-2023 tillsynsbegäran mail.docx", "A 42858-2023")</f>
        <v/>
      </c>
    </row>
    <row r="42" ht="15" customHeight="1">
      <c r="A42" t="inlineStr">
        <is>
          <t>A 11613-2025</t>
        </is>
      </c>
      <c r="B42" s="1" t="n">
        <v>45727.44623842592</v>
      </c>
      <c r="C42" s="1" t="n">
        <v>46160</v>
      </c>
      <c r="D42" t="inlineStr">
        <is>
          <t>ÖSTERGÖTLANDS LÄN</t>
        </is>
      </c>
      <c r="E42" t="inlineStr">
        <is>
          <t>LINKÖPING</t>
        </is>
      </c>
      <c r="G42" t="n">
        <v>5.7</v>
      </c>
      <c r="H42" t="n">
        <v>1</v>
      </c>
      <c r="I42" t="n">
        <v>1</v>
      </c>
      <c r="J42" t="n">
        <v>0</v>
      </c>
      <c r="K42" t="n">
        <v>1</v>
      </c>
      <c r="L42" t="n">
        <v>0</v>
      </c>
      <c r="M42" t="n">
        <v>0</v>
      </c>
      <c r="N42" t="n">
        <v>0</v>
      </c>
      <c r="O42" t="n">
        <v>1</v>
      </c>
      <c r="P42" t="n">
        <v>1</v>
      </c>
      <c r="Q42" t="n">
        <v>2</v>
      </c>
      <c r="R42" s="2" t="inlineStr">
        <is>
          <t>Knärot
Grönpyrola</t>
        </is>
      </c>
      <c r="S42">
        <f>HYPERLINK("https://klasma.github.io/Logging_0580/artfynd/A 11613-2025 artfynd.xlsx", "A 11613-2025")</f>
        <v/>
      </c>
      <c r="T42">
        <f>HYPERLINK("https://klasma.github.io/Logging_0580/kartor/A 11613-2025 karta.png", "A 11613-2025")</f>
        <v/>
      </c>
      <c r="U42">
        <f>HYPERLINK("https://klasma.github.io/Logging_0580/knärot/A 11613-2025 karta knärot.png", "A 11613-2025")</f>
        <v/>
      </c>
      <c r="V42">
        <f>HYPERLINK("https://klasma.github.io/Logging_0580/klagomål/A 11613-2025 FSC-klagomål.docx", "A 11613-2025")</f>
        <v/>
      </c>
      <c r="W42">
        <f>HYPERLINK("https://klasma.github.io/Logging_0580/klagomålsmail/A 11613-2025 FSC-klagomål mail.docx", "A 11613-2025")</f>
        <v/>
      </c>
      <c r="X42">
        <f>HYPERLINK("https://klasma.github.io/Logging_0580/tillsyn/A 11613-2025 tillsynsbegäran.docx", "A 11613-2025")</f>
        <v/>
      </c>
      <c r="Y42">
        <f>HYPERLINK("https://klasma.github.io/Logging_0580/tillsynsmail/A 11613-2025 tillsynsbegäran mail.docx", "A 11613-2025")</f>
        <v/>
      </c>
    </row>
    <row r="43" ht="15" customHeight="1">
      <c r="A43" t="inlineStr">
        <is>
          <t>A 41751-2023</t>
        </is>
      </c>
      <c r="B43" s="1" t="n">
        <v>45176</v>
      </c>
      <c r="C43" s="1" t="n">
        <v>46160</v>
      </c>
      <c r="D43" t="inlineStr">
        <is>
          <t>ÖSTERGÖTLANDS LÄN</t>
        </is>
      </c>
      <c r="E43" t="inlineStr">
        <is>
          <t>LINKÖPING</t>
        </is>
      </c>
      <c r="G43" t="n">
        <v>1.5</v>
      </c>
      <c r="H43" t="n">
        <v>1</v>
      </c>
      <c r="I43" t="n">
        <v>0</v>
      </c>
      <c r="J43" t="n">
        <v>1</v>
      </c>
      <c r="K43" t="n">
        <v>0</v>
      </c>
      <c r="L43" t="n">
        <v>0</v>
      </c>
      <c r="M43" t="n">
        <v>0</v>
      </c>
      <c r="N43" t="n">
        <v>0</v>
      </c>
      <c r="O43" t="n">
        <v>1</v>
      </c>
      <c r="P43" t="n">
        <v>0</v>
      </c>
      <c r="Q43" t="n">
        <v>2</v>
      </c>
      <c r="R43" s="2" t="inlineStr">
        <is>
          <t>Svinrot
Grönvit nattviol</t>
        </is>
      </c>
      <c r="S43">
        <f>HYPERLINK("https://klasma.github.io/Logging_0580/artfynd/A 41751-2023 artfynd.xlsx", "A 41751-2023")</f>
        <v/>
      </c>
      <c r="T43">
        <f>HYPERLINK("https://klasma.github.io/Logging_0580/kartor/A 41751-2023 karta.png", "A 41751-2023")</f>
        <v/>
      </c>
      <c r="V43">
        <f>HYPERLINK("https://klasma.github.io/Logging_0580/klagomål/A 41751-2023 FSC-klagomål.docx", "A 41751-2023")</f>
        <v/>
      </c>
      <c r="W43">
        <f>HYPERLINK("https://klasma.github.io/Logging_0580/klagomålsmail/A 41751-2023 FSC-klagomål mail.docx", "A 41751-2023")</f>
        <v/>
      </c>
      <c r="X43">
        <f>HYPERLINK("https://klasma.github.io/Logging_0580/tillsyn/A 41751-2023 tillsynsbegäran.docx", "A 41751-2023")</f>
        <v/>
      </c>
      <c r="Y43">
        <f>HYPERLINK("https://klasma.github.io/Logging_0580/tillsynsmail/A 41751-2023 tillsynsbegäran mail.docx", "A 41751-2023")</f>
        <v/>
      </c>
    </row>
    <row r="44" ht="15" customHeight="1">
      <c r="A44" t="inlineStr">
        <is>
          <t>A 8818-2025</t>
        </is>
      </c>
      <c r="B44" s="1" t="n">
        <v>45712</v>
      </c>
      <c r="C44" s="1" t="n">
        <v>46160</v>
      </c>
      <c r="D44" t="inlineStr">
        <is>
          <t>ÖSTERGÖTLANDS LÄN</t>
        </is>
      </c>
      <c r="E44" t="inlineStr">
        <is>
          <t>LINKÖPING</t>
        </is>
      </c>
      <c r="F44" t="inlineStr">
        <is>
          <t>Kommuner</t>
        </is>
      </c>
      <c r="G44" t="n">
        <v>0.6</v>
      </c>
      <c r="H44" t="n">
        <v>0</v>
      </c>
      <c r="I44" t="n">
        <v>0</v>
      </c>
      <c r="J44" t="n">
        <v>1</v>
      </c>
      <c r="K44" t="n">
        <v>1</v>
      </c>
      <c r="L44" t="n">
        <v>0</v>
      </c>
      <c r="M44" t="n">
        <v>0</v>
      </c>
      <c r="N44" t="n">
        <v>0</v>
      </c>
      <c r="O44" t="n">
        <v>2</v>
      </c>
      <c r="P44" t="n">
        <v>1</v>
      </c>
      <c r="Q44" t="n">
        <v>2</v>
      </c>
      <c r="R44" s="2" t="inlineStr">
        <is>
          <t>Luddvicker
Klubbsprötad bastardsvärmare</t>
        </is>
      </c>
      <c r="S44">
        <f>HYPERLINK("https://klasma.github.io/Logging_0580/artfynd/A 8818-2025 artfynd.xlsx", "A 8818-2025")</f>
        <v/>
      </c>
      <c r="T44">
        <f>HYPERLINK("https://klasma.github.io/Logging_0580/kartor/A 8818-2025 karta.png", "A 8818-2025")</f>
        <v/>
      </c>
      <c r="V44">
        <f>HYPERLINK("https://klasma.github.io/Logging_0580/klagomål/A 8818-2025 FSC-klagomål.docx", "A 8818-2025")</f>
        <v/>
      </c>
      <c r="W44">
        <f>HYPERLINK("https://klasma.github.io/Logging_0580/klagomålsmail/A 8818-2025 FSC-klagomål mail.docx", "A 8818-2025")</f>
        <v/>
      </c>
      <c r="X44">
        <f>HYPERLINK("https://klasma.github.io/Logging_0580/tillsyn/A 8818-2025 tillsynsbegäran.docx", "A 8818-2025")</f>
        <v/>
      </c>
      <c r="Y44">
        <f>HYPERLINK("https://klasma.github.io/Logging_0580/tillsynsmail/A 8818-2025 tillsynsbegäran mail.docx", "A 8818-2025")</f>
        <v/>
      </c>
    </row>
    <row r="45" ht="15" customHeight="1">
      <c r="A45" t="inlineStr">
        <is>
          <t>A 14879-2024</t>
        </is>
      </c>
      <c r="B45" s="1" t="n">
        <v>45398</v>
      </c>
      <c r="C45" s="1" t="n">
        <v>46160</v>
      </c>
      <c r="D45" t="inlineStr">
        <is>
          <t>ÖSTERGÖTLANDS LÄN</t>
        </is>
      </c>
      <c r="E45" t="inlineStr">
        <is>
          <t>LINKÖPING</t>
        </is>
      </c>
      <c r="F45" t="inlineStr">
        <is>
          <t>Övriga Aktiebolag</t>
        </is>
      </c>
      <c r="G45" t="n">
        <v>1.7</v>
      </c>
      <c r="H45" t="n">
        <v>1</v>
      </c>
      <c r="I45" t="n">
        <v>1</v>
      </c>
      <c r="J45" t="n">
        <v>0</v>
      </c>
      <c r="K45" t="n">
        <v>0</v>
      </c>
      <c r="L45" t="n">
        <v>0</v>
      </c>
      <c r="M45" t="n">
        <v>0</v>
      </c>
      <c r="N45" t="n">
        <v>0</v>
      </c>
      <c r="O45" t="n">
        <v>0</v>
      </c>
      <c r="P45" t="n">
        <v>0</v>
      </c>
      <c r="Q45" t="n">
        <v>2</v>
      </c>
      <c r="R45" s="2" t="inlineStr">
        <is>
          <t>Svart trolldruva
Grönvit nattviol</t>
        </is>
      </c>
      <c r="S45">
        <f>HYPERLINK("https://klasma.github.io/Logging_0580/artfynd/A 14879-2024 artfynd.xlsx", "A 14879-2024")</f>
        <v/>
      </c>
      <c r="T45">
        <f>HYPERLINK("https://klasma.github.io/Logging_0580/kartor/A 14879-2024 karta.png", "A 14879-2024")</f>
        <v/>
      </c>
      <c r="V45">
        <f>HYPERLINK("https://klasma.github.io/Logging_0580/klagomål/A 14879-2024 FSC-klagomål.docx", "A 14879-2024")</f>
        <v/>
      </c>
      <c r="W45">
        <f>HYPERLINK("https://klasma.github.io/Logging_0580/klagomålsmail/A 14879-2024 FSC-klagomål mail.docx", "A 14879-2024")</f>
        <v/>
      </c>
      <c r="X45">
        <f>HYPERLINK("https://klasma.github.io/Logging_0580/tillsyn/A 14879-2024 tillsynsbegäran.docx", "A 14879-2024")</f>
        <v/>
      </c>
      <c r="Y45">
        <f>HYPERLINK("https://klasma.github.io/Logging_0580/tillsynsmail/A 14879-2024 tillsynsbegäran mail.docx", "A 14879-2024")</f>
        <v/>
      </c>
    </row>
    <row r="46" ht="15" customHeight="1">
      <c r="A46" t="inlineStr">
        <is>
          <t>A 55344-2024</t>
        </is>
      </c>
      <c r="B46" s="1" t="n">
        <v>45621.7202662037</v>
      </c>
      <c r="C46" s="1" t="n">
        <v>46160</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20292-2025</t>
        </is>
      </c>
      <c r="B47" s="1" t="n">
        <v>45774.7449537037</v>
      </c>
      <c r="C47" s="1" t="n">
        <v>46160</v>
      </c>
      <c r="D47" t="inlineStr">
        <is>
          <t>ÖSTERGÖTLANDS LÄN</t>
        </is>
      </c>
      <c r="E47" t="inlineStr">
        <is>
          <t>LINKÖPING</t>
        </is>
      </c>
      <c r="G47" t="n">
        <v>8.4</v>
      </c>
      <c r="H47" t="n">
        <v>1</v>
      </c>
      <c r="I47" t="n">
        <v>1</v>
      </c>
      <c r="J47" t="n">
        <v>0</v>
      </c>
      <c r="K47" t="n">
        <v>0</v>
      </c>
      <c r="L47" t="n">
        <v>0</v>
      </c>
      <c r="M47" t="n">
        <v>0</v>
      </c>
      <c r="N47" t="n">
        <v>0</v>
      </c>
      <c r="O47" t="n">
        <v>0</v>
      </c>
      <c r="P47" t="n">
        <v>0</v>
      </c>
      <c r="Q47" t="n">
        <v>2</v>
      </c>
      <c r="R47" s="2" t="inlineStr">
        <is>
          <t>Blåmossa
Blåsippa</t>
        </is>
      </c>
      <c r="S47">
        <f>HYPERLINK("https://klasma.github.io/Logging_0580/artfynd/A 20292-2025 artfynd.xlsx", "A 20292-2025")</f>
        <v/>
      </c>
      <c r="T47">
        <f>HYPERLINK("https://klasma.github.io/Logging_0580/kartor/A 20292-2025 karta.png", "A 20292-2025")</f>
        <v/>
      </c>
      <c r="V47">
        <f>HYPERLINK("https://klasma.github.io/Logging_0580/klagomål/A 20292-2025 FSC-klagomål.docx", "A 20292-2025")</f>
        <v/>
      </c>
      <c r="W47">
        <f>HYPERLINK("https://klasma.github.io/Logging_0580/klagomålsmail/A 20292-2025 FSC-klagomål mail.docx", "A 20292-2025")</f>
        <v/>
      </c>
      <c r="X47">
        <f>HYPERLINK("https://klasma.github.io/Logging_0580/tillsyn/A 20292-2025 tillsynsbegäran.docx", "A 20292-2025")</f>
        <v/>
      </c>
      <c r="Y47">
        <f>HYPERLINK("https://klasma.github.io/Logging_0580/tillsynsmail/A 20292-2025 tillsynsbegäran mail.docx", "A 20292-2025")</f>
        <v/>
      </c>
    </row>
    <row r="48" ht="15" customHeight="1">
      <c r="A48" t="inlineStr">
        <is>
          <t>A 22040-2023</t>
        </is>
      </c>
      <c r="B48" s="1" t="n">
        <v>45068</v>
      </c>
      <c r="C48" s="1" t="n">
        <v>46160</v>
      </c>
      <c r="D48" t="inlineStr">
        <is>
          <t>ÖSTERGÖTLANDS LÄN</t>
        </is>
      </c>
      <c r="E48" t="inlineStr">
        <is>
          <t>LINKÖPING</t>
        </is>
      </c>
      <c r="F48" t="inlineStr">
        <is>
          <t>Kommuner</t>
        </is>
      </c>
      <c r="G48" t="n">
        <v>1</v>
      </c>
      <c r="H48" t="n">
        <v>1</v>
      </c>
      <c r="I48" t="n">
        <v>1</v>
      </c>
      <c r="J48" t="n">
        <v>0</v>
      </c>
      <c r="K48" t="n">
        <v>1</v>
      </c>
      <c r="L48" t="n">
        <v>0</v>
      </c>
      <c r="M48" t="n">
        <v>0</v>
      </c>
      <c r="N48" t="n">
        <v>0</v>
      </c>
      <c r="O48" t="n">
        <v>1</v>
      </c>
      <c r="P48" t="n">
        <v>1</v>
      </c>
      <c r="Q48" t="n">
        <v>2</v>
      </c>
      <c r="R48" s="2" t="inlineStr">
        <is>
          <t>Bombmurkla
Skarp dropptaggsvamp</t>
        </is>
      </c>
      <c r="S48">
        <f>HYPERLINK("https://klasma.github.io/Logging_0580/artfynd/A 22040-2023 artfynd.xlsx", "A 22040-2023")</f>
        <v/>
      </c>
      <c r="T48">
        <f>HYPERLINK("https://klasma.github.io/Logging_0580/kartor/A 22040-2023 karta.png", "A 22040-2023")</f>
        <v/>
      </c>
      <c r="V48">
        <f>HYPERLINK("https://klasma.github.io/Logging_0580/klagomål/A 22040-2023 FSC-klagomål.docx", "A 22040-2023")</f>
        <v/>
      </c>
      <c r="W48">
        <f>HYPERLINK("https://klasma.github.io/Logging_0580/klagomålsmail/A 22040-2023 FSC-klagomål mail.docx", "A 22040-2023")</f>
        <v/>
      </c>
      <c r="X48">
        <f>HYPERLINK("https://klasma.github.io/Logging_0580/tillsyn/A 22040-2023 tillsynsbegäran.docx", "A 22040-2023")</f>
        <v/>
      </c>
      <c r="Y48">
        <f>HYPERLINK("https://klasma.github.io/Logging_0580/tillsynsmail/A 22040-2023 tillsynsbegäran mail.docx", "A 22040-2023")</f>
        <v/>
      </c>
    </row>
    <row r="49" ht="15" customHeight="1">
      <c r="A49" t="inlineStr">
        <is>
          <t>A 50404-2023</t>
        </is>
      </c>
      <c r="B49" s="1" t="n">
        <v>45216</v>
      </c>
      <c r="C49" s="1" t="n">
        <v>46160</v>
      </c>
      <c r="D49" t="inlineStr">
        <is>
          <t>ÖSTERGÖTLANDS LÄN</t>
        </is>
      </c>
      <c r="E49" t="inlineStr">
        <is>
          <t>LINKÖPING</t>
        </is>
      </c>
      <c r="G49" t="n">
        <v>1.2</v>
      </c>
      <c r="H49" t="n">
        <v>1</v>
      </c>
      <c r="I49" t="n">
        <v>1</v>
      </c>
      <c r="J49" t="n">
        <v>0</v>
      </c>
      <c r="K49" t="n">
        <v>0</v>
      </c>
      <c r="L49" t="n">
        <v>0</v>
      </c>
      <c r="M49" t="n">
        <v>0</v>
      </c>
      <c r="N49" t="n">
        <v>0</v>
      </c>
      <c r="O49" t="n">
        <v>0</v>
      </c>
      <c r="P49" t="n">
        <v>0</v>
      </c>
      <c r="Q49" t="n">
        <v>2</v>
      </c>
      <c r="R49" s="2" t="inlineStr">
        <is>
          <t>Hasselticka
Gullviva</t>
        </is>
      </c>
      <c r="S49">
        <f>HYPERLINK("https://klasma.github.io/Logging_0580/artfynd/A 50404-2023 artfynd.xlsx", "A 50404-2023")</f>
        <v/>
      </c>
      <c r="T49">
        <f>HYPERLINK("https://klasma.github.io/Logging_0580/kartor/A 50404-2023 karta.png", "A 50404-2023")</f>
        <v/>
      </c>
      <c r="V49">
        <f>HYPERLINK("https://klasma.github.io/Logging_0580/klagomål/A 50404-2023 FSC-klagomål.docx", "A 50404-2023")</f>
        <v/>
      </c>
      <c r="W49">
        <f>HYPERLINK("https://klasma.github.io/Logging_0580/klagomålsmail/A 50404-2023 FSC-klagomål mail.docx", "A 50404-2023")</f>
        <v/>
      </c>
      <c r="X49">
        <f>HYPERLINK("https://klasma.github.io/Logging_0580/tillsyn/A 50404-2023 tillsynsbegäran.docx", "A 50404-2023")</f>
        <v/>
      </c>
      <c r="Y49">
        <f>HYPERLINK("https://klasma.github.io/Logging_0580/tillsynsmail/A 50404-2023 tillsynsbegäran mail.docx", "A 50404-2023")</f>
        <v/>
      </c>
    </row>
    <row r="50" ht="15" customHeight="1">
      <c r="A50" t="inlineStr">
        <is>
          <t>A 21326-2025</t>
        </is>
      </c>
      <c r="B50" s="1" t="n">
        <v>45782.35407407407</v>
      </c>
      <c r="C50" s="1" t="n">
        <v>46160</v>
      </c>
      <c r="D50" t="inlineStr">
        <is>
          <t>ÖSTERGÖTLANDS LÄN</t>
        </is>
      </c>
      <c r="E50" t="inlineStr">
        <is>
          <t>LINKÖPING</t>
        </is>
      </c>
      <c r="G50" t="n">
        <v>4.9</v>
      </c>
      <c r="H50" t="n">
        <v>2</v>
      </c>
      <c r="I50" t="n">
        <v>0</v>
      </c>
      <c r="J50" t="n">
        <v>0</v>
      </c>
      <c r="K50" t="n">
        <v>0</v>
      </c>
      <c r="L50" t="n">
        <v>0</v>
      </c>
      <c r="M50" t="n">
        <v>0</v>
      </c>
      <c r="N50" t="n">
        <v>0</v>
      </c>
      <c r="O50" t="n">
        <v>0</v>
      </c>
      <c r="P50" t="n">
        <v>0</v>
      </c>
      <c r="Q50" t="n">
        <v>2</v>
      </c>
      <c r="R50" s="2" t="inlineStr">
        <is>
          <t>Blåsippa
Revlummer</t>
        </is>
      </c>
      <c r="S50">
        <f>HYPERLINK("https://klasma.github.io/Logging_0580/artfynd/A 21326-2025 artfynd.xlsx", "A 21326-2025")</f>
        <v/>
      </c>
      <c r="T50">
        <f>HYPERLINK("https://klasma.github.io/Logging_0580/kartor/A 21326-2025 karta.png", "A 21326-2025")</f>
        <v/>
      </c>
      <c r="V50">
        <f>HYPERLINK("https://klasma.github.io/Logging_0580/klagomål/A 21326-2025 FSC-klagomål.docx", "A 21326-2025")</f>
        <v/>
      </c>
      <c r="W50">
        <f>HYPERLINK("https://klasma.github.io/Logging_0580/klagomålsmail/A 21326-2025 FSC-klagomål mail.docx", "A 21326-2025")</f>
        <v/>
      </c>
      <c r="X50">
        <f>HYPERLINK("https://klasma.github.io/Logging_0580/tillsyn/A 21326-2025 tillsynsbegäran.docx", "A 21326-2025")</f>
        <v/>
      </c>
      <c r="Y50">
        <f>HYPERLINK("https://klasma.github.io/Logging_0580/tillsynsmail/A 21326-2025 tillsynsbegäran mail.docx", "A 21326-2025")</f>
        <v/>
      </c>
    </row>
    <row r="51" ht="15" customHeight="1">
      <c r="A51" t="inlineStr">
        <is>
          <t>A 38129-2021</t>
        </is>
      </c>
      <c r="B51" s="1" t="n">
        <v>44405.37199074074</v>
      </c>
      <c r="C51" s="1" t="n">
        <v>46160</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46160</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46160</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46160</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46160</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46160</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40315-2024</t>
        </is>
      </c>
      <c r="B57" s="1" t="n">
        <v>45554.7571875</v>
      </c>
      <c r="C57" s="1" t="n">
        <v>46160</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22526-2025</t>
        </is>
      </c>
      <c r="B58" s="1" t="n">
        <v>45786.78096064815</v>
      </c>
      <c r="C58" s="1" t="n">
        <v>46160</v>
      </c>
      <c r="D58" t="inlineStr">
        <is>
          <t>ÖSTERGÖTLANDS LÄN</t>
        </is>
      </c>
      <c r="E58" t="inlineStr">
        <is>
          <t>LINKÖPING</t>
        </is>
      </c>
      <c r="G58" t="n">
        <v>1.8</v>
      </c>
      <c r="H58" t="n">
        <v>1</v>
      </c>
      <c r="I58" t="n">
        <v>0</v>
      </c>
      <c r="J58" t="n">
        <v>1</v>
      </c>
      <c r="K58" t="n">
        <v>0</v>
      </c>
      <c r="L58" t="n">
        <v>0</v>
      </c>
      <c r="M58" t="n">
        <v>0</v>
      </c>
      <c r="N58" t="n">
        <v>0</v>
      </c>
      <c r="O58" t="n">
        <v>1</v>
      </c>
      <c r="P58" t="n">
        <v>0</v>
      </c>
      <c r="Q58" t="n">
        <v>1</v>
      </c>
      <c r="R58" s="2" t="inlineStr">
        <is>
          <t>Röd skogslilja</t>
        </is>
      </c>
      <c r="S58">
        <f>HYPERLINK("https://klasma.github.io/Logging_0580/artfynd/A 22526-2025 artfynd.xlsx", "A 22526-2025")</f>
        <v/>
      </c>
      <c r="T58">
        <f>HYPERLINK("https://klasma.github.io/Logging_0580/kartor/A 22526-2025 karta.png", "A 22526-2025")</f>
        <v/>
      </c>
      <c r="V58">
        <f>HYPERLINK("https://klasma.github.io/Logging_0580/klagomål/A 22526-2025 FSC-klagomål.docx", "A 22526-2025")</f>
        <v/>
      </c>
      <c r="W58">
        <f>HYPERLINK("https://klasma.github.io/Logging_0580/klagomålsmail/A 22526-2025 FSC-klagomål mail.docx", "A 22526-2025")</f>
        <v/>
      </c>
      <c r="X58">
        <f>HYPERLINK("https://klasma.github.io/Logging_0580/tillsyn/A 22526-2025 tillsynsbegäran.docx", "A 22526-2025")</f>
        <v/>
      </c>
      <c r="Y58">
        <f>HYPERLINK("https://klasma.github.io/Logging_0580/tillsynsmail/A 22526-2025 tillsynsbegäran mail.docx", "A 22526-2025")</f>
        <v/>
      </c>
    </row>
    <row r="59" ht="15" customHeight="1">
      <c r="A59" t="inlineStr">
        <is>
          <t>A 27403-2025</t>
        </is>
      </c>
      <c r="B59" s="1" t="n">
        <v>45812.72518518518</v>
      </c>
      <c r="C59" s="1" t="n">
        <v>46160</v>
      </c>
      <c r="D59" t="inlineStr">
        <is>
          <t>ÖSTERGÖTLANDS LÄN</t>
        </is>
      </c>
      <c r="E59" t="inlineStr">
        <is>
          <t>LINKÖPING</t>
        </is>
      </c>
      <c r="G59" t="n">
        <v>1.4</v>
      </c>
      <c r="H59" t="n">
        <v>0</v>
      </c>
      <c r="I59" t="n">
        <v>0</v>
      </c>
      <c r="J59" t="n">
        <v>1</v>
      </c>
      <c r="K59" t="n">
        <v>0</v>
      </c>
      <c r="L59" t="n">
        <v>0</v>
      </c>
      <c r="M59" t="n">
        <v>0</v>
      </c>
      <c r="N59" t="n">
        <v>0</v>
      </c>
      <c r="O59" t="n">
        <v>1</v>
      </c>
      <c r="P59" t="n">
        <v>0</v>
      </c>
      <c r="Q59" t="n">
        <v>1</v>
      </c>
      <c r="R59" s="2" t="inlineStr">
        <is>
          <t>Tallticka</t>
        </is>
      </c>
      <c r="S59">
        <f>HYPERLINK("https://klasma.github.io/Logging_0580/artfynd/A 27403-2025 artfynd.xlsx", "A 27403-2025")</f>
        <v/>
      </c>
      <c r="T59">
        <f>HYPERLINK("https://klasma.github.io/Logging_0580/kartor/A 27403-2025 karta.png", "A 27403-2025")</f>
        <v/>
      </c>
      <c r="V59">
        <f>HYPERLINK("https://klasma.github.io/Logging_0580/klagomål/A 27403-2025 FSC-klagomål.docx", "A 27403-2025")</f>
        <v/>
      </c>
      <c r="W59">
        <f>HYPERLINK("https://klasma.github.io/Logging_0580/klagomålsmail/A 27403-2025 FSC-klagomål mail.docx", "A 27403-2025")</f>
        <v/>
      </c>
      <c r="X59">
        <f>HYPERLINK("https://klasma.github.io/Logging_0580/tillsyn/A 27403-2025 tillsynsbegäran.docx", "A 27403-2025")</f>
        <v/>
      </c>
      <c r="Y59">
        <f>HYPERLINK("https://klasma.github.io/Logging_0580/tillsynsmail/A 27403-2025 tillsynsbegäran mail.docx", "A 27403-2025")</f>
        <v/>
      </c>
    </row>
    <row r="60" ht="15" customHeight="1">
      <c r="A60" t="inlineStr">
        <is>
          <t>A 1213-2023</t>
        </is>
      </c>
      <c r="B60" s="1" t="n">
        <v>44930</v>
      </c>
      <c r="C60" s="1" t="n">
        <v>46160</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29393-2025</t>
        </is>
      </c>
      <c r="B61" s="1" t="n">
        <v>45824.6057175926</v>
      </c>
      <c r="C61" s="1" t="n">
        <v>46160</v>
      </c>
      <c r="D61" t="inlineStr">
        <is>
          <t>ÖSTERGÖTLANDS LÄN</t>
        </is>
      </c>
      <c r="E61" t="inlineStr">
        <is>
          <t>LINKÖPING</t>
        </is>
      </c>
      <c r="F61" t="inlineStr">
        <is>
          <t>Sveaskog</t>
        </is>
      </c>
      <c r="G61" t="n">
        <v>24.6</v>
      </c>
      <c r="H61" t="n">
        <v>1</v>
      </c>
      <c r="I61" t="n">
        <v>0</v>
      </c>
      <c r="J61" t="n">
        <v>0</v>
      </c>
      <c r="K61" t="n">
        <v>1</v>
      </c>
      <c r="L61" t="n">
        <v>0</v>
      </c>
      <c r="M61" t="n">
        <v>0</v>
      </c>
      <c r="N61" t="n">
        <v>0</v>
      </c>
      <c r="O61" t="n">
        <v>1</v>
      </c>
      <c r="P61" t="n">
        <v>1</v>
      </c>
      <c r="Q61" t="n">
        <v>1</v>
      </c>
      <c r="R61" s="2" t="inlineStr">
        <is>
          <t>Skogsgås</t>
        </is>
      </c>
      <c r="S61">
        <f>HYPERLINK("https://klasma.github.io/Logging_0580/artfynd/A 29393-2025 artfynd.xlsx", "A 29393-2025")</f>
        <v/>
      </c>
      <c r="T61">
        <f>HYPERLINK("https://klasma.github.io/Logging_0580/kartor/A 29393-2025 karta.png", "A 29393-2025")</f>
        <v/>
      </c>
      <c r="V61">
        <f>HYPERLINK("https://klasma.github.io/Logging_0580/klagomål/A 29393-2025 FSC-klagomål.docx", "A 29393-2025")</f>
        <v/>
      </c>
      <c r="W61">
        <f>HYPERLINK("https://klasma.github.io/Logging_0580/klagomålsmail/A 29393-2025 FSC-klagomål mail.docx", "A 29393-2025")</f>
        <v/>
      </c>
      <c r="X61">
        <f>HYPERLINK("https://klasma.github.io/Logging_0580/tillsyn/A 29393-2025 tillsynsbegäran.docx", "A 29393-2025")</f>
        <v/>
      </c>
      <c r="Y61">
        <f>HYPERLINK("https://klasma.github.io/Logging_0580/tillsynsmail/A 29393-2025 tillsynsbegäran mail.docx", "A 29393-2025")</f>
        <v/>
      </c>
      <c r="Z61">
        <f>HYPERLINK("https://klasma.github.io/Logging_0580/fåglar/A 29393-2025 prioriterade fågelarter.docx", "A 29393-2025")</f>
        <v/>
      </c>
    </row>
    <row r="62" ht="15" customHeight="1">
      <c r="A62" t="inlineStr">
        <is>
          <t>A 43989-2025</t>
        </is>
      </c>
      <c r="B62" s="1" t="n">
        <v>45915.44128472222</v>
      </c>
      <c r="C62" s="1" t="n">
        <v>46160</v>
      </c>
      <c r="D62" t="inlineStr">
        <is>
          <t>ÖSTERGÖTLANDS LÄN</t>
        </is>
      </c>
      <c r="E62" t="inlineStr">
        <is>
          <t>LINKÖPING</t>
        </is>
      </c>
      <c r="F62" t="inlineStr">
        <is>
          <t>Allmännings- och besparingsskogar</t>
        </is>
      </c>
      <c r="G62" t="n">
        <v>3.5</v>
      </c>
      <c r="H62" t="n">
        <v>0</v>
      </c>
      <c r="I62" t="n">
        <v>0</v>
      </c>
      <c r="J62" t="n">
        <v>1</v>
      </c>
      <c r="K62" t="n">
        <v>0</v>
      </c>
      <c r="L62" t="n">
        <v>0</v>
      </c>
      <c r="M62" t="n">
        <v>0</v>
      </c>
      <c r="N62" t="n">
        <v>0</v>
      </c>
      <c r="O62" t="n">
        <v>1</v>
      </c>
      <c r="P62" t="n">
        <v>0</v>
      </c>
      <c r="Q62" t="n">
        <v>1</v>
      </c>
      <c r="R62" s="2" t="inlineStr">
        <is>
          <t>Kavelhirs</t>
        </is>
      </c>
      <c r="S62">
        <f>HYPERLINK("https://klasma.github.io/Logging_0580/artfynd/A 43989-2025 artfynd.xlsx", "A 43989-2025")</f>
        <v/>
      </c>
      <c r="T62">
        <f>HYPERLINK("https://klasma.github.io/Logging_0580/kartor/A 43989-2025 karta.png", "A 43989-2025")</f>
        <v/>
      </c>
      <c r="V62">
        <f>HYPERLINK("https://klasma.github.io/Logging_0580/klagomål/A 43989-2025 FSC-klagomål.docx", "A 43989-2025")</f>
        <v/>
      </c>
      <c r="W62">
        <f>HYPERLINK("https://klasma.github.io/Logging_0580/klagomålsmail/A 43989-2025 FSC-klagomål mail.docx", "A 43989-2025")</f>
        <v/>
      </c>
      <c r="X62">
        <f>HYPERLINK("https://klasma.github.io/Logging_0580/tillsyn/A 43989-2025 tillsynsbegäran.docx", "A 43989-2025")</f>
        <v/>
      </c>
      <c r="Y62">
        <f>HYPERLINK("https://klasma.github.io/Logging_0580/tillsynsmail/A 43989-2025 tillsynsbegäran mail.docx", "A 43989-2025")</f>
        <v/>
      </c>
    </row>
    <row r="63" ht="15" customHeight="1">
      <c r="A63" t="inlineStr">
        <is>
          <t>A 44760-2025</t>
        </is>
      </c>
      <c r="B63" s="1" t="n">
        <v>45917.71873842592</v>
      </c>
      <c r="C63" s="1" t="n">
        <v>46160</v>
      </c>
      <c r="D63" t="inlineStr">
        <is>
          <t>ÖSTERGÖTLANDS LÄN</t>
        </is>
      </c>
      <c r="E63" t="inlineStr">
        <is>
          <t>LINKÖPING</t>
        </is>
      </c>
      <c r="G63" t="n">
        <v>0.9</v>
      </c>
      <c r="H63" t="n">
        <v>0</v>
      </c>
      <c r="I63" t="n">
        <v>0</v>
      </c>
      <c r="J63" t="n">
        <v>1</v>
      </c>
      <c r="K63" t="n">
        <v>0</v>
      </c>
      <c r="L63" t="n">
        <v>0</v>
      </c>
      <c r="M63" t="n">
        <v>0</v>
      </c>
      <c r="N63" t="n">
        <v>0</v>
      </c>
      <c r="O63" t="n">
        <v>1</v>
      </c>
      <c r="P63" t="n">
        <v>0</v>
      </c>
      <c r="Q63" t="n">
        <v>1</v>
      </c>
      <c r="R63" s="2" t="inlineStr">
        <is>
          <t>Tallticka</t>
        </is>
      </c>
      <c r="S63">
        <f>HYPERLINK("https://klasma.github.io/Logging_0580/artfynd/A 44760-2025 artfynd.xlsx", "A 44760-2025")</f>
        <v/>
      </c>
      <c r="T63">
        <f>HYPERLINK("https://klasma.github.io/Logging_0580/kartor/A 44760-2025 karta.png", "A 44760-2025")</f>
        <v/>
      </c>
      <c r="V63">
        <f>HYPERLINK("https://klasma.github.io/Logging_0580/klagomål/A 44760-2025 FSC-klagomål.docx", "A 44760-2025")</f>
        <v/>
      </c>
      <c r="W63">
        <f>HYPERLINK("https://klasma.github.io/Logging_0580/klagomålsmail/A 44760-2025 FSC-klagomål mail.docx", "A 44760-2025")</f>
        <v/>
      </c>
      <c r="X63">
        <f>HYPERLINK("https://klasma.github.io/Logging_0580/tillsyn/A 44760-2025 tillsynsbegäran.docx", "A 44760-2025")</f>
        <v/>
      </c>
      <c r="Y63">
        <f>HYPERLINK("https://klasma.github.io/Logging_0580/tillsynsmail/A 44760-2025 tillsynsbegäran mail.docx", "A 44760-2025")</f>
        <v/>
      </c>
    </row>
    <row r="64" ht="15" customHeight="1">
      <c r="A64" t="inlineStr">
        <is>
          <t>A 50471-2024</t>
        </is>
      </c>
      <c r="B64" s="1" t="n">
        <v>45601.47166666666</v>
      </c>
      <c r="C64" s="1" t="n">
        <v>46160</v>
      </c>
      <c r="D64" t="inlineStr">
        <is>
          <t>ÖSTERGÖTLANDS LÄN</t>
        </is>
      </c>
      <c r="E64" t="inlineStr">
        <is>
          <t>LINKÖPING</t>
        </is>
      </c>
      <c r="F64" t="inlineStr">
        <is>
          <t>Övriga Aktiebolag</t>
        </is>
      </c>
      <c r="G64" t="n">
        <v>2</v>
      </c>
      <c r="H64" t="n">
        <v>0</v>
      </c>
      <c r="I64" t="n">
        <v>1</v>
      </c>
      <c r="J64" t="n">
        <v>0</v>
      </c>
      <c r="K64" t="n">
        <v>0</v>
      </c>
      <c r="L64" t="n">
        <v>0</v>
      </c>
      <c r="M64" t="n">
        <v>0</v>
      </c>
      <c r="N64" t="n">
        <v>0</v>
      </c>
      <c r="O64" t="n">
        <v>0</v>
      </c>
      <c r="P64" t="n">
        <v>0</v>
      </c>
      <c r="Q64" t="n">
        <v>1</v>
      </c>
      <c r="R64" s="2" t="inlineStr">
        <is>
          <t>Västlig hakmossa</t>
        </is>
      </c>
      <c r="S64">
        <f>HYPERLINK("https://klasma.github.io/Logging_0580/artfynd/A 50471-2024 artfynd.xlsx", "A 50471-2024")</f>
        <v/>
      </c>
      <c r="T64">
        <f>HYPERLINK("https://klasma.github.io/Logging_0580/kartor/A 50471-2024 karta.png", "A 50471-2024")</f>
        <v/>
      </c>
      <c r="V64">
        <f>HYPERLINK("https://klasma.github.io/Logging_0580/klagomål/A 50471-2024 FSC-klagomål.docx", "A 50471-2024")</f>
        <v/>
      </c>
      <c r="W64">
        <f>HYPERLINK("https://klasma.github.io/Logging_0580/klagomålsmail/A 50471-2024 FSC-klagomål mail.docx", "A 50471-2024")</f>
        <v/>
      </c>
      <c r="X64">
        <f>HYPERLINK("https://klasma.github.io/Logging_0580/tillsyn/A 50471-2024 tillsynsbegäran.docx", "A 50471-2024")</f>
        <v/>
      </c>
      <c r="Y64">
        <f>HYPERLINK("https://klasma.github.io/Logging_0580/tillsynsmail/A 50471-2024 tillsynsbegäran mail.docx", "A 50471-2024")</f>
        <v/>
      </c>
    </row>
    <row r="65" ht="15" customHeight="1">
      <c r="A65" t="inlineStr">
        <is>
          <t>A 50806-2023</t>
        </is>
      </c>
      <c r="B65" s="1" t="n">
        <v>45217</v>
      </c>
      <c r="C65" s="1" t="n">
        <v>46160</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48273-2025</t>
        </is>
      </c>
      <c r="B66" s="1" t="n">
        <v>45932</v>
      </c>
      <c r="C66" s="1" t="n">
        <v>46160</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46160</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48353-2025</t>
        </is>
      </c>
      <c r="B68" s="1" t="n">
        <v>45932</v>
      </c>
      <c r="C68" s="1" t="n">
        <v>46160</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48347-2025</t>
        </is>
      </c>
      <c r="B69" s="1" t="n">
        <v>45932</v>
      </c>
      <c r="C69" s="1" t="n">
        <v>46160</v>
      </c>
      <c r="D69" t="inlineStr">
        <is>
          <t>ÖSTERGÖTLANDS LÄN</t>
        </is>
      </c>
      <c r="E69" t="inlineStr">
        <is>
          <t>LINKÖPING</t>
        </is>
      </c>
      <c r="F69" t="inlineStr">
        <is>
          <t>Övriga Aktiebolag</t>
        </is>
      </c>
      <c r="G69" t="n">
        <v>0.9</v>
      </c>
      <c r="H69" t="n">
        <v>0</v>
      </c>
      <c r="I69" t="n">
        <v>0</v>
      </c>
      <c r="J69" t="n">
        <v>1</v>
      </c>
      <c r="K69" t="n">
        <v>0</v>
      </c>
      <c r="L69" t="n">
        <v>0</v>
      </c>
      <c r="M69" t="n">
        <v>0</v>
      </c>
      <c r="N69" t="n">
        <v>0</v>
      </c>
      <c r="O69" t="n">
        <v>1</v>
      </c>
      <c r="P69" t="n">
        <v>0</v>
      </c>
      <c r="Q69" t="n">
        <v>1</v>
      </c>
      <c r="R69" s="2" t="inlineStr">
        <is>
          <t>Igelkott</t>
        </is>
      </c>
      <c r="S69">
        <f>HYPERLINK("https://klasma.github.io/Logging_0580/artfynd/A 48347-2025 artfynd.xlsx", "A 48347-2025")</f>
        <v/>
      </c>
      <c r="T69">
        <f>HYPERLINK("https://klasma.github.io/Logging_0580/kartor/A 48347-2025 karta.png", "A 48347-2025")</f>
        <v/>
      </c>
      <c r="V69">
        <f>HYPERLINK("https://klasma.github.io/Logging_0580/klagomål/A 48347-2025 FSC-klagomål.docx", "A 48347-2025")</f>
        <v/>
      </c>
      <c r="W69">
        <f>HYPERLINK("https://klasma.github.io/Logging_0580/klagomålsmail/A 48347-2025 FSC-klagomål mail.docx", "A 48347-2025")</f>
        <v/>
      </c>
      <c r="X69">
        <f>HYPERLINK("https://klasma.github.io/Logging_0580/tillsyn/A 48347-2025 tillsynsbegäran.docx", "A 48347-2025")</f>
        <v/>
      </c>
      <c r="Y69">
        <f>HYPERLINK("https://klasma.github.io/Logging_0580/tillsynsmail/A 48347-2025 tillsynsbegäran mail.docx", "A 48347-2025")</f>
        <v/>
      </c>
    </row>
    <row r="70" ht="15" customHeight="1">
      <c r="A70" t="inlineStr">
        <is>
          <t>A 36723-2023</t>
        </is>
      </c>
      <c r="B70" s="1" t="n">
        <v>45153</v>
      </c>
      <c r="C70" s="1" t="n">
        <v>46160</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60573-2021</t>
        </is>
      </c>
      <c r="B71" s="1" t="n">
        <v>44496</v>
      </c>
      <c r="C71" s="1" t="n">
        <v>46160</v>
      </c>
      <c r="D71" t="inlineStr">
        <is>
          <t>ÖSTERGÖTLANDS LÄN</t>
        </is>
      </c>
      <c r="E71" t="inlineStr">
        <is>
          <t>LINKÖPING</t>
        </is>
      </c>
      <c r="F71" t="inlineStr">
        <is>
          <t>Övriga Aktiebolag</t>
        </is>
      </c>
      <c r="G71" t="n">
        <v>5.6</v>
      </c>
      <c r="H71" t="n">
        <v>0</v>
      </c>
      <c r="I71" t="n">
        <v>0</v>
      </c>
      <c r="J71" t="n">
        <v>1</v>
      </c>
      <c r="K71" t="n">
        <v>0</v>
      </c>
      <c r="L71" t="n">
        <v>0</v>
      </c>
      <c r="M71" t="n">
        <v>0</v>
      </c>
      <c r="N71" t="n">
        <v>0</v>
      </c>
      <c r="O71" t="n">
        <v>1</v>
      </c>
      <c r="P71" t="n">
        <v>0</v>
      </c>
      <c r="Q71" t="n">
        <v>1</v>
      </c>
      <c r="R71" s="2" t="inlineStr">
        <is>
          <t>Sommarfibbla</t>
        </is>
      </c>
      <c r="S71">
        <f>HYPERLINK("https://klasma.github.io/Logging_0580/artfynd/A 60573-2021 artfynd.xlsx", "A 60573-2021")</f>
        <v/>
      </c>
      <c r="T71">
        <f>HYPERLINK("https://klasma.github.io/Logging_0580/kartor/A 60573-2021 karta.png", "A 60573-2021")</f>
        <v/>
      </c>
      <c r="V71">
        <f>HYPERLINK("https://klasma.github.io/Logging_0580/klagomål/A 60573-2021 FSC-klagomål.docx", "A 60573-2021")</f>
        <v/>
      </c>
      <c r="W71">
        <f>HYPERLINK("https://klasma.github.io/Logging_0580/klagomålsmail/A 60573-2021 FSC-klagomål mail.docx", "A 60573-2021")</f>
        <v/>
      </c>
      <c r="X71">
        <f>HYPERLINK("https://klasma.github.io/Logging_0580/tillsyn/A 60573-2021 tillsynsbegäran.docx", "A 60573-2021")</f>
        <v/>
      </c>
      <c r="Y71">
        <f>HYPERLINK("https://klasma.github.io/Logging_0580/tillsynsmail/A 60573-2021 tillsynsbegäran mail.docx", "A 60573-2021")</f>
        <v/>
      </c>
    </row>
    <row r="72" ht="15" customHeight="1">
      <c r="A72" t="inlineStr">
        <is>
          <t>A 50034-2025</t>
        </is>
      </c>
      <c r="B72" s="1" t="n">
        <v>45941</v>
      </c>
      <c r="C72" s="1" t="n">
        <v>46160</v>
      </c>
      <c r="D72" t="inlineStr">
        <is>
          <t>ÖSTERGÖTLANDS LÄN</t>
        </is>
      </c>
      <c r="E72" t="inlineStr">
        <is>
          <t>LINKÖPING</t>
        </is>
      </c>
      <c r="G72" t="n">
        <v>6.2</v>
      </c>
      <c r="H72" t="n">
        <v>0</v>
      </c>
      <c r="I72" t="n">
        <v>0</v>
      </c>
      <c r="J72" t="n">
        <v>0</v>
      </c>
      <c r="K72" t="n">
        <v>0</v>
      </c>
      <c r="L72" t="n">
        <v>0</v>
      </c>
      <c r="M72" t="n">
        <v>1</v>
      </c>
      <c r="N72" t="n">
        <v>0</v>
      </c>
      <c r="O72" t="n">
        <v>1</v>
      </c>
      <c r="P72" t="n">
        <v>1</v>
      </c>
      <c r="Q72" t="n">
        <v>1</v>
      </c>
      <c r="R72" s="2" t="inlineStr">
        <is>
          <t>Skogsalm</t>
        </is>
      </c>
      <c r="S72">
        <f>HYPERLINK("https://klasma.github.io/Logging_0580/artfynd/A 50034-2025 artfynd.xlsx", "A 50034-2025")</f>
        <v/>
      </c>
      <c r="T72">
        <f>HYPERLINK("https://klasma.github.io/Logging_0580/kartor/A 50034-2025 karta.png", "A 50034-2025")</f>
        <v/>
      </c>
      <c r="V72">
        <f>HYPERLINK("https://klasma.github.io/Logging_0580/klagomål/A 50034-2025 FSC-klagomål.docx", "A 50034-2025")</f>
        <v/>
      </c>
      <c r="W72">
        <f>HYPERLINK("https://klasma.github.io/Logging_0580/klagomålsmail/A 50034-2025 FSC-klagomål mail.docx", "A 50034-2025")</f>
        <v/>
      </c>
      <c r="X72">
        <f>HYPERLINK("https://klasma.github.io/Logging_0580/tillsyn/A 50034-2025 tillsynsbegäran.docx", "A 50034-2025")</f>
        <v/>
      </c>
      <c r="Y72">
        <f>HYPERLINK("https://klasma.github.io/Logging_0580/tillsynsmail/A 50034-2025 tillsynsbegäran mail.docx", "A 50034-2025")</f>
        <v/>
      </c>
    </row>
    <row r="73" ht="15" customHeight="1">
      <c r="A73" t="inlineStr">
        <is>
          <t>A 56112-2025</t>
        </is>
      </c>
      <c r="B73" s="1" t="n">
        <v>45973.73625</v>
      </c>
      <c r="C73" s="1" t="n">
        <v>46160</v>
      </c>
      <c r="D73" t="inlineStr">
        <is>
          <t>ÖSTERGÖTLANDS LÄN</t>
        </is>
      </c>
      <c r="E73" t="inlineStr">
        <is>
          <t>LINKÖPING</t>
        </is>
      </c>
      <c r="G73" t="n">
        <v>0.6</v>
      </c>
      <c r="H73" t="n">
        <v>0</v>
      </c>
      <c r="I73" t="n">
        <v>0</v>
      </c>
      <c r="J73" t="n">
        <v>1</v>
      </c>
      <c r="K73" t="n">
        <v>0</v>
      </c>
      <c r="L73" t="n">
        <v>0</v>
      </c>
      <c r="M73" t="n">
        <v>0</v>
      </c>
      <c r="N73" t="n">
        <v>0</v>
      </c>
      <c r="O73" t="n">
        <v>1</v>
      </c>
      <c r="P73" t="n">
        <v>0</v>
      </c>
      <c r="Q73" t="n">
        <v>1</v>
      </c>
      <c r="R73" s="2" t="inlineStr">
        <is>
          <t>Solvända</t>
        </is>
      </c>
      <c r="S73">
        <f>HYPERLINK("https://klasma.github.io/Logging_0580/artfynd/A 56112-2025 artfynd.xlsx", "A 56112-2025")</f>
        <v/>
      </c>
      <c r="T73">
        <f>HYPERLINK("https://klasma.github.io/Logging_0580/kartor/A 56112-2025 karta.png", "A 56112-2025")</f>
        <v/>
      </c>
      <c r="V73">
        <f>HYPERLINK("https://klasma.github.io/Logging_0580/klagomål/A 56112-2025 FSC-klagomål.docx", "A 56112-2025")</f>
        <v/>
      </c>
      <c r="W73">
        <f>HYPERLINK("https://klasma.github.io/Logging_0580/klagomålsmail/A 56112-2025 FSC-klagomål mail.docx", "A 56112-2025")</f>
        <v/>
      </c>
      <c r="X73">
        <f>HYPERLINK("https://klasma.github.io/Logging_0580/tillsyn/A 56112-2025 tillsynsbegäran.docx", "A 56112-2025")</f>
        <v/>
      </c>
      <c r="Y73">
        <f>HYPERLINK("https://klasma.github.io/Logging_0580/tillsynsmail/A 56112-2025 tillsynsbegäran mail.docx", "A 56112-2025")</f>
        <v/>
      </c>
    </row>
    <row r="74" ht="15" customHeight="1">
      <c r="A74" t="inlineStr">
        <is>
          <t>A 5911-2022</t>
        </is>
      </c>
      <c r="B74" s="1" t="n">
        <v>44597</v>
      </c>
      <c r="C74" s="1" t="n">
        <v>46160</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56128-2022</t>
        </is>
      </c>
      <c r="B75" s="1" t="n">
        <v>44889</v>
      </c>
      <c r="C75" s="1" t="n">
        <v>46160</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59474-2025</t>
        </is>
      </c>
      <c r="B76" s="1" t="n">
        <v>45989.58512731481</v>
      </c>
      <c r="C76" s="1" t="n">
        <v>46160</v>
      </c>
      <c r="D76" t="inlineStr">
        <is>
          <t>ÖSTERGÖTLANDS LÄN</t>
        </is>
      </c>
      <c r="E76" t="inlineStr">
        <is>
          <t>LINKÖPING</t>
        </is>
      </c>
      <c r="G76" t="n">
        <v>8</v>
      </c>
      <c r="H76" t="n">
        <v>0</v>
      </c>
      <c r="I76" t="n">
        <v>1</v>
      </c>
      <c r="J76" t="n">
        <v>0</v>
      </c>
      <c r="K76" t="n">
        <v>0</v>
      </c>
      <c r="L76" t="n">
        <v>0</v>
      </c>
      <c r="M76" t="n">
        <v>0</v>
      </c>
      <c r="N76" t="n">
        <v>0</v>
      </c>
      <c r="O76" t="n">
        <v>0</v>
      </c>
      <c r="P76" t="n">
        <v>0</v>
      </c>
      <c r="Q76" t="n">
        <v>1</v>
      </c>
      <c r="R76" s="2" t="inlineStr">
        <is>
          <t>Fällmossa</t>
        </is>
      </c>
      <c r="S76">
        <f>HYPERLINK("https://klasma.github.io/Logging_0580/artfynd/A 59474-2025 artfynd.xlsx", "A 59474-2025")</f>
        <v/>
      </c>
      <c r="T76">
        <f>HYPERLINK("https://klasma.github.io/Logging_0580/kartor/A 59474-2025 karta.png", "A 59474-2025")</f>
        <v/>
      </c>
      <c r="V76">
        <f>HYPERLINK("https://klasma.github.io/Logging_0580/klagomål/A 59474-2025 FSC-klagomål.docx", "A 59474-2025")</f>
        <v/>
      </c>
      <c r="W76">
        <f>HYPERLINK("https://klasma.github.io/Logging_0580/klagomålsmail/A 59474-2025 FSC-klagomål mail.docx", "A 59474-2025")</f>
        <v/>
      </c>
      <c r="X76">
        <f>HYPERLINK("https://klasma.github.io/Logging_0580/tillsyn/A 59474-2025 tillsynsbegäran.docx", "A 59474-2025")</f>
        <v/>
      </c>
      <c r="Y76">
        <f>HYPERLINK("https://klasma.github.io/Logging_0580/tillsynsmail/A 59474-2025 tillsynsbegäran mail.docx", "A 59474-2025")</f>
        <v/>
      </c>
    </row>
    <row r="77" ht="15" customHeight="1">
      <c r="A77" t="inlineStr">
        <is>
          <t>A 60311-2025</t>
        </is>
      </c>
      <c r="B77" s="1" t="n">
        <v>45994</v>
      </c>
      <c r="C77" s="1" t="n">
        <v>46160</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54835-2023</t>
        </is>
      </c>
      <c r="B78" s="1" t="n">
        <v>45236</v>
      </c>
      <c r="C78" s="1" t="n">
        <v>46160</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34881-2023</t>
        </is>
      </c>
      <c r="B79" s="1" t="n">
        <v>45140</v>
      </c>
      <c r="C79" s="1" t="n">
        <v>46160</v>
      </c>
      <c r="D79" t="inlineStr">
        <is>
          <t>ÖSTERGÖTLANDS LÄN</t>
        </is>
      </c>
      <c r="E79" t="inlineStr">
        <is>
          <t>LINKÖPING</t>
        </is>
      </c>
      <c r="G79" t="n">
        <v>1.9</v>
      </c>
      <c r="H79" t="n">
        <v>0</v>
      </c>
      <c r="I79" t="n">
        <v>0</v>
      </c>
      <c r="J79" t="n">
        <v>1</v>
      </c>
      <c r="K79" t="n">
        <v>0</v>
      </c>
      <c r="L79" t="n">
        <v>0</v>
      </c>
      <c r="M79" t="n">
        <v>0</v>
      </c>
      <c r="N79" t="n">
        <v>0</v>
      </c>
      <c r="O79" t="n">
        <v>1</v>
      </c>
      <c r="P79" t="n">
        <v>0</v>
      </c>
      <c r="Q79" t="n">
        <v>1</v>
      </c>
      <c r="R79" s="2" t="inlineStr">
        <is>
          <t>Tallticka</t>
        </is>
      </c>
      <c r="S79">
        <f>HYPERLINK("https://klasma.github.io/Logging_0580/artfynd/A 34881-2023 artfynd.xlsx", "A 34881-2023")</f>
        <v/>
      </c>
      <c r="T79">
        <f>HYPERLINK("https://klasma.github.io/Logging_0580/kartor/A 34881-2023 karta.png", "A 34881-2023")</f>
        <v/>
      </c>
      <c r="U79">
        <f>HYPERLINK("https://klasma.github.io/Logging_0580/knärot/A 34881-2023 karta knärot.png", "A 34881-2023")</f>
        <v/>
      </c>
      <c r="V79">
        <f>HYPERLINK("https://klasma.github.io/Logging_0580/klagomål/A 34881-2023 FSC-klagomål.docx", "A 34881-2023")</f>
        <v/>
      </c>
      <c r="W79">
        <f>HYPERLINK("https://klasma.github.io/Logging_0580/klagomålsmail/A 34881-2023 FSC-klagomål mail.docx", "A 34881-2023")</f>
        <v/>
      </c>
      <c r="X79">
        <f>HYPERLINK("https://klasma.github.io/Logging_0580/tillsyn/A 34881-2023 tillsynsbegäran.docx", "A 34881-2023")</f>
        <v/>
      </c>
      <c r="Y79">
        <f>HYPERLINK("https://klasma.github.io/Logging_0580/tillsynsmail/A 34881-2023 tillsynsbegäran mail.docx", "A 34881-2023")</f>
        <v/>
      </c>
    </row>
    <row r="80" ht="15" customHeight="1">
      <c r="A80" t="inlineStr">
        <is>
          <t>A 45317-2023</t>
        </is>
      </c>
      <c r="B80" s="1" t="n">
        <v>45191.74868055555</v>
      </c>
      <c r="C80" s="1" t="n">
        <v>46160</v>
      </c>
      <c r="D80" t="inlineStr">
        <is>
          <t>ÖSTERGÖTLANDS LÄN</t>
        </is>
      </c>
      <c r="E80" t="inlineStr">
        <is>
          <t>LINKÖPING</t>
        </is>
      </c>
      <c r="F80" t="inlineStr">
        <is>
          <t>Allmännings- och besparingsskogar</t>
        </is>
      </c>
      <c r="G80" t="n">
        <v>29.3</v>
      </c>
      <c r="H80" t="n">
        <v>0</v>
      </c>
      <c r="I80" t="n">
        <v>0</v>
      </c>
      <c r="J80" t="n">
        <v>1</v>
      </c>
      <c r="K80" t="n">
        <v>0</v>
      </c>
      <c r="L80" t="n">
        <v>0</v>
      </c>
      <c r="M80" t="n">
        <v>0</v>
      </c>
      <c r="N80" t="n">
        <v>0</v>
      </c>
      <c r="O80" t="n">
        <v>1</v>
      </c>
      <c r="P80" t="n">
        <v>0</v>
      </c>
      <c r="Q80" t="n">
        <v>1</v>
      </c>
      <c r="R80" s="2" t="inlineStr">
        <is>
          <t>Svinrot</t>
        </is>
      </c>
      <c r="S80">
        <f>HYPERLINK("https://klasma.github.io/Logging_0580/artfynd/A 45317-2023 artfynd.xlsx", "A 45317-2023")</f>
        <v/>
      </c>
      <c r="T80">
        <f>HYPERLINK("https://klasma.github.io/Logging_0580/kartor/A 45317-2023 karta.png", "A 45317-2023")</f>
        <v/>
      </c>
      <c r="V80">
        <f>HYPERLINK("https://klasma.github.io/Logging_0580/klagomål/A 45317-2023 FSC-klagomål.docx", "A 45317-2023")</f>
        <v/>
      </c>
      <c r="W80">
        <f>HYPERLINK("https://klasma.github.io/Logging_0580/klagomålsmail/A 45317-2023 FSC-klagomål mail.docx", "A 45317-2023")</f>
        <v/>
      </c>
      <c r="X80">
        <f>HYPERLINK("https://klasma.github.io/Logging_0580/tillsyn/A 45317-2023 tillsynsbegäran.docx", "A 45317-2023")</f>
        <v/>
      </c>
      <c r="Y80">
        <f>HYPERLINK("https://klasma.github.io/Logging_0580/tillsynsmail/A 45317-2023 tillsynsbegäran mail.docx", "A 45317-2023")</f>
        <v/>
      </c>
    </row>
    <row r="81" ht="15" customHeight="1">
      <c r="A81" t="inlineStr">
        <is>
          <t>A 20295-2025</t>
        </is>
      </c>
      <c r="B81" s="1" t="n">
        <v>45774.74846064814</v>
      </c>
      <c r="C81" s="1" t="n">
        <v>46160</v>
      </c>
      <c r="D81" t="inlineStr">
        <is>
          <t>ÖSTERGÖTLANDS LÄN</t>
        </is>
      </c>
      <c r="E81" t="inlineStr">
        <is>
          <t>LINKÖPING</t>
        </is>
      </c>
      <c r="G81" t="n">
        <v>3</v>
      </c>
      <c r="H81" t="n">
        <v>0</v>
      </c>
      <c r="I81" t="n">
        <v>0</v>
      </c>
      <c r="J81" t="n">
        <v>1</v>
      </c>
      <c r="K81" t="n">
        <v>0</v>
      </c>
      <c r="L81" t="n">
        <v>0</v>
      </c>
      <c r="M81" t="n">
        <v>0</v>
      </c>
      <c r="N81" t="n">
        <v>0</v>
      </c>
      <c r="O81" t="n">
        <v>1</v>
      </c>
      <c r="P81" t="n">
        <v>0</v>
      </c>
      <c r="Q81" t="n">
        <v>1</v>
      </c>
      <c r="R81" s="2" t="inlineStr">
        <is>
          <t>Tallticka</t>
        </is>
      </c>
      <c r="S81">
        <f>HYPERLINK("https://klasma.github.io/Logging_0580/artfynd/A 20295-2025 artfynd.xlsx", "A 20295-2025")</f>
        <v/>
      </c>
      <c r="T81">
        <f>HYPERLINK("https://klasma.github.io/Logging_0580/kartor/A 20295-2025 karta.png", "A 20295-2025")</f>
        <v/>
      </c>
      <c r="V81">
        <f>HYPERLINK("https://klasma.github.io/Logging_0580/klagomål/A 20295-2025 FSC-klagomål.docx", "A 20295-2025")</f>
        <v/>
      </c>
      <c r="W81">
        <f>HYPERLINK("https://klasma.github.io/Logging_0580/klagomålsmail/A 20295-2025 FSC-klagomål mail.docx", "A 20295-2025")</f>
        <v/>
      </c>
      <c r="X81">
        <f>HYPERLINK("https://klasma.github.io/Logging_0580/tillsyn/A 20295-2025 tillsynsbegäran.docx", "A 20295-2025")</f>
        <v/>
      </c>
      <c r="Y81">
        <f>HYPERLINK("https://klasma.github.io/Logging_0580/tillsynsmail/A 20295-2025 tillsynsbegäran mail.docx", "A 20295-2025")</f>
        <v/>
      </c>
    </row>
    <row r="82" ht="15" customHeight="1">
      <c r="A82" t="inlineStr">
        <is>
          <t>A 37683-2024</t>
        </is>
      </c>
      <c r="B82" s="1" t="n">
        <v>45541.59120370371</v>
      </c>
      <c r="C82" s="1" t="n">
        <v>46160</v>
      </c>
      <c r="D82" t="inlineStr">
        <is>
          <t>ÖSTERGÖTLANDS LÄN</t>
        </is>
      </c>
      <c r="E82" t="inlineStr">
        <is>
          <t>LINKÖPING</t>
        </is>
      </c>
      <c r="G82" t="n">
        <v>0.6</v>
      </c>
      <c r="H82" t="n">
        <v>0</v>
      </c>
      <c r="I82" t="n">
        <v>1</v>
      </c>
      <c r="J82" t="n">
        <v>0</v>
      </c>
      <c r="K82" t="n">
        <v>0</v>
      </c>
      <c r="L82" t="n">
        <v>0</v>
      </c>
      <c r="M82" t="n">
        <v>0</v>
      </c>
      <c r="N82" t="n">
        <v>0</v>
      </c>
      <c r="O82" t="n">
        <v>0</v>
      </c>
      <c r="P82" t="n">
        <v>0</v>
      </c>
      <c r="Q82" t="n">
        <v>1</v>
      </c>
      <c r="R82" s="2" t="inlineStr">
        <is>
          <t>Tibast</t>
        </is>
      </c>
      <c r="S82">
        <f>HYPERLINK("https://klasma.github.io/Logging_0580/artfynd/A 37683-2024 artfynd.xlsx", "A 37683-2024")</f>
        <v/>
      </c>
      <c r="T82">
        <f>HYPERLINK("https://klasma.github.io/Logging_0580/kartor/A 37683-2024 karta.png", "A 37683-2024")</f>
        <v/>
      </c>
      <c r="V82">
        <f>HYPERLINK("https://klasma.github.io/Logging_0580/klagomål/A 37683-2024 FSC-klagomål.docx", "A 37683-2024")</f>
        <v/>
      </c>
      <c r="W82">
        <f>HYPERLINK("https://klasma.github.io/Logging_0580/klagomålsmail/A 37683-2024 FSC-klagomål mail.docx", "A 37683-2024")</f>
        <v/>
      </c>
      <c r="X82">
        <f>HYPERLINK("https://klasma.github.io/Logging_0580/tillsyn/A 37683-2024 tillsynsbegäran.docx", "A 37683-2024")</f>
        <v/>
      </c>
      <c r="Y82">
        <f>HYPERLINK("https://klasma.github.io/Logging_0580/tillsynsmail/A 37683-2024 tillsynsbegäran mail.docx", "A 37683-2024")</f>
        <v/>
      </c>
    </row>
    <row r="83" ht="15" customHeight="1">
      <c r="A83" t="inlineStr">
        <is>
          <t>A 35948-2023</t>
        </is>
      </c>
      <c r="B83" s="1" t="n">
        <v>45148</v>
      </c>
      <c r="C83" s="1" t="n">
        <v>46160</v>
      </c>
      <c r="D83" t="inlineStr">
        <is>
          <t>ÖSTERGÖTLANDS LÄN</t>
        </is>
      </c>
      <c r="E83" t="inlineStr">
        <is>
          <t>LINKÖPING</t>
        </is>
      </c>
      <c r="G83" t="n">
        <v>1.9</v>
      </c>
      <c r="H83" t="n">
        <v>0</v>
      </c>
      <c r="I83" t="n">
        <v>1</v>
      </c>
      <c r="J83" t="n">
        <v>0</v>
      </c>
      <c r="K83" t="n">
        <v>0</v>
      </c>
      <c r="L83" t="n">
        <v>0</v>
      </c>
      <c r="M83" t="n">
        <v>0</v>
      </c>
      <c r="N83" t="n">
        <v>0</v>
      </c>
      <c r="O83" t="n">
        <v>0</v>
      </c>
      <c r="P83" t="n">
        <v>0</v>
      </c>
      <c r="Q83" t="n">
        <v>1</v>
      </c>
      <c r="R83" s="2" t="inlineStr">
        <is>
          <t>Brun nållav</t>
        </is>
      </c>
      <c r="S83">
        <f>HYPERLINK("https://klasma.github.io/Logging_0580/artfynd/A 35948-2023 artfynd.xlsx", "A 35948-2023")</f>
        <v/>
      </c>
      <c r="T83">
        <f>HYPERLINK("https://klasma.github.io/Logging_0580/kartor/A 35948-2023 karta.png", "A 35948-2023")</f>
        <v/>
      </c>
      <c r="V83">
        <f>HYPERLINK("https://klasma.github.io/Logging_0580/klagomål/A 35948-2023 FSC-klagomål.docx", "A 35948-2023")</f>
        <v/>
      </c>
      <c r="W83">
        <f>HYPERLINK("https://klasma.github.io/Logging_0580/klagomålsmail/A 35948-2023 FSC-klagomål mail.docx", "A 35948-2023")</f>
        <v/>
      </c>
      <c r="X83">
        <f>HYPERLINK("https://klasma.github.io/Logging_0580/tillsyn/A 35948-2023 tillsynsbegäran.docx", "A 35948-2023")</f>
        <v/>
      </c>
      <c r="Y83">
        <f>HYPERLINK("https://klasma.github.io/Logging_0580/tillsynsmail/A 35948-2023 tillsynsbegäran mail.docx", "A 35948-2023")</f>
        <v/>
      </c>
    </row>
    <row r="84" ht="15" customHeight="1">
      <c r="A84" t="inlineStr">
        <is>
          <t>A 21227-2026</t>
        </is>
      </c>
      <c r="B84" s="1" t="n">
        <v>46146.78898148148</v>
      </c>
      <c r="C84" s="1" t="n">
        <v>46160</v>
      </c>
      <c r="D84" t="inlineStr">
        <is>
          <t>ÖSTERGÖTLANDS LÄN</t>
        </is>
      </c>
      <c r="E84" t="inlineStr">
        <is>
          <t>LINKÖPING</t>
        </is>
      </c>
      <c r="G84" t="n">
        <v>1.8</v>
      </c>
      <c r="H84" t="n">
        <v>1</v>
      </c>
      <c r="I84" t="n">
        <v>0</v>
      </c>
      <c r="J84" t="n">
        <v>1</v>
      </c>
      <c r="K84" t="n">
        <v>0</v>
      </c>
      <c r="L84" t="n">
        <v>0</v>
      </c>
      <c r="M84" t="n">
        <v>0</v>
      </c>
      <c r="N84" t="n">
        <v>0</v>
      </c>
      <c r="O84" t="n">
        <v>1</v>
      </c>
      <c r="P84" t="n">
        <v>0</v>
      </c>
      <c r="Q84" t="n">
        <v>1</v>
      </c>
      <c r="R84" s="2" t="inlineStr">
        <is>
          <t>Rödvingetrast</t>
        </is>
      </c>
      <c r="S84">
        <f>HYPERLINK("https://klasma.github.io/Logging_0580/artfynd/A 21227-2026 artfynd.xlsx", "A 21227-2026")</f>
        <v/>
      </c>
      <c r="T84">
        <f>HYPERLINK("https://klasma.github.io/Logging_0580/kartor/A 21227-2026 karta.png", "A 21227-2026")</f>
        <v/>
      </c>
      <c r="V84">
        <f>HYPERLINK("https://klasma.github.io/Logging_0580/klagomål/A 21227-2026 FSC-klagomål.docx", "A 21227-2026")</f>
        <v/>
      </c>
      <c r="W84">
        <f>HYPERLINK("https://klasma.github.io/Logging_0580/klagomålsmail/A 21227-2026 FSC-klagomål mail.docx", "A 21227-2026")</f>
        <v/>
      </c>
      <c r="X84">
        <f>HYPERLINK("https://klasma.github.io/Logging_0580/tillsyn/A 21227-2026 tillsynsbegäran.docx", "A 21227-2026")</f>
        <v/>
      </c>
      <c r="Y84">
        <f>HYPERLINK("https://klasma.github.io/Logging_0580/tillsynsmail/A 21227-2026 tillsynsbegäran mail.docx", "A 21227-2026")</f>
        <v/>
      </c>
      <c r="Z84">
        <f>HYPERLINK("https://klasma.github.io/Logging_0580/fåglar/A 21227-2026 prioriterade fågelarter.docx", "A 21227-2026")</f>
        <v/>
      </c>
    </row>
    <row r="85" ht="15" customHeight="1">
      <c r="A85" t="inlineStr">
        <is>
          <t>A 42054-2022</t>
        </is>
      </c>
      <c r="B85" s="1" t="n">
        <v>44830</v>
      </c>
      <c r="C85" s="1" t="n">
        <v>46160</v>
      </c>
      <c r="D85" t="inlineStr">
        <is>
          <t>ÖSTERGÖTLANDS LÄN</t>
        </is>
      </c>
      <c r="E85" t="inlineStr">
        <is>
          <t>LINKÖPING</t>
        </is>
      </c>
      <c r="G85" t="n">
        <v>1.7</v>
      </c>
      <c r="H85" t="n">
        <v>0</v>
      </c>
      <c r="I85" t="n">
        <v>0</v>
      </c>
      <c r="J85" t="n">
        <v>1</v>
      </c>
      <c r="K85" t="n">
        <v>0</v>
      </c>
      <c r="L85" t="n">
        <v>0</v>
      </c>
      <c r="M85" t="n">
        <v>0</v>
      </c>
      <c r="N85" t="n">
        <v>0</v>
      </c>
      <c r="O85" t="n">
        <v>1</v>
      </c>
      <c r="P85" t="n">
        <v>0</v>
      </c>
      <c r="Q85" t="n">
        <v>1</v>
      </c>
      <c r="R85" s="2" t="inlineStr">
        <is>
          <t>Tallticka</t>
        </is>
      </c>
      <c r="S85">
        <f>HYPERLINK("https://klasma.github.io/Logging_0580/artfynd/A 42054-2022 artfynd.xlsx", "A 42054-2022")</f>
        <v/>
      </c>
      <c r="T85">
        <f>HYPERLINK("https://klasma.github.io/Logging_0580/kartor/A 42054-2022 karta.png", "A 42054-2022")</f>
        <v/>
      </c>
      <c r="V85">
        <f>HYPERLINK("https://klasma.github.io/Logging_0580/klagomål/A 42054-2022 FSC-klagomål.docx", "A 42054-2022")</f>
        <v/>
      </c>
      <c r="W85">
        <f>HYPERLINK("https://klasma.github.io/Logging_0580/klagomålsmail/A 42054-2022 FSC-klagomål mail.docx", "A 42054-2022")</f>
        <v/>
      </c>
      <c r="X85">
        <f>HYPERLINK("https://klasma.github.io/Logging_0580/tillsyn/A 42054-2022 tillsynsbegäran.docx", "A 42054-2022")</f>
        <v/>
      </c>
      <c r="Y85">
        <f>HYPERLINK("https://klasma.github.io/Logging_0580/tillsynsmail/A 42054-2022 tillsynsbegäran mail.docx", "A 42054-2022")</f>
        <v/>
      </c>
    </row>
    <row r="86" ht="15" customHeight="1">
      <c r="A86" t="inlineStr">
        <is>
          <t>A 56651-2023</t>
        </is>
      </c>
      <c r="B86" s="1" t="n">
        <v>45243</v>
      </c>
      <c r="C86" s="1" t="n">
        <v>46160</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46160</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46160</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46160</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46160</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17444-2025</t>
        </is>
      </c>
      <c r="B91" s="1" t="n">
        <v>45757.43452546297</v>
      </c>
      <c r="C91" s="1" t="n">
        <v>46160</v>
      </c>
      <c r="D91" t="inlineStr">
        <is>
          <t>ÖSTERGÖTLANDS LÄN</t>
        </is>
      </c>
      <c r="E91" t="inlineStr">
        <is>
          <t>LINKÖPING</t>
        </is>
      </c>
      <c r="G91" t="n">
        <v>1.3</v>
      </c>
      <c r="H91" t="n">
        <v>1</v>
      </c>
      <c r="I91" t="n">
        <v>0</v>
      </c>
      <c r="J91" t="n">
        <v>1</v>
      </c>
      <c r="K91" t="n">
        <v>0</v>
      </c>
      <c r="L91" t="n">
        <v>0</v>
      </c>
      <c r="M91" t="n">
        <v>0</v>
      </c>
      <c r="N91" t="n">
        <v>0</v>
      </c>
      <c r="O91" t="n">
        <v>1</v>
      </c>
      <c r="P91" t="n">
        <v>0</v>
      </c>
      <c r="Q91" t="n">
        <v>1</v>
      </c>
      <c r="R91" s="2" t="inlineStr">
        <is>
          <t>Dårgräsfjäril</t>
        </is>
      </c>
      <c r="S91">
        <f>HYPERLINK("https://klasma.github.io/Logging_0580/artfynd/A 17444-2025 artfynd.xlsx", "A 17444-2025")</f>
        <v/>
      </c>
      <c r="T91">
        <f>HYPERLINK("https://klasma.github.io/Logging_0580/kartor/A 17444-2025 karta.png", "A 17444-2025")</f>
        <v/>
      </c>
      <c r="V91">
        <f>HYPERLINK("https://klasma.github.io/Logging_0580/klagomål/A 17444-2025 FSC-klagomål.docx", "A 17444-2025")</f>
        <v/>
      </c>
      <c r="W91">
        <f>HYPERLINK("https://klasma.github.io/Logging_0580/klagomålsmail/A 17444-2025 FSC-klagomål mail.docx", "A 17444-2025")</f>
        <v/>
      </c>
      <c r="X91">
        <f>HYPERLINK("https://klasma.github.io/Logging_0580/tillsyn/A 17444-2025 tillsynsbegäran.docx", "A 17444-2025")</f>
        <v/>
      </c>
      <c r="Y91">
        <f>HYPERLINK("https://klasma.github.io/Logging_0580/tillsynsmail/A 17444-2025 tillsynsbegäran mail.docx", "A 17444-2025")</f>
        <v/>
      </c>
    </row>
    <row r="92" ht="15" customHeight="1">
      <c r="A92" t="inlineStr">
        <is>
          <t>A 40309-2024</t>
        </is>
      </c>
      <c r="B92" s="1" t="n">
        <v>45554.724375</v>
      </c>
      <c r="C92" s="1" t="n">
        <v>46160</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15290-2025</t>
        </is>
      </c>
      <c r="B93" s="1" t="n">
        <v>45745.45288194445</v>
      </c>
      <c r="C93" s="1" t="n">
        <v>46160</v>
      </c>
      <c r="D93" t="inlineStr">
        <is>
          <t>ÖSTERGÖTLANDS LÄN</t>
        </is>
      </c>
      <c r="E93" t="inlineStr">
        <is>
          <t>LINKÖPING</t>
        </is>
      </c>
      <c r="G93" t="n">
        <v>18.4</v>
      </c>
      <c r="H93" t="n">
        <v>1</v>
      </c>
      <c r="I93" t="n">
        <v>0</v>
      </c>
      <c r="J93" t="n">
        <v>1</v>
      </c>
      <c r="K93" t="n">
        <v>0</v>
      </c>
      <c r="L93" t="n">
        <v>0</v>
      </c>
      <c r="M93" t="n">
        <v>0</v>
      </c>
      <c r="N93" t="n">
        <v>0</v>
      </c>
      <c r="O93" t="n">
        <v>1</v>
      </c>
      <c r="P93" t="n">
        <v>0</v>
      </c>
      <c r="Q93" t="n">
        <v>1</v>
      </c>
      <c r="R93" s="2" t="inlineStr">
        <is>
          <t>Havsörn</t>
        </is>
      </c>
      <c r="S93">
        <f>HYPERLINK("https://klasma.github.io/Logging_0580/artfynd/A 15290-2025 artfynd.xlsx", "A 15290-2025")</f>
        <v/>
      </c>
      <c r="T93">
        <f>HYPERLINK("https://klasma.github.io/Logging_0580/kartor/A 15290-2025 karta.png", "A 15290-2025")</f>
        <v/>
      </c>
      <c r="V93">
        <f>HYPERLINK("https://klasma.github.io/Logging_0580/klagomål/A 15290-2025 FSC-klagomål.docx", "A 15290-2025")</f>
        <v/>
      </c>
      <c r="W93">
        <f>HYPERLINK("https://klasma.github.io/Logging_0580/klagomålsmail/A 15290-2025 FSC-klagomål mail.docx", "A 15290-2025")</f>
        <v/>
      </c>
      <c r="X93">
        <f>HYPERLINK("https://klasma.github.io/Logging_0580/tillsyn/A 15290-2025 tillsynsbegäran.docx", "A 15290-2025")</f>
        <v/>
      </c>
      <c r="Y93">
        <f>HYPERLINK("https://klasma.github.io/Logging_0580/tillsynsmail/A 15290-2025 tillsynsbegäran mail.docx", "A 15290-2025")</f>
        <v/>
      </c>
      <c r="Z93">
        <f>HYPERLINK("https://klasma.github.io/Logging_0580/fåglar/A 15290-2025 prioriterade fågelarter.docx", "A 15290-2025")</f>
        <v/>
      </c>
    </row>
    <row r="94" ht="15" customHeight="1">
      <c r="A94" t="inlineStr">
        <is>
          <t>A 1716-2023</t>
        </is>
      </c>
      <c r="B94" s="1" t="n">
        <v>44938</v>
      </c>
      <c r="C94" s="1" t="n">
        <v>46160</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1716-2023 artfynd.xlsx", "A 1716-2023")</f>
        <v/>
      </c>
      <c r="T94">
        <f>HYPERLINK("https://klasma.github.io/Logging_0580/kartor/A 1716-2023 karta.png", "A 1716-2023")</f>
        <v/>
      </c>
      <c r="V94">
        <f>HYPERLINK("https://klasma.github.io/Logging_0580/klagomål/A 1716-2023 FSC-klagomål.docx", "A 1716-2023")</f>
        <v/>
      </c>
      <c r="W94">
        <f>HYPERLINK("https://klasma.github.io/Logging_0580/klagomålsmail/A 1716-2023 FSC-klagomål mail.docx", "A 1716-2023")</f>
        <v/>
      </c>
      <c r="X94">
        <f>HYPERLINK("https://klasma.github.io/Logging_0580/tillsyn/A 1716-2023 tillsynsbegäran.docx", "A 1716-2023")</f>
        <v/>
      </c>
      <c r="Y94">
        <f>HYPERLINK("https://klasma.github.io/Logging_0580/tillsynsmail/A 1716-2023 tillsynsbegäran mail.docx", "A 1716-2023")</f>
        <v/>
      </c>
    </row>
    <row r="95" ht="15" customHeight="1">
      <c r="A95" t="inlineStr">
        <is>
          <t>A 931-2025</t>
        </is>
      </c>
      <c r="B95" s="1" t="n">
        <v>45665.88498842593</v>
      </c>
      <c r="C95" s="1" t="n">
        <v>46160</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46160</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46160</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46160</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41749-2023</t>
        </is>
      </c>
      <c r="B99" s="1" t="n">
        <v>45176</v>
      </c>
      <c r="C99" s="1" t="n">
        <v>46160</v>
      </c>
      <c r="D99" t="inlineStr">
        <is>
          <t>ÖSTERGÖTLANDS LÄN</t>
        </is>
      </c>
      <c r="E99" t="inlineStr">
        <is>
          <t>LINKÖPING</t>
        </is>
      </c>
      <c r="G99" t="n">
        <v>3.6</v>
      </c>
      <c r="H99" t="n">
        <v>0</v>
      </c>
      <c r="I99" t="n">
        <v>0</v>
      </c>
      <c r="J99" t="n">
        <v>1</v>
      </c>
      <c r="K99" t="n">
        <v>0</v>
      </c>
      <c r="L99" t="n">
        <v>0</v>
      </c>
      <c r="M99" t="n">
        <v>0</v>
      </c>
      <c r="N99" t="n">
        <v>0</v>
      </c>
      <c r="O99" t="n">
        <v>1</v>
      </c>
      <c r="P99" t="n">
        <v>0</v>
      </c>
      <c r="Q99" t="n">
        <v>1</v>
      </c>
      <c r="R99" s="2" t="inlineStr">
        <is>
          <t>Svinrot</t>
        </is>
      </c>
      <c r="S99">
        <f>HYPERLINK("https://klasma.github.io/Logging_0580/artfynd/A 41749-2023 artfynd.xlsx", "A 41749-2023")</f>
        <v/>
      </c>
      <c r="T99">
        <f>HYPERLINK("https://klasma.github.io/Logging_0580/kartor/A 41749-2023 karta.png", "A 41749-2023")</f>
        <v/>
      </c>
      <c r="V99">
        <f>HYPERLINK("https://klasma.github.io/Logging_0580/klagomål/A 41749-2023 FSC-klagomål.docx", "A 41749-2023")</f>
        <v/>
      </c>
      <c r="W99">
        <f>HYPERLINK("https://klasma.github.io/Logging_0580/klagomålsmail/A 41749-2023 FSC-klagomål mail.docx", "A 41749-2023")</f>
        <v/>
      </c>
      <c r="X99">
        <f>HYPERLINK("https://klasma.github.io/Logging_0580/tillsyn/A 41749-2023 tillsynsbegäran.docx", "A 41749-2023")</f>
        <v/>
      </c>
      <c r="Y99">
        <f>HYPERLINK("https://klasma.github.io/Logging_0580/tillsynsmail/A 41749-2023 tillsynsbegäran mail.docx", "A 41749-2023")</f>
        <v/>
      </c>
    </row>
    <row r="100" ht="15" customHeight="1">
      <c r="A100" t="inlineStr">
        <is>
          <t>A 38881-2021</t>
        </is>
      </c>
      <c r="B100" s="1" t="n">
        <v>44411.46893518518</v>
      </c>
      <c r="C100" s="1" t="n">
        <v>46160</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46160</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46160</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46160</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46160</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46160</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46160</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46160</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46160</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46160</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46160</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46160</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46160</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46160</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60639-2021</t>
        </is>
      </c>
      <c r="B114" s="1" t="n">
        <v>44496</v>
      </c>
      <c r="C114" s="1" t="n">
        <v>46160</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46234-2022</t>
        </is>
      </c>
      <c r="B115" s="1" t="n">
        <v>44846</v>
      </c>
      <c r="C115" s="1" t="n">
        <v>46160</v>
      </c>
      <c r="D115" t="inlineStr">
        <is>
          <t>ÖSTERGÖTLANDS LÄN</t>
        </is>
      </c>
      <c r="E115" t="inlineStr">
        <is>
          <t>LINKÖPING</t>
        </is>
      </c>
      <c r="G115" t="n">
        <v>3.3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46160</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46160</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46160</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46160</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44054-2021</t>
        </is>
      </c>
      <c r="B120" s="1" t="n">
        <v>44434</v>
      </c>
      <c r="C120" s="1" t="n">
        <v>46160</v>
      </c>
      <c r="D120" t="inlineStr">
        <is>
          <t>ÖSTERGÖTLANDS LÄN</t>
        </is>
      </c>
      <c r="E120" t="inlineStr">
        <is>
          <t>LINKÖPING</t>
        </is>
      </c>
      <c r="F120" t="inlineStr">
        <is>
          <t>Övriga Aktiebolag</t>
        </is>
      </c>
      <c r="G120" t="n">
        <v>2.3</v>
      </c>
      <c r="H120" t="n">
        <v>0</v>
      </c>
      <c r="I120" t="n">
        <v>0</v>
      </c>
      <c r="J120" t="n">
        <v>0</v>
      </c>
      <c r="K120" t="n">
        <v>0</v>
      </c>
      <c r="L120" t="n">
        <v>0</v>
      </c>
      <c r="M120" t="n">
        <v>0</v>
      </c>
      <c r="N120" t="n">
        <v>0</v>
      </c>
      <c r="O120" t="n">
        <v>0</v>
      </c>
      <c r="P120" t="n">
        <v>0</v>
      </c>
      <c r="Q120" t="n">
        <v>0</v>
      </c>
      <c r="R120" s="2" t="inlineStr"/>
    </row>
    <row r="121" ht="15" customHeight="1">
      <c r="A121" t="inlineStr">
        <is>
          <t>A 31703-2022</t>
        </is>
      </c>
      <c r="B121" s="1" t="n">
        <v>44776</v>
      </c>
      <c r="C121" s="1" t="n">
        <v>46160</v>
      </c>
      <c r="D121" t="inlineStr">
        <is>
          <t>ÖSTERGÖTLANDS LÄN</t>
        </is>
      </c>
      <c r="E121" t="inlineStr">
        <is>
          <t>LINKÖPING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46160</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46160</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46160</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46160</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46160</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46160</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46160</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46160</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46160</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46160</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46160</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46160</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27313-2021</t>
        </is>
      </c>
      <c r="B134" s="1" t="n">
        <v>44350</v>
      </c>
      <c r="C134" s="1" t="n">
        <v>46160</v>
      </c>
      <c r="D134" t="inlineStr">
        <is>
          <t>ÖSTERGÖTLANDS LÄN</t>
        </is>
      </c>
      <c r="E134" t="inlineStr">
        <is>
          <t>LINKÖPING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29470-2022</t>
        </is>
      </c>
      <c r="B135" s="1" t="n">
        <v>44753</v>
      </c>
      <c r="C135" s="1" t="n">
        <v>46160</v>
      </c>
      <c r="D135" t="inlineStr">
        <is>
          <t>ÖSTERGÖTLANDS LÄN</t>
        </is>
      </c>
      <c r="E135" t="inlineStr">
        <is>
          <t>LINKÖPING</t>
        </is>
      </c>
      <c r="F135" t="inlineStr">
        <is>
          <t>Sveaskog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46160</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46160</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46160</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46160</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46160</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46160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46160</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46160</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46160</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46160</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46160</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46160</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46160</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46160</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28447-2021</t>
        </is>
      </c>
      <c r="B150" s="1" t="n">
        <v>44356</v>
      </c>
      <c r="C150" s="1" t="n">
        <v>46160</v>
      </c>
      <c r="D150" t="inlineStr">
        <is>
          <t>ÖSTERGÖTLANDS LÄN</t>
        </is>
      </c>
      <c r="E150" t="inlineStr">
        <is>
          <t>LINKÖPING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46160</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46160</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46160</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46160</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46160</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46160</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46160</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46160</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46160</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46160</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46160</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46160</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46160</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46160</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46160</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46160</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46160</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46160</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46160</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46160</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46160</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46160</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46160</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46160</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46160</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56688-2021</t>
        </is>
      </c>
      <c r="B176" s="1" t="n">
        <v>44481</v>
      </c>
      <c r="C176" s="1" t="n">
        <v>46160</v>
      </c>
      <c r="D176" t="inlineStr">
        <is>
          <t>ÖSTERGÖTLANDS LÄN</t>
        </is>
      </c>
      <c r="E176" t="inlineStr">
        <is>
          <t>LINKÖPING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46160</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46160</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46160</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46160</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46160</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46160</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46160</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46160</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46160</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46160</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46160</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46160</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46160</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61333-2021</t>
        </is>
      </c>
      <c r="B190" s="1" t="n">
        <v>44498.6764699074</v>
      </c>
      <c r="C190" s="1" t="n">
        <v>46160</v>
      </c>
      <c r="D190" t="inlineStr">
        <is>
          <t>ÖSTERGÖTLANDS LÄN</t>
        </is>
      </c>
      <c r="E190" t="inlineStr">
        <is>
          <t>LINKÖPING</t>
        </is>
      </c>
      <c r="G190" t="n">
        <v>7.5</v>
      </c>
      <c r="H190" t="n">
        <v>0</v>
      </c>
      <c r="I190" t="n">
        <v>0</v>
      </c>
      <c r="J190" t="n">
        <v>0</v>
      </c>
      <c r="K190" t="n">
        <v>0</v>
      </c>
      <c r="L190" t="n">
        <v>0</v>
      </c>
      <c r="M190" t="n">
        <v>0</v>
      </c>
      <c r="N190" t="n">
        <v>0</v>
      </c>
      <c r="O190" t="n">
        <v>0</v>
      </c>
      <c r="P190" t="n">
        <v>0</v>
      </c>
      <c r="Q190" t="n">
        <v>0</v>
      </c>
      <c r="R190" s="2" t="inlineStr"/>
    </row>
    <row r="191" ht="15" customHeight="1">
      <c r="A191" t="inlineStr">
        <is>
          <t>A 12412-2022</t>
        </is>
      </c>
      <c r="B191" s="1" t="n">
        <v>44638</v>
      </c>
      <c r="C191" s="1" t="n">
        <v>46160</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46160</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46160</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46160</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46160</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39021-2021</t>
        </is>
      </c>
      <c r="B196" s="1" t="n">
        <v>44412</v>
      </c>
      <c r="C196" s="1" t="n">
        <v>46160</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12035-2025</t>
        </is>
      </c>
      <c r="B197" s="1" t="n">
        <v>45728.64946759259</v>
      </c>
      <c r="C197" s="1" t="n">
        <v>46160</v>
      </c>
      <c r="D197" t="inlineStr">
        <is>
          <t>ÖSTERGÖTLANDS LÄN</t>
        </is>
      </c>
      <c r="E197" t="inlineStr">
        <is>
          <t>LINKÖPING</t>
        </is>
      </c>
      <c r="G197" t="n">
        <v>3.7</v>
      </c>
      <c r="H197" t="n">
        <v>0</v>
      </c>
      <c r="I197" t="n">
        <v>0</v>
      </c>
      <c r="J197" t="n">
        <v>0</v>
      </c>
      <c r="K197" t="n">
        <v>0</v>
      </c>
      <c r="L197" t="n">
        <v>0</v>
      </c>
      <c r="M197" t="n">
        <v>0</v>
      </c>
      <c r="N197" t="n">
        <v>0</v>
      </c>
      <c r="O197" t="n">
        <v>0</v>
      </c>
      <c r="P197" t="n">
        <v>0</v>
      </c>
      <c r="Q197" t="n">
        <v>0</v>
      </c>
      <c r="R197" s="2" t="inlineStr"/>
    </row>
    <row r="198" ht="15" customHeight="1">
      <c r="A198" t="inlineStr">
        <is>
          <t>A 51484-2023</t>
        </is>
      </c>
      <c r="B198" s="1" t="n">
        <v>45222</v>
      </c>
      <c r="C198" s="1" t="n">
        <v>46160</v>
      </c>
      <c r="D198" t="inlineStr">
        <is>
          <t>ÖSTERGÖTLANDS LÄN</t>
        </is>
      </c>
      <c r="E198" t="inlineStr">
        <is>
          <t>LINKÖPING</t>
        </is>
      </c>
      <c r="F198" t="inlineStr">
        <is>
          <t>Övriga Aktiebolag</t>
        </is>
      </c>
      <c r="G198" t="n">
        <v>7.7</v>
      </c>
      <c r="H198" t="n">
        <v>0</v>
      </c>
      <c r="I198" t="n">
        <v>0</v>
      </c>
      <c r="J198" t="n">
        <v>0</v>
      </c>
      <c r="K198" t="n">
        <v>0</v>
      </c>
      <c r="L198" t="n">
        <v>0</v>
      </c>
      <c r="M198" t="n">
        <v>0</v>
      </c>
      <c r="N198" t="n">
        <v>0</v>
      </c>
      <c r="O198" t="n">
        <v>0</v>
      </c>
      <c r="P198" t="n">
        <v>0</v>
      </c>
      <c r="Q198" t="n">
        <v>0</v>
      </c>
      <c r="R198" s="2" t="inlineStr"/>
    </row>
    <row r="199" ht="15" customHeight="1">
      <c r="A199" t="inlineStr">
        <is>
          <t>A 10407-2025</t>
        </is>
      </c>
      <c r="B199" s="1" t="n">
        <v>45720.62863425926</v>
      </c>
      <c r="C199" s="1" t="n">
        <v>46160</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63678-2023</t>
        </is>
      </c>
      <c r="B200" s="1" t="n">
        <v>45275.64769675926</v>
      </c>
      <c r="C200" s="1" t="n">
        <v>46160</v>
      </c>
      <c r="D200" t="inlineStr">
        <is>
          <t>ÖSTERGÖTLANDS LÄN</t>
        </is>
      </c>
      <c r="E200" t="inlineStr">
        <is>
          <t>LINKÖPING</t>
        </is>
      </c>
      <c r="F200" t="inlineStr">
        <is>
          <t>Övriga Aktiebolag</t>
        </is>
      </c>
      <c r="G200" t="n">
        <v>0.4</v>
      </c>
      <c r="H200" t="n">
        <v>0</v>
      </c>
      <c r="I200" t="n">
        <v>0</v>
      </c>
      <c r="J200" t="n">
        <v>0</v>
      </c>
      <c r="K200" t="n">
        <v>0</v>
      </c>
      <c r="L200" t="n">
        <v>0</v>
      </c>
      <c r="M200" t="n">
        <v>0</v>
      </c>
      <c r="N200" t="n">
        <v>0</v>
      </c>
      <c r="O200" t="n">
        <v>0</v>
      </c>
      <c r="P200" t="n">
        <v>0</v>
      </c>
      <c r="Q200" t="n">
        <v>0</v>
      </c>
      <c r="R200" s="2" t="inlineStr"/>
    </row>
    <row r="201" ht="15" customHeight="1">
      <c r="A201" t="inlineStr">
        <is>
          <t>A 63688-2023</t>
        </is>
      </c>
      <c r="B201" s="1" t="n">
        <v>45275</v>
      </c>
      <c r="C201" s="1" t="n">
        <v>46160</v>
      </c>
      <c r="D201" t="inlineStr">
        <is>
          <t>ÖSTERGÖTLANDS LÄN</t>
        </is>
      </c>
      <c r="E201" t="inlineStr">
        <is>
          <t>LINKÖPING</t>
        </is>
      </c>
      <c r="F201" t="inlineStr">
        <is>
          <t>Övriga Aktiebolag</t>
        </is>
      </c>
      <c r="G201" t="n">
        <v>2.4</v>
      </c>
      <c r="H201" t="n">
        <v>0</v>
      </c>
      <c r="I201" t="n">
        <v>0</v>
      </c>
      <c r="J201" t="n">
        <v>0</v>
      </c>
      <c r="K201" t="n">
        <v>0</v>
      </c>
      <c r="L201" t="n">
        <v>0</v>
      </c>
      <c r="M201" t="n">
        <v>0</v>
      </c>
      <c r="N201" t="n">
        <v>0</v>
      </c>
      <c r="O201" t="n">
        <v>0</v>
      </c>
      <c r="P201" t="n">
        <v>0</v>
      </c>
      <c r="Q201" t="n">
        <v>0</v>
      </c>
      <c r="R201" s="2" t="inlineStr"/>
    </row>
    <row r="202" ht="15" customHeight="1">
      <c r="A202" t="inlineStr">
        <is>
          <t>A 63691-2023</t>
        </is>
      </c>
      <c r="B202" s="1" t="n">
        <v>45275</v>
      </c>
      <c r="C202" s="1" t="n">
        <v>46160</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34557-2022</t>
        </is>
      </c>
      <c r="B203" s="1" t="n">
        <v>44794.57074074074</v>
      </c>
      <c r="C203" s="1" t="n">
        <v>46160</v>
      </c>
      <c r="D203" t="inlineStr">
        <is>
          <t>ÖSTERGÖTLANDS LÄN</t>
        </is>
      </c>
      <c r="E203" t="inlineStr">
        <is>
          <t>LINKÖPING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12428-2024</t>
        </is>
      </c>
      <c r="B204" s="1" t="n">
        <v>45379</v>
      </c>
      <c r="C204" s="1" t="n">
        <v>46160</v>
      </c>
      <c r="D204" t="inlineStr">
        <is>
          <t>ÖSTERGÖTLANDS LÄN</t>
        </is>
      </c>
      <c r="E204" t="inlineStr">
        <is>
          <t>LINKÖPING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9434-2024</t>
        </is>
      </c>
      <c r="B205" s="1" t="n">
        <v>45359</v>
      </c>
      <c r="C205" s="1" t="n">
        <v>46160</v>
      </c>
      <c r="D205" t="inlineStr">
        <is>
          <t>ÖSTERGÖTLANDS LÄN</t>
        </is>
      </c>
      <c r="E205" t="inlineStr">
        <is>
          <t>LINKÖPING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17157-2024</t>
        </is>
      </c>
      <c r="B206" s="1" t="n">
        <v>45412.70567129629</v>
      </c>
      <c r="C206" s="1" t="n">
        <v>46160</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46225-2021</t>
        </is>
      </c>
      <c r="B207" s="1" t="n">
        <v>44442</v>
      </c>
      <c r="C207" s="1" t="n">
        <v>46160</v>
      </c>
      <c r="D207" t="inlineStr">
        <is>
          <t>ÖSTERGÖTLANDS LÄN</t>
        </is>
      </c>
      <c r="E207" t="inlineStr">
        <is>
          <t>LINKÖPING</t>
        </is>
      </c>
      <c r="G207" t="n">
        <v>2.9</v>
      </c>
      <c r="H207" t="n">
        <v>0</v>
      </c>
      <c r="I207" t="n">
        <v>0</v>
      </c>
      <c r="J207" t="n">
        <v>0</v>
      </c>
      <c r="K207" t="n">
        <v>0</v>
      </c>
      <c r="L207" t="n">
        <v>0</v>
      </c>
      <c r="M207" t="n">
        <v>0</v>
      </c>
      <c r="N207" t="n">
        <v>0</v>
      </c>
      <c r="O207" t="n">
        <v>0</v>
      </c>
      <c r="P207" t="n">
        <v>0</v>
      </c>
      <c r="Q207" t="n">
        <v>0</v>
      </c>
      <c r="R207" s="2" t="inlineStr"/>
    </row>
    <row r="208" ht="15" customHeight="1">
      <c r="A208" t="inlineStr">
        <is>
          <t>A 54428-2022</t>
        </is>
      </c>
      <c r="B208" s="1" t="n">
        <v>44882.57643518518</v>
      </c>
      <c r="C208" s="1" t="n">
        <v>46160</v>
      </c>
      <c r="D208" t="inlineStr">
        <is>
          <t>ÖSTERGÖTLANDS LÄN</t>
        </is>
      </c>
      <c r="E208" t="inlineStr">
        <is>
          <t>LINKÖPING</t>
        </is>
      </c>
      <c r="G208" t="n">
        <v>1.4</v>
      </c>
      <c r="H208" t="n">
        <v>0</v>
      </c>
      <c r="I208" t="n">
        <v>0</v>
      </c>
      <c r="J208" t="n">
        <v>0</v>
      </c>
      <c r="K208" t="n">
        <v>0</v>
      </c>
      <c r="L208" t="n">
        <v>0</v>
      </c>
      <c r="M208" t="n">
        <v>0</v>
      </c>
      <c r="N208" t="n">
        <v>0</v>
      </c>
      <c r="O208" t="n">
        <v>0</v>
      </c>
      <c r="P208" t="n">
        <v>0</v>
      </c>
      <c r="Q208" t="n">
        <v>0</v>
      </c>
      <c r="R208" s="2" t="inlineStr"/>
    </row>
    <row r="209" ht="15" customHeight="1">
      <c r="A209" t="inlineStr">
        <is>
          <t>A 48962-2022</t>
        </is>
      </c>
      <c r="B209" s="1" t="n">
        <v>44860.31635416667</v>
      </c>
      <c r="C209" s="1" t="n">
        <v>46160</v>
      </c>
      <c r="D209" t="inlineStr">
        <is>
          <t>ÖSTERGÖTLANDS LÄN</t>
        </is>
      </c>
      <c r="E209" t="inlineStr">
        <is>
          <t>LINKÖPING</t>
        </is>
      </c>
      <c r="G209" t="n">
        <v>2.9</v>
      </c>
      <c r="H209" t="n">
        <v>0</v>
      </c>
      <c r="I209" t="n">
        <v>0</v>
      </c>
      <c r="J209" t="n">
        <v>0</v>
      </c>
      <c r="K209" t="n">
        <v>0</v>
      </c>
      <c r="L209" t="n">
        <v>0</v>
      </c>
      <c r="M209" t="n">
        <v>0</v>
      </c>
      <c r="N209" t="n">
        <v>0</v>
      </c>
      <c r="O209" t="n">
        <v>0</v>
      </c>
      <c r="P209" t="n">
        <v>0</v>
      </c>
      <c r="Q209" t="n">
        <v>0</v>
      </c>
      <c r="R209" s="2" t="inlineStr"/>
    </row>
    <row r="210" ht="15" customHeight="1">
      <c r="A210" t="inlineStr">
        <is>
          <t>A 53647-2021</t>
        </is>
      </c>
      <c r="B210" s="1" t="n">
        <v>44469</v>
      </c>
      <c r="C210" s="1" t="n">
        <v>46160</v>
      </c>
      <c r="D210" t="inlineStr">
        <is>
          <t>ÖSTERGÖTLANDS LÄN</t>
        </is>
      </c>
      <c r="E210" t="inlineStr">
        <is>
          <t>LINKÖPING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11790-2024</t>
        </is>
      </c>
      <c r="B211" s="1" t="n">
        <v>45374</v>
      </c>
      <c r="C211" s="1" t="n">
        <v>46160</v>
      </c>
      <c r="D211" t="inlineStr">
        <is>
          <t>ÖSTERGÖTLANDS LÄN</t>
        </is>
      </c>
      <c r="E211" t="inlineStr">
        <is>
          <t>LINKÖPING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22772-2024</t>
        </is>
      </c>
      <c r="B212" s="1" t="n">
        <v>45448.46712962963</v>
      </c>
      <c r="C212" s="1" t="n">
        <v>46160</v>
      </c>
      <c r="D212" t="inlineStr">
        <is>
          <t>ÖSTERGÖTLANDS LÄN</t>
        </is>
      </c>
      <c r="E212" t="inlineStr">
        <is>
          <t>LINKÖPING</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18916-2024</t>
        </is>
      </c>
      <c r="B213" s="1" t="n">
        <v>45427.39541666667</v>
      </c>
      <c r="C213" s="1" t="n">
        <v>46160</v>
      </c>
      <c r="D213" t="inlineStr">
        <is>
          <t>ÖSTERGÖTLANDS LÄN</t>
        </is>
      </c>
      <c r="E213" t="inlineStr">
        <is>
          <t>LINKÖPING</t>
        </is>
      </c>
      <c r="G213" t="n">
        <v>1.1</v>
      </c>
      <c r="H213" t="n">
        <v>0</v>
      </c>
      <c r="I213" t="n">
        <v>0</v>
      </c>
      <c r="J213" t="n">
        <v>0</v>
      </c>
      <c r="K213" t="n">
        <v>0</v>
      </c>
      <c r="L213" t="n">
        <v>0</v>
      </c>
      <c r="M213" t="n">
        <v>0</v>
      </c>
      <c r="N213" t="n">
        <v>0</v>
      </c>
      <c r="O213" t="n">
        <v>0</v>
      </c>
      <c r="P213" t="n">
        <v>0</v>
      </c>
      <c r="Q213" t="n">
        <v>0</v>
      </c>
      <c r="R213" s="2" t="inlineStr"/>
    </row>
    <row r="214" ht="15" customHeight="1">
      <c r="A214" t="inlineStr">
        <is>
          <t>A 13689-2025</t>
        </is>
      </c>
      <c r="B214" s="1" t="n">
        <v>45737.31590277778</v>
      </c>
      <c r="C214" s="1" t="n">
        <v>46160</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13696-2025</t>
        </is>
      </c>
      <c r="B215" s="1" t="n">
        <v>45737.32273148148</v>
      </c>
      <c r="C215" s="1" t="n">
        <v>46160</v>
      </c>
      <c r="D215" t="inlineStr">
        <is>
          <t>ÖSTERGÖTLANDS LÄN</t>
        </is>
      </c>
      <c r="E215" t="inlineStr">
        <is>
          <t>LINKÖPING</t>
        </is>
      </c>
      <c r="G215" t="n">
        <v>3.5</v>
      </c>
      <c r="H215" t="n">
        <v>0</v>
      </c>
      <c r="I215" t="n">
        <v>0</v>
      </c>
      <c r="J215" t="n">
        <v>0</v>
      </c>
      <c r="K215" t="n">
        <v>0</v>
      </c>
      <c r="L215" t="n">
        <v>0</v>
      </c>
      <c r="M215" t="n">
        <v>0</v>
      </c>
      <c r="N215" t="n">
        <v>0</v>
      </c>
      <c r="O215" t="n">
        <v>0</v>
      </c>
      <c r="P215" t="n">
        <v>0</v>
      </c>
      <c r="Q215" t="n">
        <v>0</v>
      </c>
      <c r="R215" s="2" t="inlineStr"/>
    </row>
    <row r="216" ht="15" customHeight="1">
      <c r="A216" t="inlineStr">
        <is>
          <t>A 24586-2024</t>
        </is>
      </c>
      <c r="B216" s="1" t="n">
        <v>45460.46664351852</v>
      </c>
      <c r="C216" s="1" t="n">
        <v>46160</v>
      </c>
      <c r="D216" t="inlineStr">
        <is>
          <t>ÖSTERGÖTLANDS LÄN</t>
        </is>
      </c>
      <c r="E216" t="inlineStr">
        <is>
          <t>LINKÖPING</t>
        </is>
      </c>
      <c r="G216" t="n">
        <v>4</v>
      </c>
      <c r="H216" t="n">
        <v>0</v>
      </c>
      <c r="I216" t="n">
        <v>0</v>
      </c>
      <c r="J216" t="n">
        <v>0</v>
      </c>
      <c r="K216" t="n">
        <v>0</v>
      </c>
      <c r="L216" t="n">
        <v>0</v>
      </c>
      <c r="M216" t="n">
        <v>0</v>
      </c>
      <c r="N216" t="n">
        <v>0</v>
      </c>
      <c r="O216" t="n">
        <v>0</v>
      </c>
      <c r="P216" t="n">
        <v>0</v>
      </c>
      <c r="Q216" t="n">
        <v>0</v>
      </c>
      <c r="R216" s="2" t="inlineStr"/>
    </row>
    <row r="217" ht="15" customHeight="1">
      <c r="A217" t="inlineStr">
        <is>
          <t>A 39017-2021</t>
        </is>
      </c>
      <c r="B217" s="1" t="n">
        <v>44412</v>
      </c>
      <c r="C217" s="1" t="n">
        <v>46160</v>
      </c>
      <c r="D217" t="inlineStr">
        <is>
          <t>ÖSTERGÖTLANDS LÄN</t>
        </is>
      </c>
      <c r="E217" t="inlineStr">
        <is>
          <t>LINKÖPING</t>
        </is>
      </c>
      <c r="F217" t="inlineStr">
        <is>
          <t>Övriga statliga verk och myndigheter</t>
        </is>
      </c>
      <c r="G217" t="n">
        <v>0.8</v>
      </c>
      <c r="H217" t="n">
        <v>0</v>
      </c>
      <c r="I217" t="n">
        <v>0</v>
      </c>
      <c r="J217" t="n">
        <v>0</v>
      </c>
      <c r="K217" t="n">
        <v>0</v>
      </c>
      <c r="L217" t="n">
        <v>0</v>
      </c>
      <c r="M217" t="n">
        <v>0</v>
      </c>
      <c r="N217" t="n">
        <v>0</v>
      </c>
      <c r="O217" t="n">
        <v>0</v>
      </c>
      <c r="P217" t="n">
        <v>0</v>
      </c>
      <c r="Q217" t="n">
        <v>0</v>
      </c>
      <c r="R217" s="2" t="inlineStr"/>
    </row>
    <row r="218" ht="15" customHeight="1">
      <c r="A218" t="inlineStr">
        <is>
          <t>A 16820-2024</t>
        </is>
      </c>
      <c r="B218" s="1" t="n">
        <v>45411.46809027778</v>
      </c>
      <c r="C218" s="1" t="n">
        <v>46160</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17124-2025</t>
        </is>
      </c>
      <c r="B219" s="1" t="n">
        <v>45755.69678240741</v>
      </c>
      <c r="C219" s="1" t="n">
        <v>46160</v>
      </c>
      <c r="D219" t="inlineStr">
        <is>
          <t>ÖSTERGÖTLANDS LÄN</t>
        </is>
      </c>
      <c r="E219" t="inlineStr">
        <is>
          <t>LINKÖPING</t>
        </is>
      </c>
      <c r="G219" t="n">
        <v>1.2</v>
      </c>
      <c r="H219" t="n">
        <v>0</v>
      </c>
      <c r="I219" t="n">
        <v>0</v>
      </c>
      <c r="J219" t="n">
        <v>0</v>
      </c>
      <c r="K219" t="n">
        <v>0</v>
      </c>
      <c r="L219" t="n">
        <v>0</v>
      </c>
      <c r="M219" t="n">
        <v>0</v>
      </c>
      <c r="N219" t="n">
        <v>0</v>
      </c>
      <c r="O219" t="n">
        <v>0</v>
      </c>
      <c r="P219" t="n">
        <v>0</v>
      </c>
      <c r="Q219" t="n">
        <v>0</v>
      </c>
      <c r="R219" s="2" t="inlineStr"/>
    </row>
    <row r="220" ht="15" customHeight="1">
      <c r="A220" t="inlineStr">
        <is>
          <t>A 17126-2025</t>
        </is>
      </c>
      <c r="B220" s="1" t="n">
        <v>45755.70814814815</v>
      </c>
      <c r="C220" s="1" t="n">
        <v>46160</v>
      </c>
      <c r="D220" t="inlineStr">
        <is>
          <t>ÖSTERGÖTLANDS LÄN</t>
        </is>
      </c>
      <c r="E220" t="inlineStr">
        <is>
          <t>LINKÖPING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17143-2025</t>
        </is>
      </c>
      <c r="B221" s="1" t="n">
        <v>45755.92731481481</v>
      </c>
      <c r="C221" s="1" t="n">
        <v>46160</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30980-2022</t>
        </is>
      </c>
      <c r="B222" s="1" t="n">
        <v>44768</v>
      </c>
      <c r="C222" s="1" t="n">
        <v>46160</v>
      </c>
      <c r="D222" t="inlineStr">
        <is>
          <t>ÖSTERGÖTLANDS LÄN</t>
        </is>
      </c>
      <c r="E222" t="inlineStr">
        <is>
          <t>LINKÖPING</t>
        </is>
      </c>
      <c r="G222" t="n">
        <v>0.9</v>
      </c>
      <c r="H222" t="n">
        <v>0</v>
      </c>
      <c r="I222" t="n">
        <v>0</v>
      </c>
      <c r="J222" t="n">
        <v>0</v>
      </c>
      <c r="K222" t="n">
        <v>0</v>
      </c>
      <c r="L222" t="n">
        <v>0</v>
      </c>
      <c r="M222" t="n">
        <v>0</v>
      </c>
      <c r="N222" t="n">
        <v>0</v>
      </c>
      <c r="O222" t="n">
        <v>0</v>
      </c>
      <c r="P222" t="n">
        <v>0</v>
      </c>
      <c r="Q222" t="n">
        <v>0</v>
      </c>
      <c r="R222" s="2" t="inlineStr"/>
    </row>
    <row r="223" ht="15" customHeight="1">
      <c r="A223" t="inlineStr">
        <is>
          <t>A 49979-2022</t>
        </is>
      </c>
      <c r="B223" s="1" t="n">
        <v>44865</v>
      </c>
      <c r="C223" s="1" t="n">
        <v>46160</v>
      </c>
      <c r="D223" t="inlineStr">
        <is>
          <t>ÖSTERGÖTLANDS LÄN</t>
        </is>
      </c>
      <c r="E223" t="inlineStr">
        <is>
          <t>LINKÖPING</t>
        </is>
      </c>
      <c r="F223" t="inlineStr">
        <is>
          <t>Övriga Aktiebolag</t>
        </is>
      </c>
      <c r="G223" t="n">
        <v>11.4</v>
      </c>
      <c r="H223" t="n">
        <v>0</v>
      </c>
      <c r="I223" t="n">
        <v>0</v>
      </c>
      <c r="J223" t="n">
        <v>0</v>
      </c>
      <c r="K223" t="n">
        <v>0</v>
      </c>
      <c r="L223" t="n">
        <v>0</v>
      </c>
      <c r="M223" t="n">
        <v>0</v>
      </c>
      <c r="N223" t="n">
        <v>0</v>
      </c>
      <c r="O223" t="n">
        <v>0</v>
      </c>
      <c r="P223" t="n">
        <v>0</v>
      </c>
      <c r="Q223" t="n">
        <v>0</v>
      </c>
      <c r="R223" s="2" t="inlineStr"/>
    </row>
    <row r="224" ht="15" customHeight="1">
      <c r="A224" t="inlineStr">
        <is>
          <t>A 24351-2024</t>
        </is>
      </c>
      <c r="B224" s="1" t="n">
        <v>45457.59011574074</v>
      </c>
      <c r="C224" s="1" t="n">
        <v>46160</v>
      </c>
      <c r="D224" t="inlineStr">
        <is>
          <t>ÖSTERGÖTLANDS LÄN</t>
        </is>
      </c>
      <c r="E224" t="inlineStr">
        <is>
          <t>LINKÖPING</t>
        </is>
      </c>
      <c r="G224" t="n">
        <v>11.9</v>
      </c>
      <c r="H224" t="n">
        <v>0</v>
      </c>
      <c r="I224" t="n">
        <v>0</v>
      </c>
      <c r="J224" t="n">
        <v>0</v>
      </c>
      <c r="K224" t="n">
        <v>0</v>
      </c>
      <c r="L224" t="n">
        <v>0</v>
      </c>
      <c r="M224" t="n">
        <v>0</v>
      </c>
      <c r="N224" t="n">
        <v>0</v>
      </c>
      <c r="O224" t="n">
        <v>0</v>
      </c>
      <c r="P224" t="n">
        <v>0</v>
      </c>
      <c r="Q224" t="n">
        <v>0</v>
      </c>
      <c r="R224" s="2" t="inlineStr"/>
    </row>
    <row r="225" ht="15" customHeight="1">
      <c r="A225" t="inlineStr">
        <is>
          <t>A 53827-2023</t>
        </is>
      </c>
      <c r="B225" s="1" t="n">
        <v>45230</v>
      </c>
      <c r="C225" s="1" t="n">
        <v>46160</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62501-2023</t>
        </is>
      </c>
      <c r="B226" s="1" t="n">
        <v>45268</v>
      </c>
      <c r="C226" s="1" t="n">
        <v>46160</v>
      </c>
      <c r="D226" t="inlineStr">
        <is>
          <t>ÖSTERGÖTLANDS LÄN</t>
        </is>
      </c>
      <c r="E226" t="inlineStr">
        <is>
          <t>LINKÖPING</t>
        </is>
      </c>
      <c r="G226" t="n">
        <v>7.4</v>
      </c>
      <c r="H226" t="n">
        <v>0</v>
      </c>
      <c r="I226" t="n">
        <v>0</v>
      </c>
      <c r="J226" t="n">
        <v>0</v>
      </c>
      <c r="K226" t="n">
        <v>0</v>
      </c>
      <c r="L226" t="n">
        <v>0</v>
      </c>
      <c r="M226" t="n">
        <v>0</v>
      </c>
      <c r="N226" t="n">
        <v>0</v>
      </c>
      <c r="O226" t="n">
        <v>0</v>
      </c>
      <c r="P226" t="n">
        <v>0</v>
      </c>
      <c r="Q226" t="n">
        <v>0</v>
      </c>
      <c r="R226" s="2" t="inlineStr"/>
    </row>
    <row r="227" ht="15" customHeight="1">
      <c r="A227" t="inlineStr">
        <is>
          <t>A 58947-2022</t>
        </is>
      </c>
      <c r="B227" s="1" t="n">
        <v>44903.64769675926</v>
      </c>
      <c r="C227" s="1" t="n">
        <v>46160</v>
      </c>
      <c r="D227" t="inlineStr">
        <is>
          <t>ÖSTERGÖTLANDS LÄN</t>
        </is>
      </c>
      <c r="E227" t="inlineStr">
        <is>
          <t>LINKÖPING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940-2023</t>
        </is>
      </c>
      <c r="B228" s="1" t="n">
        <v>44933</v>
      </c>
      <c r="C228" s="1" t="n">
        <v>46160</v>
      </c>
      <c r="D228" t="inlineStr">
        <is>
          <t>ÖSTERGÖTLANDS LÄN</t>
        </is>
      </c>
      <c r="E228" t="inlineStr">
        <is>
          <t>LINKÖPING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3008-2023</t>
        </is>
      </c>
      <c r="B229" s="1" t="n">
        <v>44945.79784722222</v>
      </c>
      <c r="C229" s="1" t="n">
        <v>46160</v>
      </c>
      <c r="D229" t="inlineStr">
        <is>
          <t>ÖSTERGÖTLANDS LÄN</t>
        </is>
      </c>
      <c r="E229" t="inlineStr">
        <is>
          <t>LINKÖPING</t>
        </is>
      </c>
      <c r="G229" t="n">
        <v>19.3</v>
      </c>
      <c r="H229" t="n">
        <v>0</v>
      </c>
      <c r="I229" t="n">
        <v>0</v>
      </c>
      <c r="J229" t="n">
        <v>0</v>
      </c>
      <c r="K229" t="n">
        <v>0</v>
      </c>
      <c r="L229" t="n">
        <v>0</v>
      </c>
      <c r="M229" t="n">
        <v>0</v>
      </c>
      <c r="N229" t="n">
        <v>0</v>
      </c>
      <c r="O229" t="n">
        <v>0</v>
      </c>
      <c r="P229" t="n">
        <v>0</v>
      </c>
      <c r="Q229" t="n">
        <v>0</v>
      </c>
      <c r="R229" s="2" t="inlineStr"/>
    </row>
    <row r="230" ht="15" customHeight="1">
      <c r="A230" t="inlineStr">
        <is>
          <t>A 7992-2023</t>
        </is>
      </c>
      <c r="B230" s="1" t="n">
        <v>44970</v>
      </c>
      <c r="C230" s="1" t="n">
        <v>46160</v>
      </c>
      <c r="D230" t="inlineStr">
        <is>
          <t>ÖSTERGÖTLANDS LÄN</t>
        </is>
      </c>
      <c r="E230" t="inlineStr">
        <is>
          <t>LINKÖPING</t>
        </is>
      </c>
      <c r="F230" t="inlineStr">
        <is>
          <t>Kommuner</t>
        </is>
      </c>
      <c r="G230" t="n">
        <v>1</v>
      </c>
      <c r="H230" t="n">
        <v>0</v>
      </c>
      <c r="I230" t="n">
        <v>0</v>
      </c>
      <c r="J230" t="n">
        <v>0</v>
      </c>
      <c r="K230" t="n">
        <v>0</v>
      </c>
      <c r="L230" t="n">
        <v>0</v>
      </c>
      <c r="M230" t="n">
        <v>0</v>
      </c>
      <c r="N230" t="n">
        <v>0</v>
      </c>
      <c r="O230" t="n">
        <v>0</v>
      </c>
      <c r="P230" t="n">
        <v>0</v>
      </c>
      <c r="Q230" t="n">
        <v>0</v>
      </c>
      <c r="R230" s="2" t="inlineStr"/>
    </row>
    <row r="231" ht="15" customHeight="1">
      <c r="A231" t="inlineStr">
        <is>
          <t>A 45819-2024</t>
        </is>
      </c>
      <c r="B231" s="1" t="n">
        <v>45579.7454050926</v>
      </c>
      <c r="C231" s="1" t="n">
        <v>46160</v>
      </c>
      <c r="D231" t="inlineStr">
        <is>
          <t>ÖSTERGÖTLANDS LÄN</t>
        </is>
      </c>
      <c r="E231" t="inlineStr">
        <is>
          <t>LINKÖPING</t>
        </is>
      </c>
      <c r="G231" t="n">
        <v>5</v>
      </c>
      <c r="H231" t="n">
        <v>0</v>
      </c>
      <c r="I231" t="n">
        <v>0</v>
      </c>
      <c r="J231" t="n">
        <v>0</v>
      </c>
      <c r="K231" t="n">
        <v>0</v>
      </c>
      <c r="L231" t="n">
        <v>0</v>
      </c>
      <c r="M231" t="n">
        <v>0</v>
      </c>
      <c r="N231" t="n">
        <v>0</v>
      </c>
      <c r="O231" t="n">
        <v>0</v>
      </c>
      <c r="P231" t="n">
        <v>0</v>
      </c>
      <c r="Q231" t="n">
        <v>0</v>
      </c>
      <c r="R231" s="2" t="inlineStr"/>
    </row>
    <row r="232" ht="15" customHeight="1">
      <c r="A232" t="inlineStr">
        <is>
          <t>A 3041-2024</t>
        </is>
      </c>
      <c r="B232" s="1" t="n">
        <v>45316.34875</v>
      </c>
      <c r="C232" s="1" t="n">
        <v>46160</v>
      </c>
      <c r="D232" t="inlineStr">
        <is>
          <t>ÖSTERGÖTLANDS LÄN</t>
        </is>
      </c>
      <c r="E232" t="inlineStr">
        <is>
          <t>LINKÖPING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23120-2025</t>
        </is>
      </c>
      <c r="B233" s="1" t="n">
        <v>45791.37481481482</v>
      </c>
      <c r="C233" s="1" t="n">
        <v>46160</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55345-2021</t>
        </is>
      </c>
      <c r="B234" s="1" t="n">
        <v>44475</v>
      </c>
      <c r="C234" s="1" t="n">
        <v>46160</v>
      </c>
      <c r="D234" t="inlineStr">
        <is>
          <t>ÖSTERGÖTLANDS LÄN</t>
        </is>
      </c>
      <c r="E234" t="inlineStr">
        <is>
          <t>LINKÖPING</t>
        </is>
      </c>
      <c r="G234" t="n">
        <v>5.7</v>
      </c>
      <c r="H234" t="n">
        <v>0</v>
      </c>
      <c r="I234" t="n">
        <v>0</v>
      </c>
      <c r="J234" t="n">
        <v>0</v>
      </c>
      <c r="K234" t="n">
        <v>0</v>
      </c>
      <c r="L234" t="n">
        <v>0</v>
      </c>
      <c r="M234" t="n">
        <v>0</v>
      </c>
      <c r="N234" t="n">
        <v>0</v>
      </c>
      <c r="O234" t="n">
        <v>0</v>
      </c>
      <c r="P234" t="n">
        <v>0</v>
      </c>
      <c r="Q234" t="n">
        <v>0</v>
      </c>
      <c r="R234" s="2" t="inlineStr"/>
    </row>
    <row r="235" ht="15" customHeight="1">
      <c r="A235" t="inlineStr">
        <is>
          <t>A 3530-2024</t>
        </is>
      </c>
      <c r="B235" s="1" t="n">
        <v>45320.54717592592</v>
      </c>
      <c r="C235" s="1" t="n">
        <v>46160</v>
      </c>
      <c r="D235" t="inlineStr">
        <is>
          <t>ÖSTERGÖTLANDS LÄN</t>
        </is>
      </c>
      <c r="E235" t="inlineStr">
        <is>
          <t>LINKÖPING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48699-2024</t>
        </is>
      </c>
      <c r="B236" s="1" t="n">
        <v>45593.52091435185</v>
      </c>
      <c r="C236" s="1" t="n">
        <v>46160</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61281-2021</t>
        </is>
      </c>
      <c r="B237" s="1" t="n">
        <v>44498.60736111111</v>
      </c>
      <c r="C237" s="1" t="n">
        <v>46160</v>
      </c>
      <c r="D237" t="inlineStr">
        <is>
          <t>ÖSTERGÖTLANDS LÄN</t>
        </is>
      </c>
      <c r="E237" t="inlineStr">
        <is>
          <t>LINKÖPING</t>
        </is>
      </c>
      <c r="G237" t="n">
        <v>4.5</v>
      </c>
      <c r="H237" t="n">
        <v>0</v>
      </c>
      <c r="I237" t="n">
        <v>0</v>
      </c>
      <c r="J237" t="n">
        <v>0</v>
      </c>
      <c r="K237" t="n">
        <v>0</v>
      </c>
      <c r="L237" t="n">
        <v>0</v>
      </c>
      <c r="M237" t="n">
        <v>0</v>
      </c>
      <c r="N237" t="n">
        <v>0</v>
      </c>
      <c r="O237" t="n">
        <v>0</v>
      </c>
      <c r="P237" t="n">
        <v>0</v>
      </c>
      <c r="Q237" t="n">
        <v>0</v>
      </c>
      <c r="R237" s="2" t="inlineStr"/>
    </row>
    <row r="238" ht="15" customHeight="1">
      <c r="A238" t="inlineStr">
        <is>
          <t>A 62686-2023</t>
        </is>
      </c>
      <c r="B238" s="1" t="n">
        <v>45271</v>
      </c>
      <c r="C238" s="1" t="n">
        <v>46160</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63935-2021</t>
        </is>
      </c>
      <c r="B239" s="1" t="n">
        <v>44509</v>
      </c>
      <c r="C239" s="1" t="n">
        <v>46160</v>
      </c>
      <c r="D239" t="inlineStr">
        <is>
          <t>ÖSTERGÖTLANDS LÄN</t>
        </is>
      </c>
      <c r="E239" t="inlineStr">
        <is>
          <t>LINKÖPING</t>
        </is>
      </c>
      <c r="F239" t="inlineStr">
        <is>
          <t>Övriga statliga verk och myndigheter</t>
        </is>
      </c>
      <c r="G239" t="n">
        <v>2.8</v>
      </c>
      <c r="H239" t="n">
        <v>0</v>
      </c>
      <c r="I239" t="n">
        <v>0</v>
      </c>
      <c r="J239" t="n">
        <v>0</v>
      </c>
      <c r="K239" t="n">
        <v>0</v>
      </c>
      <c r="L239" t="n">
        <v>0</v>
      </c>
      <c r="M239" t="n">
        <v>0</v>
      </c>
      <c r="N239" t="n">
        <v>0</v>
      </c>
      <c r="O239" t="n">
        <v>0</v>
      </c>
      <c r="P239" t="n">
        <v>0</v>
      </c>
      <c r="Q239" t="n">
        <v>0</v>
      </c>
      <c r="R239" s="2" t="inlineStr"/>
    </row>
    <row r="240" ht="15" customHeight="1">
      <c r="A240" t="inlineStr">
        <is>
          <t>A 55345-2021</t>
        </is>
      </c>
      <c r="B240" s="1" t="n">
        <v>44475</v>
      </c>
      <c r="C240" s="1" t="n">
        <v>46160</v>
      </c>
      <c r="D240" t="inlineStr">
        <is>
          <t>ÖSTERGÖTLANDS LÄN</t>
        </is>
      </c>
      <c r="E240" t="inlineStr">
        <is>
          <t>LINKÖPING</t>
        </is>
      </c>
      <c r="G240" t="n">
        <v>5.7</v>
      </c>
      <c r="H240" t="n">
        <v>0</v>
      </c>
      <c r="I240" t="n">
        <v>0</v>
      </c>
      <c r="J240" t="n">
        <v>0</v>
      </c>
      <c r="K240" t="n">
        <v>0</v>
      </c>
      <c r="L240" t="n">
        <v>0</v>
      </c>
      <c r="M240" t="n">
        <v>0</v>
      </c>
      <c r="N240" t="n">
        <v>0</v>
      </c>
      <c r="O240" t="n">
        <v>0</v>
      </c>
      <c r="P240" t="n">
        <v>0</v>
      </c>
      <c r="Q240" t="n">
        <v>0</v>
      </c>
      <c r="R240" s="2" t="inlineStr"/>
    </row>
    <row r="241" ht="15" customHeight="1">
      <c r="A241" t="inlineStr">
        <is>
          <t>A 63489-2023</t>
        </is>
      </c>
      <c r="B241" s="1" t="n">
        <v>45274.66761574074</v>
      </c>
      <c r="C241" s="1" t="n">
        <v>46160</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25292-2021</t>
        </is>
      </c>
      <c r="B242" s="1" t="n">
        <v>44342</v>
      </c>
      <c r="C242" s="1" t="n">
        <v>46160</v>
      </c>
      <c r="D242" t="inlineStr">
        <is>
          <t>ÖSTERGÖTLANDS LÄN</t>
        </is>
      </c>
      <c r="E242" t="inlineStr">
        <is>
          <t>LINKÖPING</t>
        </is>
      </c>
      <c r="F242" t="inlineStr">
        <is>
          <t>Övriga Aktiebolag</t>
        </is>
      </c>
      <c r="G242" t="n">
        <v>12.8</v>
      </c>
      <c r="H242" t="n">
        <v>0</v>
      </c>
      <c r="I242" t="n">
        <v>0</v>
      </c>
      <c r="J242" t="n">
        <v>0</v>
      </c>
      <c r="K242" t="n">
        <v>0</v>
      </c>
      <c r="L242" t="n">
        <v>0</v>
      </c>
      <c r="M242" t="n">
        <v>0</v>
      </c>
      <c r="N242" t="n">
        <v>0</v>
      </c>
      <c r="O242" t="n">
        <v>0</v>
      </c>
      <c r="P242" t="n">
        <v>0</v>
      </c>
      <c r="Q242" t="n">
        <v>0</v>
      </c>
      <c r="R242" s="2" t="inlineStr"/>
    </row>
    <row r="243" ht="15" customHeight="1">
      <c r="A243" t="inlineStr">
        <is>
          <t>A 70-2024</t>
        </is>
      </c>
      <c r="B243" s="1" t="n">
        <v>45293</v>
      </c>
      <c r="C243" s="1" t="n">
        <v>46160</v>
      </c>
      <c r="D243" t="inlineStr">
        <is>
          <t>ÖSTERGÖTLANDS LÄN</t>
        </is>
      </c>
      <c r="E243" t="inlineStr">
        <is>
          <t>LINKÖPING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13911-2025</t>
        </is>
      </c>
      <c r="B244" s="1" t="n">
        <v>45737.64784722222</v>
      </c>
      <c r="C244" s="1" t="n">
        <v>46160</v>
      </c>
      <c r="D244" t="inlineStr">
        <is>
          <t>ÖSTERGÖTLANDS LÄN</t>
        </is>
      </c>
      <c r="E244" t="inlineStr">
        <is>
          <t>LINKÖPING</t>
        </is>
      </c>
      <c r="G244" t="n">
        <v>1.5</v>
      </c>
      <c r="H244" t="n">
        <v>0</v>
      </c>
      <c r="I244" t="n">
        <v>0</v>
      </c>
      <c r="J244" t="n">
        <v>0</v>
      </c>
      <c r="K244" t="n">
        <v>0</v>
      </c>
      <c r="L244" t="n">
        <v>0</v>
      </c>
      <c r="M244" t="n">
        <v>0</v>
      </c>
      <c r="N244" t="n">
        <v>0</v>
      </c>
      <c r="O244" t="n">
        <v>0</v>
      </c>
      <c r="P244" t="n">
        <v>0</v>
      </c>
      <c r="Q244" t="n">
        <v>0</v>
      </c>
      <c r="R244" s="2" t="inlineStr"/>
    </row>
    <row r="245" ht="15" customHeight="1">
      <c r="A245" t="inlineStr">
        <is>
          <t>A 23768-2025</t>
        </is>
      </c>
      <c r="B245" s="1" t="n">
        <v>45793.47493055555</v>
      </c>
      <c r="C245" s="1" t="n">
        <v>46160</v>
      </c>
      <c r="D245" t="inlineStr">
        <is>
          <t>ÖSTERGÖTLANDS LÄN</t>
        </is>
      </c>
      <c r="E245" t="inlineStr">
        <is>
          <t>LINKÖPING</t>
        </is>
      </c>
      <c r="G245" t="n">
        <v>3.4</v>
      </c>
      <c r="H245" t="n">
        <v>0</v>
      </c>
      <c r="I245" t="n">
        <v>0</v>
      </c>
      <c r="J245" t="n">
        <v>0</v>
      </c>
      <c r="K245" t="n">
        <v>0</v>
      </c>
      <c r="L245" t="n">
        <v>0</v>
      </c>
      <c r="M245" t="n">
        <v>0</v>
      </c>
      <c r="N245" t="n">
        <v>0</v>
      </c>
      <c r="O245" t="n">
        <v>0</v>
      </c>
      <c r="P245" t="n">
        <v>0</v>
      </c>
      <c r="Q245" t="n">
        <v>0</v>
      </c>
      <c r="R245" s="2" t="inlineStr"/>
    </row>
    <row r="246" ht="15" customHeight="1">
      <c r="A246" t="inlineStr">
        <is>
          <t>A 6782-2024</t>
        </is>
      </c>
      <c r="B246" s="1" t="n">
        <v>45342</v>
      </c>
      <c r="C246" s="1" t="n">
        <v>46160</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617-2024</t>
        </is>
      </c>
      <c r="B247" s="1" t="n">
        <v>45299.66028935185</v>
      </c>
      <c r="C247" s="1" t="n">
        <v>46160</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670-2024</t>
        </is>
      </c>
      <c r="B248" s="1" t="n">
        <v>45300.3408912037</v>
      </c>
      <c r="C248" s="1" t="n">
        <v>46160</v>
      </c>
      <c r="D248" t="inlineStr">
        <is>
          <t>ÖSTERGÖTLANDS LÄN</t>
        </is>
      </c>
      <c r="E248" t="inlineStr">
        <is>
          <t>LINKÖPING</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52125-2022</t>
        </is>
      </c>
      <c r="B249" s="1" t="n">
        <v>44873</v>
      </c>
      <c r="C249" s="1" t="n">
        <v>46160</v>
      </c>
      <c r="D249" t="inlineStr">
        <is>
          <t>ÖSTERGÖTLANDS LÄN</t>
        </is>
      </c>
      <c r="E249" t="inlineStr">
        <is>
          <t>LINKÖPING</t>
        </is>
      </c>
      <c r="F249" t="inlineStr">
        <is>
          <t>Övriga Aktiebolag</t>
        </is>
      </c>
      <c r="G249" t="n">
        <v>0.7</v>
      </c>
      <c r="H249" t="n">
        <v>0</v>
      </c>
      <c r="I249" t="n">
        <v>0</v>
      </c>
      <c r="J249" t="n">
        <v>0</v>
      </c>
      <c r="K249" t="n">
        <v>0</v>
      </c>
      <c r="L249" t="n">
        <v>0</v>
      </c>
      <c r="M249" t="n">
        <v>0</v>
      </c>
      <c r="N249" t="n">
        <v>0</v>
      </c>
      <c r="O249" t="n">
        <v>0</v>
      </c>
      <c r="P249" t="n">
        <v>0</v>
      </c>
      <c r="Q249" t="n">
        <v>0</v>
      </c>
      <c r="R249" s="2" t="inlineStr"/>
    </row>
    <row r="250" ht="15" customHeight="1">
      <c r="A250" t="inlineStr">
        <is>
          <t>A 1084-2023</t>
        </is>
      </c>
      <c r="B250" s="1" t="n">
        <v>44929</v>
      </c>
      <c r="C250" s="1" t="n">
        <v>46160</v>
      </c>
      <c r="D250" t="inlineStr">
        <is>
          <t>ÖSTERGÖTLANDS LÄN</t>
        </is>
      </c>
      <c r="E250" t="inlineStr">
        <is>
          <t>LINKÖPING</t>
        </is>
      </c>
      <c r="G250" t="n">
        <v>10.4</v>
      </c>
      <c r="H250" t="n">
        <v>0</v>
      </c>
      <c r="I250" t="n">
        <v>0</v>
      </c>
      <c r="J250" t="n">
        <v>0</v>
      </c>
      <c r="K250" t="n">
        <v>0</v>
      </c>
      <c r="L250" t="n">
        <v>0</v>
      </c>
      <c r="M250" t="n">
        <v>0</v>
      </c>
      <c r="N250" t="n">
        <v>0</v>
      </c>
      <c r="O250" t="n">
        <v>0</v>
      </c>
      <c r="P250" t="n">
        <v>0</v>
      </c>
      <c r="Q250" t="n">
        <v>0</v>
      </c>
      <c r="R250" s="2" t="inlineStr"/>
    </row>
    <row r="251" ht="15" customHeight="1">
      <c r="A251" t="inlineStr">
        <is>
          <t>A 39074-2025</t>
        </is>
      </c>
      <c r="B251" s="1" t="n">
        <v>45888</v>
      </c>
      <c r="C251" s="1" t="n">
        <v>46160</v>
      </c>
      <c r="D251" t="inlineStr">
        <is>
          <t>ÖSTERGÖTLANDS LÄN</t>
        </is>
      </c>
      <c r="E251" t="inlineStr">
        <is>
          <t>LINKÖPING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29859-2024</t>
        </is>
      </c>
      <c r="B252" s="1" t="n">
        <v>45485.6846412037</v>
      </c>
      <c r="C252" s="1" t="n">
        <v>46160</v>
      </c>
      <c r="D252" t="inlineStr">
        <is>
          <t>ÖSTERGÖTLANDS LÄN</t>
        </is>
      </c>
      <c r="E252" t="inlineStr">
        <is>
          <t>LINKÖPING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51571-2024</t>
        </is>
      </c>
      <c r="B253" s="1" t="n">
        <v>45604</v>
      </c>
      <c r="C253" s="1" t="n">
        <v>46160</v>
      </c>
      <c r="D253" t="inlineStr">
        <is>
          <t>ÖSTERGÖTLANDS LÄN</t>
        </is>
      </c>
      <c r="E253" t="inlineStr">
        <is>
          <t>LINKÖPING</t>
        </is>
      </c>
      <c r="F253" t="inlineStr">
        <is>
          <t>Övriga Aktiebolag</t>
        </is>
      </c>
      <c r="G253" t="n">
        <v>1.4</v>
      </c>
      <c r="H253" t="n">
        <v>0</v>
      </c>
      <c r="I253" t="n">
        <v>0</v>
      </c>
      <c r="J253" t="n">
        <v>0</v>
      </c>
      <c r="K253" t="n">
        <v>0</v>
      </c>
      <c r="L253" t="n">
        <v>0</v>
      </c>
      <c r="M253" t="n">
        <v>0</v>
      </c>
      <c r="N253" t="n">
        <v>0</v>
      </c>
      <c r="O253" t="n">
        <v>0</v>
      </c>
      <c r="P253" t="n">
        <v>0</v>
      </c>
      <c r="Q253" t="n">
        <v>0</v>
      </c>
      <c r="R253" s="2" t="inlineStr"/>
    </row>
    <row r="254" ht="15" customHeight="1">
      <c r="A254" t="inlineStr">
        <is>
          <t>A 223-2024</t>
        </is>
      </c>
      <c r="B254" s="1" t="n">
        <v>45294.72739583333</v>
      </c>
      <c r="C254" s="1" t="n">
        <v>46160</v>
      </c>
      <c r="D254" t="inlineStr">
        <is>
          <t>ÖSTERGÖTLANDS LÄN</t>
        </is>
      </c>
      <c r="E254" t="inlineStr">
        <is>
          <t>LINKÖPING</t>
        </is>
      </c>
      <c r="G254" t="n">
        <v>2.2</v>
      </c>
      <c r="H254" t="n">
        <v>0</v>
      </c>
      <c r="I254" t="n">
        <v>0</v>
      </c>
      <c r="J254" t="n">
        <v>0</v>
      </c>
      <c r="K254" t="n">
        <v>0</v>
      </c>
      <c r="L254" t="n">
        <v>0</v>
      </c>
      <c r="M254" t="n">
        <v>0</v>
      </c>
      <c r="N254" t="n">
        <v>0</v>
      </c>
      <c r="O254" t="n">
        <v>0</v>
      </c>
      <c r="P254" t="n">
        <v>0</v>
      </c>
      <c r="Q254" t="n">
        <v>0</v>
      </c>
      <c r="R254" s="2" t="inlineStr"/>
    </row>
    <row r="255" ht="15" customHeight="1">
      <c r="A255" t="inlineStr">
        <is>
          <t>A 227-2024</t>
        </is>
      </c>
      <c r="B255" s="1" t="n">
        <v>45294.73603009259</v>
      </c>
      <c r="C255" s="1" t="n">
        <v>46160</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38971-2025</t>
        </is>
      </c>
      <c r="B256" s="1" t="n">
        <v>45887.71827546296</v>
      </c>
      <c r="C256" s="1" t="n">
        <v>46160</v>
      </c>
      <c r="D256" t="inlineStr">
        <is>
          <t>ÖSTERGÖTLANDS LÄN</t>
        </is>
      </c>
      <c r="E256" t="inlineStr">
        <is>
          <t>LINKÖPING</t>
        </is>
      </c>
      <c r="G256" t="n">
        <v>3.9</v>
      </c>
      <c r="H256" t="n">
        <v>0</v>
      </c>
      <c r="I256" t="n">
        <v>0</v>
      </c>
      <c r="J256" t="n">
        <v>0</v>
      </c>
      <c r="K256" t="n">
        <v>0</v>
      </c>
      <c r="L256" t="n">
        <v>0</v>
      </c>
      <c r="M256" t="n">
        <v>0</v>
      </c>
      <c r="N256" t="n">
        <v>0</v>
      </c>
      <c r="O256" t="n">
        <v>0</v>
      </c>
      <c r="P256" t="n">
        <v>0</v>
      </c>
      <c r="Q256" t="n">
        <v>0</v>
      </c>
      <c r="R256" s="2" t="inlineStr"/>
    </row>
    <row r="257" ht="15" customHeight="1">
      <c r="A257" t="inlineStr">
        <is>
          <t>A 72567-2021</t>
        </is>
      </c>
      <c r="B257" s="1" t="n">
        <v>44546.45023148148</v>
      </c>
      <c r="C257" s="1" t="n">
        <v>46160</v>
      </c>
      <c r="D257" t="inlineStr">
        <is>
          <t>ÖSTERGÖTLANDS LÄN</t>
        </is>
      </c>
      <c r="E257" t="inlineStr">
        <is>
          <t>LINKÖPING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56917-2022</t>
        </is>
      </c>
      <c r="B258" s="1" t="n">
        <v>44894</v>
      </c>
      <c r="C258" s="1" t="n">
        <v>46160</v>
      </c>
      <c r="D258" t="inlineStr">
        <is>
          <t>ÖSTERGÖTLANDS LÄN</t>
        </is>
      </c>
      <c r="E258" t="inlineStr">
        <is>
          <t>LINKÖPING</t>
        </is>
      </c>
      <c r="G258" t="n">
        <v>2.2</v>
      </c>
      <c r="H258" t="n">
        <v>0</v>
      </c>
      <c r="I258" t="n">
        <v>0</v>
      </c>
      <c r="J258" t="n">
        <v>0</v>
      </c>
      <c r="K258" t="n">
        <v>0</v>
      </c>
      <c r="L258" t="n">
        <v>0</v>
      </c>
      <c r="M258" t="n">
        <v>0</v>
      </c>
      <c r="N258" t="n">
        <v>0</v>
      </c>
      <c r="O258" t="n">
        <v>0</v>
      </c>
      <c r="P258" t="n">
        <v>0</v>
      </c>
      <c r="Q258" t="n">
        <v>0</v>
      </c>
      <c r="R258" s="2" t="inlineStr"/>
    </row>
    <row r="259" ht="15" customHeight="1">
      <c r="A259" t="inlineStr">
        <is>
          <t>A 27264-2025</t>
        </is>
      </c>
      <c r="B259" s="1" t="n">
        <v>45812.4794212963</v>
      </c>
      <c r="C259" s="1" t="n">
        <v>46160</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1265-2023</t>
        </is>
      </c>
      <c r="B260" s="1" t="n">
        <v>44936</v>
      </c>
      <c r="C260" s="1" t="n">
        <v>46160</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1362-2023</t>
        </is>
      </c>
      <c r="B261" s="1" t="n">
        <v>44931</v>
      </c>
      <c r="C261" s="1" t="n">
        <v>46160</v>
      </c>
      <c r="D261" t="inlineStr">
        <is>
          <t>ÖSTERGÖTLANDS LÄN</t>
        </is>
      </c>
      <c r="E261" t="inlineStr">
        <is>
          <t>LINKÖPING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44280-2024</t>
        </is>
      </c>
      <c r="B262" s="1" t="n">
        <v>45573.49461805556</v>
      </c>
      <c r="C262" s="1" t="n">
        <v>46160</v>
      </c>
      <c r="D262" t="inlineStr">
        <is>
          <t>ÖSTERGÖTLANDS LÄN</t>
        </is>
      </c>
      <c r="E262" t="inlineStr">
        <is>
          <t>LINKÖPING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54034-2022</t>
        </is>
      </c>
      <c r="B263" s="1" t="n">
        <v>44881</v>
      </c>
      <c r="C263" s="1" t="n">
        <v>46160</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55493-2021</t>
        </is>
      </c>
      <c r="B264" s="1" t="n">
        <v>44475.61988425926</v>
      </c>
      <c r="C264" s="1" t="n">
        <v>46160</v>
      </c>
      <c r="D264" t="inlineStr">
        <is>
          <t>ÖSTERGÖTLANDS LÄN</t>
        </is>
      </c>
      <c r="E264" t="inlineStr">
        <is>
          <t>LINKÖPING</t>
        </is>
      </c>
      <c r="G264" t="n">
        <v>1.5</v>
      </c>
      <c r="H264" t="n">
        <v>0</v>
      </c>
      <c r="I264" t="n">
        <v>0</v>
      </c>
      <c r="J264" t="n">
        <v>0</v>
      </c>
      <c r="K264" t="n">
        <v>0</v>
      </c>
      <c r="L264" t="n">
        <v>0</v>
      </c>
      <c r="M264" t="n">
        <v>0</v>
      </c>
      <c r="N264" t="n">
        <v>0</v>
      </c>
      <c r="O264" t="n">
        <v>0</v>
      </c>
      <c r="P264" t="n">
        <v>0</v>
      </c>
      <c r="Q264" t="n">
        <v>0</v>
      </c>
      <c r="R264" s="2" t="inlineStr"/>
    </row>
    <row r="265" ht="15" customHeight="1">
      <c r="A265" t="inlineStr">
        <is>
          <t>A 39438-2025</t>
        </is>
      </c>
      <c r="B265" s="1" t="n">
        <v>45889.68641203704</v>
      </c>
      <c r="C265" s="1" t="n">
        <v>46160</v>
      </c>
      <c r="D265" t="inlineStr">
        <is>
          <t>ÖSTERGÖTLANDS LÄN</t>
        </is>
      </c>
      <c r="E265" t="inlineStr">
        <is>
          <t>LINKÖPING</t>
        </is>
      </c>
      <c r="G265" t="n">
        <v>2.4</v>
      </c>
      <c r="H265" t="n">
        <v>0</v>
      </c>
      <c r="I265" t="n">
        <v>0</v>
      </c>
      <c r="J265" t="n">
        <v>0</v>
      </c>
      <c r="K265" t="n">
        <v>0</v>
      </c>
      <c r="L265" t="n">
        <v>0</v>
      </c>
      <c r="M265" t="n">
        <v>0</v>
      </c>
      <c r="N265" t="n">
        <v>0</v>
      </c>
      <c r="O265" t="n">
        <v>0</v>
      </c>
      <c r="P265" t="n">
        <v>0</v>
      </c>
      <c r="Q265" t="n">
        <v>0</v>
      </c>
      <c r="R265" s="2" t="inlineStr"/>
    </row>
    <row r="266" ht="15" customHeight="1">
      <c r="A266" t="inlineStr">
        <is>
          <t>A 6054-2022</t>
        </is>
      </c>
      <c r="B266" s="1" t="n">
        <v>44599.53623842593</v>
      </c>
      <c r="C266" s="1" t="n">
        <v>46160</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25119-2023</t>
        </is>
      </c>
      <c r="B267" s="1" t="n">
        <v>45086.42326388889</v>
      </c>
      <c r="C267" s="1" t="n">
        <v>46160</v>
      </c>
      <c r="D267" t="inlineStr">
        <is>
          <t>ÖSTERGÖTLANDS LÄN</t>
        </is>
      </c>
      <c r="E267" t="inlineStr">
        <is>
          <t>LINKÖPING</t>
        </is>
      </c>
      <c r="G267" t="n">
        <v>3.2</v>
      </c>
      <c r="H267" t="n">
        <v>0</v>
      </c>
      <c r="I267" t="n">
        <v>0</v>
      </c>
      <c r="J267" t="n">
        <v>0</v>
      </c>
      <c r="K267" t="n">
        <v>0</v>
      </c>
      <c r="L267" t="n">
        <v>0</v>
      </c>
      <c r="M267" t="n">
        <v>0</v>
      </c>
      <c r="N267" t="n">
        <v>0</v>
      </c>
      <c r="O267" t="n">
        <v>0</v>
      </c>
      <c r="P267" t="n">
        <v>0</v>
      </c>
      <c r="Q267" t="n">
        <v>0</v>
      </c>
      <c r="R267" s="2" t="inlineStr"/>
    </row>
    <row r="268" ht="15" customHeight="1">
      <c r="A268" t="inlineStr">
        <is>
          <t>A 4456-2024</t>
        </is>
      </c>
      <c r="B268" s="1" t="n">
        <v>45327.52847222222</v>
      </c>
      <c r="C268" s="1" t="n">
        <v>46160</v>
      </c>
      <c r="D268" t="inlineStr">
        <is>
          <t>ÖSTERGÖTLANDS LÄN</t>
        </is>
      </c>
      <c r="E268" t="inlineStr">
        <is>
          <t>LINKÖPING</t>
        </is>
      </c>
      <c r="G268" t="n">
        <v>2.7</v>
      </c>
      <c r="H268" t="n">
        <v>0</v>
      </c>
      <c r="I268" t="n">
        <v>0</v>
      </c>
      <c r="J268" t="n">
        <v>0</v>
      </c>
      <c r="K268" t="n">
        <v>0</v>
      </c>
      <c r="L268" t="n">
        <v>0</v>
      </c>
      <c r="M268" t="n">
        <v>0</v>
      </c>
      <c r="N268" t="n">
        <v>0</v>
      </c>
      <c r="O268" t="n">
        <v>0</v>
      </c>
      <c r="P268" t="n">
        <v>0</v>
      </c>
      <c r="Q268" t="n">
        <v>0</v>
      </c>
      <c r="R268" s="2" t="inlineStr"/>
    </row>
    <row r="269" ht="15" customHeight="1">
      <c r="A269" t="inlineStr">
        <is>
          <t>A 58114-2021</t>
        </is>
      </c>
      <c r="B269" s="1" t="n">
        <v>44487</v>
      </c>
      <c r="C269" s="1" t="n">
        <v>46160</v>
      </c>
      <c r="D269" t="inlineStr">
        <is>
          <t>ÖSTERGÖTLANDS LÄN</t>
        </is>
      </c>
      <c r="E269" t="inlineStr">
        <is>
          <t>LINKÖPING</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40169-2025</t>
        </is>
      </c>
      <c r="B270" s="1" t="n">
        <v>45894.62824074074</v>
      </c>
      <c r="C270" s="1" t="n">
        <v>46160</v>
      </c>
      <c r="D270" t="inlineStr">
        <is>
          <t>ÖSTERGÖTLANDS LÄN</t>
        </is>
      </c>
      <c r="E270" t="inlineStr">
        <is>
          <t>LINKÖPING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25996-2025</t>
        </is>
      </c>
      <c r="B271" s="1" t="n">
        <v>45804.65851851852</v>
      </c>
      <c r="C271" s="1" t="n">
        <v>46160</v>
      </c>
      <c r="D271" t="inlineStr">
        <is>
          <t>ÖSTERGÖTLANDS LÄN</t>
        </is>
      </c>
      <c r="E271" t="inlineStr">
        <is>
          <t>LINKÖPING</t>
        </is>
      </c>
      <c r="G271" t="n">
        <v>3.2</v>
      </c>
      <c r="H271" t="n">
        <v>0</v>
      </c>
      <c r="I271" t="n">
        <v>0</v>
      </c>
      <c r="J271" t="n">
        <v>0</v>
      </c>
      <c r="K271" t="n">
        <v>0</v>
      </c>
      <c r="L271" t="n">
        <v>0</v>
      </c>
      <c r="M271" t="n">
        <v>0</v>
      </c>
      <c r="N271" t="n">
        <v>0</v>
      </c>
      <c r="O271" t="n">
        <v>0</v>
      </c>
      <c r="P271" t="n">
        <v>0</v>
      </c>
      <c r="Q271" t="n">
        <v>0</v>
      </c>
      <c r="R271" s="2" t="inlineStr"/>
    </row>
    <row r="272" ht="15" customHeight="1">
      <c r="A272" t="inlineStr">
        <is>
          <t>A 52892-2024</t>
        </is>
      </c>
      <c r="B272" s="1" t="n">
        <v>45610</v>
      </c>
      <c r="C272" s="1" t="n">
        <v>46160</v>
      </c>
      <c r="D272" t="inlineStr">
        <is>
          <t>ÖSTERGÖTLANDS LÄN</t>
        </is>
      </c>
      <c r="E272" t="inlineStr">
        <is>
          <t>LINKÖPING</t>
        </is>
      </c>
      <c r="G272" t="n">
        <v>4.2</v>
      </c>
      <c r="H272" t="n">
        <v>0</v>
      </c>
      <c r="I272" t="n">
        <v>0</v>
      </c>
      <c r="J272" t="n">
        <v>0</v>
      </c>
      <c r="K272" t="n">
        <v>0</v>
      </c>
      <c r="L272" t="n">
        <v>0</v>
      </c>
      <c r="M272" t="n">
        <v>0</v>
      </c>
      <c r="N272" t="n">
        <v>0</v>
      </c>
      <c r="O272" t="n">
        <v>0</v>
      </c>
      <c r="P272" t="n">
        <v>0</v>
      </c>
      <c r="Q272" t="n">
        <v>0</v>
      </c>
      <c r="R272" s="2" t="inlineStr"/>
    </row>
    <row r="273" ht="15" customHeight="1">
      <c r="A273" t="inlineStr">
        <is>
          <t>A 26002-2025</t>
        </is>
      </c>
      <c r="B273" s="1" t="n">
        <v>45804.66534722222</v>
      </c>
      <c r="C273" s="1" t="n">
        <v>46160</v>
      </c>
      <c r="D273" t="inlineStr">
        <is>
          <t>ÖSTERGÖTLANDS LÄN</t>
        </is>
      </c>
      <c r="E273" t="inlineStr">
        <is>
          <t>LINKÖPING</t>
        </is>
      </c>
      <c r="G273" t="n">
        <v>2.5</v>
      </c>
      <c r="H273" t="n">
        <v>0</v>
      </c>
      <c r="I273" t="n">
        <v>0</v>
      </c>
      <c r="J273" t="n">
        <v>0</v>
      </c>
      <c r="K273" t="n">
        <v>0</v>
      </c>
      <c r="L273" t="n">
        <v>0</v>
      </c>
      <c r="M273" t="n">
        <v>0</v>
      </c>
      <c r="N273" t="n">
        <v>0</v>
      </c>
      <c r="O273" t="n">
        <v>0</v>
      </c>
      <c r="P273" t="n">
        <v>0</v>
      </c>
      <c r="Q273" t="n">
        <v>0</v>
      </c>
      <c r="R273" s="2" t="inlineStr"/>
    </row>
    <row r="274" ht="15" customHeight="1">
      <c r="A274" t="inlineStr">
        <is>
          <t>A 3008-2023</t>
        </is>
      </c>
      <c r="B274" s="1" t="n">
        <v>44945.79784722222</v>
      </c>
      <c r="C274" s="1" t="n">
        <v>46160</v>
      </c>
      <c r="D274" t="inlineStr">
        <is>
          <t>ÖSTERGÖTLANDS LÄN</t>
        </is>
      </c>
      <c r="E274" t="inlineStr">
        <is>
          <t>LINKÖPING</t>
        </is>
      </c>
      <c r="G274" t="n">
        <v>19.3</v>
      </c>
      <c r="H274" t="n">
        <v>0</v>
      </c>
      <c r="I274" t="n">
        <v>0</v>
      </c>
      <c r="J274" t="n">
        <v>0</v>
      </c>
      <c r="K274" t="n">
        <v>0</v>
      </c>
      <c r="L274" t="n">
        <v>0</v>
      </c>
      <c r="M274" t="n">
        <v>0</v>
      </c>
      <c r="N274" t="n">
        <v>0</v>
      </c>
      <c r="O274" t="n">
        <v>0</v>
      </c>
      <c r="P274" t="n">
        <v>0</v>
      </c>
      <c r="Q274" t="n">
        <v>0</v>
      </c>
      <c r="R274" s="2" t="inlineStr"/>
    </row>
    <row r="275" ht="15" customHeight="1">
      <c r="A275" t="inlineStr">
        <is>
          <t>A 55736-2022</t>
        </is>
      </c>
      <c r="B275" s="1" t="n">
        <v>44888</v>
      </c>
      <c r="C275" s="1" t="n">
        <v>46160</v>
      </c>
      <c r="D275" t="inlineStr">
        <is>
          <t>ÖSTERGÖTLANDS LÄN</t>
        </is>
      </c>
      <c r="E275" t="inlineStr">
        <is>
          <t>LINKÖPING</t>
        </is>
      </c>
      <c r="G275" t="n">
        <v>5.5</v>
      </c>
      <c r="H275" t="n">
        <v>0</v>
      </c>
      <c r="I275" t="n">
        <v>0</v>
      </c>
      <c r="J275" t="n">
        <v>0</v>
      </c>
      <c r="K275" t="n">
        <v>0</v>
      </c>
      <c r="L275" t="n">
        <v>0</v>
      </c>
      <c r="M275" t="n">
        <v>0</v>
      </c>
      <c r="N275" t="n">
        <v>0</v>
      </c>
      <c r="O275" t="n">
        <v>0</v>
      </c>
      <c r="P275" t="n">
        <v>0</v>
      </c>
      <c r="Q275" t="n">
        <v>0</v>
      </c>
      <c r="R275" s="2" t="inlineStr"/>
    </row>
    <row r="276" ht="15" customHeight="1">
      <c r="A276" t="inlineStr">
        <is>
          <t>A 927-2026</t>
        </is>
      </c>
      <c r="B276" s="1" t="n">
        <v>46030.50560185185</v>
      </c>
      <c r="C276" s="1" t="n">
        <v>46160</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30434-2024</t>
        </is>
      </c>
      <c r="B277" s="1" t="n">
        <v>45491.69811342593</v>
      </c>
      <c r="C277" s="1" t="n">
        <v>46160</v>
      </c>
      <c r="D277" t="inlineStr">
        <is>
          <t>ÖSTERGÖTLANDS LÄN</t>
        </is>
      </c>
      <c r="E277" t="inlineStr">
        <is>
          <t>LINKÖPING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856-2026</t>
        </is>
      </c>
      <c r="B278" s="1" t="n">
        <v>46030.40644675926</v>
      </c>
      <c r="C278" s="1" t="n">
        <v>46160</v>
      </c>
      <c r="D278" t="inlineStr">
        <is>
          <t>ÖSTERGÖTLANDS LÄN</t>
        </is>
      </c>
      <c r="E278" t="inlineStr">
        <is>
          <t>LINKÖPING</t>
        </is>
      </c>
      <c r="G278" t="n">
        <v>6.4</v>
      </c>
      <c r="H278" t="n">
        <v>0</v>
      </c>
      <c r="I278" t="n">
        <v>0</v>
      </c>
      <c r="J278" t="n">
        <v>0</v>
      </c>
      <c r="K278" t="n">
        <v>0</v>
      </c>
      <c r="L278" t="n">
        <v>0</v>
      </c>
      <c r="M278" t="n">
        <v>0</v>
      </c>
      <c r="N278" t="n">
        <v>0</v>
      </c>
      <c r="O278" t="n">
        <v>0</v>
      </c>
      <c r="P278" t="n">
        <v>0</v>
      </c>
      <c r="Q278" t="n">
        <v>0</v>
      </c>
      <c r="R278" s="2" t="inlineStr"/>
    </row>
    <row r="279" ht="15" customHeight="1">
      <c r="A279" t="inlineStr">
        <is>
          <t>A 860-2026</t>
        </is>
      </c>
      <c r="B279" s="1" t="n">
        <v>46030.41974537037</v>
      </c>
      <c r="C279" s="1" t="n">
        <v>46160</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873-2026</t>
        </is>
      </c>
      <c r="B280" s="1" t="n">
        <v>46030.43818287037</v>
      </c>
      <c r="C280" s="1" t="n">
        <v>46160</v>
      </c>
      <c r="D280" t="inlineStr">
        <is>
          <t>ÖSTERGÖTLANDS LÄN</t>
        </is>
      </c>
      <c r="E280" t="inlineStr">
        <is>
          <t>LINKÖPING</t>
        </is>
      </c>
      <c r="G280" t="n">
        <v>4.1</v>
      </c>
      <c r="H280" t="n">
        <v>0</v>
      </c>
      <c r="I280" t="n">
        <v>0</v>
      </c>
      <c r="J280" t="n">
        <v>0</v>
      </c>
      <c r="K280" t="n">
        <v>0</v>
      </c>
      <c r="L280" t="n">
        <v>0</v>
      </c>
      <c r="M280" t="n">
        <v>0</v>
      </c>
      <c r="N280" t="n">
        <v>0</v>
      </c>
      <c r="O280" t="n">
        <v>0</v>
      </c>
      <c r="P280" t="n">
        <v>0</v>
      </c>
      <c r="Q280" t="n">
        <v>0</v>
      </c>
      <c r="R280" s="2" t="inlineStr"/>
    </row>
    <row r="281" ht="15" customHeight="1">
      <c r="A281" t="inlineStr">
        <is>
          <t>A 41706-2025</t>
        </is>
      </c>
      <c r="B281" s="1" t="n">
        <v>45902.42209490741</v>
      </c>
      <c r="C281" s="1" t="n">
        <v>46160</v>
      </c>
      <c r="D281" t="inlineStr">
        <is>
          <t>ÖSTERGÖTLANDS LÄN</t>
        </is>
      </c>
      <c r="E281" t="inlineStr">
        <is>
          <t>LINKÖPING</t>
        </is>
      </c>
      <c r="G281" t="n">
        <v>1.9</v>
      </c>
      <c r="H281" t="n">
        <v>0</v>
      </c>
      <c r="I281" t="n">
        <v>0</v>
      </c>
      <c r="J281" t="n">
        <v>0</v>
      </c>
      <c r="K281" t="n">
        <v>0</v>
      </c>
      <c r="L281" t="n">
        <v>0</v>
      </c>
      <c r="M281" t="n">
        <v>0</v>
      </c>
      <c r="N281" t="n">
        <v>0</v>
      </c>
      <c r="O281" t="n">
        <v>0</v>
      </c>
      <c r="P281" t="n">
        <v>0</v>
      </c>
      <c r="Q281" t="n">
        <v>0</v>
      </c>
      <c r="R281" s="2" t="inlineStr"/>
    </row>
    <row r="282" ht="15" customHeight="1">
      <c r="A282" t="inlineStr">
        <is>
          <t>A 11084-2022</t>
        </is>
      </c>
      <c r="B282" s="1" t="n">
        <v>44628</v>
      </c>
      <c r="C282" s="1" t="n">
        <v>46160</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41511-2025</t>
        </is>
      </c>
      <c r="B283" s="1" t="n">
        <v>45901.53839120371</v>
      </c>
      <c r="C283" s="1" t="n">
        <v>46160</v>
      </c>
      <c r="D283" t="inlineStr">
        <is>
          <t>ÖSTERGÖTLANDS LÄN</t>
        </is>
      </c>
      <c r="E283" t="inlineStr">
        <is>
          <t>LINKÖPING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57745-2022</t>
        </is>
      </c>
      <c r="B284" s="1" t="n">
        <v>44897.58119212963</v>
      </c>
      <c r="C284" s="1" t="n">
        <v>46160</v>
      </c>
      <c r="D284" t="inlineStr">
        <is>
          <t>ÖSTERGÖTLANDS LÄN</t>
        </is>
      </c>
      <c r="E284" t="inlineStr">
        <is>
          <t>LINKÖPING</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14520-2025</t>
        </is>
      </c>
      <c r="B285" s="1" t="n">
        <v>45741</v>
      </c>
      <c r="C285" s="1" t="n">
        <v>46160</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3042-2024</t>
        </is>
      </c>
      <c r="B286" s="1" t="n">
        <v>45316.35028935185</v>
      </c>
      <c r="C286" s="1" t="n">
        <v>46160</v>
      </c>
      <c r="D286" t="inlineStr">
        <is>
          <t>ÖSTERGÖTLANDS LÄN</t>
        </is>
      </c>
      <c r="E286" t="inlineStr">
        <is>
          <t>LINKÖPING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28200-2025</t>
        </is>
      </c>
      <c r="B287" s="1" t="n">
        <v>45818.4428125</v>
      </c>
      <c r="C287" s="1" t="n">
        <v>46160</v>
      </c>
      <c r="D287" t="inlineStr">
        <is>
          <t>ÖSTERGÖTLANDS LÄN</t>
        </is>
      </c>
      <c r="E287" t="inlineStr">
        <is>
          <t>LINKÖPING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29293-2025</t>
        </is>
      </c>
      <c r="B288" s="1" t="n">
        <v>45824</v>
      </c>
      <c r="C288" s="1" t="n">
        <v>46160</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858-2026</t>
        </is>
      </c>
      <c r="B289" s="1" t="n">
        <v>46030.41200231481</v>
      </c>
      <c r="C289" s="1" t="n">
        <v>46160</v>
      </c>
      <c r="D289" t="inlineStr">
        <is>
          <t>ÖSTERGÖTLANDS LÄN</t>
        </is>
      </c>
      <c r="E289" t="inlineStr">
        <is>
          <t>LINKÖPING</t>
        </is>
      </c>
      <c r="G289" t="n">
        <v>1.9</v>
      </c>
      <c r="H289" t="n">
        <v>0</v>
      </c>
      <c r="I289" t="n">
        <v>0</v>
      </c>
      <c r="J289" t="n">
        <v>0</v>
      </c>
      <c r="K289" t="n">
        <v>0</v>
      </c>
      <c r="L289" t="n">
        <v>0</v>
      </c>
      <c r="M289" t="n">
        <v>0</v>
      </c>
      <c r="N289" t="n">
        <v>0</v>
      </c>
      <c r="O289" t="n">
        <v>0</v>
      </c>
      <c r="P289" t="n">
        <v>0</v>
      </c>
      <c r="Q289" t="n">
        <v>0</v>
      </c>
      <c r="R289" s="2" t="inlineStr"/>
    </row>
    <row r="290" ht="15" customHeight="1">
      <c r="A290" t="inlineStr">
        <is>
          <t>A 940-2026</t>
        </is>
      </c>
      <c r="B290" s="1" t="n">
        <v>46030.53052083333</v>
      </c>
      <c r="C290" s="1" t="n">
        <v>46160</v>
      </c>
      <c r="D290" t="inlineStr">
        <is>
          <t>ÖSTERGÖTLANDS LÄN</t>
        </is>
      </c>
      <c r="E290" t="inlineStr">
        <is>
          <t>LINKÖPING</t>
        </is>
      </c>
      <c r="F290" t="inlineStr">
        <is>
          <t>Allmännings- och besparingsskogar</t>
        </is>
      </c>
      <c r="G290" t="n">
        <v>2.9</v>
      </c>
      <c r="H290" t="n">
        <v>0</v>
      </c>
      <c r="I290" t="n">
        <v>0</v>
      </c>
      <c r="J290" t="n">
        <v>0</v>
      </c>
      <c r="K290" t="n">
        <v>0</v>
      </c>
      <c r="L290" t="n">
        <v>0</v>
      </c>
      <c r="M290" t="n">
        <v>0</v>
      </c>
      <c r="N290" t="n">
        <v>0</v>
      </c>
      <c r="O290" t="n">
        <v>0</v>
      </c>
      <c r="P290" t="n">
        <v>0</v>
      </c>
      <c r="Q290" t="n">
        <v>0</v>
      </c>
      <c r="R290" s="2" t="inlineStr"/>
    </row>
    <row r="291" ht="15" customHeight="1">
      <c r="A291" t="inlineStr">
        <is>
          <t>A 944-2026</t>
        </is>
      </c>
      <c r="B291" s="1" t="n">
        <v>46030.53461805556</v>
      </c>
      <c r="C291" s="1" t="n">
        <v>46160</v>
      </c>
      <c r="D291" t="inlineStr">
        <is>
          <t>ÖSTERGÖTLANDS LÄN</t>
        </is>
      </c>
      <c r="E291" t="inlineStr">
        <is>
          <t>LINKÖPING</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27950-2025</t>
        </is>
      </c>
      <c r="B292" s="1" t="n">
        <v>45817.52960648148</v>
      </c>
      <c r="C292" s="1" t="n">
        <v>46160</v>
      </c>
      <c r="D292" t="inlineStr">
        <is>
          <t>ÖSTERGÖTLANDS LÄN</t>
        </is>
      </c>
      <c r="E292" t="inlineStr">
        <is>
          <t>LINKÖPING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56064-2022</t>
        </is>
      </c>
      <c r="B293" s="1" t="n">
        <v>44889.59107638889</v>
      </c>
      <c r="C293" s="1" t="n">
        <v>46160</v>
      </c>
      <c r="D293" t="inlineStr">
        <is>
          <t>ÖSTERGÖTLANDS LÄN</t>
        </is>
      </c>
      <c r="E293" t="inlineStr">
        <is>
          <t>LINKÖPING</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40502-2024</t>
        </is>
      </c>
      <c r="B294" s="1" t="n">
        <v>45555.57263888889</v>
      </c>
      <c r="C294" s="1" t="n">
        <v>46160</v>
      </c>
      <c r="D294" t="inlineStr">
        <is>
          <t>ÖSTERGÖTLANDS LÄN</t>
        </is>
      </c>
      <c r="E294" t="inlineStr">
        <is>
          <t>LINKÖPING</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27797-2025</t>
        </is>
      </c>
      <c r="B295" s="1" t="n">
        <v>45816.80521990741</v>
      </c>
      <c r="C295" s="1" t="n">
        <v>46160</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27798-2025</t>
        </is>
      </c>
      <c r="B296" s="1" t="n">
        <v>45816.81532407407</v>
      </c>
      <c r="C296" s="1" t="n">
        <v>46160</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859-2026</t>
        </is>
      </c>
      <c r="B297" s="1" t="n">
        <v>46030.41450231482</v>
      </c>
      <c r="C297" s="1" t="n">
        <v>46160</v>
      </c>
      <c r="D297" t="inlineStr">
        <is>
          <t>ÖSTERGÖTLANDS LÄN</t>
        </is>
      </c>
      <c r="E297" t="inlineStr">
        <is>
          <t>LINKÖPING</t>
        </is>
      </c>
      <c r="G297" t="n">
        <v>0.2</v>
      </c>
      <c r="H297" t="n">
        <v>0</v>
      </c>
      <c r="I297" t="n">
        <v>0</v>
      </c>
      <c r="J297" t="n">
        <v>0</v>
      </c>
      <c r="K297" t="n">
        <v>0</v>
      </c>
      <c r="L297" t="n">
        <v>0</v>
      </c>
      <c r="M297" t="n">
        <v>0</v>
      </c>
      <c r="N297" t="n">
        <v>0</v>
      </c>
      <c r="O297" t="n">
        <v>0</v>
      </c>
      <c r="P297" t="n">
        <v>0</v>
      </c>
      <c r="Q297" t="n">
        <v>0</v>
      </c>
      <c r="R297" s="2" t="inlineStr"/>
    </row>
    <row r="298" ht="15" customHeight="1">
      <c r="A298" t="inlineStr">
        <is>
          <t>A 28209-2025</t>
        </is>
      </c>
      <c r="B298" s="1" t="n">
        <v>45818.45112268518</v>
      </c>
      <c r="C298" s="1" t="n">
        <v>46160</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1223-2026</t>
        </is>
      </c>
      <c r="B299" s="1" t="n">
        <v>46031.40233796297</v>
      </c>
      <c r="C299" s="1" t="n">
        <v>46160</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28204-2025</t>
        </is>
      </c>
      <c r="B300" s="1" t="n">
        <v>45818.4477662037</v>
      </c>
      <c r="C300" s="1" t="n">
        <v>46160</v>
      </c>
      <c r="D300" t="inlineStr">
        <is>
          <t>ÖSTERGÖTLANDS LÄN</t>
        </is>
      </c>
      <c r="E300" t="inlineStr">
        <is>
          <t>LINKÖPING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42623-2025</t>
        </is>
      </c>
      <c r="B301" s="1" t="n">
        <v>45905</v>
      </c>
      <c r="C301" s="1" t="n">
        <v>46160</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46160</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44155-2024</t>
        </is>
      </c>
      <c r="B303" s="1" t="n">
        <v>45572.68226851852</v>
      </c>
      <c r="C303" s="1" t="n">
        <v>46160</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42624-2025</t>
        </is>
      </c>
      <c r="B304" s="1" t="n">
        <v>45905</v>
      </c>
      <c r="C304" s="1" t="n">
        <v>46160</v>
      </c>
      <c r="D304" t="inlineStr">
        <is>
          <t>ÖSTERGÖTLANDS LÄN</t>
        </is>
      </c>
      <c r="E304" t="inlineStr">
        <is>
          <t>LINKÖPING</t>
        </is>
      </c>
      <c r="G304" t="n">
        <v>1.5</v>
      </c>
      <c r="H304" t="n">
        <v>0</v>
      </c>
      <c r="I304" t="n">
        <v>0</v>
      </c>
      <c r="J304" t="n">
        <v>0</v>
      </c>
      <c r="K304" t="n">
        <v>0</v>
      </c>
      <c r="L304" t="n">
        <v>0</v>
      </c>
      <c r="M304" t="n">
        <v>0</v>
      </c>
      <c r="N304" t="n">
        <v>0</v>
      </c>
      <c r="O304" t="n">
        <v>0</v>
      </c>
      <c r="P304" t="n">
        <v>0</v>
      </c>
      <c r="Q304" t="n">
        <v>0</v>
      </c>
      <c r="R304" s="2" t="inlineStr"/>
    </row>
    <row r="305" ht="15" customHeight="1">
      <c r="A305" t="inlineStr">
        <is>
          <t>A 42626-2025</t>
        </is>
      </c>
      <c r="B305" s="1" t="n">
        <v>45905</v>
      </c>
      <c r="C305" s="1" t="n">
        <v>46160</v>
      </c>
      <c r="D305" t="inlineStr">
        <is>
          <t>ÖSTERGÖTLANDS LÄN</t>
        </is>
      </c>
      <c r="E305" t="inlineStr">
        <is>
          <t>LINKÖPING</t>
        </is>
      </c>
      <c r="G305" t="n">
        <v>3.6</v>
      </c>
      <c r="H305" t="n">
        <v>0</v>
      </c>
      <c r="I305" t="n">
        <v>0</v>
      </c>
      <c r="J305" t="n">
        <v>0</v>
      </c>
      <c r="K305" t="n">
        <v>0</v>
      </c>
      <c r="L305" t="n">
        <v>0</v>
      </c>
      <c r="M305" t="n">
        <v>0</v>
      </c>
      <c r="N305" t="n">
        <v>0</v>
      </c>
      <c r="O305" t="n">
        <v>0</v>
      </c>
      <c r="P305" t="n">
        <v>0</v>
      </c>
      <c r="Q305" t="n">
        <v>0</v>
      </c>
      <c r="R305" s="2" t="inlineStr"/>
    </row>
    <row r="306" ht="15" customHeight="1">
      <c r="A306" t="inlineStr">
        <is>
          <t>A 28416-2025</t>
        </is>
      </c>
      <c r="B306" s="1" t="n">
        <v>45819.35346064815</v>
      </c>
      <c r="C306" s="1" t="n">
        <v>46160</v>
      </c>
      <c r="D306" t="inlineStr">
        <is>
          <t>ÖSTERGÖTLANDS LÄN</t>
        </is>
      </c>
      <c r="E306" t="inlineStr">
        <is>
          <t>LINKÖPING</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29027-2025</t>
        </is>
      </c>
      <c r="B307" s="1" t="n">
        <v>45821.4375462963</v>
      </c>
      <c r="C307" s="1" t="n">
        <v>46160</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2030-2026</t>
        </is>
      </c>
      <c r="B308" s="1" t="n">
        <v>46035.73590277778</v>
      </c>
      <c r="C308" s="1" t="n">
        <v>46160</v>
      </c>
      <c r="D308" t="inlineStr">
        <is>
          <t>ÖSTERGÖTLANDS LÄN</t>
        </is>
      </c>
      <c r="E308" t="inlineStr">
        <is>
          <t>LINKÖPING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42997-2021</t>
        </is>
      </c>
      <c r="B309" s="1" t="n">
        <v>44431.45556712963</v>
      </c>
      <c r="C309" s="1" t="n">
        <v>46160</v>
      </c>
      <c r="D309" t="inlineStr">
        <is>
          <t>ÖSTERGÖTLANDS LÄN</t>
        </is>
      </c>
      <c r="E309" t="inlineStr">
        <is>
          <t>LINKÖPING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2031-2026</t>
        </is>
      </c>
      <c r="B310" s="1" t="n">
        <v>46035.74182870371</v>
      </c>
      <c r="C310" s="1" t="n">
        <v>46160</v>
      </c>
      <c r="D310" t="inlineStr">
        <is>
          <t>ÖSTERGÖTLANDS LÄN</t>
        </is>
      </c>
      <c r="E310" t="inlineStr">
        <is>
          <t>LINKÖPING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29411-2025</t>
        </is>
      </c>
      <c r="B311" s="1" t="n">
        <v>45824.6219212963</v>
      </c>
      <c r="C311" s="1" t="n">
        <v>46160</v>
      </c>
      <c r="D311" t="inlineStr">
        <is>
          <t>ÖSTERGÖTLANDS LÄN</t>
        </is>
      </c>
      <c r="E311" t="inlineStr">
        <is>
          <t>LINKÖPING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3045-2026</t>
        </is>
      </c>
      <c r="B312" s="1" t="n">
        <v>46038.74047453704</v>
      </c>
      <c r="C312" s="1" t="n">
        <v>46160</v>
      </c>
      <c r="D312" t="inlineStr">
        <is>
          <t>ÖSTERGÖTLANDS LÄN</t>
        </is>
      </c>
      <c r="E312" t="inlineStr">
        <is>
          <t>LINKÖPING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3044-2026</t>
        </is>
      </c>
      <c r="B313" s="1" t="n">
        <v>46038.73855324074</v>
      </c>
      <c r="C313" s="1" t="n">
        <v>46160</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3043-2026</t>
        </is>
      </c>
      <c r="B314" s="1" t="n">
        <v>46038.73675925926</v>
      </c>
      <c r="C314" s="1" t="n">
        <v>46160</v>
      </c>
      <c r="D314" t="inlineStr">
        <is>
          <t>ÖSTERGÖTLANDS LÄN</t>
        </is>
      </c>
      <c r="E314" t="inlineStr">
        <is>
          <t>LINKÖPING</t>
        </is>
      </c>
      <c r="G314" t="n">
        <v>2.5</v>
      </c>
      <c r="H314" t="n">
        <v>0</v>
      </c>
      <c r="I314" t="n">
        <v>0</v>
      </c>
      <c r="J314" t="n">
        <v>0</v>
      </c>
      <c r="K314" t="n">
        <v>0</v>
      </c>
      <c r="L314" t="n">
        <v>0</v>
      </c>
      <c r="M314" t="n">
        <v>0</v>
      </c>
      <c r="N314" t="n">
        <v>0</v>
      </c>
      <c r="O314" t="n">
        <v>0</v>
      </c>
      <c r="P314" t="n">
        <v>0</v>
      </c>
      <c r="Q314" t="n">
        <v>0</v>
      </c>
      <c r="R314" s="2" t="inlineStr"/>
    </row>
    <row r="315" ht="15" customHeight="1">
      <c r="A315" t="inlineStr">
        <is>
          <t>A 3046-2026</t>
        </is>
      </c>
      <c r="B315" s="1" t="n">
        <v>46038.74182870371</v>
      </c>
      <c r="C315" s="1" t="n">
        <v>46160</v>
      </c>
      <c r="D315" t="inlineStr">
        <is>
          <t>ÖSTERGÖTLANDS LÄN</t>
        </is>
      </c>
      <c r="E315" t="inlineStr">
        <is>
          <t>LINKÖPING</t>
        </is>
      </c>
      <c r="G315" t="n">
        <v>1.9</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46160</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43753-2025</t>
        </is>
      </c>
      <c r="B317" s="1" t="n">
        <v>45912.4715625</v>
      </c>
      <c r="C317" s="1" t="n">
        <v>46160</v>
      </c>
      <c r="D317" t="inlineStr">
        <is>
          <t>ÖSTERGÖTLANDS LÄN</t>
        </is>
      </c>
      <c r="E317" t="inlineStr">
        <is>
          <t>LINKÖPING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46160</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29599-2025</t>
        </is>
      </c>
      <c r="B319" s="1" t="n">
        <v>45825.41101851852</v>
      </c>
      <c r="C319" s="1" t="n">
        <v>46160</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44170-2025</t>
        </is>
      </c>
      <c r="B320" s="1" t="n">
        <v>45915.59864583334</v>
      </c>
      <c r="C320" s="1" t="n">
        <v>46160</v>
      </c>
      <c r="D320" t="inlineStr">
        <is>
          <t>ÖSTERGÖTLANDS LÄN</t>
        </is>
      </c>
      <c r="E320" t="inlineStr">
        <is>
          <t>LINKÖPING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30355-2025</t>
        </is>
      </c>
      <c r="B321" s="1" t="n">
        <v>45827</v>
      </c>
      <c r="C321" s="1" t="n">
        <v>46160</v>
      </c>
      <c r="D321" t="inlineStr">
        <is>
          <t>ÖSTERGÖTLANDS LÄN</t>
        </is>
      </c>
      <c r="E321" t="inlineStr">
        <is>
          <t>LINKÖPING</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30353-2025</t>
        </is>
      </c>
      <c r="B322" s="1" t="n">
        <v>45827</v>
      </c>
      <c r="C322" s="1" t="n">
        <v>46160</v>
      </c>
      <c r="D322" t="inlineStr">
        <is>
          <t>ÖSTERGÖTLANDS LÄN</t>
        </is>
      </c>
      <c r="E322" t="inlineStr">
        <is>
          <t>LINKÖPING</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14028-2024</t>
        </is>
      </c>
      <c r="B323" s="1" t="n">
        <v>45392</v>
      </c>
      <c r="C323" s="1" t="n">
        <v>46160</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44759-2025</t>
        </is>
      </c>
      <c r="B324" s="1" t="n">
        <v>45917.7152662037</v>
      </c>
      <c r="C324" s="1" t="n">
        <v>46160</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44764-2025</t>
        </is>
      </c>
      <c r="B325" s="1" t="n">
        <v>45917.72821759259</v>
      </c>
      <c r="C325" s="1" t="n">
        <v>46160</v>
      </c>
      <c r="D325" t="inlineStr">
        <is>
          <t>ÖSTERGÖTLANDS LÄN</t>
        </is>
      </c>
      <c r="E325" t="inlineStr">
        <is>
          <t>LINKÖPING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14667-2024</t>
        </is>
      </c>
      <c r="B326" s="1" t="n">
        <v>45397.42005787037</v>
      </c>
      <c r="C326" s="1" t="n">
        <v>46160</v>
      </c>
      <c r="D326" t="inlineStr">
        <is>
          <t>ÖSTERGÖTLANDS LÄN</t>
        </is>
      </c>
      <c r="E326" t="inlineStr">
        <is>
          <t>LINKÖPING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2697-2023</t>
        </is>
      </c>
      <c r="B327" s="1" t="n">
        <v>44944</v>
      </c>
      <c r="C327" s="1" t="n">
        <v>46160</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53641-2023</t>
        </is>
      </c>
      <c r="B328" s="1" t="n">
        <v>45230</v>
      </c>
      <c r="C328" s="1" t="n">
        <v>46160</v>
      </c>
      <c r="D328" t="inlineStr">
        <is>
          <t>ÖSTERGÖTLANDS LÄN</t>
        </is>
      </c>
      <c r="E328" t="inlineStr">
        <is>
          <t>LINKÖPING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48707-2023</t>
        </is>
      </c>
      <c r="B329" s="1" t="n">
        <v>45202</v>
      </c>
      <c r="C329" s="1" t="n">
        <v>46160</v>
      </c>
      <c r="D329" t="inlineStr">
        <is>
          <t>ÖSTERGÖTLANDS LÄN</t>
        </is>
      </c>
      <c r="E329" t="inlineStr">
        <is>
          <t>LINKÖPING</t>
        </is>
      </c>
      <c r="G329" t="n">
        <v>1.6</v>
      </c>
      <c r="H329" t="n">
        <v>0</v>
      </c>
      <c r="I329" t="n">
        <v>0</v>
      </c>
      <c r="J329" t="n">
        <v>0</v>
      </c>
      <c r="K329" t="n">
        <v>0</v>
      </c>
      <c r="L329" t="n">
        <v>0</v>
      </c>
      <c r="M329" t="n">
        <v>0</v>
      </c>
      <c r="N329" t="n">
        <v>0</v>
      </c>
      <c r="O329" t="n">
        <v>0</v>
      </c>
      <c r="P329" t="n">
        <v>0</v>
      </c>
      <c r="Q329" t="n">
        <v>0</v>
      </c>
      <c r="R329" s="2" t="inlineStr"/>
    </row>
    <row r="330" ht="15" customHeight="1">
      <c r="A330" t="inlineStr">
        <is>
          <t>A 53411-2023</t>
        </is>
      </c>
      <c r="B330" s="1" t="n">
        <v>45229.81049768518</v>
      </c>
      <c r="C330" s="1" t="n">
        <v>46160</v>
      </c>
      <c r="D330" t="inlineStr">
        <is>
          <t>ÖSTERGÖTLANDS LÄN</t>
        </is>
      </c>
      <c r="E330" t="inlineStr">
        <is>
          <t>LINKÖPING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45112-2025</t>
        </is>
      </c>
      <c r="B331" s="1" t="n">
        <v>45919</v>
      </c>
      <c r="C331" s="1" t="n">
        <v>46160</v>
      </c>
      <c r="D331" t="inlineStr">
        <is>
          <t>ÖSTERGÖTLANDS LÄN</t>
        </is>
      </c>
      <c r="E331" t="inlineStr">
        <is>
          <t>LINKÖPING</t>
        </is>
      </c>
      <c r="G331" t="n">
        <v>3.5</v>
      </c>
      <c r="H331" t="n">
        <v>0</v>
      </c>
      <c r="I331" t="n">
        <v>0</v>
      </c>
      <c r="J331" t="n">
        <v>0</v>
      </c>
      <c r="K331" t="n">
        <v>0</v>
      </c>
      <c r="L331" t="n">
        <v>0</v>
      </c>
      <c r="M331" t="n">
        <v>0</v>
      </c>
      <c r="N331" t="n">
        <v>0</v>
      </c>
      <c r="O331" t="n">
        <v>0</v>
      </c>
      <c r="P331" t="n">
        <v>0</v>
      </c>
      <c r="Q331" t="n">
        <v>0</v>
      </c>
      <c r="R331" s="2" t="inlineStr"/>
    </row>
    <row r="332" ht="15" customHeight="1">
      <c r="A332" t="inlineStr">
        <is>
          <t>A 31581-2025</t>
        </is>
      </c>
      <c r="B332" s="1" t="n">
        <v>45833.6840162037</v>
      </c>
      <c r="C332" s="1" t="n">
        <v>46160</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31585-2025</t>
        </is>
      </c>
      <c r="B333" s="1" t="n">
        <v>45833.68815972222</v>
      </c>
      <c r="C333" s="1" t="n">
        <v>46160</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56741-2023</t>
        </is>
      </c>
      <c r="B334" s="1" t="n">
        <v>45244</v>
      </c>
      <c r="C334" s="1" t="n">
        <v>46160</v>
      </c>
      <c r="D334" t="inlineStr">
        <is>
          <t>ÖSTERGÖTLANDS LÄN</t>
        </is>
      </c>
      <c r="E334" t="inlineStr">
        <is>
          <t>LINKÖPING</t>
        </is>
      </c>
      <c r="F334" t="inlineStr">
        <is>
          <t>Övriga Aktiebolag</t>
        </is>
      </c>
      <c r="G334" t="n">
        <v>1.1</v>
      </c>
      <c r="H334" t="n">
        <v>0</v>
      </c>
      <c r="I334" t="n">
        <v>0</v>
      </c>
      <c r="J334" t="n">
        <v>0</v>
      </c>
      <c r="K334" t="n">
        <v>0</v>
      </c>
      <c r="L334" t="n">
        <v>0</v>
      </c>
      <c r="M334" t="n">
        <v>0</v>
      </c>
      <c r="N334" t="n">
        <v>0</v>
      </c>
      <c r="O334" t="n">
        <v>0</v>
      </c>
      <c r="P334" t="n">
        <v>0</v>
      </c>
      <c r="Q334" t="n">
        <v>0</v>
      </c>
      <c r="R334" s="2" t="inlineStr"/>
    </row>
    <row r="335" ht="15" customHeight="1">
      <c r="A335" t="inlineStr">
        <is>
          <t>A 56792-2023</t>
        </is>
      </c>
      <c r="B335" s="1" t="n">
        <v>45244</v>
      </c>
      <c r="C335" s="1" t="n">
        <v>46160</v>
      </c>
      <c r="D335" t="inlineStr">
        <is>
          <t>ÖSTERGÖTLANDS LÄN</t>
        </is>
      </c>
      <c r="E335" t="inlineStr">
        <is>
          <t>LINKÖPING</t>
        </is>
      </c>
      <c r="F335" t="inlineStr">
        <is>
          <t>Övriga Aktiebolag</t>
        </is>
      </c>
      <c r="G335" t="n">
        <v>0.9</v>
      </c>
      <c r="H335" t="n">
        <v>0</v>
      </c>
      <c r="I335" t="n">
        <v>0</v>
      </c>
      <c r="J335" t="n">
        <v>0</v>
      </c>
      <c r="K335" t="n">
        <v>0</v>
      </c>
      <c r="L335" t="n">
        <v>0</v>
      </c>
      <c r="M335" t="n">
        <v>0</v>
      </c>
      <c r="N335" t="n">
        <v>0</v>
      </c>
      <c r="O335" t="n">
        <v>0</v>
      </c>
      <c r="P335" t="n">
        <v>0</v>
      </c>
      <c r="Q335" t="n">
        <v>0</v>
      </c>
      <c r="R335" s="2" t="inlineStr"/>
    </row>
    <row r="336" ht="15" customHeight="1">
      <c r="A336" t="inlineStr">
        <is>
          <t>A 3007-2023</t>
        </is>
      </c>
      <c r="B336" s="1" t="n">
        <v>44945</v>
      </c>
      <c r="C336" s="1" t="n">
        <v>46160</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40338-2024</t>
        </is>
      </c>
      <c r="B337" s="1" t="n">
        <v>45555.32940972222</v>
      </c>
      <c r="C337" s="1" t="n">
        <v>46160</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3013-2023</t>
        </is>
      </c>
      <c r="B338" s="1" t="n">
        <v>44945.8092824074</v>
      </c>
      <c r="C338" s="1" t="n">
        <v>46160</v>
      </c>
      <c r="D338" t="inlineStr">
        <is>
          <t>ÖSTERGÖTLANDS LÄN</t>
        </is>
      </c>
      <c r="E338" t="inlineStr">
        <is>
          <t>LINKÖPING</t>
        </is>
      </c>
      <c r="G338" t="n">
        <v>5.2</v>
      </c>
      <c r="H338" t="n">
        <v>0</v>
      </c>
      <c r="I338" t="n">
        <v>0</v>
      </c>
      <c r="J338" t="n">
        <v>0</v>
      </c>
      <c r="K338" t="n">
        <v>0</v>
      </c>
      <c r="L338" t="n">
        <v>0</v>
      </c>
      <c r="M338" t="n">
        <v>0</v>
      </c>
      <c r="N338" t="n">
        <v>0</v>
      </c>
      <c r="O338" t="n">
        <v>0</v>
      </c>
      <c r="P338" t="n">
        <v>0</v>
      </c>
      <c r="Q338" t="n">
        <v>0</v>
      </c>
      <c r="R338" s="2" t="inlineStr"/>
    </row>
    <row r="339" ht="15" customHeight="1">
      <c r="A339" t="inlineStr">
        <is>
          <t>A 55945-2024</t>
        </is>
      </c>
      <c r="B339" s="1" t="n">
        <v>45623.61754629629</v>
      </c>
      <c r="C339" s="1" t="n">
        <v>46160</v>
      </c>
      <c r="D339" t="inlineStr">
        <is>
          <t>ÖSTERGÖTLANDS LÄN</t>
        </is>
      </c>
      <c r="E339" t="inlineStr">
        <is>
          <t>LINKÖPING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1993-2023</t>
        </is>
      </c>
      <c r="B340" s="1" t="n">
        <v>44939</v>
      </c>
      <c r="C340" s="1" t="n">
        <v>46160</v>
      </c>
      <c r="D340" t="inlineStr">
        <is>
          <t>ÖSTERGÖTLANDS LÄN</t>
        </is>
      </c>
      <c r="E340" t="inlineStr">
        <is>
          <t>LINKÖPING</t>
        </is>
      </c>
      <c r="G340" t="n">
        <v>3.7</v>
      </c>
      <c r="H340" t="n">
        <v>0</v>
      </c>
      <c r="I340" t="n">
        <v>0</v>
      </c>
      <c r="J340" t="n">
        <v>0</v>
      </c>
      <c r="K340" t="n">
        <v>0</v>
      </c>
      <c r="L340" t="n">
        <v>0</v>
      </c>
      <c r="M340" t="n">
        <v>0</v>
      </c>
      <c r="N340" t="n">
        <v>0</v>
      </c>
      <c r="O340" t="n">
        <v>0</v>
      </c>
      <c r="P340" t="n">
        <v>0</v>
      </c>
      <c r="Q340" t="n">
        <v>0</v>
      </c>
      <c r="R340" s="2" t="inlineStr"/>
    </row>
    <row r="341" ht="15" customHeight="1">
      <c r="A341" t="inlineStr">
        <is>
          <t>A 2618-2023</t>
        </is>
      </c>
      <c r="B341" s="1" t="n">
        <v>44944.35847222222</v>
      </c>
      <c r="C341" s="1" t="n">
        <v>46160</v>
      </c>
      <c r="D341" t="inlineStr">
        <is>
          <t>ÖSTERGÖTLANDS LÄN</t>
        </is>
      </c>
      <c r="E341" t="inlineStr">
        <is>
          <t>LINKÖPING</t>
        </is>
      </c>
      <c r="G341" t="n">
        <v>4.3</v>
      </c>
      <c r="H341" t="n">
        <v>0</v>
      </c>
      <c r="I341" t="n">
        <v>0</v>
      </c>
      <c r="J341" t="n">
        <v>0</v>
      </c>
      <c r="K341" t="n">
        <v>0</v>
      </c>
      <c r="L341" t="n">
        <v>0</v>
      </c>
      <c r="M341" t="n">
        <v>0</v>
      </c>
      <c r="N341" t="n">
        <v>0</v>
      </c>
      <c r="O341" t="n">
        <v>0</v>
      </c>
      <c r="P341" t="n">
        <v>0</v>
      </c>
      <c r="Q341" t="n">
        <v>0</v>
      </c>
      <c r="R341" s="2" t="inlineStr"/>
    </row>
    <row r="342" ht="15" customHeight="1">
      <c r="A342" t="inlineStr">
        <is>
          <t>A 10203-2023</t>
        </is>
      </c>
      <c r="B342" s="1" t="n">
        <v>44986.55711805556</v>
      </c>
      <c r="C342" s="1" t="n">
        <v>46160</v>
      </c>
      <c r="D342" t="inlineStr">
        <is>
          <t>ÖSTERGÖTLANDS LÄN</t>
        </is>
      </c>
      <c r="E342" t="inlineStr">
        <is>
          <t>LINKÖPING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32723-2025</t>
        </is>
      </c>
      <c r="B343" s="1" t="n">
        <v>45838</v>
      </c>
      <c r="C343" s="1" t="n">
        <v>46160</v>
      </c>
      <c r="D343" t="inlineStr">
        <is>
          <t>ÖSTERGÖTLANDS LÄN</t>
        </is>
      </c>
      <c r="E343" t="inlineStr">
        <is>
          <t>LINKÖPING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45634-2025</t>
        </is>
      </c>
      <c r="B344" s="1" t="n">
        <v>45922.85089120371</v>
      </c>
      <c r="C344" s="1" t="n">
        <v>46160</v>
      </c>
      <c r="D344" t="inlineStr">
        <is>
          <t>ÖSTERGÖTLANDS LÄN</t>
        </is>
      </c>
      <c r="E344" t="inlineStr">
        <is>
          <t>LINKÖPING</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45792-2025</t>
        </is>
      </c>
      <c r="B345" s="1" t="n">
        <v>45923.56998842592</v>
      </c>
      <c r="C345" s="1" t="n">
        <v>46160</v>
      </c>
      <c r="D345" t="inlineStr">
        <is>
          <t>ÖSTERGÖTLANDS LÄN</t>
        </is>
      </c>
      <c r="E345" t="inlineStr">
        <is>
          <t>LINKÖPING</t>
        </is>
      </c>
      <c r="G345" t="n">
        <v>2.6</v>
      </c>
      <c r="H345" t="n">
        <v>0</v>
      </c>
      <c r="I345" t="n">
        <v>0</v>
      </c>
      <c r="J345" t="n">
        <v>0</v>
      </c>
      <c r="K345" t="n">
        <v>0</v>
      </c>
      <c r="L345" t="n">
        <v>0</v>
      </c>
      <c r="M345" t="n">
        <v>0</v>
      </c>
      <c r="N345" t="n">
        <v>0</v>
      </c>
      <c r="O345" t="n">
        <v>0</v>
      </c>
      <c r="P345" t="n">
        <v>0</v>
      </c>
      <c r="Q345" t="n">
        <v>0</v>
      </c>
      <c r="R345" s="2" t="inlineStr"/>
    </row>
    <row r="346" ht="15" customHeight="1">
      <c r="A346" t="inlineStr">
        <is>
          <t>A 45804-2025</t>
        </is>
      </c>
      <c r="B346" s="1" t="n">
        <v>45923.5819675926</v>
      </c>
      <c r="C346" s="1" t="n">
        <v>46160</v>
      </c>
      <c r="D346" t="inlineStr">
        <is>
          <t>ÖSTERGÖTLANDS LÄN</t>
        </is>
      </c>
      <c r="E346" t="inlineStr">
        <is>
          <t>LINKÖPING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34889-2023</t>
        </is>
      </c>
      <c r="B347" s="1" t="n">
        <v>45140</v>
      </c>
      <c r="C347" s="1" t="n">
        <v>46160</v>
      </c>
      <c r="D347" t="inlineStr">
        <is>
          <t>ÖSTERGÖTLANDS LÄN</t>
        </is>
      </c>
      <c r="E347" t="inlineStr">
        <is>
          <t>LINKÖPING</t>
        </is>
      </c>
      <c r="G347" t="n">
        <v>1.2</v>
      </c>
      <c r="H347" t="n">
        <v>0</v>
      </c>
      <c r="I347" t="n">
        <v>0</v>
      </c>
      <c r="J347" t="n">
        <v>0</v>
      </c>
      <c r="K347" t="n">
        <v>0</v>
      </c>
      <c r="L347" t="n">
        <v>0</v>
      </c>
      <c r="M347" t="n">
        <v>0</v>
      </c>
      <c r="N347" t="n">
        <v>0</v>
      </c>
      <c r="O347" t="n">
        <v>0</v>
      </c>
      <c r="P347" t="n">
        <v>0</v>
      </c>
      <c r="Q347" t="n">
        <v>0</v>
      </c>
      <c r="R347" s="2" t="inlineStr"/>
    </row>
    <row r="348" ht="15" customHeight="1">
      <c r="A348" t="inlineStr">
        <is>
          <t>A 34928-2023</t>
        </is>
      </c>
      <c r="B348" s="1" t="n">
        <v>45142</v>
      </c>
      <c r="C348" s="1" t="n">
        <v>46160</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38886-2024</t>
        </is>
      </c>
      <c r="B349" s="1" t="n">
        <v>45547.66443287037</v>
      </c>
      <c r="C349" s="1" t="n">
        <v>46160</v>
      </c>
      <c r="D349" t="inlineStr">
        <is>
          <t>ÖSTERGÖTLANDS LÄN</t>
        </is>
      </c>
      <c r="E349" t="inlineStr">
        <is>
          <t>LINKÖPING</t>
        </is>
      </c>
      <c r="G349" t="n">
        <v>5.3</v>
      </c>
      <c r="H349" t="n">
        <v>0</v>
      </c>
      <c r="I349" t="n">
        <v>0</v>
      </c>
      <c r="J349" t="n">
        <v>0</v>
      </c>
      <c r="K349" t="n">
        <v>0</v>
      </c>
      <c r="L349" t="n">
        <v>0</v>
      </c>
      <c r="M349" t="n">
        <v>0</v>
      </c>
      <c r="N349" t="n">
        <v>0</v>
      </c>
      <c r="O349" t="n">
        <v>0</v>
      </c>
      <c r="P349" t="n">
        <v>0</v>
      </c>
      <c r="Q349" t="n">
        <v>0</v>
      </c>
      <c r="R349" s="2" t="inlineStr"/>
    </row>
    <row r="350" ht="15" customHeight="1">
      <c r="A350" t="inlineStr">
        <is>
          <t>A 4469-2026</t>
        </is>
      </c>
      <c r="B350" s="1" t="n">
        <v>46045.65662037037</v>
      </c>
      <c r="C350" s="1" t="n">
        <v>46160</v>
      </c>
      <c r="D350" t="inlineStr">
        <is>
          <t>ÖSTERGÖTLANDS LÄN</t>
        </is>
      </c>
      <c r="E350" t="inlineStr">
        <is>
          <t>LINKÖPING</t>
        </is>
      </c>
      <c r="F350" t="inlineStr">
        <is>
          <t>Övriga Aktiebolag</t>
        </is>
      </c>
      <c r="G350" t="n">
        <v>3.8</v>
      </c>
      <c r="H350" t="n">
        <v>0</v>
      </c>
      <c r="I350" t="n">
        <v>0</v>
      </c>
      <c r="J350" t="n">
        <v>0</v>
      </c>
      <c r="K350" t="n">
        <v>0</v>
      </c>
      <c r="L350" t="n">
        <v>0</v>
      </c>
      <c r="M350" t="n">
        <v>0</v>
      </c>
      <c r="N350" t="n">
        <v>0</v>
      </c>
      <c r="O350" t="n">
        <v>0</v>
      </c>
      <c r="P350" t="n">
        <v>0</v>
      </c>
      <c r="Q350" t="n">
        <v>0</v>
      </c>
      <c r="R350" s="2" t="inlineStr"/>
    </row>
    <row r="351" ht="15" customHeight="1">
      <c r="A351" t="inlineStr">
        <is>
          <t>A 46428-2025</t>
        </is>
      </c>
      <c r="B351" s="1" t="n">
        <v>45925.60758101852</v>
      </c>
      <c r="C351" s="1" t="n">
        <v>46160</v>
      </c>
      <c r="D351" t="inlineStr">
        <is>
          <t>ÖSTERGÖTLANDS LÄN</t>
        </is>
      </c>
      <c r="E351" t="inlineStr">
        <is>
          <t>LINKÖPING</t>
        </is>
      </c>
      <c r="G351" t="n">
        <v>3</v>
      </c>
      <c r="H351" t="n">
        <v>0</v>
      </c>
      <c r="I351" t="n">
        <v>0</v>
      </c>
      <c r="J351" t="n">
        <v>0</v>
      </c>
      <c r="K351" t="n">
        <v>0</v>
      </c>
      <c r="L351" t="n">
        <v>0</v>
      </c>
      <c r="M351" t="n">
        <v>0</v>
      </c>
      <c r="N351" t="n">
        <v>0</v>
      </c>
      <c r="O351" t="n">
        <v>0</v>
      </c>
      <c r="P351" t="n">
        <v>0</v>
      </c>
      <c r="Q351" t="n">
        <v>0</v>
      </c>
      <c r="R351" s="2" t="inlineStr"/>
    </row>
    <row r="352" ht="15" customHeight="1">
      <c r="A352" t="inlineStr">
        <is>
          <t>A 5545-2026</t>
        </is>
      </c>
      <c r="B352" s="1" t="n">
        <v>46050.70089120371</v>
      </c>
      <c r="C352" s="1" t="n">
        <v>46160</v>
      </c>
      <c r="D352" t="inlineStr">
        <is>
          <t>ÖSTERGÖTLANDS LÄN</t>
        </is>
      </c>
      <c r="E352" t="inlineStr">
        <is>
          <t>LINKÖPING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46426-2025</t>
        </is>
      </c>
      <c r="B353" s="1" t="n">
        <v>45925.6012962963</v>
      </c>
      <c r="C353" s="1" t="n">
        <v>46160</v>
      </c>
      <c r="D353" t="inlineStr">
        <is>
          <t>ÖSTERGÖTLANDS LÄN</t>
        </is>
      </c>
      <c r="E353" t="inlineStr">
        <is>
          <t>LINKÖPING</t>
        </is>
      </c>
      <c r="G353" t="n">
        <v>4.4</v>
      </c>
      <c r="H353" t="n">
        <v>0</v>
      </c>
      <c r="I353" t="n">
        <v>0</v>
      </c>
      <c r="J353" t="n">
        <v>0</v>
      </c>
      <c r="K353" t="n">
        <v>0</v>
      </c>
      <c r="L353" t="n">
        <v>0</v>
      </c>
      <c r="M353" t="n">
        <v>0</v>
      </c>
      <c r="N353" t="n">
        <v>0</v>
      </c>
      <c r="O353" t="n">
        <v>0</v>
      </c>
      <c r="P353" t="n">
        <v>0</v>
      </c>
      <c r="Q353" t="n">
        <v>0</v>
      </c>
      <c r="R353" s="2" t="inlineStr"/>
    </row>
    <row r="354" ht="15" customHeight="1">
      <c r="A354" t="inlineStr">
        <is>
          <t>A 1268-2023</t>
        </is>
      </c>
      <c r="B354" s="1" t="n">
        <v>44936</v>
      </c>
      <c r="C354" s="1" t="n">
        <v>46160</v>
      </c>
      <c r="D354" t="inlineStr">
        <is>
          <t>ÖSTERGÖTLANDS LÄN</t>
        </is>
      </c>
      <c r="E354" t="inlineStr">
        <is>
          <t>LINKÖPING</t>
        </is>
      </c>
      <c r="G354" t="n">
        <v>4.6</v>
      </c>
      <c r="H354" t="n">
        <v>0</v>
      </c>
      <c r="I354" t="n">
        <v>0</v>
      </c>
      <c r="J354" t="n">
        <v>0</v>
      </c>
      <c r="K354" t="n">
        <v>0</v>
      </c>
      <c r="L354" t="n">
        <v>0</v>
      </c>
      <c r="M354" t="n">
        <v>0</v>
      </c>
      <c r="N354" t="n">
        <v>0</v>
      </c>
      <c r="O354" t="n">
        <v>0</v>
      </c>
      <c r="P354" t="n">
        <v>0</v>
      </c>
      <c r="Q354" t="n">
        <v>0</v>
      </c>
      <c r="R354" s="2" t="inlineStr"/>
    </row>
    <row r="355" ht="15" customHeight="1">
      <c r="A355" t="inlineStr">
        <is>
          <t>A 46377-2025</t>
        </is>
      </c>
      <c r="B355" s="1" t="n">
        <v>45925.51773148148</v>
      </c>
      <c r="C355" s="1" t="n">
        <v>46160</v>
      </c>
      <c r="D355" t="inlineStr">
        <is>
          <t>ÖSTERGÖTLANDS LÄN</t>
        </is>
      </c>
      <c r="E355" t="inlineStr">
        <is>
          <t>LINKÖPING</t>
        </is>
      </c>
      <c r="G355" t="n">
        <v>3.1</v>
      </c>
      <c r="H355" t="n">
        <v>0</v>
      </c>
      <c r="I355" t="n">
        <v>0</v>
      </c>
      <c r="J355" t="n">
        <v>0</v>
      </c>
      <c r="K355" t="n">
        <v>0</v>
      </c>
      <c r="L355" t="n">
        <v>0</v>
      </c>
      <c r="M355" t="n">
        <v>0</v>
      </c>
      <c r="N355" t="n">
        <v>0</v>
      </c>
      <c r="O355" t="n">
        <v>0</v>
      </c>
      <c r="P355" t="n">
        <v>0</v>
      </c>
      <c r="Q355" t="n">
        <v>0</v>
      </c>
      <c r="R355" s="2" t="inlineStr"/>
    </row>
    <row r="356" ht="15" customHeight="1">
      <c r="A356" t="inlineStr">
        <is>
          <t>A 47304-2025</t>
        </is>
      </c>
      <c r="B356" s="1" t="n">
        <v>45930.52037037037</v>
      </c>
      <c r="C356" s="1" t="n">
        <v>46160</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47233-2025</t>
        </is>
      </c>
      <c r="B357" s="1" t="n">
        <v>45930.40612268518</v>
      </c>
      <c r="C357" s="1" t="n">
        <v>46160</v>
      </c>
      <c r="D357" t="inlineStr">
        <is>
          <t>ÖSTERGÖTLANDS LÄN</t>
        </is>
      </c>
      <c r="E357" t="inlineStr">
        <is>
          <t>LINKÖPING</t>
        </is>
      </c>
      <c r="G357" t="n">
        <v>4.3</v>
      </c>
      <c r="H357" t="n">
        <v>0</v>
      </c>
      <c r="I357" t="n">
        <v>0</v>
      </c>
      <c r="J357" t="n">
        <v>0</v>
      </c>
      <c r="K357" t="n">
        <v>0</v>
      </c>
      <c r="L357" t="n">
        <v>0</v>
      </c>
      <c r="M357" t="n">
        <v>0</v>
      </c>
      <c r="N357" t="n">
        <v>0</v>
      </c>
      <c r="O357" t="n">
        <v>0</v>
      </c>
      <c r="P357" t="n">
        <v>0</v>
      </c>
      <c r="Q357" t="n">
        <v>0</v>
      </c>
      <c r="R357" s="2" t="inlineStr"/>
    </row>
    <row r="358" ht="15" customHeight="1">
      <c r="A358" t="inlineStr">
        <is>
          <t>A 49747-2024</t>
        </is>
      </c>
      <c r="B358" s="1" t="n">
        <v>45596</v>
      </c>
      <c r="C358" s="1" t="n">
        <v>46160</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33947-2025</t>
        </is>
      </c>
      <c r="B359" s="1" t="n">
        <v>45842.65444444444</v>
      </c>
      <c r="C359" s="1" t="n">
        <v>46160</v>
      </c>
      <c r="D359" t="inlineStr">
        <is>
          <t>ÖSTERGÖTLANDS LÄN</t>
        </is>
      </c>
      <c r="E359" t="inlineStr">
        <is>
          <t>LINKÖPING</t>
        </is>
      </c>
      <c r="F359" t="inlineStr">
        <is>
          <t>Sveaskog</t>
        </is>
      </c>
      <c r="G359" t="n">
        <v>0.6</v>
      </c>
      <c r="H359" t="n">
        <v>0</v>
      </c>
      <c r="I359" t="n">
        <v>0</v>
      </c>
      <c r="J359" t="n">
        <v>0</v>
      </c>
      <c r="K359" t="n">
        <v>0</v>
      </c>
      <c r="L359" t="n">
        <v>0</v>
      </c>
      <c r="M359" t="n">
        <v>0</v>
      </c>
      <c r="N359" t="n">
        <v>0</v>
      </c>
      <c r="O359" t="n">
        <v>0</v>
      </c>
      <c r="P359" t="n">
        <v>0</v>
      </c>
      <c r="Q359" t="n">
        <v>0</v>
      </c>
      <c r="R359" s="2" t="inlineStr"/>
    </row>
    <row r="360" ht="15" customHeight="1">
      <c r="A360" t="inlineStr">
        <is>
          <t>A 31725-2022</t>
        </is>
      </c>
      <c r="B360" s="1" t="n">
        <v>44776.48541666667</v>
      </c>
      <c r="C360" s="1" t="n">
        <v>46160</v>
      </c>
      <c r="D360" t="inlineStr">
        <is>
          <t>ÖSTERGÖTLANDS LÄN</t>
        </is>
      </c>
      <c r="E360" t="inlineStr">
        <is>
          <t>LINKÖPING</t>
        </is>
      </c>
      <c r="G360" t="n">
        <v>2.6</v>
      </c>
      <c r="H360" t="n">
        <v>0</v>
      </c>
      <c r="I360" t="n">
        <v>0</v>
      </c>
      <c r="J360" t="n">
        <v>0</v>
      </c>
      <c r="K360" t="n">
        <v>0</v>
      </c>
      <c r="L360" t="n">
        <v>0</v>
      </c>
      <c r="M360" t="n">
        <v>0</v>
      </c>
      <c r="N360" t="n">
        <v>0</v>
      </c>
      <c r="O360" t="n">
        <v>0</v>
      </c>
      <c r="P360" t="n">
        <v>0</v>
      </c>
      <c r="Q360" t="n">
        <v>0</v>
      </c>
      <c r="R360" s="2" t="inlineStr"/>
    </row>
    <row r="361" ht="15" customHeight="1">
      <c r="A361" t="inlineStr">
        <is>
          <t>A 46847-2025</t>
        </is>
      </c>
      <c r="B361" s="1" t="n">
        <v>45928.69971064815</v>
      </c>
      <c r="C361" s="1" t="n">
        <v>46160</v>
      </c>
      <c r="D361" t="inlineStr">
        <is>
          <t>ÖSTERGÖTLANDS LÄN</t>
        </is>
      </c>
      <c r="E361" t="inlineStr">
        <is>
          <t>LINKÖPING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48343-2025</t>
        </is>
      </c>
      <c r="B362" s="1" t="n">
        <v>45932</v>
      </c>
      <c r="C362" s="1" t="n">
        <v>46160</v>
      </c>
      <c r="D362" t="inlineStr">
        <is>
          <t>ÖSTERGÖTLANDS LÄN</t>
        </is>
      </c>
      <c r="E362" t="inlineStr">
        <is>
          <t>LINKÖPING</t>
        </is>
      </c>
      <c r="F362" t="inlineStr">
        <is>
          <t>Övriga Aktiebolag</t>
        </is>
      </c>
      <c r="G362" t="n">
        <v>2</v>
      </c>
      <c r="H362" t="n">
        <v>0</v>
      </c>
      <c r="I362" t="n">
        <v>0</v>
      </c>
      <c r="J362" t="n">
        <v>0</v>
      </c>
      <c r="K362" t="n">
        <v>0</v>
      </c>
      <c r="L362" t="n">
        <v>0</v>
      </c>
      <c r="M362" t="n">
        <v>0</v>
      </c>
      <c r="N362" t="n">
        <v>0</v>
      </c>
      <c r="O362" t="n">
        <v>0</v>
      </c>
      <c r="P362" t="n">
        <v>0</v>
      </c>
      <c r="Q362" t="n">
        <v>0</v>
      </c>
      <c r="R362" s="2" t="inlineStr"/>
    </row>
    <row r="363" ht="15" customHeight="1">
      <c r="A363" t="inlineStr">
        <is>
          <t>A 47606-2025</t>
        </is>
      </c>
      <c r="B363" s="1" t="n">
        <v>45931.46402777778</v>
      </c>
      <c r="C363" s="1" t="n">
        <v>46160</v>
      </c>
      <c r="D363" t="inlineStr">
        <is>
          <t>ÖSTERGÖTLANDS LÄN</t>
        </is>
      </c>
      <c r="E363" t="inlineStr">
        <is>
          <t>LINKÖPING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48254-2025</t>
        </is>
      </c>
      <c r="B364" s="1" t="n">
        <v>45932</v>
      </c>
      <c r="C364" s="1" t="n">
        <v>46160</v>
      </c>
      <c r="D364" t="inlineStr">
        <is>
          <t>ÖSTERGÖTLANDS LÄN</t>
        </is>
      </c>
      <c r="E364" t="inlineStr">
        <is>
          <t>LINKÖPING</t>
        </is>
      </c>
      <c r="F364" t="inlineStr">
        <is>
          <t>Övriga Aktiebolag</t>
        </is>
      </c>
      <c r="G364" t="n">
        <v>0.8</v>
      </c>
      <c r="H364" t="n">
        <v>0</v>
      </c>
      <c r="I364" t="n">
        <v>0</v>
      </c>
      <c r="J364" t="n">
        <v>0</v>
      </c>
      <c r="K364" t="n">
        <v>0</v>
      </c>
      <c r="L364" t="n">
        <v>0</v>
      </c>
      <c r="M364" t="n">
        <v>0</v>
      </c>
      <c r="N364" t="n">
        <v>0</v>
      </c>
      <c r="O364" t="n">
        <v>0</v>
      </c>
      <c r="P364" t="n">
        <v>0</v>
      </c>
      <c r="Q364" t="n">
        <v>0</v>
      </c>
      <c r="R364" s="2" t="inlineStr"/>
    </row>
    <row r="365" ht="15" customHeight="1">
      <c r="A365" t="inlineStr">
        <is>
          <t>A 48266-2025</t>
        </is>
      </c>
      <c r="B365" s="1" t="n">
        <v>45932</v>
      </c>
      <c r="C365" s="1" t="n">
        <v>46160</v>
      </c>
      <c r="D365" t="inlineStr">
        <is>
          <t>ÖSTERGÖTLANDS LÄN</t>
        </is>
      </c>
      <c r="E365" t="inlineStr">
        <is>
          <t>LINKÖPING</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2389-2023</t>
        </is>
      </c>
      <c r="B366" s="1" t="n">
        <v>44942</v>
      </c>
      <c r="C366" s="1" t="n">
        <v>46160</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62012-2024</t>
        </is>
      </c>
      <c r="B367" s="1" t="n">
        <v>45655.79679398148</v>
      </c>
      <c r="C367" s="1" t="n">
        <v>46160</v>
      </c>
      <c r="D367" t="inlineStr">
        <is>
          <t>ÖSTERGÖTLANDS LÄN</t>
        </is>
      </c>
      <c r="E367" t="inlineStr">
        <is>
          <t>LINKÖPING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3627-2023</t>
        </is>
      </c>
      <c r="B368" s="1" t="n">
        <v>44950.64782407408</v>
      </c>
      <c r="C368" s="1" t="n">
        <v>46160</v>
      </c>
      <c r="D368" t="inlineStr">
        <is>
          <t>ÖSTERGÖTLANDS LÄN</t>
        </is>
      </c>
      <c r="E368" t="inlineStr">
        <is>
          <t>LINKÖPING</t>
        </is>
      </c>
      <c r="G368" t="n">
        <v>3.1</v>
      </c>
      <c r="H368" t="n">
        <v>0</v>
      </c>
      <c r="I368" t="n">
        <v>0</v>
      </c>
      <c r="J368" t="n">
        <v>0</v>
      </c>
      <c r="K368" t="n">
        <v>0</v>
      </c>
      <c r="L368" t="n">
        <v>0</v>
      </c>
      <c r="M368" t="n">
        <v>0</v>
      </c>
      <c r="N368" t="n">
        <v>0</v>
      </c>
      <c r="O368" t="n">
        <v>0</v>
      </c>
      <c r="P368" t="n">
        <v>0</v>
      </c>
      <c r="Q368" t="n">
        <v>0</v>
      </c>
      <c r="R368" s="2" t="inlineStr"/>
    </row>
    <row r="369" ht="15" customHeight="1">
      <c r="A369" t="inlineStr">
        <is>
          <t>A 62687-2023</t>
        </is>
      </c>
      <c r="B369" s="1" t="n">
        <v>45271</v>
      </c>
      <c r="C369" s="1" t="n">
        <v>46160</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53529-2024</t>
        </is>
      </c>
      <c r="B370" s="1" t="n">
        <v>45614</v>
      </c>
      <c r="C370" s="1" t="n">
        <v>46160</v>
      </c>
      <c r="D370" t="inlineStr">
        <is>
          <t>ÖSTERGÖTLANDS LÄN</t>
        </is>
      </c>
      <c r="E370" t="inlineStr">
        <is>
          <t>LINKÖPING</t>
        </is>
      </c>
      <c r="G370" t="n">
        <v>6.7</v>
      </c>
      <c r="H370" t="n">
        <v>0</v>
      </c>
      <c r="I370" t="n">
        <v>0</v>
      </c>
      <c r="J370" t="n">
        <v>0</v>
      </c>
      <c r="K370" t="n">
        <v>0</v>
      </c>
      <c r="L370" t="n">
        <v>0</v>
      </c>
      <c r="M370" t="n">
        <v>0</v>
      </c>
      <c r="N370" t="n">
        <v>0</v>
      </c>
      <c r="O370" t="n">
        <v>0</v>
      </c>
      <c r="P370" t="n">
        <v>0</v>
      </c>
      <c r="Q370" t="n">
        <v>0</v>
      </c>
      <c r="R370" s="2" t="inlineStr"/>
    </row>
    <row r="371" ht="15" customHeight="1">
      <c r="A371" t="inlineStr">
        <is>
          <t>A 18891-2022</t>
        </is>
      </c>
      <c r="B371" s="1" t="n">
        <v>44690</v>
      </c>
      <c r="C371" s="1" t="n">
        <v>46160</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6384-2026</t>
        </is>
      </c>
      <c r="B372" s="1" t="n">
        <v>46055.63732638889</v>
      </c>
      <c r="C372" s="1" t="n">
        <v>46160</v>
      </c>
      <c r="D372" t="inlineStr">
        <is>
          <t>ÖSTERGÖTLANDS LÄN</t>
        </is>
      </c>
      <c r="E372" t="inlineStr">
        <is>
          <t>LINKÖPING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20469-2025</t>
        </is>
      </c>
      <c r="B373" s="1" t="n">
        <v>45775</v>
      </c>
      <c r="C373" s="1" t="n">
        <v>46160</v>
      </c>
      <c r="D373" t="inlineStr">
        <is>
          <t>ÖSTERGÖTLANDS LÄN</t>
        </is>
      </c>
      <c r="E373" t="inlineStr">
        <is>
          <t>LINKÖPING</t>
        </is>
      </c>
      <c r="F373" t="inlineStr">
        <is>
          <t>Kyrkan</t>
        </is>
      </c>
      <c r="G373" t="n">
        <v>6.1</v>
      </c>
      <c r="H373" t="n">
        <v>0</v>
      </c>
      <c r="I373" t="n">
        <v>0</v>
      </c>
      <c r="J373" t="n">
        <v>0</v>
      </c>
      <c r="K373" t="n">
        <v>0</v>
      </c>
      <c r="L373" t="n">
        <v>0</v>
      </c>
      <c r="M373" t="n">
        <v>0</v>
      </c>
      <c r="N373" t="n">
        <v>0</v>
      </c>
      <c r="O373" t="n">
        <v>0</v>
      </c>
      <c r="P373" t="n">
        <v>0</v>
      </c>
      <c r="Q373" t="n">
        <v>0</v>
      </c>
      <c r="R373" s="2" t="inlineStr"/>
    </row>
    <row r="374" ht="15" customHeight="1">
      <c r="A374" t="inlineStr">
        <is>
          <t>A 26620-2023</t>
        </is>
      </c>
      <c r="B374" s="1" t="n">
        <v>45092.70390046296</v>
      </c>
      <c r="C374" s="1" t="n">
        <v>46160</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6164-2026</t>
        </is>
      </c>
      <c r="B375" s="1" t="n">
        <v>46055.32596064815</v>
      </c>
      <c r="C375" s="1" t="n">
        <v>46160</v>
      </c>
      <c r="D375" t="inlineStr">
        <is>
          <t>ÖSTERGÖTLANDS LÄN</t>
        </is>
      </c>
      <c r="E375" t="inlineStr">
        <is>
          <t>LINKÖPING</t>
        </is>
      </c>
      <c r="G375" t="n">
        <v>0.4</v>
      </c>
      <c r="H375" t="n">
        <v>0</v>
      </c>
      <c r="I375" t="n">
        <v>0</v>
      </c>
      <c r="J375" t="n">
        <v>0</v>
      </c>
      <c r="K375" t="n">
        <v>0</v>
      </c>
      <c r="L375" t="n">
        <v>0</v>
      </c>
      <c r="M375" t="n">
        <v>0</v>
      </c>
      <c r="N375" t="n">
        <v>0</v>
      </c>
      <c r="O375" t="n">
        <v>0</v>
      </c>
      <c r="P375" t="n">
        <v>0</v>
      </c>
      <c r="Q375" t="n">
        <v>0</v>
      </c>
      <c r="R375" s="2" t="inlineStr"/>
    </row>
    <row r="376" ht="15" customHeight="1">
      <c r="A376" t="inlineStr">
        <is>
          <t>A 49605-2025</t>
        </is>
      </c>
      <c r="B376" s="1" t="n">
        <v>45938</v>
      </c>
      <c r="C376" s="1" t="n">
        <v>46160</v>
      </c>
      <c r="D376" t="inlineStr">
        <is>
          <t>ÖSTERGÖTLANDS LÄN</t>
        </is>
      </c>
      <c r="E376" t="inlineStr">
        <is>
          <t>LINKÖPING</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49647-2025</t>
        </is>
      </c>
      <c r="B377" s="1" t="n">
        <v>45938</v>
      </c>
      <c r="C377" s="1" t="n">
        <v>46160</v>
      </c>
      <c r="D377" t="inlineStr">
        <is>
          <t>ÖSTERGÖTLANDS LÄN</t>
        </is>
      </c>
      <c r="E377" t="inlineStr">
        <is>
          <t>LINKÖPING</t>
        </is>
      </c>
      <c r="F377" t="inlineStr">
        <is>
          <t>Övriga Aktiebolag</t>
        </is>
      </c>
      <c r="G377" t="n">
        <v>0.6</v>
      </c>
      <c r="H377" t="n">
        <v>0</v>
      </c>
      <c r="I377" t="n">
        <v>0</v>
      </c>
      <c r="J377" t="n">
        <v>0</v>
      </c>
      <c r="K377" t="n">
        <v>0</v>
      </c>
      <c r="L377" t="n">
        <v>0</v>
      </c>
      <c r="M377" t="n">
        <v>0</v>
      </c>
      <c r="N377" t="n">
        <v>0</v>
      </c>
      <c r="O377" t="n">
        <v>0</v>
      </c>
      <c r="P377" t="n">
        <v>0</v>
      </c>
      <c r="Q377" t="n">
        <v>0</v>
      </c>
      <c r="R377" s="2" t="inlineStr"/>
    </row>
    <row r="378" ht="15" customHeight="1">
      <c r="A378" t="inlineStr">
        <is>
          <t>A 33800-2023</t>
        </is>
      </c>
      <c r="B378" s="1" t="n">
        <v>45121</v>
      </c>
      <c r="C378" s="1" t="n">
        <v>46160</v>
      </c>
      <c r="D378" t="inlineStr">
        <is>
          <t>ÖSTERGÖTLANDS LÄN</t>
        </is>
      </c>
      <c r="E378" t="inlineStr">
        <is>
          <t>LINKÖPING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47991-2023</t>
        </is>
      </c>
      <c r="B379" s="1" t="n">
        <v>45204.62655092592</v>
      </c>
      <c r="C379" s="1" t="n">
        <v>46160</v>
      </c>
      <c r="D379" t="inlineStr">
        <is>
          <t>ÖSTERGÖTLANDS LÄN</t>
        </is>
      </c>
      <c r="E379" t="inlineStr">
        <is>
          <t>LINKÖPING</t>
        </is>
      </c>
      <c r="F379" t="inlineStr">
        <is>
          <t>Allmännings- och besparingsskogar</t>
        </is>
      </c>
      <c r="G379" t="n">
        <v>7.3</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46160</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49663-2025</t>
        </is>
      </c>
      <c r="B381" s="1" t="n">
        <v>45938</v>
      </c>
      <c r="C381" s="1" t="n">
        <v>46160</v>
      </c>
      <c r="D381" t="inlineStr">
        <is>
          <t>ÖSTERGÖTLANDS LÄN</t>
        </is>
      </c>
      <c r="E381" t="inlineStr">
        <is>
          <t>LINKÖPING</t>
        </is>
      </c>
      <c r="F381" t="inlineStr">
        <is>
          <t>Övriga Aktiebolag</t>
        </is>
      </c>
      <c r="G381" t="n">
        <v>1.2</v>
      </c>
      <c r="H381" t="n">
        <v>0</v>
      </c>
      <c r="I381" t="n">
        <v>0</v>
      </c>
      <c r="J381" t="n">
        <v>0</v>
      </c>
      <c r="K381" t="n">
        <v>0</v>
      </c>
      <c r="L381" t="n">
        <v>0</v>
      </c>
      <c r="M381" t="n">
        <v>0</v>
      </c>
      <c r="N381" t="n">
        <v>0</v>
      </c>
      <c r="O381" t="n">
        <v>0</v>
      </c>
      <c r="P381" t="n">
        <v>0</v>
      </c>
      <c r="Q381" t="n">
        <v>0</v>
      </c>
      <c r="R381" s="2" t="inlineStr"/>
    </row>
    <row r="382" ht="15" customHeight="1">
      <c r="A382" t="inlineStr">
        <is>
          <t>A 56180-2024</t>
        </is>
      </c>
      <c r="B382" s="1" t="n">
        <v>45624.56611111111</v>
      </c>
      <c r="C382" s="1" t="n">
        <v>46160</v>
      </c>
      <c r="D382" t="inlineStr">
        <is>
          <t>ÖSTERGÖTLANDS LÄN</t>
        </is>
      </c>
      <c r="E382" t="inlineStr">
        <is>
          <t>LINKÖPING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49455-2025</t>
        </is>
      </c>
      <c r="B383" s="1" t="n">
        <v>45938</v>
      </c>
      <c r="C383" s="1" t="n">
        <v>46160</v>
      </c>
      <c r="D383" t="inlineStr">
        <is>
          <t>ÖSTERGÖTLANDS LÄN</t>
        </is>
      </c>
      <c r="E383" t="inlineStr">
        <is>
          <t>LINKÖPING</t>
        </is>
      </c>
      <c r="F383" t="inlineStr">
        <is>
          <t>Övriga Aktiebolag</t>
        </is>
      </c>
      <c r="G383" t="n">
        <v>5.9</v>
      </c>
      <c r="H383" t="n">
        <v>0</v>
      </c>
      <c r="I383" t="n">
        <v>0</v>
      </c>
      <c r="J383" t="n">
        <v>0</v>
      </c>
      <c r="K383" t="n">
        <v>0</v>
      </c>
      <c r="L383" t="n">
        <v>0</v>
      </c>
      <c r="M383" t="n">
        <v>0</v>
      </c>
      <c r="N383" t="n">
        <v>0</v>
      </c>
      <c r="O383" t="n">
        <v>0</v>
      </c>
      <c r="P383" t="n">
        <v>0</v>
      </c>
      <c r="Q383" t="n">
        <v>0</v>
      </c>
      <c r="R383" s="2" t="inlineStr"/>
    </row>
    <row r="384" ht="15" customHeight="1">
      <c r="A384" t="inlineStr">
        <is>
          <t>A 938-2023</t>
        </is>
      </c>
      <c r="B384" s="1" t="n">
        <v>44933</v>
      </c>
      <c r="C384" s="1" t="n">
        <v>46160</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25418-2023</t>
        </is>
      </c>
      <c r="B385" s="1" t="n">
        <v>45089</v>
      </c>
      <c r="C385" s="1" t="n">
        <v>46160</v>
      </c>
      <c r="D385" t="inlineStr">
        <is>
          <t>ÖSTERGÖTLANDS LÄN</t>
        </is>
      </c>
      <c r="E385" t="inlineStr">
        <is>
          <t>LINKÖPING</t>
        </is>
      </c>
      <c r="F385" t="inlineStr">
        <is>
          <t>Övriga Aktiebolag</t>
        </is>
      </c>
      <c r="G385" t="n">
        <v>2.4</v>
      </c>
      <c r="H385" t="n">
        <v>0</v>
      </c>
      <c r="I385" t="n">
        <v>0</v>
      </c>
      <c r="J385" t="n">
        <v>0</v>
      </c>
      <c r="K385" t="n">
        <v>0</v>
      </c>
      <c r="L385" t="n">
        <v>0</v>
      </c>
      <c r="M385" t="n">
        <v>0</v>
      </c>
      <c r="N385" t="n">
        <v>0</v>
      </c>
      <c r="O385" t="n">
        <v>0</v>
      </c>
      <c r="P385" t="n">
        <v>0</v>
      </c>
      <c r="Q385" t="n">
        <v>0</v>
      </c>
      <c r="R385" s="2" t="inlineStr"/>
    </row>
    <row r="386" ht="15" customHeight="1">
      <c r="A386" t="inlineStr">
        <is>
          <t>A 60007-2022</t>
        </is>
      </c>
      <c r="B386" s="1" t="n">
        <v>44909.47282407407</v>
      </c>
      <c r="C386" s="1" t="n">
        <v>46160</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49652-2025</t>
        </is>
      </c>
      <c r="B387" s="1" t="n">
        <v>45938</v>
      </c>
      <c r="C387" s="1" t="n">
        <v>46160</v>
      </c>
      <c r="D387" t="inlineStr">
        <is>
          <t>ÖSTERGÖTLANDS LÄN</t>
        </is>
      </c>
      <c r="E387" t="inlineStr">
        <is>
          <t>LINKÖPING</t>
        </is>
      </c>
      <c r="F387" t="inlineStr">
        <is>
          <t>Övriga Aktiebolag</t>
        </is>
      </c>
      <c r="G387" t="n">
        <v>1.8</v>
      </c>
      <c r="H387" t="n">
        <v>0</v>
      </c>
      <c r="I387" t="n">
        <v>0</v>
      </c>
      <c r="J387" t="n">
        <v>0</v>
      </c>
      <c r="K387" t="n">
        <v>0</v>
      </c>
      <c r="L387" t="n">
        <v>0</v>
      </c>
      <c r="M387" t="n">
        <v>0</v>
      </c>
      <c r="N387" t="n">
        <v>0</v>
      </c>
      <c r="O387" t="n">
        <v>0</v>
      </c>
      <c r="P387" t="n">
        <v>0</v>
      </c>
      <c r="Q387" t="n">
        <v>0</v>
      </c>
      <c r="R387" s="2" t="inlineStr"/>
    </row>
    <row r="388" ht="15" customHeight="1">
      <c r="A388" t="inlineStr">
        <is>
          <t>A 49654-2025</t>
        </is>
      </c>
      <c r="B388" s="1" t="n">
        <v>45938</v>
      </c>
      <c r="C388" s="1" t="n">
        <v>46160</v>
      </c>
      <c r="D388" t="inlineStr">
        <is>
          <t>ÖSTERGÖTLANDS LÄN</t>
        </is>
      </c>
      <c r="E388" t="inlineStr">
        <is>
          <t>LINKÖPING</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49619-2025</t>
        </is>
      </c>
      <c r="B389" s="1" t="n">
        <v>45938</v>
      </c>
      <c r="C389" s="1" t="n">
        <v>46160</v>
      </c>
      <c r="D389" t="inlineStr">
        <is>
          <t>ÖSTERGÖTLANDS LÄN</t>
        </is>
      </c>
      <c r="E389" t="inlineStr">
        <is>
          <t>LINKÖPING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49629-2025</t>
        </is>
      </c>
      <c r="B390" s="1" t="n">
        <v>45938</v>
      </c>
      <c r="C390" s="1" t="n">
        <v>46160</v>
      </c>
      <c r="D390" t="inlineStr">
        <is>
          <t>ÖSTERGÖTLANDS LÄN</t>
        </is>
      </c>
      <c r="E390" t="inlineStr">
        <is>
          <t>LINKÖPING</t>
        </is>
      </c>
      <c r="F390" t="inlineStr">
        <is>
          <t>Övriga Aktiebolag</t>
        </is>
      </c>
      <c r="G390" t="n">
        <v>4.5</v>
      </c>
      <c r="H390" t="n">
        <v>0</v>
      </c>
      <c r="I390" t="n">
        <v>0</v>
      </c>
      <c r="J390" t="n">
        <v>0</v>
      </c>
      <c r="K390" t="n">
        <v>0</v>
      </c>
      <c r="L390" t="n">
        <v>0</v>
      </c>
      <c r="M390" t="n">
        <v>0</v>
      </c>
      <c r="N390" t="n">
        <v>0</v>
      </c>
      <c r="O390" t="n">
        <v>0</v>
      </c>
      <c r="P390" t="n">
        <v>0</v>
      </c>
      <c r="Q390" t="n">
        <v>0</v>
      </c>
      <c r="R390" s="2" t="inlineStr"/>
    </row>
    <row r="391" ht="15" customHeight="1">
      <c r="A391" t="inlineStr">
        <is>
          <t>A 49650-2025</t>
        </is>
      </c>
      <c r="B391" s="1" t="n">
        <v>45938</v>
      </c>
      <c r="C391" s="1" t="n">
        <v>46160</v>
      </c>
      <c r="D391" t="inlineStr">
        <is>
          <t>ÖSTERGÖTLANDS LÄN</t>
        </is>
      </c>
      <c r="E391" t="inlineStr">
        <is>
          <t>LINKÖPING</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35178-2025</t>
        </is>
      </c>
      <c r="B392" s="1" t="n">
        <v>45852.91939814815</v>
      </c>
      <c r="C392" s="1" t="n">
        <v>46160</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35174-2025</t>
        </is>
      </c>
      <c r="B393" s="1" t="n">
        <v>45852.90648148148</v>
      </c>
      <c r="C393" s="1" t="n">
        <v>46160</v>
      </c>
      <c r="D393" t="inlineStr">
        <is>
          <t>ÖSTERGÖTLANDS LÄN</t>
        </is>
      </c>
      <c r="E393" t="inlineStr">
        <is>
          <t>LINKÖPING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49632-2025</t>
        </is>
      </c>
      <c r="B394" s="1" t="n">
        <v>45938</v>
      </c>
      <c r="C394" s="1" t="n">
        <v>46160</v>
      </c>
      <c r="D394" t="inlineStr">
        <is>
          <t>ÖSTERGÖTLANDS LÄN</t>
        </is>
      </c>
      <c r="E394" t="inlineStr">
        <is>
          <t>LINKÖPING</t>
        </is>
      </c>
      <c r="F394" t="inlineStr">
        <is>
          <t>Övriga Aktiebolag</t>
        </is>
      </c>
      <c r="G394" t="n">
        <v>1.6</v>
      </c>
      <c r="H394" t="n">
        <v>0</v>
      </c>
      <c r="I394" t="n">
        <v>0</v>
      </c>
      <c r="J394" t="n">
        <v>0</v>
      </c>
      <c r="K394" t="n">
        <v>0</v>
      </c>
      <c r="L394" t="n">
        <v>0</v>
      </c>
      <c r="M394" t="n">
        <v>0</v>
      </c>
      <c r="N394" t="n">
        <v>0</v>
      </c>
      <c r="O394" t="n">
        <v>0</v>
      </c>
      <c r="P394" t="n">
        <v>0</v>
      </c>
      <c r="Q394" t="n">
        <v>0</v>
      </c>
      <c r="R394" s="2" t="inlineStr"/>
    </row>
    <row r="395" ht="15" customHeight="1">
      <c r="A395" t="inlineStr">
        <is>
          <t>A 49615-2025</t>
        </is>
      </c>
      <c r="B395" s="1" t="n">
        <v>45938</v>
      </c>
      <c r="C395" s="1" t="n">
        <v>46160</v>
      </c>
      <c r="D395" t="inlineStr">
        <is>
          <t>ÖSTERGÖTLANDS LÄN</t>
        </is>
      </c>
      <c r="E395" t="inlineStr">
        <is>
          <t>LINKÖPING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26007-2025</t>
        </is>
      </c>
      <c r="B396" s="1" t="n">
        <v>45804.67081018518</v>
      </c>
      <c r="C396" s="1" t="n">
        <v>46160</v>
      </c>
      <c r="D396" t="inlineStr">
        <is>
          <t>ÖSTERGÖTLANDS LÄN</t>
        </is>
      </c>
      <c r="E396" t="inlineStr">
        <is>
          <t>LINKÖPING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35179-2025</t>
        </is>
      </c>
      <c r="B397" s="1" t="n">
        <v>45852.93737268518</v>
      </c>
      <c r="C397" s="1" t="n">
        <v>46160</v>
      </c>
      <c r="D397" t="inlineStr">
        <is>
          <t>ÖSTERGÖTLANDS LÄN</t>
        </is>
      </c>
      <c r="E397" t="inlineStr">
        <is>
          <t>LINKÖPING</t>
        </is>
      </c>
      <c r="G397" t="n">
        <v>2.2</v>
      </c>
      <c r="H397" t="n">
        <v>0</v>
      </c>
      <c r="I397" t="n">
        <v>0</v>
      </c>
      <c r="J397" t="n">
        <v>0</v>
      </c>
      <c r="K397" t="n">
        <v>0</v>
      </c>
      <c r="L397" t="n">
        <v>0</v>
      </c>
      <c r="M397" t="n">
        <v>0</v>
      </c>
      <c r="N397" t="n">
        <v>0</v>
      </c>
      <c r="O397" t="n">
        <v>0</v>
      </c>
      <c r="P397" t="n">
        <v>0</v>
      </c>
      <c r="Q397" t="n">
        <v>0</v>
      </c>
      <c r="R397" s="2" t="inlineStr"/>
    </row>
    <row r="398" ht="15" customHeight="1">
      <c r="A398" t="inlineStr">
        <is>
          <t>A 35180-2025</t>
        </is>
      </c>
      <c r="B398" s="1" t="n">
        <v>45852.9413425926</v>
      </c>
      <c r="C398" s="1" t="n">
        <v>46160</v>
      </c>
      <c r="D398" t="inlineStr">
        <is>
          <t>ÖSTERGÖTLANDS LÄN</t>
        </is>
      </c>
      <c r="E398" t="inlineStr">
        <is>
          <t>LINKÖPING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11601-2023</t>
        </is>
      </c>
      <c r="B399" s="1" t="n">
        <v>44994</v>
      </c>
      <c r="C399" s="1" t="n">
        <v>46160</v>
      </c>
      <c r="D399" t="inlineStr">
        <is>
          <t>ÖSTERGÖTLANDS LÄN</t>
        </is>
      </c>
      <c r="E399" t="inlineStr">
        <is>
          <t>LINKÖPING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35747-2025</t>
        </is>
      </c>
      <c r="B400" s="1" t="n">
        <v>45860.56385416666</v>
      </c>
      <c r="C400" s="1" t="n">
        <v>46160</v>
      </c>
      <c r="D400" t="inlineStr">
        <is>
          <t>ÖSTERGÖTLANDS LÄN</t>
        </is>
      </c>
      <c r="E400" t="inlineStr">
        <is>
          <t>LINKÖPING</t>
        </is>
      </c>
      <c r="G400" t="n">
        <v>2.4</v>
      </c>
      <c r="H400" t="n">
        <v>0</v>
      </c>
      <c r="I400" t="n">
        <v>0</v>
      </c>
      <c r="J400" t="n">
        <v>0</v>
      </c>
      <c r="K400" t="n">
        <v>0</v>
      </c>
      <c r="L400" t="n">
        <v>0</v>
      </c>
      <c r="M400" t="n">
        <v>0</v>
      </c>
      <c r="N400" t="n">
        <v>0</v>
      </c>
      <c r="O400" t="n">
        <v>0</v>
      </c>
      <c r="P400" t="n">
        <v>0</v>
      </c>
      <c r="Q400" t="n">
        <v>0</v>
      </c>
      <c r="R400" s="2" t="inlineStr"/>
    </row>
    <row r="401" ht="15" customHeight="1">
      <c r="A401" t="inlineStr">
        <is>
          <t>A 35745-2025</t>
        </is>
      </c>
      <c r="B401" s="1" t="n">
        <v>45860.54739583333</v>
      </c>
      <c r="C401" s="1" t="n">
        <v>46160</v>
      </c>
      <c r="D401" t="inlineStr">
        <is>
          <t>ÖSTERGÖTLANDS LÄN</t>
        </is>
      </c>
      <c r="E401" t="inlineStr">
        <is>
          <t>LINKÖPING</t>
        </is>
      </c>
      <c r="G401" t="n">
        <v>4.4</v>
      </c>
      <c r="H401" t="n">
        <v>0</v>
      </c>
      <c r="I401" t="n">
        <v>0</v>
      </c>
      <c r="J401" t="n">
        <v>0</v>
      </c>
      <c r="K401" t="n">
        <v>0</v>
      </c>
      <c r="L401" t="n">
        <v>0</v>
      </c>
      <c r="M401" t="n">
        <v>0</v>
      </c>
      <c r="N401" t="n">
        <v>0</v>
      </c>
      <c r="O401" t="n">
        <v>0</v>
      </c>
      <c r="P401" t="n">
        <v>0</v>
      </c>
      <c r="Q401" t="n">
        <v>0</v>
      </c>
      <c r="R401" s="2" t="inlineStr"/>
    </row>
    <row r="402" ht="15" customHeight="1">
      <c r="A402" t="inlineStr">
        <is>
          <t>A 35757-2025</t>
        </is>
      </c>
      <c r="B402" s="1" t="n">
        <v>45860.59876157407</v>
      </c>
      <c r="C402" s="1" t="n">
        <v>46160</v>
      </c>
      <c r="D402" t="inlineStr">
        <is>
          <t>ÖSTERGÖTLANDS LÄN</t>
        </is>
      </c>
      <c r="E402" t="inlineStr">
        <is>
          <t>LINKÖPING</t>
        </is>
      </c>
      <c r="G402" t="n">
        <v>5.7</v>
      </c>
      <c r="H402" t="n">
        <v>0</v>
      </c>
      <c r="I402" t="n">
        <v>0</v>
      </c>
      <c r="J402" t="n">
        <v>0</v>
      </c>
      <c r="K402" t="n">
        <v>0</v>
      </c>
      <c r="L402" t="n">
        <v>0</v>
      </c>
      <c r="M402" t="n">
        <v>0</v>
      </c>
      <c r="N402" t="n">
        <v>0</v>
      </c>
      <c r="O402" t="n">
        <v>0</v>
      </c>
      <c r="P402" t="n">
        <v>0</v>
      </c>
      <c r="Q402" t="n">
        <v>0</v>
      </c>
      <c r="R402" s="2" t="inlineStr"/>
    </row>
    <row r="403" ht="15" customHeight="1">
      <c r="A403" t="inlineStr">
        <is>
          <t>A 40983-2025</t>
        </is>
      </c>
      <c r="B403" s="1" t="n">
        <v>45898</v>
      </c>
      <c r="C403" s="1" t="n">
        <v>46160</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35759-2025</t>
        </is>
      </c>
      <c r="B404" s="1" t="n">
        <v>45860</v>
      </c>
      <c r="C404" s="1" t="n">
        <v>46160</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1260-2023</t>
        </is>
      </c>
      <c r="B405" s="1" t="n">
        <v>44936</v>
      </c>
      <c r="C405" s="1" t="n">
        <v>46160</v>
      </c>
      <c r="D405" t="inlineStr">
        <is>
          <t>ÖSTERGÖTLANDS LÄN</t>
        </is>
      </c>
      <c r="E405" t="inlineStr">
        <is>
          <t>LINKÖPING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7702-2023</t>
        </is>
      </c>
      <c r="B406" s="1" t="n">
        <v>44967</v>
      </c>
      <c r="C406" s="1" t="n">
        <v>46160</v>
      </c>
      <c r="D406" t="inlineStr">
        <is>
          <t>ÖSTERGÖTLANDS LÄN</t>
        </is>
      </c>
      <c r="E406" t="inlineStr">
        <is>
          <t>LINKÖPING</t>
        </is>
      </c>
      <c r="F406" t="inlineStr">
        <is>
          <t>Övriga statliga verk och myndigheter</t>
        </is>
      </c>
      <c r="G406" t="n">
        <v>8</v>
      </c>
      <c r="H406" t="n">
        <v>0</v>
      </c>
      <c r="I406" t="n">
        <v>0</v>
      </c>
      <c r="J406" t="n">
        <v>0</v>
      </c>
      <c r="K406" t="n">
        <v>0</v>
      </c>
      <c r="L406" t="n">
        <v>0</v>
      </c>
      <c r="M406" t="n">
        <v>0</v>
      </c>
      <c r="N406" t="n">
        <v>0</v>
      </c>
      <c r="O406" t="n">
        <v>0</v>
      </c>
      <c r="P406" t="n">
        <v>0</v>
      </c>
      <c r="Q406" t="n">
        <v>0</v>
      </c>
      <c r="R406" s="2" t="inlineStr"/>
    </row>
    <row r="407" ht="15" customHeight="1">
      <c r="A407" t="inlineStr">
        <is>
          <t>A 674-2024</t>
        </is>
      </c>
      <c r="B407" s="1" t="n">
        <v>45300.34408564815</v>
      </c>
      <c r="C407" s="1" t="n">
        <v>46160</v>
      </c>
      <c r="D407" t="inlineStr">
        <is>
          <t>ÖSTERGÖTLANDS LÄN</t>
        </is>
      </c>
      <c r="E407" t="inlineStr">
        <is>
          <t>LINKÖPING</t>
        </is>
      </c>
      <c r="F407" t="inlineStr">
        <is>
          <t>Sveaskog</t>
        </is>
      </c>
      <c r="G407" t="n">
        <v>2.9</v>
      </c>
      <c r="H407" t="n">
        <v>0</v>
      </c>
      <c r="I407" t="n">
        <v>0</v>
      </c>
      <c r="J407" t="n">
        <v>0</v>
      </c>
      <c r="K407" t="n">
        <v>0</v>
      </c>
      <c r="L407" t="n">
        <v>0</v>
      </c>
      <c r="M407" t="n">
        <v>0</v>
      </c>
      <c r="N407" t="n">
        <v>0</v>
      </c>
      <c r="O407" t="n">
        <v>0</v>
      </c>
      <c r="P407" t="n">
        <v>0</v>
      </c>
      <c r="Q407" t="n">
        <v>0</v>
      </c>
      <c r="R407" s="2" t="inlineStr"/>
    </row>
    <row r="408" ht="15" customHeight="1">
      <c r="A408" t="inlineStr">
        <is>
          <t>A 63684-2023</t>
        </is>
      </c>
      <c r="B408" s="1" t="n">
        <v>45275</v>
      </c>
      <c r="C408" s="1" t="n">
        <v>46160</v>
      </c>
      <c r="D408" t="inlineStr">
        <is>
          <t>ÖSTERGÖTLANDS LÄN</t>
        </is>
      </c>
      <c r="E408" t="inlineStr">
        <is>
          <t>LINKÖPING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167-2024</t>
        </is>
      </c>
      <c r="B409" s="1" t="n">
        <v>45294</v>
      </c>
      <c r="C409" s="1" t="n">
        <v>46160</v>
      </c>
      <c r="D409" t="inlineStr">
        <is>
          <t>ÖSTERGÖTLANDS LÄN</t>
        </is>
      </c>
      <c r="E409" t="inlineStr">
        <is>
          <t>LINKÖPING</t>
        </is>
      </c>
      <c r="F409" t="inlineStr">
        <is>
          <t>Allmännings- och besparingsskogar</t>
        </is>
      </c>
      <c r="G409" t="n">
        <v>11.6</v>
      </c>
      <c r="H409" t="n">
        <v>0</v>
      </c>
      <c r="I409" t="n">
        <v>0</v>
      </c>
      <c r="J409" t="n">
        <v>0</v>
      </c>
      <c r="K409" t="n">
        <v>0</v>
      </c>
      <c r="L409" t="n">
        <v>0</v>
      </c>
      <c r="M409" t="n">
        <v>0</v>
      </c>
      <c r="N409" t="n">
        <v>0</v>
      </c>
      <c r="O409" t="n">
        <v>0</v>
      </c>
      <c r="P409" t="n">
        <v>0</v>
      </c>
      <c r="Q409" t="n">
        <v>0</v>
      </c>
      <c r="R409" s="2" t="inlineStr"/>
    </row>
    <row r="410" ht="15" customHeight="1">
      <c r="A410" t="inlineStr">
        <is>
          <t>A 50056-2025</t>
        </is>
      </c>
      <c r="B410" s="1" t="n">
        <v>45941</v>
      </c>
      <c r="C410" s="1" t="n">
        <v>46160</v>
      </c>
      <c r="D410" t="inlineStr">
        <is>
          <t>ÖSTERGÖTLANDS LÄN</t>
        </is>
      </c>
      <c r="E410" t="inlineStr">
        <is>
          <t>LINKÖPING</t>
        </is>
      </c>
      <c r="G410" t="n">
        <v>0.3</v>
      </c>
      <c r="H410" t="n">
        <v>0</v>
      </c>
      <c r="I410" t="n">
        <v>0</v>
      </c>
      <c r="J410" t="n">
        <v>0</v>
      </c>
      <c r="K410" t="n">
        <v>0</v>
      </c>
      <c r="L410" t="n">
        <v>0</v>
      </c>
      <c r="M410" t="n">
        <v>0</v>
      </c>
      <c r="N410" t="n">
        <v>0</v>
      </c>
      <c r="O410" t="n">
        <v>0</v>
      </c>
      <c r="P410" t="n">
        <v>0</v>
      </c>
      <c r="Q410" t="n">
        <v>0</v>
      </c>
      <c r="R410" s="2" t="inlineStr"/>
    </row>
    <row r="411" ht="15" customHeight="1">
      <c r="A411" t="inlineStr">
        <is>
          <t>A 36725-2023</t>
        </is>
      </c>
      <c r="B411" s="1" t="n">
        <v>45153.68471064815</v>
      </c>
      <c r="C411" s="1" t="n">
        <v>46160</v>
      </c>
      <c r="D411" t="inlineStr">
        <is>
          <t>ÖSTERGÖTLANDS LÄN</t>
        </is>
      </c>
      <c r="E411" t="inlineStr">
        <is>
          <t>LINKÖPING</t>
        </is>
      </c>
      <c r="F411" t="inlineStr">
        <is>
          <t>Allmännings- och besparingsskogar</t>
        </is>
      </c>
      <c r="G411" t="n">
        <v>2.6</v>
      </c>
      <c r="H411" t="n">
        <v>0</v>
      </c>
      <c r="I411" t="n">
        <v>0</v>
      </c>
      <c r="J411" t="n">
        <v>0</v>
      </c>
      <c r="K411" t="n">
        <v>0</v>
      </c>
      <c r="L411" t="n">
        <v>0</v>
      </c>
      <c r="M411" t="n">
        <v>0</v>
      </c>
      <c r="N411" t="n">
        <v>0</v>
      </c>
      <c r="O411" t="n">
        <v>0</v>
      </c>
      <c r="P411" t="n">
        <v>0</v>
      </c>
      <c r="Q411" t="n">
        <v>0</v>
      </c>
      <c r="R411" s="2" t="inlineStr"/>
    </row>
    <row r="412" ht="15" customHeight="1">
      <c r="A412" t="inlineStr">
        <is>
          <t>A 27343-2023</t>
        </is>
      </c>
      <c r="B412" s="1" t="n">
        <v>45096</v>
      </c>
      <c r="C412" s="1" t="n">
        <v>46160</v>
      </c>
      <c r="D412" t="inlineStr">
        <is>
          <t>ÖSTERGÖTLANDS LÄN</t>
        </is>
      </c>
      <c r="E412" t="inlineStr">
        <is>
          <t>LINKÖPING</t>
        </is>
      </c>
      <c r="F412" t="inlineStr">
        <is>
          <t>Allmännings- och besparingsskogar</t>
        </is>
      </c>
      <c r="G412" t="n">
        <v>6.9</v>
      </c>
      <c r="H412" t="n">
        <v>0</v>
      </c>
      <c r="I412" t="n">
        <v>0</v>
      </c>
      <c r="J412" t="n">
        <v>0</v>
      </c>
      <c r="K412" t="n">
        <v>0</v>
      </c>
      <c r="L412" t="n">
        <v>0</v>
      </c>
      <c r="M412" t="n">
        <v>0</v>
      </c>
      <c r="N412" t="n">
        <v>0</v>
      </c>
      <c r="O412" t="n">
        <v>0</v>
      </c>
      <c r="P412" t="n">
        <v>0</v>
      </c>
      <c r="Q412" t="n">
        <v>0</v>
      </c>
      <c r="R412" s="2" t="inlineStr"/>
    </row>
    <row r="413" ht="15" customHeight="1">
      <c r="A413" t="inlineStr">
        <is>
          <t>A 50667-2025</t>
        </is>
      </c>
      <c r="B413" s="1" t="n">
        <v>45945</v>
      </c>
      <c r="C413" s="1" t="n">
        <v>46160</v>
      </c>
      <c r="D413" t="inlineStr">
        <is>
          <t>ÖSTERGÖTLANDS LÄN</t>
        </is>
      </c>
      <c r="E413" t="inlineStr">
        <is>
          <t>LINKÖPING</t>
        </is>
      </c>
      <c r="G413" t="n">
        <v>3.3</v>
      </c>
      <c r="H413" t="n">
        <v>0</v>
      </c>
      <c r="I413" t="n">
        <v>0</v>
      </c>
      <c r="J413" t="n">
        <v>0</v>
      </c>
      <c r="K413" t="n">
        <v>0</v>
      </c>
      <c r="L413" t="n">
        <v>0</v>
      </c>
      <c r="M413" t="n">
        <v>0</v>
      </c>
      <c r="N413" t="n">
        <v>0</v>
      </c>
      <c r="O413" t="n">
        <v>0</v>
      </c>
      <c r="P413" t="n">
        <v>0</v>
      </c>
      <c r="Q413" t="n">
        <v>0</v>
      </c>
      <c r="R413" s="2" t="inlineStr"/>
    </row>
    <row r="414" ht="15" customHeight="1">
      <c r="A414" t="inlineStr">
        <is>
          <t>A 22774-2024</t>
        </is>
      </c>
      <c r="B414" s="1" t="n">
        <v>45448.46924768519</v>
      </c>
      <c r="C414" s="1" t="n">
        <v>46160</v>
      </c>
      <c r="D414" t="inlineStr">
        <is>
          <t>ÖSTERGÖTLANDS LÄN</t>
        </is>
      </c>
      <c r="E414" t="inlineStr">
        <is>
          <t>LINKÖPING</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22778-2024</t>
        </is>
      </c>
      <c r="B415" s="1" t="n">
        <v>45448.47233796296</v>
      </c>
      <c r="C415" s="1" t="n">
        <v>46160</v>
      </c>
      <c r="D415" t="inlineStr">
        <is>
          <t>ÖSTERGÖTLANDS LÄN</t>
        </is>
      </c>
      <c r="E415" t="inlineStr">
        <is>
          <t>LINKÖPING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34864-2023</t>
        </is>
      </c>
      <c r="B416" s="1" t="n">
        <v>45141</v>
      </c>
      <c r="C416" s="1" t="n">
        <v>46160</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52531-2023</t>
        </is>
      </c>
      <c r="B417" s="1" t="n">
        <v>45225</v>
      </c>
      <c r="C417" s="1" t="n">
        <v>46160</v>
      </c>
      <c r="D417" t="inlineStr">
        <is>
          <t>ÖSTERGÖTLANDS LÄN</t>
        </is>
      </c>
      <c r="E417" t="inlineStr">
        <is>
          <t>LINKÖPING</t>
        </is>
      </c>
      <c r="F417" t="inlineStr">
        <is>
          <t>Övriga Aktiebolag</t>
        </is>
      </c>
      <c r="G417" t="n">
        <v>1</v>
      </c>
      <c r="H417" t="n">
        <v>0</v>
      </c>
      <c r="I417" t="n">
        <v>0</v>
      </c>
      <c r="J417" t="n">
        <v>0</v>
      </c>
      <c r="K417" t="n">
        <v>0</v>
      </c>
      <c r="L417" t="n">
        <v>0</v>
      </c>
      <c r="M417" t="n">
        <v>0</v>
      </c>
      <c r="N417" t="n">
        <v>0</v>
      </c>
      <c r="O417" t="n">
        <v>0</v>
      </c>
      <c r="P417" t="n">
        <v>0</v>
      </c>
      <c r="Q417" t="n">
        <v>0</v>
      </c>
      <c r="R417" s="2" t="inlineStr"/>
    </row>
    <row r="418" ht="15" customHeight="1">
      <c r="A418" t="inlineStr">
        <is>
          <t>A 34930-2023</t>
        </is>
      </c>
      <c r="B418" s="1" t="n">
        <v>45142</v>
      </c>
      <c r="C418" s="1" t="n">
        <v>46160</v>
      </c>
      <c r="D418" t="inlineStr">
        <is>
          <t>ÖSTERGÖTLANDS LÄN</t>
        </is>
      </c>
      <c r="E418" t="inlineStr">
        <is>
          <t>LINKÖPING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30985-2022</t>
        </is>
      </c>
      <c r="B419" s="1" t="n">
        <v>44768</v>
      </c>
      <c r="C419" s="1" t="n">
        <v>46160</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51802-2025</t>
        </is>
      </c>
      <c r="B420" s="1" t="n">
        <v>45950</v>
      </c>
      <c r="C420" s="1" t="n">
        <v>46160</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52111-2025</t>
        </is>
      </c>
      <c r="B421" s="1" t="n">
        <v>45952.69527777778</v>
      </c>
      <c r="C421" s="1" t="n">
        <v>46160</v>
      </c>
      <c r="D421" t="inlineStr">
        <is>
          <t>ÖSTERGÖTLANDS LÄN</t>
        </is>
      </c>
      <c r="E421" t="inlineStr">
        <is>
          <t>LINKÖPING</t>
        </is>
      </c>
      <c r="G421" t="n">
        <v>1.3</v>
      </c>
      <c r="H421" t="n">
        <v>0</v>
      </c>
      <c r="I421" t="n">
        <v>0</v>
      </c>
      <c r="J421" t="n">
        <v>0</v>
      </c>
      <c r="K421" t="n">
        <v>0</v>
      </c>
      <c r="L421" t="n">
        <v>0</v>
      </c>
      <c r="M421" t="n">
        <v>0</v>
      </c>
      <c r="N421" t="n">
        <v>0</v>
      </c>
      <c r="O421" t="n">
        <v>0</v>
      </c>
      <c r="P421" t="n">
        <v>0</v>
      </c>
      <c r="Q421" t="n">
        <v>0</v>
      </c>
      <c r="R421" s="2" t="inlineStr"/>
    </row>
    <row r="422" ht="15" customHeight="1">
      <c r="A422" t="inlineStr">
        <is>
          <t>A 59642-2024</t>
        </is>
      </c>
      <c r="B422" s="1" t="n">
        <v>45639.31511574074</v>
      </c>
      <c r="C422" s="1" t="n">
        <v>46160</v>
      </c>
      <c r="D422" t="inlineStr">
        <is>
          <t>ÖSTERGÖTLANDS LÄN</t>
        </is>
      </c>
      <c r="E422" t="inlineStr">
        <is>
          <t>LINKÖPING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15748-2025</t>
        </is>
      </c>
      <c r="B423" s="1" t="n">
        <v>45748.55282407408</v>
      </c>
      <c r="C423" s="1" t="n">
        <v>46160</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31792-2021</t>
        </is>
      </c>
      <c r="B424" s="1" t="n">
        <v>44369</v>
      </c>
      <c r="C424" s="1" t="n">
        <v>46160</v>
      </c>
      <c r="D424" t="inlineStr">
        <is>
          <t>ÖSTERGÖTLANDS LÄN</t>
        </is>
      </c>
      <c r="E424" t="inlineStr">
        <is>
          <t>LINKÖPING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25097-2023</t>
        </is>
      </c>
      <c r="B425" s="1" t="n">
        <v>45086</v>
      </c>
      <c r="C425" s="1" t="n">
        <v>46160</v>
      </c>
      <c r="D425" t="inlineStr">
        <is>
          <t>ÖSTERGÖTLANDS LÄN</t>
        </is>
      </c>
      <c r="E425" t="inlineStr">
        <is>
          <t>LINKÖPING</t>
        </is>
      </c>
      <c r="G425" t="n">
        <v>1.4</v>
      </c>
      <c r="H425" t="n">
        <v>0</v>
      </c>
      <c r="I425" t="n">
        <v>0</v>
      </c>
      <c r="J425" t="n">
        <v>0</v>
      </c>
      <c r="K425" t="n">
        <v>0</v>
      </c>
      <c r="L425" t="n">
        <v>0</v>
      </c>
      <c r="M425" t="n">
        <v>0</v>
      </c>
      <c r="N425" t="n">
        <v>0</v>
      </c>
      <c r="O425" t="n">
        <v>0</v>
      </c>
      <c r="P425" t="n">
        <v>0</v>
      </c>
      <c r="Q425" t="n">
        <v>0</v>
      </c>
      <c r="R425" s="2" t="inlineStr"/>
    </row>
    <row r="426" ht="15" customHeight="1">
      <c r="A426" t="inlineStr">
        <is>
          <t>A 35735-2023</t>
        </is>
      </c>
      <c r="B426" s="1" t="n">
        <v>45147</v>
      </c>
      <c r="C426" s="1" t="n">
        <v>46160</v>
      </c>
      <c r="D426" t="inlineStr">
        <is>
          <t>ÖSTERGÖTLANDS LÄN</t>
        </is>
      </c>
      <c r="E426" t="inlineStr">
        <is>
          <t>LINKÖPING</t>
        </is>
      </c>
      <c r="G426" t="n">
        <v>2.8</v>
      </c>
      <c r="H426" t="n">
        <v>0</v>
      </c>
      <c r="I426" t="n">
        <v>0</v>
      </c>
      <c r="J426" t="n">
        <v>0</v>
      </c>
      <c r="K426" t="n">
        <v>0</v>
      </c>
      <c r="L426" t="n">
        <v>0</v>
      </c>
      <c r="M426" t="n">
        <v>0</v>
      </c>
      <c r="N426" t="n">
        <v>0</v>
      </c>
      <c r="O426" t="n">
        <v>0</v>
      </c>
      <c r="P426" t="n">
        <v>0</v>
      </c>
      <c r="Q426" t="n">
        <v>0</v>
      </c>
      <c r="R426" s="2" t="inlineStr"/>
    </row>
    <row r="427" ht="15" customHeight="1">
      <c r="A427" t="inlineStr">
        <is>
          <t>A 25776-2021</t>
        </is>
      </c>
      <c r="B427" s="1" t="n">
        <v>44343</v>
      </c>
      <c r="C427" s="1" t="n">
        <v>46160</v>
      </c>
      <c r="D427" t="inlineStr">
        <is>
          <t>ÖSTERGÖTLANDS LÄN</t>
        </is>
      </c>
      <c r="E427" t="inlineStr">
        <is>
          <t>LINKÖPING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30856-2022</t>
        </is>
      </c>
      <c r="B428" s="1" t="n">
        <v>44767</v>
      </c>
      <c r="C428" s="1" t="n">
        <v>46160</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37057-2025</t>
        </is>
      </c>
      <c r="B429" s="1" t="n">
        <v>45875.37489583333</v>
      </c>
      <c r="C429" s="1" t="n">
        <v>46160</v>
      </c>
      <c r="D429" t="inlineStr">
        <is>
          <t>ÖSTERGÖTLANDS LÄN</t>
        </is>
      </c>
      <c r="E429" t="inlineStr">
        <is>
          <t>LINKÖPING</t>
        </is>
      </c>
      <c r="G429" t="n">
        <v>3.3</v>
      </c>
      <c r="H429" t="n">
        <v>0</v>
      </c>
      <c r="I429" t="n">
        <v>0</v>
      </c>
      <c r="J429" t="n">
        <v>0</v>
      </c>
      <c r="K429" t="n">
        <v>0</v>
      </c>
      <c r="L429" t="n">
        <v>0</v>
      </c>
      <c r="M429" t="n">
        <v>0</v>
      </c>
      <c r="N429" t="n">
        <v>0</v>
      </c>
      <c r="O429" t="n">
        <v>0</v>
      </c>
      <c r="P429" t="n">
        <v>0</v>
      </c>
      <c r="Q429" t="n">
        <v>0</v>
      </c>
      <c r="R429" s="2" t="inlineStr"/>
    </row>
    <row r="430" ht="15" customHeight="1">
      <c r="A430" t="inlineStr">
        <is>
          <t>A 52800-2025</t>
        </is>
      </c>
      <c r="B430" s="1" t="n">
        <v>45957.44152777778</v>
      </c>
      <c r="C430" s="1" t="n">
        <v>46160</v>
      </c>
      <c r="D430" t="inlineStr">
        <is>
          <t>ÖSTERGÖTLANDS LÄN</t>
        </is>
      </c>
      <c r="E430" t="inlineStr">
        <is>
          <t>LINKÖPING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52802-2025</t>
        </is>
      </c>
      <c r="B431" s="1" t="n">
        <v>45957.44295138889</v>
      </c>
      <c r="C431" s="1" t="n">
        <v>46160</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7133-2026</t>
        </is>
      </c>
      <c r="B432" s="1" t="n">
        <v>46057</v>
      </c>
      <c r="C432" s="1" t="n">
        <v>46160</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39219-2021</t>
        </is>
      </c>
      <c r="B433" s="1" t="n">
        <v>44413</v>
      </c>
      <c r="C433" s="1" t="n">
        <v>46160</v>
      </c>
      <c r="D433" t="inlineStr">
        <is>
          <t>ÖSTERGÖTLANDS LÄN</t>
        </is>
      </c>
      <c r="E433" t="inlineStr">
        <is>
          <t>LINKÖPING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39224-2021</t>
        </is>
      </c>
      <c r="B434" s="1" t="n">
        <v>44413</v>
      </c>
      <c r="C434" s="1" t="n">
        <v>46160</v>
      </c>
      <c r="D434" t="inlineStr">
        <is>
          <t>ÖSTERGÖTLANDS LÄN</t>
        </is>
      </c>
      <c r="E434" t="inlineStr">
        <is>
          <t>LINKÖPING</t>
        </is>
      </c>
      <c r="G434" t="n">
        <v>2.1</v>
      </c>
      <c r="H434" t="n">
        <v>0</v>
      </c>
      <c r="I434" t="n">
        <v>0</v>
      </c>
      <c r="J434" t="n">
        <v>0</v>
      </c>
      <c r="K434" t="n">
        <v>0</v>
      </c>
      <c r="L434" t="n">
        <v>0</v>
      </c>
      <c r="M434" t="n">
        <v>0</v>
      </c>
      <c r="N434" t="n">
        <v>0</v>
      </c>
      <c r="O434" t="n">
        <v>0</v>
      </c>
      <c r="P434" t="n">
        <v>0</v>
      </c>
      <c r="Q434" t="n">
        <v>0</v>
      </c>
      <c r="R434" s="2" t="inlineStr"/>
    </row>
    <row r="435" ht="15" customHeight="1">
      <c r="A435" t="inlineStr">
        <is>
          <t>A 52740-2025</t>
        </is>
      </c>
      <c r="B435" s="1" t="n">
        <v>45957.37747685185</v>
      </c>
      <c r="C435" s="1" t="n">
        <v>46160</v>
      </c>
      <c r="D435" t="inlineStr">
        <is>
          <t>ÖSTERGÖTLANDS LÄN</t>
        </is>
      </c>
      <c r="E435" t="inlineStr">
        <is>
          <t>LINKÖPING</t>
        </is>
      </c>
      <c r="G435" t="n">
        <v>3.7</v>
      </c>
      <c r="H435" t="n">
        <v>0</v>
      </c>
      <c r="I435" t="n">
        <v>0</v>
      </c>
      <c r="J435" t="n">
        <v>0</v>
      </c>
      <c r="K435" t="n">
        <v>0</v>
      </c>
      <c r="L435" t="n">
        <v>0</v>
      </c>
      <c r="M435" t="n">
        <v>0</v>
      </c>
      <c r="N435" t="n">
        <v>0</v>
      </c>
      <c r="O435" t="n">
        <v>0</v>
      </c>
      <c r="P435" t="n">
        <v>0</v>
      </c>
      <c r="Q435" t="n">
        <v>0</v>
      </c>
      <c r="R435" s="2" t="inlineStr"/>
    </row>
    <row r="436" ht="15" customHeight="1">
      <c r="A436" t="inlineStr">
        <is>
          <t>A 52743-2025</t>
        </is>
      </c>
      <c r="B436" s="1" t="n">
        <v>45957.38039351852</v>
      </c>
      <c r="C436" s="1" t="n">
        <v>46160</v>
      </c>
      <c r="D436" t="inlineStr">
        <is>
          <t>ÖSTERGÖTLANDS LÄN</t>
        </is>
      </c>
      <c r="E436" t="inlineStr">
        <is>
          <t>LINKÖPING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52807-2025</t>
        </is>
      </c>
      <c r="B437" s="1" t="n">
        <v>45957.44837962963</v>
      </c>
      <c r="C437" s="1" t="n">
        <v>46160</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43934-2023</t>
        </is>
      </c>
      <c r="B438" s="1" t="n">
        <v>45187</v>
      </c>
      <c r="C438" s="1" t="n">
        <v>46160</v>
      </c>
      <c r="D438" t="inlineStr">
        <is>
          <t>ÖSTERGÖTLANDS LÄN</t>
        </is>
      </c>
      <c r="E438" t="inlineStr">
        <is>
          <t>LINKÖPING</t>
        </is>
      </c>
      <c r="F438" t="inlineStr">
        <is>
          <t>Övriga Aktiebolag</t>
        </is>
      </c>
      <c r="G438" t="n">
        <v>3.8</v>
      </c>
      <c r="H438" t="n">
        <v>0</v>
      </c>
      <c r="I438" t="n">
        <v>0</v>
      </c>
      <c r="J438" t="n">
        <v>0</v>
      </c>
      <c r="K438" t="n">
        <v>0</v>
      </c>
      <c r="L438" t="n">
        <v>0</v>
      </c>
      <c r="M438" t="n">
        <v>0</v>
      </c>
      <c r="N438" t="n">
        <v>0</v>
      </c>
      <c r="O438" t="n">
        <v>0</v>
      </c>
      <c r="P438" t="n">
        <v>0</v>
      </c>
      <c r="Q438" t="n">
        <v>0</v>
      </c>
      <c r="R438" s="2" t="inlineStr"/>
    </row>
    <row r="439" ht="15" customHeight="1">
      <c r="A439" t="inlineStr">
        <is>
          <t>A 25829-2025</t>
        </is>
      </c>
      <c r="B439" s="1" t="n">
        <v>45804.44505787037</v>
      </c>
      <c r="C439" s="1" t="n">
        <v>46160</v>
      </c>
      <c r="D439" t="inlineStr">
        <is>
          <t>ÖSTERGÖTLANDS LÄN</t>
        </is>
      </c>
      <c r="E439" t="inlineStr">
        <is>
          <t>LINKÖPING</t>
        </is>
      </c>
      <c r="G439" t="n">
        <v>1</v>
      </c>
      <c r="H439" t="n">
        <v>0</v>
      </c>
      <c r="I439" t="n">
        <v>0</v>
      </c>
      <c r="J439" t="n">
        <v>0</v>
      </c>
      <c r="K439" t="n">
        <v>0</v>
      </c>
      <c r="L439" t="n">
        <v>0</v>
      </c>
      <c r="M439" t="n">
        <v>0</v>
      </c>
      <c r="N439" t="n">
        <v>0</v>
      </c>
      <c r="O439" t="n">
        <v>0</v>
      </c>
      <c r="P439" t="n">
        <v>0</v>
      </c>
      <c r="Q439" t="n">
        <v>0</v>
      </c>
      <c r="R439" s="2" t="inlineStr"/>
    </row>
    <row r="440" ht="15" customHeight="1">
      <c r="A440" t="inlineStr">
        <is>
          <t>A 7354-2025</t>
        </is>
      </c>
      <c r="B440" s="1" t="n">
        <v>45704.41174768518</v>
      </c>
      <c r="C440" s="1" t="n">
        <v>46160</v>
      </c>
      <c r="D440" t="inlineStr">
        <is>
          <t>ÖSTERGÖTLANDS LÄN</t>
        </is>
      </c>
      <c r="E440" t="inlineStr">
        <is>
          <t>LINKÖPING</t>
        </is>
      </c>
      <c r="G440" t="n">
        <v>4.8</v>
      </c>
      <c r="H440" t="n">
        <v>0</v>
      </c>
      <c r="I440" t="n">
        <v>0</v>
      </c>
      <c r="J440" t="n">
        <v>0</v>
      </c>
      <c r="K440" t="n">
        <v>0</v>
      </c>
      <c r="L440" t="n">
        <v>0</v>
      </c>
      <c r="M440" t="n">
        <v>0</v>
      </c>
      <c r="N440" t="n">
        <v>0</v>
      </c>
      <c r="O440" t="n">
        <v>0</v>
      </c>
      <c r="P440" t="n">
        <v>0</v>
      </c>
      <c r="Q440" t="n">
        <v>0</v>
      </c>
      <c r="R440" s="2" t="inlineStr"/>
    </row>
    <row r="441" ht="15" customHeight="1">
      <c r="A441" t="inlineStr">
        <is>
          <t>A 63935-2021</t>
        </is>
      </c>
      <c r="B441" s="1" t="n">
        <v>44509</v>
      </c>
      <c r="C441" s="1" t="n">
        <v>46160</v>
      </c>
      <c r="D441" t="inlineStr">
        <is>
          <t>ÖSTERGÖTLANDS LÄN</t>
        </is>
      </c>
      <c r="E441" t="inlineStr">
        <is>
          <t>LINKÖPING</t>
        </is>
      </c>
      <c r="F441" t="inlineStr">
        <is>
          <t>Övriga statliga verk och myndigheter</t>
        </is>
      </c>
      <c r="G441" t="n">
        <v>2.8</v>
      </c>
      <c r="H441" t="n">
        <v>0</v>
      </c>
      <c r="I441" t="n">
        <v>0</v>
      </c>
      <c r="J441" t="n">
        <v>0</v>
      </c>
      <c r="K441" t="n">
        <v>0</v>
      </c>
      <c r="L441" t="n">
        <v>0</v>
      </c>
      <c r="M441" t="n">
        <v>0</v>
      </c>
      <c r="N441" t="n">
        <v>0</v>
      </c>
      <c r="O441" t="n">
        <v>0</v>
      </c>
      <c r="P441" t="n">
        <v>0</v>
      </c>
      <c r="Q441" t="n">
        <v>0</v>
      </c>
      <c r="R441" s="2" t="inlineStr"/>
    </row>
    <row r="442" ht="15" customHeight="1">
      <c r="A442" t="inlineStr">
        <is>
          <t>A 54333-2025</t>
        </is>
      </c>
      <c r="B442" s="1" t="n">
        <v>45965.35090277778</v>
      </c>
      <c r="C442" s="1" t="n">
        <v>46160</v>
      </c>
      <c r="D442" t="inlineStr">
        <is>
          <t>ÖSTERGÖTLANDS LÄN</t>
        </is>
      </c>
      <c r="E442" t="inlineStr">
        <is>
          <t>LINKÖPING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40810-2022</t>
        </is>
      </c>
      <c r="B443" s="1" t="n">
        <v>44824</v>
      </c>
      <c r="C443" s="1" t="n">
        <v>46160</v>
      </c>
      <c r="D443" t="inlineStr">
        <is>
          <t>ÖSTERGÖTLANDS LÄN</t>
        </is>
      </c>
      <c r="E443" t="inlineStr">
        <is>
          <t>LINKÖPING</t>
        </is>
      </c>
      <c r="G443" t="n">
        <v>2.8</v>
      </c>
      <c r="H443" t="n">
        <v>0</v>
      </c>
      <c r="I443" t="n">
        <v>0</v>
      </c>
      <c r="J443" t="n">
        <v>0</v>
      </c>
      <c r="K443" t="n">
        <v>0</v>
      </c>
      <c r="L443" t="n">
        <v>0</v>
      </c>
      <c r="M443" t="n">
        <v>0</v>
      </c>
      <c r="N443" t="n">
        <v>0</v>
      </c>
      <c r="O443" t="n">
        <v>0</v>
      </c>
      <c r="P443" t="n">
        <v>0</v>
      </c>
      <c r="Q443" t="n">
        <v>0</v>
      </c>
      <c r="R443" s="2" t="inlineStr"/>
    </row>
    <row r="444" ht="15" customHeight="1">
      <c r="A444" t="inlineStr">
        <is>
          <t>A 54332-2025</t>
        </is>
      </c>
      <c r="B444" s="1" t="n">
        <v>45965.34915509259</v>
      </c>
      <c r="C444" s="1" t="n">
        <v>46160</v>
      </c>
      <c r="D444" t="inlineStr">
        <is>
          <t>ÖSTERGÖTLANDS LÄN</t>
        </is>
      </c>
      <c r="E444" t="inlineStr">
        <is>
          <t>LINKÖPING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54329-2025</t>
        </is>
      </c>
      <c r="B445" s="1" t="n">
        <v>45965.34706018519</v>
      </c>
      <c r="C445" s="1" t="n">
        <v>46160</v>
      </c>
      <c r="D445" t="inlineStr">
        <is>
          <t>ÖSTERGÖTLANDS LÄN</t>
        </is>
      </c>
      <c r="E445" t="inlineStr">
        <is>
          <t>LINKÖPING</t>
        </is>
      </c>
      <c r="F445" t="inlineStr">
        <is>
          <t>Sveaskog</t>
        </is>
      </c>
      <c r="G445" t="n">
        <v>5.1</v>
      </c>
      <c r="H445" t="n">
        <v>0</v>
      </c>
      <c r="I445" t="n">
        <v>0</v>
      </c>
      <c r="J445" t="n">
        <v>0</v>
      </c>
      <c r="K445" t="n">
        <v>0</v>
      </c>
      <c r="L445" t="n">
        <v>0</v>
      </c>
      <c r="M445" t="n">
        <v>0</v>
      </c>
      <c r="N445" t="n">
        <v>0</v>
      </c>
      <c r="O445" t="n">
        <v>0</v>
      </c>
      <c r="P445" t="n">
        <v>0</v>
      </c>
      <c r="Q445" t="n">
        <v>0</v>
      </c>
      <c r="R445" s="2" t="inlineStr"/>
    </row>
    <row r="446" ht="15" customHeight="1">
      <c r="A446" t="inlineStr">
        <is>
          <t>A 20298-2025</t>
        </is>
      </c>
      <c r="B446" s="1" t="n">
        <v>45774.75024305555</v>
      </c>
      <c r="C446" s="1" t="n">
        <v>46160</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38046-2025</t>
        </is>
      </c>
      <c r="B447" s="1" t="n">
        <v>45882.39939814815</v>
      </c>
      <c r="C447" s="1" t="n">
        <v>46160</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55109-2025</t>
        </is>
      </c>
      <c r="B448" s="1" t="n">
        <v>45968.37731481482</v>
      </c>
      <c r="C448" s="1" t="n">
        <v>46160</v>
      </c>
      <c r="D448" t="inlineStr">
        <is>
          <t>ÖSTERGÖTLANDS LÄN</t>
        </is>
      </c>
      <c r="E448" t="inlineStr">
        <is>
          <t>LINKÖPING</t>
        </is>
      </c>
      <c r="G448" t="n">
        <v>3.2</v>
      </c>
      <c r="H448" t="n">
        <v>0</v>
      </c>
      <c r="I448" t="n">
        <v>0</v>
      </c>
      <c r="J448" t="n">
        <v>0</v>
      </c>
      <c r="K448" t="n">
        <v>0</v>
      </c>
      <c r="L448" t="n">
        <v>0</v>
      </c>
      <c r="M448" t="n">
        <v>0</v>
      </c>
      <c r="N448" t="n">
        <v>0</v>
      </c>
      <c r="O448" t="n">
        <v>0</v>
      </c>
      <c r="P448" t="n">
        <v>0</v>
      </c>
      <c r="Q448" t="n">
        <v>0</v>
      </c>
      <c r="R448" s="2" t="inlineStr"/>
    </row>
    <row r="449" ht="15" customHeight="1">
      <c r="A449" t="inlineStr">
        <is>
          <t>A 55165-2025</t>
        </is>
      </c>
      <c r="B449" s="1" t="n">
        <v>45968.48194444444</v>
      </c>
      <c r="C449" s="1" t="n">
        <v>46160</v>
      </c>
      <c r="D449" t="inlineStr">
        <is>
          <t>ÖSTERGÖTLANDS LÄN</t>
        </is>
      </c>
      <c r="E449" t="inlineStr">
        <is>
          <t>LINKÖPING</t>
        </is>
      </c>
      <c r="G449" t="n">
        <v>2.4</v>
      </c>
      <c r="H449" t="n">
        <v>0</v>
      </c>
      <c r="I449" t="n">
        <v>0</v>
      </c>
      <c r="J449" t="n">
        <v>0</v>
      </c>
      <c r="K449" t="n">
        <v>0</v>
      </c>
      <c r="L449" t="n">
        <v>0</v>
      </c>
      <c r="M449" t="n">
        <v>0</v>
      </c>
      <c r="N449" t="n">
        <v>0</v>
      </c>
      <c r="O449" t="n">
        <v>0</v>
      </c>
      <c r="P449" t="n">
        <v>0</v>
      </c>
      <c r="Q449" t="n">
        <v>0</v>
      </c>
      <c r="R449" s="2" t="inlineStr"/>
    </row>
    <row r="450" ht="15" customHeight="1">
      <c r="A450" t="inlineStr">
        <is>
          <t>A 55102-2025</t>
        </is>
      </c>
      <c r="B450" s="1" t="n">
        <v>45968.35410879629</v>
      </c>
      <c r="C450" s="1" t="n">
        <v>46160</v>
      </c>
      <c r="D450" t="inlineStr">
        <is>
          <t>ÖSTERGÖTLANDS LÄN</t>
        </is>
      </c>
      <c r="E450" t="inlineStr">
        <is>
          <t>LINKÖPING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55132-2025</t>
        </is>
      </c>
      <c r="B451" s="1" t="n">
        <v>45968.41912037037</v>
      </c>
      <c r="C451" s="1" t="n">
        <v>46160</v>
      </c>
      <c r="D451" t="inlineStr">
        <is>
          <t>ÖSTERGÖTLANDS LÄN</t>
        </is>
      </c>
      <c r="E451" t="inlineStr">
        <is>
          <t>LINKÖPING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14576-2023</t>
        </is>
      </c>
      <c r="B452" s="1" t="n">
        <v>45013</v>
      </c>
      <c r="C452" s="1" t="n">
        <v>46160</v>
      </c>
      <c r="D452" t="inlineStr">
        <is>
          <t>ÖSTERGÖTLANDS LÄN</t>
        </is>
      </c>
      <c r="E452" t="inlineStr">
        <is>
          <t>LINKÖPING</t>
        </is>
      </c>
      <c r="G452" t="n">
        <v>3.2</v>
      </c>
      <c r="H452" t="n">
        <v>0</v>
      </c>
      <c r="I452" t="n">
        <v>0</v>
      </c>
      <c r="J452" t="n">
        <v>0</v>
      </c>
      <c r="K452" t="n">
        <v>0</v>
      </c>
      <c r="L452" t="n">
        <v>0</v>
      </c>
      <c r="M452" t="n">
        <v>0</v>
      </c>
      <c r="N452" t="n">
        <v>0</v>
      </c>
      <c r="O452" t="n">
        <v>0</v>
      </c>
      <c r="P452" t="n">
        <v>0</v>
      </c>
      <c r="Q452" t="n">
        <v>0</v>
      </c>
      <c r="R452" s="2" t="inlineStr"/>
    </row>
    <row r="453" ht="15" customHeight="1">
      <c r="A453" t="inlineStr">
        <is>
          <t>A 12089-2025</t>
        </is>
      </c>
      <c r="B453" s="1" t="n">
        <v>45729</v>
      </c>
      <c r="C453" s="1" t="n">
        <v>46160</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56105-2025</t>
        </is>
      </c>
      <c r="B454" s="1" t="n">
        <v>45973.72855324074</v>
      </c>
      <c r="C454" s="1" t="n">
        <v>46160</v>
      </c>
      <c r="D454" t="inlineStr">
        <is>
          <t>ÖSTERGÖTLANDS LÄN</t>
        </is>
      </c>
      <c r="E454" t="inlineStr">
        <is>
          <t>LINKÖPING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56403-2025</t>
        </is>
      </c>
      <c r="B455" s="1" t="n">
        <v>45974</v>
      </c>
      <c r="C455" s="1" t="n">
        <v>46160</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56113-2025</t>
        </is>
      </c>
      <c r="B456" s="1" t="n">
        <v>45973.73924768518</v>
      </c>
      <c r="C456" s="1" t="n">
        <v>46160</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56704-2025</t>
        </is>
      </c>
      <c r="B457" s="1" t="n">
        <v>45977.50608796296</v>
      </c>
      <c r="C457" s="1" t="n">
        <v>46160</v>
      </c>
      <c r="D457" t="inlineStr">
        <is>
          <t>ÖSTERGÖTLANDS LÄN</t>
        </is>
      </c>
      <c r="E457" t="inlineStr">
        <is>
          <t>LINKÖPING</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62321-2022</t>
        </is>
      </c>
      <c r="B458" s="1" t="n">
        <v>44916</v>
      </c>
      <c r="C458" s="1" t="n">
        <v>46160</v>
      </c>
      <c r="D458" t="inlineStr">
        <is>
          <t>ÖSTERGÖTLANDS LÄN</t>
        </is>
      </c>
      <c r="E458" t="inlineStr">
        <is>
          <t>LINKÖPING</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43475-2024</t>
        </is>
      </c>
      <c r="B459" s="1" t="n">
        <v>45568</v>
      </c>
      <c r="C459" s="1" t="n">
        <v>46160</v>
      </c>
      <c r="D459" t="inlineStr">
        <is>
          <t>ÖSTERGÖTLANDS LÄN</t>
        </is>
      </c>
      <c r="E459" t="inlineStr">
        <is>
          <t>LINKÖPING</t>
        </is>
      </c>
      <c r="G459" t="n">
        <v>3.2</v>
      </c>
      <c r="H459" t="n">
        <v>0</v>
      </c>
      <c r="I459" t="n">
        <v>0</v>
      </c>
      <c r="J459" t="n">
        <v>0</v>
      </c>
      <c r="K459" t="n">
        <v>0</v>
      </c>
      <c r="L459" t="n">
        <v>0</v>
      </c>
      <c r="M459" t="n">
        <v>0</v>
      </c>
      <c r="N459" t="n">
        <v>0</v>
      </c>
      <c r="O459" t="n">
        <v>0</v>
      </c>
      <c r="P459" t="n">
        <v>0</v>
      </c>
      <c r="Q459" t="n">
        <v>0</v>
      </c>
      <c r="R459" s="2" t="inlineStr"/>
    </row>
    <row r="460" ht="15" customHeight="1">
      <c r="A460" t="inlineStr">
        <is>
          <t>A 17103-2025</t>
        </is>
      </c>
      <c r="B460" s="1" t="n">
        <v>45755.66143518518</v>
      </c>
      <c r="C460" s="1" t="n">
        <v>46160</v>
      </c>
      <c r="D460" t="inlineStr">
        <is>
          <t>ÖSTERGÖTLANDS LÄN</t>
        </is>
      </c>
      <c r="E460" t="inlineStr">
        <is>
          <t>LINKÖPING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30551-2023</t>
        </is>
      </c>
      <c r="B461" s="1" t="n">
        <v>45111</v>
      </c>
      <c r="C461" s="1" t="n">
        <v>46160</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50784-2022</t>
        </is>
      </c>
      <c r="B462" s="1" t="n">
        <v>44862</v>
      </c>
      <c r="C462" s="1" t="n">
        <v>46160</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22043-2023</t>
        </is>
      </c>
      <c r="B463" s="1" t="n">
        <v>45069.39050925926</v>
      </c>
      <c r="C463" s="1" t="n">
        <v>46160</v>
      </c>
      <c r="D463" t="inlineStr">
        <is>
          <t>ÖSTERGÖTLANDS LÄN</t>
        </is>
      </c>
      <c r="E463" t="inlineStr">
        <is>
          <t>LINKÖPING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49656-2021</t>
        </is>
      </c>
      <c r="B464" s="1" t="n">
        <v>44454</v>
      </c>
      <c r="C464" s="1" t="n">
        <v>46160</v>
      </c>
      <c r="D464" t="inlineStr">
        <is>
          <t>ÖSTERGÖTLANDS LÄN</t>
        </is>
      </c>
      <c r="E464" t="inlineStr">
        <is>
          <t>LINKÖPING</t>
        </is>
      </c>
      <c r="G464" t="n">
        <v>2.3</v>
      </c>
      <c r="H464" t="n">
        <v>0</v>
      </c>
      <c r="I464" t="n">
        <v>0</v>
      </c>
      <c r="J464" t="n">
        <v>0</v>
      </c>
      <c r="K464" t="n">
        <v>0</v>
      </c>
      <c r="L464" t="n">
        <v>0</v>
      </c>
      <c r="M464" t="n">
        <v>0</v>
      </c>
      <c r="N464" t="n">
        <v>0</v>
      </c>
      <c r="O464" t="n">
        <v>0</v>
      </c>
      <c r="P464" t="n">
        <v>0</v>
      </c>
      <c r="Q464" t="n">
        <v>0</v>
      </c>
      <c r="R464" s="2" t="inlineStr"/>
    </row>
    <row r="465" ht="15" customHeight="1">
      <c r="A465" t="inlineStr">
        <is>
          <t>A 10479-2026</t>
        </is>
      </c>
      <c r="B465" s="1" t="n">
        <v>46077.49231481482</v>
      </c>
      <c r="C465" s="1" t="n">
        <v>46160</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30465-2023</t>
        </is>
      </c>
      <c r="B466" s="1" t="n">
        <v>45111</v>
      </c>
      <c r="C466" s="1" t="n">
        <v>46160</v>
      </c>
      <c r="D466" t="inlineStr">
        <is>
          <t>ÖSTERGÖTLANDS LÄN</t>
        </is>
      </c>
      <c r="E466" t="inlineStr">
        <is>
          <t>LINKÖPING</t>
        </is>
      </c>
      <c r="F466" t="inlineStr">
        <is>
          <t>Övriga Aktiebolag</t>
        </is>
      </c>
      <c r="G466" t="n">
        <v>0.7</v>
      </c>
      <c r="H466" t="n">
        <v>0</v>
      </c>
      <c r="I466" t="n">
        <v>0</v>
      </c>
      <c r="J466" t="n">
        <v>0</v>
      </c>
      <c r="K466" t="n">
        <v>0</v>
      </c>
      <c r="L466" t="n">
        <v>0</v>
      </c>
      <c r="M466" t="n">
        <v>0</v>
      </c>
      <c r="N466" t="n">
        <v>0</v>
      </c>
      <c r="O466" t="n">
        <v>0</v>
      </c>
      <c r="P466" t="n">
        <v>0</v>
      </c>
      <c r="Q466" t="n">
        <v>0</v>
      </c>
      <c r="R466" s="2" t="inlineStr"/>
    </row>
    <row r="467" ht="15" customHeight="1">
      <c r="A467" t="inlineStr">
        <is>
          <t>A 30521-2024</t>
        </is>
      </c>
      <c r="B467" s="1" t="n">
        <v>45492</v>
      </c>
      <c r="C467" s="1" t="n">
        <v>46160</v>
      </c>
      <c r="D467" t="inlineStr">
        <is>
          <t>ÖSTERGÖTLANDS LÄN</t>
        </is>
      </c>
      <c r="E467" t="inlineStr">
        <is>
          <t>LINKÖPING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40618-2021</t>
        </is>
      </c>
      <c r="B468" s="1" t="n">
        <v>44420.49575231481</v>
      </c>
      <c r="C468" s="1" t="n">
        <v>46160</v>
      </c>
      <c r="D468" t="inlineStr">
        <is>
          <t>ÖSTERGÖTLANDS LÄN</t>
        </is>
      </c>
      <c r="E468" t="inlineStr">
        <is>
          <t>LINKÖPING</t>
        </is>
      </c>
      <c r="G468" t="n">
        <v>2.3</v>
      </c>
      <c r="H468" t="n">
        <v>0</v>
      </c>
      <c r="I468" t="n">
        <v>0</v>
      </c>
      <c r="J468" t="n">
        <v>0</v>
      </c>
      <c r="K468" t="n">
        <v>0</v>
      </c>
      <c r="L468" t="n">
        <v>0</v>
      </c>
      <c r="M468" t="n">
        <v>0</v>
      </c>
      <c r="N468" t="n">
        <v>0</v>
      </c>
      <c r="O468" t="n">
        <v>0</v>
      </c>
      <c r="P468" t="n">
        <v>0</v>
      </c>
      <c r="Q468" t="n">
        <v>0</v>
      </c>
      <c r="R468" s="2" t="inlineStr"/>
    </row>
    <row r="469" ht="15" customHeight="1">
      <c r="A469" t="inlineStr">
        <is>
          <t>A 10477-2026</t>
        </is>
      </c>
      <c r="B469" s="1" t="n">
        <v>46077.4871875</v>
      </c>
      <c r="C469" s="1" t="n">
        <v>46160</v>
      </c>
      <c r="D469" t="inlineStr">
        <is>
          <t>ÖSTERGÖTLANDS LÄN</t>
        </is>
      </c>
      <c r="E469" t="inlineStr">
        <is>
          <t>LINKÖPING</t>
        </is>
      </c>
      <c r="G469" t="n">
        <v>9.6</v>
      </c>
      <c r="H469" t="n">
        <v>0</v>
      </c>
      <c r="I469" t="n">
        <v>0</v>
      </c>
      <c r="J469" t="n">
        <v>0</v>
      </c>
      <c r="K469" t="n">
        <v>0</v>
      </c>
      <c r="L469" t="n">
        <v>0</v>
      </c>
      <c r="M469" t="n">
        <v>0</v>
      </c>
      <c r="N469" t="n">
        <v>0</v>
      </c>
      <c r="O469" t="n">
        <v>0</v>
      </c>
      <c r="P469" t="n">
        <v>0</v>
      </c>
      <c r="Q469" t="n">
        <v>0</v>
      </c>
      <c r="R469" s="2" t="inlineStr"/>
    </row>
    <row r="470" ht="15" customHeight="1">
      <c r="A470" t="inlineStr">
        <is>
          <t>A 23735-2023</t>
        </is>
      </c>
      <c r="B470" s="1" t="n">
        <v>45077</v>
      </c>
      <c r="C470" s="1" t="n">
        <v>46160</v>
      </c>
      <c r="D470" t="inlineStr">
        <is>
          <t>ÖSTERGÖTLANDS LÄN</t>
        </is>
      </c>
      <c r="E470" t="inlineStr">
        <is>
          <t>LINKÖPING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350-2022</t>
        </is>
      </c>
      <c r="B471" s="1" t="n">
        <v>44565</v>
      </c>
      <c r="C471" s="1" t="n">
        <v>46160</v>
      </c>
      <c r="D471" t="inlineStr">
        <is>
          <t>ÖSTERGÖTLANDS LÄN</t>
        </is>
      </c>
      <c r="E471" t="inlineStr">
        <is>
          <t>LINKÖPING</t>
        </is>
      </c>
      <c r="G471" t="n">
        <v>1.2</v>
      </c>
      <c r="H471" t="n">
        <v>0</v>
      </c>
      <c r="I471" t="n">
        <v>0</v>
      </c>
      <c r="J471" t="n">
        <v>0</v>
      </c>
      <c r="K471" t="n">
        <v>0</v>
      </c>
      <c r="L471" t="n">
        <v>0</v>
      </c>
      <c r="M471" t="n">
        <v>0</v>
      </c>
      <c r="N471" t="n">
        <v>0</v>
      </c>
      <c r="O471" t="n">
        <v>0</v>
      </c>
      <c r="P471" t="n">
        <v>0</v>
      </c>
      <c r="Q471" t="n">
        <v>0</v>
      </c>
      <c r="R471" s="2" t="inlineStr"/>
    </row>
    <row r="472" ht="15" customHeight="1">
      <c r="A472" t="inlineStr">
        <is>
          <t>A 4256-2022</t>
        </is>
      </c>
      <c r="B472" s="1" t="n">
        <v>44588</v>
      </c>
      <c r="C472" s="1" t="n">
        <v>46160</v>
      </c>
      <c r="D472" t="inlineStr">
        <is>
          <t>ÖSTERGÖTLANDS LÄN</t>
        </is>
      </c>
      <c r="E472" t="inlineStr">
        <is>
          <t>LINKÖPING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25948-2023</t>
        </is>
      </c>
      <c r="B473" s="1" t="n">
        <v>45090</v>
      </c>
      <c r="C473" s="1" t="n">
        <v>46160</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55004-2025</t>
        </is>
      </c>
      <c r="B474" s="1" t="n">
        <v>45967</v>
      </c>
      <c r="C474" s="1" t="n">
        <v>46160</v>
      </c>
      <c r="D474" t="inlineStr">
        <is>
          <t>ÖSTERGÖTLANDS LÄN</t>
        </is>
      </c>
      <c r="E474" t="inlineStr">
        <is>
          <t>LINKÖPING</t>
        </is>
      </c>
      <c r="G474" t="n">
        <v>2.5</v>
      </c>
      <c r="H474" t="n">
        <v>0</v>
      </c>
      <c r="I474" t="n">
        <v>0</v>
      </c>
      <c r="J474" t="n">
        <v>0</v>
      </c>
      <c r="K474" t="n">
        <v>0</v>
      </c>
      <c r="L474" t="n">
        <v>0</v>
      </c>
      <c r="M474" t="n">
        <v>0</v>
      </c>
      <c r="N474" t="n">
        <v>0</v>
      </c>
      <c r="O474" t="n">
        <v>0</v>
      </c>
      <c r="P474" t="n">
        <v>0</v>
      </c>
      <c r="Q474" t="n">
        <v>0</v>
      </c>
      <c r="R474" s="2" t="inlineStr"/>
    </row>
    <row r="475" ht="15" customHeight="1">
      <c r="A475" t="inlineStr">
        <is>
          <t>A 33867-2023</t>
        </is>
      </c>
      <c r="B475" s="1" t="n">
        <v>45133.94640046296</v>
      </c>
      <c r="C475" s="1" t="n">
        <v>46160</v>
      </c>
      <c r="D475" t="inlineStr">
        <is>
          <t>ÖSTERGÖTLANDS LÄN</t>
        </is>
      </c>
      <c r="E475" t="inlineStr">
        <is>
          <t>LINKÖPING</t>
        </is>
      </c>
      <c r="G475" t="n">
        <v>2.3</v>
      </c>
      <c r="H475" t="n">
        <v>0</v>
      </c>
      <c r="I475" t="n">
        <v>0</v>
      </c>
      <c r="J475" t="n">
        <v>0</v>
      </c>
      <c r="K475" t="n">
        <v>0</v>
      </c>
      <c r="L475" t="n">
        <v>0</v>
      </c>
      <c r="M475" t="n">
        <v>0</v>
      </c>
      <c r="N475" t="n">
        <v>0</v>
      </c>
      <c r="O475" t="n">
        <v>0</v>
      </c>
      <c r="P475" t="n">
        <v>0</v>
      </c>
      <c r="Q475" t="n">
        <v>0</v>
      </c>
      <c r="R475" s="2" t="inlineStr"/>
    </row>
    <row r="476" ht="15" customHeight="1">
      <c r="A476" t="inlineStr">
        <is>
          <t>A 59205-2025</t>
        </is>
      </c>
      <c r="B476" s="1" t="n">
        <v>45988.60721064815</v>
      </c>
      <c r="C476" s="1" t="n">
        <v>46160</v>
      </c>
      <c r="D476" t="inlineStr">
        <is>
          <t>ÖSTERGÖTLANDS LÄN</t>
        </is>
      </c>
      <c r="E476" t="inlineStr">
        <is>
          <t>LINKÖPING</t>
        </is>
      </c>
      <c r="F476" t="inlineStr">
        <is>
          <t>Sveaskog</t>
        </is>
      </c>
      <c r="G476" t="n">
        <v>11.3</v>
      </c>
      <c r="H476" t="n">
        <v>0</v>
      </c>
      <c r="I476" t="n">
        <v>0</v>
      </c>
      <c r="J476" t="n">
        <v>0</v>
      </c>
      <c r="K476" t="n">
        <v>0</v>
      </c>
      <c r="L476" t="n">
        <v>0</v>
      </c>
      <c r="M476" t="n">
        <v>0</v>
      </c>
      <c r="N476" t="n">
        <v>0</v>
      </c>
      <c r="O476" t="n">
        <v>0</v>
      </c>
      <c r="P476" t="n">
        <v>0</v>
      </c>
      <c r="Q476" t="n">
        <v>0</v>
      </c>
      <c r="R476" s="2" t="inlineStr"/>
    </row>
    <row r="477" ht="15" customHeight="1">
      <c r="A477" t="inlineStr">
        <is>
          <t>A 58802-2025</t>
        </is>
      </c>
      <c r="B477" s="1" t="n">
        <v>45986.8768287037</v>
      </c>
      <c r="C477" s="1" t="n">
        <v>46160</v>
      </c>
      <c r="D477" t="inlineStr">
        <is>
          <t>ÖSTERGÖTLANDS LÄN</t>
        </is>
      </c>
      <c r="E477" t="inlineStr">
        <is>
          <t>LINKÖPING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24462-2023</t>
        </is>
      </c>
      <c r="B478" s="1" t="n">
        <v>45082</v>
      </c>
      <c r="C478" s="1" t="n">
        <v>46160</v>
      </c>
      <c r="D478" t="inlineStr">
        <is>
          <t>ÖSTERGÖTLANDS LÄN</t>
        </is>
      </c>
      <c r="E478" t="inlineStr">
        <is>
          <t>LINKÖPING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59472-2025</t>
        </is>
      </c>
      <c r="B479" s="1" t="n">
        <v>45989.58321759259</v>
      </c>
      <c r="C479" s="1" t="n">
        <v>46160</v>
      </c>
      <c r="D479" t="inlineStr">
        <is>
          <t>ÖSTERGÖTLANDS LÄN</t>
        </is>
      </c>
      <c r="E479" t="inlineStr">
        <is>
          <t>LINKÖPING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48829-2023</t>
        </is>
      </c>
      <c r="B480" s="1" t="n">
        <v>45209.38177083333</v>
      </c>
      <c r="C480" s="1" t="n">
        <v>46160</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38231-2022</t>
        </is>
      </c>
      <c r="B481" s="1" t="n">
        <v>44812</v>
      </c>
      <c r="C481" s="1" t="n">
        <v>46160</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50799-2022</t>
        </is>
      </c>
      <c r="B482" s="1" t="n">
        <v>44862</v>
      </c>
      <c r="C482" s="1" t="n">
        <v>46160</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11057-2026</t>
        </is>
      </c>
      <c r="B483" s="1" t="n">
        <v>46079.59515046296</v>
      </c>
      <c r="C483" s="1" t="n">
        <v>46160</v>
      </c>
      <c r="D483" t="inlineStr">
        <is>
          <t>ÖSTERGÖTLANDS LÄN</t>
        </is>
      </c>
      <c r="E483" t="inlineStr">
        <is>
          <t>LINKÖPING</t>
        </is>
      </c>
      <c r="G483" t="n">
        <v>2.9</v>
      </c>
      <c r="H483" t="n">
        <v>0</v>
      </c>
      <c r="I483" t="n">
        <v>0</v>
      </c>
      <c r="J483" t="n">
        <v>0</v>
      </c>
      <c r="K483" t="n">
        <v>0</v>
      </c>
      <c r="L483" t="n">
        <v>0</v>
      </c>
      <c r="M483" t="n">
        <v>0</v>
      </c>
      <c r="N483" t="n">
        <v>0</v>
      </c>
      <c r="O483" t="n">
        <v>0</v>
      </c>
      <c r="P483" t="n">
        <v>0</v>
      </c>
      <c r="Q483" t="n">
        <v>0</v>
      </c>
      <c r="R483" s="2" t="inlineStr"/>
    </row>
    <row r="484" ht="15" customHeight="1">
      <c r="A484" t="inlineStr">
        <is>
          <t>A 40431-2024</t>
        </is>
      </c>
      <c r="B484" s="1" t="n">
        <v>45555.47070601852</v>
      </c>
      <c r="C484" s="1" t="n">
        <v>46160</v>
      </c>
      <c r="D484" t="inlineStr">
        <is>
          <t>ÖSTERGÖTLANDS LÄN</t>
        </is>
      </c>
      <c r="E484" t="inlineStr">
        <is>
          <t>LINKÖPING</t>
        </is>
      </c>
      <c r="F484" t="inlineStr">
        <is>
          <t>Allmännings- och besparingsskogar</t>
        </is>
      </c>
      <c r="G484" t="n">
        <v>2.9</v>
      </c>
      <c r="H484" t="n">
        <v>0</v>
      </c>
      <c r="I484" t="n">
        <v>0</v>
      </c>
      <c r="J484" t="n">
        <v>0</v>
      </c>
      <c r="K484" t="n">
        <v>0</v>
      </c>
      <c r="L484" t="n">
        <v>0</v>
      </c>
      <c r="M484" t="n">
        <v>0</v>
      </c>
      <c r="N484" t="n">
        <v>0</v>
      </c>
      <c r="O484" t="n">
        <v>0</v>
      </c>
      <c r="P484" t="n">
        <v>0</v>
      </c>
      <c r="Q484" t="n">
        <v>0</v>
      </c>
      <c r="R484" s="2" t="inlineStr"/>
    </row>
    <row r="485" ht="15" customHeight="1">
      <c r="A485" t="inlineStr">
        <is>
          <t>A 10756-2026</t>
        </is>
      </c>
      <c r="B485" s="1" t="n">
        <v>46078.55412037037</v>
      </c>
      <c r="C485" s="1" t="n">
        <v>46160</v>
      </c>
      <c r="D485" t="inlineStr">
        <is>
          <t>ÖSTERGÖTLANDS LÄN</t>
        </is>
      </c>
      <c r="E485" t="inlineStr">
        <is>
          <t>LINKÖPING</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267-2023</t>
        </is>
      </c>
      <c r="B486" s="1" t="n">
        <v>44928.80907407407</v>
      </c>
      <c r="C486" s="1" t="n">
        <v>46160</v>
      </c>
      <c r="D486" t="inlineStr">
        <is>
          <t>ÖSTERGÖTLANDS LÄN</t>
        </is>
      </c>
      <c r="E486" t="inlineStr">
        <is>
          <t>LINKÖPING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26618-2023</t>
        </is>
      </c>
      <c r="B487" s="1" t="n">
        <v>45092.70306712963</v>
      </c>
      <c r="C487" s="1" t="n">
        <v>46160</v>
      </c>
      <c r="D487" t="inlineStr">
        <is>
          <t>ÖSTERGÖTLANDS LÄN</t>
        </is>
      </c>
      <c r="E487" t="inlineStr">
        <is>
          <t>LINKÖPING</t>
        </is>
      </c>
      <c r="G487" t="n">
        <v>6.9</v>
      </c>
      <c r="H487" t="n">
        <v>0</v>
      </c>
      <c r="I487" t="n">
        <v>0</v>
      </c>
      <c r="J487" t="n">
        <v>0</v>
      </c>
      <c r="K487" t="n">
        <v>0</v>
      </c>
      <c r="L487" t="n">
        <v>0</v>
      </c>
      <c r="M487" t="n">
        <v>0</v>
      </c>
      <c r="N487" t="n">
        <v>0</v>
      </c>
      <c r="O487" t="n">
        <v>0</v>
      </c>
      <c r="P487" t="n">
        <v>0</v>
      </c>
      <c r="Q487" t="n">
        <v>0</v>
      </c>
      <c r="R487" s="2" t="inlineStr"/>
    </row>
    <row r="488" ht="15" customHeight="1">
      <c r="A488" t="inlineStr">
        <is>
          <t>A 63665-2023</t>
        </is>
      </c>
      <c r="B488" s="1" t="n">
        <v>45275</v>
      </c>
      <c r="C488" s="1" t="n">
        <v>46160</v>
      </c>
      <c r="D488" t="inlineStr">
        <is>
          <t>ÖSTERGÖTLANDS LÄN</t>
        </is>
      </c>
      <c r="E488" t="inlineStr">
        <is>
          <t>LINKÖPING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60087-2025</t>
        </is>
      </c>
      <c r="B489" s="1" t="n">
        <v>45993.71726851852</v>
      </c>
      <c r="C489" s="1" t="n">
        <v>46160</v>
      </c>
      <c r="D489" t="inlineStr">
        <is>
          <t>ÖSTERGÖTLANDS LÄN</t>
        </is>
      </c>
      <c r="E489" t="inlineStr">
        <is>
          <t>LINKÖPING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60284-2025</t>
        </is>
      </c>
      <c r="B490" s="1" t="n">
        <v>45994.64373842593</v>
      </c>
      <c r="C490" s="1" t="n">
        <v>46160</v>
      </c>
      <c r="D490" t="inlineStr">
        <is>
          <t>ÖSTERGÖTLANDS LÄN</t>
        </is>
      </c>
      <c r="E490" t="inlineStr">
        <is>
          <t>LINKÖPING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60306-2025</t>
        </is>
      </c>
      <c r="B491" s="1" t="n">
        <v>45994.68326388889</v>
      </c>
      <c r="C491" s="1" t="n">
        <v>46160</v>
      </c>
      <c r="D491" t="inlineStr">
        <is>
          <t>ÖSTERGÖTLANDS LÄN</t>
        </is>
      </c>
      <c r="E491" t="inlineStr">
        <is>
          <t>LINKÖPING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30429-2024</t>
        </is>
      </c>
      <c r="B492" s="1" t="n">
        <v>45491.68972222223</v>
      </c>
      <c r="C492" s="1" t="n">
        <v>46160</v>
      </c>
      <c r="D492" t="inlineStr">
        <is>
          <t>ÖSTERGÖTLANDS LÄN</t>
        </is>
      </c>
      <c r="E492" t="inlineStr">
        <is>
          <t>LINKÖPING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60703-2025</t>
        </is>
      </c>
      <c r="B493" s="1" t="n">
        <v>45996.6052662037</v>
      </c>
      <c r="C493" s="1" t="n">
        <v>46160</v>
      </c>
      <c r="D493" t="inlineStr">
        <is>
          <t>ÖSTERGÖTLANDS LÄN</t>
        </is>
      </c>
      <c r="E493" t="inlineStr">
        <is>
          <t>LINKÖPING</t>
        </is>
      </c>
      <c r="F493" t="inlineStr">
        <is>
          <t>Övriga Aktiebolag</t>
        </is>
      </c>
      <c r="G493" t="n">
        <v>1.3</v>
      </c>
      <c r="H493" t="n">
        <v>0</v>
      </c>
      <c r="I493" t="n">
        <v>0</v>
      </c>
      <c r="J493" t="n">
        <v>0</v>
      </c>
      <c r="K493" t="n">
        <v>0</v>
      </c>
      <c r="L493" t="n">
        <v>0</v>
      </c>
      <c r="M493" t="n">
        <v>0</v>
      </c>
      <c r="N493" t="n">
        <v>0</v>
      </c>
      <c r="O493" t="n">
        <v>0</v>
      </c>
      <c r="P493" t="n">
        <v>0</v>
      </c>
      <c r="Q493" t="n">
        <v>0</v>
      </c>
      <c r="R493" s="2" t="inlineStr"/>
    </row>
    <row r="494" ht="15" customHeight="1">
      <c r="A494" t="inlineStr">
        <is>
          <t>A 30435-2024</t>
        </is>
      </c>
      <c r="B494" s="1" t="n">
        <v>45491.69962962963</v>
      </c>
      <c r="C494" s="1" t="n">
        <v>46160</v>
      </c>
      <c r="D494" t="inlineStr">
        <is>
          <t>ÖSTERGÖTLANDS LÄN</t>
        </is>
      </c>
      <c r="E494" t="inlineStr">
        <is>
          <t>LINKÖPING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53816-2023</t>
        </is>
      </c>
      <c r="B495" s="1" t="n">
        <v>45231.40012731482</v>
      </c>
      <c r="C495" s="1" t="n">
        <v>46160</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36557-2023</t>
        </is>
      </c>
      <c r="B496" s="1" t="n">
        <v>45153</v>
      </c>
      <c r="C496" s="1" t="n">
        <v>46160</v>
      </c>
      <c r="D496" t="inlineStr">
        <is>
          <t>ÖSTERGÖTLANDS LÄN</t>
        </is>
      </c>
      <c r="E496" t="inlineStr">
        <is>
          <t>LINKÖPING</t>
        </is>
      </c>
      <c r="F496" t="inlineStr">
        <is>
          <t>Övriga Aktiebolag</t>
        </is>
      </c>
      <c r="G496" t="n">
        <v>3.1</v>
      </c>
      <c r="H496" t="n">
        <v>0</v>
      </c>
      <c r="I496" t="n">
        <v>0</v>
      </c>
      <c r="J496" t="n">
        <v>0</v>
      </c>
      <c r="K496" t="n">
        <v>0</v>
      </c>
      <c r="L496" t="n">
        <v>0</v>
      </c>
      <c r="M496" t="n">
        <v>0</v>
      </c>
      <c r="N496" t="n">
        <v>0</v>
      </c>
      <c r="O496" t="n">
        <v>0</v>
      </c>
      <c r="P496" t="n">
        <v>0</v>
      </c>
      <c r="Q496" t="n">
        <v>0</v>
      </c>
      <c r="R496" s="2" t="inlineStr"/>
    </row>
    <row r="497" ht="15" customHeight="1">
      <c r="A497" t="inlineStr">
        <is>
          <t>A 6599-2023</t>
        </is>
      </c>
      <c r="B497" s="1" t="n">
        <v>44966.52603009259</v>
      </c>
      <c r="C497" s="1" t="n">
        <v>46160</v>
      </c>
      <c r="D497" t="inlineStr">
        <is>
          <t>ÖSTERGÖTLANDS LÄN</t>
        </is>
      </c>
      <c r="E497" t="inlineStr">
        <is>
          <t>LINKÖPING</t>
        </is>
      </c>
      <c r="G497" t="n">
        <v>1.9</v>
      </c>
      <c r="H497" t="n">
        <v>0</v>
      </c>
      <c r="I497" t="n">
        <v>0</v>
      </c>
      <c r="J497" t="n">
        <v>0</v>
      </c>
      <c r="K497" t="n">
        <v>0</v>
      </c>
      <c r="L497" t="n">
        <v>0</v>
      </c>
      <c r="M497" t="n">
        <v>0</v>
      </c>
      <c r="N497" t="n">
        <v>0</v>
      </c>
      <c r="O497" t="n">
        <v>0</v>
      </c>
      <c r="P497" t="n">
        <v>0</v>
      </c>
      <c r="Q497" t="n">
        <v>0</v>
      </c>
      <c r="R497" s="2" t="inlineStr"/>
    </row>
    <row r="498" ht="15" customHeight="1">
      <c r="A498" t="inlineStr">
        <is>
          <t>A 43473-2024</t>
        </is>
      </c>
      <c r="B498" s="1" t="n">
        <v>45568</v>
      </c>
      <c r="C498" s="1" t="n">
        <v>46160</v>
      </c>
      <c r="D498" t="inlineStr">
        <is>
          <t>ÖSTERGÖTLANDS LÄN</t>
        </is>
      </c>
      <c r="E498" t="inlineStr">
        <is>
          <t>LINKÖPING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61230-2025</t>
        </is>
      </c>
      <c r="B499" s="1" t="n">
        <v>46000.63111111111</v>
      </c>
      <c r="C499" s="1" t="n">
        <v>46160</v>
      </c>
      <c r="D499" t="inlineStr">
        <is>
          <t>ÖSTERGÖTLANDS LÄN</t>
        </is>
      </c>
      <c r="E499" t="inlineStr">
        <is>
          <t>LINKÖPING</t>
        </is>
      </c>
      <c r="F499" t="inlineStr">
        <is>
          <t>Kyrkan</t>
        </is>
      </c>
      <c r="G499" t="n">
        <v>2.1</v>
      </c>
      <c r="H499" t="n">
        <v>0</v>
      </c>
      <c r="I499" t="n">
        <v>0</v>
      </c>
      <c r="J499" t="n">
        <v>0</v>
      </c>
      <c r="K499" t="n">
        <v>0</v>
      </c>
      <c r="L499" t="n">
        <v>0</v>
      </c>
      <c r="M499" t="n">
        <v>0</v>
      </c>
      <c r="N499" t="n">
        <v>0</v>
      </c>
      <c r="O499" t="n">
        <v>0</v>
      </c>
      <c r="P499" t="n">
        <v>0</v>
      </c>
      <c r="Q499" t="n">
        <v>0</v>
      </c>
      <c r="R499" s="2" t="inlineStr"/>
    </row>
    <row r="500" ht="15" customHeight="1">
      <c r="A500" t="inlineStr">
        <is>
          <t>A 60866-2025</t>
        </is>
      </c>
      <c r="B500" s="1" t="n">
        <v>45999</v>
      </c>
      <c r="C500" s="1" t="n">
        <v>46160</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11036-2026</t>
        </is>
      </c>
      <c r="B501" s="1" t="n">
        <v>46079.57836805555</v>
      </c>
      <c r="C501" s="1" t="n">
        <v>46160</v>
      </c>
      <c r="D501" t="inlineStr">
        <is>
          <t>ÖSTERGÖTLANDS LÄN</t>
        </is>
      </c>
      <c r="E501" t="inlineStr">
        <is>
          <t>LINKÖPING</t>
        </is>
      </c>
      <c r="G501" t="n">
        <v>1.2</v>
      </c>
      <c r="H501" t="n">
        <v>0</v>
      </c>
      <c r="I501" t="n">
        <v>0</v>
      </c>
      <c r="J501" t="n">
        <v>0</v>
      </c>
      <c r="K501" t="n">
        <v>0</v>
      </c>
      <c r="L501" t="n">
        <v>0</v>
      </c>
      <c r="M501" t="n">
        <v>0</v>
      </c>
      <c r="N501" t="n">
        <v>0</v>
      </c>
      <c r="O501" t="n">
        <v>0</v>
      </c>
      <c r="P501" t="n">
        <v>0</v>
      </c>
      <c r="Q501" t="n">
        <v>0</v>
      </c>
      <c r="R501" s="2" t="inlineStr"/>
    </row>
    <row r="502" ht="15" customHeight="1">
      <c r="A502" t="inlineStr">
        <is>
          <t>A 10764-2026</t>
        </is>
      </c>
      <c r="B502" s="1" t="n">
        <v>46078</v>
      </c>
      <c r="C502" s="1" t="n">
        <v>46160</v>
      </c>
      <c r="D502" t="inlineStr">
        <is>
          <t>ÖSTERGÖTLANDS LÄN</t>
        </is>
      </c>
      <c r="E502" t="inlineStr">
        <is>
          <t>LINKÖPING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61643-2025</t>
        </is>
      </c>
      <c r="B503" s="1" t="n">
        <v>46002.43575231481</v>
      </c>
      <c r="C503" s="1" t="n">
        <v>46160</v>
      </c>
      <c r="D503" t="inlineStr">
        <is>
          <t>ÖSTERGÖTLANDS LÄN</t>
        </is>
      </c>
      <c r="E503" t="inlineStr">
        <is>
          <t>LINKÖPING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11169-2026</t>
        </is>
      </c>
      <c r="B504" s="1" t="n">
        <v>46080.37020833333</v>
      </c>
      <c r="C504" s="1" t="n">
        <v>46160</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61447-2025</t>
        </is>
      </c>
      <c r="B505" s="1" t="n">
        <v>46001.57554398148</v>
      </c>
      <c r="C505" s="1" t="n">
        <v>46160</v>
      </c>
      <c r="D505" t="inlineStr">
        <is>
          <t>ÖSTERGÖTLANDS LÄN</t>
        </is>
      </c>
      <c r="E505" t="inlineStr">
        <is>
          <t>LINKÖPING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61645-2025</t>
        </is>
      </c>
      <c r="B506" s="1" t="n">
        <v>46002.43697916667</v>
      </c>
      <c r="C506" s="1" t="n">
        <v>46160</v>
      </c>
      <c r="D506" t="inlineStr">
        <is>
          <t>ÖSTERGÖTLANDS LÄN</t>
        </is>
      </c>
      <c r="E506" t="inlineStr">
        <is>
          <t>LINKÖPING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61532-2021</t>
        </is>
      </c>
      <c r="B507" s="1" t="n">
        <v>44501</v>
      </c>
      <c r="C507" s="1" t="n">
        <v>46160</v>
      </c>
      <c r="D507" t="inlineStr">
        <is>
          <t>ÖSTERGÖTLANDS LÄN</t>
        </is>
      </c>
      <c r="E507" t="inlineStr">
        <is>
          <t>LINKÖPING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11033-2026</t>
        </is>
      </c>
      <c r="B508" s="1" t="n">
        <v>46079.57361111111</v>
      </c>
      <c r="C508" s="1" t="n">
        <v>46160</v>
      </c>
      <c r="D508" t="inlineStr">
        <is>
          <t>ÖSTERGÖTLANDS LÄN</t>
        </is>
      </c>
      <c r="E508" t="inlineStr">
        <is>
          <t>LINKÖPING</t>
        </is>
      </c>
      <c r="G508" t="n">
        <v>7.9</v>
      </c>
      <c r="H508" t="n">
        <v>0</v>
      </c>
      <c r="I508" t="n">
        <v>0</v>
      </c>
      <c r="J508" t="n">
        <v>0</v>
      </c>
      <c r="K508" t="n">
        <v>0</v>
      </c>
      <c r="L508" t="n">
        <v>0</v>
      </c>
      <c r="M508" t="n">
        <v>0</v>
      </c>
      <c r="N508" t="n">
        <v>0</v>
      </c>
      <c r="O508" t="n">
        <v>0</v>
      </c>
      <c r="P508" t="n">
        <v>0</v>
      </c>
      <c r="Q508" t="n">
        <v>0</v>
      </c>
      <c r="R508" s="2" t="inlineStr"/>
    </row>
    <row r="509" ht="15" customHeight="1">
      <c r="A509" t="inlineStr">
        <is>
          <t>A 3374-2023</t>
        </is>
      </c>
      <c r="B509" s="1" t="n">
        <v>44949</v>
      </c>
      <c r="C509" s="1" t="n">
        <v>46160</v>
      </c>
      <c r="D509" t="inlineStr">
        <is>
          <t>ÖSTERGÖTLANDS LÄN</t>
        </is>
      </c>
      <c r="E509" t="inlineStr">
        <is>
          <t>LINKÖPING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224-2024</t>
        </is>
      </c>
      <c r="B510" s="1" t="n">
        <v>45294</v>
      </c>
      <c r="C510" s="1" t="n">
        <v>46160</v>
      </c>
      <c r="D510" t="inlineStr">
        <is>
          <t>ÖSTERGÖTLANDS LÄN</t>
        </is>
      </c>
      <c r="E510" t="inlineStr">
        <is>
          <t>LINKÖPING</t>
        </is>
      </c>
      <c r="G510" t="n">
        <v>2.8</v>
      </c>
      <c r="H510" t="n">
        <v>0</v>
      </c>
      <c r="I510" t="n">
        <v>0</v>
      </c>
      <c r="J510" t="n">
        <v>0</v>
      </c>
      <c r="K510" t="n">
        <v>0</v>
      </c>
      <c r="L510" t="n">
        <v>0</v>
      </c>
      <c r="M510" t="n">
        <v>0</v>
      </c>
      <c r="N510" t="n">
        <v>0</v>
      </c>
      <c r="O510" t="n">
        <v>0</v>
      </c>
      <c r="P510" t="n">
        <v>0</v>
      </c>
      <c r="Q510" t="n">
        <v>0</v>
      </c>
      <c r="R510" s="2" t="inlineStr"/>
    </row>
    <row r="511" ht="15" customHeight="1">
      <c r="A511" t="inlineStr">
        <is>
          <t>A 6726-2024</t>
        </is>
      </c>
      <c r="B511" s="1" t="n">
        <v>45341</v>
      </c>
      <c r="C511" s="1" t="n">
        <v>46160</v>
      </c>
      <c r="D511" t="inlineStr">
        <is>
          <t>ÖSTERGÖTLANDS LÄN</t>
        </is>
      </c>
      <c r="E511" t="inlineStr">
        <is>
          <t>LINKÖPING</t>
        </is>
      </c>
      <c r="G511" t="n">
        <v>2.7</v>
      </c>
      <c r="H511" t="n">
        <v>0</v>
      </c>
      <c r="I511" t="n">
        <v>0</v>
      </c>
      <c r="J511" t="n">
        <v>0</v>
      </c>
      <c r="K511" t="n">
        <v>0</v>
      </c>
      <c r="L511" t="n">
        <v>0</v>
      </c>
      <c r="M511" t="n">
        <v>0</v>
      </c>
      <c r="N511" t="n">
        <v>0</v>
      </c>
      <c r="O511" t="n">
        <v>0</v>
      </c>
      <c r="P511" t="n">
        <v>0</v>
      </c>
      <c r="Q511" t="n">
        <v>0</v>
      </c>
      <c r="R511" s="2" t="inlineStr"/>
    </row>
    <row r="512" ht="15" customHeight="1">
      <c r="A512" t="inlineStr">
        <is>
          <t>A 18183-2026</t>
        </is>
      </c>
      <c r="B512" s="1" t="n">
        <v>46125</v>
      </c>
      <c r="C512" s="1" t="n">
        <v>46160</v>
      </c>
      <c r="D512" t="inlineStr">
        <is>
          <t>ÖSTERGÖTLANDS LÄN</t>
        </is>
      </c>
      <c r="E512" t="inlineStr">
        <is>
          <t>LINKÖPING</t>
        </is>
      </c>
      <c r="G512" t="n">
        <v>3.6</v>
      </c>
      <c r="H512" t="n">
        <v>0</v>
      </c>
      <c r="I512" t="n">
        <v>0</v>
      </c>
      <c r="J512" t="n">
        <v>0</v>
      </c>
      <c r="K512" t="n">
        <v>0</v>
      </c>
      <c r="L512" t="n">
        <v>0</v>
      </c>
      <c r="M512" t="n">
        <v>0</v>
      </c>
      <c r="N512" t="n">
        <v>0</v>
      </c>
      <c r="O512" t="n">
        <v>0</v>
      </c>
      <c r="P512" t="n">
        <v>0</v>
      </c>
      <c r="Q512" t="n">
        <v>0</v>
      </c>
      <c r="R512" s="2" t="inlineStr"/>
    </row>
    <row r="513" ht="15" customHeight="1">
      <c r="A513" t="inlineStr">
        <is>
          <t>A 61899-2025</t>
        </is>
      </c>
      <c r="B513" s="1" t="n">
        <v>46003.46635416667</v>
      </c>
      <c r="C513" s="1" t="n">
        <v>46160</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62791-2025</t>
        </is>
      </c>
      <c r="B514" s="1" t="n">
        <v>46008.63266203704</v>
      </c>
      <c r="C514" s="1" t="n">
        <v>46160</v>
      </c>
      <c r="D514" t="inlineStr">
        <is>
          <t>ÖSTERGÖTLANDS LÄN</t>
        </is>
      </c>
      <c r="E514" t="inlineStr">
        <is>
          <t>LINKÖPING</t>
        </is>
      </c>
      <c r="G514" t="n">
        <v>2.4</v>
      </c>
      <c r="H514" t="n">
        <v>0</v>
      </c>
      <c r="I514" t="n">
        <v>0</v>
      </c>
      <c r="J514" t="n">
        <v>0</v>
      </c>
      <c r="K514" t="n">
        <v>0</v>
      </c>
      <c r="L514" t="n">
        <v>0</v>
      </c>
      <c r="M514" t="n">
        <v>0</v>
      </c>
      <c r="N514" t="n">
        <v>0</v>
      </c>
      <c r="O514" t="n">
        <v>0</v>
      </c>
      <c r="P514" t="n">
        <v>0</v>
      </c>
      <c r="Q514" t="n">
        <v>0</v>
      </c>
      <c r="R514" s="2" t="inlineStr"/>
    </row>
    <row r="515" ht="15" customHeight="1">
      <c r="A515" t="inlineStr">
        <is>
          <t>A 53814-2023</t>
        </is>
      </c>
      <c r="B515" s="1" t="n">
        <v>45231</v>
      </c>
      <c r="C515" s="1" t="n">
        <v>46160</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62686-2025</t>
        </is>
      </c>
      <c r="B516" s="1" t="n">
        <v>46008.46769675926</v>
      </c>
      <c r="C516" s="1" t="n">
        <v>46160</v>
      </c>
      <c r="D516" t="inlineStr">
        <is>
          <t>ÖSTERGÖTLANDS LÄN</t>
        </is>
      </c>
      <c r="E516" t="inlineStr">
        <is>
          <t>LINKÖPING</t>
        </is>
      </c>
      <c r="G516" t="n">
        <v>7.6</v>
      </c>
      <c r="H516" t="n">
        <v>0</v>
      </c>
      <c r="I516" t="n">
        <v>0</v>
      </c>
      <c r="J516" t="n">
        <v>0</v>
      </c>
      <c r="K516" t="n">
        <v>0</v>
      </c>
      <c r="L516" t="n">
        <v>0</v>
      </c>
      <c r="M516" t="n">
        <v>0</v>
      </c>
      <c r="N516" t="n">
        <v>0</v>
      </c>
      <c r="O516" t="n">
        <v>0</v>
      </c>
      <c r="P516" t="n">
        <v>0</v>
      </c>
      <c r="Q516" t="n">
        <v>0</v>
      </c>
      <c r="R516" s="2" t="inlineStr"/>
    </row>
    <row r="517" ht="15" customHeight="1">
      <c r="A517" t="inlineStr">
        <is>
          <t>A 62515-2025</t>
        </is>
      </c>
      <c r="B517" s="1" t="n">
        <v>46007.60548611111</v>
      </c>
      <c r="C517" s="1" t="n">
        <v>46160</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63147-2025</t>
        </is>
      </c>
      <c r="B518" s="1" t="n">
        <v>46010.35003472222</v>
      </c>
      <c r="C518" s="1" t="n">
        <v>46160</v>
      </c>
      <c r="D518" t="inlineStr">
        <is>
          <t>ÖSTERGÖTLANDS LÄN</t>
        </is>
      </c>
      <c r="E518" t="inlineStr">
        <is>
          <t>LINKÖPING</t>
        </is>
      </c>
      <c r="G518" t="n">
        <v>4</v>
      </c>
      <c r="H518" t="n">
        <v>0</v>
      </c>
      <c r="I518" t="n">
        <v>0</v>
      </c>
      <c r="J518" t="n">
        <v>0</v>
      </c>
      <c r="K518" t="n">
        <v>0</v>
      </c>
      <c r="L518" t="n">
        <v>0</v>
      </c>
      <c r="M518" t="n">
        <v>0</v>
      </c>
      <c r="N518" t="n">
        <v>0</v>
      </c>
      <c r="O518" t="n">
        <v>0</v>
      </c>
      <c r="P518" t="n">
        <v>0</v>
      </c>
      <c r="Q518" t="n">
        <v>0</v>
      </c>
      <c r="R518" s="2" t="inlineStr"/>
    </row>
    <row r="519" ht="15" customHeight="1">
      <c r="A519" t="inlineStr">
        <is>
          <t>A 60004-2022</t>
        </is>
      </c>
      <c r="B519" s="1" t="n">
        <v>44909.47206018519</v>
      </c>
      <c r="C519" s="1" t="n">
        <v>46160</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63144-2025</t>
        </is>
      </c>
      <c r="B520" s="1" t="n">
        <v>46010.34716435185</v>
      </c>
      <c r="C520" s="1" t="n">
        <v>46160</v>
      </c>
      <c r="D520" t="inlineStr">
        <is>
          <t>ÖSTERGÖTLANDS LÄN</t>
        </is>
      </c>
      <c r="E520" t="inlineStr">
        <is>
          <t>LINKÖPING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52796-2023</t>
        </is>
      </c>
      <c r="B521" s="1" t="n">
        <v>45219</v>
      </c>
      <c r="C521" s="1" t="n">
        <v>46160</v>
      </c>
      <c r="D521" t="inlineStr">
        <is>
          <t>ÖSTERGÖTLANDS LÄN</t>
        </is>
      </c>
      <c r="E521" t="inlineStr">
        <is>
          <t>LINKÖPING</t>
        </is>
      </c>
      <c r="F521" t="inlineStr">
        <is>
          <t>Övriga statliga verk och myndigheter</t>
        </is>
      </c>
      <c r="G521" t="n">
        <v>3.9</v>
      </c>
      <c r="H521" t="n">
        <v>0</v>
      </c>
      <c r="I521" t="n">
        <v>0</v>
      </c>
      <c r="J521" t="n">
        <v>0</v>
      </c>
      <c r="K521" t="n">
        <v>0</v>
      </c>
      <c r="L521" t="n">
        <v>0</v>
      </c>
      <c r="M521" t="n">
        <v>0</v>
      </c>
      <c r="N521" t="n">
        <v>0</v>
      </c>
      <c r="O521" t="n">
        <v>0</v>
      </c>
      <c r="P521" t="n">
        <v>0</v>
      </c>
      <c r="Q521" t="n">
        <v>0</v>
      </c>
      <c r="R521" s="2" t="inlineStr"/>
    </row>
    <row r="522" ht="15" customHeight="1">
      <c r="A522" t="inlineStr">
        <is>
          <t>A 50743-2023</t>
        </is>
      </c>
      <c r="B522" s="1" t="n">
        <v>45217</v>
      </c>
      <c r="C522" s="1" t="n">
        <v>46160</v>
      </c>
      <c r="D522" t="inlineStr">
        <is>
          <t>ÖSTERGÖTLANDS LÄN</t>
        </is>
      </c>
      <c r="E522" t="inlineStr">
        <is>
          <t>LINKÖPING</t>
        </is>
      </c>
      <c r="G522" t="n">
        <v>2.7</v>
      </c>
      <c r="H522" t="n">
        <v>0</v>
      </c>
      <c r="I522" t="n">
        <v>0</v>
      </c>
      <c r="J522" t="n">
        <v>0</v>
      </c>
      <c r="K522" t="n">
        <v>0</v>
      </c>
      <c r="L522" t="n">
        <v>0</v>
      </c>
      <c r="M522" t="n">
        <v>0</v>
      </c>
      <c r="N522" t="n">
        <v>0</v>
      </c>
      <c r="O522" t="n">
        <v>0</v>
      </c>
      <c r="P522" t="n">
        <v>0</v>
      </c>
      <c r="Q522" t="n">
        <v>0</v>
      </c>
      <c r="R522" s="2" t="inlineStr"/>
    </row>
    <row r="523" ht="15" customHeight="1">
      <c r="A523" t="inlineStr">
        <is>
          <t>A 45771-2023</t>
        </is>
      </c>
      <c r="B523" s="1" t="n">
        <v>45195.4384375</v>
      </c>
      <c r="C523" s="1" t="n">
        <v>46160</v>
      </c>
      <c r="D523" t="inlineStr">
        <is>
          <t>ÖSTERGÖTLANDS LÄN</t>
        </is>
      </c>
      <c r="E523" t="inlineStr">
        <is>
          <t>LINKÖPING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63554-2023</t>
        </is>
      </c>
      <c r="B524" s="1" t="n">
        <v>45275</v>
      </c>
      <c r="C524" s="1" t="n">
        <v>46160</v>
      </c>
      <c r="D524" t="inlineStr">
        <is>
          <t>ÖSTERGÖTLANDS LÄN</t>
        </is>
      </c>
      <c r="E524" t="inlineStr">
        <is>
          <t>LINKÖPING</t>
        </is>
      </c>
      <c r="G524" t="n">
        <v>4.3</v>
      </c>
      <c r="H524" t="n">
        <v>0</v>
      </c>
      <c r="I524" t="n">
        <v>0</v>
      </c>
      <c r="J524" t="n">
        <v>0</v>
      </c>
      <c r="K524" t="n">
        <v>0</v>
      </c>
      <c r="L524" t="n">
        <v>0</v>
      </c>
      <c r="M524" t="n">
        <v>0</v>
      </c>
      <c r="N524" t="n">
        <v>0</v>
      </c>
      <c r="O524" t="n">
        <v>0</v>
      </c>
      <c r="P524" t="n">
        <v>0</v>
      </c>
      <c r="Q524" t="n">
        <v>0</v>
      </c>
      <c r="R524" s="2" t="inlineStr"/>
    </row>
    <row r="525" ht="15" customHeight="1">
      <c r="A525" t="inlineStr">
        <is>
          <t>A 30111-2024</t>
        </is>
      </c>
      <c r="B525" s="1" t="n">
        <v>45489.46947916667</v>
      </c>
      <c r="C525" s="1" t="n">
        <v>46160</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30119-2024</t>
        </is>
      </c>
      <c r="B526" s="1" t="n">
        <v>45489</v>
      </c>
      <c r="C526" s="1" t="n">
        <v>46160</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6206-2024</t>
        </is>
      </c>
      <c r="B527" s="1" t="n">
        <v>45337.5977662037</v>
      </c>
      <c r="C527" s="1" t="n">
        <v>46160</v>
      </c>
      <c r="D527" t="inlineStr">
        <is>
          <t>ÖSTERGÖTLANDS LÄN</t>
        </is>
      </c>
      <c r="E527" t="inlineStr">
        <is>
          <t>LINKÖPING</t>
        </is>
      </c>
      <c r="G527" t="n">
        <v>2</v>
      </c>
      <c r="H527" t="n">
        <v>0</v>
      </c>
      <c r="I527" t="n">
        <v>0</v>
      </c>
      <c r="J527" t="n">
        <v>0</v>
      </c>
      <c r="K527" t="n">
        <v>0</v>
      </c>
      <c r="L527" t="n">
        <v>0</v>
      </c>
      <c r="M527" t="n">
        <v>0</v>
      </c>
      <c r="N527" t="n">
        <v>0</v>
      </c>
      <c r="O527" t="n">
        <v>0</v>
      </c>
      <c r="P527" t="n">
        <v>0</v>
      </c>
      <c r="Q527" t="n">
        <v>0</v>
      </c>
      <c r="R527" s="2" t="inlineStr"/>
    </row>
    <row r="528" ht="15" customHeight="1">
      <c r="A528" t="inlineStr">
        <is>
          <t>A 15714-2024</t>
        </is>
      </c>
      <c r="B528" s="1" t="n">
        <v>45404.48288194444</v>
      </c>
      <c r="C528" s="1" t="n">
        <v>46160</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30481-2023</t>
        </is>
      </c>
      <c r="B529" s="1" t="n">
        <v>45111</v>
      </c>
      <c r="C529" s="1" t="n">
        <v>46160</v>
      </c>
      <c r="D529" t="inlineStr">
        <is>
          <t>ÖSTERGÖTLANDS LÄN</t>
        </is>
      </c>
      <c r="E529" t="inlineStr">
        <is>
          <t>LINKÖPING</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74160-2021</t>
        </is>
      </c>
      <c r="B530" s="1" t="n">
        <v>44558</v>
      </c>
      <c r="C530" s="1" t="n">
        <v>46160</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63559-2023</t>
        </is>
      </c>
      <c r="B531" s="1" t="n">
        <v>45275.35924768518</v>
      </c>
      <c r="C531" s="1" t="n">
        <v>46160</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11888-2026</t>
        </is>
      </c>
      <c r="B532" s="1" t="n">
        <v>46085.51813657407</v>
      </c>
      <c r="C532" s="1" t="n">
        <v>46160</v>
      </c>
      <c r="D532" t="inlineStr">
        <is>
          <t>ÖSTERGÖTLANDS LÄN</t>
        </is>
      </c>
      <c r="E532" t="inlineStr">
        <is>
          <t>LINKÖPING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23491-2024</t>
        </is>
      </c>
      <c r="B533" s="1" t="n">
        <v>45453</v>
      </c>
      <c r="C533" s="1" t="n">
        <v>46160</v>
      </c>
      <c r="D533" t="inlineStr">
        <is>
          <t>ÖSTERGÖTLANDS LÄN</t>
        </is>
      </c>
      <c r="E533" t="inlineStr">
        <is>
          <t>LINKÖPING</t>
        </is>
      </c>
      <c r="G533" t="n">
        <v>2.2</v>
      </c>
      <c r="H533" t="n">
        <v>0</v>
      </c>
      <c r="I533" t="n">
        <v>0</v>
      </c>
      <c r="J533" t="n">
        <v>0</v>
      </c>
      <c r="K533" t="n">
        <v>0</v>
      </c>
      <c r="L533" t="n">
        <v>0</v>
      </c>
      <c r="M533" t="n">
        <v>0</v>
      </c>
      <c r="N533" t="n">
        <v>0</v>
      </c>
      <c r="O533" t="n">
        <v>0</v>
      </c>
      <c r="P533" t="n">
        <v>0</v>
      </c>
      <c r="Q533" t="n">
        <v>0</v>
      </c>
      <c r="R533" s="2" t="inlineStr"/>
    </row>
    <row r="534" ht="15" customHeight="1">
      <c r="A534" t="inlineStr">
        <is>
          <t>A 11891-2026</t>
        </is>
      </c>
      <c r="B534" s="1" t="n">
        <v>46085.5197800926</v>
      </c>
      <c r="C534" s="1" t="n">
        <v>46160</v>
      </c>
      <c r="D534" t="inlineStr">
        <is>
          <t>ÖSTERGÖTLANDS LÄN</t>
        </is>
      </c>
      <c r="E534" t="inlineStr">
        <is>
          <t>LINKÖPING</t>
        </is>
      </c>
      <c r="G534" t="n">
        <v>2.8</v>
      </c>
      <c r="H534" t="n">
        <v>0</v>
      </c>
      <c r="I534" t="n">
        <v>0</v>
      </c>
      <c r="J534" t="n">
        <v>0</v>
      </c>
      <c r="K534" t="n">
        <v>0</v>
      </c>
      <c r="L534" t="n">
        <v>0</v>
      </c>
      <c r="M534" t="n">
        <v>0</v>
      </c>
      <c r="N534" t="n">
        <v>0</v>
      </c>
      <c r="O534" t="n">
        <v>0</v>
      </c>
      <c r="P534" t="n">
        <v>0</v>
      </c>
      <c r="Q534" t="n">
        <v>0</v>
      </c>
      <c r="R534" s="2" t="inlineStr"/>
    </row>
    <row r="535" ht="15" customHeight="1">
      <c r="A535" t="inlineStr">
        <is>
          <t>A 29309-2024</t>
        </is>
      </c>
      <c r="B535" s="1" t="n">
        <v>45483</v>
      </c>
      <c r="C535" s="1" t="n">
        <v>46160</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29411-2023</t>
        </is>
      </c>
      <c r="B536" s="1" t="n">
        <v>45106.46225694445</v>
      </c>
      <c r="C536" s="1" t="n">
        <v>46160</v>
      </c>
      <c r="D536" t="inlineStr">
        <is>
          <t>ÖSTERGÖTLANDS LÄN</t>
        </is>
      </c>
      <c r="E536" t="inlineStr">
        <is>
          <t>LINKÖPING</t>
        </is>
      </c>
      <c r="G536" t="n">
        <v>2.5</v>
      </c>
      <c r="H536" t="n">
        <v>0</v>
      </c>
      <c r="I536" t="n">
        <v>0</v>
      </c>
      <c r="J536" t="n">
        <v>0</v>
      </c>
      <c r="K536" t="n">
        <v>0</v>
      </c>
      <c r="L536" t="n">
        <v>0</v>
      </c>
      <c r="M536" t="n">
        <v>0</v>
      </c>
      <c r="N536" t="n">
        <v>0</v>
      </c>
      <c r="O536" t="n">
        <v>0</v>
      </c>
      <c r="P536" t="n">
        <v>0</v>
      </c>
      <c r="Q536" t="n">
        <v>0</v>
      </c>
      <c r="R536" s="2" t="inlineStr"/>
    </row>
    <row r="537" ht="15" customHeight="1">
      <c r="A537" t="inlineStr">
        <is>
          <t>A 29412-2023</t>
        </is>
      </c>
      <c r="B537" s="1" t="n">
        <v>45106.46359953703</v>
      </c>
      <c r="C537" s="1" t="n">
        <v>46160</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29413-2023</t>
        </is>
      </c>
      <c r="B538" s="1" t="n">
        <v>45106.46465277778</v>
      </c>
      <c r="C538" s="1" t="n">
        <v>46160</v>
      </c>
      <c r="D538" t="inlineStr">
        <is>
          <t>ÖSTERGÖTLANDS LÄN</t>
        </is>
      </c>
      <c r="E538" t="inlineStr">
        <is>
          <t>LINKÖPING</t>
        </is>
      </c>
      <c r="G538" t="n">
        <v>8</v>
      </c>
      <c r="H538" t="n">
        <v>0</v>
      </c>
      <c r="I538" t="n">
        <v>0</v>
      </c>
      <c r="J538" t="n">
        <v>0</v>
      </c>
      <c r="K538" t="n">
        <v>0</v>
      </c>
      <c r="L538" t="n">
        <v>0</v>
      </c>
      <c r="M538" t="n">
        <v>0</v>
      </c>
      <c r="N538" t="n">
        <v>0</v>
      </c>
      <c r="O538" t="n">
        <v>0</v>
      </c>
      <c r="P538" t="n">
        <v>0</v>
      </c>
      <c r="Q538" t="n">
        <v>0</v>
      </c>
      <c r="R538" s="2" t="inlineStr"/>
    </row>
    <row r="539" ht="15" customHeight="1">
      <c r="A539" t="inlineStr">
        <is>
          <t>A 24151-2024</t>
        </is>
      </c>
      <c r="B539" s="1" t="n">
        <v>45456.67717592593</v>
      </c>
      <c r="C539" s="1" t="n">
        <v>46160</v>
      </c>
      <c r="D539" t="inlineStr">
        <is>
          <t>ÖSTERGÖTLANDS LÄN</t>
        </is>
      </c>
      <c r="E539" t="inlineStr">
        <is>
          <t>LINKÖPING</t>
        </is>
      </c>
      <c r="G539" t="n">
        <v>2.1</v>
      </c>
      <c r="H539" t="n">
        <v>0</v>
      </c>
      <c r="I539" t="n">
        <v>0</v>
      </c>
      <c r="J539" t="n">
        <v>0</v>
      </c>
      <c r="K539" t="n">
        <v>0</v>
      </c>
      <c r="L539" t="n">
        <v>0</v>
      </c>
      <c r="M539" t="n">
        <v>0</v>
      </c>
      <c r="N539" t="n">
        <v>0</v>
      </c>
      <c r="O539" t="n">
        <v>0</v>
      </c>
      <c r="P539" t="n">
        <v>0</v>
      </c>
      <c r="Q539" t="n">
        <v>0</v>
      </c>
      <c r="R539" s="2" t="inlineStr"/>
    </row>
    <row r="540" ht="15" customHeight="1">
      <c r="A540" t="inlineStr">
        <is>
          <t>A 12254-2026</t>
        </is>
      </c>
      <c r="B540" s="1" t="n">
        <v>46087.46196759259</v>
      </c>
      <c r="C540" s="1" t="n">
        <v>46160</v>
      </c>
      <c r="D540" t="inlineStr">
        <is>
          <t>ÖSTERGÖTLANDS LÄN</t>
        </is>
      </c>
      <c r="E540" t="inlineStr">
        <is>
          <t>LINKÖPING</t>
        </is>
      </c>
      <c r="G540" t="n">
        <v>10.4</v>
      </c>
      <c r="H540" t="n">
        <v>0</v>
      </c>
      <c r="I540" t="n">
        <v>0</v>
      </c>
      <c r="J540" t="n">
        <v>0</v>
      </c>
      <c r="K540" t="n">
        <v>0</v>
      </c>
      <c r="L540" t="n">
        <v>0</v>
      </c>
      <c r="M540" t="n">
        <v>0</v>
      </c>
      <c r="N540" t="n">
        <v>0</v>
      </c>
      <c r="O540" t="n">
        <v>0</v>
      </c>
      <c r="P540" t="n">
        <v>0</v>
      </c>
      <c r="Q540" t="n">
        <v>0</v>
      </c>
      <c r="R540" s="2" t="inlineStr"/>
    </row>
    <row r="541" ht="15" customHeight="1">
      <c r="A541" t="inlineStr">
        <is>
          <t>A 12251-2026</t>
        </is>
      </c>
      <c r="B541" s="1" t="n">
        <v>46087.45278935185</v>
      </c>
      <c r="C541" s="1" t="n">
        <v>46160</v>
      </c>
      <c r="D541" t="inlineStr">
        <is>
          <t>ÖSTERGÖTLANDS LÄN</t>
        </is>
      </c>
      <c r="E541" t="inlineStr">
        <is>
          <t>LINKÖPING</t>
        </is>
      </c>
      <c r="G541" t="n">
        <v>1.2</v>
      </c>
      <c r="H541" t="n">
        <v>0</v>
      </c>
      <c r="I541" t="n">
        <v>0</v>
      </c>
      <c r="J541" t="n">
        <v>0</v>
      </c>
      <c r="K541" t="n">
        <v>0</v>
      </c>
      <c r="L541" t="n">
        <v>0</v>
      </c>
      <c r="M541" t="n">
        <v>0</v>
      </c>
      <c r="N541" t="n">
        <v>0</v>
      </c>
      <c r="O541" t="n">
        <v>0</v>
      </c>
      <c r="P541" t="n">
        <v>0</v>
      </c>
      <c r="Q541" t="n">
        <v>0</v>
      </c>
      <c r="R541" s="2" t="inlineStr"/>
    </row>
    <row r="542" ht="15" customHeight="1">
      <c r="A542" t="inlineStr">
        <is>
          <t>A 63845-2021</t>
        </is>
      </c>
      <c r="B542" s="1" t="n">
        <v>44509</v>
      </c>
      <c r="C542" s="1" t="n">
        <v>46160</v>
      </c>
      <c r="D542" t="inlineStr">
        <is>
          <t>ÖSTERGÖTLANDS LÄN</t>
        </is>
      </c>
      <c r="E542" t="inlineStr">
        <is>
          <t>LINKÖPING</t>
        </is>
      </c>
      <c r="G542" t="n">
        <v>5</v>
      </c>
      <c r="H542" t="n">
        <v>0</v>
      </c>
      <c r="I542" t="n">
        <v>0</v>
      </c>
      <c r="J542" t="n">
        <v>0</v>
      </c>
      <c r="K542" t="n">
        <v>0</v>
      </c>
      <c r="L542" t="n">
        <v>0</v>
      </c>
      <c r="M542" t="n">
        <v>0</v>
      </c>
      <c r="N542" t="n">
        <v>0</v>
      </c>
      <c r="O542" t="n">
        <v>0</v>
      </c>
      <c r="P542" t="n">
        <v>0</v>
      </c>
      <c r="Q542" t="n">
        <v>0</v>
      </c>
      <c r="R542" s="2" t="inlineStr"/>
    </row>
    <row r="543" ht="15" customHeight="1">
      <c r="A543" t="inlineStr">
        <is>
          <t>A 17785-2023</t>
        </is>
      </c>
      <c r="B543" s="1" t="n">
        <v>45037.55094907407</v>
      </c>
      <c r="C543" s="1" t="n">
        <v>46160</v>
      </c>
      <c r="D543" t="inlineStr">
        <is>
          <t>ÖSTERGÖTLANDS LÄN</t>
        </is>
      </c>
      <c r="E543" t="inlineStr">
        <is>
          <t>LINKÖPING</t>
        </is>
      </c>
      <c r="F543" t="inlineStr">
        <is>
          <t>Allmännings- och besparingsskogar</t>
        </is>
      </c>
      <c r="G543" t="n">
        <v>3.1</v>
      </c>
      <c r="H543" t="n">
        <v>0</v>
      </c>
      <c r="I543" t="n">
        <v>0</v>
      </c>
      <c r="J543" t="n">
        <v>0</v>
      </c>
      <c r="K543" t="n">
        <v>0</v>
      </c>
      <c r="L543" t="n">
        <v>0</v>
      </c>
      <c r="M543" t="n">
        <v>0</v>
      </c>
      <c r="N543" t="n">
        <v>0</v>
      </c>
      <c r="O543" t="n">
        <v>0</v>
      </c>
      <c r="P543" t="n">
        <v>0</v>
      </c>
      <c r="Q543" t="n">
        <v>0</v>
      </c>
      <c r="R543" s="2" t="inlineStr"/>
    </row>
    <row r="544" ht="15" customHeight="1">
      <c r="A544" t="inlineStr">
        <is>
          <t>A 32346-2023</t>
        </is>
      </c>
      <c r="B544" s="1" t="n">
        <v>45120</v>
      </c>
      <c r="C544" s="1" t="n">
        <v>46160</v>
      </c>
      <c r="D544" t="inlineStr">
        <is>
          <t>ÖSTERGÖTLANDS LÄN</t>
        </is>
      </c>
      <c r="E544" t="inlineStr">
        <is>
          <t>LINKÖPING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1627-2023</t>
        </is>
      </c>
      <c r="B545" s="1" t="n">
        <v>44937</v>
      </c>
      <c r="C545" s="1" t="n">
        <v>46160</v>
      </c>
      <c r="D545" t="inlineStr">
        <is>
          <t>ÖSTERGÖTLANDS LÄN</t>
        </is>
      </c>
      <c r="E545" t="inlineStr">
        <is>
          <t>LINKÖPING</t>
        </is>
      </c>
      <c r="G545" t="n">
        <v>10.8</v>
      </c>
      <c r="H545" t="n">
        <v>0</v>
      </c>
      <c r="I545" t="n">
        <v>0</v>
      </c>
      <c r="J545" t="n">
        <v>0</v>
      </c>
      <c r="K545" t="n">
        <v>0</v>
      </c>
      <c r="L545" t="n">
        <v>0</v>
      </c>
      <c r="M545" t="n">
        <v>0</v>
      </c>
      <c r="N545" t="n">
        <v>0</v>
      </c>
      <c r="O545" t="n">
        <v>0</v>
      </c>
      <c r="P545" t="n">
        <v>0</v>
      </c>
      <c r="Q545" t="n">
        <v>0</v>
      </c>
      <c r="R545" s="2" t="inlineStr"/>
    </row>
    <row r="546" ht="15" customHeight="1">
      <c r="A546" t="inlineStr">
        <is>
          <t>A 12482-2026</t>
        </is>
      </c>
      <c r="B546" s="1" t="n">
        <v>46090.56292824074</v>
      </c>
      <c r="C546" s="1" t="n">
        <v>46160</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16665-2023</t>
        </is>
      </c>
      <c r="B547" s="1" t="n">
        <v>45030.5583912037</v>
      </c>
      <c r="C547" s="1" t="n">
        <v>46160</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60860-2024</t>
        </is>
      </c>
      <c r="B548" s="1" t="n">
        <v>45644.6893287037</v>
      </c>
      <c r="C548" s="1" t="n">
        <v>46160</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31640-2023</t>
        </is>
      </c>
      <c r="B549" s="1" t="n">
        <v>45117</v>
      </c>
      <c r="C549" s="1" t="n">
        <v>46160</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16213-2025</t>
        </is>
      </c>
      <c r="B550" s="1" t="n">
        <v>45750.62740740741</v>
      </c>
      <c r="C550" s="1" t="n">
        <v>46160</v>
      </c>
      <c r="D550" t="inlineStr">
        <is>
          <t>ÖSTERGÖTLANDS LÄN</t>
        </is>
      </c>
      <c r="E550" t="inlineStr">
        <is>
          <t>LINKÖPING</t>
        </is>
      </c>
      <c r="G550" t="n">
        <v>3.4</v>
      </c>
      <c r="H550" t="n">
        <v>0</v>
      </c>
      <c r="I550" t="n">
        <v>0</v>
      </c>
      <c r="J550" t="n">
        <v>0</v>
      </c>
      <c r="K550" t="n">
        <v>0</v>
      </c>
      <c r="L550" t="n">
        <v>0</v>
      </c>
      <c r="M550" t="n">
        <v>0</v>
      </c>
      <c r="N550" t="n">
        <v>0</v>
      </c>
      <c r="O550" t="n">
        <v>0</v>
      </c>
      <c r="P550" t="n">
        <v>0</v>
      </c>
      <c r="Q550" t="n">
        <v>0</v>
      </c>
      <c r="R550" s="2" t="inlineStr"/>
    </row>
    <row r="551" ht="15" customHeight="1">
      <c r="A551" t="inlineStr">
        <is>
          <t>A 34872-2023</t>
        </is>
      </c>
      <c r="B551" s="1" t="n">
        <v>45140</v>
      </c>
      <c r="C551" s="1" t="n">
        <v>46160</v>
      </c>
      <c r="D551" t="inlineStr">
        <is>
          <t>ÖSTERGÖTLANDS LÄN</t>
        </is>
      </c>
      <c r="E551" t="inlineStr">
        <is>
          <t>LINKÖPING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33000-2023</t>
        </is>
      </c>
      <c r="B552" s="1" t="n">
        <v>45125</v>
      </c>
      <c r="C552" s="1" t="n">
        <v>46160</v>
      </c>
      <c r="D552" t="inlineStr">
        <is>
          <t>ÖSTERGÖTLANDS LÄN</t>
        </is>
      </c>
      <c r="E552" t="inlineStr">
        <is>
          <t>LINKÖPING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12486-2026</t>
        </is>
      </c>
      <c r="B553" s="1" t="n">
        <v>46090.56501157407</v>
      </c>
      <c r="C553" s="1" t="n">
        <v>46160</v>
      </c>
      <c r="D553" t="inlineStr">
        <is>
          <t>ÖSTERGÖTLANDS LÄN</t>
        </is>
      </c>
      <c r="E553" t="inlineStr">
        <is>
          <t>LINKÖPING</t>
        </is>
      </c>
      <c r="G553" t="n">
        <v>2.6</v>
      </c>
      <c r="H553" t="n">
        <v>0</v>
      </c>
      <c r="I553" t="n">
        <v>0</v>
      </c>
      <c r="J553" t="n">
        <v>0</v>
      </c>
      <c r="K553" t="n">
        <v>0</v>
      </c>
      <c r="L553" t="n">
        <v>0</v>
      </c>
      <c r="M553" t="n">
        <v>0</v>
      </c>
      <c r="N553" t="n">
        <v>0</v>
      </c>
      <c r="O553" t="n">
        <v>0</v>
      </c>
      <c r="P553" t="n">
        <v>0</v>
      </c>
      <c r="Q553" t="n">
        <v>0</v>
      </c>
      <c r="R553" s="2" t="inlineStr"/>
    </row>
    <row r="554" ht="15" customHeight="1">
      <c r="A554" t="inlineStr">
        <is>
          <t>A 2997-2025</t>
        </is>
      </c>
      <c r="B554" s="1" t="n">
        <v>45678.54631944445</v>
      </c>
      <c r="C554" s="1" t="n">
        <v>46160</v>
      </c>
      <c r="D554" t="inlineStr">
        <is>
          <t>ÖSTERGÖTLANDS LÄN</t>
        </is>
      </c>
      <c r="E554" t="inlineStr">
        <is>
          <t>LINKÖPING</t>
        </is>
      </c>
      <c r="G554" t="n">
        <v>2.7</v>
      </c>
      <c r="H554" t="n">
        <v>0</v>
      </c>
      <c r="I554" t="n">
        <v>0</v>
      </c>
      <c r="J554" t="n">
        <v>0</v>
      </c>
      <c r="K554" t="n">
        <v>0</v>
      </c>
      <c r="L554" t="n">
        <v>0</v>
      </c>
      <c r="M554" t="n">
        <v>0</v>
      </c>
      <c r="N554" t="n">
        <v>0</v>
      </c>
      <c r="O554" t="n">
        <v>0</v>
      </c>
      <c r="P554" t="n">
        <v>0</v>
      </c>
      <c r="Q554" t="n">
        <v>0</v>
      </c>
      <c r="R554" s="2" t="inlineStr"/>
    </row>
    <row r="555" ht="15" customHeight="1">
      <c r="A555" t="inlineStr">
        <is>
          <t>A 31534-2023</t>
        </is>
      </c>
      <c r="B555" s="1" t="n">
        <v>45116</v>
      </c>
      <c r="C555" s="1" t="n">
        <v>46160</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26803-2024</t>
        </is>
      </c>
      <c r="B556" s="1" t="n">
        <v>45470</v>
      </c>
      <c r="C556" s="1" t="n">
        <v>46160</v>
      </c>
      <c r="D556" t="inlineStr">
        <is>
          <t>ÖSTERGÖTLANDS LÄN</t>
        </is>
      </c>
      <c r="E556" t="inlineStr">
        <is>
          <t>LINKÖPING</t>
        </is>
      </c>
      <c r="F556" t="inlineStr">
        <is>
          <t>Allmännings- och besparingsskogar</t>
        </is>
      </c>
      <c r="G556" t="n">
        <v>4.5</v>
      </c>
      <c r="H556" t="n">
        <v>0</v>
      </c>
      <c r="I556" t="n">
        <v>0</v>
      </c>
      <c r="J556" t="n">
        <v>0</v>
      </c>
      <c r="K556" t="n">
        <v>0</v>
      </c>
      <c r="L556" t="n">
        <v>0</v>
      </c>
      <c r="M556" t="n">
        <v>0</v>
      </c>
      <c r="N556" t="n">
        <v>0</v>
      </c>
      <c r="O556" t="n">
        <v>0</v>
      </c>
      <c r="P556" t="n">
        <v>0</v>
      </c>
      <c r="Q556" t="n">
        <v>0</v>
      </c>
      <c r="R556" s="2" t="inlineStr"/>
    </row>
    <row r="557" ht="15" customHeight="1">
      <c r="A557" t="inlineStr">
        <is>
          <t>A 45806-2024</t>
        </is>
      </c>
      <c r="B557" s="1" t="n">
        <v>45579.69619212963</v>
      </c>
      <c r="C557" s="1" t="n">
        <v>46160</v>
      </c>
      <c r="D557" t="inlineStr">
        <is>
          <t>ÖSTERGÖTLANDS LÄN</t>
        </is>
      </c>
      <c r="E557" t="inlineStr">
        <is>
          <t>LINKÖPING</t>
        </is>
      </c>
      <c r="G557" t="n">
        <v>1.6</v>
      </c>
      <c r="H557" t="n">
        <v>0</v>
      </c>
      <c r="I557" t="n">
        <v>0</v>
      </c>
      <c r="J557" t="n">
        <v>0</v>
      </c>
      <c r="K557" t="n">
        <v>0</v>
      </c>
      <c r="L557" t="n">
        <v>0</v>
      </c>
      <c r="M557" t="n">
        <v>0</v>
      </c>
      <c r="N557" t="n">
        <v>0</v>
      </c>
      <c r="O557" t="n">
        <v>0</v>
      </c>
      <c r="P557" t="n">
        <v>0</v>
      </c>
      <c r="Q557" t="n">
        <v>0</v>
      </c>
      <c r="R557" s="2" t="inlineStr"/>
    </row>
    <row r="558" ht="15" customHeight="1">
      <c r="A558" t="inlineStr">
        <is>
          <t>A 19523-2026</t>
        </is>
      </c>
      <c r="B558" s="1" t="n">
        <v>46134.35099537037</v>
      </c>
      <c r="C558" s="1" t="n">
        <v>46160</v>
      </c>
      <c r="D558" t="inlineStr">
        <is>
          <t>ÖSTERGÖTLANDS LÄN</t>
        </is>
      </c>
      <c r="E558" t="inlineStr">
        <is>
          <t>LINKÖPING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37154-2023</t>
        </is>
      </c>
      <c r="B559" s="1" t="n">
        <v>45155</v>
      </c>
      <c r="C559" s="1" t="n">
        <v>46160</v>
      </c>
      <c r="D559" t="inlineStr">
        <is>
          <t>ÖSTERGÖTLANDS LÄN</t>
        </is>
      </c>
      <c r="E559" t="inlineStr">
        <is>
          <t>LINKÖPING</t>
        </is>
      </c>
      <c r="G559" t="n">
        <v>1.7</v>
      </c>
      <c r="H559" t="n">
        <v>0</v>
      </c>
      <c r="I559" t="n">
        <v>0</v>
      </c>
      <c r="J559" t="n">
        <v>0</v>
      </c>
      <c r="K559" t="n">
        <v>0</v>
      </c>
      <c r="L559" t="n">
        <v>0</v>
      </c>
      <c r="M559" t="n">
        <v>0</v>
      </c>
      <c r="N559" t="n">
        <v>0</v>
      </c>
      <c r="O559" t="n">
        <v>0</v>
      </c>
      <c r="P559" t="n">
        <v>0</v>
      </c>
      <c r="Q559" t="n">
        <v>0</v>
      </c>
      <c r="R559" s="2" t="inlineStr"/>
    </row>
    <row r="560" ht="15" customHeight="1">
      <c r="A560" t="inlineStr">
        <is>
          <t>A 11330-2023</t>
        </is>
      </c>
      <c r="B560" s="1" t="n">
        <v>44993.24648148148</v>
      </c>
      <c r="C560" s="1" t="n">
        <v>46160</v>
      </c>
      <c r="D560" t="inlineStr">
        <is>
          <t>ÖSTERGÖTLANDS LÄN</t>
        </is>
      </c>
      <c r="E560" t="inlineStr">
        <is>
          <t>LINKÖPING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42000-2023</t>
        </is>
      </c>
      <c r="B561" s="1" t="n">
        <v>45177</v>
      </c>
      <c r="C561" s="1" t="n">
        <v>46160</v>
      </c>
      <c r="D561" t="inlineStr">
        <is>
          <t>ÖSTERGÖTLANDS LÄN</t>
        </is>
      </c>
      <c r="E561" t="inlineStr">
        <is>
          <t>LINKÖPING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17513-2026</t>
        </is>
      </c>
      <c r="B562" s="1" t="n">
        <v>46120</v>
      </c>
      <c r="C562" s="1" t="n">
        <v>46160</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14135-2026</t>
        </is>
      </c>
      <c r="B563" s="1" t="n">
        <v>46099</v>
      </c>
      <c r="C563" s="1" t="n">
        <v>46160</v>
      </c>
      <c r="D563" t="inlineStr">
        <is>
          <t>ÖSTERGÖTLANDS LÄN</t>
        </is>
      </c>
      <c r="E563" t="inlineStr">
        <is>
          <t>LINKÖPING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13565-2026</t>
        </is>
      </c>
      <c r="B564" s="1" t="n">
        <v>46094.80006944444</v>
      </c>
      <c r="C564" s="1" t="n">
        <v>46160</v>
      </c>
      <c r="D564" t="inlineStr">
        <is>
          <t>ÖSTERGÖTLANDS LÄN</t>
        </is>
      </c>
      <c r="E564" t="inlineStr">
        <is>
          <t>LINKÖPING</t>
        </is>
      </c>
      <c r="G564" t="n">
        <v>2.2</v>
      </c>
      <c r="H564" t="n">
        <v>0</v>
      </c>
      <c r="I564" t="n">
        <v>0</v>
      </c>
      <c r="J564" t="n">
        <v>0</v>
      </c>
      <c r="K564" t="n">
        <v>0</v>
      </c>
      <c r="L564" t="n">
        <v>0</v>
      </c>
      <c r="M564" t="n">
        <v>0</v>
      </c>
      <c r="N564" t="n">
        <v>0</v>
      </c>
      <c r="O564" t="n">
        <v>0</v>
      </c>
      <c r="P564" t="n">
        <v>0</v>
      </c>
      <c r="Q564" t="n">
        <v>0</v>
      </c>
      <c r="R564" s="2" t="inlineStr"/>
    </row>
    <row r="565" ht="15" customHeight="1">
      <c r="A565" t="inlineStr">
        <is>
          <t>A 32602-2022</t>
        </is>
      </c>
      <c r="B565" s="1" t="n">
        <v>44783.43192129629</v>
      </c>
      <c r="C565" s="1" t="n">
        <v>46160</v>
      </c>
      <c r="D565" t="inlineStr">
        <is>
          <t>ÖSTERGÖTLANDS LÄN</t>
        </is>
      </c>
      <c r="E565" t="inlineStr">
        <is>
          <t>LINKÖPING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5099-2026</t>
        </is>
      </c>
      <c r="B566" s="1" t="n">
        <v>46049.56158564815</v>
      </c>
      <c r="C566" s="1" t="n">
        <v>46160</v>
      </c>
      <c r="D566" t="inlineStr">
        <is>
          <t>ÖSTERGÖTLANDS LÄN</t>
        </is>
      </c>
      <c r="E566" t="inlineStr">
        <is>
          <t>LINKÖPING</t>
        </is>
      </c>
      <c r="G566" t="n">
        <v>5</v>
      </c>
      <c r="H566" t="n">
        <v>0</v>
      </c>
      <c r="I566" t="n">
        <v>0</v>
      </c>
      <c r="J566" t="n">
        <v>0</v>
      </c>
      <c r="K566" t="n">
        <v>0</v>
      </c>
      <c r="L566" t="n">
        <v>0</v>
      </c>
      <c r="M566" t="n">
        <v>0</v>
      </c>
      <c r="N566" t="n">
        <v>0</v>
      </c>
      <c r="O566" t="n">
        <v>0</v>
      </c>
      <c r="P566" t="n">
        <v>0</v>
      </c>
      <c r="Q566" t="n">
        <v>0</v>
      </c>
      <c r="R566" s="2" t="inlineStr"/>
    </row>
    <row r="567" ht="15" customHeight="1">
      <c r="A567" t="inlineStr">
        <is>
          <t>A 12174-2026</t>
        </is>
      </c>
      <c r="B567" s="1" t="n">
        <v>46086</v>
      </c>
      <c r="C567" s="1" t="n">
        <v>46160</v>
      </c>
      <c r="D567" t="inlineStr">
        <is>
          <t>ÖSTERGÖTLANDS LÄN</t>
        </is>
      </c>
      <c r="E567" t="inlineStr">
        <is>
          <t>LINKÖPING</t>
        </is>
      </c>
      <c r="G567" t="n">
        <v>7.2</v>
      </c>
      <c r="H567" t="n">
        <v>0</v>
      </c>
      <c r="I567" t="n">
        <v>0</v>
      </c>
      <c r="J567" t="n">
        <v>0</v>
      </c>
      <c r="K567" t="n">
        <v>0</v>
      </c>
      <c r="L567" t="n">
        <v>0</v>
      </c>
      <c r="M567" t="n">
        <v>0</v>
      </c>
      <c r="N567" t="n">
        <v>0</v>
      </c>
      <c r="O567" t="n">
        <v>0</v>
      </c>
      <c r="P567" t="n">
        <v>0</v>
      </c>
      <c r="Q567" t="n">
        <v>0</v>
      </c>
      <c r="R567" s="2" t="inlineStr"/>
    </row>
    <row r="568" ht="15" customHeight="1">
      <c r="A568" t="inlineStr">
        <is>
          <t>A 12175-2026</t>
        </is>
      </c>
      <c r="B568" s="1" t="n">
        <v>46086</v>
      </c>
      <c r="C568" s="1" t="n">
        <v>46160</v>
      </c>
      <c r="D568" t="inlineStr">
        <is>
          <t>ÖSTERGÖTLANDS LÄN</t>
        </is>
      </c>
      <c r="E568" t="inlineStr">
        <is>
          <t>LINKÖPING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12181-2026</t>
        </is>
      </c>
      <c r="B569" s="1" t="n">
        <v>46086</v>
      </c>
      <c r="C569" s="1" t="n">
        <v>46160</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13413-2023</t>
        </is>
      </c>
      <c r="B570" s="1" t="n">
        <v>45005.58341435185</v>
      </c>
      <c r="C570" s="1" t="n">
        <v>46160</v>
      </c>
      <c r="D570" t="inlineStr">
        <is>
          <t>ÖSTERGÖTLANDS LÄN</t>
        </is>
      </c>
      <c r="E570" t="inlineStr">
        <is>
          <t>LINKÖPING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63528-2023</t>
        </is>
      </c>
      <c r="B571" s="1" t="n">
        <v>45274.94810185185</v>
      </c>
      <c r="C571" s="1" t="n">
        <v>46160</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63638-2023</t>
        </is>
      </c>
      <c r="B572" s="1" t="n">
        <v>45275</v>
      </c>
      <c r="C572" s="1" t="n">
        <v>46160</v>
      </c>
      <c r="D572" t="inlineStr">
        <is>
          <t>ÖSTERGÖTLANDS LÄN</t>
        </is>
      </c>
      <c r="E572" t="inlineStr">
        <is>
          <t>LINKÖPING</t>
        </is>
      </c>
      <c r="F572" t="inlineStr">
        <is>
          <t>Övriga Aktiebolag</t>
        </is>
      </c>
      <c r="G572" t="n">
        <v>2.4</v>
      </c>
      <c r="H572" t="n">
        <v>0</v>
      </c>
      <c r="I572" t="n">
        <v>0</v>
      </c>
      <c r="J572" t="n">
        <v>0</v>
      </c>
      <c r="K572" t="n">
        <v>0</v>
      </c>
      <c r="L572" t="n">
        <v>0</v>
      </c>
      <c r="M572" t="n">
        <v>0</v>
      </c>
      <c r="N572" t="n">
        <v>0</v>
      </c>
      <c r="O572" t="n">
        <v>0</v>
      </c>
      <c r="P572" t="n">
        <v>0</v>
      </c>
      <c r="Q572" t="n">
        <v>0</v>
      </c>
      <c r="R572" s="2" t="inlineStr"/>
    </row>
    <row r="573" ht="15" customHeight="1">
      <c r="A573" t="inlineStr">
        <is>
          <t>A 63658-2023</t>
        </is>
      </c>
      <c r="B573" s="1" t="n">
        <v>45275</v>
      </c>
      <c r="C573" s="1" t="n">
        <v>46160</v>
      </c>
      <c r="D573" t="inlineStr">
        <is>
          <t>ÖSTERGÖTLANDS LÄN</t>
        </is>
      </c>
      <c r="E573" t="inlineStr">
        <is>
          <t>LINKÖPING</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7808-2022</t>
        </is>
      </c>
      <c r="B574" s="1" t="n">
        <v>44608</v>
      </c>
      <c r="C574" s="1" t="n">
        <v>46160</v>
      </c>
      <c r="D574" t="inlineStr">
        <is>
          <t>ÖSTERGÖTLANDS LÄN</t>
        </is>
      </c>
      <c r="E574" t="inlineStr">
        <is>
          <t>LINKÖPING</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13927-2026</t>
        </is>
      </c>
      <c r="B575" s="1" t="n">
        <v>46098</v>
      </c>
      <c r="C575" s="1" t="n">
        <v>46160</v>
      </c>
      <c r="D575" t="inlineStr">
        <is>
          <t>ÖSTERGÖTLANDS LÄN</t>
        </is>
      </c>
      <c r="E575" t="inlineStr">
        <is>
          <t>LINKÖPING</t>
        </is>
      </c>
      <c r="G575" t="n">
        <v>1.8</v>
      </c>
      <c r="H575" t="n">
        <v>0</v>
      </c>
      <c r="I575" t="n">
        <v>0</v>
      </c>
      <c r="J575" t="n">
        <v>0</v>
      </c>
      <c r="K575" t="n">
        <v>0</v>
      </c>
      <c r="L575" t="n">
        <v>0</v>
      </c>
      <c r="M575" t="n">
        <v>0</v>
      </c>
      <c r="N575" t="n">
        <v>0</v>
      </c>
      <c r="O575" t="n">
        <v>0</v>
      </c>
      <c r="P575" t="n">
        <v>0</v>
      </c>
      <c r="Q575" t="n">
        <v>0</v>
      </c>
      <c r="R575" s="2" t="inlineStr"/>
    </row>
    <row r="576" ht="15" customHeight="1">
      <c r="A576" t="inlineStr">
        <is>
          <t>A 36336-2023</t>
        </is>
      </c>
      <c r="B576" s="1" t="n">
        <v>45152.45078703704</v>
      </c>
      <c r="C576" s="1" t="n">
        <v>46160</v>
      </c>
      <c r="D576" t="inlineStr">
        <is>
          <t>ÖSTERGÖTLANDS LÄN</t>
        </is>
      </c>
      <c r="E576" t="inlineStr">
        <is>
          <t>LINKÖPING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56623-2024</t>
        </is>
      </c>
      <c r="B577" s="1" t="n">
        <v>45625</v>
      </c>
      <c r="C577" s="1" t="n">
        <v>46160</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14157-2026</t>
        </is>
      </c>
      <c r="B578" s="1" t="n">
        <v>46099.46829861111</v>
      </c>
      <c r="C578" s="1" t="n">
        <v>46160</v>
      </c>
      <c r="D578" t="inlineStr">
        <is>
          <t>ÖSTERGÖTLANDS LÄN</t>
        </is>
      </c>
      <c r="E578" t="inlineStr">
        <is>
          <t>LINKÖPING</t>
        </is>
      </c>
      <c r="F578" t="inlineStr">
        <is>
          <t>Allmännings- och besparingsskogar</t>
        </is>
      </c>
      <c r="G578" t="n">
        <v>1.6</v>
      </c>
      <c r="H578" t="n">
        <v>0</v>
      </c>
      <c r="I578" t="n">
        <v>0</v>
      </c>
      <c r="J578" t="n">
        <v>0</v>
      </c>
      <c r="K578" t="n">
        <v>0</v>
      </c>
      <c r="L578" t="n">
        <v>0</v>
      </c>
      <c r="M578" t="n">
        <v>0</v>
      </c>
      <c r="N578" t="n">
        <v>0</v>
      </c>
      <c r="O578" t="n">
        <v>0</v>
      </c>
      <c r="P578" t="n">
        <v>0</v>
      </c>
      <c r="Q578" t="n">
        <v>0</v>
      </c>
      <c r="R578" s="2" t="inlineStr"/>
    </row>
    <row r="579" ht="15" customHeight="1">
      <c r="A579" t="inlineStr">
        <is>
          <t>A 13011-2022</t>
        </is>
      </c>
      <c r="B579" s="1" t="n">
        <v>44643</v>
      </c>
      <c r="C579" s="1" t="n">
        <v>46160</v>
      </c>
      <c r="D579" t="inlineStr">
        <is>
          <t>ÖSTERGÖTLANDS LÄN</t>
        </is>
      </c>
      <c r="E579" t="inlineStr">
        <is>
          <t>LINKÖPING</t>
        </is>
      </c>
      <c r="G579" t="n">
        <v>3.7</v>
      </c>
      <c r="H579" t="n">
        <v>0</v>
      </c>
      <c r="I579" t="n">
        <v>0</v>
      </c>
      <c r="J579" t="n">
        <v>0</v>
      </c>
      <c r="K579" t="n">
        <v>0</v>
      </c>
      <c r="L579" t="n">
        <v>0</v>
      </c>
      <c r="M579" t="n">
        <v>0</v>
      </c>
      <c r="N579" t="n">
        <v>0</v>
      </c>
      <c r="O579" t="n">
        <v>0</v>
      </c>
      <c r="P579" t="n">
        <v>0</v>
      </c>
      <c r="Q579" t="n">
        <v>0</v>
      </c>
      <c r="R579" s="2" t="inlineStr"/>
    </row>
    <row r="580" ht="15" customHeight="1">
      <c r="A580" t="inlineStr">
        <is>
          <t>A 11595-2025</t>
        </is>
      </c>
      <c r="B580" s="1" t="n">
        <v>45727.41893518518</v>
      </c>
      <c r="C580" s="1" t="n">
        <v>46160</v>
      </c>
      <c r="D580" t="inlineStr">
        <is>
          <t>ÖSTERGÖTLANDS LÄN</t>
        </is>
      </c>
      <c r="E580" t="inlineStr">
        <is>
          <t>LINKÖPING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50508-2024</t>
        </is>
      </c>
      <c r="B581" s="1" t="n">
        <v>45601.53907407408</v>
      </c>
      <c r="C581" s="1" t="n">
        <v>46160</v>
      </c>
      <c r="D581" t="inlineStr">
        <is>
          <t>ÖSTERGÖTLANDS LÄN</t>
        </is>
      </c>
      <c r="E581" t="inlineStr">
        <is>
          <t>LINKÖPING</t>
        </is>
      </c>
      <c r="F581" t="inlineStr">
        <is>
          <t>Övriga Aktiebolag</t>
        </is>
      </c>
      <c r="G581" t="n">
        <v>2</v>
      </c>
      <c r="H581" t="n">
        <v>0</v>
      </c>
      <c r="I581" t="n">
        <v>0</v>
      </c>
      <c r="J581" t="n">
        <v>0</v>
      </c>
      <c r="K581" t="n">
        <v>0</v>
      </c>
      <c r="L581" t="n">
        <v>0</v>
      </c>
      <c r="M581" t="n">
        <v>0</v>
      </c>
      <c r="N581" t="n">
        <v>0</v>
      </c>
      <c r="O581" t="n">
        <v>0</v>
      </c>
      <c r="P581" t="n">
        <v>0</v>
      </c>
      <c r="Q581" t="n">
        <v>0</v>
      </c>
      <c r="R581" s="2" t="inlineStr"/>
    </row>
    <row r="582" ht="15" customHeight="1">
      <c r="A582" t="inlineStr">
        <is>
          <t>A 36336-2022</t>
        </is>
      </c>
      <c r="B582" s="1" t="n">
        <v>44803</v>
      </c>
      <c r="C582" s="1" t="n">
        <v>46160</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48839-2022</t>
        </is>
      </c>
      <c r="B583" s="1" t="n">
        <v>44859</v>
      </c>
      <c r="C583" s="1" t="n">
        <v>46160</v>
      </c>
      <c r="D583" t="inlineStr">
        <is>
          <t>ÖSTERGÖTLANDS LÄN</t>
        </is>
      </c>
      <c r="E583" t="inlineStr">
        <is>
          <t>LINKÖPING</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6387-2022</t>
        </is>
      </c>
      <c r="B584" s="1" t="n">
        <v>44600</v>
      </c>
      <c r="C584" s="1" t="n">
        <v>46160</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34641-2022</t>
        </is>
      </c>
      <c r="B585" s="1" t="n">
        <v>44795</v>
      </c>
      <c r="C585" s="1" t="n">
        <v>46160</v>
      </c>
      <c r="D585" t="inlineStr">
        <is>
          <t>ÖSTERGÖTLANDS LÄN</t>
        </is>
      </c>
      <c r="E585" t="inlineStr">
        <is>
          <t>LINKÖPING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13687-2025</t>
        </is>
      </c>
      <c r="B586" s="1" t="n">
        <v>45737.31425925926</v>
      </c>
      <c r="C586" s="1" t="n">
        <v>46160</v>
      </c>
      <c r="D586" t="inlineStr">
        <is>
          <t>ÖSTERGÖTLANDS LÄN</t>
        </is>
      </c>
      <c r="E586" t="inlineStr">
        <is>
          <t>LINKÖPING</t>
        </is>
      </c>
      <c r="G586" t="n">
        <v>2.7</v>
      </c>
      <c r="H586" t="n">
        <v>0</v>
      </c>
      <c r="I586" t="n">
        <v>0</v>
      </c>
      <c r="J586" t="n">
        <v>0</v>
      </c>
      <c r="K586" t="n">
        <v>0</v>
      </c>
      <c r="L586" t="n">
        <v>0</v>
      </c>
      <c r="M586" t="n">
        <v>0</v>
      </c>
      <c r="N586" t="n">
        <v>0</v>
      </c>
      <c r="O586" t="n">
        <v>0</v>
      </c>
      <c r="P586" t="n">
        <v>0</v>
      </c>
      <c r="Q586" t="n">
        <v>0</v>
      </c>
      <c r="R586" s="2" t="inlineStr"/>
    </row>
    <row r="587" ht="15" customHeight="1">
      <c r="A587" t="inlineStr">
        <is>
          <t>A 13695-2025</t>
        </is>
      </c>
      <c r="B587" s="1" t="n">
        <v>45737.32219907407</v>
      </c>
      <c r="C587" s="1" t="n">
        <v>46160</v>
      </c>
      <c r="D587" t="inlineStr">
        <is>
          <t>ÖSTERGÖTLANDS LÄN</t>
        </is>
      </c>
      <c r="E587" t="inlineStr">
        <is>
          <t>LINKÖPING</t>
        </is>
      </c>
      <c r="G587" t="n">
        <v>5.3</v>
      </c>
      <c r="H587" t="n">
        <v>0</v>
      </c>
      <c r="I587" t="n">
        <v>0</v>
      </c>
      <c r="J587" t="n">
        <v>0</v>
      </c>
      <c r="K587" t="n">
        <v>0</v>
      </c>
      <c r="L587" t="n">
        <v>0</v>
      </c>
      <c r="M587" t="n">
        <v>0</v>
      </c>
      <c r="N587" t="n">
        <v>0</v>
      </c>
      <c r="O587" t="n">
        <v>0</v>
      </c>
      <c r="P587" t="n">
        <v>0</v>
      </c>
      <c r="Q587" t="n">
        <v>0</v>
      </c>
      <c r="R587" s="2" t="inlineStr"/>
    </row>
    <row r="588" ht="15" customHeight="1">
      <c r="A588" t="inlineStr">
        <is>
          <t>A 21374-2026</t>
        </is>
      </c>
      <c r="B588" s="1" t="n">
        <v>46145</v>
      </c>
      <c r="C588" s="1" t="n">
        <v>46160</v>
      </c>
      <c r="D588" t="inlineStr">
        <is>
          <t>ÖSTERGÖTLANDS LÄN</t>
        </is>
      </c>
      <c r="E588" t="inlineStr">
        <is>
          <t>LINKÖPING</t>
        </is>
      </c>
      <c r="G588" t="n">
        <v>3.7</v>
      </c>
      <c r="H588" t="n">
        <v>0</v>
      </c>
      <c r="I588" t="n">
        <v>0</v>
      </c>
      <c r="J588" t="n">
        <v>0</v>
      </c>
      <c r="K588" t="n">
        <v>0</v>
      </c>
      <c r="L588" t="n">
        <v>0</v>
      </c>
      <c r="M588" t="n">
        <v>0</v>
      </c>
      <c r="N588" t="n">
        <v>0</v>
      </c>
      <c r="O588" t="n">
        <v>0</v>
      </c>
      <c r="P588" t="n">
        <v>0</v>
      </c>
      <c r="Q588" t="n">
        <v>0</v>
      </c>
      <c r="R588" s="2" t="inlineStr"/>
    </row>
    <row r="589" ht="15" customHeight="1">
      <c r="A589" t="inlineStr">
        <is>
          <t>A 52413-2023</t>
        </is>
      </c>
      <c r="B589" s="1" t="n">
        <v>45225.27950231481</v>
      </c>
      <c r="C589" s="1" t="n">
        <v>46160</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21247-2026</t>
        </is>
      </c>
      <c r="B590" s="1" t="n">
        <v>46147.36827546296</v>
      </c>
      <c r="C590" s="1" t="n">
        <v>46160</v>
      </c>
      <c r="D590" t="inlineStr">
        <is>
          <t>ÖSTERGÖTLANDS LÄN</t>
        </is>
      </c>
      <c r="E590" t="inlineStr">
        <is>
          <t>LINKÖPING</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21246-2026</t>
        </is>
      </c>
      <c r="B591" s="1" t="n">
        <v>46147.36642361111</v>
      </c>
      <c r="C591" s="1" t="n">
        <v>46160</v>
      </c>
      <c r="D591" t="inlineStr">
        <is>
          <t>ÖSTERGÖTLANDS LÄN</t>
        </is>
      </c>
      <c r="E591" t="inlineStr">
        <is>
          <t>LINKÖPING</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21248-2026</t>
        </is>
      </c>
      <c r="B592" s="1" t="n">
        <v>46147.36969907407</v>
      </c>
      <c r="C592" s="1" t="n">
        <v>46160</v>
      </c>
      <c r="D592" t="inlineStr">
        <is>
          <t>ÖSTERGÖTLANDS LÄN</t>
        </is>
      </c>
      <c r="E592" t="inlineStr">
        <is>
          <t>LINKÖPING</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53797-2023</t>
        </is>
      </c>
      <c r="B593" s="1" t="n">
        <v>45230</v>
      </c>
      <c r="C593" s="1" t="n">
        <v>46160</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15850-2026</t>
        </is>
      </c>
      <c r="B594" s="1" t="n">
        <v>46107.57224537037</v>
      </c>
      <c r="C594" s="1" t="n">
        <v>46160</v>
      </c>
      <c r="D594" t="inlineStr">
        <is>
          <t>ÖSTERGÖTLANDS LÄN</t>
        </is>
      </c>
      <c r="E594" t="inlineStr">
        <is>
          <t>LINKÖPING</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22833-2023</t>
        </is>
      </c>
      <c r="B595" s="1" t="n">
        <v>45071</v>
      </c>
      <c r="C595" s="1" t="n">
        <v>46160</v>
      </c>
      <c r="D595" t="inlineStr">
        <is>
          <t>ÖSTERGÖTLANDS LÄN</t>
        </is>
      </c>
      <c r="E595" t="inlineStr">
        <is>
          <t>LINKÖPING</t>
        </is>
      </c>
      <c r="F595" t="inlineStr">
        <is>
          <t>Kommuner</t>
        </is>
      </c>
      <c r="G595" t="n">
        <v>1</v>
      </c>
      <c r="H595" t="n">
        <v>0</v>
      </c>
      <c r="I595" t="n">
        <v>0</v>
      </c>
      <c r="J595" t="n">
        <v>0</v>
      </c>
      <c r="K595" t="n">
        <v>0</v>
      </c>
      <c r="L595" t="n">
        <v>0</v>
      </c>
      <c r="M595" t="n">
        <v>0</v>
      </c>
      <c r="N595" t="n">
        <v>0</v>
      </c>
      <c r="O595" t="n">
        <v>0</v>
      </c>
      <c r="P595" t="n">
        <v>0</v>
      </c>
      <c r="Q595" t="n">
        <v>0</v>
      </c>
      <c r="R595" s="2" t="inlineStr"/>
    </row>
    <row r="596" ht="15" customHeight="1">
      <c r="A596" t="inlineStr">
        <is>
          <t>A 17898-2022</t>
        </is>
      </c>
      <c r="B596" s="1" t="n">
        <v>44683</v>
      </c>
      <c r="C596" s="1" t="n">
        <v>46160</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62017-2024</t>
        </is>
      </c>
      <c r="B597" s="1" t="n">
        <v>45655.81140046296</v>
      </c>
      <c r="C597" s="1" t="n">
        <v>46160</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12411-2022</t>
        </is>
      </c>
      <c r="B598" s="1" t="n">
        <v>44638.21601851852</v>
      </c>
      <c r="C598" s="1" t="n">
        <v>46160</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10492-2022</t>
        </is>
      </c>
      <c r="B599" s="1" t="n">
        <v>44623.6377199074</v>
      </c>
      <c r="C599" s="1" t="n">
        <v>46160</v>
      </c>
      <c r="D599" t="inlineStr">
        <is>
          <t>ÖSTERGÖTLANDS LÄN</t>
        </is>
      </c>
      <c r="E599" t="inlineStr">
        <is>
          <t>LINKÖPING</t>
        </is>
      </c>
      <c r="G599" t="n">
        <v>2.1</v>
      </c>
      <c r="H599" t="n">
        <v>0</v>
      </c>
      <c r="I599" t="n">
        <v>0</v>
      </c>
      <c r="J599" t="n">
        <v>0</v>
      </c>
      <c r="K599" t="n">
        <v>0</v>
      </c>
      <c r="L599" t="n">
        <v>0</v>
      </c>
      <c r="M599" t="n">
        <v>0</v>
      </c>
      <c r="N599" t="n">
        <v>0</v>
      </c>
      <c r="O599" t="n">
        <v>0</v>
      </c>
      <c r="P599" t="n">
        <v>0</v>
      </c>
      <c r="Q599" t="n">
        <v>0</v>
      </c>
      <c r="R599" s="2" t="inlineStr"/>
    </row>
    <row r="600" ht="15" customHeight="1">
      <c r="A600" t="inlineStr">
        <is>
          <t>A 7343-2025</t>
        </is>
      </c>
      <c r="B600" s="1" t="n">
        <v>45703.67853009259</v>
      </c>
      <c r="C600" s="1" t="n">
        <v>46160</v>
      </c>
      <c r="D600" t="inlineStr">
        <is>
          <t>ÖSTERGÖTLANDS LÄN</t>
        </is>
      </c>
      <c r="E600" t="inlineStr">
        <is>
          <t>LINKÖPING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8967-2025</t>
        </is>
      </c>
      <c r="B601" s="1" t="n">
        <v>45712</v>
      </c>
      <c r="C601" s="1" t="n">
        <v>46160</v>
      </c>
      <c r="D601" t="inlineStr">
        <is>
          <t>ÖSTERGÖTLANDS LÄN</t>
        </is>
      </c>
      <c r="E601" t="inlineStr">
        <is>
          <t>LINKÖPING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35427-2023</t>
        </is>
      </c>
      <c r="B602" s="1" t="n">
        <v>45146</v>
      </c>
      <c r="C602" s="1" t="n">
        <v>46160</v>
      </c>
      <c r="D602" t="inlineStr">
        <is>
          <t>ÖSTERGÖTLANDS LÄN</t>
        </is>
      </c>
      <c r="E602" t="inlineStr">
        <is>
          <t>LINKÖPING</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30468-2023</t>
        </is>
      </c>
      <c r="B603" s="1" t="n">
        <v>45111.58732638889</v>
      </c>
      <c r="C603" s="1" t="n">
        <v>46160</v>
      </c>
      <c r="D603" t="inlineStr">
        <is>
          <t>ÖSTERGÖTLANDS LÄN</t>
        </is>
      </c>
      <c r="E603" t="inlineStr">
        <is>
          <t>LINKÖPING</t>
        </is>
      </c>
      <c r="G603" t="n">
        <v>10.1</v>
      </c>
      <c r="H603" t="n">
        <v>0</v>
      </c>
      <c r="I603" t="n">
        <v>0</v>
      </c>
      <c r="J603" t="n">
        <v>0</v>
      </c>
      <c r="K603" t="n">
        <v>0</v>
      </c>
      <c r="L603" t="n">
        <v>0</v>
      </c>
      <c r="M603" t="n">
        <v>0</v>
      </c>
      <c r="N603" t="n">
        <v>0</v>
      </c>
      <c r="O603" t="n">
        <v>0</v>
      </c>
      <c r="P603" t="n">
        <v>0</v>
      </c>
      <c r="Q603" t="n">
        <v>0</v>
      </c>
      <c r="R603" s="2" t="inlineStr"/>
    </row>
    <row r="604" ht="15" customHeight="1">
      <c r="A604" t="inlineStr">
        <is>
          <t>A 20296-2025</t>
        </is>
      </c>
      <c r="B604" s="1" t="n">
        <v>45774.74922453704</v>
      </c>
      <c r="C604" s="1" t="n">
        <v>46160</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56841-2023</t>
        </is>
      </c>
      <c r="B605" s="1" t="n">
        <v>45244</v>
      </c>
      <c r="C605" s="1" t="n">
        <v>46160</v>
      </c>
      <c r="D605" t="inlineStr">
        <is>
          <t>ÖSTERGÖTLANDS LÄN</t>
        </is>
      </c>
      <c r="E605" t="inlineStr">
        <is>
          <t>LINKÖPING</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22070-2026</t>
        </is>
      </c>
      <c r="B606" s="1" t="n">
        <v>46153.49255787037</v>
      </c>
      <c r="C606" s="1" t="n">
        <v>46160</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53812-2023</t>
        </is>
      </c>
      <c r="B607" s="1" t="n">
        <v>45231.39583333334</v>
      </c>
      <c r="C607" s="1" t="n">
        <v>46160</v>
      </c>
      <c r="D607" t="inlineStr">
        <is>
          <t>ÖSTERGÖTLANDS LÄN</t>
        </is>
      </c>
      <c r="E607" t="inlineStr">
        <is>
          <t>LINKÖPING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53830-2023</t>
        </is>
      </c>
      <c r="B608" s="1" t="n">
        <v>45230</v>
      </c>
      <c r="C608" s="1" t="n">
        <v>46160</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22272-2026</t>
        </is>
      </c>
      <c r="B609" s="1" t="n">
        <v>46154.41445601852</v>
      </c>
      <c r="C609" s="1" t="n">
        <v>46160</v>
      </c>
      <c r="D609" t="inlineStr">
        <is>
          <t>ÖSTERGÖTLANDS LÄN</t>
        </is>
      </c>
      <c r="E609" t="inlineStr">
        <is>
          <t>LINKÖPING</t>
        </is>
      </c>
      <c r="F609" t="inlineStr">
        <is>
          <t>Sveaskog</t>
        </is>
      </c>
      <c r="G609" t="n">
        <v>0.4</v>
      </c>
      <c r="H609" t="n">
        <v>0</v>
      </c>
      <c r="I609" t="n">
        <v>0</v>
      </c>
      <c r="J609" t="n">
        <v>0</v>
      </c>
      <c r="K609" t="n">
        <v>0</v>
      </c>
      <c r="L609" t="n">
        <v>0</v>
      </c>
      <c r="M609" t="n">
        <v>0</v>
      </c>
      <c r="N609" t="n">
        <v>0</v>
      </c>
      <c r="O609" t="n">
        <v>0</v>
      </c>
      <c r="P609" t="n">
        <v>0</v>
      </c>
      <c r="Q609" t="n">
        <v>0</v>
      </c>
      <c r="R609" s="2" t="inlineStr"/>
    </row>
    <row r="610" ht="15" customHeight="1">
      <c r="A610" t="inlineStr">
        <is>
          <t>A 22286-2026</t>
        </is>
      </c>
      <c r="B610" s="1" t="n">
        <v>46154.43436342593</v>
      </c>
      <c r="C610" s="1" t="n">
        <v>46160</v>
      </c>
      <c r="D610" t="inlineStr">
        <is>
          <t>ÖSTERGÖTLANDS LÄN</t>
        </is>
      </c>
      <c r="E610" t="inlineStr">
        <is>
          <t>LINKÖPING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38715-2023</t>
        </is>
      </c>
      <c r="B611" s="1" t="n">
        <v>45160</v>
      </c>
      <c r="C611" s="1" t="n">
        <v>46160</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22289-2026</t>
        </is>
      </c>
      <c r="B612" s="1" t="n">
        <v>46154.43842592592</v>
      </c>
      <c r="C612" s="1" t="n">
        <v>46160</v>
      </c>
      <c r="D612" t="inlineStr">
        <is>
          <t>ÖSTERGÖTLANDS LÄN</t>
        </is>
      </c>
      <c r="E612" t="inlineStr">
        <is>
          <t>LINKÖPING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22271-2026</t>
        </is>
      </c>
      <c r="B613" s="1" t="n">
        <v>46154.41280092593</v>
      </c>
      <c r="C613" s="1" t="n">
        <v>46160</v>
      </c>
      <c r="D613" t="inlineStr">
        <is>
          <t>ÖSTERGÖTLANDS LÄN</t>
        </is>
      </c>
      <c r="E613" t="inlineStr">
        <is>
          <t>LINKÖPING</t>
        </is>
      </c>
      <c r="F613" t="inlineStr">
        <is>
          <t>Sveaskog</t>
        </is>
      </c>
      <c r="G613" t="n">
        <v>6.5</v>
      </c>
      <c r="H613" t="n">
        <v>0</v>
      </c>
      <c r="I613" t="n">
        <v>0</v>
      </c>
      <c r="J613" t="n">
        <v>0</v>
      </c>
      <c r="K613" t="n">
        <v>0</v>
      </c>
      <c r="L613" t="n">
        <v>0</v>
      </c>
      <c r="M613" t="n">
        <v>0</v>
      </c>
      <c r="N613" t="n">
        <v>0</v>
      </c>
      <c r="O613" t="n">
        <v>0</v>
      </c>
      <c r="P613" t="n">
        <v>0</v>
      </c>
      <c r="Q613" t="n">
        <v>0</v>
      </c>
      <c r="R613" s="2" t="inlineStr"/>
    </row>
    <row r="614" ht="15" customHeight="1">
      <c r="A614" t="inlineStr">
        <is>
          <t>A 27766-2022</t>
        </is>
      </c>
      <c r="B614" s="1" t="n">
        <v>44743.53112268518</v>
      </c>
      <c r="C614" s="1" t="n">
        <v>46160</v>
      </c>
      <c r="D614" t="inlineStr">
        <is>
          <t>ÖSTERGÖTLANDS LÄN</t>
        </is>
      </c>
      <c r="E614" t="inlineStr">
        <is>
          <t>LINKÖPING</t>
        </is>
      </c>
      <c r="G614" t="n">
        <v>2</v>
      </c>
      <c r="H614" t="n">
        <v>0</v>
      </c>
      <c r="I614" t="n">
        <v>0</v>
      </c>
      <c r="J614" t="n">
        <v>0</v>
      </c>
      <c r="K614" t="n">
        <v>0</v>
      </c>
      <c r="L614" t="n">
        <v>0</v>
      </c>
      <c r="M614" t="n">
        <v>0</v>
      </c>
      <c r="N614" t="n">
        <v>0</v>
      </c>
      <c r="O614" t="n">
        <v>0</v>
      </c>
      <c r="P614" t="n">
        <v>0</v>
      </c>
      <c r="Q614" t="n">
        <v>0</v>
      </c>
      <c r="R614" s="2" t="inlineStr"/>
    </row>
    <row r="615" ht="15" customHeight="1">
      <c r="A615" t="inlineStr">
        <is>
          <t>A 22284-2026</t>
        </is>
      </c>
      <c r="B615" s="1" t="n">
        <v>46154.4333449074</v>
      </c>
      <c r="C615" s="1" t="n">
        <v>46160</v>
      </c>
      <c r="D615" t="inlineStr">
        <is>
          <t>ÖSTERGÖTLANDS LÄN</t>
        </is>
      </c>
      <c r="E615" t="inlineStr">
        <is>
          <t>LINKÖPING</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22282-2026</t>
        </is>
      </c>
      <c r="B616" s="1" t="n">
        <v>46154.42961805555</v>
      </c>
      <c r="C616" s="1" t="n">
        <v>46160</v>
      </c>
      <c r="D616" t="inlineStr">
        <is>
          <t>ÖSTERGÖTLANDS LÄN</t>
        </is>
      </c>
      <c r="E616" t="inlineStr">
        <is>
          <t>LINKÖPING</t>
        </is>
      </c>
      <c r="F616" t="inlineStr">
        <is>
          <t>Sveaskog</t>
        </is>
      </c>
      <c r="G616" t="n">
        <v>6.7</v>
      </c>
      <c r="H616" t="n">
        <v>0</v>
      </c>
      <c r="I616" t="n">
        <v>0</v>
      </c>
      <c r="J616" t="n">
        <v>0</v>
      </c>
      <c r="K616" t="n">
        <v>0</v>
      </c>
      <c r="L616" t="n">
        <v>0</v>
      </c>
      <c r="M616" t="n">
        <v>0</v>
      </c>
      <c r="N616" t="n">
        <v>0</v>
      </c>
      <c r="O616" t="n">
        <v>0</v>
      </c>
      <c r="P616" t="n">
        <v>0</v>
      </c>
      <c r="Q616" t="n">
        <v>0</v>
      </c>
      <c r="R616" s="2" t="inlineStr"/>
    </row>
    <row r="617" ht="15" customHeight="1">
      <c r="A617" t="inlineStr">
        <is>
          <t>A 16967-2026</t>
        </is>
      </c>
      <c r="B617" s="1" t="n">
        <v>46114.36207175926</v>
      </c>
      <c r="C617" s="1" t="n">
        <v>46160</v>
      </c>
      <c r="D617" t="inlineStr">
        <is>
          <t>ÖSTERGÖTLANDS LÄN</t>
        </is>
      </c>
      <c r="E617" t="inlineStr">
        <is>
          <t>LINKÖPING</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48271-2023</t>
        </is>
      </c>
      <c r="B618" s="1" t="n">
        <v>45205</v>
      </c>
      <c r="C618" s="1" t="n">
        <v>46160</v>
      </c>
      <c r="D618" t="inlineStr">
        <is>
          <t>ÖSTERGÖTLANDS LÄN</t>
        </is>
      </c>
      <c r="E618" t="inlineStr">
        <is>
          <t>LINKÖPING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13266-2025</t>
        </is>
      </c>
      <c r="B619" s="1" t="n">
        <v>45735.53318287037</v>
      </c>
      <c r="C619" s="1" t="n">
        <v>46160</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60001-2022</t>
        </is>
      </c>
      <c r="B620" s="1" t="n">
        <v>44909.47087962963</v>
      </c>
      <c r="C620" s="1" t="n">
        <v>46160</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1657-2024</t>
        </is>
      </c>
      <c r="B621" s="1" t="n">
        <v>45306.82501157407</v>
      </c>
      <c r="C621" s="1" t="n">
        <v>46160</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30976-2022</t>
        </is>
      </c>
      <c r="B622" s="1" t="n">
        <v>44768</v>
      </c>
      <c r="C622" s="1" t="n">
        <v>46160</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30860-2022</t>
        </is>
      </c>
      <c r="B623" s="1" t="n">
        <v>44767</v>
      </c>
      <c r="C623" s="1" t="n">
        <v>46160</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48186-2022</t>
        </is>
      </c>
      <c r="B624" s="1" t="n">
        <v>44858</v>
      </c>
      <c r="C624" s="1" t="n">
        <v>46160</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28266-2024</t>
        </is>
      </c>
      <c r="B625" s="1" t="n">
        <v>45477.43600694444</v>
      </c>
      <c r="C625" s="1" t="n">
        <v>46160</v>
      </c>
      <c r="D625" t="inlineStr">
        <is>
          <t>ÖSTERGÖTLANDS LÄN</t>
        </is>
      </c>
      <c r="E625" t="inlineStr">
        <is>
          <t>LINKÖPING</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31548-2022</t>
        </is>
      </c>
      <c r="B626" s="1" t="n">
        <v>44775.39832175926</v>
      </c>
      <c r="C626" s="1" t="n">
        <v>46160</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1211-2023</t>
        </is>
      </c>
      <c r="B627" s="1" t="n">
        <v>44930</v>
      </c>
      <c r="C627" s="1" t="n">
        <v>46160</v>
      </c>
      <c r="D627" t="inlineStr">
        <is>
          <t>ÖSTERGÖTLANDS LÄN</t>
        </is>
      </c>
      <c r="E627" t="inlineStr">
        <is>
          <t>LINKÖPING</t>
        </is>
      </c>
      <c r="F627" t="inlineStr">
        <is>
          <t>Övriga statliga verk och myndigheter</t>
        </is>
      </c>
      <c r="G627" t="n">
        <v>7.9</v>
      </c>
      <c r="H627" t="n">
        <v>0</v>
      </c>
      <c r="I627" t="n">
        <v>0</v>
      </c>
      <c r="J627" t="n">
        <v>0</v>
      </c>
      <c r="K627" t="n">
        <v>0</v>
      </c>
      <c r="L627" t="n">
        <v>0</v>
      </c>
      <c r="M627" t="n">
        <v>0</v>
      </c>
      <c r="N627" t="n">
        <v>0</v>
      </c>
      <c r="O627" t="n">
        <v>0</v>
      </c>
      <c r="P627" t="n">
        <v>0</v>
      </c>
      <c r="Q627" t="n">
        <v>0</v>
      </c>
      <c r="R627" s="2" t="inlineStr"/>
    </row>
    <row r="628" ht="15" customHeight="1">
      <c r="A628" t="inlineStr">
        <is>
          <t>A 51191-2022</t>
        </is>
      </c>
      <c r="B628" s="1" t="n">
        <v>44865</v>
      </c>
      <c r="C628" s="1" t="n">
        <v>46160</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55632-2022</t>
        </is>
      </c>
      <c r="B629" s="1" t="n">
        <v>44888</v>
      </c>
      <c r="C629" s="1" t="n">
        <v>46160</v>
      </c>
      <c r="D629" t="inlineStr">
        <is>
          <t>ÖSTERGÖTLANDS LÄN</t>
        </is>
      </c>
      <c r="E629" t="inlineStr">
        <is>
          <t>LINKÖPING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63669-2023</t>
        </is>
      </c>
      <c r="B630" s="1" t="n">
        <v>45275</v>
      </c>
      <c r="C630" s="1" t="n">
        <v>46160</v>
      </c>
      <c r="D630" t="inlineStr">
        <is>
          <t>ÖSTERGÖTLANDS LÄN</t>
        </is>
      </c>
      <c r="E630" t="inlineStr">
        <is>
          <t>LINKÖPING</t>
        </is>
      </c>
      <c r="F630" t="inlineStr">
        <is>
          <t>Övriga Aktiebolag</t>
        </is>
      </c>
      <c r="G630" t="n">
        <v>3</v>
      </c>
      <c r="H630" t="n">
        <v>0</v>
      </c>
      <c r="I630" t="n">
        <v>0</v>
      </c>
      <c r="J630" t="n">
        <v>0</v>
      </c>
      <c r="K630" t="n">
        <v>0</v>
      </c>
      <c r="L630" t="n">
        <v>0</v>
      </c>
      <c r="M630" t="n">
        <v>0</v>
      </c>
      <c r="N630" t="n">
        <v>0</v>
      </c>
      <c r="O630" t="n">
        <v>0</v>
      </c>
      <c r="P630" t="n">
        <v>0</v>
      </c>
      <c r="Q630" t="n">
        <v>0</v>
      </c>
      <c r="R630" s="2" t="inlineStr"/>
    </row>
    <row r="631" ht="15" customHeight="1">
      <c r="A631" t="inlineStr">
        <is>
          <t>A 12289-2025</t>
        </is>
      </c>
      <c r="B631" s="1" t="n">
        <v>45729</v>
      </c>
      <c r="C631" s="1" t="n">
        <v>46160</v>
      </c>
      <c r="D631" t="inlineStr">
        <is>
          <t>ÖSTERGÖTLANDS LÄN</t>
        </is>
      </c>
      <c r="E631" t="inlineStr">
        <is>
          <t>LINKÖPING</t>
        </is>
      </c>
      <c r="F631" t="inlineStr">
        <is>
          <t>Övriga statliga verk och myndigheter</t>
        </is>
      </c>
      <c r="G631" t="n">
        <v>6.5</v>
      </c>
      <c r="H631" t="n">
        <v>0</v>
      </c>
      <c r="I631" t="n">
        <v>0</v>
      </c>
      <c r="J631" t="n">
        <v>0</v>
      </c>
      <c r="K631" t="n">
        <v>0</v>
      </c>
      <c r="L631" t="n">
        <v>0</v>
      </c>
      <c r="M631" t="n">
        <v>0</v>
      </c>
      <c r="N631" t="n">
        <v>0</v>
      </c>
      <c r="O631" t="n">
        <v>0</v>
      </c>
      <c r="P631" t="n">
        <v>0</v>
      </c>
      <c r="Q631" t="n">
        <v>0</v>
      </c>
      <c r="R631" s="2" t="inlineStr"/>
    </row>
    <row r="632" ht="15" customHeight="1">
      <c r="A632" t="inlineStr">
        <is>
          <t>A 36657-2023</t>
        </is>
      </c>
      <c r="B632" s="1" t="n">
        <v>45153.5702662037</v>
      </c>
      <c r="C632" s="1" t="n">
        <v>46160</v>
      </c>
      <c r="D632" t="inlineStr">
        <is>
          <t>ÖSTERGÖTLANDS LÄN</t>
        </is>
      </c>
      <c r="E632" t="inlineStr">
        <is>
          <t>LINKÖPING</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19169-2023</t>
        </is>
      </c>
      <c r="B633" s="1" t="n">
        <v>45044</v>
      </c>
      <c r="C633" s="1" t="n">
        <v>46160</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1209-2023</t>
        </is>
      </c>
      <c r="B634" s="1" t="n">
        <v>44930</v>
      </c>
      <c r="C634" s="1" t="n">
        <v>46160</v>
      </c>
      <c r="D634" t="inlineStr">
        <is>
          <t>ÖSTERGÖTLANDS LÄN</t>
        </is>
      </c>
      <c r="E634" t="inlineStr">
        <is>
          <t>LINKÖPING</t>
        </is>
      </c>
      <c r="F634" t="inlineStr">
        <is>
          <t>Övriga statliga verk och myndigheter</t>
        </is>
      </c>
      <c r="G634" t="n">
        <v>25.8</v>
      </c>
      <c r="H634" t="n">
        <v>0</v>
      </c>
      <c r="I634" t="n">
        <v>0</v>
      </c>
      <c r="J634" t="n">
        <v>0</v>
      </c>
      <c r="K634" t="n">
        <v>0</v>
      </c>
      <c r="L634" t="n">
        <v>0</v>
      </c>
      <c r="M634" t="n">
        <v>0</v>
      </c>
      <c r="N634" t="n">
        <v>0</v>
      </c>
      <c r="O634" t="n">
        <v>0</v>
      </c>
      <c r="P634" t="n">
        <v>0</v>
      </c>
      <c r="Q634" t="n">
        <v>0</v>
      </c>
      <c r="R634" s="2" t="inlineStr"/>
    </row>
    <row r="635" ht="15" customHeight="1">
      <c r="A635" t="inlineStr">
        <is>
          <t>A 2085-2024</t>
        </is>
      </c>
      <c r="B635" s="1" t="n">
        <v>45309</v>
      </c>
      <c r="C635" s="1" t="n">
        <v>46160</v>
      </c>
      <c r="D635" t="inlineStr">
        <is>
          <t>ÖSTERGÖTLANDS LÄN</t>
        </is>
      </c>
      <c r="E635" t="inlineStr">
        <is>
          <t>LINKÖPING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48-2024</t>
        </is>
      </c>
      <c r="B636" s="1" t="n">
        <v>45293</v>
      </c>
      <c r="C636" s="1" t="n">
        <v>46160</v>
      </c>
      <c r="D636" t="inlineStr">
        <is>
          <t>ÖSTERGÖTLANDS LÄN</t>
        </is>
      </c>
      <c r="E636" t="inlineStr">
        <is>
          <t>LINKÖPING</t>
        </is>
      </c>
      <c r="G636" t="n">
        <v>4.6</v>
      </c>
      <c r="H636" t="n">
        <v>0</v>
      </c>
      <c r="I636" t="n">
        <v>0</v>
      </c>
      <c r="J636" t="n">
        <v>0</v>
      </c>
      <c r="K636" t="n">
        <v>0</v>
      </c>
      <c r="L636" t="n">
        <v>0</v>
      </c>
      <c r="M636" t="n">
        <v>0</v>
      </c>
      <c r="N636" t="n">
        <v>0</v>
      </c>
      <c r="O636" t="n">
        <v>0</v>
      </c>
      <c r="P636" t="n">
        <v>0</v>
      </c>
      <c r="Q636" t="n">
        <v>0</v>
      </c>
      <c r="R636" s="2" t="inlineStr"/>
    </row>
    <row r="637" ht="15" customHeight="1">
      <c r="A637" t="inlineStr">
        <is>
          <t>A 56560-2023</t>
        </is>
      </c>
      <c r="B637" s="1" t="n">
        <v>45238</v>
      </c>
      <c r="C637" s="1" t="n">
        <v>46160</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19132-2023</t>
        </is>
      </c>
      <c r="B638" s="1" t="n">
        <v>45048.54754629629</v>
      </c>
      <c r="C638" s="1" t="n">
        <v>46160</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52412-2023</t>
        </is>
      </c>
      <c r="B639" s="1" t="n">
        <v>45225.27888888889</v>
      </c>
      <c r="C639" s="1" t="n">
        <v>46160</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62492-2023</t>
        </is>
      </c>
      <c r="B640" s="1" t="n">
        <v>45268.58987268519</v>
      </c>
      <c r="C640" s="1" t="n">
        <v>46160</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38230-2023</t>
        </is>
      </c>
      <c r="B641" s="1" t="n">
        <v>45161.55373842592</v>
      </c>
      <c r="C641" s="1" t="n">
        <v>46160</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56756-2023</t>
        </is>
      </c>
      <c r="B642" s="1" t="n">
        <v>45244</v>
      </c>
      <c r="C642" s="1" t="n">
        <v>46160</v>
      </c>
      <c r="D642" t="inlineStr">
        <is>
          <t>ÖSTERGÖTLANDS LÄN</t>
        </is>
      </c>
      <c r="E642" t="inlineStr">
        <is>
          <t>LINKÖPING</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11590-2023</t>
        </is>
      </c>
      <c r="B643" s="1" t="n">
        <v>44994.36689814815</v>
      </c>
      <c r="C643" s="1" t="n">
        <v>46160</v>
      </c>
      <c r="D643" t="inlineStr">
        <is>
          <t>ÖSTERGÖTLANDS LÄN</t>
        </is>
      </c>
      <c r="E643" t="inlineStr">
        <is>
          <t>LINKÖPING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10461-2023</t>
        </is>
      </c>
      <c r="B644" s="1" t="n">
        <v>44987.5969212963</v>
      </c>
      <c r="C644" s="1" t="n">
        <v>46160</v>
      </c>
      <c r="D644" t="inlineStr">
        <is>
          <t>ÖSTERGÖTLANDS LÄN</t>
        </is>
      </c>
      <c r="E644" t="inlineStr">
        <is>
          <t>LINKÖPING</t>
        </is>
      </c>
      <c r="G644" t="n">
        <v>7.8</v>
      </c>
      <c r="H644" t="n">
        <v>0</v>
      </c>
      <c r="I644" t="n">
        <v>0</v>
      </c>
      <c r="J644" t="n">
        <v>0</v>
      </c>
      <c r="K644" t="n">
        <v>0</v>
      </c>
      <c r="L644" t="n">
        <v>0</v>
      </c>
      <c r="M644" t="n">
        <v>0</v>
      </c>
      <c r="N644" t="n">
        <v>0</v>
      </c>
      <c r="O644" t="n">
        <v>0</v>
      </c>
      <c r="P644" t="n">
        <v>0</v>
      </c>
      <c r="Q644" t="n">
        <v>0</v>
      </c>
      <c r="R644" s="2" t="inlineStr"/>
    </row>
    <row r="645" ht="15" customHeight="1">
      <c r="A645" t="inlineStr">
        <is>
          <t>A 41345-2021</t>
        </is>
      </c>
      <c r="B645" s="1" t="n">
        <v>44424.61851851852</v>
      </c>
      <c r="C645" s="1" t="n">
        <v>46160</v>
      </c>
      <c r="D645" t="inlineStr">
        <is>
          <t>ÖSTERGÖTLANDS LÄN</t>
        </is>
      </c>
      <c r="E645" t="inlineStr">
        <is>
          <t>LINKÖPING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61307-2021</t>
        </is>
      </c>
      <c r="B646" s="1" t="n">
        <v>44498.63928240741</v>
      </c>
      <c r="C646" s="1" t="n">
        <v>46160</v>
      </c>
      <c r="D646" t="inlineStr">
        <is>
          <t>ÖSTERGÖTLANDS LÄN</t>
        </is>
      </c>
      <c r="E646" t="inlineStr">
        <is>
          <t>LINKÖPING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61325-2021</t>
        </is>
      </c>
      <c r="B647" s="1" t="n">
        <v>44498.66814814815</v>
      </c>
      <c r="C647" s="1" t="n">
        <v>46160</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60010-2022</t>
        </is>
      </c>
      <c r="B648" s="1" t="n">
        <v>44909.4740625</v>
      </c>
      <c r="C648" s="1" t="n">
        <v>46160</v>
      </c>
      <c r="D648" t="inlineStr">
        <is>
          <t>ÖSTERGÖTLANDS LÄN</t>
        </is>
      </c>
      <c r="E648" t="inlineStr">
        <is>
          <t>LINKÖPING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46160</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4908-2023</t>
        </is>
      </c>
      <c r="B650" s="1" t="n">
        <v>44958</v>
      </c>
      <c r="C650" s="1" t="n">
        <v>46160</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46160</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3011-2023</t>
        </is>
      </c>
      <c r="B652" s="1" t="n">
        <v>44945</v>
      </c>
      <c r="C652" s="1" t="n">
        <v>46160</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45442-2024</t>
        </is>
      </c>
      <c r="B653" s="1" t="n">
        <v>45576.64189814815</v>
      </c>
      <c r="C653" s="1" t="n">
        <v>46160</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3432-2023</t>
        </is>
      </c>
      <c r="B654" s="1" t="n">
        <v>44949</v>
      </c>
      <c r="C654" s="1" t="n">
        <v>46160</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60472-2022</t>
        </is>
      </c>
      <c r="B655" s="1" t="n">
        <v>44911.41037037037</v>
      </c>
      <c r="C655" s="1" t="n">
        <v>46160</v>
      </c>
      <c r="D655" t="inlineStr">
        <is>
          <t>ÖSTERGÖTLANDS LÄN</t>
        </is>
      </c>
      <c r="E655" t="inlineStr">
        <is>
          <t>LINKÖPING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12720-2022</t>
        </is>
      </c>
      <c r="B656" s="1" t="n">
        <v>44641</v>
      </c>
      <c r="C656" s="1" t="n">
        <v>46160</v>
      </c>
      <c r="D656" t="inlineStr">
        <is>
          <t>ÖSTERGÖTLANDS LÄN</t>
        </is>
      </c>
      <c r="E656" t="inlineStr">
        <is>
          <t>LINKÖPING</t>
        </is>
      </c>
      <c r="F656" t="inlineStr">
        <is>
          <t>Övriga Aktiebolag</t>
        </is>
      </c>
      <c r="G656" t="n">
        <v>2</v>
      </c>
      <c r="H656" t="n">
        <v>0</v>
      </c>
      <c r="I656" t="n">
        <v>0</v>
      </c>
      <c r="J656" t="n">
        <v>0</v>
      </c>
      <c r="K656" t="n">
        <v>0</v>
      </c>
      <c r="L656" t="n">
        <v>0</v>
      </c>
      <c r="M656" t="n">
        <v>0</v>
      </c>
      <c r="N656" t="n">
        <v>0</v>
      </c>
      <c r="O656" t="n">
        <v>0</v>
      </c>
      <c r="P656" t="n">
        <v>0</v>
      </c>
      <c r="Q656" t="n">
        <v>0</v>
      </c>
      <c r="R656" s="2" t="inlineStr"/>
    </row>
    <row r="657" ht="15" customHeight="1">
      <c r="A657" t="inlineStr">
        <is>
          <t>A 45831-2024</t>
        </is>
      </c>
      <c r="B657" s="1" t="n">
        <v>45579.90508101852</v>
      </c>
      <c r="C657" s="1" t="n">
        <v>46160</v>
      </c>
      <c r="D657" t="inlineStr">
        <is>
          <t>ÖSTERGÖTLANDS LÄN</t>
        </is>
      </c>
      <c r="E657" t="inlineStr">
        <is>
          <t>LINKÖPING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57396-2021</t>
        </is>
      </c>
      <c r="B658" s="1" t="n">
        <v>44483.56151620371</v>
      </c>
      <c r="C658" s="1" t="n">
        <v>46160</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22842-2023</t>
        </is>
      </c>
      <c r="B659" s="1" t="n">
        <v>45071</v>
      </c>
      <c r="C659" s="1" t="n">
        <v>46160</v>
      </c>
      <c r="D659" t="inlineStr">
        <is>
          <t>ÖSTERGÖTLANDS LÄN</t>
        </is>
      </c>
      <c r="E659" t="inlineStr">
        <is>
          <t>LINKÖPING</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50386-2021</t>
        </is>
      </c>
      <c r="B660" s="1" t="n">
        <v>44459</v>
      </c>
      <c r="C660" s="1" t="n">
        <v>46160</v>
      </c>
      <c r="D660" t="inlineStr">
        <is>
          <t>ÖSTERGÖTLANDS LÄN</t>
        </is>
      </c>
      <c r="E660" t="inlineStr">
        <is>
          <t>LINKÖPING</t>
        </is>
      </c>
      <c r="G660" t="n">
        <v>2.3</v>
      </c>
      <c r="H660" t="n">
        <v>0</v>
      </c>
      <c r="I660" t="n">
        <v>0</v>
      </c>
      <c r="J660" t="n">
        <v>0</v>
      </c>
      <c r="K660" t="n">
        <v>0</v>
      </c>
      <c r="L660" t="n">
        <v>0</v>
      </c>
      <c r="M660" t="n">
        <v>0</v>
      </c>
      <c r="N660" t="n">
        <v>0</v>
      </c>
      <c r="O660" t="n">
        <v>0</v>
      </c>
      <c r="P660" t="n">
        <v>0</v>
      </c>
      <c r="Q660" t="n">
        <v>0</v>
      </c>
      <c r="R660" s="2" t="inlineStr"/>
    </row>
    <row r="661" ht="15" customHeight="1">
      <c r="A661" t="inlineStr">
        <is>
          <t>A 35781-2023</t>
        </is>
      </c>
      <c r="B661" s="1" t="n">
        <v>45147</v>
      </c>
      <c r="C661" s="1" t="n">
        <v>46160</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22770-2024</t>
        </is>
      </c>
      <c r="B662" s="1" t="n">
        <v>45448.4634375</v>
      </c>
      <c r="C662" s="1" t="n">
        <v>46160</v>
      </c>
      <c r="D662" t="inlineStr">
        <is>
          <t>ÖSTERGÖTLANDS LÄN</t>
        </is>
      </c>
      <c r="E662" t="inlineStr">
        <is>
          <t>LINKÖPING</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11671-2023</t>
        </is>
      </c>
      <c r="B663" s="1" t="n">
        <v>44994.48125</v>
      </c>
      <c r="C663" s="1" t="n">
        <v>46160</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54425-2022</t>
        </is>
      </c>
      <c r="B664" s="1" t="n">
        <v>44882.57453703704</v>
      </c>
      <c r="C664" s="1" t="n">
        <v>46160</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30547-2023</t>
        </is>
      </c>
      <c r="B665" s="1" t="n">
        <v>45111.75905092592</v>
      </c>
      <c r="C665" s="1" t="n">
        <v>46160</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24904-2024</t>
        </is>
      </c>
      <c r="B666" s="1" t="n">
        <v>45461</v>
      </c>
      <c r="C666" s="1" t="n">
        <v>46160</v>
      </c>
      <c r="D666" t="inlineStr">
        <is>
          <t>ÖSTERGÖTLANDS LÄN</t>
        </is>
      </c>
      <c r="E666" t="inlineStr">
        <is>
          <t>LINKÖPING</t>
        </is>
      </c>
      <c r="G666" t="n">
        <v>3.8</v>
      </c>
      <c r="H666" t="n">
        <v>0</v>
      </c>
      <c r="I666" t="n">
        <v>0</v>
      </c>
      <c r="J666" t="n">
        <v>0</v>
      </c>
      <c r="K666" t="n">
        <v>0</v>
      </c>
      <c r="L666" t="n">
        <v>0</v>
      </c>
      <c r="M666" t="n">
        <v>0</v>
      </c>
      <c r="N666" t="n">
        <v>0</v>
      </c>
      <c r="O666" t="n">
        <v>0</v>
      </c>
      <c r="P666" t="n">
        <v>0</v>
      </c>
      <c r="Q666" t="n">
        <v>0</v>
      </c>
      <c r="R666" s="2" t="inlineStr"/>
    </row>
    <row r="667" ht="15" customHeight="1">
      <c r="A667" t="inlineStr">
        <is>
          <t>A 26788-2022</t>
        </is>
      </c>
      <c r="B667" s="1" t="n">
        <v>44740</v>
      </c>
      <c r="C667" s="1" t="n">
        <v>46160</v>
      </c>
      <c r="D667" t="inlineStr">
        <is>
          <t>ÖSTERGÖTLANDS LÄN</t>
        </is>
      </c>
      <c r="E667" t="inlineStr">
        <is>
          <t>LINKÖPING</t>
        </is>
      </c>
      <c r="G667" t="n">
        <v>3.2</v>
      </c>
      <c r="H667" t="n">
        <v>0</v>
      </c>
      <c r="I667" t="n">
        <v>0</v>
      </c>
      <c r="J667" t="n">
        <v>0</v>
      </c>
      <c r="K667" t="n">
        <v>0</v>
      </c>
      <c r="L667" t="n">
        <v>0</v>
      </c>
      <c r="M667" t="n">
        <v>0</v>
      </c>
      <c r="N667" t="n">
        <v>0</v>
      </c>
      <c r="O667" t="n">
        <v>0</v>
      </c>
      <c r="P667" t="n">
        <v>0</v>
      </c>
      <c r="Q667" t="n">
        <v>0</v>
      </c>
      <c r="R667" s="2" t="inlineStr"/>
    </row>
    <row r="668" ht="15" customHeight="1">
      <c r="A668" t="inlineStr">
        <is>
          <t>A 15121-2022</t>
        </is>
      </c>
      <c r="B668" s="1" t="n">
        <v>44658</v>
      </c>
      <c r="C668" s="1" t="n">
        <v>46160</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51919-2024</t>
        </is>
      </c>
      <c r="B669" s="1" t="n">
        <v>45607.60791666667</v>
      </c>
      <c r="C669" s="1" t="n">
        <v>46160</v>
      </c>
      <c r="D669" t="inlineStr">
        <is>
          <t>ÖSTERGÖTLANDS LÄN</t>
        </is>
      </c>
      <c r="E669" t="inlineStr">
        <is>
          <t>LINKÖPING</t>
        </is>
      </c>
      <c r="G669" t="n">
        <v>2.5</v>
      </c>
      <c r="H669" t="n">
        <v>0</v>
      </c>
      <c r="I669" t="n">
        <v>0</v>
      </c>
      <c r="J669" t="n">
        <v>0</v>
      </c>
      <c r="K669" t="n">
        <v>0</v>
      </c>
      <c r="L669" t="n">
        <v>0</v>
      </c>
      <c r="M669" t="n">
        <v>0</v>
      </c>
      <c r="N669" t="n">
        <v>0</v>
      </c>
      <c r="O669" t="n">
        <v>0</v>
      </c>
      <c r="P669" t="n">
        <v>0</v>
      </c>
      <c r="Q669" t="n">
        <v>0</v>
      </c>
      <c r="R669" s="2" t="inlineStr"/>
    </row>
    <row r="670" ht="15" customHeight="1">
      <c r="A670" t="inlineStr">
        <is>
          <t>A 55009-2023</t>
        </is>
      </c>
      <c r="B670" s="1" t="n">
        <v>45237</v>
      </c>
      <c r="C670" s="1" t="n">
        <v>46160</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20291-2025</t>
        </is>
      </c>
      <c r="B671" s="1" t="n">
        <v>45774.74288194445</v>
      </c>
      <c r="C671" s="1" t="n">
        <v>46160</v>
      </c>
      <c r="D671" t="inlineStr">
        <is>
          <t>ÖSTERGÖTLANDS LÄN</t>
        </is>
      </c>
      <c r="E671" t="inlineStr">
        <is>
          <t>LINKÖPING</t>
        </is>
      </c>
      <c r="G671" t="n">
        <v>2.3</v>
      </c>
      <c r="H671" t="n">
        <v>0</v>
      </c>
      <c r="I671" t="n">
        <v>0</v>
      </c>
      <c r="J671" t="n">
        <v>0</v>
      </c>
      <c r="K671" t="n">
        <v>0</v>
      </c>
      <c r="L671" t="n">
        <v>0</v>
      </c>
      <c r="M671" t="n">
        <v>0</v>
      </c>
      <c r="N671" t="n">
        <v>0</v>
      </c>
      <c r="O671" t="n">
        <v>0</v>
      </c>
      <c r="P671" t="n">
        <v>0</v>
      </c>
      <c r="Q671" t="n">
        <v>0</v>
      </c>
      <c r="R671" s="2" t="inlineStr"/>
    </row>
    <row r="672" ht="15" customHeight="1">
      <c r="A672" t="inlineStr">
        <is>
          <t>A 20293-2025</t>
        </is>
      </c>
      <c r="B672" s="1" t="n">
        <v>45774.74611111111</v>
      </c>
      <c r="C672" s="1" t="n">
        <v>46160</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660-2023</t>
        </is>
      </c>
      <c r="B673" s="1" t="n">
        <v>44930</v>
      </c>
      <c r="C673" s="1" t="n">
        <v>46160</v>
      </c>
      <c r="D673" t="inlineStr">
        <is>
          <t>ÖSTERGÖTLANDS LÄN</t>
        </is>
      </c>
      <c r="E673" t="inlineStr">
        <is>
          <t>LINKÖPING</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64694-2023</t>
        </is>
      </c>
      <c r="B674" s="1" t="n">
        <v>45281</v>
      </c>
      <c r="C674" s="1" t="n">
        <v>46160</v>
      </c>
      <c r="D674" t="inlineStr">
        <is>
          <t>ÖSTERGÖTLANDS LÄN</t>
        </is>
      </c>
      <c r="E674" t="inlineStr">
        <is>
          <t>LINKÖPING</t>
        </is>
      </c>
      <c r="F674" t="inlineStr">
        <is>
          <t>Övriga statliga verk och myndigheter</t>
        </is>
      </c>
      <c r="G674" t="n">
        <v>4.9</v>
      </c>
      <c r="H674" t="n">
        <v>0</v>
      </c>
      <c r="I674" t="n">
        <v>0</v>
      </c>
      <c r="J674" t="n">
        <v>0</v>
      </c>
      <c r="K674" t="n">
        <v>0</v>
      </c>
      <c r="L674" t="n">
        <v>0</v>
      </c>
      <c r="M674" t="n">
        <v>0</v>
      </c>
      <c r="N674" t="n">
        <v>0</v>
      </c>
      <c r="O674" t="n">
        <v>0</v>
      </c>
      <c r="P674" t="n">
        <v>0</v>
      </c>
      <c r="Q674" t="n">
        <v>0</v>
      </c>
      <c r="R674" s="2" t="inlineStr"/>
    </row>
    <row r="675" ht="15" customHeight="1">
      <c r="A675" t="inlineStr">
        <is>
          <t>A 63487-2023</t>
        </is>
      </c>
      <c r="B675" s="1" t="n">
        <v>45274.66712962963</v>
      </c>
      <c r="C675" s="1" t="n">
        <v>46160</v>
      </c>
      <c r="D675" t="inlineStr">
        <is>
          <t>ÖSTERGÖTLANDS LÄN</t>
        </is>
      </c>
      <c r="E675" t="inlineStr">
        <is>
          <t>LINKÖPING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20455-2024</t>
        </is>
      </c>
      <c r="B676" s="1" t="n">
        <v>45435.65314814815</v>
      </c>
      <c r="C676" s="1" t="n">
        <v>46160</v>
      </c>
      <c r="D676" t="inlineStr">
        <is>
          <t>ÖSTERGÖTLANDS LÄN</t>
        </is>
      </c>
      <c r="E676" t="inlineStr">
        <is>
          <t>LINKÖPING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30471-2023</t>
        </is>
      </c>
      <c r="B677" s="1" t="n">
        <v>45111.58931712963</v>
      </c>
      <c r="C677" s="1" t="n">
        <v>46160</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14093-2024</t>
        </is>
      </c>
      <c r="B678" s="1" t="n">
        <v>45392.60278935185</v>
      </c>
      <c r="C678" s="1" t="n">
        <v>46160</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63304-2021</t>
        </is>
      </c>
      <c r="B679" s="1" t="n">
        <v>44508.4396412037</v>
      </c>
      <c r="C679" s="1" t="n">
        <v>46160</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19362-2023</t>
        </is>
      </c>
      <c r="B680" s="1" t="n">
        <v>45049</v>
      </c>
      <c r="C680" s="1" t="n">
        <v>46160</v>
      </c>
      <c r="D680" t="inlineStr">
        <is>
          <t>ÖSTERGÖTLANDS LÄN</t>
        </is>
      </c>
      <c r="E680" t="inlineStr">
        <is>
          <t>LINKÖPING</t>
        </is>
      </c>
      <c r="G680" t="n">
        <v>0.1</v>
      </c>
      <c r="H680" t="n">
        <v>0</v>
      </c>
      <c r="I680" t="n">
        <v>0</v>
      </c>
      <c r="J680" t="n">
        <v>0</v>
      </c>
      <c r="K680" t="n">
        <v>0</v>
      </c>
      <c r="L680" t="n">
        <v>0</v>
      </c>
      <c r="M680" t="n">
        <v>0</v>
      </c>
      <c r="N680" t="n">
        <v>0</v>
      </c>
      <c r="O680" t="n">
        <v>0</v>
      </c>
      <c r="P680" t="n">
        <v>0</v>
      </c>
      <c r="Q680" t="n">
        <v>0</v>
      </c>
      <c r="R680" s="2" t="inlineStr"/>
    </row>
    <row r="681" ht="15" customHeight="1">
      <c r="A681" t="inlineStr">
        <is>
          <t>A 35463-2023</t>
        </is>
      </c>
      <c r="B681" s="1" t="n">
        <v>45146</v>
      </c>
      <c r="C681" s="1" t="n">
        <v>46160</v>
      </c>
      <c r="D681" t="inlineStr">
        <is>
          <t>ÖSTERGÖTLANDS LÄN</t>
        </is>
      </c>
      <c r="E681" t="inlineStr">
        <is>
          <t>LINKÖPING</t>
        </is>
      </c>
      <c r="F681" t="inlineStr">
        <is>
          <t>Övriga Aktiebolag</t>
        </is>
      </c>
      <c r="G681" t="n">
        <v>1.8</v>
      </c>
      <c r="H681" t="n">
        <v>0</v>
      </c>
      <c r="I681" t="n">
        <v>0</v>
      </c>
      <c r="J681" t="n">
        <v>0</v>
      </c>
      <c r="K681" t="n">
        <v>0</v>
      </c>
      <c r="L681" t="n">
        <v>0</v>
      </c>
      <c r="M681" t="n">
        <v>0</v>
      </c>
      <c r="N681" t="n">
        <v>0</v>
      </c>
      <c r="O681" t="n">
        <v>0</v>
      </c>
      <c r="P681" t="n">
        <v>0</v>
      </c>
      <c r="Q681" t="n">
        <v>0</v>
      </c>
      <c r="R681" s="2" t="inlineStr"/>
    </row>
    <row r="682" ht="15" customHeight="1">
      <c r="A682" t="inlineStr">
        <is>
          <t>A 16111-2022</t>
        </is>
      </c>
      <c r="B682" s="1" t="n">
        <v>44665</v>
      </c>
      <c r="C682" s="1" t="n">
        <v>46160</v>
      </c>
      <c r="D682" t="inlineStr">
        <is>
          <t>ÖSTERGÖTLANDS LÄN</t>
        </is>
      </c>
      <c r="E682" t="inlineStr">
        <is>
          <t>LINKÖPING</t>
        </is>
      </c>
      <c r="F682" t="inlineStr">
        <is>
          <t>Övriga Aktiebolag</t>
        </is>
      </c>
      <c r="G682" t="n">
        <v>2.9</v>
      </c>
      <c r="H682" t="n">
        <v>0</v>
      </c>
      <c r="I682" t="n">
        <v>0</v>
      </c>
      <c r="J682" t="n">
        <v>0</v>
      </c>
      <c r="K682" t="n">
        <v>0</v>
      </c>
      <c r="L682" t="n">
        <v>0</v>
      </c>
      <c r="M682" t="n">
        <v>0</v>
      </c>
      <c r="N682" t="n">
        <v>0</v>
      </c>
      <c r="O682" t="n">
        <v>0</v>
      </c>
      <c r="P682" t="n">
        <v>0</v>
      </c>
      <c r="Q682" t="n">
        <v>0</v>
      </c>
      <c r="R682" s="2" t="inlineStr"/>
    </row>
    <row r="683" ht="15" customHeight="1">
      <c r="A683" t="inlineStr">
        <is>
          <t>A 31635-2023</t>
        </is>
      </c>
      <c r="B683" s="1" t="n">
        <v>45105</v>
      </c>
      <c r="C683" s="1" t="n">
        <v>46160</v>
      </c>
      <c r="D683" t="inlineStr">
        <is>
          <t>ÖSTERGÖTLANDS LÄN</t>
        </is>
      </c>
      <c r="E683" t="inlineStr">
        <is>
          <t>LINKÖPING</t>
        </is>
      </c>
      <c r="F683" t="inlineStr">
        <is>
          <t>Övriga statliga verk och myndigheter</t>
        </is>
      </c>
      <c r="G683" t="n">
        <v>4.6</v>
      </c>
      <c r="H683" t="n">
        <v>0</v>
      </c>
      <c r="I683" t="n">
        <v>0</v>
      </c>
      <c r="J683" t="n">
        <v>0</v>
      </c>
      <c r="K683" t="n">
        <v>0</v>
      </c>
      <c r="L683" t="n">
        <v>0</v>
      </c>
      <c r="M683" t="n">
        <v>0</v>
      </c>
      <c r="N683" t="n">
        <v>0</v>
      </c>
      <c r="O683" t="n">
        <v>0</v>
      </c>
      <c r="P683" t="n">
        <v>0</v>
      </c>
      <c r="Q683" t="n">
        <v>0</v>
      </c>
      <c r="R683" s="2" t="inlineStr"/>
    </row>
    <row r="684" ht="15" customHeight="1">
      <c r="A684" t="inlineStr">
        <is>
          <t>A 49928-2024</t>
        </is>
      </c>
      <c r="B684" s="1" t="n">
        <v>45597.57811342592</v>
      </c>
      <c r="C684" s="1" t="n">
        <v>46160</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54845-2023</t>
        </is>
      </c>
      <c r="B685" s="1" t="n">
        <v>45236</v>
      </c>
      <c r="C685" s="1" t="n">
        <v>46160</v>
      </c>
      <c r="D685" t="inlineStr">
        <is>
          <t>ÖSTERGÖTLANDS LÄN</t>
        </is>
      </c>
      <c r="E685" t="inlineStr">
        <is>
          <t>LINKÖPING</t>
        </is>
      </c>
      <c r="F685" t="inlineStr">
        <is>
          <t>Övriga Aktiebolag</t>
        </is>
      </c>
      <c r="G685" t="n">
        <v>5.7</v>
      </c>
      <c r="H685" t="n">
        <v>0</v>
      </c>
      <c r="I685" t="n">
        <v>0</v>
      </c>
      <c r="J685" t="n">
        <v>0</v>
      </c>
      <c r="K685" t="n">
        <v>0</v>
      </c>
      <c r="L685" t="n">
        <v>0</v>
      </c>
      <c r="M685" t="n">
        <v>0</v>
      </c>
      <c r="N685" t="n">
        <v>0</v>
      </c>
      <c r="O685" t="n">
        <v>0</v>
      </c>
      <c r="P685" t="n">
        <v>0</v>
      </c>
      <c r="Q685" t="n">
        <v>0</v>
      </c>
      <c r="R685" s="2" t="inlineStr"/>
    </row>
    <row r="686" ht="15" customHeight="1">
      <c r="A686" t="inlineStr">
        <is>
          <t>A 46687-2021</t>
        </is>
      </c>
      <c r="B686" s="1" t="n">
        <v>44445</v>
      </c>
      <c r="C686" s="1" t="n">
        <v>46160</v>
      </c>
      <c r="D686" t="inlineStr">
        <is>
          <t>ÖSTERGÖTLANDS LÄN</t>
        </is>
      </c>
      <c r="E686" t="inlineStr">
        <is>
          <t>LINKÖPING</t>
        </is>
      </c>
      <c r="F686" t="inlineStr">
        <is>
          <t>Övriga statliga verk och myndigheter</t>
        </is>
      </c>
      <c r="G686" t="n">
        <v>2.3</v>
      </c>
      <c r="H686" t="n">
        <v>0</v>
      </c>
      <c r="I686" t="n">
        <v>0</v>
      </c>
      <c r="J686" t="n">
        <v>0</v>
      </c>
      <c r="K686" t="n">
        <v>0</v>
      </c>
      <c r="L686" t="n">
        <v>0</v>
      </c>
      <c r="M686" t="n">
        <v>0</v>
      </c>
      <c r="N686" t="n">
        <v>0</v>
      </c>
      <c r="O686" t="n">
        <v>0</v>
      </c>
      <c r="P686" t="n">
        <v>0</v>
      </c>
      <c r="Q686" t="n">
        <v>0</v>
      </c>
      <c r="R686" s="2" t="inlineStr"/>
    </row>
    <row r="687" ht="15" customHeight="1">
      <c r="A687" t="inlineStr">
        <is>
          <t>A 30855-2022</t>
        </is>
      </c>
      <c r="B687" s="1" t="n">
        <v>44767</v>
      </c>
      <c r="C687" s="1" t="n">
        <v>46160</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1355-2023</t>
        </is>
      </c>
      <c r="B688" s="1" t="n">
        <v>44931</v>
      </c>
      <c r="C688" s="1" t="n">
        <v>46160</v>
      </c>
      <c r="D688" t="inlineStr">
        <is>
          <t>ÖSTERGÖTLANDS LÄN</t>
        </is>
      </c>
      <c r="E688" t="inlineStr">
        <is>
          <t>LINKÖPING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27844-2024</t>
        </is>
      </c>
      <c r="B689" s="1" t="n">
        <v>45475.63047453704</v>
      </c>
      <c r="C689" s="1" t="n">
        <v>46160</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10741-2023</t>
        </is>
      </c>
      <c r="B690" s="1" t="n">
        <v>44988.70084490741</v>
      </c>
      <c r="C690" s="1" t="n">
        <v>46160</v>
      </c>
      <c r="D690" t="inlineStr">
        <is>
          <t>ÖSTERGÖTLANDS LÄN</t>
        </is>
      </c>
      <c r="E690" t="inlineStr">
        <is>
          <t>LINKÖPING</t>
        </is>
      </c>
      <c r="F690" t="inlineStr">
        <is>
          <t>Allmännings- och besparingsskogar</t>
        </is>
      </c>
      <c r="G690" t="n">
        <v>11.2</v>
      </c>
      <c r="H690" t="n">
        <v>0</v>
      </c>
      <c r="I690" t="n">
        <v>0</v>
      </c>
      <c r="J690" t="n">
        <v>0</v>
      </c>
      <c r="K690" t="n">
        <v>0</v>
      </c>
      <c r="L690" t="n">
        <v>0</v>
      </c>
      <c r="M690" t="n">
        <v>0</v>
      </c>
      <c r="N690" t="n">
        <v>0</v>
      </c>
      <c r="O690" t="n">
        <v>0</v>
      </c>
      <c r="P690" t="n">
        <v>0</v>
      </c>
      <c r="Q690" t="n">
        <v>0</v>
      </c>
      <c r="R690" s="2" t="inlineStr"/>
    </row>
    <row r="691" ht="15" customHeight="1">
      <c r="A691" t="inlineStr">
        <is>
          <t>A 50963-2021</t>
        </is>
      </c>
      <c r="B691" s="1" t="n">
        <v>44460</v>
      </c>
      <c r="C691" s="1" t="n">
        <v>46160</v>
      </c>
      <c r="D691" t="inlineStr">
        <is>
          <t>ÖSTERGÖTLANDS LÄN</t>
        </is>
      </c>
      <c r="E691" t="inlineStr">
        <is>
          <t>LINKÖPING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45821-2024</t>
        </is>
      </c>
      <c r="B692" s="1" t="n">
        <v>45579.75803240741</v>
      </c>
      <c r="C692" s="1" t="n">
        <v>46160</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46160</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1263-2024</t>
        </is>
      </c>
      <c r="B694" s="1" t="n">
        <v>45302</v>
      </c>
      <c r="C694" s="1" t="n">
        <v>46160</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24464-2023</t>
        </is>
      </c>
      <c r="B695" s="1" t="n">
        <v>45082.58068287037</v>
      </c>
      <c r="C695" s="1" t="n">
        <v>46160</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48389-2024</t>
        </is>
      </c>
      <c r="B696" s="1" t="n">
        <v>45590.59991898148</v>
      </c>
      <c r="C696" s="1" t="n">
        <v>46160</v>
      </c>
      <c r="D696" t="inlineStr">
        <is>
          <t>ÖSTERGÖTLANDS LÄN</t>
        </is>
      </c>
      <c r="E696" t="inlineStr">
        <is>
          <t>LINKÖPING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61281-2021</t>
        </is>
      </c>
      <c r="B697" s="1" t="n">
        <v>44498.60736111111</v>
      </c>
      <c r="C697" s="1" t="n">
        <v>46160</v>
      </c>
      <c r="D697" t="inlineStr">
        <is>
          <t>ÖSTERGÖTLANDS LÄN</t>
        </is>
      </c>
      <c r="E697" t="inlineStr">
        <is>
          <t>LINKÖPING</t>
        </is>
      </c>
      <c r="G697" t="n">
        <v>4.5</v>
      </c>
      <c r="H697" t="n">
        <v>0</v>
      </c>
      <c r="I697" t="n">
        <v>0</v>
      </c>
      <c r="J697" t="n">
        <v>0</v>
      </c>
      <c r="K697" t="n">
        <v>0</v>
      </c>
      <c r="L697" t="n">
        <v>0</v>
      </c>
      <c r="M697" t="n">
        <v>0</v>
      </c>
      <c r="N697" t="n">
        <v>0</v>
      </c>
      <c r="O697" t="n">
        <v>0</v>
      </c>
      <c r="P697" t="n">
        <v>0</v>
      </c>
      <c r="Q697" t="n">
        <v>0</v>
      </c>
      <c r="R697" s="2" t="inlineStr"/>
    </row>
    <row r="698" ht="15" customHeight="1">
      <c r="A698" t="inlineStr">
        <is>
          <t>A 6369-2023</t>
        </is>
      </c>
      <c r="B698" s="1" t="n">
        <v>44965.61106481482</v>
      </c>
      <c r="C698" s="1" t="n">
        <v>46160</v>
      </c>
      <c r="D698" t="inlineStr">
        <is>
          <t>ÖSTERGÖTLANDS LÄN</t>
        </is>
      </c>
      <c r="E698" t="inlineStr">
        <is>
          <t>LINKÖPING</t>
        </is>
      </c>
      <c r="G698" t="n">
        <v>4</v>
      </c>
      <c r="H698" t="n">
        <v>0</v>
      </c>
      <c r="I698" t="n">
        <v>0</v>
      </c>
      <c r="J698" t="n">
        <v>0</v>
      </c>
      <c r="K698" t="n">
        <v>0</v>
      </c>
      <c r="L698" t="n">
        <v>0</v>
      </c>
      <c r="M698" t="n">
        <v>0</v>
      </c>
      <c r="N698" t="n">
        <v>0</v>
      </c>
      <c r="O698" t="n">
        <v>0</v>
      </c>
      <c r="P698" t="n">
        <v>0</v>
      </c>
      <c r="Q698" t="n">
        <v>0</v>
      </c>
      <c r="R698" s="2" t="inlineStr"/>
    </row>
    <row r="699" ht="15" customHeight="1">
      <c r="A699" t="inlineStr">
        <is>
          <t>A 10094-2024</t>
        </is>
      </c>
      <c r="B699" s="1" t="n">
        <v>45364</v>
      </c>
      <c r="C699" s="1" t="n">
        <v>46160</v>
      </c>
      <c r="D699" t="inlineStr">
        <is>
          <t>ÖSTERGÖTLANDS LÄN</t>
        </is>
      </c>
      <c r="E699" t="inlineStr">
        <is>
          <t>LINKÖPING</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1207-2023</t>
        </is>
      </c>
      <c r="B700" s="1" t="n">
        <v>44930</v>
      </c>
      <c r="C700" s="1" t="n">
        <v>46160</v>
      </c>
      <c r="D700" t="inlineStr">
        <is>
          <t>ÖSTERGÖTLANDS LÄN</t>
        </is>
      </c>
      <c r="E700" t="inlineStr">
        <is>
          <t>LINKÖPING</t>
        </is>
      </c>
      <c r="F700" t="inlineStr">
        <is>
          <t>Övriga statliga verk och myndigheter</t>
        </is>
      </c>
      <c r="G700" t="n">
        <v>32.8</v>
      </c>
      <c r="H700" t="n">
        <v>0</v>
      </c>
      <c r="I700" t="n">
        <v>0</v>
      </c>
      <c r="J700" t="n">
        <v>0</v>
      </c>
      <c r="K700" t="n">
        <v>0</v>
      </c>
      <c r="L700" t="n">
        <v>0</v>
      </c>
      <c r="M700" t="n">
        <v>0</v>
      </c>
      <c r="N700" t="n">
        <v>0</v>
      </c>
      <c r="O700" t="n">
        <v>0</v>
      </c>
      <c r="P700" t="n">
        <v>0</v>
      </c>
      <c r="Q700" t="n">
        <v>0</v>
      </c>
      <c r="R700" s="2" t="inlineStr"/>
    </row>
    <row r="701" ht="15" customHeight="1">
      <c r="A701" t="inlineStr">
        <is>
          <t>A 62015-2024</t>
        </is>
      </c>
      <c r="B701" s="1" t="n">
        <v>45655.80457175926</v>
      </c>
      <c r="C701" s="1" t="n">
        <v>46160</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62020-2024</t>
        </is>
      </c>
      <c r="B702" s="1" t="n">
        <v>45655.83563657408</v>
      </c>
      <c r="C702" s="1" t="n">
        <v>46160</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62021-2024</t>
        </is>
      </c>
      <c r="B703" s="1" t="n">
        <v>45655.84232638889</v>
      </c>
      <c r="C703" s="1" t="n">
        <v>46160</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27891-2021</t>
        </is>
      </c>
      <c r="B704" s="1" t="n">
        <v>44354.65108796296</v>
      </c>
      <c r="C704" s="1" t="n">
        <v>46160</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57391-2023</t>
        </is>
      </c>
      <c r="B705" s="1" t="n">
        <v>45245</v>
      </c>
      <c r="C705" s="1" t="n">
        <v>46160</v>
      </c>
      <c r="D705" t="inlineStr">
        <is>
          <t>ÖSTERGÖTLANDS LÄN</t>
        </is>
      </c>
      <c r="E705" t="inlineStr">
        <is>
          <t>LINKÖPING</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20294-2025</t>
        </is>
      </c>
      <c r="B706" s="1" t="n">
        <v>45774.74667824074</v>
      </c>
      <c r="C706" s="1" t="n">
        <v>46160</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60013-2022</t>
        </is>
      </c>
      <c r="B707" s="1" t="n">
        <v>44909.47482638889</v>
      </c>
      <c r="C707" s="1" t="n">
        <v>46160</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3007-2025</t>
        </is>
      </c>
      <c r="B708" s="1" t="n">
        <v>45678.56328703704</v>
      </c>
      <c r="C708" s="1" t="n">
        <v>46160</v>
      </c>
      <c r="D708" t="inlineStr">
        <is>
          <t>ÖSTERGÖTLANDS LÄN</t>
        </is>
      </c>
      <c r="E708" t="inlineStr">
        <is>
          <t>LINKÖPING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34877-2023</t>
        </is>
      </c>
      <c r="B709" s="1" t="n">
        <v>45140</v>
      </c>
      <c r="C709" s="1" t="n">
        <v>46160</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1924-2024</t>
        </is>
      </c>
      <c r="B710" s="1" t="n">
        <v>45308</v>
      </c>
      <c r="C710" s="1" t="n">
        <v>46160</v>
      </c>
      <c r="D710" t="inlineStr">
        <is>
          <t>ÖSTERGÖTLANDS LÄN</t>
        </is>
      </c>
      <c r="E710" t="inlineStr">
        <is>
          <t>LINKÖPING</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34558-2022</t>
        </is>
      </c>
      <c r="B711" s="1" t="n">
        <v>44794.57594907407</v>
      </c>
      <c r="C711" s="1" t="n">
        <v>46160</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168-2024</t>
        </is>
      </c>
      <c r="B712" s="1" t="n">
        <v>45294</v>
      </c>
      <c r="C712" s="1" t="n">
        <v>46160</v>
      </c>
      <c r="D712" t="inlineStr">
        <is>
          <t>ÖSTERGÖTLANDS LÄN</t>
        </is>
      </c>
      <c r="E712" t="inlineStr">
        <is>
          <t>LINKÖPING</t>
        </is>
      </c>
      <c r="F712" t="inlineStr">
        <is>
          <t>Allmännings- och besparingsskogar</t>
        </is>
      </c>
      <c r="G712" t="n">
        <v>8.9</v>
      </c>
      <c r="H712" t="n">
        <v>0</v>
      </c>
      <c r="I712" t="n">
        <v>0</v>
      </c>
      <c r="J712" t="n">
        <v>0</v>
      </c>
      <c r="K712" t="n">
        <v>0</v>
      </c>
      <c r="L712" t="n">
        <v>0</v>
      </c>
      <c r="M712" t="n">
        <v>0</v>
      </c>
      <c r="N712" t="n">
        <v>0</v>
      </c>
      <c r="O712" t="n">
        <v>0</v>
      </c>
      <c r="P712" t="n">
        <v>0</v>
      </c>
      <c r="Q712" t="n">
        <v>0</v>
      </c>
      <c r="R712" s="2" t="inlineStr"/>
    </row>
    <row r="713" ht="15" customHeight="1">
      <c r="A713" t="inlineStr">
        <is>
          <t>A 15658-2023</t>
        </is>
      </c>
      <c r="B713" s="1" t="n">
        <v>45021.41194444444</v>
      </c>
      <c r="C713" s="1" t="n">
        <v>46160</v>
      </c>
      <c r="D713" t="inlineStr">
        <is>
          <t>ÖSTERGÖTLANDS LÄN</t>
        </is>
      </c>
      <c r="E713" t="inlineStr">
        <is>
          <t>LINKÖPING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30433-2024</t>
        </is>
      </c>
      <c r="B714" s="1" t="n">
        <v>45491.69741898148</v>
      </c>
      <c r="C714" s="1" t="n">
        <v>46160</v>
      </c>
      <c r="D714" t="inlineStr">
        <is>
          <t>ÖSTERGÖTLANDS LÄN</t>
        </is>
      </c>
      <c r="E714" t="inlineStr">
        <is>
          <t>LINKÖPING</t>
        </is>
      </c>
      <c r="G714" t="n">
        <v>1.7</v>
      </c>
      <c r="H714" t="n">
        <v>0</v>
      </c>
      <c r="I714" t="n">
        <v>0</v>
      </c>
      <c r="J714" t="n">
        <v>0</v>
      </c>
      <c r="K714" t="n">
        <v>0</v>
      </c>
      <c r="L714" t="n">
        <v>0</v>
      </c>
      <c r="M714" t="n">
        <v>0</v>
      </c>
      <c r="N714" t="n">
        <v>0</v>
      </c>
      <c r="O714" t="n">
        <v>0</v>
      </c>
      <c r="P714" t="n">
        <v>0</v>
      </c>
      <c r="Q714" t="n">
        <v>0</v>
      </c>
      <c r="R714" s="2" t="inlineStr"/>
    </row>
    <row r="715" ht="15" customHeight="1">
      <c r="A715" t="inlineStr">
        <is>
          <t>A 52220-2023</t>
        </is>
      </c>
      <c r="B715" s="1" t="n">
        <v>45217</v>
      </c>
      <c r="C715" s="1" t="n">
        <v>46160</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52225-2023</t>
        </is>
      </c>
      <c r="B716" s="1" t="n">
        <v>45217</v>
      </c>
      <c r="C716" s="1" t="n">
        <v>46160</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19464-2024</t>
        </is>
      </c>
      <c r="B717" s="1" t="n">
        <v>45429</v>
      </c>
      <c r="C717" s="1" t="n">
        <v>46160</v>
      </c>
      <c r="D717" t="inlineStr">
        <is>
          <t>ÖSTERGÖTLANDS LÄN</t>
        </is>
      </c>
      <c r="E717" t="inlineStr">
        <is>
          <t>LINKÖPING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42044-2023</t>
        </is>
      </c>
      <c r="B718" s="1" t="n">
        <v>45177</v>
      </c>
      <c r="C718" s="1" t="n">
        <v>46160</v>
      </c>
      <c r="D718" t="inlineStr">
        <is>
          <t>ÖSTERGÖTLANDS LÄN</t>
        </is>
      </c>
      <c r="E718" t="inlineStr">
        <is>
          <t>LINKÖPING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630-2024</t>
        </is>
      </c>
      <c r="B719" s="1" t="n">
        <v>45299.67736111111</v>
      </c>
      <c r="C719" s="1" t="n">
        <v>46160</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21782-2024</t>
        </is>
      </c>
      <c r="B720" s="1" t="n">
        <v>45442.63368055555</v>
      </c>
      <c r="C720" s="1" t="n">
        <v>46160</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57766-2023</t>
        </is>
      </c>
      <c r="B721" s="1" t="n">
        <v>45246</v>
      </c>
      <c r="C721" s="1" t="n">
        <v>46160</v>
      </c>
      <c r="D721" t="inlineStr">
        <is>
          <t>ÖSTERGÖTLANDS LÄN</t>
        </is>
      </c>
      <c r="E721" t="inlineStr">
        <is>
          <t>LINKÖPING</t>
        </is>
      </c>
      <c r="F721" t="inlineStr">
        <is>
          <t>Allmännings- och besparingsskogar</t>
        </is>
      </c>
      <c r="G721" t="n">
        <v>12.8</v>
      </c>
      <c r="H721" t="n">
        <v>0</v>
      </c>
      <c r="I721" t="n">
        <v>0</v>
      </c>
      <c r="J721" t="n">
        <v>0</v>
      </c>
      <c r="K721" t="n">
        <v>0</v>
      </c>
      <c r="L721" t="n">
        <v>0</v>
      </c>
      <c r="M721" t="n">
        <v>0</v>
      </c>
      <c r="N721" t="n">
        <v>0</v>
      </c>
      <c r="O721" t="n">
        <v>0</v>
      </c>
      <c r="P721" t="n">
        <v>0</v>
      </c>
      <c r="Q721" t="n">
        <v>0</v>
      </c>
      <c r="R721" s="2" t="inlineStr"/>
    </row>
    <row r="722" ht="15" customHeight="1">
      <c r="A722" t="inlineStr">
        <is>
          <t>A 27186-2021</t>
        </is>
      </c>
      <c r="B722" s="1" t="n">
        <v>44350.67715277777</v>
      </c>
      <c r="C722" s="1" t="n">
        <v>46160</v>
      </c>
      <c r="D722" t="inlineStr">
        <is>
          <t>ÖSTERGÖTLANDS LÄN</t>
        </is>
      </c>
      <c r="E722" t="inlineStr">
        <is>
          <t>LINKÖPING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10194-2023</t>
        </is>
      </c>
      <c r="B723" s="1" t="n">
        <v>44986.52277777778</v>
      </c>
      <c r="C723" s="1" t="n">
        <v>46160</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55944-2024</t>
        </is>
      </c>
      <c r="B724" s="1" t="n">
        <v>45623.61640046296</v>
      </c>
      <c r="C724" s="1" t="n">
        <v>46160</v>
      </c>
      <c r="D724" t="inlineStr">
        <is>
          <t>ÖSTERGÖTLANDS LÄN</t>
        </is>
      </c>
      <c r="E724" t="inlineStr">
        <is>
          <t>LINKÖPING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55947-2024</t>
        </is>
      </c>
      <c r="B725" s="1" t="n">
        <v>45623</v>
      </c>
      <c r="C725" s="1" t="n">
        <v>46160</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47703-2023</t>
        </is>
      </c>
      <c r="B726" s="1" t="n">
        <v>45203</v>
      </c>
      <c r="C726" s="1" t="n">
        <v>46160</v>
      </c>
      <c r="D726" t="inlineStr">
        <is>
          <t>ÖSTERGÖTLANDS LÄN</t>
        </is>
      </c>
      <c r="E726" t="inlineStr">
        <is>
          <t>LINKÖPING</t>
        </is>
      </c>
      <c r="G726" t="n">
        <v>4.1</v>
      </c>
      <c r="H726" t="n">
        <v>0</v>
      </c>
      <c r="I726" t="n">
        <v>0</v>
      </c>
      <c r="J726" t="n">
        <v>0</v>
      </c>
      <c r="K726" t="n">
        <v>0</v>
      </c>
      <c r="L726" t="n">
        <v>0</v>
      </c>
      <c r="M726" t="n">
        <v>0</v>
      </c>
      <c r="N726" t="n">
        <v>0</v>
      </c>
      <c r="O726" t="n">
        <v>0</v>
      </c>
      <c r="P726" t="n">
        <v>0</v>
      </c>
      <c r="Q726" t="n">
        <v>0</v>
      </c>
      <c r="R726" s="2" t="inlineStr"/>
    </row>
    <row r="727" ht="15" customHeight="1">
      <c r="A727" t="inlineStr">
        <is>
          <t>A 51559-2024</t>
        </is>
      </c>
      <c r="B727" s="1" t="n">
        <v>45604.61431712963</v>
      </c>
      <c r="C727" s="1" t="n">
        <v>46160</v>
      </c>
      <c r="D727" t="inlineStr">
        <is>
          <t>ÖSTERGÖTLANDS LÄN</t>
        </is>
      </c>
      <c r="E727" t="inlineStr">
        <is>
          <t>LINKÖPING</t>
        </is>
      </c>
      <c r="F727" t="inlineStr">
        <is>
          <t>Övriga Aktiebolag</t>
        </is>
      </c>
      <c r="G727" t="n">
        <v>2.4</v>
      </c>
      <c r="H727" t="n">
        <v>0</v>
      </c>
      <c r="I727" t="n">
        <v>0</v>
      </c>
      <c r="J727" t="n">
        <v>0</v>
      </c>
      <c r="K727" t="n">
        <v>0</v>
      </c>
      <c r="L727" t="n">
        <v>0</v>
      </c>
      <c r="M727" t="n">
        <v>0</v>
      </c>
      <c r="N727" t="n">
        <v>0</v>
      </c>
      <c r="O727" t="n">
        <v>0</v>
      </c>
      <c r="P727" t="n">
        <v>0</v>
      </c>
      <c r="Q727" t="n">
        <v>0</v>
      </c>
      <c r="R727" s="2" t="inlineStr"/>
    </row>
    <row r="728" ht="15" customHeight="1">
      <c r="A728" t="inlineStr">
        <is>
          <t>A 62353-2022</t>
        </is>
      </c>
      <c r="B728" s="1" t="n">
        <v>44923</v>
      </c>
      <c r="C728" s="1" t="n">
        <v>46160</v>
      </c>
      <c r="D728" t="inlineStr">
        <is>
          <t>ÖSTERGÖTLANDS LÄN</t>
        </is>
      </c>
      <c r="E728" t="inlineStr">
        <is>
          <t>LINKÖPING</t>
        </is>
      </c>
      <c r="F728" t="inlineStr">
        <is>
          <t>Allmännings- och besparingsskogar</t>
        </is>
      </c>
      <c r="G728" t="n">
        <v>1.7</v>
      </c>
      <c r="H728" t="n">
        <v>0</v>
      </c>
      <c r="I728" t="n">
        <v>0</v>
      </c>
      <c r="J728" t="n">
        <v>0</v>
      </c>
      <c r="K728" t="n">
        <v>0</v>
      </c>
      <c r="L728" t="n">
        <v>0</v>
      </c>
      <c r="M728" t="n">
        <v>0</v>
      </c>
      <c r="N728" t="n">
        <v>0</v>
      </c>
      <c r="O728" t="n">
        <v>0</v>
      </c>
      <c r="P728" t="n">
        <v>0</v>
      </c>
      <c r="Q728" t="n">
        <v>0</v>
      </c>
      <c r="R728" s="2" t="inlineStr"/>
    </row>
    <row r="729" ht="15" customHeight="1">
      <c r="A729" t="inlineStr">
        <is>
          <t>A 15754-2025</t>
        </is>
      </c>
      <c r="B729" s="1" t="n">
        <v>45748.56105324074</v>
      </c>
      <c r="C729" s="1" t="n">
        <v>46160</v>
      </c>
      <c r="D729" t="inlineStr">
        <is>
          <t>ÖSTERGÖTLANDS LÄN</t>
        </is>
      </c>
      <c r="E729" t="inlineStr">
        <is>
          <t>LINKÖPING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4298-2023</t>
        </is>
      </c>
      <c r="B730" s="1" t="n">
        <v>44953</v>
      </c>
      <c r="C730" s="1" t="n">
        <v>46160</v>
      </c>
      <c r="D730" t="inlineStr">
        <is>
          <t>ÖSTERGÖTLANDS LÄN</t>
        </is>
      </c>
      <c r="E730" t="inlineStr">
        <is>
          <t>LINKÖPING</t>
        </is>
      </c>
      <c r="G730" t="n">
        <v>2.8</v>
      </c>
      <c r="H730" t="n">
        <v>0</v>
      </c>
      <c r="I730" t="n">
        <v>0</v>
      </c>
      <c r="J730" t="n">
        <v>0</v>
      </c>
      <c r="K730" t="n">
        <v>0</v>
      </c>
      <c r="L730" t="n">
        <v>0</v>
      </c>
      <c r="M730" t="n">
        <v>0</v>
      </c>
      <c r="N730" t="n">
        <v>0</v>
      </c>
      <c r="O730" t="n">
        <v>0</v>
      </c>
      <c r="P730" t="n">
        <v>0</v>
      </c>
      <c r="Q730" t="n">
        <v>0</v>
      </c>
      <c r="R730" s="2" t="inlineStr"/>
    </row>
    <row r="731" ht="15" customHeight="1">
      <c r="A731" t="inlineStr">
        <is>
          <t>A 25568-2024</t>
        </is>
      </c>
      <c r="B731" s="1" t="n">
        <v>45463.58699074074</v>
      </c>
      <c r="C731" s="1" t="n">
        <v>46160</v>
      </c>
      <c r="D731" t="inlineStr">
        <is>
          <t>ÖSTERGÖTLANDS LÄN</t>
        </is>
      </c>
      <c r="E731" t="inlineStr">
        <is>
          <t>LINKÖPING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38136-2023</t>
        </is>
      </c>
      <c r="B732" s="1" t="n">
        <v>45161.37310185185</v>
      </c>
      <c r="C732" s="1" t="n">
        <v>46160</v>
      </c>
      <c r="D732" t="inlineStr">
        <is>
          <t>ÖSTERGÖTLANDS LÄN</t>
        </is>
      </c>
      <c r="E732" t="inlineStr">
        <is>
          <t>LINKÖPING</t>
        </is>
      </c>
      <c r="G732" t="n">
        <v>5.6</v>
      </c>
      <c r="H732" t="n">
        <v>0</v>
      </c>
      <c r="I732" t="n">
        <v>0</v>
      </c>
      <c r="J732" t="n">
        <v>0</v>
      </c>
      <c r="K732" t="n">
        <v>0</v>
      </c>
      <c r="L732" t="n">
        <v>0</v>
      </c>
      <c r="M732" t="n">
        <v>0</v>
      </c>
      <c r="N732" t="n">
        <v>0</v>
      </c>
      <c r="O732" t="n">
        <v>0</v>
      </c>
      <c r="P732" t="n">
        <v>0</v>
      </c>
      <c r="Q732" t="n">
        <v>0</v>
      </c>
      <c r="R732" s="2" t="inlineStr"/>
    </row>
    <row r="733" ht="15" customHeight="1">
      <c r="A733" t="inlineStr">
        <is>
          <t>A 12317-2025</t>
        </is>
      </c>
      <c r="B733" s="1" t="n">
        <v>45729.8487037037</v>
      </c>
      <c r="C733" s="1" t="n">
        <v>46160</v>
      </c>
      <c r="D733" t="inlineStr">
        <is>
          <t>ÖSTERGÖTLANDS LÄN</t>
        </is>
      </c>
      <c r="E733" t="inlineStr">
        <is>
          <t>LINKÖPING</t>
        </is>
      </c>
      <c r="G733" t="n">
        <v>8</v>
      </c>
      <c r="H733" t="n">
        <v>0</v>
      </c>
      <c r="I733" t="n">
        <v>0</v>
      </c>
      <c r="J733" t="n">
        <v>0</v>
      </c>
      <c r="K733" t="n">
        <v>0</v>
      </c>
      <c r="L733" t="n">
        <v>0</v>
      </c>
      <c r="M733" t="n">
        <v>0</v>
      </c>
      <c r="N733" t="n">
        <v>0</v>
      </c>
      <c r="O733" t="n">
        <v>0</v>
      </c>
      <c r="P733" t="n">
        <v>0</v>
      </c>
      <c r="Q733" t="n">
        <v>0</v>
      </c>
      <c r="R733" s="2" t="inlineStr"/>
    </row>
    <row r="734" ht="15" customHeight="1">
      <c r="A734" t="inlineStr">
        <is>
          <t>A 14528-2025</t>
        </is>
      </c>
      <c r="B734" s="1" t="n">
        <v>45741</v>
      </c>
      <c r="C734" s="1" t="n">
        <v>46160</v>
      </c>
      <c r="D734" t="inlineStr">
        <is>
          <t>ÖSTERGÖTLANDS LÄN</t>
        </is>
      </c>
      <c r="E734" t="inlineStr">
        <is>
          <t>LINKÖPING</t>
        </is>
      </c>
      <c r="G734" t="n">
        <v>1.5</v>
      </c>
      <c r="H734" t="n">
        <v>0</v>
      </c>
      <c r="I734" t="n">
        <v>0</v>
      </c>
      <c r="J734" t="n">
        <v>0</v>
      </c>
      <c r="K734" t="n">
        <v>0</v>
      </c>
      <c r="L734" t="n">
        <v>0</v>
      </c>
      <c r="M734" t="n">
        <v>0</v>
      </c>
      <c r="N734" t="n">
        <v>0</v>
      </c>
      <c r="O734" t="n">
        <v>0</v>
      </c>
      <c r="P734" t="n">
        <v>0</v>
      </c>
      <c r="Q734" t="n">
        <v>0</v>
      </c>
      <c r="R734" s="2" t="inlineStr"/>
    </row>
    <row r="735" ht="15" customHeight="1">
      <c r="A735" t="inlineStr">
        <is>
          <t>A 61649-2023</t>
        </is>
      </c>
      <c r="B735" s="1" t="n">
        <v>45265</v>
      </c>
      <c r="C735" s="1" t="n">
        <v>46160</v>
      </c>
      <c r="D735" t="inlineStr">
        <is>
          <t>ÖSTERGÖTLANDS LÄN</t>
        </is>
      </c>
      <c r="E735" t="inlineStr">
        <is>
          <t>LINKÖPING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60985-2023</t>
        </is>
      </c>
      <c r="B736" s="1" t="n">
        <v>45261.48429398148</v>
      </c>
      <c r="C736" s="1" t="n">
        <v>46160</v>
      </c>
      <c r="D736" t="inlineStr">
        <is>
          <t>ÖSTERGÖTLANDS LÄN</t>
        </is>
      </c>
      <c r="E736" t="inlineStr">
        <is>
          <t>LINKÖPING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421-2024</t>
        </is>
      </c>
      <c r="B737" s="1" t="n">
        <v>45296.51877314815</v>
      </c>
      <c r="C737" s="1" t="n">
        <v>46160</v>
      </c>
      <c r="D737" t="inlineStr">
        <is>
          <t>ÖSTERGÖTLANDS LÄN</t>
        </is>
      </c>
      <c r="E737" t="inlineStr">
        <is>
          <t>LINKÖPING</t>
        </is>
      </c>
      <c r="G737" t="n">
        <v>3.7</v>
      </c>
      <c r="H737" t="n">
        <v>0</v>
      </c>
      <c r="I737" t="n">
        <v>0</v>
      </c>
      <c r="J737" t="n">
        <v>0</v>
      </c>
      <c r="K737" t="n">
        <v>0</v>
      </c>
      <c r="L737" t="n">
        <v>0</v>
      </c>
      <c r="M737" t="n">
        <v>0</v>
      </c>
      <c r="N737" t="n">
        <v>0</v>
      </c>
      <c r="O737" t="n">
        <v>0</v>
      </c>
      <c r="P737" t="n">
        <v>0</v>
      </c>
      <c r="Q737" t="n">
        <v>0</v>
      </c>
      <c r="R737" s="2" t="inlineStr"/>
    </row>
    <row r="738" ht="15" customHeight="1">
      <c r="A738" t="inlineStr">
        <is>
          <t>A 51405-2023</t>
        </is>
      </c>
      <c r="B738" s="1" t="n">
        <v>45219</v>
      </c>
      <c r="C738" s="1" t="n">
        <v>46160</v>
      </c>
      <c r="D738" t="inlineStr">
        <is>
          <t>ÖSTERGÖTLANDS LÄN</t>
        </is>
      </c>
      <c r="E738" t="inlineStr">
        <is>
          <t>LINKÖPING</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53639-2023</t>
        </is>
      </c>
      <c r="B739" s="1" t="n">
        <v>45230.59686342593</v>
      </c>
      <c r="C739" s="1" t="n">
        <v>46160</v>
      </c>
      <c r="D739" t="inlineStr">
        <is>
          <t>ÖSTERGÖTLANDS LÄN</t>
        </is>
      </c>
      <c r="E739" t="inlineStr">
        <is>
          <t>LINKÖPING</t>
        </is>
      </c>
      <c r="G739" t="n">
        <v>2.3</v>
      </c>
      <c r="H739" t="n">
        <v>0</v>
      </c>
      <c r="I739" t="n">
        <v>0</v>
      </c>
      <c r="J739" t="n">
        <v>0</v>
      </c>
      <c r="K739" t="n">
        <v>0</v>
      </c>
      <c r="L739" t="n">
        <v>0</v>
      </c>
      <c r="M739" t="n">
        <v>0</v>
      </c>
      <c r="N739" t="n">
        <v>0</v>
      </c>
      <c r="O739" t="n">
        <v>0</v>
      </c>
      <c r="P739" t="n">
        <v>0</v>
      </c>
      <c r="Q739" t="n">
        <v>0</v>
      </c>
      <c r="R739" s="2" t="inlineStr"/>
    </row>
    <row r="740" ht="15" customHeight="1">
      <c r="A740" t="inlineStr">
        <is>
          <t>A 24467-2023</t>
        </is>
      </c>
      <c r="B740" s="1" t="n">
        <v>45082</v>
      </c>
      <c r="C740" s="1" t="n">
        <v>46160</v>
      </c>
      <c r="D740" t="inlineStr">
        <is>
          <t>ÖSTERGÖTLANDS LÄN</t>
        </is>
      </c>
      <c r="E740" t="inlineStr">
        <is>
          <t>LINKÖPING</t>
        </is>
      </c>
      <c r="G740" t="n">
        <v>2.4</v>
      </c>
      <c r="H740" t="n">
        <v>0</v>
      </c>
      <c r="I740" t="n">
        <v>0</v>
      </c>
      <c r="J740" t="n">
        <v>0</v>
      </c>
      <c r="K740" t="n">
        <v>0</v>
      </c>
      <c r="L740" t="n">
        <v>0</v>
      </c>
      <c r="M740" t="n">
        <v>0</v>
      </c>
      <c r="N740" t="n">
        <v>0</v>
      </c>
      <c r="O740" t="n">
        <v>0</v>
      </c>
      <c r="P740" t="n">
        <v>0</v>
      </c>
      <c r="Q740" t="n">
        <v>0</v>
      </c>
      <c r="R740" s="2" t="inlineStr"/>
    </row>
    <row r="741" ht="15" customHeight="1">
      <c r="A741" t="inlineStr">
        <is>
          <t>A 62488-2023</t>
        </is>
      </c>
      <c r="B741" s="1" t="n">
        <v>45268.5847337963</v>
      </c>
      <c r="C741" s="1" t="n">
        <v>46160</v>
      </c>
      <c r="D741" t="inlineStr">
        <is>
          <t>ÖSTERGÖTLANDS LÄN</t>
        </is>
      </c>
      <c r="E741" t="inlineStr">
        <is>
          <t>LINKÖPING</t>
        </is>
      </c>
      <c r="G741" t="n">
        <v>4.1</v>
      </c>
      <c r="H741" t="n">
        <v>0</v>
      </c>
      <c r="I741" t="n">
        <v>0</v>
      </c>
      <c r="J741" t="n">
        <v>0</v>
      </c>
      <c r="K741" t="n">
        <v>0</v>
      </c>
      <c r="L741" t="n">
        <v>0</v>
      </c>
      <c r="M741" t="n">
        <v>0</v>
      </c>
      <c r="N741" t="n">
        <v>0</v>
      </c>
      <c r="O741" t="n">
        <v>0</v>
      </c>
      <c r="P741" t="n">
        <v>0</v>
      </c>
      <c r="Q741" t="n">
        <v>0</v>
      </c>
      <c r="R741" s="2" t="inlineStr"/>
    </row>
    <row r="742" ht="15" customHeight="1">
      <c r="A742" t="inlineStr">
        <is>
          <t>A 62495-2023</t>
        </is>
      </c>
      <c r="B742" s="1" t="n">
        <v>45268.59717592593</v>
      </c>
      <c r="C742" s="1" t="n">
        <v>46160</v>
      </c>
      <c r="D742" t="inlineStr">
        <is>
          <t>ÖSTERGÖTLANDS LÄN</t>
        </is>
      </c>
      <c r="E742" t="inlineStr">
        <is>
          <t>LINKÖPING</t>
        </is>
      </c>
      <c r="G742" t="n">
        <v>4.1</v>
      </c>
      <c r="H742" t="n">
        <v>0</v>
      </c>
      <c r="I742" t="n">
        <v>0</v>
      </c>
      <c r="J742" t="n">
        <v>0</v>
      </c>
      <c r="K742" t="n">
        <v>0</v>
      </c>
      <c r="L742" t="n">
        <v>0</v>
      </c>
      <c r="M742" t="n">
        <v>0</v>
      </c>
      <c r="N742" t="n">
        <v>0</v>
      </c>
      <c r="O742" t="n">
        <v>0</v>
      </c>
      <c r="P742" t="n">
        <v>0</v>
      </c>
      <c r="Q742" t="n">
        <v>0</v>
      </c>
      <c r="R742" s="2" t="inlineStr"/>
    </row>
    <row r="743" ht="15" customHeight="1">
      <c r="A743" t="inlineStr">
        <is>
          <t>A 10198-2023</t>
        </is>
      </c>
      <c r="B743" s="1" t="n">
        <v>44986.54665509259</v>
      </c>
      <c r="C743" s="1" t="n">
        <v>46160</v>
      </c>
      <c r="D743" t="inlineStr">
        <is>
          <t>ÖSTERGÖTLANDS LÄN</t>
        </is>
      </c>
      <c r="E743" t="inlineStr">
        <is>
          <t>LINKÖPING</t>
        </is>
      </c>
      <c r="G743" t="n">
        <v>4.6</v>
      </c>
      <c r="H743" t="n">
        <v>0</v>
      </c>
      <c r="I743" t="n">
        <v>0</v>
      </c>
      <c r="J743" t="n">
        <v>0</v>
      </c>
      <c r="K743" t="n">
        <v>0</v>
      </c>
      <c r="L743" t="n">
        <v>0</v>
      </c>
      <c r="M743" t="n">
        <v>0</v>
      </c>
      <c r="N743" t="n">
        <v>0</v>
      </c>
      <c r="O743" t="n">
        <v>0</v>
      </c>
      <c r="P743" t="n">
        <v>0</v>
      </c>
      <c r="Q743" t="n">
        <v>0</v>
      </c>
      <c r="R743" s="2" t="inlineStr"/>
    </row>
    <row r="744" ht="15" customHeight="1">
      <c r="A744" t="inlineStr">
        <is>
          <t>A 22771-2024</t>
        </is>
      </c>
      <c r="B744" s="1" t="n">
        <v>45448.46574074074</v>
      </c>
      <c r="C744" s="1" t="n">
        <v>46160</v>
      </c>
      <c r="D744" t="inlineStr">
        <is>
          <t>ÖSTERGÖTLANDS LÄN</t>
        </is>
      </c>
      <c r="E744" t="inlineStr">
        <is>
          <t>LINKÖPING</t>
        </is>
      </c>
      <c r="F744" t="inlineStr">
        <is>
          <t>Sveaskog</t>
        </is>
      </c>
      <c r="G744" t="n">
        <v>2.7</v>
      </c>
      <c r="H744" t="n">
        <v>0</v>
      </c>
      <c r="I744" t="n">
        <v>0</v>
      </c>
      <c r="J744" t="n">
        <v>0</v>
      </c>
      <c r="K744" t="n">
        <v>0</v>
      </c>
      <c r="L744" t="n">
        <v>0</v>
      </c>
      <c r="M744" t="n">
        <v>0</v>
      </c>
      <c r="N744" t="n">
        <v>0</v>
      </c>
      <c r="O744" t="n">
        <v>0</v>
      </c>
      <c r="P744" t="n">
        <v>0</v>
      </c>
      <c r="Q744" t="n">
        <v>0</v>
      </c>
      <c r="R744" s="2" t="inlineStr"/>
    </row>
    <row r="745" ht="15" customHeight="1">
      <c r="A745" t="inlineStr">
        <is>
          <t>A 17128-2025</t>
        </is>
      </c>
      <c r="B745" s="1" t="n">
        <v>45755.72622685185</v>
      </c>
      <c r="C745" s="1" t="n">
        <v>46160</v>
      </c>
      <c r="D745" t="inlineStr">
        <is>
          <t>ÖSTERGÖTLANDS LÄN</t>
        </is>
      </c>
      <c r="E745" t="inlineStr">
        <is>
          <t>LINKÖPING</t>
        </is>
      </c>
      <c r="G745" t="n">
        <v>2.9</v>
      </c>
      <c r="H745" t="n">
        <v>0</v>
      </c>
      <c r="I745" t="n">
        <v>0</v>
      </c>
      <c r="J745" t="n">
        <v>0</v>
      </c>
      <c r="K745" t="n">
        <v>0</v>
      </c>
      <c r="L745" t="n">
        <v>0</v>
      </c>
      <c r="M745" t="n">
        <v>0</v>
      </c>
      <c r="N745" t="n">
        <v>0</v>
      </c>
      <c r="O745" t="n">
        <v>0</v>
      </c>
      <c r="P745" t="n">
        <v>0</v>
      </c>
      <c r="Q745" t="n">
        <v>0</v>
      </c>
      <c r="R745" s="2" t="inlineStr"/>
    </row>
    <row r="746" ht="15" customHeight="1">
      <c r="A746" t="inlineStr">
        <is>
          <t>A 62018-2024</t>
        </is>
      </c>
      <c r="B746" s="1" t="n">
        <v>45655.81387731482</v>
      </c>
      <c r="C746" s="1" t="n">
        <v>46160</v>
      </c>
      <c r="D746" t="inlineStr">
        <is>
          <t>ÖSTERGÖTLANDS LÄN</t>
        </is>
      </c>
      <c r="E746" t="inlineStr">
        <is>
          <t>LINKÖPING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62073-2023</t>
        </is>
      </c>
      <c r="B747" s="1" t="n">
        <v>45266.73844907407</v>
      </c>
      <c r="C747" s="1" t="n">
        <v>46160</v>
      </c>
      <c r="D747" t="inlineStr">
        <is>
          <t>ÖSTERGÖTLANDS LÄN</t>
        </is>
      </c>
      <c r="E747" t="inlineStr">
        <is>
          <t>LINKÖPING</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672-2024</t>
        </is>
      </c>
      <c r="B748" s="1" t="n">
        <v>45300</v>
      </c>
      <c r="C748" s="1" t="n">
        <v>46160</v>
      </c>
      <c r="D748" t="inlineStr">
        <is>
          <t>ÖSTERGÖTLANDS LÄN</t>
        </is>
      </c>
      <c r="E748" t="inlineStr">
        <is>
          <t>LINKÖPING</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42832-2023</t>
        </is>
      </c>
      <c r="B749" s="1" t="n">
        <v>45182.38091435185</v>
      </c>
      <c r="C749" s="1" t="n">
        <v>46160</v>
      </c>
      <c r="D749" t="inlineStr">
        <is>
          <t>ÖSTERGÖTLANDS LÄN</t>
        </is>
      </c>
      <c r="E749" t="inlineStr">
        <is>
          <t>LINKÖPING</t>
        </is>
      </c>
      <c r="G749" t="n">
        <v>2.5</v>
      </c>
      <c r="H749" t="n">
        <v>0</v>
      </c>
      <c r="I749" t="n">
        <v>0</v>
      </c>
      <c r="J749" t="n">
        <v>0</v>
      </c>
      <c r="K749" t="n">
        <v>0</v>
      </c>
      <c r="L749" t="n">
        <v>0</v>
      </c>
      <c r="M749" t="n">
        <v>0</v>
      </c>
      <c r="N749" t="n">
        <v>0</v>
      </c>
      <c r="O749" t="n">
        <v>0</v>
      </c>
      <c r="P749" t="n">
        <v>0</v>
      </c>
      <c r="Q749" t="n">
        <v>0</v>
      </c>
      <c r="R749" s="2" t="inlineStr"/>
    </row>
    <row r="750" ht="15" customHeight="1">
      <c r="A750" t="inlineStr">
        <is>
          <t>A 5872-2025</t>
        </is>
      </c>
      <c r="B750" s="1" t="n">
        <v>45695.36659722222</v>
      </c>
      <c r="C750" s="1" t="n">
        <v>46160</v>
      </c>
      <c r="D750" t="inlineStr">
        <is>
          <t>ÖSTERGÖTLANDS LÄN</t>
        </is>
      </c>
      <c r="E750" t="inlineStr">
        <is>
          <t>LINKÖPING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59674-2024</t>
        </is>
      </c>
      <c r="B751" s="1" t="n">
        <v>45639</v>
      </c>
      <c r="C751" s="1" t="n">
        <v>46160</v>
      </c>
      <c r="D751" t="inlineStr">
        <is>
          <t>ÖSTERGÖTLANDS LÄN</t>
        </is>
      </c>
      <c r="E751" t="inlineStr">
        <is>
          <t>LINKÖPING</t>
        </is>
      </c>
      <c r="G751" t="n">
        <v>6.3</v>
      </c>
      <c r="H751" t="n">
        <v>0</v>
      </c>
      <c r="I751" t="n">
        <v>0</v>
      </c>
      <c r="J751" t="n">
        <v>0</v>
      </c>
      <c r="K751" t="n">
        <v>0</v>
      </c>
      <c r="L751" t="n">
        <v>0</v>
      </c>
      <c r="M751" t="n">
        <v>0</v>
      </c>
      <c r="N751" t="n">
        <v>0</v>
      </c>
      <c r="O751" t="n">
        <v>0</v>
      </c>
      <c r="P751" t="n">
        <v>0</v>
      </c>
      <c r="Q751" t="n">
        <v>0</v>
      </c>
      <c r="R751" s="2" t="inlineStr"/>
    </row>
    <row r="752" ht="15" customHeight="1">
      <c r="A752" t="inlineStr">
        <is>
          <t>A 59576-2024</t>
        </is>
      </c>
      <c r="B752" s="1" t="n">
        <v>45638.66378472222</v>
      </c>
      <c r="C752" s="1" t="n">
        <v>46160</v>
      </c>
      <c r="D752" t="inlineStr">
        <is>
          <t>ÖSTERGÖTLANDS LÄN</t>
        </is>
      </c>
      <c r="E752" t="inlineStr">
        <is>
          <t>LINKÖPING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51583-2024</t>
        </is>
      </c>
      <c r="B753" s="1" t="n">
        <v>45604.6397337963</v>
      </c>
      <c r="C753" s="1" t="n">
        <v>46160</v>
      </c>
      <c r="D753" t="inlineStr">
        <is>
          <t>ÖSTERGÖTLANDS LÄN</t>
        </is>
      </c>
      <c r="E753" t="inlineStr">
        <is>
          <t>LINKÖPING</t>
        </is>
      </c>
      <c r="F753" t="inlineStr">
        <is>
          <t>Övriga Aktiebolag</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62019-2024</t>
        </is>
      </c>
      <c r="B754" s="1" t="n">
        <v>45655.82</v>
      </c>
      <c r="C754" s="1" t="n">
        <v>46160</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38317-2024</t>
        </is>
      </c>
      <c r="B755" s="1" t="n">
        <v>45545.65766203704</v>
      </c>
      <c r="C755" s="1" t="n">
        <v>46160</v>
      </c>
      <c r="D755" t="inlineStr">
        <is>
          <t>ÖSTERGÖTLANDS LÄN</t>
        </is>
      </c>
      <c r="E755" t="inlineStr">
        <is>
          <t>LINKÖPING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50182-2023</t>
        </is>
      </c>
      <c r="B756" s="1" t="n">
        <v>45208</v>
      </c>
      <c r="C756" s="1" t="n">
        <v>46160</v>
      </c>
      <c r="D756" t="inlineStr">
        <is>
          <t>ÖSTERGÖTLANDS LÄN</t>
        </is>
      </c>
      <c r="E756" t="inlineStr">
        <is>
          <t>LINKÖPING</t>
        </is>
      </c>
      <c r="G756" t="n">
        <v>2.5</v>
      </c>
      <c r="H756" t="n">
        <v>0</v>
      </c>
      <c r="I756" t="n">
        <v>0</v>
      </c>
      <c r="J756" t="n">
        <v>0</v>
      </c>
      <c r="K756" t="n">
        <v>0</v>
      </c>
      <c r="L756" t="n">
        <v>0</v>
      </c>
      <c r="M756" t="n">
        <v>0</v>
      </c>
      <c r="N756" t="n">
        <v>0</v>
      </c>
      <c r="O756" t="n">
        <v>0</v>
      </c>
      <c r="P756" t="n">
        <v>0</v>
      </c>
      <c r="Q756" t="n">
        <v>0</v>
      </c>
      <c r="R756" s="2" t="inlineStr"/>
    </row>
    <row r="757" ht="15" customHeight="1">
      <c r="A757" t="inlineStr">
        <is>
          <t>A 1844-2025</t>
        </is>
      </c>
      <c r="B757" s="1" t="n">
        <v>45671.57730324074</v>
      </c>
      <c r="C757" s="1" t="n">
        <v>46160</v>
      </c>
      <c r="D757" t="inlineStr">
        <is>
          <t>ÖSTERGÖTLANDS LÄN</t>
        </is>
      </c>
      <c r="E757" t="inlineStr">
        <is>
          <t>LINKÖPING</t>
        </is>
      </c>
      <c r="G757" t="n">
        <v>2</v>
      </c>
      <c r="H757" t="n">
        <v>0</v>
      </c>
      <c r="I757" t="n">
        <v>0</v>
      </c>
      <c r="J757" t="n">
        <v>0</v>
      </c>
      <c r="K757" t="n">
        <v>0</v>
      </c>
      <c r="L757" t="n">
        <v>0</v>
      </c>
      <c r="M757" t="n">
        <v>0</v>
      </c>
      <c r="N757" t="n">
        <v>0</v>
      </c>
      <c r="O757" t="n">
        <v>0</v>
      </c>
      <c r="P757" t="n">
        <v>0</v>
      </c>
      <c r="Q757" t="n">
        <v>0</v>
      </c>
      <c r="R757" s="2" t="inlineStr"/>
    </row>
    <row r="758" ht="15" customHeight="1">
      <c r="A758" t="inlineStr">
        <is>
          <t>A 21155-2025</t>
        </is>
      </c>
      <c r="B758" s="1" t="n">
        <v>45779.37586805555</v>
      </c>
      <c r="C758" s="1" t="n">
        <v>46160</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21165-2025</t>
        </is>
      </c>
      <c r="B759" s="1" t="n">
        <v>45779.39417824074</v>
      </c>
      <c r="C759" s="1" t="n">
        <v>46160</v>
      </c>
      <c r="D759" t="inlineStr">
        <is>
          <t>ÖSTERGÖTLANDS LÄN</t>
        </is>
      </c>
      <c r="E759" t="inlineStr">
        <is>
          <t>LINKÖPING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57752-2023</t>
        </is>
      </c>
      <c r="B760" s="1" t="n">
        <v>45246.78474537037</v>
      </c>
      <c r="C760" s="1" t="n">
        <v>46160</v>
      </c>
      <c r="D760" t="inlineStr">
        <is>
          <t>ÖSTERGÖTLANDS LÄN</t>
        </is>
      </c>
      <c r="E760" t="inlineStr">
        <is>
          <t>LINKÖPING</t>
        </is>
      </c>
      <c r="G760" t="n">
        <v>1.1</v>
      </c>
      <c r="H760" t="n">
        <v>0</v>
      </c>
      <c r="I760" t="n">
        <v>0</v>
      </c>
      <c r="J760" t="n">
        <v>0</v>
      </c>
      <c r="K760" t="n">
        <v>0</v>
      </c>
      <c r="L760" t="n">
        <v>0</v>
      </c>
      <c r="M760" t="n">
        <v>0</v>
      </c>
      <c r="N760" t="n">
        <v>0</v>
      </c>
      <c r="O760" t="n">
        <v>0</v>
      </c>
      <c r="P760" t="n">
        <v>0</v>
      </c>
      <c r="Q760" t="n">
        <v>0</v>
      </c>
      <c r="R760" s="2" t="inlineStr"/>
    </row>
    <row r="761" ht="15" customHeight="1">
      <c r="A761" t="inlineStr">
        <is>
          <t>A 9473-2024</t>
        </is>
      </c>
      <c r="B761" s="1" t="n">
        <v>45359.55474537037</v>
      </c>
      <c r="C761" s="1" t="n">
        <v>46160</v>
      </c>
      <c r="D761" t="inlineStr">
        <is>
          <t>ÖSTERGÖTLANDS LÄN</t>
        </is>
      </c>
      <c r="E761" t="inlineStr">
        <is>
          <t>LINKÖPING</t>
        </is>
      </c>
      <c r="G761" t="n">
        <v>1</v>
      </c>
      <c r="H761" t="n">
        <v>0</v>
      </c>
      <c r="I761" t="n">
        <v>0</v>
      </c>
      <c r="J761" t="n">
        <v>0</v>
      </c>
      <c r="K761" t="n">
        <v>0</v>
      </c>
      <c r="L761" t="n">
        <v>0</v>
      </c>
      <c r="M761" t="n">
        <v>0</v>
      </c>
      <c r="N761" t="n">
        <v>0</v>
      </c>
      <c r="O761" t="n">
        <v>0</v>
      </c>
      <c r="P761" t="n">
        <v>0</v>
      </c>
      <c r="Q761" t="n">
        <v>0</v>
      </c>
      <c r="R761" s="2" t="inlineStr"/>
    </row>
    <row r="762" ht="15" customHeight="1">
      <c r="A762" t="inlineStr">
        <is>
          <t>A 10797-2024</t>
        </is>
      </c>
      <c r="B762" s="1" t="n">
        <v>45369.6190162037</v>
      </c>
      <c r="C762" s="1" t="n">
        <v>46160</v>
      </c>
      <c r="D762" t="inlineStr">
        <is>
          <t>ÖSTERGÖTLANDS LÄN</t>
        </is>
      </c>
      <c r="E762" t="inlineStr">
        <is>
          <t>LINKÖPING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22264-2025</t>
        </is>
      </c>
      <c r="B763" s="1" t="n">
        <v>45785</v>
      </c>
      <c r="C763" s="1" t="n">
        <v>46160</v>
      </c>
      <c r="D763" t="inlineStr">
        <is>
          <t>ÖSTERGÖTLANDS LÄN</t>
        </is>
      </c>
      <c r="E763" t="inlineStr">
        <is>
          <t>LINKÖPING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6859-2024</t>
        </is>
      </c>
      <c r="B764" s="1" t="n">
        <v>45342</v>
      </c>
      <c r="C764" s="1" t="n">
        <v>46160</v>
      </c>
      <c r="D764" t="inlineStr">
        <is>
          <t>ÖSTERGÖTLANDS LÄN</t>
        </is>
      </c>
      <c r="E764" t="inlineStr">
        <is>
          <t>LINKÖPING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38580-2024</t>
        </is>
      </c>
      <c r="B765" s="1" t="n">
        <v>45546.64825231482</v>
      </c>
      <c r="C765" s="1" t="n">
        <v>46160</v>
      </c>
      <c r="D765" t="inlineStr">
        <is>
          <t>ÖSTERGÖTLANDS LÄN</t>
        </is>
      </c>
      <c r="E765" t="inlineStr">
        <is>
          <t>LINKÖPING</t>
        </is>
      </c>
      <c r="G765" t="n">
        <v>4.8</v>
      </c>
      <c r="H765" t="n">
        <v>0</v>
      </c>
      <c r="I765" t="n">
        <v>0</v>
      </c>
      <c r="J765" t="n">
        <v>0</v>
      </c>
      <c r="K765" t="n">
        <v>0</v>
      </c>
      <c r="L765" t="n">
        <v>0</v>
      </c>
      <c r="M765" t="n">
        <v>0</v>
      </c>
      <c r="N765" t="n">
        <v>0</v>
      </c>
      <c r="O765" t="n">
        <v>0</v>
      </c>
      <c r="P765" t="n">
        <v>0</v>
      </c>
      <c r="Q765" t="n">
        <v>0</v>
      </c>
      <c r="R765" s="2" t="inlineStr"/>
    </row>
    <row r="766" ht="15" customHeight="1">
      <c r="A766" t="inlineStr">
        <is>
          <t>A 572-2025</t>
        </is>
      </c>
      <c r="B766" s="1" t="n">
        <v>45664.56349537037</v>
      </c>
      <c r="C766" s="1" t="n">
        <v>46160</v>
      </c>
      <c r="D766" t="inlineStr">
        <is>
          <t>ÖSTERGÖTLANDS LÄN</t>
        </is>
      </c>
      <c r="E766" t="inlineStr">
        <is>
          <t>LINKÖPING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22364-2025</t>
        </is>
      </c>
      <c r="B767" s="1" t="n">
        <v>45786.46930555555</v>
      </c>
      <c r="C767" s="1" t="n">
        <v>46160</v>
      </c>
      <c r="D767" t="inlineStr">
        <is>
          <t>ÖSTERGÖTLANDS LÄN</t>
        </is>
      </c>
      <c r="E767" t="inlineStr">
        <is>
          <t>LINKÖPING</t>
        </is>
      </c>
      <c r="G767" t="n">
        <v>2.2</v>
      </c>
      <c r="H767" t="n">
        <v>0</v>
      </c>
      <c r="I767" t="n">
        <v>0</v>
      </c>
      <c r="J767" t="n">
        <v>0</v>
      </c>
      <c r="K767" t="n">
        <v>0</v>
      </c>
      <c r="L767" t="n">
        <v>0</v>
      </c>
      <c r="M767" t="n">
        <v>0</v>
      </c>
      <c r="N767" t="n">
        <v>0</v>
      </c>
      <c r="O767" t="n">
        <v>0</v>
      </c>
      <c r="P767" t="n">
        <v>0</v>
      </c>
      <c r="Q767" t="n">
        <v>0</v>
      </c>
      <c r="R767" s="2" t="inlineStr"/>
    </row>
    <row r="768" ht="15" customHeight="1">
      <c r="A768" t="inlineStr">
        <is>
          <t>A 44287-2024</t>
        </is>
      </c>
      <c r="B768" s="1" t="n">
        <v>45573.50582175926</v>
      </c>
      <c r="C768" s="1" t="n">
        <v>46160</v>
      </c>
      <c r="D768" t="inlineStr">
        <is>
          <t>ÖSTERGÖTLANDS LÄN</t>
        </is>
      </c>
      <c r="E768" t="inlineStr">
        <is>
          <t>LINKÖPING</t>
        </is>
      </c>
      <c r="G768" t="n">
        <v>12.7</v>
      </c>
      <c r="H768" t="n">
        <v>0</v>
      </c>
      <c r="I768" t="n">
        <v>0</v>
      </c>
      <c r="J768" t="n">
        <v>0</v>
      </c>
      <c r="K768" t="n">
        <v>0</v>
      </c>
      <c r="L768" t="n">
        <v>0</v>
      </c>
      <c r="M768" t="n">
        <v>0</v>
      </c>
      <c r="N768" t="n">
        <v>0</v>
      </c>
      <c r="O768" t="n">
        <v>0</v>
      </c>
      <c r="P768" t="n">
        <v>0</v>
      </c>
      <c r="Q768" t="n">
        <v>0</v>
      </c>
      <c r="R768" s="2" t="inlineStr"/>
    </row>
    <row r="769">
      <c r="A769" t="inlineStr">
        <is>
          <t>A 29312-2024</t>
        </is>
      </c>
      <c r="B769" s="1" t="n">
        <v>45483</v>
      </c>
      <c r="C769" s="1" t="n">
        <v>46160</v>
      </c>
      <c r="D769" t="inlineStr">
        <is>
          <t>ÖSTERGÖTLANDS LÄN</t>
        </is>
      </c>
      <c r="E769" t="inlineStr">
        <is>
          <t>LINKÖPING</t>
        </is>
      </c>
      <c r="G769" t="n">
        <v>2.1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2026-05-18T11:01:06Z</dcterms:created>
  <dcterms:modified xmlns:dcterms="http://purl.org/dc/terms/" xmlns:xsi="http://www.w3.org/2001/XMLSchema-instance" xsi:type="dcterms:W3CDTF">2026-05-18T11:01:07Z</dcterms:modified>
</cp:coreProperties>
</file>