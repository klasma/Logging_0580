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46048</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46048</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46048</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46048</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40469-2024</t>
        </is>
      </c>
      <c r="B13" s="1" t="n">
        <v>45555.53145833333</v>
      </c>
      <c r="C13" s="1" t="n">
        <v>46048</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46048</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46048</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46048</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577-2025</t>
        </is>
      </c>
      <c r="B17" s="1" t="n">
        <v>45664.56525462963</v>
      </c>
      <c r="C17" s="1" t="n">
        <v>46048</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38913-2023</t>
        </is>
      </c>
      <c r="B18" s="1" t="n">
        <v>45163</v>
      </c>
      <c r="C18" s="1" t="n">
        <v>46048</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55341-2024</t>
        </is>
      </c>
      <c r="B19" s="1" t="n">
        <v>45621.71255787037</v>
      </c>
      <c r="C19" s="1" t="n">
        <v>46048</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49999-2025</t>
        </is>
      </c>
      <c r="B20" s="1" t="n">
        <v>45943.30185185185</v>
      </c>
      <c r="C20" s="1" t="n">
        <v>46048</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46048</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38137-2021</t>
        </is>
      </c>
      <c r="B22" s="1" t="n">
        <v>44405.38357638889</v>
      </c>
      <c r="C22" s="1" t="n">
        <v>46048</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46048</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58068-2021</t>
        </is>
      </c>
      <c r="B24" s="1" t="n">
        <v>44487</v>
      </c>
      <c r="C24" s="1" t="n">
        <v>46048</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46048</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21326-2025</t>
        </is>
      </c>
      <c r="B26" s="1" t="n">
        <v>45782.35407407407</v>
      </c>
      <c r="C26" s="1" t="n">
        <v>46048</v>
      </c>
      <c r="D26" t="inlineStr">
        <is>
          <t>ÖSTERGÖTLANDS LÄN</t>
        </is>
      </c>
      <c r="E26" t="inlineStr">
        <is>
          <t>LINKÖPING</t>
        </is>
      </c>
      <c r="G26" t="n">
        <v>4.9</v>
      </c>
      <c r="H26" t="n">
        <v>2</v>
      </c>
      <c r="I26" t="n">
        <v>0</v>
      </c>
      <c r="J26" t="n">
        <v>0</v>
      </c>
      <c r="K26" t="n">
        <v>0</v>
      </c>
      <c r="L26" t="n">
        <v>0</v>
      </c>
      <c r="M26" t="n">
        <v>0</v>
      </c>
      <c r="N26" t="n">
        <v>0</v>
      </c>
      <c r="O26" t="n">
        <v>0</v>
      </c>
      <c r="P26" t="n">
        <v>0</v>
      </c>
      <c r="Q26" t="n">
        <v>2</v>
      </c>
      <c r="R26" s="2" t="inlineStr">
        <is>
          <t>Blåsippa
Revlummer</t>
        </is>
      </c>
      <c r="S26">
        <f>HYPERLINK("https://klasma.github.io/Logging_0580/artfynd/A 21326-2025 artfynd.xlsx", "A 21326-2025")</f>
        <v/>
      </c>
      <c r="T26">
        <f>HYPERLINK("https://klasma.github.io/Logging_0580/kartor/A 21326-2025 karta.png", "A 21326-2025")</f>
        <v/>
      </c>
      <c r="V26">
        <f>HYPERLINK("https://klasma.github.io/Logging_0580/klagomål/A 21326-2025 FSC-klagomål.docx", "A 21326-2025")</f>
        <v/>
      </c>
      <c r="W26">
        <f>HYPERLINK("https://klasma.github.io/Logging_0580/klagomålsmail/A 21326-2025 FSC-klagomål mail.docx", "A 21326-2025")</f>
        <v/>
      </c>
      <c r="X26">
        <f>HYPERLINK("https://klasma.github.io/Logging_0580/tillsyn/A 21326-2025 tillsynsbegäran.docx", "A 21326-2025")</f>
        <v/>
      </c>
      <c r="Y26">
        <f>HYPERLINK("https://klasma.github.io/Logging_0580/tillsynsmail/A 21326-2025 tillsynsbegäran mail.docx", "A 21326-2025")</f>
        <v/>
      </c>
    </row>
    <row r="27" ht="15" customHeight="1">
      <c r="A27" t="inlineStr">
        <is>
          <t>A 50404-2023</t>
        </is>
      </c>
      <c r="B27" s="1" t="n">
        <v>45216</v>
      </c>
      <c r="C27" s="1" t="n">
        <v>46048</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22040-2023</t>
        </is>
      </c>
      <c r="B28" s="1" t="n">
        <v>45068</v>
      </c>
      <c r="C28" s="1" t="n">
        <v>46048</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49188-2024</t>
        </is>
      </c>
      <c r="B29" s="1" t="n">
        <v>45595</v>
      </c>
      <c r="C29" s="1" t="n">
        <v>46048</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11613-2025</t>
        </is>
      </c>
      <c r="B30" s="1" t="n">
        <v>45727.44623842592</v>
      </c>
      <c r="C30" s="1" t="n">
        <v>46048</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27795-2025</t>
        </is>
      </c>
      <c r="B31" s="1" t="n">
        <v>45816.7908912037</v>
      </c>
      <c r="C31" s="1" t="n">
        <v>46048</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14879-2024</t>
        </is>
      </c>
      <c r="B32" s="1" t="n">
        <v>45398</v>
      </c>
      <c r="C32" s="1" t="n">
        <v>46048</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46048</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20292-2025</t>
        </is>
      </c>
      <c r="B34" s="1" t="n">
        <v>45774.7449537037</v>
      </c>
      <c r="C34" s="1" t="n">
        <v>46048</v>
      </c>
      <c r="D34" t="inlineStr">
        <is>
          <t>ÖSTERGÖTLANDS LÄN</t>
        </is>
      </c>
      <c r="E34" t="inlineStr">
        <is>
          <t>LINKÖPING</t>
        </is>
      </c>
      <c r="G34" t="n">
        <v>8.4</v>
      </c>
      <c r="H34" t="n">
        <v>1</v>
      </c>
      <c r="I34" t="n">
        <v>1</v>
      </c>
      <c r="J34" t="n">
        <v>0</v>
      </c>
      <c r="K34" t="n">
        <v>0</v>
      </c>
      <c r="L34" t="n">
        <v>0</v>
      </c>
      <c r="M34" t="n">
        <v>0</v>
      </c>
      <c r="N34" t="n">
        <v>0</v>
      </c>
      <c r="O34" t="n">
        <v>0</v>
      </c>
      <c r="P34" t="n">
        <v>0</v>
      </c>
      <c r="Q34" t="n">
        <v>2</v>
      </c>
      <c r="R34" s="2" t="inlineStr">
        <is>
          <t>Blåmossa
Blåsippa</t>
        </is>
      </c>
      <c r="S34">
        <f>HYPERLINK("https://klasma.github.io/Logging_0580/artfynd/A 20292-2025 artfynd.xlsx", "A 20292-2025")</f>
        <v/>
      </c>
      <c r="T34">
        <f>HYPERLINK("https://klasma.github.io/Logging_0580/kartor/A 20292-2025 karta.png", "A 20292-2025")</f>
        <v/>
      </c>
      <c r="V34">
        <f>HYPERLINK("https://klasma.github.io/Logging_0580/klagomål/A 20292-2025 FSC-klagomål.docx", "A 20292-2025")</f>
        <v/>
      </c>
      <c r="W34">
        <f>HYPERLINK("https://klasma.github.io/Logging_0580/klagomålsmail/A 20292-2025 FSC-klagomål mail.docx", "A 20292-2025")</f>
        <v/>
      </c>
      <c r="X34">
        <f>HYPERLINK("https://klasma.github.io/Logging_0580/tillsyn/A 20292-2025 tillsynsbegäran.docx", "A 20292-2025")</f>
        <v/>
      </c>
      <c r="Y34">
        <f>HYPERLINK("https://klasma.github.io/Logging_0580/tillsynsmail/A 20292-2025 tillsynsbegäran mail.docx", "A 20292-2025")</f>
        <v/>
      </c>
    </row>
    <row r="35" ht="15" customHeight="1">
      <c r="A35" t="inlineStr">
        <is>
          <t>A 20297-2025</t>
        </is>
      </c>
      <c r="B35" s="1" t="n">
        <v>45774.74971064815</v>
      </c>
      <c r="C35" s="1" t="n">
        <v>46048</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25985-2025</t>
        </is>
      </c>
      <c r="B36" s="1" t="n">
        <v>45804.64479166667</v>
      </c>
      <c r="C36" s="1" t="n">
        <v>46048</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58068-2021</t>
        </is>
      </c>
      <c r="B37" s="1" t="n">
        <v>44487</v>
      </c>
      <c r="C37" s="1" t="n">
        <v>46048</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41751-2023</t>
        </is>
      </c>
      <c r="B38" s="1" t="n">
        <v>45176</v>
      </c>
      <c r="C38" s="1" t="n">
        <v>46048</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46048</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46048</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50048-2025</t>
        </is>
      </c>
      <c r="B41" s="1" t="n">
        <v>45941</v>
      </c>
      <c r="C41" s="1" t="n">
        <v>46048</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3912-2026</t>
        </is>
      </c>
      <c r="B42" s="1" t="n">
        <v>46043.71958333333</v>
      </c>
      <c r="C42" s="1" t="n">
        <v>46048</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38129-2021</t>
        </is>
      </c>
      <c r="B43" s="1" t="n">
        <v>44405.37199074074</v>
      </c>
      <c r="C43" s="1" t="n">
        <v>46048</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46048</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43017-2021</t>
        </is>
      </c>
      <c r="B45" s="1" t="n">
        <v>44431</v>
      </c>
      <c r="C45" s="1" t="n">
        <v>46048</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17513-2022</t>
        </is>
      </c>
      <c r="B46" s="1" t="n">
        <v>44679</v>
      </c>
      <c r="C46" s="1" t="n">
        <v>46048</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46496-2022</t>
        </is>
      </c>
      <c r="B47" s="1" t="n">
        <v>44848</v>
      </c>
      <c r="C47" s="1" t="n">
        <v>46048</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46048</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46048</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931-2025</t>
        </is>
      </c>
      <c r="B50" s="1" t="n">
        <v>45665.88498842593</v>
      </c>
      <c r="C50" s="1" t="n">
        <v>46048</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46048</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46048</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46048</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60573-2021</t>
        </is>
      </c>
      <c r="B54" s="1" t="n">
        <v>44496</v>
      </c>
      <c r="C54" s="1" t="n">
        <v>46048</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15290-2025</t>
        </is>
      </c>
      <c r="B55" s="1" t="n">
        <v>45745.45288194445</v>
      </c>
      <c r="C55" s="1" t="n">
        <v>46048</v>
      </c>
      <c r="D55" t="inlineStr">
        <is>
          <t>ÖSTERGÖTLANDS LÄN</t>
        </is>
      </c>
      <c r="E55" t="inlineStr">
        <is>
          <t>LINKÖPING</t>
        </is>
      </c>
      <c r="G55" t="n">
        <v>18.4</v>
      </c>
      <c r="H55" t="n">
        <v>1</v>
      </c>
      <c r="I55" t="n">
        <v>0</v>
      </c>
      <c r="J55" t="n">
        <v>1</v>
      </c>
      <c r="K55" t="n">
        <v>0</v>
      </c>
      <c r="L55" t="n">
        <v>0</v>
      </c>
      <c r="M55" t="n">
        <v>0</v>
      </c>
      <c r="N55" t="n">
        <v>0</v>
      </c>
      <c r="O55" t="n">
        <v>1</v>
      </c>
      <c r="P55" t="n">
        <v>0</v>
      </c>
      <c r="Q55" t="n">
        <v>1</v>
      </c>
      <c r="R55" s="2" t="inlineStr">
        <is>
          <t>Havsörn</t>
        </is>
      </c>
      <c r="S55">
        <f>HYPERLINK("https://klasma.github.io/Logging_0580/artfynd/A 15290-2025 artfynd.xlsx", "A 15290-2025")</f>
        <v/>
      </c>
      <c r="T55">
        <f>HYPERLINK("https://klasma.github.io/Logging_0580/kartor/A 15290-2025 karta.png", "A 15290-2025")</f>
        <v/>
      </c>
      <c r="V55">
        <f>HYPERLINK("https://klasma.github.io/Logging_0580/klagomål/A 15290-2025 FSC-klagomål.docx", "A 15290-2025")</f>
        <v/>
      </c>
      <c r="W55">
        <f>HYPERLINK("https://klasma.github.io/Logging_0580/klagomålsmail/A 15290-2025 FSC-klagomål mail.docx", "A 15290-2025")</f>
        <v/>
      </c>
      <c r="X55">
        <f>HYPERLINK("https://klasma.github.io/Logging_0580/tillsyn/A 15290-2025 tillsynsbegäran.docx", "A 15290-2025")</f>
        <v/>
      </c>
      <c r="Y55">
        <f>HYPERLINK("https://klasma.github.io/Logging_0580/tillsynsmail/A 15290-2025 tillsynsbegäran mail.docx", "A 15290-2025")</f>
        <v/>
      </c>
      <c r="Z55">
        <f>HYPERLINK("https://klasma.github.io/Logging_0580/fåglar/A 15290-2025 prioriterade fågelarter.docx", "A 15290-2025")</f>
        <v/>
      </c>
    </row>
    <row r="56" ht="15" customHeight="1">
      <c r="A56" t="inlineStr">
        <is>
          <t>A 34881-2023</t>
        </is>
      </c>
      <c r="B56" s="1" t="n">
        <v>45140</v>
      </c>
      <c r="C56" s="1" t="n">
        <v>46048</v>
      </c>
      <c r="D56" t="inlineStr">
        <is>
          <t>ÖSTERGÖTLANDS LÄN</t>
        </is>
      </c>
      <c r="E56" t="inlineStr">
        <is>
          <t>LINKÖPING</t>
        </is>
      </c>
      <c r="G56" t="n">
        <v>1.9</v>
      </c>
      <c r="H56" t="n">
        <v>0</v>
      </c>
      <c r="I56" t="n">
        <v>0</v>
      </c>
      <c r="J56" t="n">
        <v>1</v>
      </c>
      <c r="K56" t="n">
        <v>0</v>
      </c>
      <c r="L56" t="n">
        <v>0</v>
      </c>
      <c r="M56" t="n">
        <v>0</v>
      </c>
      <c r="N56" t="n">
        <v>0</v>
      </c>
      <c r="O56" t="n">
        <v>1</v>
      </c>
      <c r="P56" t="n">
        <v>0</v>
      </c>
      <c r="Q56" t="n">
        <v>1</v>
      </c>
      <c r="R56" s="2" t="inlineStr">
        <is>
          <t>Tallticka</t>
        </is>
      </c>
      <c r="S56">
        <f>HYPERLINK("https://klasma.github.io/Logging_0580/artfynd/A 34881-2023 artfynd.xlsx", "A 34881-2023")</f>
        <v/>
      </c>
      <c r="T56">
        <f>HYPERLINK("https://klasma.github.io/Logging_0580/kartor/A 34881-2023 karta.png", "A 34881-2023")</f>
        <v/>
      </c>
      <c r="U56">
        <f>HYPERLINK("https://klasma.github.io/Logging_0580/knärot/A 34881-2023 karta knärot.png", "A 34881-2023")</f>
        <v/>
      </c>
      <c r="V56">
        <f>HYPERLINK("https://klasma.github.io/Logging_0580/klagomål/A 34881-2023 FSC-klagomål.docx", "A 34881-2023")</f>
        <v/>
      </c>
      <c r="W56">
        <f>HYPERLINK("https://klasma.github.io/Logging_0580/klagomålsmail/A 34881-2023 FSC-klagomål mail.docx", "A 34881-2023")</f>
        <v/>
      </c>
      <c r="X56">
        <f>HYPERLINK("https://klasma.github.io/Logging_0580/tillsyn/A 34881-2023 tillsynsbegäran.docx", "A 34881-2023")</f>
        <v/>
      </c>
      <c r="Y56">
        <f>HYPERLINK("https://klasma.github.io/Logging_0580/tillsynsmail/A 34881-2023 tillsynsbegäran mail.docx", "A 34881-2023")</f>
        <v/>
      </c>
    </row>
    <row r="57" ht="15" customHeight="1">
      <c r="A57" t="inlineStr">
        <is>
          <t>A 41749-2023</t>
        </is>
      </c>
      <c r="B57" s="1" t="n">
        <v>45176</v>
      </c>
      <c r="C57" s="1" t="n">
        <v>46048</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50471-2024</t>
        </is>
      </c>
      <c r="B58" s="1" t="n">
        <v>45601.47166666666</v>
      </c>
      <c r="C58" s="1" t="n">
        <v>46048</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17389-2021</t>
        </is>
      </c>
      <c r="B59" s="1" t="n">
        <v>44298.96792824074</v>
      </c>
      <c r="C59" s="1" t="n">
        <v>46048</v>
      </c>
      <c r="D59" t="inlineStr">
        <is>
          <t>ÖSTERGÖTLANDS LÄN</t>
        </is>
      </c>
      <c r="E59" t="inlineStr">
        <is>
          <t>LINKÖPING</t>
        </is>
      </c>
      <c r="G59" t="n">
        <v>5.1</v>
      </c>
      <c r="H59" t="n">
        <v>0</v>
      </c>
      <c r="I59" t="n">
        <v>1</v>
      </c>
      <c r="J59" t="n">
        <v>0</v>
      </c>
      <c r="K59" t="n">
        <v>0</v>
      </c>
      <c r="L59" t="n">
        <v>0</v>
      </c>
      <c r="M59" t="n">
        <v>0</v>
      </c>
      <c r="N59" t="n">
        <v>0</v>
      </c>
      <c r="O59" t="n">
        <v>0</v>
      </c>
      <c r="P59" t="n">
        <v>0</v>
      </c>
      <c r="Q59" t="n">
        <v>1</v>
      </c>
      <c r="R59" s="2" t="inlineStr">
        <is>
          <t>Blomkålssvamp</t>
        </is>
      </c>
      <c r="S59">
        <f>HYPERLINK("https://klasma.github.io/Logging_0580/artfynd/A 17389-2021 artfynd.xlsx", "A 17389-2021")</f>
        <v/>
      </c>
      <c r="T59">
        <f>HYPERLINK("https://klasma.github.io/Logging_0580/kartor/A 17389-2021 karta.png", "A 17389-2021")</f>
        <v/>
      </c>
      <c r="V59">
        <f>HYPERLINK("https://klasma.github.io/Logging_0580/klagomål/A 17389-2021 FSC-klagomål.docx", "A 17389-2021")</f>
        <v/>
      </c>
      <c r="W59">
        <f>HYPERLINK("https://klasma.github.io/Logging_0580/klagomålsmail/A 17389-2021 FSC-klagomål mail.docx", "A 17389-2021")</f>
        <v/>
      </c>
      <c r="X59">
        <f>HYPERLINK("https://klasma.github.io/Logging_0580/tillsyn/A 17389-2021 tillsynsbegäran.docx", "A 17389-2021")</f>
        <v/>
      </c>
      <c r="Y59">
        <f>HYPERLINK("https://klasma.github.io/Logging_0580/tillsynsmail/A 17389-2021 tillsynsbegäran mail.docx", "A 17389-2021")</f>
        <v/>
      </c>
    </row>
    <row r="60" ht="15" customHeight="1">
      <c r="A60" t="inlineStr">
        <is>
          <t>A 59948-2022</t>
        </is>
      </c>
      <c r="B60" s="1" t="n">
        <v>44909</v>
      </c>
      <c r="C60" s="1" t="n">
        <v>46048</v>
      </c>
      <c r="D60" t="inlineStr">
        <is>
          <t>ÖSTERGÖTLANDS LÄN</t>
        </is>
      </c>
      <c r="E60" t="inlineStr">
        <is>
          <t>LINKÖPING</t>
        </is>
      </c>
      <c r="G60" t="n">
        <v>6.7</v>
      </c>
      <c r="H60" t="n">
        <v>0</v>
      </c>
      <c r="I60" t="n">
        <v>0</v>
      </c>
      <c r="J60" t="n">
        <v>0</v>
      </c>
      <c r="K60" t="n">
        <v>0</v>
      </c>
      <c r="L60" t="n">
        <v>0</v>
      </c>
      <c r="M60" t="n">
        <v>1</v>
      </c>
      <c r="N60" t="n">
        <v>0</v>
      </c>
      <c r="O60" t="n">
        <v>1</v>
      </c>
      <c r="P60" t="n">
        <v>1</v>
      </c>
      <c r="Q60" t="n">
        <v>1</v>
      </c>
      <c r="R60" s="2" t="inlineStr">
        <is>
          <t>Skogsalm</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row>
    <row r="61" ht="15" customHeight="1">
      <c r="A61" t="inlineStr">
        <is>
          <t>A 56128-2022</t>
        </is>
      </c>
      <c r="B61" s="1" t="n">
        <v>44889</v>
      </c>
      <c r="C61" s="1" t="n">
        <v>46048</v>
      </c>
      <c r="D61" t="inlineStr">
        <is>
          <t>ÖSTERGÖTLANDS LÄN</t>
        </is>
      </c>
      <c r="E61" t="inlineStr">
        <is>
          <t>LINKÖPING</t>
        </is>
      </c>
      <c r="G61" t="n">
        <v>2</v>
      </c>
      <c r="H61" t="n">
        <v>0</v>
      </c>
      <c r="I61" t="n">
        <v>1</v>
      </c>
      <c r="J61" t="n">
        <v>0</v>
      </c>
      <c r="K61" t="n">
        <v>0</v>
      </c>
      <c r="L61" t="n">
        <v>0</v>
      </c>
      <c r="M61" t="n">
        <v>0</v>
      </c>
      <c r="N61" t="n">
        <v>0</v>
      </c>
      <c r="O61" t="n">
        <v>0</v>
      </c>
      <c r="P61" t="n">
        <v>0</v>
      </c>
      <c r="Q61" t="n">
        <v>1</v>
      </c>
      <c r="R61" s="2" t="inlineStr">
        <is>
          <t>Tibast</t>
        </is>
      </c>
      <c r="S61">
        <f>HYPERLINK("https://klasma.github.io/Logging_0580/artfynd/A 56128-2022 artfynd.xlsx", "A 56128-2022")</f>
        <v/>
      </c>
      <c r="T61">
        <f>HYPERLINK("https://klasma.github.io/Logging_0580/kartor/A 56128-2022 karta.png", "A 56128-2022")</f>
        <v/>
      </c>
      <c r="V61">
        <f>HYPERLINK("https://klasma.github.io/Logging_0580/klagomål/A 56128-2022 FSC-klagomål.docx", "A 56128-2022")</f>
        <v/>
      </c>
      <c r="W61">
        <f>HYPERLINK("https://klasma.github.io/Logging_0580/klagomålsmail/A 56128-2022 FSC-klagomål mail.docx", "A 56128-2022")</f>
        <v/>
      </c>
      <c r="X61">
        <f>HYPERLINK("https://klasma.github.io/Logging_0580/tillsyn/A 56128-2022 tillsynsbegäran.docx", "A 56128-2022")</f>
        <v/>
      </c>
      <c r="Y61">
        <f>HYPERLINK("https://klasma.github.io/Logging_0580/tillsynsmail/A 56128-2022 tillsynsbegäran mail.docx", "A 56128-2022")</f>
        <v/>
      </c>
    </row>
    <row r="62" ht="15" customHeight="1">
      <c r="A62" t="inlineStr">
        <is>
          <t>A 40309-2024</t>
        </is>
      </c>
      <c r="B62" s="1" t="n">
        <v>45554.724375</v>
      </c>
      <c r="C62" s="1" t="n">
        <v>46048</v>
      </c>
      <c r="D62" t="inlineStr">
        <is>
          <t>ÖSTERGÖTLANDS LÄN</t>
        </is>
      </c>
      <c r="E62" t="inlineStr">
        <is>
          <t>LINKÖPING</t>
        </is>
      </c>
      <c r="F62" t="inlineStr">
        <is>
          <t>Allmännings- och besparingsskogar</t>
        </is>
      </c>
      <c r="G62" t="n">
        <v>6</v>
      </c>
      <c r="H62" t="n">
        <v>0</v>
      </c>
      <c r="I62" t="n">
        <v>0</v>
      </c>
      <c r="J62" t="n">
        <v>1</v>
      </c>
      <c r="K62" t="n">
        <v>0</v>
      </c>
      <c r="L62" t="n">
        <v>0</v>
      </c>
      <c r="M62" t="n">
        <v>0</v>
      </c>
      <c r="N62" t="n">
        <v>0</v>
      </c>
      <c r="O62" t="n">
        <v>1</v>
      </c>
      <c r="P62" t="n">
        <v>0</v>
      </c>
      <c r="Q62" t="n">
        <v>1</v>
      </c>
      <c r="R62" s="2" t="inlineStr">
        <is>
          <t>Garnlav</t>
        </is>
      </c>
      <c r="S62">
        <f>HYPERLINK("https://klasma.github.io/Logging_0580/artfynd/A 40309-2024 artfynd.xlsx", "A 40309-2024")</f>
        <v/>
      </c>
      <c r="T62">
        <f>HYPERLINK("https://klasma.github.io/Logging_0580/kartor/A 40309-2024 karta.png", "A 40309-2024")</f>
        <v/>
      </c>
      <c r="V62">
        <f>HYPERLINK("https://klasma.github.io/Logging_0580/klagomål/A 40309-2024 FSC-klagomål.docx", "A 40309-2024")</f>
        <v/>
      </c>
      <c r="W62">
        <f>HYPERLINK("https://klasma.github.io/Logging_0580/klagomålsmail/A 40309-2024 FSC-klagomål mail.docx", "A 40309-2024")</f>
        <v/>
      </c>
      <c r="X62">
        <f>HYPERLINK("https://klasma.github.io/Logging_0580/tillsyn/A 40309-2024 tillsynsbegäran.docx", "A 40309-2024")</f>
        <v/>
      </c>
      <c r="Y62">
        <f>HYPERLINK("https://klasma.github.io/Logging_0580/tillsynsmail/A 40309-2024 tillsynsbegäran mail.docx", "A 40309-2024")</f>
        <v/>
      </c>
    </row>
    <row r="63" ht="15" customHeight="1">
      <c r="A63" t="inlineStr">
        <is>
          <t>A 54835-2023</t>
        </is>
      </c>
      <c r="B63" s="1" t="n">
        <v>45236</v>
      </c>
      <c r="C63" s="1" t="n">
        <v>46048</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37683-2024</t>
        </is>
      </c>
      <c r="B64" s="1" t="n">
        <v>45541.59120370371</v>
      </c>
      <c r="C64" s="1" t="n">
        <v>46048</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27403-2025</t>
        </is>
      </c>
      <c r="B65" s="1" t="n">
        <v>45812.72518518518</v>
      </c>
      <c r="C65" s="1" t="n">
        <v>46048</v>
      </c>
      <c r="D65" t="inlineStr">
        <is>
          <t>ÖSTERGÖTLANDS LÄN</t>
        </is>
      </c>
      <c r="E65" t="inlineStr">
        <is>
          <t>LINKÖPING</t>
        </is>
      </c>
      <c r="G65" t="n">
        <v>1.4</v>
      </c>
      <c r="H65" t="n">
        <v>0</v>
      </c>
      <c r="I65" t="n">
        <v>0</v>
      </c>
      <c r="J65" t="n">
        <v>1</v>
      </c>
      <c r="K65" t="n">
        <v>0</v>
      </c>
      <c r="L65" t="n">
        <v>0</v>
      </c>
      <c r="M65" t="n">
        <v>0</v>
      </c>
      <c r="N65" t="n">
        <v>0</v>
      </c>
      <c r="O65" t="n">
        <v>1</v>
      </c>
      <c r="P65" t="n">
        <v>0</v>
      </c>
      <c r="Q65" t="n">
        <v>1</v>
      </c>
      <c r="R65" s="2" t="inlineStr">
        <is>
          <t>Tallticka</t>
        </is>
      </c>
      <c r="S65">
        <f>HYPERLINK("https://klasma.github.io/Logging_0580/artfynd/A 27403-2025 artfynd.xlsx", "A 27403-2025")</f>
        <v/>
      </c>
      <c r="T65">
        <f>HYPERLINK("https://klasma.github.io/Logging_0580/kartor/A 27403-2025 karta.png", "A 27403-2025")</f>
        <v/>
      </c>
      <c r="V65">
        <f>HYPERLINK("https://klasma.github.io/Logging_0580/klagomål/A 27403-2025 FSC-klagomål.docx", "A 27403-2025")</f>
        <v/>
      </c>
      <c r="W65">
        <f>HYPERLINK("https://klasma.github.io/Logging_0580/klagomålsmail/A 27403-2025 FSC-klagomål mail.docx", "A 27403-2025")</f>
        <v/>
      </c>
      <c r="X65">
        <f>HYPERLINK("https://klasma.github.io/Logging_0580/tillsyn/A 27403-2025 tillsynsbegäran.docx", "A 27403-2025")</f>
        <v/>
      </c>
      <c r="Y65">
        <f>HYPERLINK("https://klasma.github.io/Logging_0580/tillsynsmail/A 27403-2025 tillsynsbegäran mail.docx", "A 27403-2025")</f>
        <v/>
      </c>
    </row>
    <row r="66" ht="15" customHeight="1">
      <c r="A66" t="inlineStr">
        <is>
          <t>A 126-2024</t>
        </is>
      </c>
      <c r="B66" s="1" t="n">
        <v>45294</v>
      </c>
      <c r="C66" s="1" t="n">
        <v>46048</v>
      </c>
      <c r="D66" t="inlineStr">
        <is>
          <t>ÖSTERGÖTLANDS LÄN</t>
        </is>
      </c>
      <c r="E66" t="inlineStr">
        <is>
          <t>LINKÖPING</t>
        </is>
      </c>
      <c r="G66" t="n">
        <v>1</v>
      </c>
      <c r="H66" t="n">
        <v>0</v>
      </c>
      <c r="I66" t="n">
        <v>1</v>
      </c>
      <c r="J66" t="n">
        <v>0</v>
      </c>
      <c r="K66" t="n">
        <v>0</v>
      </c>
      <c r="L66" t="n">
        <v>0</v>
      </c>
      <c r="M66" t="n">
        <v>0</v>
      </c>
      <c r="N66" t="n">
        <v>0</v>
      </c>
      <c r="O66" t="n">
        <v>0</v>
      </c>
      <c r="P66" t="n">
        <v>0</v>
      </c>
      <c r="Q66" t="n">
        <v>1</v>
      </c>
      <c r="R66" s="2" t="inlineStr">
        <is>
          <t>Blåmossa</t>
        </is>
      </c>
      <c r="S66">
        <f>HYPERLINK("https://klasma.github.io/Logging_0580/artfynd/A 126-2024 artfynd.xlsx", "A 126-2024")</f>
        <v/>
      </c>
      <c r="T66">
        <f>HYPERLINK("https://klasma.github.io/Logging_0580/kartor/A 126-2024 karta.png", "A 126-2024")</f>
        <v/>
      </c>
      <c r="V66">
        <f>HYPERLINK("https://klasma.github.io/Logging_0580/klagomål/A 126-2024 FSC-klagomål.docx", "A 126-2024")</f>
        <v/>
      </c>
      <c r="W66">
        <f>HYPERLINK("https://klasma.github.io/Logging_0580/klagomålsmail/A 126-2024 FSC-klagomål mail.docx", "A 126-2024")</f>
        <v/>
      </c>
      <c r="X66">
        <f>HYPERLINK("https://klasma.github.io/Logging_0580/tillsyn/A 126-2024 tillsynsbegäran.docx", "A 126-2024")</f>
        <v/>
      </c>
      <c r="Y66">
        <f>HYPERLINK("https://klasma.github.io/Logging_0580/tillsynsmail/A 126-2024 tillsynsbegäran mail.docx", "A 126-2024")</f>
        <v/>
      </c>
    </row>
    <row r="67" ht="15" customHeight="1">
      <c r="A67" t="inlineStr">
        <is>
          <t>A 56651-2023</t>
        </is>
      </c>
      <c r="B67" s="1" t="n">
        <v>45243</v>
      </c>
      <c r="C67" s="1" t="n">
        <v>46048</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46048</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5911-2022</t>
        </is>
      </c>
      <c r="B69" s="1" t="n">
        <v>44597</v>
      </c>
      <c r="C69" s="1" t="n">
        <v>46048</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36723-2023</t>
        </is>
      </c>
      <c r="B70" s="1" t="n">
        <v>45153</v>
      </c>
      <c r="C70" s="1" t="n">
        <v>46048</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3395-2023</t>
        </is>
      </c>
      <c r="B71" s="1" t="n">
        <v>44949</v>
      </c>
      <c r="C71" s="1" t="n">
        <v>46048</v>
      </c>
      <c r="D71" t="inlineStr">
        <is>
          <t>ÖSTERGÖTLANDS LÄN</t>
        </is>
      </c>
      <c r="E71" t="inlineStr">
        <is>
          <t>LINKÖPING</t>
        </is>
      </c>
      <c r="G71" t="n">
        <v>2</v>
      </c>
      <c r="H71" t="n">
        <v>0</v>
      </c>
      <c r="I71" t="n">
        <v>0</v>
      </c>
      <c r="J71" t="n">
        <v>1</v>
      </c>
      <c r="K71" t="n">
        <v>0</v>
      </c>
      <c r="L71" t="n">
        <v>0</v>
      </c>
      <c r="M71" t="n">
        <v>0</v>
      </c>
      <c r="N71" t="n">
        <v>0</v>
      </c>
      <c r="O71" t="n">
        <v>1</v>
      </c>
      <c r="P71" t="n">
        <v>0</v>
      </c>
      <c r="Q71" t="n">
        <v>1</v>
      </c>
      <c r="R71" s="2" t="inlineStr">
        <is>
          <t>Sommarfibbla</t>
        </is>
      </c>
      <c r="S71">
        <f>HYPERLINK("https://klasma.github.io/Logging_0580/artfynd/A 3395-2023 artfynd.xlsx", "A 3395-2023")</f>
        <v/>
      </c>
      <c r="T71">
        <f>HYPERLINK("https://klasma.github.io/Logging_0580/kartor/A 3395-2023 karta.png", "A 3395-2023")</f>
        <v/>
      </c>
      <c r="V71">
        <f>HYPERLINK("https://klasma.github.io/Logging_0580/klagomål/A 3395-2023 FSC-klagomål.docx", "A 3395-2023")</f>
        <v/>
      </c>
      <c r="W71">
        <f>HYPERLINK("https://klasma.github.io/Logging_0580/klagomålsmail/A 3395-2023 FSC-klagomål mail.docx", "A 3395-2023")</f>
        <v/>
      </c>
      <c r="X71">
        <f>HYPERLINK("https://klasma.github.io/Logging_0580/tillsyn/A 3395-2023 tillsynsbegäran.docx", "A 3395-2023")</f>
        <v/>
      </c>
      <c r="Y71">
        <f>HYPERLINK("https://klasma.github.io/Logging_0580/tillsynsmail/A 3395-2023 tillsynsbegäran mail.docx", "A 3395-2023")</f>
        <v/>
      </c>
    </row>
    <row r="72" ht="15" customHeight="1">
      <c r="A72" t="inlineStr">
        <is>
          <t>A 19103-2021</t>
        </is>
      </c>
      <c r="B72" s="1" t="n">
        <v>44308</v>
      </c>
      <c r="C72" s="1" t="n">
        <v>46048</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90-2024</t>
        </is>
      </c>
      <c r="B73" s="1" t="n">
        <v>45293</v>
      </c>
      <c r="C73" s="1" t="n">
        <v>46048</v>
      </c>
      <c r="D73" t="inlineStr">
        <is>
          <t>ÖSTERGÖTLANDS LÄN</t>
        </is>
      </c>
      <c r="E73" t="inlineStr">
        <is>
          <t>LINKÖPING</t>
        </is>
      </c>
      <c r="G73" t="n">
        <v>1.8</v>
      </c>
      <c r="H73" t="n">
        <v>0</v>
      </c>
      <c r="I73" t="n">
        <v>1</v>
      </c>
      <c r="J73" t="n">
        <v>0</v>
      </c>
      <c r="K73" t="n">
        <v>0</v>
      </c>
      <c r="L73" t="n">
        <v>0</v>
      </c>
      <c r="M73" t="n">
        <v>0</v>
      </c>
      <c r="N73" t="n">
        <v>0</v>
      </c>
      <c r="O73" t="n">
        <v>0</v>
      </c>
      <c r="P73" t="n">
        <v>0</v>
      </c>
      <c r="Q73" t="n">
        <v>1</v>
      </c>
      <c r="R73" s="2" t="inlineStr">
        <is>
          <t>Grov fjädermossa</t>
        </is>
      </c>
      <c r="S73">
        <f>HYPERLINK("https://klasma.github.io/Logging_0580/artfynd/A 90-2024 artfynd.xlsx", "A 90-2024")</f>
        <v/>
      </c>
      <c r="T73">
        <f>HYPERLINK("https://klasma.github.io/Logging_0580/kartor/A 90-2024 karta.png", "A 90-2024")</f>
        <v/>
      </c>
      <c r="V73">
        <f>HYPERLINK("https://klasma.github.io/Logging_0580/klagomål/A 90-2024 FSC-klagomål.docx", "A 90-2024")</f>
        <v/>
      </c>
      <c r="W73">
        <f>HYPERLINK("https://klasma.github.io/Logging_0580/klagomålsmail/A 90-2024 FSC-klagomål mail.docx", "A 90-2024")</f>
        <v/>
      </c>
      <c r="X73">
        <f>HYPERLINK("https://klasma.github.io/Logging_0580/tillsyn/A 90-2024 tillsynsbegäran.docx", "A 90-2024")</f>
        <v/>
      </c>
      <c r="Y73">
        <f>HYPERLINK("https://klasma.github.io/Logging_0580/tillsynsmail/A 90-2024 tillsynsbegäran mail.docx", "A 90-2024")</f>
        <v/>
      </c>
    </row>
    <row r="74" ht="15" customHeight="1">
      <c r="A74" t="inlineStr">
        <is>
          <t>A 40315-2024</t>
        </is>
      </c>
      <c r="B74" s="1" t="n">
        <v>45554.7571875</v>
      </c>
      <c r="C74" s="1" t="n">
        <v>46048</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50806-2023</t>
        </is>
      </c>
      <c r="B75" s="1" t="n">
        <v>45217</v>
      </c>
      <c r="C75" s="1" t="n">
        <v>46048</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22526-2025</t>
        </is>
      </c>
      <c r="B76" s="1" t="n">
        <v>45786.78096064815</v>
      </c>
      <c r="C76" s="1" t="n">
        <v>46048</v>
      </c>
      <c r="D76" t="inlineStr">
        <is>
          <t>ÖSTERGÖTLANDS LÄN</t>
        </is>
      </c>
      <c r="E76" t="inlineStr">
        <is>
          <t>LINKÖPING</t>
        </is>
      </c>
      <c r="G76" t="n">
        <v>1.8</v>
      </c>
      <c r="H76" t="n">
        <v>1</v>
      </c>
      <c r="I76" t="n">
        <v>0</v>
      </c>
      <c r="J76" t="n">
        <v>1</v>
      </c>
      <c r="K76" t="n">
        <v>0</v>
      </c>
      <c r="L76" t="n">
        <v>0</v>
      </c>
      <c r="M76" t="n">
        <v>0</v>
      </c>
      <c r="N76" t="n">
        <v>0</v>
      </c>
      <c r="O76" t="n">
        <v>1</v>
      </c>
      <c r="P76" t="n">
        <v>0</v>
      </c>
      <c r="Q76" t="n">
        <v>1</v>
      </c>
      <c r="R76" s="2" t="inlineStr">
        <is>
          <t>Röd skogslilja</t>
        </is>
      </c>
      <c r="S76">
        <f>HYPERLINK("https://klasma.github.io/Logging_0580/artfynd/A 22526-2025 artfynd.xlsx", "A 22526-2025")</f>
        <v/>
      </c>
      <c r="T76">
        <f>HYPERLINK("https://klasma.github.io/Logging_0580/kartor/A 22526-2025 karta.png", "A 22526-2025")</f>
        <v/>
      </c>
      <c r="V76">
        <f>HYPERLINK("https://klasma.github.io/Logging_0580/klagomål/A 22526-2025 FSC-klagomål.docx", "A 22526-2025")</f>
        <v/>
      </c>
      <c r="W76">
        <f>HYPERLINK("https://klasma.github.io/Logging_0580/klagomålsmail/A 22526-2025 FSC-klagomål mail.docx", "A 22526-2025")</f>
        <v/>
      </c>
      <c r="X76">
        <f>HYPERLINK("https://klasma.github.io/Logging_0580/tillsyn/A 22526-2025 tillsynsbegäran.docx", "A 22526-2025")</f>
        <v/>
      </c>
      <c r="Y76">
        <f>HYPERLINK("https://klasma.github.io/Logging_0580/tillsynsmail/A 22526-2025 tillsynsbegäran mail.docx", "A 22526-2025")</f>
        <v/>
      </c>
    </row>
    <row r="77" ht="15" customHeight="1">
      <c r="A77" t="inlineStr">
        <is>
          <t>A 39457-2023</t>
        </is>
      </c>
      <c r="B77" s="1" t="n">
        <v>45166</v>
      </c>
      <c r="C77" s="1" t="n">
        <v>46048</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35948-2023</t>
        </is>
      </c>
      <c r="B78" s="1" t="n">
        <v>45148</v>
      </c>
      <c r="C78" s="1" t="n">
        <v>46048</v>
      </c>
      <c r="D78" t="inlineStr">
        <is>
          <t>ÖSTERGÖTLANDS LÄN</t>
        </is>
      </c>
      <c r="E78" t="inlineStr">
        <is>
          <t>LINKÖPING</t>
        </is>
      </c>
      <c r="G78" t="n">
        <v>1.9</v>
      </c>
      <c r="H78" t="n">
        <v>0</v>
      </c>
      <c r="I78" t="n">
        <v>1</v>
      </c>
      <c r="J78" t="n">
        <v>0</v>
      </c>
      <c r="K78" t="n">
        <v>0</v>
      </c>
      <c r="L78" t="n">
        <v>0</v>
      </c>
      <c r="M78" t="n">
        <v>0</v>
      </c>
      <c r="N78" t="n">
        <v>0</v>
      </c>
      <c r="O78" t="n">
        <v>0</v>
      </c>
      <c r="P78" t="n">
        <v>0</v>
      </c>
      <c r="Q78" t="n">
        <v>1</v>
      </c>
      <c r="R78" s="2" t="inlineStr">
        <is>
          <t>Brun nållav</t>
        </is>
      </c>
      <c r="S78">
        <f>HYPERLINK("https://klasma.github.io/Logging_0580/artfynd/A 35948-2023 artfynd.xlsx", "A 35948-2023")</f>
        <v/>
      </c>
      <c r="T78">
        <f>HYPERLINK("https://klasma.github.io/Logging_0580/kartor/A 35948-2023 karta.png", "A 35948-2023")</f>
        <v/>
      </c>
      <c r="V78">
        <f>HYPERLINK("https://klasma.github.io/Logging_0580/klagomål/A 35948-2023 FSC-klagomål.docx", "A 35948-2023")</f>
        <v/>
      </c>
      <c r="W78">
        <f>HYPERLINK("https://klasma.github.io/Logging_0580/klagomålsmail/A 35948-2023 FSC-klagomål mail.docx", "A 35948-2023")</f>
        <v/>
      </c>
      <c r="X78">
        <f>HYPERLINK("https://klasma.github.io/Logging_0580/tillsyn/A 35948-2023 tillsynsbegäran.docx", "A 35948-2023")</f>
        <v/>
      </c>
      <c r="Y78">
        <f>HYPERLINK("https://klasma.github.io/Logging_0580/tillsynsmail/A 35948-2023 tillsynsbegäran mail.docx", "A 35948-2023")</f>
        <v/>
      </c>
    </row>
    <row r="79" ht="15" customHeight="1">
      <c r="A79" t="inlineStr">
        <is>
          <t>A 62071-2023</t>
        </is>
      </c>
      <c r="B79" s="1" t="n">
        <v>45266.73542824074</v>
      </c>
      <c r="C79" s="1" t="n">
        <v>46048</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3397-2023</t>
        </is>
      </c>
      <c r="B80" s="1" t="n">
        <v>44949</v>
      </c>
      <c r="C80" s="1" t="n">
        <v>46048</v>
      </c>
      <c r="D80" t="inlineStr">
        <is>
          <t>ÖSTERGÖTLANDS LÄN</t>
        </is>
      </c>
      <c r="E80" t="inlineStr">
        <is>
          <t>LINKÖPING</t>
        </is>
      </c>
      <c r="G80" t="n">
        <v>4.1</v>
      </c>
      <c r="H80" t="n">
        <v>0</v>
      </c>
      <c r="I80" t="n">
        <v>0</v>
      </c>
      <c r="J80" t="n">
        <v>1</v>
      </c>
      <c r="K80" t="n">
        <v>0</v>
      </c>
      <c r="L80" t="n">
        <v>0</v>
      </c>
      <c r="M80" t="n">
        <v>0</v>
      </c>
      <c r="N80" t="n">
        <v>0</v>
      </c>
      <c r="O80" t="n">
        <v>1</v>
      </c>
      <c r="P80" t="n">
        <v>0</v>
      </c>
      <c r="Q80" t="n">
        <v>1</v>
      </c>
      <c r="R80" s="2" t="inlineStr">
        <is>
          <t>Svinrot</t>
        </is>
      </c>
      <c r="S80">
        <f>HYPERLINK("https://klasma.github.io/Logging_0580/artfynd/A 3397-2023 artfynd.xlsx", "A 3397-2023")</f>
        <v/>
      </c>
      <c r="T80">
        <f>HYPERLINK("https://klasma.github.io/Logging_0580/kartor/A 3397-2023 karta.png", "A 3397-2023")</f>
        <v/>
      </c>
      <c r="V80">
        <f>HYPERLINK("https://klasma.github.io/Logging_0580/klagomål/A 3397-2023 FSC-klagomål.docx", "A 3397-2023")</f>
        <v/>
      </c>
      <c r="W80">
        <f>HYPERLINK("https://klasma.github.io/Logging_0580/klagomålsmail/A 3397-2023 FSC-klagomål mail.docx", "A 3397-2023")</f>
        <v/>
      </c>
      <c r="X80">
        <f>HYPERLINK("https://klasma.github.io/Logging_0580/tillsyn/A 3397-2023 tillsynsbegäran.docx", "A 3397-2023")</f>
        <v/>
      </c>
      <c r="Y80">
        <f>HYPERLINK("https://klasma.github.io/Logging_0580/tillsynsmail/A 3397-2023 tillsynsbegäran mail.docx", "A 3397-2023")</f>
        <v/>
      </c>
    </row>
    <row r="81" ht="15" customHeight="1">
      <c r="A81" t="inlineStr">
        <is>
          <t>A 43989-2025</t>
        </is>
      </c>
      <c r="B81" s="1" t="n">
        <v>45915.44128472222</v>
      </c>
      <c r="C81" s="1" t="n">
        <v>46048</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46048</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20295-2025</t>
        </is>
      </c>
      <c r="B83" s="1" t="n">
        <v>45774.74846064814</v>
      </c>
      <c r="C83" s="1" t="n">
        <v>46048</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48347-2025</t>
        </is>
      </c>
      <c r="B84" s="1" t="n">
        <v>45932</v>
      </c>
      <c r="C84" s="1" t="n">
        <v>46048</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46048</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46048</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46048</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46048</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56112-2025</t>
        </is>
      </c>
      <c r="B89" s="1" t="n">
        <v>45973.73625</v>
      </c>
      <c r="C89" s="1" t="n">
        <v>46048</v>
      </c>
      <c r="D89" t="inlineStr">
        <is>
          <t>ÖSTERGÖTLANDS LÄN</t>
        </is>
      </c>
      <c r="E89" t="inlineStr">
        <is>
          <t>LINKÖPING</t>
        </is>
      </c>
      <c r="G89" t="n">
        <v>0.6</v>
      </c>
      <c r="H89" t="n">
        <v>0</v>
      </c>
      <c r="I89" t="n">
        <v>0</v>
      </c>
      <c r="J89" t="n">
        <v>1</v>
      </c>
      <c r="K89" t="n">
        <v>0</v>
      </c>
      <c r="L89" t="n">
        <v>0</v>
      </c>
      <c r="M89" t="n">
        <v>0</v>
      </c>
      <c r="N89" t="n">
        <v>0</v>
      </c>
      <c r="O89" t="n">
        <v>1</v>
      </c>
      <c r="P89" t="n">
        <v>0</v>
      </c>
      <c r="Q89" t="n">
        <v>1</v>
      </c>
      <c r="R89" s="2" t="inlineStr">
        <is>
          <t>Solvända</t>
        </is>
      </c>
      <c r="S89">
        <f>HYPERLINK("https://klasma.github.io/Logging_0580/artfynd/A 56112-2025 artfynd.xlsx", "A 56112-2025")</f>
        <v/>
      </c>
      <c r="T89">
        <f>HYPERLINK("https://klasma.github.io/Logging_0580/kartor/A 56112-2025 karta.png", "A 56112-2025")</f>
        <v/>
      </c>
      <c r="V89">
        <f>HYPERLINK("https://klasma.github.io/Logging_0580/klagomål/A 56112-2025 FSC-klagomål.docx", "A 56112-2025")</f>
        <v/>
      </c>
      <c r="W89">
        <f>HYPERLINK("https://klasma.github.io/Logging_0580/klagomålsmail/A 56112-2025 FSC-klagomål mail.docx", "A 56112-2025")</f>
        <v/>
      </c>
      <c r="X89">
        <f>HYPERLINK("https://klasma.github.io/Logging_0580/tillsyn/A 56112-2025 tillsynsbegäran.docx", "A 56112-2025")</f>
        <v/>
      </c>
      <c r="Y89">
        <f>HYPERLINK("https://klasma.github.io/Logging_0580/tillsynsmail/A 56112-2025 tillsynsbegäran mail.docx", "A 56112-2025")</f>
        <v/>
      </c>
    </row>
    <row r="90" ht="15" customHeight="1">
      <c r="A90" t="inlineStr">
        <is>
          <t>A 59474-2025</t>
        </is>
      </c>
      <c r="B90" s="1" t="n">
        <v>45989.58512731481</v>
      </c>
      <c r="C90" s="1" t="n">
        <v>46048</v>
      </c>
      <c r="D90" t="inlineStr">
        <is>
          <t>ÖSTERGÖTLANDS LÄN</t>
        </is>
      </c>
      <c r="E90" t="inlineStr">
        <is>
          <t>LINKÖPING</t>
        </is>
      </c>
      <c r="G90" t="n">
        <v>8</v>
      </c>
      <c r="H90" t="n">
        <v>0</v>
      </c>
      <c r="I90" t="n">
        <v>1</v>
      </c>
      <c r="J90" t="n">
        <v>0</v>
      </c>
      <c r="K90" t="n">
        <v>0</v>
      </c>
      <c r="L90" t="n">
        <v>0</v>
      </c>
      <c r="M90" t="n">
        <v>0</v>
      </c>
      <c r="N90" t="n">
        <v>0</v>
      </c>
      <c r="O90" t="n">
        <v>0</v>
      </c>
      <c r="P90" t="n">
        <v>0</v>
      </c>
      <c r="Q90" t="n">
        <v>1</v>
      </c>
      <c r="R90" s="2" t="inlineStr">
        <is>
          <t>Fällmossa</t>
        </is>
      </c>
      <c r="S90">
        <f>HYPERLINK("https://klasma.github.io/Logging_0580/artfynd/A 59474-2025 artfynd.xlsx", "A 59474-2025")</f>
        <v/>
      </c>
      <c r="T90">
        <f>HYPERLINK("https://klasma.github.io/Logging_0580/kartor/A 59474-2025 karta.png", "A 59474-2025")</f>
        <v/>
      </c>
      <c r="V90">
        <f>HYPERLINK("https://klasma.github.io/Logging_0580/klagomål/A 59474-2025 FSC-klagomål.docx", "A 59474-2025")</f>
        <v/>
      </c>
      <c r="W90">
        <f>HYPERLINK("https://klasma.github.io/Logging_0580/klagomålsmail/A 59474-2025 FSC-klagomål mail.docx", "A 59474-2025")</f>
        <v/>
      </c>
      <c r="X90">
        <f>HYPERLINK("https://klasma.github.io/Logging_0580/tillsyn/A 59474-2025 tillsynsbegäran.docx", "A 59474-2025")</f>
        <v/>
      </c>
      <c r="Y90">
        <f>HYPERLINK("https://klasma.github.io/Logging_0580/tillsynsmail/A 59474-2025 tillsynsbegäran mail.docx", "A 59474-2025")</f>
        <v/>
      </c>
    </row>
    <row r="91" ht="15" customHeight="1">
      <c r="A91" t="inlineStr">
        <is>
          <t>A 60311-2025</t>
        </is>
      </c>
      <c r="B91" s="1" t="n">
        <v>45994</v>
      </c>
      <c r="C91" s="1" t="n">
        <v>46048</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Gammelekslav</t>
        </is>
      </c>
      <c r="S91">
        <f>HYPERLINK("https://klasma.github.io/Logging_0580/artfynd/A 60311-2025 artfynd.xlsx", "A 60311-2025")</f>
        <v/>
      </c>
      <c r="T91">
        <f>HYPERLINK("https://klasma.github.io/Logging_0580/kartor/A 60311-2025 karta.png", "A 60311-2025")</f>
        <v/>
      </c>
      <c r="V91">
        <f>HYPERLINK("https://klasma.github.io/Logging_0580/klagomål/A 60311-2025 FSC-klagomål.docx", "A 60311-2025")</f>
        <v/>
      </c>
      <c r="W91">
        <f>HYPERLINK("https://klasma.github.io/Logging_0580/klagomålsmail/A 60311-2025 FSC-klagomål mail.docx", "A 60311-2025")</f>
        <v/>
      </c>
      <c r="X91">
        <f>HYPERLINK("https://klasma.github.io/Logging_0580/tillsyn/A 60311-2025 tillsynsbegäran.docx", "A 60311-2025")</f>
        <v/>
      </c>
      <c r="Y91">
        <f>HYPERLINK("https://klasma.github.io/Logging_0580/tillsynsmail/A 60311-2025 tillsynsbegäran mail.docx", "A 60311-2025")</f>
        <v/>
      </c>
    </row>
    <row r="92" ht="15" customHeight="1">
      <c r="A92" t="inlineStr">
        <is>
          <t>A 38881-2021</t>
        </is>
      </c>
      <c r="B92" s="1" t="n">
        <v>44411.46893518518</v>
      </c>
      <c r="C92" s="1" t="n">
        <v>46048</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46048</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46048</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46048</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46048</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46048</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46048</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46048</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46048</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46048</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46048</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46048</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46048</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46048</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46048</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46048</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46048</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46048</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46048</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46048</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46048</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46048</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46048</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46048</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46048</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46048</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46048</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46048</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46048</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46048</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46048</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46048</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58266-2021</t>
        </is>
      </c>
      <c r="B124" s="1" t="n">
        <v>44487</v>
      </c>
      <c r="C124" s="1" t="n">
        <v>46048</v>
      </c>
      <c r="D124" t="inlineStr">
        <is>
          <t>ÖSTERGÖTLANDS LÄN</t>
        </is>
      </c>
      <c r="E124" t="inlineStr">
        <is>
          <t>LINKÖPING</t>
        </is>
      </c>
      <c r="F124" t="inlineStr">
        <is>
          <t>Övriga Aktiebolag</t>
        </is>
      </c>
      <c r="G124" t="n">
        <v>3.2</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46048</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1787-2022</t>
        </is>
      </c>
      <c r="B126" s="1" t="n">
        <v>44574</v>
      </c>
      <c r="C126" s="1" t="n">
        <v>46048</v>
      </c>
      <c r="D126" t="inlineStr">
        <is>
          <t>ÖSTERGÖTLANDS LÄN</t>
        </is>
      </c>
      <c r="E126" t="inlineStr">
        <is>
          <t>LINKÖPING</t>
        </is>
      </c>
      <c r="G126" t="n">
        <v>1.9</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46048</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46048</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28447-2021</t>
        </is>
      </c>
      <c r="B129" s="1" t="n">
        <v>44356</v>
      </c>
      <c r="C129" s="1" t="n">
        <v>46048</v>
      </c>
      <c r="D129" t="inlineStr">
        <is>
          <t>ÖSTERGÖTLANDS LÄN</t>
        </is>
      </c>
      <c r="E129" t="inlineStr">
        <is>
          <t>LINKÖPING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46048</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46048</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46048</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9935-2021</t>
        </is>
      </c>
      <c r="B133" s="1" t="n">
        <v>44253</v>
      </c>
      <c r="C133" s="1" t="n">
        <v>46048</v>
      </c>
      <c r="D133" t="inlineStr">
        <is>
          <t>ÖSTERGÖTLANDS LÄN</t>
        </is>
      </c>
      <c r="E133" t="inlineStr">
        <is>
          <t>LINKÖPING</t>
        </is>
      </c>
      <c r="G133" t="n">
        <v>4.5</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46048</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46048</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3862-2021</t>
        </is>
      </c>
      <c r="B136" s="1" t="n">
        <v>44221</v>
      </c>
      <c r="C136" s="1" t="n">
        <v>46048</v>
      </c>
      <c r="D136" t="inlineStr">
        <is>
          <t>ÖSTERGÖTLANDS LÄN</t>
        </is>
      </c>
      <c r="E136" t="inlineStr">
        <is>
          <t>LINKÖPING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3961-2021</t>
        </is>
      </c>
      <c r="B137" s="1" t="n">
        <v>44222</v>
      </c>
      <c r="C137" s="1" t="n">
        <v>46048</v>
      </c>
      <c r="D137" t="inlineStr">
        <is>
          <t>ÖSTERGÖTLANDS LÄN</t>
        </is>
      </c>
      <c r="E137" t="inlineStr">
        <is>
          <t>LINKÖPING</t>
        </is>
      </c>
      <c r="G137" t="n">
        <v>3.9</v>
      </c>
      <c r="H137" t="n">
        <v>0</v>
      </c>
      <c r="I137" t="n">
        <v>0</v>
      </c>
      <c r="J137" t="n">
        <v>0</v>
      </c>
      <c r="K137" t="n">
        <v>0</v>
      </c>
      <c r="L137" t="n">
        <v>0</v>
      </c>
      <c r="M137" t="n">
        <v>0</v>
      </c>
      <c r="N137" t="n">
        <v>0</v>
      </c>
      <c r="O137" t="n">
        <v>0</v>
      </c>
      <c r="P137" t="n">
        <v>0</v>
      </c>
      <c r="Q137" t="n">
        <v>0</v>
      </c>
      <c r="R137" s="2" t="inlineStr"/>
    </row>
    <row r="138" ht="15" customHeight="1">
      <c r="A138" t="inlineStr">
        <is>
          <t>A 948-2022</t>
        </is>
      </c>
      <c r="B138" s="1" t="n">
        <v>44571</v>
      </c>
      <c r="C138" s="1" t="n">
        <v>46048</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19318-2022</t>
        </is>
      </c>
      <c r="B139" s="1" t="n">
        <v>44692.5827662037</v>
      </c>
      <c r="C139" s="1" t="n">
        <v>46048</v>
      </c>
      <c r="D139" t="inlineStr">
        <is>
          <t>ÖSTERGÖTLANDS LÄN</t>
        </is>
      </c>
      <c r="E139" t="inlineStr">
        <is>
          <t>LINKÖPING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37012-2021</t>
        </is>
      </c>
      <c r="B140" s="1" t="n">
        <v>44393</v>
      </c>
      <c r="C140" s="1" t="n">
        <v>46048</v>
      </c>
      <c r="D140" t="inlineStr">
        <is>
          <t>ÖSTERGÖTLANDS LÄN</t>
        </is>
      </c>
      <c r="E140" t="inlineStr">
        <is>
          <t>LINKÖPING</t>
        </is>
      </c>
      <c r="F140" t="inlineStr">
        <is>
          <t>Allmännings- och besparingsskogar</t>
        </is>
      </c>
      <c r="G140" t="n">
        <v>1.1</v>
      </c>
      <c r="H140" t="n">
        <v>0</v>
      </c>
      <c r="I140" t="n">
        <v>0</v>
      </c>
      <c r="J140" t="n">
        <v>0</v>
      </c>
      <c r="K140" t="n">
        <v>0</v>
      </c>
      <c r="L140" t="n">
        <v>0</v>
      </c>
      <c r="M140" t="n">
        <v>0</v>
      </c>
      <c r="N140" t="n">
        <v>0</v>
      </c>
      <c r="O140" t="n">
        <v>0</v>
      </c>
      <c r="P140" t="n">
        <v>0</v>
      </c>
      <c r="Q140" t="n">
        <v>0</v>
      </c>
      <c r="R140" s="2" t="inlineStr"/>
    </row>
    <row r="141" ht="15" customHeight="1">
      <c r="A141" t="inlineStr">
        <is>
          <t>A 49791-2021</t>
        </is>
      </c>
      <c r="B141" s="1" t="n">
        <v>44455.59368055555</v>
      </c>
      <c r="C141" s="1" t="n">
        <v>46048</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46048</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29470-2022</t>
        </is>
      </c>
      <c r="B143" s="1" t="n">
        <v>44753</v>
      </c>
      <c r="C143" s="1" t="n">
        <v>46048</v>
      </c>
      <c r="D143" t="inlineStr">
        <is>
          <t>ÖSTERGÖTLANDS LÄN</t>
        </is>
      </c>
      <c r="E143" t="inlineStr">
        <is>
          <t>LINKÖPING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27185-2021</t>
        </is>
      </c>
      <c r="B144" s="1" t="n">
        <v>44350</v>
      </c>
      <c r="C144" s="1" t="n">
        <v>46048</v>
      </c>
      <c r="D144" t="inlineStr">
        <is>
          <t>ÖSTERGÖTLANDS LÄN</t>
        </is>
      </c>
      <c r="E144" t="inlineStr">
        <is>
          <t>LINKÖPING</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54467-2022</t>
        </is>
      </c>
      <c r="B145" s="1" t="n">
        <v>44882</v>
      </c>
      <c r="C145" s="1" t="n">
        <v>46048</v>
      </c>
      <c r="D145" t="inlineStr">
        <is>
          <t>ÖSTERGÖTLANDS LÄN</t>
        </is>
      </c>
      <c r="E145" t="inlineStr">
        <is>
          <t>LINKÖPING</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36341-2022</t>
        </is>
      </c>
      <c r="B146" s="1" t="n">
        <v>44803</v>
      </c>
      <c r="C146" s="1" t="n">
        <v>46048</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46730-2021</t>
        </is>
      </c>
      <c r="B147" s="1" t="n">
        <v>44445</v>
      </c>
      <c r="C147" s="1" t="n">
        <v>46048</v>
      </c>
      <c r="D147" t="inlineStr">
        <is>
          <t>ÖSTERGÖTLANDS LÄN</t>
        </is>
      </c>
      <c r="E147" t="inlineStr">
        <is>
          <t>LINKÖPING</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26197-2021</t>
        </is>
      </c>
      <c r="B148" s="1" t="n">
        <v>44347.39319444444</v>
      </c>
      <c r="C148" s="1" t="n">
        <v>46048</v>
      </c>
      <c r="D148" t="inlineStr">
        <is>
          <t>ÖSTERGÖTLANDS LÄN</t>
        </is>
      </c>
      <c r="E148" t="inlineStr">
        <is>
          <t>LINKÖPING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16469-2021</t>
        </is>
      </c>
      <c r="B149" s="1" t="n">
        <v>44293.54331018519</v>
      </c>
      <c r="C149" s="1" t="n">
        <v>46048</v>
      </c>
      <c r="D149" t="inlineStr">
        <is>
          <t>ÖSTERGÖTLANDS LÄN</t>
        </is>
      </c>
      <c r="E149" t="inlineStr">
        <is>
          <t>LINKÖPING</t>
        </is>
      </c>
      <c r="F149" t="inlineStr">
        <is>
          <t>Allmännings- och besparingsskogar</t>
        </is>
      </c>
      <c r="G149" t="n">
        <v>33.5</v>
      </c>
      <c r="H149" t="n">
        <v>0</v>
      </c>
      <c r="I149" t="n">
        <v>0</v>
      </c>
      <c r="J149" t="n">
        <v>0</v>
      </c>
      <c r="K149" t="n">
        <v>0</v>
      </c>
      <c r="L149" t="n">
        <v>0</v>
      </c>
      <c r="M149" t="n">
        <v>0</v>
      </c>
      <c r="N149" t="n">
        <v>0</v>
      </c>
      <c r="O149" t="n">
        <v>0</v>
      </c>
      <c r="P149" t="n">
        <v>0</v>
      </c>
      <c r="Q149" t="n">
        <v>0</v>
      </c>
      <c r="R149" s="2" t="inlineStr"/>
    </row>
    <row r="150" ht="15" customHeight="1">
      <c r="A150" t="inlineStr">
        <is>
          <t>A 34487-2021</t>
        </is>
      </c>
      <c r="B150" s="1" t="n">
        <v>44382.29873842592</v>
      </c>
      <c r="C150" s="1" t="n">
        <v>46048</v>
      </c>
      <c r="D150" t="inlineStr">
        <is>
          <t>ÖSTERGÖTLANDS LÄN</t>
        </is>
      </c>
      <c r="E150" t="inlineStr">
        <is>
          <t>LINKÖPING</t>
        </is>
      </c>
      <c r="G150" t="n">
        <v>7.5</v>
      </c>
      <c r="H150" t="n">
        <v>0</v>
      </c>
      <c r="I150" t="n">
        <v>0</v>
      </c>
      <c r="J150" t="n">
        <v>0</v>
      </c>
      <c r="K150" t="n">
        <v>0</v>
      </c>
      <c r="L150" t="n">
        <v>0</v>
      </c>
      <c r="M150" t="n">
        <v>0</v>
      </c>
      <c r="N150" t="n">
        <v>0</v>
      </c>
      <c r="O150" t="n">
        <v>0</v>
      </c>
      <c r="P150" t="n">
        <v>0</v>
      </c>
      <c r="Q150" t="n">
        <v>0</v>
      </c>
      <c r="R150" s="2" t="inlineStr"/>
    </row>
    <row r="151" ht="15" customHeight="1">
      <c r="A151" t="inlineStr">
        <is>
          <t>A 38130-2021</t>
        </is>
      </c>
      <c r="B151" s="1" t="n">
        <v>44405</v>
      </c>
      <c r="C151" s="1" t="n">
        <v>46048</v>
      </c>
      <c r="D151" t="inlineStr">
        <is>
          <t>ÖSTERGÖTLANDS LÄN</t>
        </is>
      </c>
      <c r="E151" t="inlineStr">
        <is>
          <t>LINKÖPING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46048</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27313-2021</t>
        </is>
      </c>
      <c r="B153" s="1" t="n">
        <v>44350</v>
      </c>
      <c r="C153" s="1" t="n">
        <v>46048</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37014-2021</t>
        </is>
      </c>
      <c r="B154" s="1" t="n">
        <v>44393</v>
      </c>
      <c r="C154" s="1" t="n">
        <v>46048</v>
      </c>
      <c r="D154" t="inlineStr">
        <is>
          <t>ÖSTERGÖTLANDS LÄN</t>
        </is>
      </c>
      <c r="E154" t="inlineStr">
        <is>
          <t>LINKÖPING</t>
        </is>
      </c>
      <c r="F154" t="inlineStr">
        <is>
          <t>Allmännings- och besparingsskogar</t>
        </is>
      </c>
      <c r="G154" t="n">
        <v>7.7</v>
      </c>
      <c r="H154" t="n">
        <v>0</v>
      </c>
      <c r="I154" t="n">
        <v>0</v>
      </c>
      <c r="J154" t="n">
        <v>0</v>
      </c>
      <c r="K154" t="n">
        <v>0</v>
      </c>
      <c r="L154" t="n">
        <v>0</v>
      </c>
      <c r="M154" t="n">
        <v>0</v>
      </c>
      <c r="N154" t="n">
        <v>0</v>
      </c>
      <c r="O154" t="n">
        <v>0</v>
      </c>
      <c r="P154" t="n">
        <v>0</v>
      </c>
      <c r="Q154" t="n">
        <v>0</v>
      </c>
      <c r="R154" s="2" t="inlineStr"/>
    </row>
    <row r="155" ht="15" customHeight="1">
      <c r="A155" t="inlineStr">
        <is>
          <t>A 40527-2022</t>
        </is>
      </c>
      <c r="B155" s="1" t="n">
        <v>44823</v>
      </c>
      <c r="C155" s="1" t="n">
        <v>46048</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52968-2021</t>
        </is>
      </c>
      <c r="B156" s="1" t="n">
        <v>44467</v>
      </c>
      <c r="C156" s="1" t="n">
        <v>46048</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46048</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65395-2021</t>
        </is>
      </c>
      <c r="B158" s="1" t="n">
        <v>44515</v>
      </c>
      <c r="C158" s="1" t="n">
        <v>46048</v>
      </c>
      <c r="D158" t="inlineStr">
        <is>
          <t>ÖSTERGÖTLANDS LÄN</t>
        </is>
      </c>
      <c r="E158" t="inlineStr">
        <is>
          <t>LINKÖPING</t>
        </is>
      </c>
      <c r="F158" t="inlineStr">
        <is>
          <t>Övriga statliga verk och myndigheter</t>
        </is>
      </c>
      <c r="G158" t="n">
        <v>0.7</v>
      </c>
      <c r="H158" t="n">
        <v>0</v>
      </c>
      <c r="I158" t="n">
        <v>0</v>
      </c>
      <c r="J158" t="n">
        <v>0</v>
      </c>
      <c r="K158" t="n">
        <v>0</v>
      </c>
      <c r="L158" t="n">
        <v>0</v>
      </c>
      <c r="M158" t="n">
        <v>0</v>
      </c>
      <c r="N158" t="n">
        <v>0</v>
      </c>
      <c r="O158" t="n">
        <v>0</v>
      </c>
      <c r="P158" t="n">
        <v>0</v>
      </c>
      <c r="Q158" t="n">
        <v>0</v>
      </c>
      <c r="R158" s="2" t="inlineStr"/>
    </row>
    <row r="159" ht="15" customHeight="1">
      <c r="A159" t="inlineStr">
        <is>
          <t>A 48016-2021</t>
        </is>
      </c>
      <c r="B159" s="1" t="n">
        <v>44449</v>
      </c>
      <c r="C159" s="1" t="n">
        <v>46048</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64195-2021</t>
        </is>
      </c>
      <c r="B160" s="1" t="n">
        <v>44510</v>
      </c>
      <c r="C160" s="1" t="n">
        <v>46048</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4382-2021</t>
        </is>
      </c>
      <c r="B161" s="1" t="n">
        <v>44223</v>
      </c>
      <c r="C161" s="1" t="n">
        <v>46048</v>
      </c>
      <c r="D161" t="inlineStr">
        <is>
          <t>ÖSTERGÖTLANDS LÄN</t>
        </is>
      </c>
      <c r="E161" t="inlineStr">
        <is>
          <t>LINKÖPING</t>
        </is>
      </c>
      <c r="G161" t="n">
        <v>4.2</v>
      </c>
      <c r="H161" t="n">
        <v>0</v>
      </c>
      <c r="I161" t="n">
        <v>0</v>
      </c>
      <c r="J161" t="n">
        <v>0</v>
      </c>
      <c r="K161" t="n">
        <v>0</v>
      </c>
      <c r="L161" t="n">
        <v>0</v>
      </c>
      <c r="M161" t="n">
        <v>0</v>
      </c>
      <c r="N161" t="n">
        <v>0</v>
      </c>
      <c r="O161" t="n">
        <v>0</v>
      </c>
      <c r="P161" t="n">
        <v>0</v>
      </c>
      <c r="Q161" t="n">
        <v>0</v>
      </c>
      <c r="R161" s="2" t="inlineStr"/>
    </row>
    <row r="162" ht="15" customHeight="1">
      <c r="A162" t="inlineStr">
        <is>
          <t>A 30858-2022</t>
        </is>
      </c>
      <c r="B162" s="1" t="n">
        <v>44767</v>
      </c>
      <c r="C162" s="1" t="n">
        <v>46048</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46048</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46048</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46048</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23175-2022</t>
        </is>
      </c>
      <c r="B166" s="1" t="n">
        <v>44719</v>
      </c>
      <c r="C166" s="1" t="n">
        <v>46048</v>
      </c>
      <c r="D166" t="inlineStr">
        <is>
          <t>ÖSTERGÖTLANDS LÄN</t>
        </is>
      </c>
      <c r="E166" t="inlineStr">
        <is>
          <t>LINKÖPING</t>
        </is>
      </c>
      <c r="F166" t="inlineStr">
        <is>
          <t>Allmännings- och besparingsskogar</t>
        </is>
      </c>
      <c r="G166" t="n">
        <v>1.4</v>
      </c>
      <c r="H166" t="n">
        <v>0</v>
      </c>
      <c r="I166" t="n">
        <v>0</v>
      </c>
      <c r="J166" t="n">
        <v>0</v>
      </c>
      <c r="K166" t="n">
        <v>0</v>
      </c>
      <c r="L166" t="n">
        <v>0</v>
      </c>
      <c r="M166" t="n">
        <v>0</v>
      </c>
      <c r="N166" t="n">
        <v>0</v>
      </c>
      <c r="O166" t="n">
        <v>0</v>
      </c>
      <c r="P166" t="n">
        <v>0</v>
      </c>
      <c r="Q166" t="n">
        <v>0</v>
      </c>
      <c r="R166" s="2" t="inlineStr"/>
    </row>
    <row r="167" ht="15" customHeight="1">
      <c r="A167" t="inlineStr">
        <is>
          <t>A 10951-2022</t>
        </is>
      </c>
      <c r="B167" s="1" t="n">
        <v>44627</v>
      </c>
      <c r="C167" s="1" t="n">
        <v>46048</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33134-2022</t>
        </is>
      </c>
      <c r="B168" s="1" t="n">
        <v>44785</v>
      </c>
      <c r="C168" s="1" t="n">
        <v>46048</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13922-2021</t>
        </is>
      </c>
      <c r="B169" s="1" t="n">
        <v>44277.45946759259</v>
      </c>
      <c r="C169" s="1" t="n">
        <v>46048</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33891-2021</t>
        </is>
      </c>
      <c r="B170" s="1" t="n">
        <v>44378</v>
      </c>
      <c r="C170" s="1" t="n">
        <v>46048</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46048</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13075-2022</t>
        </is>
      </c>
      <c r="B172" s="1" t="n">
        <v>44643</v>
      </c>
      <c r="C172" s="1" t="n">
        <v>46048</v>
      </c>
      <c r="D172" t="inlineStr">
        <is>
          <t>ÖSTERGÖTLANDS LÄN</t>
        </is>
      </c>
      <c r="E172" t="inlineStr">
        <is>
          <t>LINKÖPING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4377-2021</t>
        </is>
      </c>
      <c r="B173" s="1" t="n">
        <v>44223</v>
      </c>
      <c r="C173" s="1" t="n">
        <v>46048</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34486-2021</t>
        </is>
      </c>
      <c r="B174" s="1" t="n">
        <v>44382.29295138889</v>
      </c>
      <c r="C174" s="1" t="n">
        <v>46048</v>
      </c>
      <c r="D174" t="inlineStr">
        <is>
          <t>ÖSTERGÖTLANDS LÄN</t>
        </is>
      </c>
      <c r="E174" t="inlineStr">
        <is>
          <t>LINKÖPING</t>
        </is>
      </c>
      <c r="G174" t="n">
        <v>4.4</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46048</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46048</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46048</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46048</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46048</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46048</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46048</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46048</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44849-2022</t>
        </is>
      </c>
      <c r="B183" s="1" t="n">
        <v>44841</v>
      </c>
      <c r="C183" s="1" t="n">
        <v>46048</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70835-2021</t>
        </is>
      </c>
      <c r="B184" s="1" t="n">
        <v>44537</v>
      </c>
      <c r="C184" s="1" t="n">
        <v>46048</v>
      </c>
      <c r="D184" t="inlineStr">
        <is>
          <t>ÖSTERGÖTLANDS LÄN</t>
        </is>
      </c>
      <c r="E184" t="inlineStr">
        <is>
          <t>LINKÖPING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4929-2021</t>
        </is>
      </c>
      <c r="B185" s="1" t="n">
        <v>44227.57533564815</v>
      </c>
      <c r="C185" s="1" t="n">
        <v>46048</v>
      </c>
      <c r="D185" t="inlineStr">
        <is>
          <t>ÖSTERGÖTLANDS LÄN</t>
        </is>
      </c>
      <c r="E185" t="inlineStr">
        <is>
          <t>LINKÖPING</t>
        </is>
      </c>
      <c r="G185" t="n">
        <v>0.4</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46048</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46048</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54854-2022</t>
        </is>
      </c>
      <c r="B188" s="1" t="n">
        <v>44884</v>
      </c>
      <c r="C188" s="1" t="n">
        <v>46048</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54855-2022</t>
        </is>
      </c>
      <c r="B189" s="1" t="n">
        <v>44884.59502314815</v>
      </c>
      <c r="C189" s="1" t="n">
        <v>46048</v>
      </c>
      <c r="D189" t="inlineStr">
        <is>
          <t>ÖSTERGÖTLANDS LÄN</t>
        </is>
      </c>
      <c r="E189" t="inlineStr">
        <is>
          <t>LINKÖPING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54845-2023</t>
        </is>
      </c>
      <c r="B190" s="1" t="n">
        <v>45236</v>
      </c>
      <c r="C190" s="1" t="n">
        <v>46048</v>
      </c>
      <c r="D190" t="inlineStr">
        <is>
          <t>ÖSTERGÖTLANDS LÄN</t>
        </is>
      </c>
      <c r="E190" t="inlineStr">
        <is>
          <t>LINKÖPING</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62488-2023</t>
        </is>
      </c>
      <c r="B191" s="1" t="n">
        <v>45268.5847337963</v>
      </c>
      <c r="C191" s="1" t="n">
        <v>46048</v>
      </c>
      <c r="D191" t="inlineStr">
        <is>
          <t>ÖSTERGÖTLANDS LÄN</t>
        </is>
      </c>
      <c r="E191" t="inlineStr">
        <is>
          <t>LINKÖPING</t>
        </is>
      </c>
      <c r="G191" t="n">
        <v>4.1</v>
      </c>
      <c r="H191" t="n">
        <v>0</v>
      </c>
      <c r="I191" t="n">
        <v>0</v>
      </c>
      <c r="J191" t="n">
        <v>0</v>
      </c>
      <c r="K191" t="n">
        <v>0</v>
      </c>
      <c r="L191" t="n">
        <v>0</v>
      </c>
      <c r="M191" t="n">
        <v>0</v>
      </c>
      <c r="N191" t="n">
        <v>0</v>
      </c>
      <c r="O191" t="n">
        <v>0</v>
      </c>
      <c r="P191" t="n">
        <v>0</v>
      </c>
      <c r="Q191" t="n">
        <v>0</v>
      </c>
      <c r="R191" s="2" t="inlineStr"/>
    </row>
    <row r="192" ht="15" customHeight="1">
      <c r="A192" t="inlineStr">
        <is>
          <t>A 61302-2021</t>
        </is>
      </c>
      <c r="B192" s="1" t="n">
        <v>44498.63189814815</v>
      </c>
      <c r="C192" s="1" t="n">
        <v>46048</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24351-2024</t>
        </is>
      </c>
      <c r="B193" s="1" t="n">
        <v>45457.59011574074</v>
      </c>
      <c r="C193" s="1" t="n">
        <v>46048</v>
      </c>
      <c r="D193" t="inlineStr">
        <is>
          <t>ÖSTERGÖTLANDS LÄN</t>
        </is>
      </c>
      <c r="E193" t="inlineStr">
        <is>
          <t>LINKÖPING</t>
        </is>
      </c>
      <c r="G193" t="n">
        <v>11.9</v>
      </c>
      <c r="H193" t="n">
        <v>0</v>
      </c>
      <c r="I193" t="n">
        <v>0</v>
      </c>
      <c r="J193" t="n">
        <v>0</v>
      </c>
      <c r="K193" t="n">
        <v>0</v>
      </c>
      <c r="L193" t="n">
        <v>0</v>
      </c>
      <c r="M193" t="n">
        <v>0</v>
      </c>
      <c r="N193" t="n">
        <v>0</v>
      </c>
      <c r="O193" t="n">
        <v>0</v>
      </c>
      <c r="P193" t="n">
        <v>0</v>
      </c>
      <c r="Q193" t="n">
        <v>0</v>
      </c>
      <c r="R193" s="2" t="inlineStr"/>
    </row>
    <row r="194" ht="15" customHeight="1">
      <c r="A194" t="inlineStr">
        <is>
          <t>A 11079-2022</t>
        </is>
      </c>
      <c r="B194" s="1" t="n">
        <v>44628</v>
      </c>
      <c r="C194" s="1" t="n">
        <v>46048</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20901-2021</t>
        </is>
      </c>
      <c r="B195" s="1" t="n">
        <v>44319</v>
      </c>
      <c r="C195" s="1" t="n">
        <v>46048</v>
      </c>
      <c r="D195" t="inlineStr">
        <is>
          <t>ÖSTERGÖTLANDS LÄN</t>
        </is>
      </c>
      <c r="E195" t="inlineStr">
        <is>
          <t>LINKÖPING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46048</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34162-2022</t>
        </is>
      </c>
      <c r="B197" s="1" t="n">
        <v>44791</v>
      </c>
      <c r="C197" s="1" t="n">
        <v>46048</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52796-2023</t>
        </is>
      </c>
      <c r="B198" s="1" t="n">
        <v>45219</v>
      </c>
      <c r="C198" s="1" t="n">
        <v>46048</v>
      </c>
      <c r="D198" t="inlineStr">
        <is>
          <t>ÖSTERGÖTLANDS LÄN</t>
        </is>
      </c>
      <c r="E198" t="inlineStr">
        <is>
          <t>LINKÖPING</t>
        </is>
      </c>
      <c r="F198" t="inlineStr">
        <is>
          <t>Övriga statliga verk och myndigheter</t>
        </is>
      </c>
      <c r="G198" t="n">
        <v>3.9</v>
      </c>
      <c r="H198" t="n">
        <v>0</v>
      </c>
      <c r="I198" t="n">
        <v>0</v>
      </c>
      <c r="J198" t="n">
        <v>0</v>
      </c>
      <c r="K198" t="n">
        <v>0</v>
      </c>
      <c r="L198" t="n">
        <v>0</v>
      </c>
      <c r="M198" t="n">
        <v>0</v>
      </c>
      <c r="N198" t="n">
        <v>0</v>
      </c>
      <c r="O198" t="n">
        <v>0</v>
      </c>
      <c r="P198" t="n">
        <v>0</v>
      </c>
      <c r="Q198" t="n">
        <v>0</v>
      </c>
      <c r="R198" s="2" t="inlineStr"/>
    </row>
    <row r="199" ht="15" customHeight="1">
      <c r="A199" t="inlineStr">
        <is>
          <t>A 30855-2022</t>
        </is>
      </c>
      <c r="B199" s="1" t="n">
        <v>44767</v>
      </c>
      <c r="C199" s="1" t="n">
        <v>46048</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46048</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46048</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46048</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46048</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34877-2023</t>
        </is>
      </c>
      <c r="B204" s="1" t="n">
        <v>45140</v>
      </c>
      <c r="C204" s="1" t="n">
        <v>46048</v>
      </c>
      <c r="D204" t="inlineStr">
        <is>
          <t>ÖSTERGÖTLANDS LÄN</t>
        </is>
      </c>
      <c r="E204" t="inlineStr">
        <is>
          <t>LINKÖPING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30856-2022</t>
        </is>
      </c>
      <c r="B205" s="1" t="n">
        <v>44767</v>
      </c>
      <c r="C205" s="1" t="n">
        <v>46048</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24464-2023</t>
        </is>
      </c>
      <c r="B206" s="1" t="n">
        <v>45082.58068287037</v>
      </c>
      <c r="C206" s="1" t="n">
        <v>46048</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24467-2023</t>
        </is>
      </c>
      <c r="B207" s="1" t="n">
        <v>45082</v>
      </c>
      <c r="C207" s="1" t="n">
        <v>46048</v>
      </c>
      <c r="D207" t="inlineStr">
        <is>
          <t>ÖSTERGÖTLANDS LÄN</t>
        </is>
      </c>
      <c r="E207" t="inlineStr">
        <is>
          <t>LINKÖPING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38235-2022</t>
        </is>
      </c>
      <c r="B208" s="1" t="n">
        <v>44812</v>
      </c>
      <c r="C208" s="1" t="n">
        <v>46048</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48389-2024</t>
        </is>
      </c>
      <c r="B209" s="1" t="n">
        <v>45590.59991898148</v>
      </c>
      <c r="C209" s="1" t="n">
        <v>46048</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46048</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46048</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56792-2023</t>
        </is>
      </c>
      <c r="B212" s="1" t="n">
        <v>45244</v>
      </c>
      <c r="C212" s="1" t="n">
        <v>46048</v>
      </c>
      <c r="D212" t="inlineStr">
        <is>
          <t>ÖSTERGÖTLANDS LÄN</t>
        </is>
      </c>
      <c r="E212" t="inlineStr">
        <is>
          <t>LINKÖPING</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46048</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46048</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46048</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65398-2021</t>
        </is>
      </c>
      <c r="B216" s="1" t="n">
        <v>44515</v>
      </c>
      <c r="C216" s="1" t="n">
        <v>46048</v>
      </c>
      <c r="D216" t="inlineStr">
        <is>
          <t>ÖSTERGÖTLANDS LÄN</t>
        </is>
      </c>
      <c r="E216" t="inlineStr">
        <is>
          <t>LINKÖPING</t>
        </is>
      </c>
      <c r="F216" t="inlineStr">
        <is>
          <t>Övriga statliga verk och myndigheter</t>
        </is>
      </c>
      <c r="G216" t="n">
        <v>2.4</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46048</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34558-2022</t>
        </is>
      </c>
      <c r="B218" s="1" t="n">
        <v>44794.57594907407</v>
      </c>
      <c r="C218" s="1" t="n">
        <v>46048</v>
      </c>
      <c r="D218" t="inlineStr">
        <is>
          <t>ÖSTERGÖTLANDS LÄN</t>
        </is>
      </c>
      <c r="E218" t="inlineStr">
        <is>
          <t>LINKÖPING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63489-2023</t>
        </is>
      </c>
      <c r="B219" s="1" t="n">
        <v>45274.66761574074</v>
      </c>
      <c r="C219" s="1" t="n">
        <v>46048</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28266-2024</t>
        </is>
      </c>
      <c r="B220" s="1" t="n">
        <v>45477.43600694444</v>
      </c>
      <c r="C220" s="1" t="n">
        <v>46048</v>
      </c>
      <c r="D220" t="inlineStr">
        <is>
          <t>ÖSTERGÖTLANDS LÄN</t>
        </is>
      </c>
      <c r="E220" t="inlineStr">
        <is>
          <t>LINKÖPING</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39017-2021</t>
        </is>
      </c>
      <c r="B221" s="1" t="n">
        <v>44412</v>
      </c>
      <c r="C221" s="1" t="n">
        <v>46048</v>
      </c>
      <c r="D221" t="inlineStr">
        <is>
          <t>ÖSTERGÖTLANDS LÄN</t>
        </is>
      </c>
      <c r="E221" t="inlineStr">
        <is>
          <t>LINKÖPING</t>
        </is>
      </c>
      <c r="F221" t="inlineStr">
        <is>
          <t>Övriga statliga verk och myndigheter</t>
        </is>
      </c>
      <c r="G221" t="n">
        <v>0.8</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46048</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25418-2023</t>
        </is>
      </c>
      <c r="B223" s="1" t="n">
        <v>45089</v>
      </c>
      <c r="C223" s="1" t="n">
        <v>46048</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67912-2021</t>
        </is>
      </c>
      <c r="B224" s="1" t="n">
        <v>44525</v>
      </c>
      <c r="C224" s="1" t="n">
        <v>46048</v>
      </c>
      <c r="D224" t="inlineStr">
        <is>
          <t>ÖSTERGÖTLANDS LÄN</t>
        </is>
      </c>
      <c r="E224" t="inlineStr">
        <is>
          <t>LINKÖPING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67940-2021</t>
        </is>
      </c>
      <c r="B225" s="1" t="n">
        <v>44525.62849537037</v>
      </c>
      <c r="C225" s="1" t="n">
        <v>46048</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46048</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1260-2023</t>
        </is>
      </c>
      <c r="B227" s="1" t="n">
        <v>44936</v>
      </c>
      <c r="C227" s="1" t="n">
        <v>46048</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20455-2024</t>
        </is>
      </c>
      <c r="B228" s="1" t="n">
        <v>45435.65314814815</v>
      </c>
      <c r="C228" s="1" t="n">
        <v>46048</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1355-2023</t>
        </is>
      </c>
      <c r="B229" s="1" t="n">
        <v>44931</v>
      </c>
      <c r="C229" s="1" t="n">
        <v>46048</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224-2024</t>
        </is>
      </c>
      <c r="B230" s="1" t="n">
        <v>45294</v>
      </c>
      <c r="C230" s="1" t="n">
        <v>46048</v>
      </c>
      <c r="D230" t="inlineStr">
        <is>
          <t>ÖSTERGÖTLANDS LÄN</t>
        </is>
      </c>
      <c r="E230" t="inlineStr">
        <is>
          <t>LINKÖPING</t>
        </is>
      </c>
      <c r="G230" t="n">
        <v>2.8</v>
      </c>
      <c r="H230" t="n">
        <v>0</v>
      </c>
      <c r="I230" t="n">
        <v>0</v>
      </c>
      <c r="J230" t="n">
        <v>0</v>
      </c>
      <c r="K230" t="n">
        <v>0</v>
      </c>
      <c r="L230" t="n">
        <v>0</v>
      </c>
      <c r="M230" t="n">
        <v>0</v>
      </c>
      <c r="N230" t="n">
        <v>0</v>
      </c>
      <c r="O230" t="n">
        <v>0</v>
      </c>
      <c r="P230" t="n">
        <v>0</v>
      </c>
      <c r="Q230" t="n">
        <v>0</v>
      </c>
      <c r="R230" s="2" t="inlineStr"/>
    </row>
    <row r="231" ht="15" customHeight="1">
      <c r="A231" t="inlineStr">
        <is>
          <t>A 22771-2024</t>
        </is>
      </c>
      <c r="B231" s="1" t="n">
        <v>45448.46574074074</v>
      </c>
      <c r="C231" s="1" t="n">
        <v>46048</v>
      </c>
      <c r="D231" t="inlineStr">
        <is>
          <t>ÖSTERGÖTLANDS LÄN</t>
        </is>
      </c>
      <c r="E231" t="inlineStr">
        <is>
          <t>LINKÖPING</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52220-2023</t>
        </is>
      </c>
      <c r="B232" s="1" t="n">
        <v>45217</v>
      </c>
      <c r="C232" s="1" t="n">
        <v>46048</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52225-2023</t>
        </is>
      </c>
      <c r="B233" s="1" t="n">
        <v>45217</v>
      </c>
      <c r="C233" s="1" t="n">
        <v>46048</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3007-2025</t>
        </is>
      </c>
      <c r="B234" s="1" t="n">
        <v>45678.56328703704</v>
      </c>
      <c r="C234" s="1" t="n">
        <v>46048</v>
      </c>
      <c r="D234" t="inlineStr">
        <is>
          <t>ÖSTERGÖTLANDS LÄN</t>
        </is>
      </c>
      <c r="E234" t="inlineStr">
        <is>
          <t>LINKÖPING</t>
        </is>
      </c>
      <c r="G234" t="n">
        <v>3.1</v>
      </c>
      <c r="H234" t="n">
        <v>0</v>
      </c>
      <c r="I234" t="n">
        <v>0</v>
      </c>
      <c r="J234" t="n">
        <v>0</v>
      </c>
      <c r="K234" t="n">
        <v>0</v>
      </c>
      <c r="L234" t="n">
        <v>0</v>
      </c>
      <c r="M234" t="n">
        <v>0</v>
      </c>
      <c r="N234" t="n">
        <v>0</v>
      </c>
      <c r="O234" t="n">
        <v>0</v>
      </c>
      <c r="P234" t="n">
        <v>0</v>
      </c>
      <c r="Q234" t="n">
        <v>0</v>
      </c>
      <c r="R234" s="2" t="inlineStr"/>
    </row>
    <row r="235" ht="15" customHeight="1">
      <c r="A235" t="inlineStr">
        <is>
          <t>A 63678-2023</t>
        </is>
      </c>
      <c r="B235" s="1" t="n">
        <v>45275.64769675926</v>
      </c>
      <c r="C235" s="1" t="n">
        <v>46048</v>
      </c>
      <c r="D235" t="inlineStr">
        <is>
          <t>ÖSTERGÖTLANDS LÄN</t>
        </is>
      </c>
      <c r="E235" t="inlineStr">
        <is>
          <t>LINKÖPING</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10492-2022</t>
        </is>
      </c>
      <c r="B236" s="1" t="n">
        <v>44623.6377199074</v>
      </c>
      <c r="C236" s="1" t="n">
        <v>46048</v>
      </c>
      <c r="D236" t="inlineStr">
        <is>
          <t>ÖSTERGÖTLANDS LÄN</t>
        </is>
      </c>
      <c r="E236" t="inlineStr">
        <is>
          <t>LINKÖPING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42832-2023</t>
        </is>
      </c>
      <c r="B237" s="1" t="n">
        <v>45182.38091435185</v>
      </c>
      <c r="C237" s="1" t="n">
        <v>46048</v>
      </c>
      <c r="D237" t="inlineStr">
        <is>
          <t>ÖSTERGÖTLANDS LÄN</t>
        </is>
      </c>
      <c r="E237" t="inlineStr">
        <is>
          <t>LINKÖPING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56560-2023</t>
        </is>
      </c>
      <c r="B238" s="1" t="n">
        <v>45238</v>
      </c>
      <c r="C238" s="1" t="n">
        <v>46048</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52412-2023</t>
        </is>
      </c>
      <c r="B239" s="1" t="n">
        <v>45225.27888888889</v>
      </c>
      <c r="C239" s="1" t="n">
        <v>46048</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52413-2023</t>
        </is>
      </c>
      <c r="B240" s="1" t="n">
        <v>45225.27950231481</v>
      </c>
      <c r="C240" s="1" t="n">
        <v>46048</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30465-2023</t>
        </is>
      </c>
      <c r="B241" s="1" t="n">
        <v>45111</v>
      </c>
      <c r="C241" s="1" t="n">
        <v>46048</v>
      </c>
      <c r="D241" t="inlineStr">
        <is>
          <t>ÖSTERGÖTLANDS LÄN</t>
        </is>
      </c>
      <c r="E241" t="inlineStr">
        <is>
          <t>LINKÖPING</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7354-2025</t>
        </is>
      </c>
      <c r="B242" s="1" t="n">
        <v>45704.41174768518</v>
      </c>
      <c r="C242" s="1" t="n">
        <v>46048</v>
      </c>
      <c r="D242" t="inlineStr">
        <is>
          <t>ÖSTERGÖTLANDS LÄN</t>
        </is>
      </c>
      <c r="E242" t="inlineStr">
        <is>
          <t>LINKÖPING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13689-2025</t>
        </is>
      </c>
      <c r="B243" s="1" t="n">
        <v>45737.31590277778</v>
      </c>
      <c r="C243" s="1" t="n">
        <v>46048</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13696-2025</t>
        </is>
      </c>
      <c r="B244" s="1" t="n">
        <v>45737.32273148148</v>
      </c>
      <c r="C244" s="1" t="n">
        <v>46048</v>
      </c>
      <c r="D244" t="inlineStr">
        <is>
          <t>ÖSTERGÖTLANDS LÄN</t>
        </is>
      </c>
      <c r="E244" t="inlineStr">
        <is>
          <t>LINKÖPING</t>
        </is>
      </c>
      <c r="G244" t="n">
        <v>3.5</v>
      </c>
      <c r="H244" t="n">
        <v>0</v>
      </c>
      <c r="I244" t="n">
        <v>0</v>
      </c>
      <c r="J244" t="n">
        <v>0</v>
      </c>
      <c r="K244" t="n">
        <v>0</v>
      </c>
      <c r="L244" t="n">
        <v>0</v>
      </c>
      <c r="M244" t="n">
        <v>0</v>
      </c>
      <c r="N244" t="n">
        <v>0</v>
      </c>
      <c r="O244" t="n">
        <v>0</v>
      </c>
      <c r="P244" t="n">
        <v>0</v>
      </c>
      <c r="Q244" t="n">
        <v>0</v>
      </c>
      <c r="R244" s="2" t="inlineStr"/>
    </row>
    <row r="245" ht="15" customHeight="1">
      <c r="A245" t="inlineStr">
        <is>
          <t>A 39021-2021</t>
        </is>
      </c>
      <c r="B245" s="1" t="n">
        <v>44412</v>
      </c>
      <c r="C245" s="1" t="n">
        <v>46048</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62353-2022</t>
        </is>
      </c>
      <c r="B246" s="1" t="n">
        <v>44923</v>
      </c>
      <c r="C246" s="1" t="n">
        <v>46048</v>
      </c>
      <c r="D246" t="inlineStr">
        <is>
          <t>ÖSTERGÖTLANDS LÄN</t>
        </is>
      </c>
      <c r="E246" t="inlineStr">
        <is>
          <t>LINKÖPING</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30111-2024</t>
        </is>
      </c>
      <c r="B247" s="1" t="n">
        <v>45489.46947916667</v>
      </c>
      <c r="C247" s="1" t="n">
        <v>46048</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30119-2024</t>
        </is>
      </c>
      <c r="B248" s="1" t="n">
        <v>45489</v>
      </c>
      <c r="C248" s="1" t="n">
        <v>46048</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1844-2025</t>
        </is>
      </c>
      <c r="B249" s="1" t="n">
        <v>45671.57730324074</v>
      </c>
      <c r="C249" s="1" t="n">
        <v>46048</v>
      </c>
      <c r="D249" t="inlineStr">
        <is>
          <t>ÖSTERGÖTLANDS LÄN</t>
        </is>
      </c>
      <c r="E249" t="inlineStr">
        <is>
          <t>LINKÖPING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29411-2023</t>
        </is>
      </c>
      <c r="B250" s="1" t="n">
        <v>45106.46225694445</v>
      </c>
      <c r="C250" s="1" t="n">
        <v>46048</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29412-2023</t>
        </is>
      </c>
      <c r="B251" s="1" t="n">
        <v>45106.46359953703</v>
      </c>
      <c r="C251" s="1" t="n">
        <v>46048</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31792-2021</t>
        </is>
      </c>
      <c r="B252" s="1" t="n">
        <v>44369</v>
      </c>
      <c r="C252" s="1" t="n">
        <v>46048</v>
      </c>
      <c r="D252" t="inlineStr">
        <is>
          <t>ÖSTERGÖTLANDS LÄN</t>
        </is>
      </c>
      <c r="E252" t="inlineStr">
        <is>
          <t>LINKÖPING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1924-2024</t>
        </is>
      </c>
      <c r="B253" s="1" t="n">
        <v>45308</v>
      </c>
      <c r="C253" s="1" t="n">
        <v>46048</v>
      </c>
      <c r="D253" t="inlineStr">
        <is>
          <t>ÖSTERGÖTLANDS LÄN</t>
        </is>
      </c>
      <c r="E253" t="inlineStr">
        <is>
          <t>LINKÖPING</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421-2024</t>
        </is>
      </c>
      <c r="B254" s="1" t="n">
        <v>45296.51877314815</v>
      </c>
      <c r="C254" s="1" t="n">
        <v>46048</v>
      </c>
      <c r="D254" t="inlineStr">
        <is>
          <t>ÖSTERGÖTLANDS LÄN</t>
        </is>
      </c>
      <c r="E254" t="inlineStr">
        <is>
          <t>LINKÖPING</t>
        </is>
      </c>
      <c r="G254" t="n">
        <v>3.7</v>
      </c>
      <c r="H254" t="n">
        <v>0</v>
      </c>
      <c r="I254" t="n">
        <v>0</v>
      </c>
      <c r="J254" t="n">
        <v>0</v>
      </c>
      <c r="K254" t="n">
        <v>0</v>
      </c>
      <c r="L254" t="n">
        <v>0</v>
      </c>
      <c r="M254" t="n">
        <v>0</v>
      </c>
      <c r="N254" t="n">
        <v>0</v>
      </c>
      <c r="O254" t="n">
        <v>0</v>
      </c>
      <c r="P254" t="n">
        <v>0</v>
      </c>
      <c r="Q254" t="n">
        <v>0</v>
      </c>
      <c r="R254" s="2" t="inlineStr"/>
    </row>
    <row r="255" ht="15" customHeight="1">
      <c r="A255" t="inlineStr">
        <is>
          <t>A 22043-2023</t>
        </is>
      </c>
      <c r="B255" s="1" t="n">
        <v>45069.39050925926</v>
      </c>
      <c r="C255" s="1" t="n">
        <v>46048</v>
      </c>
      <c r="D255" t="inlineStr">
        <is>
          <t>ÖSTERGÖTLANDS LÄN</t>
        </is>
      </c>
      <c r="E255" t="inlineStr">
        <is>
          <t>LINKÖPING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21165-2025</t>
        </is>
      </c>
      <c r="B256" s="1" t="n">
        <v>45779.39417824074</v>
      </c>
      <c r="C256" s="1" t="n">
        <v>46048</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21155-2025</t>
        </is>
      </c>
      <c r="B257" s="1" t="n">
        <v>45779.37586805555</v>
      </c>
      <c r="C257" s="1" t="n">
        <v>46048</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45623.61754629629</v>
      </c>
      <c r="C258" s="1" t="n">
        <v>46048</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61532-2021</t>
        </is>
      </c>
      <c r="B259" s="1" t="n">
        <v>44501</v>
      </c>
      <c r="C259" s="1" t="n">
        <v>46048</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34928-2023</t>
        </is>
      </c>
      <c r="B260" s="1" t="n">
        <v>45142</v>
      </c>
      <c r="C260" s="1" t="n">
        <v>46048</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14028-2024</t>
        </is>
      </c>
      <c r="B261" s="1" t="n">
        <v>45392</v>
      </c>
      <c r="C261" s="1" t="n">
        <v>46048</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40431-2024</t>
        </is>
      </c>
      <c r="B262" s="1" t="n">
        <v>45555.47070601852</v>
      </c>
      <c r="C262" s="1" t="n">
        <v>46048</v>
      </c>
      <c r="D262" t="inlineStr">
        <is>
          <t>ÖSTERGÖTLANDS LÄN</t>
        </is>
      </c>
      <c r="E262" t="inlineStr">
        <is>
          <t>LINKÖPING</t>
        </is>
      </c>
      <c r="F262" t="inlineStr">
        <is>
          <t>Allmännings- och besparingsskogar</t>
        </is>
      </c>
      <c r="G262" t="n">
        <v>2.9</v>
      </c>
      <c r="H262" t="n">
        <v>0</v>
      </c>
      <c r="I262" t="n">
        <v>0</v>
      </c>
      <c r="J262" t="n">
        <v>0</v>
      </c>
      <c r="K262" t="n">
        <v>0</v>
      </c>
      <c r="L262" t="n">
        <v>0</v>
      </c>
      <c r="M262" t="n">
        <v>0</v>
      </c>
      <c r="N262" t="n">
        <v>0</v>
      </c>
      <c r="O262" t="n">
        <v>0</v>
      </c>
      <c r="P262" t="n">
        <v>0</v>
      </c>
      <c r="Q262" t="n">
        <v>0</v>
      </c>
      <c r="R262" s="2" t="inlineStr"/>
    </row>
    <row r="263" ht="15" customHeight="1">
      <c r="A263" t="inlineStr">
        <is>
          <t>A 1263-2024</t>
        </is>
      </c>
      <c r="B263" s="1" t="n">
        <v>45302</v>
      </c>
      <c r="C263" s="1" t="n">
        <v>46048</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52531-2023</t>
        </is>
      </c>
      <c r="B264" s="1" t="n">
        <v>45225</v>
      </c>
      <c r="C264" s="1" t="n">
        <v>46048</v>
      </c>
      <c r="D264" t="inlineStr">
        <is>
          <t>ÖSTERGÖTLANDS LÄN</t>
        </is>
      </c>
      <c r="E264" t="inlineStr">
        <is>
          <t>LINKÖPING</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60860-2024</t>
        </is>
      </c>
      <c r="B265" s="1" t="n">
        <v>45644.6893287037</v>
      </c>
      <c r="C265" s="1" t="n">
        <v>46048</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20291-2025</t>
        </is>
      </c>
      <c r="B266" s="1" t="n">
        <v>45774.74288194445</v>
      </c>
      <c r="C266" s="1" t="n">
        <v>46048</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20293-2025</t>
        </is>
      </c>
      <c r="B267" s="1" t="n">
        <v>45774.74611111111</v>
      </c>
      <c r="C267" s="1" t="n">
        <v>46048</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2697-2023</t>
        </is>
      </c>
      <c r="B268" s="1" t="n">
        <v>44944</v>
      </c>
      <c r="C268" s="1" t="n">
        <v>46048</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45806-2024</t>
        </is>
      </c>
      <c r="B269" s="1" t="n">
        <v>45579.69619212963</v>
      </c>
      <c r="C269" s="1" t="n">
        <v>46048</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56756-2023</t>
        </is>
      </c>
      <c r="B270" s="1" t="n">
        <v>45244</v>
      </c>
      <c r="C270" s="1" t="n">
        <v>46048</v>
      </c>
      <c r="D270" t="inlineStr">
        <is>
          <t>ÖSTERGÖTLANDS LÄN</t>
        </is>
      </c>
      <c r="E270" t="inlineStr">
        <is>
          <t>LINKÖPING</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32346-2023</t>
        </is>
      </c>
      <c r="B271" s="1" t="n">
        <v>45120</v>
      </c>
      <c r="C271" s="1" t="n">
        <v>46048</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22264-2025</t>
        </is>
      </c>
      <c r="B272" s="1" t="n">
        <v>45785</v>
      </c>
      <c r="C272" s="1" t="n">
        <v>46048</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3041-2024</t>
        </is>
      </c>
      <c r="B273" s="1" t="n">
        <v>45316.34875</v>
      </c>
      <c r="C273" s="1" t="n">
        <v>46048</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46048</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61307-2021</t>
        </is>
      </c>
      <c r="B275" s="1" t="n">
        <v>44498.63928240741</v>
      </c>
      <c r="C275" s="1" t="n">
        <v>46048</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61325-2021</t>
        </is>
      </c>
      <c r="B276" s="1" t="n">
        <v>44498.66814814815</v>
      </c>
      <c r="C276" s="1" t="n">
        <v>46048</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63665-2023</t>
        </is>
      </c>
      <c r="B277" s="1" t="n">
        <v>45275</v>
      </c>
      <c r="C277" s="1" t="n">
        <v>46048</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33867-2023</t>
        </is>
      </c>
      <c r="B278" s="1" t="n">
        <v>45133.94640046296</v>
      </c>
      <c r="C278" s="1" t="n">
        <v>46048</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60985-2023</t>
        </is>
      </c>
      <c r="B279" s="1" t="n">
        <v>45261.48429398148</v>
      </c>
      <c r="C279" s="1" t="n">
        <v>46048</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46048</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6859-2024</t>
        </is>
      </c>
      <c r="B281" s="1" t="n">
        <v>45342</v>
      </c>
      <c r="C281" s="1" t="n">
        <v>46048</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44287-2024</t>
        </is>
      </c>
      <c r="B282" s="1" t="n">
        <v>45573.50582175926</v>
      </c>
      <c r="C282" s="1" t="n">
        <v>46048</v>
      </c>
      <c r="D282" t="inlineStr">
        <is>
          <t>ÖSTERGÖTLANDS LÄN</t>
        </is>
      </c>
      <c r="E282" t="inlineStr">
        <is>
          <t>LINKÖPING</t>
        </is>
      </c>
      <c r="G282" t="n">
        <v>12.7</v>
      </c>
      <c r="H282" t="n">
        <v>0</v>
      </c>
      <c r="I282" t="n">
        <v>0</v>
      </c>
      <c r="J282" t="n">
        <v>0</v>
      </c>
      <c r="K282" t="n">
        <v>0</v>
      </c>
      <c r="L282" t="n">
        <v>0</v>
      </c>
      <c r="M282" t="n">
        <v>0</v>
      </c>
      <c r="N282" t="n">
        <v>0</v>
      </c>
      <c r="O282" t="n">
        <v>0</v>
      </c>
      <c r="P282" t="n">
        <v>0</v>
      </c>
      <c r="Q282" t="n">
        <v>0</v>
      </c>
      <c r="R282" s="2" t="inlineStr"/>
    </row>
    <row r="283" ht="15" customHeight="1">
      <c r="A283" t="inlineStr">
        <is>
          <t>A 24904-2024</t>
        </is>
      </c>
      <c r="B283" s="1" t="n">
        <v>45461</v>
      </c>
      <c r="C283" s="1" t="n">
        <v>46048</v>
      </c>
      <c r="D283" t="inlineStr">
        <is>
          <t>ÖSTERGÖTLANDS LÄN</t>
        </is>
      </c>
      <c r="E283" t="inlineStr">
        <is>
          <t>LINKÖPING</t>
        </is>
      </c>
      <c r="G283" t="n">
        <v>3.8</v>
      </c>
      <c r="H283" t="n">
        <v>0</v>
      </c>
      <c r="I283" t="n">
        <v>0</v>
      </c>
      <c r="J283" t="n">
        <v>0</v>
      </c>
      <c r="K283" t="n">
        <v>0</v>
      </c>
      <c r="L283" t="n">
        <v>0</v>
      </c>
      <c r="M283" t="n">
        <v>0</v>
      </c>
      <c r="N283" t="n">
        <v>0</v>
      </c>
      <c r="O283" t="n">
        <v>0</v>
      </c>
      <c r="P283" t="n">
        <v>0</v>
      </c>
      <c r="Q283" t="n">
        <v>0</v>
      </c>
      <c r="R283" s="2" t="inlineStr"/>
    </row>
    <row r="284" ht="15" customHeight="1">
      <c r="A284" t="inlineStr">
        <is>
          <t>A 55009-2023</t>
        </is>
      </c>
      <c r="B284" s="1" t="n">
        <v>45237</v>
      </c>
      <c r="C284" s="1" t="n">
        <v>46048</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34872-2023</t>
        </is>
      </c>
      <c r="B285" s="1" t="n">
        <v>45140</v>
      </c>
      <c r="C285" s="1" t="n">
        <v>46048</v>
      </c>
      <c r="D285" t="inlineStr">
        <is>
          <t>ÖSTERGÖTLANDS LÄN</t>
        </is>
      </c>
      <c r="E285" t="inlineStr">
        <is>
          <t>LINKÖPING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50508-2024</t>
        </is>
      </c>
      <c r="B286" s="1" t="n">
        <v>45601.53907407408</v>
      </c>
      <c r="C286" s="1" t="n">
        <v>46048</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22364-2025</t>
        </is>
      </c>
      <c r="B287" s="1" t="n">
        <v>45786.46930555555</v>
      </c>
      <c r="C287" s="1" t="n">
        <v>46048</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30985-2022</t>
        </is>
      </c>
      <c r="B288" s="1" t="n">
        <v>44768</v>
      </c>
      <c r="C288" s="1" t="n">
        <v>46048</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38317-2024</t>
        </is>
      </c>
      <c r="B289" s="1" t="n">
        <v>45545.65766203704</v>
      </c>
      <c r="C289" s="1" t="n">
        <v>46048</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7808-2022</t>
        </is>
      </c>
      <c r="B290" s="1" t="n">
        <v>44608</v>
      </c>
      <c r="C290" s="1" t="n">
        <v>46048</v>
      </c>
      <c r="D290" t="inlineStr">
        <is>
          <t>ÖSTERGÖTLANDS LÄN</t>
        </is>
      </c>
      <c r="E290" t="inlineStr">
        <is>
          <t>LINKÖPING</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572-2025</t>
        </is>
      </c>
      <c r="B291" s="1" t="n">
        <v>45664.56349537037</v>
      </c>
      <c r="C291" s="1" t="n">
        <v>46048</v>
      </c>
      <c r="D291" t="inlineStr">
        <is>
          <t>ÖSTERGÖTLANDS LÄN</t>
        </is>
      </c>
      <c r="E291" t="inlineStr">
        <is>
          <t>LINKÖPING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10797-2024</t>
        </is>
      </c>
      <c r="B292" s="1" t="n">
        <v>45369.6190162037</v>
      </c>
      <c r="C292" s="1" t="n">
        <v>46048</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27844-2024</t>
        </is>
      </c>
      <c r="B293" s="1" t="n">
        <v>45475.63047453704</v>
      </c>
      <c r="C293" s="1" t="n">
        <v>46048</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38580-2024</t>
        </is>
      </c>
      <c r="B294" s="1" t="n">
        <v>45546.64825231482</v>
      </c>
      <c r="C294" s="1" t="n">
        <v>46048</v>
      </c>
      <c r="D294" t="inlineStr">
        <is>
          <t>ÖSTERGÖTLANDS LÄN</t>
        </is>
      </c>
      <c r="E294" t="inlineStr">
        <is>
          <t>LINKÖPING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36336-2022</t>
        </is>
      </c>
      <c r="B295" s="1" t="n">
        <v>44803</v>
      </c>
      <c r="C295" s="1" t="n">
        <v>46048</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57752-2023</t>
        </is>
      </c>
      <c r="B296" s="1" t="n">
        <v>45246.78474537037</v>
      </c>
      <c r="C296" s="1" t="n">
        <v>46048</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25097-2023</t>
        </is>
      </c>
      <c r="B297" s="1" t="n">
        <v>45086</v>
      </c>
      <c r="C297" s="1" t="n">
        <v>46048</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58947-2022</t>
        </is>
      </c>
      <c r="B298" s="1" t="n">
        <v>44903.64769675926</v>
      </c>
      <c r="C298" s="1" t="n">
        <v>46048</v>
      </c>
      <c r="D298" t="inlineStr">
        <is>
          <t>ÖSTERGÖTLANDS LÄN</t>
        </is>
      </c>
      <c r="E298" t="inlineStr">
        <is>
          <t>LINKÖPING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40810-2022</t>
        </is>
      </c>
      <c r="B299" s="1" t="n">
        <v>44824</v>
      </c>
      <c r="C299" s="1" t="n">
        <v>46048</v>
      </c>
      <c r="D299" t="inlineStr">
        <is>
          <t>ÖSTERGÖTLANDS LÄN</t>
        </is>
      </c>
      <c r="E299" t="inlineStr">
        <is>
          <t>LINKÖPING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29312-2024</t>
        </is>
      </c>
      <c r="B300" s="1" t="n">
        <v>45483</v>
      </c>
      <c r="C300" s="1" t="n">
        <v>46048</v>
      </c>
      <c r="D300" t="inlineStr">
        <is>
          <t>ÖSTERGÖTLANDS LÄN</t>
        </is>
      </c>
      <c r="E300" t="inlineStr">
        <is>
          <t>LINKÖPING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23120-2025</t>
        </is>
      </c>
      <c r="B301" s="1" t="n">
        <v>45791.37481481482</v>
      </c>
      <c r="C301" s="1" t="n">
        <v>46048</v>
      </c>
      <c r="D301" t="inlineStr">
        <is>
          <t>ÖSTERGÖTLANDS LÄN</t>
        </is>
      </c>
      <c r="E301" t="inlineStr">
        <is>
          <t>LINKÖPING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10461-2023</t>
        </is>
      </c>
      <c r="B302" s="1" t="n">
        <v>44987.5969212963</v>
      </c>
      <c r="C302" s="1" t="n">
        <v>46048</v>
      </c>
      <c r="D302" t="inlineStr">
        <is>
          <t>ÖSTERGÖTLANDS LÄN</t>
        </is>
      </c>
      <c r="E302" t="inlineStr">
        <is>
          <t>LINKÖPING</t>
        </is>
      </c>
      <c r="G302" t="n">
        <v>7.8</v>
      </c>
      <c r="H302" t="n">
        <v>0</v>
      </c>
      <c r="I302" t="n">
        <v>0</v>
      </c>
      <c r="J302" t="n">
        <v>0</v>
      </c>
      <c r="K302" t="n">
        <v>0</v>
      </c>
      <c r="L302" t="n">
        <v>0</v>
      </c>
      <c r="M302" t="n">
        <v>0</v>
      </c>
      <c r="N302" t="n">
        <v>0</v>
      </c>
      <c r="O302" t="n">
        <v>0</v>
      </c>
      <c r="P302" t="n">
        <v>0</v>
      </c>
      <c r="Q302" t="n">
        <v>0</v>
      </c>
      <c r="R302" s="2" t="inlineStr"/>
    </row>
    <row r="303" ht="15" customHeight="1">
      <c r="A303" t="inlineStr">
        <is>
          <t>A 16665-2023</t>
        </is>
      </c>
      <c r="B303" s="1" t="n">
        <v>45030.5583912037</v>
      </c>
      <c r="C303" s="1" t="n">
        <v>46048</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51559-2024</t>
        </is>
      </c>
      <c r="B304" s="1" t="n">
        <v>45604.61431712963</v>
      </c>
      <c r="C304" s="1" t="n">
        <v>46048</v>
      </c>
      <c r="D304" t="inlineStr">
        <is>
          <t>ÖSTERGÖTLANDS LÄN</t>
        </is>
      </c>
      <c r="E304" t="inlineStr">
        <is>
          <t>LINKÖPING</t>
        </is>
      </c>
      <c r="F304" t="inlineStr">
        <is>
          <t>Övriga Aktiebolag</t>
        </is>
      </c>
      <c r="G304" t="n">
        <v>2.4</v>
      </c>
      <c r="H304" t="n">
        <v>0</v>
      </c>
      <c r="I304" t="n">
        <v>0</v>
      </c>
      <c r="J304" t="n">
        <v>0</v>
      </c>
      <c r="K304" t="n">
        <v>0</v>
      </c>
      <c r="L304" t="n">
        <v>0</v>
      </c>
      <c r="M304" t="n">
        <v>0</v>
      </c>
      <c r="N304" t="n">
        <v>0</v>
      </c>
      <c r="O304" t="n">
        <v>0</v>
      </c>
      <c r="P304" t="n">
        <v>0</v>
      </c>
      <c r="Q304" t="n">
        <v>0</v>
      </c>
      <c r="R304" s="2" t="inlineStr"/>
    </row>
    <row r="305" ht="15" customHeight="1">
      <c r="A305" t="inlineStr">
        <is>
          <t>A 50386-2021</t>
        </is>
      </c>
      <c r="B305" s="1" t="n">
        <v>44459</v>
      </c>
      <c r="C305" s="1" t="n">
        <v>46048</v>
      </c>
      <c r="D305" t="inlineStr">
        <is>
          <t>ÖSTERGÖTLANDS LÄN</t>
        </is>
      </c>
      <c r="E305" t="inlineStr">
        <is>
          <t>LINKÖPING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23768-2025</t>
        </is>
      </c>
      <c r="B306" s="1" t="n">
        <v>45793.47493055555</v>
      </c>
      <c r="C306" s="1" t="n">
        <v>46048</v>
      </c>
      <c r="D306" t="inlineStr">
        <is>
          <t>ÖSTERGÖTLANDS LÄN</t>
        </is>
      </c>
      <c r="E306" t="inlineStr">
        <is>
          <t>LINKÖPING</t>
        </is>
      </c>
      <c r="G306" t="n">
        <v>3.4</v>
      </c>
      <c r="H306" t="n">
        <v>0</v>
      </c>
      <c r="I306" t="n">
        <v>0</v>
      </c>
      <c r="J306" t="n">
        <v>0</v>
      </c>
      <c r="K306" t="n">
        <v>0</v>
      </c>
      <c r="L306" t="n">
        <v>0</v>
      </c>
      <c r="M306" t="n">
        <v>0</v>
      </c>
      <c r="N306" t="n">
        <v>0</v>
      </c>
      <c r="O306" t="n">
        <v>0</v>
      </c>
      <c r="P306" t="n">
        <v>0</v>
      </c>
      <c r="Q306" t="n">
        <v>0</v>
      </c>
      <c r="R306" s="2" t="inlineStr"/>
    </row>
    <row r="307" ht="15" customHeight="1">
      <c r="A307" t="inlineStr">
        <is>
          <t>A 60001-2022</t>
        </is>
      </c>
      <c r="B307" s="1" t="n">
        <v>44909.47087962963</v>
      </c>
      <c r="C307" s="1" t="n">
        <v>46048</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60013-2022</t>
        </is>
      </c>
      <c r="B308" s="1" t="n">
        <v>44909.47482638889</v>
      </c>
      <c r="C308" s="1" t="n">
        <v>46048</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1211-2023</t>
        </is>
      </c>
      <c r="B309" s="1" t="n">
        <v>44930</v>
      </c>
      <c r="C309" s="1" t="n">
        <v>46048</v>
      </c>
      <c r="D309" t="inlineStr">
        <is>
          <t>ÖSTERGÖTLANDS LÄN</t>
        </is>
      </c>
      <c r="E309" t="inlineStr">
        <is>
          <t>LINKÖPING</t>
        </is>
      </c>
      <c r="F309" t="inlineStr">
        <is>
          <t>Övriga statliga verk och myndigheter</t>
        </is>
      </c>
      <c r="G309" t="n">
        <v>7.9</v>
      </c>
      <c r="H309" t="n">
        <v>0</v>
      </c>
      <c r="I309" t="n">
        <v>0</v>
      </c>
      <c r="J309" t="n">
        <v>0</v>
      </c>
      <c r="K309" t="n">
        <v>0</v>
      </c>
      <c r="L309" t="n">
        <v>0</v>
      </c>
      <c r="M309" t="n">
        <v>0</v>
      </c>
      <c r="N309" t="n">
        <v>0</v>
      </c>
      <c r="O309" t="n">
        <v>0</v>
      </c>
      <c r="P309" t="n">
        <v>0</v>
      </c>
      <c r="Q309" t="n">
        <v>0</v>
      </c>
      <c r="R309" s="2" t="inlineStr"/>
    </row>
    <row r="310" ht="15" customHeight="1">
      <c r="A310" t="inlineStr">
        <is>
          <t>A 49979-2022</t>
        </is>
      </c>
      <c r="B310" s="1" t="n">
        <v>44865</v>
      </c>
      <c r="C310" s="1" t="n">
        <v>46048</v>
      </c>
      <c r="D310" t="inlineStr">
        <is>
          <t>ÖSTERGÖTLANDS LÄN</t>
        </is>
      </c>
      <c r="E310" t="inlineStr">
        <is>
          <t>LINKÖPING</t>
        </is>
      </c>
      <c r="F310" t="inlineStr">
        <is>
          <t>Övriga Aktiebolag</t>
        </is>
      </c>
      <c r="G310" t="n">
        <v>11.4</v>
      </c>
      <c r="H310" t="n">
        <v>0</v>
      </c>
      <c r="I310" t="n">
        <v>0</v>
      </c>
      <c r="J310" t="n">
        <v>0</v>
      </c>
      <c r="K310" t="n">
        <v>0</v>
      </c>
      <c r="L310" t="n">
        <v>0</v>
      </c>
      <c r="M310" t="n">
        <v>0</v>
      </c>
      <c r="N310" t="n">
        <v>0</v>
      </c>
      <c r="O310" t="n">
        <v>0</v>
      </c>
      <c r="P310" t="n">
        <v>0</v>
      </c>
      <c r="Q310" t="n">
        <v>0</v>
      </c>
      <c r="R310" s="2" t="inlineStr"/>
    </row>
    <row r="311" ht="15" customHeight="1">
      <c r="A311" t="inlineStr">
        <is>
          <t>A 350-2022</t>
        </is>
      </c>
      <c r="B311" s="1" t="n">
        <v>44565</v>
      </c>
      <c r="C311" s="1" t="n">
        <v>46048</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39219-2021</t>
        </is>
      </c>
      <c r="B312" s="1" t="n">
        <v>44413</v>
      </c>
      <c r="C312" s="1" t="n">
        <v>46048</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39224-2021</t>
        </is>
      </c>
      <c r="B313" s="1" t="n">
        <v>44413</v>
      </c>
      <c r="C313" s="1" t="n">
        <v>46048</v>
      </c>
      <c r="D313" t="inlineStr">
        <is>
          <t>ÖSTERGÖTLANDS LÄN</t>
        </is>
      </c>
      <c r="E313" t="inlineStr">
        <is>
          <t>LINKÖPING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38136-2023</t>
        </is>
      </c>
      <c r="B314" s="1" t="n">
        <v>45161.37310185185</v>
      </c>
      <c r="C314" s="1" t="n">
        <v>46048</v>
      </c>
      <c r="D314" t="inlineStr">
        <is>
          <t>ÖSTERGÖTLANDS LÄN</t>
        </is>
      </c>
      <c r="E314" t="inlineStr">
        <is>
          <t>LINKÖPING</t>
        </is>
      </c>
      <c r="G314" t="n">
        <v>5.6</v>
      </c>
      <c r="H314" t="n">
        <v>0</v>
      </c>
      <c r="I314" t="n">
        <v>0</v>
      </c>
      <c r="J314" t="n">
        <v>0</v>
      </c>
      <c r="K314" t="n">
        <v>0</v>
      </c>
      <c r="L314" t="n">
        <v>0</v>
      </c>
      <c r="M314" t="n">
        <v>0</v>
      </c>
      <c r="N314" t="n">
        <v>0</v>
      </c>
      <c r="O314" t="n">
        <v>0</v>
      </c>
      <c r="P314" t="n">
        <v>0</v>
      </c>
      <c r="Q314" t="n">
        <v>0</v>
      </c>
      <c r="R314" s="2" t="inlineStr"/>
    </row>
    <row r="315" ht="15" customHeight="1">
      <c r="A315" t="inlineStr">
        <is>
          <t>A 18891-2022</t>
        </is>
      </c>
      <c r="B315" s="1" t="n">
        <v>44690</v>
      </c>
      <c r="C315" s="1" t="n">
        <v>46048</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62495-2023</t>
        </is>
      </c>
      <c r="B316" s="1" t="n">
        <v>45268.59717592593</v>
      </c>
      <c r="C316" s="1" t="n">
        <v>46048</v>
      </c>
      <c r="D316" t="inlineStr">
        <is>
          <t>ÖSTERGÖTLANDS LÄN</t>
        </is>
      </c>
      <c r="E316" t="inlineStr">
        <is>
          <t>LINKÖPING</t>
        </is>
      </c>
      <c r="G316" t="n">
        <v>4.1</v>
      </c>
      <c r="H316" t="n">
        <v>0</v>
      </c>
      <c r="I316" t="n">
        <v>0</v>
      </c>
      <c r="J316" t="n">
        <v>0</v>
      </c>
      <c r="K316" t="n">
        <v>0</v>
      </c>
      <c r="L316" t="n">
        <v>0</v>
      </c>
      <c r="M316" t="n">
        <v>0</v>
      </c>
      <c r="N316" t="n">
        <v>0</v>
      </c>
      <c r="O316" t="n">
        <v>0</v>
      </c>
      <c r="P316" t="n">
        <v>0</v>
      </c>
      <c r="Q316" t="n">
        <v>0</v>
      </c>
      <c r="R316" s="2" t="inlineStr"/>
    </row>
    <row r="317" ht="15" customHeight="1">
      <c r="A317" t="inlineStr">
        <is>
          <t>A 30976-2022</t>
        </is>
      </c>
      <c r="B317" s="1" t="n">
        <v>44768</v>
      </c>
      <c r="C317" s="1" t="n">
        <v>46048</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48699-2024</t>
        </is>
      </c>
      <c r="B318" s="1" t="n">
        <v>45593.52091435185</v>
      </c>
      <c r="C318" s="1" t="n">
        <v>46048</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29413-2023</t>
        </is>
      </c>
      <c r="B319" s="1" t="n">
        <v>45106.46465277778</v>
      </c>
      <c r="C319" s="1" t="n">
        <v>46048</v>
      </c>
      <c r="D319" t="inlineStr">
        <is>
          <t>ÖSTERGÖTLANDS LÄN</t>
        </is>
      </c>
      <c r="E319" t="inlineStr">
        <is>
          <t>LINKÖPING</t>
        </is>
      </c>
      <c r="G319" t="n">
        <v>8</v>
      </c>
      <c r="H319" t="n">
        <v>0</v>
      </c>
      <c r="I319" t="n">
        <v>0</v>
      </c>
      <c r="J319" t="n">
        <v>0</v>
      </c>
      <c r="K319" t="n">
        <v>0</v>
      </c>
      <c r="L319" t="n">
        <v>0</v>
      </c>
      <c r="M319" t="n">
        <v>0</v>
      </c>
      <c r="N319" t="n">
        <v>0</v>
      </c>
      <c r="O319" t="n">
        <v>0</v>
      </c>
      <c r="P319" t="n">
        <v>0</v>
      </c>
      <c r="Q319" t="n">
        <v>0</v>
      </c>
      <c r="R319" s="2" t="inlineStr"/>
    </row>
    <row r="320" ht="15" customHeight="1">
      <c r="A320" t="inlineStr">
        <is>
          <t>A 55736-2022</t>
        </is>
      </c>
      <c r="B320" s="1" t="n">
        <v>44888</v>
      </c>
      <c r="C320" s="1" t="n">
        <v>46048</v>
      </c>
      <c r="D320" t="inlineStr">
        <is>
          <t>ÖSTERGÖTLANDS LÄN</t>
        </is>
      </c>
      <c r="E320" t="inlineStr">
        <is>
          <t>LINKÖPING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12317-2025</t>
        </is>
      </c>
      <c r="B321" s="1" t="n">
        <v>45729.8487037037</v>
      </c>
      <c r="C321" s="1" t="n">
        <v>46048</v>
      </c>
      <c r="D321" t="inlineStr">
        <is>
          <t>ÖSTERGÖTLANDS LÄN</t>
        </is>
      </c>
      <c r="E321" t="inlineStr">
        <is>
          <t>LINKÖPING</t>
        </is>
      </c>
      <c r="G321" t="n">
        <v>8</v>
      </c>
      <c r="H321" t="n">
        <v>0</v>
      </c>
      <c r="I321" t="n">
        <v>0</v>
      </c>
      <c r="J321" t="n">
        <v>0</v>
      </c>
      <c r="K321" t="n">
        <v>0</v>
      </c>
      <c r="L321" t="n">
        <v>0</v>
      </c>
      <c r="M321" t="n">
        <v>0</v>
      </c>
      <c r="N321" t="n">
        <v>0</v>
      </c>
      <c r="O321" t="n">
        <v>0</v>
      </c>
      <c r="P321" t="n">
        <v>0</v>
      </c>
      <c r="Q321" t="n">
        <v>0</v>
      </c>
      <c r="R321" s="2" t="inlineStr"/>
    </row>
    <row r="322" ht="15" customHeight="1">
      <c r="A322" t="inlineStr">
        <is>
          <t>A 25948-2023</t>
        </is>
      </c>
      <c r="B322" s="1" t="n">
        <v>45090</v>
      </c>
      <c r="C322" s="1" t="n">
        <v>46048</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36557-2023</t>
        </is>
      </c>
      <c r="B323" s="1" t="n">
        <v>45153</v>
      </c>
      <c r="C323" s="1" t="n">
        <v>46048</v>
      </c>
      <c r="D323" t="inlineStr">
        <is>
          <t>ÖSTERGÖTLANDS LÄN</t>
        </is>
      </c>
      <c r="E323" t="inlineStr">
        <is>
          <t>LINKÖPING</t>
        </is>
      </c>
      <c r="F323" t="inlineStr">
        <is>
          <t>Övriga Aktiebolag</t>
        </is>
      </c>
      <c r="G323" t="n">
        <v>3.1</v>
      </c>
      <c r="H323" t="n">
        <v>0</v>
      </c>
      <c r="I323" t="n">
        <v>0</v>
      </c>
      <c r="J323" t="n">
        <v>0</v>
      </c>
      <c r="K323" t="n">
        <v>0</v>
      </c>
      <c r="L323" t="n">
        <v>0</v>
      </c>
      <c r="M323" t="n">
        <v>0</v>
      </c>
      <c r="N323" t="n">
        <v>0</v>
      </c>
      <c r="O323" t="n">
        <v>0</v>
      </c>
      <c r="P323" t="n">
        <v>0</v>
      </c>
      <c r="Q323" t="n">
        <v>0</v>
      </c>
      <c r="R323" s="2" t="inlineStr"/>
    </row>
    <row r="324" ht="15" customHeight="1">
      <c r="A324" t="inlineStr">
        <is>
          <t>A 1627-2023</t>
        </is>
      </c>
      <c r="B324" s="1" t="n">
        <v>44937</v>
      </c>
      <c r="C324" s="1" t="n">
        <v>46048</v>
      </c>
      <c r="D324" t="inlineStr">
        <is>
          <t>ÖSTERGÖTLANDS LÄN</t>
        </is>
      </c>
      <c r="E324" t="inlineStr">
        <is>
          <t>LINKÖPING</t>
        </is>
      </c>
      <c r="G324" t="n">
        <v>10.8</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46048</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21782-2024</t>
        </is>
      </c>
      <c r="B326" s="1" t="n">
        <v>45442.63368055555</v>
      </c>
      <c r="C326" s="1" t="n">
        <v>46048</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10194-2023</t>
        </is>
      </c>
      <c r="B327" s="1" t="n">
        <v>44986.52277777778</v>
      </c>
      <c r="C327" s="1" t="n">
        <v>46048</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2085-2024</t>
        </is>
      </c>
      <c r="B328" s="1" t="n">
        <v>45309</v>
      </c>
      <c r="C328" s="1" t="n">
        <v>46048</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11671-2023</t>
        </is>
      </c>
      <c r="B329" s="1" t="n">
        <v>44994.48125</v>
      </c>
      <c r="C329" s="1" t="n">
        <v>46048</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30468-2023</t>
        </is>
      </c>
      <c r="B330" s="1" t="n">
        <v>45111.58732638889</v>
      </c>
      <c r="C330" s="1" t="n">
        <v>46048</v>
      </c>
      <c r="D330" t="inlineStr">
        <is>
          <t>ÖSTERGÖTLANDS LÄN</t>
        </is>
      </c>
      <c r="E330" t="inlineStr">
        <is>
          <t>LINKÖPING</t>
        </is>
      </c>
      <c r="G330" t="n">
        <v>10.1</v>
      </c>
      <c r="H330" t="n">
        <v>0</v>
      </c>
      <c r="I330" t="n">
        <v>0</v>
      </c>
      <c r="J330" t="n">
        <v>0</v>
      </c>
      <c r="K330" t="n">
        <v>0</v>
      </c>
      <c r="L330" t="n">
        <v>0</v>
      </c>
      <c r="M330" t="n">
        <v>0</v>
      </c>
      <c r="N330" t="n">
        <v>0</v>
      </c>
      <c r="O330" t="n">
        <v>0</v>
      </c>
      <c r="P330" t="n">
        <v>0</v>
      </c>
      <c r="Q330" t="n">
        <v>0</v>
      </c>
      <c r="R330" s="2" t="inlineStr"/>
    </row>
    <row r="331" ht="15" customHeight="1">
      <c r="A331" t="inlineStr">
        <is>
          <t>A 13911-2025</t>
        </is>
      </c>
      <c r="B331" s="1" t="n">
        <v>45737.64784722222</v>
      </c>
      <c r="C331" s="1" t="n">
        <v>46048</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38715-2023</t>
        </is>
      </c>
      <c r="B332" s="1" t="n">
        <v>45160</v>
      </c>
      <c r="C332" s="1" t="n">
        <v>46048</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3013-2023</t>
        </is>
      </c>
      <c r="B333" s="1" t="n">
        <v>44945.8092824074</v>
      </c>
      <c r="C333" s="1" t="n">
        <v>46048</v>
      </c>
      <c r="D333" t="inlineStr">
        <is>
          <t>ÖSTERGÖTLANDS LÄN</t>
        </is>
      </c>
      <c r="E333" t="inlineStr">
        <is>
          <t>LINKÖPING</t>
        </is>
      </c>
      <c r="G333" t="n">
        <v>5.2</v>
      </c>
      <c r="H333" t="n">
        <v>0</v>
      </c>
      <c r="I333" t="n">
        <v>0</v>
      </c>
      <c r="J333" t="n">
        <v>0</v>
      </c>
      <c r="K333" t="n">
        <v>0</v>
      </c>
      <c r="L333" t="n">
        <v>0</v>
      </c>
      <c r="M333" t="n">
        <v>0</v>
      </c>
      <c r="N333" t="n">
        <v>0</v>
      </c>
      <c r="O333" t="n">
        <v>0</v>
      </c>
      <c r="P333" t="n">
        <v>0</v>
      </c>
      <c r="Q333" t="n">
        <v>0</v>
      </c>
      <c r="R333" s="2" t="inlineStr"/>
    </row>
    <row r="334" ht="15" customHeight="1">
      <c r="A334" t="inlineStr">
        <is>
          <t>A 49747-2024</t>
        </is>
      </c>
      <c r="B334" s="1" t="n">
        <v>45596</v>
      </c>
      <c r="C334" s="1" t="n">
        <v>46048</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42997-2021</t>
        </is>
      </c>
      <c r="B335" s="1" t="n">
        <v>44431.45556712963</v>
      </c>
      <c r="C335" s="1" t="n">
        <v>46048</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44280-2024</t>
        </is>
      </c>
      <c r="B336" s="1" t="n">
        <v>45573.49461805556</v>
      </c>
      <c r="C336" s="1" t="n">
        <v>46048</v>
      </c>
      <c r="D336" t="inlineStr">
        <is>
          <t>ÖSTERGÖTLANDS LÄN</t>
        </is>
      </c>
      <c r="E336" t="inlineStr">
        <is>
          <t>LINKÖPING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34864-2023</t>
        </is>
      </c>
      <c r="B337" s="1" t="n">
        <v>45141</v>
      </c>
      <c r="C337" s="1" t="n">
        <v>46048</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3011-2023</t>
        </is>
      </c>
      <c r="B338" s="1" t="n">
        <v>44945</v>
      </c>
      <c r="C338" s="1" t="n">
        <v>46048</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23735-2023</t>
        </is>
      </c>
      <c r="B339" s="1" t="n">
        <v>45077</v>
      </c>
      <c r="C339" s="1" t="n">
        <v>46048</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46687-2021</t>
        </is>
      </c>
      <c r="B340" s="1" t="n">
        <v>44445</v>
      </c>
      <c r="C340" s="1" t="n">
        <v>46048</v>
      </c>
      <c r="D340" t="inlineStr">
        <is>
          <t>ÖSTERGÖTLANDS LÄN</t>
        </is>
      </c>
      <c r="E340" t="inlineStr">
        <is>
          <t>LINKÖPING</t>
        </is>
      </c>
      <c r="F340" t="inlineStr">
        <is>
          <t>Övriga statliga verk och myndigheter</t>
        </is>
      </c>
      <c r="G340" t="n">
        <v>2.3</v>
      </c>
      <c r="H340" t="n">
        <v>0</v>
      </c>
      <c r="I340" t="n">
        <v>0</v>
      </c>
      <c r="J340" t="n">
        <v>0</v>
      </c>
      <c r="K340" t="n">
        <v>0</v>
      </c>
      <c r="L340" t="n">
        <v>0</v>
      </c>
      <c r="M340" t="n">
        <v>0</v>
      </c>
      <c r="N340" t="n">
        <v>0</v>
      </c>
      <c r="O340" t="n">
        <v>0</v>
      </c>
      <c r="P340" t="n">
        <v>0</v>
      </c>
      <c r="Q340" t="n">
        <v>0</v>
      </c>
      <c r="R340" s="2" t="inlineStr"/>
    </row>
    <row r="341" ht="15" customHeight="1">
      <c r="A341" t="inlineStr">
        <is>
          <t>A 17103-2025</t>
        </is>
      </c>
      <c r="B341" s="1" t="n">
        <v>45755.66143518518</v>
      </c>
      <c r="C341" s="1" t="n">
        <v>46048</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45821-2024</t>
        </is>
      </c>
      <c r="B342" s="1" t="n">
        <v>45579.75803240741</v>
      </c>
      <c r="C342" s="1" t="n">
        <v>46048</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7702-2023</t>
        </is>
      </c>
      <c r="B343" s="1" t="n">
        <v>44967</v>
      </c>
      <c r="C343" s="1" t="n">
        <v>46048</v>
      </c>
      <c r="D343" t="inlineStr">
        <is>
          <t>ÖSTERGÖTLANDS LÄN</t>
        </is>
      </c>
      <c r="E343" t="inlineStr">
        <is>
          <t>LINKÖPING</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42000-2023</t>
        </is>
      </c>
      <c r="B344" s="1" t="n">
        <v>45177</v>
      </c>
      <c r="C344" s="1" t="n">
        <v>46048</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40618-2021</t>
        </is>
      </c>
      <c r="B345" s="1" t="n">
        <v>44420.49575231481</v>
      </c>
      <c r="C345" s="1" t="n">
        <v>46048</v>
      </c>
      <c r="D345" t="inlineStr">
        <is>
          <t>ÖSTERGÖTLANDS LÄN</t>
        </is>
      </c>
      <c r="E345" t="inlineStr">
        <is>
          <t>LINKÖPING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56180-2024</t>
        </is>
      </c>
      <c r="B346" s="1" t="n">
        <v>45624.56611111111</v>
      </c>
      <c r="C346" s="1" t="n">
        <v>46048</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53647-2021</t>
        </is>
      </c>
      <c r="B347" s="1" t="n">
        <v>44469</v>
      </c>
      <c r="C347" s="1" t="n">
        <v>46048</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31534-2023</t>
        </is>
      </c>
      <c r="B348" s="1" t="n">
        <v>45116</v>
      </c>
      <c r="C348" s="1" t="n">
        <v>46048</v>
      </c>
      <c r="D348" t="inlineStr">
        <is>
          <t>ÖSTERGÖTLANDS LÄN</t>
        </is>
      </c>
      <c r="E348" t="inlineStr">
        <is>
          <t>LINKÖPING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35427-2023</t>
        </is>
      </c>
      <c r="B349" s="1" t="n">
        <v>45146</v>
      </c>
      <c r="C349" s="1" t="n">
        <v>46048</v>
      </c>
      <c r="D349" t="inlineStr">
        <is>
          <t>ÖSTERGÖTLANDS LÄN</t>
        </is>
      </c>
      <c r="E349" t="inlineStr">
        <is>
          <t>LINKÖPING</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36725-2023</t>
        </is>
      </c>
      <c r="B350" s="1" t="n">
        <v>45153.68471064815</v>
      </c>
      <c r="C350" s="1" t="n">
        <v>46048</v>
      </c>
      <c r="D350" t="inlineStr">
        <is>
          <t>ÖSTERGÖTLANDS LÄN</t>
        </is>
      </c>
      <c r="E350" t="inlineStr">
        <is>
          <t>LINKÖPING</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30471-2023</t>
        </is>
      </c>
      <c r="B351" s="1" t="n">
        <v>45111.58931712963</v>
      </c>
      <c r="C351" s="1" t="n">
        <v>46048</v>
      </c>
      <c r="D351" t="inlineStr">
        <is>
          <t>ÖSTERGÖTLANDS LÄN</t>
        </is>
      </c>
      <c r="E351" t="inlineStr">
        <is>
          <t>LINKÖPING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227-2024</t>
        </is>
      </c>
      <c r="B352" s="1" t="n">
        <v>45294.73603009259</v>
      </c>
      <c r="C352" s="1" t="n">
        <v>46048</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53639-2023</t>
        </is>
      </c>
      <c r="B353" s="1" t="n">
        <v>45230.59686342593</v>
      </c>
      <c r="C353" s="1" t="n">
        <v>46048</v>
      </c>
      <c r="D353" t="inlineStr">
        <is>
          <t>ÖSTERGÖTLANDS LÄN</t>
        </is>
      </c>
      <c r="E353" t="inlineStr">
        <is>
          <t>LINKÖPING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1657-2024</t>
        </is>
      </c>
      <c r="B354" s="1" t="n">
        <v>45306.82501157407</v>
      </c>
      <c r="C354" s="1" t="n">
        <v>46048</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26002-2025</t>
        </is>
      </c>
      <c r="B355" s="1" t="n">
        <v>45804.66534722222</v>
      </c>
      <c r="C355" s="1" t="n">
        <v>46048</v>
      </c>
      <c r="D355" t="inlineStr">
        <is>
          <t>ÖSTERGÖTLANDS LÄN</t>
        </is>
      </c>
      <c r="E355" t="inlineStr">
        <is>
          <t>LINKÖPING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44155-2024</t>
        </is>
      </c>
      <c r="B356" s="1" t="n">
        <v>45572.68226851852</v>
      </c>
      <c r="C356" s="1" t="n">
        <v>46048</v>
      </c>
      <c r="D356" t="inlineStr">
        <is>
          <t>ÖSTERGÖTLANDS LÄN</t>
        </is>
      </c>
      <c r="E356" t="inlineStr">
        <is>
          <t>LINKÖPING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6599-2023</t>
        </is>
      </c>
      <c r="B357" s="1" t="n">
        <v>44966.52603009259</v>
      </c>
      <c r="C357" s="1" t="n">
        <v>46048</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50784-2022</t>
        </is>
      </c>
      <c r="B358" s="1" t="n">
        <v>44862</v>
      </c>
      <c r="C358" s="1" t="n">
        <v>46048</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26803-2024</t>
        </is>
      </c>
      <c r="B359" s="1" t="n">
        <v>45470</v>
      </c>
      <c r="C359" s="1" t="n">
        <v>46048</v>
      </c>
      <c r="D359" t="inlineStr">
        <is>
          <t>ÖSTERGÖTLANDS LÄN</t>
        </is>
      </c>
      <c r="E359" t="inlineStr">
        <is>
          <t>LINKÖPING</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45491.69811342593</v>
      </c>
      <c r="C360" s="1" t="n">
        <v>46048</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25996-2025</t>
        </is>
      </c>
      <c r="B361" s="1" t="n">
        <v>45804.65851851852</v>
      </c>
      <c r="C361" s="1" t="n">
        <v>46048</v>
      </c>
      <c r="D361" t="inlineStr">
        <is>
          <t>ÖSTERGÖTLANDS LÄN</t>
        </is>
      </c>
      <c r="E361" t="inlineStr">
        <is>
          <t>LINKÖPING</t>
        </is>
      </c>
      <c r="G361" t="n">
        <v>3.2</v>
      </c>
      <c r="H361" t="n">
        <v>0</v>
      </c>
      <c r="I361" t="n">
        <v>0</v>
      </c>
      <c r="J361" t="n">
        <v>0</v>
      </c>
      <c r="K361" t="n">
        <v>0</v>
      </c>
      <c r="L361" t="n">
        <v>0</v>
      </c>
      <c r="M361" t="n">
        <v>0</v>
      </c>
      <c r="N361" t="n">
        <v>0</v>
      </c>
      <c r="O361" t="n">
        <v>0</v>
      </c>
      <c r="P361" t="n">
        <v>0</v>
      </c>
      <c r="Q361" t="n">
        <v>0</v>
      </c>
      <c r="R361" s="2" t="inlineStr"/>
    </row>
    <row r="362" ht="15" customHeight="1">
      <c r="A362" t="inlineStr">
        <is>
          <t>A 56917-2022</t>
        </is>
      </c>
      <c r="B362" s="1" t="n">
        <v>44894</v>
      </c>
      <c r="C362" s="1" t="n">
        <v>46048</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57766-2023</t>
        </is>
      </c>
      <c r="B363" s="1" t="n">
        <v>45246</v>
      </c>
      <c r="C363" s="1" t="n">
        <v>46048</v>
      </c>
      <c r="D363" t="inlineStr">
        <is>
          <t>ÖSTERGÖTLANDS LÄN</t>
        </is>
      </c>
      <c r="E363" t="inlineStr">
        <is>
          <t>LINKÖPING</t>
        </is>
      </c>
      <c r="F363" t="inlineStr">
        <is>
          <t>Allmännings- och besparingsskogar</t>
        </is>
      </c>
      <c r="G363" t="n">
        <v>12.8</v>
      </c>
      <c r="H363" t="n">
        <v>0</v>
      </c>
      <c r="I363" t="n">
        <v>0</v>
      </c>
      <c r="J363" t="n">
        <v>0</v>
      </c>
      <c r="K363" t="n">
        <v>0</v>
      </c>
      <c r="L363" t="n">
        <v>0</v>
      </c>
      <c r="M363" t="n">
        <v>0</v>
      </c>
      <c r="N363" t="n">
        <v>0</v>
      </c>
      <c r="O363" t="n">
        <v>0</v>
      </c>
      <c r="P363" t="n">
        <v>0</v>
      </c>
      <c r="Q363" t="n">
        <v>0</v>
      </c>
      <c r="R363" s="2" t="inlineStr"/>
    </row>
    <row r="364" ht="15" customHeight="1">
      <c r="A364" t="inlineStr">
        <is>
          <t>A 19187-2021</t>
        </is>
      </c>
      <c r="B364" s="1" t="n">
        <v>44308</v>
      </c>
      <c r="C364" s="1" t="n">
        <v>46048</v>
      </c>
      <c r="D364" t="inlineStr">
        <is>
          <t>ÖSTERGÖTLANDS LÄN</t>
        </is>
      </c>
      <c r="E364" t="inlineStr">
        <is>
          <t>LINKÖPING</t>
        </is>
      </c>
      <c r="F364" t="inlineStr">
        <is>
          <t>Allmännings- och besparingsskogar</t>
        </is>
      </c>
      <c r="G364" t="n">
        <v>20</v>
      </c>
      <c r="H364" t="n">
        <v>0</v>
      </c>
      <c r="I364" t="n">
        <v>0</v>
      </c>
      <c r="J364" t="n">
        <v>0</v>
      </c>
      <c r="K364" t="n">
        <v>0</v>
      </c>
      <c r="L364" t="n">
        <v>0</v>
      </c>
      <c r="M364" t="n">
        <v>0</v>
      </c>
      <c r="N364" t="n">
        <v>0</v>
      </c>
      <c r="O364" t="n">
        <v>0</v>
      </c>
      <c r="P364" t="n">
        <v>0</v>
      </c>
      <c r="Q364" t="n">
        <v>0</v>
      </c>
      <c r="R364" s="2" t="inlineStr"/>
    </row>
    <row r="365" ht="15" customHeight="1">
      <c r="A365" t="inlineStr">
        <is>
          <t>A 60472-2022</t>
        </is>
      </c>
      <c r="B365" s="1" t="n">
        <v>44911.41037037037</v>
      </c>
      <c r="C365" s="1" t="n">
        <v>46048</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43934-2023</t>
        </is>
      </c>
      <c r="B366" s="1" t="n">
        <v>45187</v>
      </c>
      <c r="C366" s="1" t="n">
        <v>46048</v>
      </c>
      <c r="D366" t="inlineStr">
        <is>
          <t>ÖSTERGÖTLANDS LÄN</t>
        </is>
      </c>
      <c r="E366" t="inlineStr">
        <is>
          <t>LINKÖPING</t>
        </is>
      </c>
      <c r="F366" t="inlineStr">
        <is>
          <t>Övriga Aktiebolag</t>
        </is>
      </c>
      <c r="G366" t="n">
        <v>3.8</v>
      </c>
      <c r="H366" t="n">
        <v>0</v>
      </c>
      <c r="I366" t="n">
        <v>0</v>
      </c>
      <c r="J366" t="n">
        <v>0</v>
      </c>
      <c r="K366" t="n">
        <v>0</v>
      </c>
      <c r="L366" t="n">
        <v>0</v>
      </c>
      <c r="M366" t="n">
        <v>0</v>
      </c>
      <c r="N366" t="n">
        <v>0</v>
      </c>
      <c r="O366" t="n">
        <v>0</v>
      </c>
      <c r="P366" t="n">
        <v>0</v>
      </c>
      <c r="Q366" t="n">
        <v>0</v>
      </c>
      <c r="R366" s="2" t="inlineStr"/>
    </row>
    <row r="367" ht="15" customHeight="1">
      <c r="A367" t="inlineStr">
        <is>
          <t>A 22774-2024</t>
        </is>
      </c>
      <c r="B367" s="1" t="n">
        <v>45448.46924768519</v>
      </c>
      <c r="C367" s="1" t="n">
        <v>46048</v>
      </c>
      <c r="D367" t="inlineStr">
        <is>
          <t>ÖSTERGÖTLANDS LÄN</t>
        </is>
      </c>
      <c r="E367" t="inlineStr">
        <is>
          <t>LINKÖPING</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22778-2024</t>
        </is>
      </c>
      <c r="B368" s="1" t="n">
        <v>45448.47233796296</v>
      </c>
      <c r="C368" s="1" t="n">
        <v>46048</v>
      </c>
      <c r="D368" t="inlineStr">
        <is>
          <t>ÖSTERGÖTLANDS LÄN</t>
        </is>
      </c>
      <c r="E368" t="inlineStr">
        <is>
          <t>LINKÖPING</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25568-2024</t>
        </is>
      </c>
      <c r="B369" s="1" t="n">
        <v>45463.58699074074</v>
      </c>
      <c r="C369" s="1" t="n">
        <v>46048</v>
      </c>
      <c r="D369" t="inlineStr">
        <is>
          <t>ÖSTERGÖTLANDS LÄN</t>
        </is>
      </c>
      <c r="E369" t="inlineStr">
        <is>
          <t>LINKÖPING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1209-2023</t>
        </is>
      </c>
      <c r="B370" s="1" t="n">
        <v>44930</v>
      </c>
      <c r="C370" s="1" t="n">
        <v>46048</v>
      </c>
      <c r="D370" t="inlineStr">
        <is>
          <t>ÖSTERGÖTLANDS LÄN</t>
        </is>
      </c>
      <c r="E370" t="inlineStr">
        <is>
          <t>LINKÖPING</t>
        </is>
      </c>
      <c r="F370" t="inlineStr">
        <is>
          <t>Övriga statliga verk och myndigheter</t>
        </is>
      </c>
      <c r="G370" t="n">
        <v>25.8</v>
      </c>
      <c r="H370" t="n">
        <v>0</v>
      </c>
      <c r="I370" t="n">
        <v>0</v>
      </c>
      <c r="J370" t="n">
        <v>0</v>
      </c>
      <c r="K370" t="n">
        <v>0</v>
      </c>
      <c r="L370" t="n">
        <v>0</v>
      </c>
      <c r="M370" t="n">
        <v>0</v>
      </c>
      <c r="N370" t="n">
        <v>0</v>
      </c>
      <c r="O370" t="n">
        <v>0</v>
      </c>
      <c r="P370" t="n">
        <v>0</v>
      </c>
      <c r="Q370" t="n">
        <v>0</v>
      </c>
      <c r="R370" s="2" t="inlineStr"/>
    </row>
    <row r="371" ht="15" customHeight="1">
      <c r="A371" t="inlineStr">
        <is>
          <t>A 10407-2025</t>
        </is>
      </c>
      <c r="B371" s="1" t="n">
        <v>45720.62863425926</v>
      </c>
      <c r="C371" s="1" t="n">
        <v>46048</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22833-2023</t>
        </is>
      </c>
      <c r="B372" s="1" t="n">
        <v>45071</v>
      </c>
      <c r="C372" s="1" t="n">
        <v>46048</v>
      </c>
      <c r="D372" t="inlineStr">
        <is>
          <t>ÖSTERGÖTLANDS LÄN</t>
        </is>
      </c>
      <c r="E372" t="inlineStr">
        <is>
          <t>LINKÖPING</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11590-2023</t>
        </is>
      </c>
      <c r="B373" s="1" t="n">
        <v>44994.36689814815</v>
      </c>
      <c r="C373" s="1" t="n">
        <v>46048</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19169-2023</t>
        </is>
      </c>
      <c r="B374" s="1" t="n">
        <v>45044</v>
      </c>
      <c r="C374" s="1" t="n">
        <v>46048</v>
      </c>
      <c r="D374" t="inlineStr">
        <is>
          <t>ÖSTERGÖTLANDS LÄN</t>
        </is>
      </c>
      <c r="E374" t="inlineStr">
        <is>
          <t>LINKÖPING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672-2024</t>
        </is>
      </c>
      <c r="B375" s="1" t="n">
        <v>45300</v>
      </c>
      <c r="C375" s="1" t="n">
        <v>46048</v>
      </c>
      <c r="D375" t="inlineStr">
        <is>
          <t>ÖSTERGÖTLANDS LÄN</t>
        </is>
      </c>
      <c r="E375" t="inlineStr">
        <is>
          <t>LINKÖPING</t>
        </is>
      </c>
      <c r="F375" t="inlineStr">
        <is>
          <t>Sveaskog</t>
        </is>
      </c>
      <c r="G375" t="n">
        <v>4.5</v>
      </c>
      <c r="H375" t="n">
        <v>0</v>
      </c>
      <c r="I375" t="n">
        <v>0</v>
      </c>
      <c r="J375" t="n">
        <v>0</v>
      </c>
      <c r="K375" t="n">
        <v>0</v>
      </c>
      <c r="L375" t="n">
        <v>0</v>
      </c>
      <c r="M375" t="n">
        <v>0</v>
      </c>
      <c r="N375" t="n">
        <v>0</v>
      </c>
      <c r="O375" t="n">
        <v>0</v>
      </c>
      <c r="P375" t="n">
        <v>0</v>
      </c>
      <c r="Q375" t="n">
        <v>0</v>
      </c>
      <c r="R375" s="2" t="inlineStr"/>
    </row>
    <row r="376" ht="15" customHeight="1">
      <c r="A376" t="inlineStr">
        <is>
          <t>A 2997-2025</t>
        </is>
      </c>
      <c r="B376" s="1" t="n">
        <v>45678.54631944445</v>
      </c>
      <c r="C376" s="1" t="n">
        <v>46048</v>
      </c>
      <c r="D376" t="inlineStr">
        <is>
          <t>ÖSTERGÖTLANDS LÄN</t>
        </is>
      </c>
      <c r="E376" t="inlineStr">
        <is>
          <t>LINKÖPING</t>
        </is>
      </c>
      <c r="G376" t="n">
        <v>2.7</v>
      </c>
      <c r="H376" t="n">
        <v>0</v>
      </c>
      <c r="I376" t="n">
        <v>0</v>
      </c>
      <c r="J376" t="n">
        <v>0</v>
      </c>
      <c r="K376" t="n">
        <v>0</v>
      </c>
      <c r="L376" t="n">
        <v>0</v>
      </c>
      <c r="M376" t="n">
        <v>0</v>
      </c>
      <c r="N376" t="n">
        <v>0</v>
      </c>
      <c r="O376" t="n">
        <v>0</v>
      </c>
      <c r="P376" t="n">
        <v>0</v>
      </c>
      <c r="Q376" t="n">
        <v>0</v>
      </c>
      <c r="R376" s="2" t="inlineStr"/>
    </row>
    <row r="377" ht="15" customHeight="1">
      <c r="A377" t="inlineStr">
        <is>
          <t>A 55493-2021</t>
        </is>
      </c>
      <c r="B377" s="1" t="n">
        <v>44475.61988425926</v>
      </c>
      <c r="C377" s="1" t="n">
        <v>46048</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41345-2021</t>
        </is>
      </c>
      <c r="B378" s="1" t="n">
        <v>44424.61851851852</v>
      </c>
      <c r="C378" s="1" t="n">
        <v>46048</v>
      </c>
      <c r="D378" t="inlineStr">
        <is>
          <t>ÖSTERGÖTLANDS LÄN</t>
        </is>
      </c>
      <c r="E378" t="inlineStr">
        <is>
          <t>LINKÖPING</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35735-2023</t>
        </is>
      </c>
      <c r="B379" s="1" t="n">
        <v>45147</v>
      </c>
      <c r="C379" s="1" t="n">
        <v>46048</v>
      </c>
      <c r="D379" t="inlineStr">
        <is>
          <t>ÖSTERGÖTLANDS LÄN</t>
        </is>
      </c>
      <c r="E379" t="inlineStr">
        <is>
          <t>LINKÖPING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13266-2025</t>
        </is>
      </c>
      <c r="B380" s="1" t="n">
        <v>45735.53318287037</v>
      </c>
      <c r="C380" s="1" t="n">
        <v>46048</v>
      </c>
      <c r="D380" t="inlineStr">
        <is>
          <t>ÖSTERGÖTLANDS LÄN</t>
        </is>
      </c>
      <c r="E380" t="inlineStr">
        <is>
          <t>LINKÖPING</t>
        </is>
      </c>
      <c r="G380" t="n">
        <v>3.1</v>
      </c>
      <c r="H380" t="n">
        <v>0</v>
      </c>
      <c r="I380" t="n">
        <v>0</v>
      </c>
      <c r="J380" t="n">
        <v>0</v>
      </c>
      <c r="K380" t="n">
        <v>0</v>
      </c>
      <c r="L380" t="n">
        <v>0</v>
      </c>
      <c r="M380" t="n">
        <v>0</v>
      </c>
      <c r="N380" t="n">
        <v>0</v>
      </c>
      <c r="O380" t="n">
        <v>0</v>
      </c>
      <c r="P380" t="n">
        <v>0</v>
      </c>
      <c r="Q380" t="n">
        <v>0</v>
      </c>
      <c r="R380" s="2" t="inlineStr"/>
    </row>
    <row r="381" ht="15" customHeight="1">
      <c r="A381" t="inlineStr">
        <is>
          <t>A 16213-2025</t>
        </is>
      </c>
      <c r="B381" s="1" t="n">
        <v>45750.62740740741</v>
      </c>
      <c r="C381" s="1" t="n">
        <v>46048</v>
      </c>
      <c r="D381" t="inlineStr">
        <is>
          <t>ÖSTERGÖTLANDS LÄN</t>
        </is>
      </c>
      <c r="E381" t="inlineStr">
        <is>
          <t>LINKÖPING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14093-2024</t>
        </is>
      </c>
      <c r="B382" s="1" t="n">
        <v>45392.60278935185</v>
      </c>
      <c r="C382" s="1" t="n">
        <v>46048</v>
      </c>
      <c r="D382" t="inlineStr">
        <is>
          <t>ÖSTERGÖTLANDS LÄN</t>
        </is>
      </c>
      <c r="E382" t="inlineStr">
        <is>
          <t>LINKÖPING</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62019-2024</t>
        </is>
      </c>
      <c r="B383" s="1" t="n">
        <v>45655.82</v>
      </c>
      <c r="C383" s="1" t="n">
        <v>46048</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25119-2023</t>
        </is>
      </c>
      <c r="B384" s="1" t="n">
        <v>45086.42326388889</v>
      </c>
      <c r="C384" s="1" t="n">
        <v>46048</v>
      </c>
      <c r="D384" t="inlineStr">
        <is>
          <t>ÖSTERGÖTLANDS LÄN</t>
        </is>
      </c>
      <c r="E384" t="inlineStr">
        <is>
          <t>LINKÖPING</t>
        </is>
      </c>
      <c r="G384" t="n">
        <v>3.2</v>
      </c>
      <c r="H384" t="n">
        <v>0</v>
      </c>
      <c r="I384" t="n">
        <v>0</v>
      </c>
      <c r="J384" t="n">
        <v>0</v>
      </c>
      <c r="K384" t="n">
        <v>0</v>
      </c>
      <c r="L384" t="n">
        <v>0</v>
      </c>
      <c r="M384" t="n">
        <v>0</v>
      </c>
      <c r="N384" t="n">
        <v>0</v>
      </c>
      <c r="O384" t="n">
        <v>0</v>
      </c>
      <c r="P384" t="n">
        <v>0</v>
      </c>
      <c r="Q384" t="n">
        <v>0</v>
      </c>
      <c r="R384" s="2" t="inlineStr"/>
    </row>
    <row r="385" ht="15" customHeight="1">
      <c r="A385" t="inlineStr">
        <is>
          <t>A 57396-2021</t>
        </is>
      </c>
      <c r="B385" s="1" t="n">
        <v>44483.56151620371</v>
      </c>
      <c r="C385" s="1" t="n">
        <v>46048</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51571-2024</t>
        </is>
      </c>
      <c r="B386" s="1" t="n">
        <v>45604</v>
      </c>
      <c r="C386" s="1" t="n">
        <v>46048</v>
      </c>
      <c r="D386" t="inlineStr">
        <is>
          <t>ÖSTERGÖTLANDS LÄN</t>
        </is>
      </c>
      <c r="E386" t="inlineStr">
        <is>
          <t>LINKÖPING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17143-2025</t>
        </is>
      </c>
      <c r="B387" s="1" t="n">
        <v>45755.92731481481</v>
      </c>
      <c r="C387" s="1" t="n">
        <v>46048</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45831-2024</t>
        </is>
      </c>
      <c r="B388" s="1" t="n">
        <v>45579.90508101852</v>
      </c>
      <c r="C388" s="1" t="n">
        <v>46048</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46225-2021</t>
        </is>
      </c>
      <c r="B389" s="1" t="n">
        <v>44442</v>
      </c>
      <c r="C389" s="1" t="n">
        <v>46048</v>
      </c>
      <c r="D389" t="inlineStr">
        <is>
          <t>ÖSTERGÖTLANDS LÄN</t>
        </is>
      </c>
      <c r="E389" t="inlineStr">
        <is>
          <t>LINKÖPING</t>
        </is>
      </c>
      <c r="G389" t="n">
        <v>2.9</v>
      </c>
      <c r="H389" t="n">
        <v>0</v>
      </c>
      <c r="I389" t="n">
        <v>0</v>
      </c>
      <c r="J389" t="n">
        <v>0</v>
      </c>
      <c r="K389" t="n">
        <v>0</v>
      </c>
      <c r="L389" t="n">
        <v>0</v>
      </c>
      <c r="M389" t="n">
        <v>0</v>
      </c>
      <c r="N389" t="n">
        <v>0</v>
      </c>
      <c r="O389" t="n">
        <v>0</v>
      </c>
      <c r="P389" t="n">
        <v>0</v>
      </c>
      <c r="Q389" t="n">
        <v>0</v>
      </c>
      <c r="R389" s="2" t="inlineStr"/>
    </row>
    <row r="390" ht="15" customHeight="1">
      <c r="A390" t="inlineStr">
        <is>
          <t>A 25776-2021</t>
        </is>
      </c>
      <c r="B390" s="1" t="n">
        <v>44343</v>
      </c>
      <c r="C390" s="1" t="n">
        <v>46048</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17157-2024</t>
        </is>
      </c>
      <c r="B391" s="1" t="n">
        <v>45412.70567129629</v>
      </c>
      <c r="C391" s="1" t="n">
        <v>46048</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17124-2025</t>
        </is>
      </c>
      <c r="B392" s="1" t="n">
        <v>45755.69678240741</v>
      </c>
      <c r="C392" s="1" t="n">
        <v>46048</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17126-2025</t>
        </is>
      </c>
      <c r="B393" s="1" t="n">
        <v>45755.70814814815</v>
      </c>
      <c r="C393" s="1" t="n">
        <v>46048</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51484-2023</t>
        </is>
      </c>
      <c r="B394" s="1" t="n">
        <v>45222</v>
      </c>
      <c r="C394" s="1" t="n">
        <v>46048</v>
      </c>
      <c r="D394" t="inlineStr">
        <is>
          <t>ÖSTERGÖTLANDS LÄN</t>
        </is>
      </c>
      <c r="E394" t="inlineStr">
        <is>
          <t>LINKÖPING</t>
        </is>
      </c>
      <c r="F394" t="inlineStr">
        <is>
          <t>Övriga Aktiebolag</t>
        </is>
      </c>
      <c r="G394" t="n">
        <v>7.7</v>
      </c>
      <c r="H394" t="n">
        <v>0</v>
      </c>
      <c r="I394" t="n">
        <v>0</v>
      </c>
      <c r="J394" t="n">
        <v>0</v>
      </c>
      <c r="K394" t="n">
        <v>0</v>
      </c>
      <c r="L394" t="n">
        <v>0</v>
      </c>
      <c r="M394" t="n">
        <v>0</v>
      </c>
      <c r="N394" t="n">
        <v>0</v>
      </c>
      <c r="O394" t="n">
        <v>0</v>
      </c>
      <c r="P394" t="n">
        <v>0</v>
      </c>
      <c r="Q394" t="n">
        <v>0</v>
      </c>
      <c r="R394" s="2" t="inlineStr"/>
    </row>
    <row r="395" ht="15" customHeight="1">
      <c r="A395" t="inlineStr">
        <is>
          <t>A 17898-2022</t>
        </is>
      </c>
      <c r="B395" s="1" t="n">
        <v>44683</v>
      </c>
      <c r="C395" s="1" t="n">
        <v>46048</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31640-2023</t>
        </is>
      </c>
      <c r="B396" s="1" t="n">
        <v>45117</v>
      </c>
      <c r="C396" s="1" t="n">
        <v>46048</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27950-2025</t>
        </is>
      </c>
      <c r="B397" s="1" t="n">
        <v>45817.52960648148</v>
      </c>
      <c r="C397" s="1" t="n">
        <v>46048</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63487-2023</t>
        </is>
      </c>
      <c r="B398" s="1" t="n">
        <v>45274.66712962963</v>
      </c>
      <c r="C398" s="1" t="n">
        <v>46048</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35463-2023</t>
        </is>
      </c>
      <c r="B399" s="1" t="n">
        <v>45146</v>
      </c>
      <c r="C399" s="1" t="n">
        <v>46048</v>
      </c>
      <c r="D399" t="inlineStr">
        <is>
          <t>ÖSTERGÖTLANDS LÄN</t>
        </is>
      </c>
      <c r="E399" t="inlineStr">
        <is>
          <t>LINKÖPING</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27797-2025</t>
        </is>
      </c>
      <c r="B400" s="1" t="n">
        <v>45816.80521990741</v>
      </c>
      <c r="C400" s="1" t="n">
        <v>46048</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27798-2025</t>
        </is>
      </c>
      <c r="B401" s="1" t="n">
        <v>45816.81532407407</v>
      </c>
      <c r="C401" s="1" t="n">
        <v>46048</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11790-2024</t>
        </is>
      </c>
      <c r="B402" s="1" t="n">
        <v>45374</v>
      </c>
      <c r="C402" s="1" t="n">
        <v>46048</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28200-2025</t>
        </is>
      </c>
      <c r="B403" s="1" t="n">
        <v>45818.4428125</v>
      </c>
      <c r="C403" s="1" t="n">
        <v>46048</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61281-2021</t>
        </is>
      </c>
      <c r="B404" s="1" t="n">
        <v>44498.60736111111</v>
      </c>
      <c r="C404" s="1" t="n">
        <v>46048</v>
      </c>
      <c r="D404" t="inlineStr">
        <is>
          <t>ÖSTERGÖTLANDS LÄN</t>
        </is>
      </c>
      <c r="E404" t="inlineStr">
        <is>
          <t>LINKÖPING</t>
        </is>
      </c>
      <c r="G404" t="n">
        <v>4.5</v>
      </c>
      <c r="H404" t="n">
        <v>0</v>
      </c>
      <c r="I404" t="n">
        <v>0</v>
      </c>
      <c r="J404" t="n">
        <v>0</v>
      </c>
      <c r="K404" t="n">
        <v>0</v>
      </c>
      <c r="L404" t="n">
        <v>0</v>
      </c>
      <c r="M404" t="n">
        <v>0</v>
      </c>
      <c r="N404" t="n">
        <v>0</v>
      </c>
      <c r="O404" t="n">
        <v>0</v>
      </c>
      <c r="P404" t="n">
        <v>0</v>
      </c>
      <c r="Q404" t="n">
        <v>0</v>
      </c>
      <c r="R404" s="2" t="inlineStr"/>
    </row>
    <row r="405" ht="15" customHeight="1">
      <c r="A405" t="inlineStr">
        <is>
          <t>A 55632-2022</t>
        </is>
      </c>
      <c r="B405" s="1" t="n">
        <v>44888</v>
      </c>
      <c r="C405" s="1" t="n">
        <v>46048</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28204-2025</t>
        </is>
      </c>
      <c r="B406" s="1" t="n">
        <v>45818.4477662037</v>
      </c>
      <c r="C406" s="1" t="n">
        <v>46048</v>
      </c>
      <c r="D406" t="inlineStr">
        <is>
          <t>ÖSTERGÖTLANDS LÄN</t>
        </is>
      </c>
      <c r="E406" t="inlineStr">
        <is>
          <t>LINKÖPING</t>
        </is>
      </c>
      <c r="G406" t="n">
        <v>2.9</v>
      </c>
      <c r="H406" t="n">
        <v>0</v>
      </c>
      <c r="I406" t="n">
        <v>0</v>
      </c>
      <c r="J406" t="n">
        <v>0</v>
      </c>
      <c r="K406" t="n">
        <v>0</v>
      </c>
      <c r="L406" t="n">
        <v>0</v>
      </c>
      <c r="M406" t="n">
        <v>0</v>
      </c>
      <c r="N406" t="n">
        <v>0</v>
      </c>
      <c r="O406" t="n">
        <v>0</v>
      </c>
      <c r="P406" t="n">
        <v>0</v>
      </c>
      <c r="Q406" t="n">
        <v>0</v>
      </c>
      <c r="R406" s="2" t="inlineStr"/>
    </row>
    <row r="407" ht="15" customHeight="1">
      <c r="A407" t="inlineStr">
        <is>
          <t>A 28416-2025</t>
        </is>
      </c>
      <c r="B407" s="1" t="n">
        <v>45819.35346064815</v>
      </c>
      <c r="C407" s="1" t="n">
        <v>46048</v>
      </c>
      <c r="D407" t="inlineStr">
        <is>
          <t>ÖSTERGÖTLANDS LÄN</t>
        </is>
      </c>
      <c r="E407" t="inlineStr">
        <is>
          <t>LINKÖPING</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63559-2023</t>
        </is>
      </c>
      <c r="B408" s="1" t="n">
        <v>45275.35924768518</v>
      </c>
      <c r="C408" s="1" t="n">
        <v>46048</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6206-2024</t>
        </is>
      </c>
      <c r="B409" s="1" t="n">
        <v>45337.5977662037</v>
      </c>
      <c r="C409" s="1" t="n">
        <v>46048</v>
      </c>
      <c r="D409" t="inlineStr">
        <is>
          <t>ÖSTERGÖTLANDS LÄN</t>
        </is>
      </c>
      <c r="E409" t="inlineStr">
        <is>
          <t>LINKÖPING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58114-2021</t>
        </is>
      </c>
      <c r="B410" s="1" t="n">
        <v>44487</v>
      </c>
      <c r="C410" s="1" t="n">
        <v>46048</v>
      </c>
      <c r="D410" t="inlineStr">
        <is>
          <t>ÖSTERGÖTLANDS LÄN</t>
        </is>
      </c>
      <c r="E410" t="inlineStr">
        <is>
          <t>LINKÖPING</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28398-2025</t>
        </is>
      </c>
      <c r="B411" s="1" t="n">
        <v>45819.34208333334</v>
      </c>
      <c r="C411" s="1" t="n">
        <v>46048</v>
      </c>
      <c r="D411" t="inlineStr">
        <is>
          <t>ÖSTERGÖTLANDS LÄN</t>
        </is>
      </c>
      <c r="E411" t="inlineStr">
        <is>
          <t>LINKÖPING</t>
        </is>
      </c>
      <c r="F411" t="inlineStr">
        <is>
          <t>Sveaskog</t>
        </is>
      </c>
      <c r="G411" t="n">
        <v>7.9</v>
      </c>
      <c r="H411" t="n">
        <v>0</v>
      </c>
      <c r="I411" t="n">
        <v>0</v>
      </c>
      <c r="J411" t="n">
        <v>0</v>
      </c>
      <c r="K411" t="n">
        <v>0</v>
      </c>
      <c r="L411" t="n">
        <v>0</v>
      </c>
      <c r="M411" t="n">
        <v>0</v>
      </c>
      <c r="N411" t="n">
        <v>0</v>
      </c>
      <c r="O411" t="n">
        <v>0</v>
      </c>
      <c r="P411" t="n">
        <v>0</v>
      </c>
      <c r="Q411" t="n">
        <v>0</v>
      </c>
      <c r="R411" s="2" t="inlineStr"/>
    </row>
    <row r="412" ht="15" customHeight="1">
      <c r="A412" t="inlineStr">
        <is>
          <t>A 28209-2025</t>
        </is>
      </c>
      <c r="B412" s="1" t="n">
        <v>45818.45112268518</v>
      </c>
      <c r="C412" s="1" t="n">
        <v>46048</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168-2024</t>
        </is>
      </c>
      <c r="B413" s="1" t="n">
        <v>45294</v>
      </c>
      <c r="C413" s="1" t="n">
        <v>46048</v>
      </c>
      <c r="D413" t="inlineStr">
        <is>
          <t>ÖSTERGÖTLANDS LÄN</t>
        </is>
      </c>
      <c r="E413" t="inlineStr">
        <is>
          <t>LINKÖPING</t>
        </is>
      </c>
      <c r="F413" t="inlineStr">
        <is>
          <t>Allmännings- och besparingsskogar</t>
        </is>
      </c>
      <c r="G413" t="n">
        <v>8.9</v>
      </c>
      <c r="H413" t="n">
        <v>0</v>
      </c>
      <c r="I413" t="n">
        <v>0</v>
      </c>
      <c r="J413" t="n">
        <v>0</v>
      </c>
      <c r="K413" t="n">
        <v>0</v>
      </c>
      <c r="L413" t="n">
        <v>0</v>
      </c>
      <c r="M413" t="n">
        <v>0</v>
      </c>
      <c r="N413" t="n">
        <v>0</v>
      </c>
      <c r="O413" t="n">
        <v>0</v>
      </c>
      <c r="P413" t="n">
        <v>0</v>
      </c>
      <c r="Q413" t="n">
        <v>0</v>
      </c>
      <c r="R413" s="2" t="inlineStr"/>
    </row>
    <row r="414" ht="15" customHeight="1">
      <c r="A414" t="inlineStr">
        <is>
          <t>A 51919-2024</t>
        </is>
      </c>
      <c r="B414" s="1" t="n">
        <v>45607.60791666667</v>
      </c>
      <c r="C414" s="1" t="n">
        <v>46048</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56623-2024</t>
        </is>
      </c>
      <c r="B415" s="1" t="n">
        <v>45625</v>
      </c>
      <c r="C415" s="1" t="n">
        <v>46048</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37154-2023</t>
        </is>
      </c>
      <c r="B416" s="1" t="n">
        <v>45155</v>
      </c>
      <c r="C416" s="1" t="n">
        <v>46048</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29027-2025</t>
        </is>
      </c>
      <c r="B417" s="1" t="n">
        <v>45821.4375462963</v>
      </c>
      <c r="C417" s="1" t="n">
        <v>46048</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11330-2023</t>
        </is>
      </c>
      <c r="B418" s="1" t="n">
        <v>44993.24648148148</v>
      </c>
      <c r="C418" s="1" t="n">
        <v>46048</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63304-2021</t>
        </is>
      </c>
      <c r="B419" s="1" t="n">
        <v>44508.4396412037</v>
      </c>
      <c r="C419" s="1" t="n">
        <v>46048</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55944-2024</t>
        </is>
      </c>
      <c r="B420" s="1" t="n">
        <v>45623.61640046296</v>
      </c>
      <c r="C420" s="1" t="n">
        <v>46048</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55947-2024</t>
        </is>
      </c>
      <c r="B421" s="1" t="n">
        <v>45623</v>
      </c>
      <c r="C421" s="1" t="n">
        <v>46048</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14528-2025</t>
        </is>
      </c>
      <c r="B422" s="1" t="n">
        <v>45741</v>
      </c>
      <c r="C422" s="1" t="n">
        <v>46048</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29411-2025</t>
        </is>
      </c>
      <c r="B423" s="1" t="n">
        <v>45824.6219212963</v>
      </c>
      <c r="C423" s="1" t="n">
        <v>46048</v>
      </c>
      <c r="D423" t="inlineStr">
        <is>
          <t>ÖSTERGÖTLANDS LÄN</t>
        </is>
      </c>
      <c r="E423" t="inlineStr">
        <is>
          <t>LINKÖPING</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3374-2023</t>
        </is>
      </c>
      <c r="B424" s="1" t="n">
        <v>44949</v>
      </c>
      <c r="C424" s="1" t="n">
        <v>46048</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29393-2025</t>
        </is>
      </c>
      <c r="B425" s="1" t="n">
        <v>45824.6057175926</v>
      </c>
      <c r="C425" s="1" t="n">
        <v>46048</v>
      </c>
      <c r="D425" t="inlineStr">
        <is>
          <t>ÖSTERGÖTLANDS LÄN</t>
        </is>
      </c>
      <c r="E425" t="inlineStr">
        <is>
          <t>LINKÖPING</t>
        </is>
      </c>
      <c r="F425" t="inlineStr">
        <is>
          <t>Sveaskog</t>
        </is>
      </c>
      <c r="G425" t="n">
        <v>24.6</v>
      </c>
      <c r="H425" t="n">
        <v>0</v>
      </c>
      <c r="I425" t="n">
        <v>0</v>
      </c>
      <c r="J425" t="n">
        <v>0</v>
      </c>
      <c r="K425" t="n">
        <v>0</v>
      </c>
      <c r="L425" t="n">
        <v>0</v>
      </c>
      <c r="M425" t="n">
        <v>0</v>
      </c>
      <c r="N425" t="n">
        <v>0</v>
      </c>
      <c r="O425" t="n">
        <v>0</v>
      </c>
      <c r="P425" t="n">
        <v>0</v>
      </c>
      <c r="Q425" t="n">
        <v>0</v>
      </c>
      <c r="R425" s="2" t="inlineStr"/>
    </row>
    <row r="426" ht="15" customHeight="1">
      <c r="A426" t="inlineStr">
        <is>
          <t>A 24151-2024</t>
        </is>
      </c>
      <c r="B426" s="1" t="n">
        <v>45456.67717592593</v>
      </c>
      <c r="C426" s="1" t="n">
        <v>46048</v>
      </c>
      <c r="D426" t="inlineStr">
        <is>
          <t>ÖSTERGÖTLANDS LÄN</t>
        </is>
      </c>
      <c r="E426" t="inlineStr">
        <is>
          <t>LINKÖPING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29599-2025</t>
        </is>
      </c>
      <c r="B427" s="1" t="n">
        <v>45825.41101851852</v>
      </c>
      <c r="C427" s="1" t="n">
        <v>46048</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53812-2023</t>
        </is>
      </c>
      <c r="B428" s="1" t="n">
        <v>45231.39583333334</v>
      </c>
      <c r="C428" s="1" t="n">
        <v>46048</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53830-2023</t>
        </is>
      </c>
      <c r="B429" s="1" t="n">
        <v>45230</v>
      </c>
      <c r="C429" s="1" t="n">
        <v>46048</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3530-2024</t>
        </is>
      </c>
      <c r="B430" s="1" t="n">
        <v>45320.54717592592</v>
      </c>
      <c r="C430" s="1" t="n">
        <v>46048</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62073-2023</t>
        </is>
      </c>
      <c r="B431" s="1" t="n">
        <v>45266.73844907407</v>
      </c>
      <c r="C431" s="1" t="n">
        <v>46048</v>
      </c>
      <c r="D431" t="inlineStr">
        <is>
          <t>ÖSTERGÖTLANDS LÄN</t>
        </is>
      </c>
      <c r="E431" t="inlineStr">
        <is>
          <t>LINKÖPING</t>
        </is>
      </c>
      <c r="F431" t="inlineStr">
        <is>
          <t>Allmännings- och besparingsskogar</t>
        </is>
      </c>
      <c r="G431" t="n">
        <v>1.8</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46048</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5872-2025</t>
        </is>
      </c>
      <c r="B433" s="1" t="n">
        <v>45695.36659722222</v>
      </c>
      <c r="C433" s="1" t="n">
        <v>46048</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14576-2023</t>
        </is>
      </c>
      <c r="B434" s="1" t="n">
        <v>45013</v>
      </c>
      <c r="C434" s="1" t="n">
        <v>46048</v>
      </c>
      <c r="D434" t="inlineStr">
        <is>
          <t>ÖSTERGÖTLANDS LÄN</t>
        </is>
      </c>
      <c r="E434" t="inlineStr">
        <is>
          <t>LINKÖPING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53814-2023</t>
        </is>
      </c>
      <c r="B435" s="1" t="n">
        <v>45231</v>
      </c>
      <c r="C435" s="1" t="n">
        <v>46048</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3432-2023</t>
        </is>
      </c>
      <c r="B436" s="1" t="n">
        <v>44949</v>
      </c>
      <c r="C436" s="1" t="n">
        <v>46048</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56741-2023</t>
        </is>
      </c>
      <c r="B437" s="1" t="n">
        <v>45244</v>
      </c>
      <c r="C437" s="1" t="n">
        <v>46048</v>
      </c>
      <c r="D437" t="inlineStr">
        <is>
          <t>ÖSTERGÖTLANDS LÄN</t>
        </is>
      </c>
      <c r="E437" t="inlineStr">
        <is>
          <t>LINKÖPING</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30355-2025</t>
        </is>
      </c>
      <c r="B438" s="1" t="n">
        <v>45827</v>
      </c>
      <c r="C438" s="1" t="n">
        <v>46048</v>
      </c>
      <c r="D438" t="inlineStr">
        <is>
          <t>ÖSTERGÖTLANDS LÄN</t>
        </is>
      </c>
      <c r="E438" t="inlineStr">
        <is>
          <t>LINKÖPING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54425-2022</t>
        </is>
      </c>
      <c r="B439" s="1" t="n">
        <v>44882.57453703704</v>
      </c>
      <c r="C439" s="1" t="n">
        <v>46048</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54428-2022</t>
        </is>
      </c>
      <c r="B440" s="1" t="n">
        <v>44882.57643518518</v>
      </c>
      <c r="C440" s="1" t="n">
        <v>46048</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30353-2025</t>
        </is>
      </c>
      <c r="B441" s="1" t="n">
        <v>45827</v>
      </c>
      <c r="C441" s="1" t="n">
        <v>46048</v>
      </c>
      <c r="D441" t="inlineStr">
        <is>
          <t>ÖSTERGÖTLANDS LÄN</t>
        </is>
      </c>
      <c r="E441" t="inlineStr">
        <is>
          <t>LINKÖPING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53816-2023</t>
        </is>
      </c>
      <c r="B442" s="1" t="n">
        <v>45231.40012731482</v>
      </c>
      <c r="C442" s="1" t="n">
        <v>46048</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74160-2021</t>
        </is>
      </c>
      <c r="B443" s="1" t="n">
        <v>44558</v>
      </c>
      <c r="C443" s="1" t="n">
        <v>46048</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660-2023</t>
        </is>
      </c>
      <c r="B444" s="1" t="n">
        <v>44930</v>
      </c>
      <c r="C444" s="1" t="n">
        <v>46048</v>
      </c>
      <c r="D444" t="inlineStr">
        <is>
          <t>ÖSTERGÖTLANDS LÄN</t>
        </is>
      </c>
      <c r="E444" t="inlineStr">
        <is>
          <t>LINKÖPING</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62501-2023</t>
        </is>
      </c>
      <c r="B445" s="1" t="n">
        <v>45268</v>
      </c>
      <c r="C445" s="1" t="n">
        <v>46048</v>
      </c>
      <c r="D445" t="inlineStr">
        <is>
          <t>ÖSTERGÖTLANDS LÄN</t>
        </is>
      </c>
      <c r="E445" t="inlineStr">
        <is>
          <t>LINKÖPING</t>
        </is>
      </c>
      <c r="G445" t="n">
        <v>7.4</v>
      </c>
      <c r="H445" t="n">
        <v>0</v>
      </c>
      <c r="I445" t="n">
        <v>0</v>
      </c>
      <c r="J445" t="n">
        <v>0</v>
      </c>
      <c r="K445" t="n">
        <v>0</v>
      </c>
      <c r="L445" t="n">
        <v>0</v>
      </c>
      <c r="M445" t="n">
        <v>0</v>
      </c>
      <c r="N445" t="n">
        <v>0</v>
      </c>
      <c r="O445" t="n">
        <v>0</v>
      </c>
      <c r="P445" t="n">
        <v>0</v>
      </c>
      <c r="Q445" t="n">
        <v>0</v>
      </c>
      <c r="R445" s="2" t="inlineStr"/>
    </row>
    <row r="446" ht="15" customHeight="1">
      <c r="A446" t="inlineStr">
        <is>
          <t>A 13413-2023</t>
        </is>
      </c>
      <c r="B446" s="1" t="n">
        <v>45005.58341435185</v>
      </c>
      <c r="C446" s="1" t="n">
        <v>46048</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26620-2023</t>
        </is>
      </c>
      <c r="B447" s="1" t="n">
        <v>45092.70390046296</v>
      </c>
      <c r="C447" s="1" t="n">
        <v>46048</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46048</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16462-2021</t>
        </is>
      </c>
      <c r="B449" s="1" t="n">
        <v>44293</v>
      </c>
      <c r="C449" s="1" t="n">
        <v>46048</v>
      </c>
      <c r="D449" t="inlineStr">
        <is>
          <t>ÖSTERGÖTLANDS LÄN</t>
        </is>
      </c>
      <c r="E449" t="inlineStr">
        <is>
          <t>LINKÖPING</t>
        </is>
      </c>
      <c r="F449" t="inlineStr">
        <is>
          <t>Allmännings- och besparingsskogar</t>
        </is>
      </c>
      <c r="G449" t="n">
        <v>24.7</v>
      </c>
      <c r="H449" t="n">
        <v>0</v>
      </c>
      <c r="I449" t="n">
        <v>0</v>
      </c>
      <c r="J449" t="n">
        <v>0</v>
      </c>
      <c r="K449" t="n">
        <v>0</v>
      </c>
      <c r="L449" t="n">
        <v>0</v>
      </c>
      <c r="M449" t="n">
        <v>0</v>
      </c>
      <c r="N449" t="n">
        <v>0</v>
      </c>
      <c r="O449" t="n">
        <v>0</v>
      </c>
      <c r="P449" t="n">
        <v>0</v>
      </c>
      <c r="Q449" t="n">
        <v>0</v>
      </c>
      <c r="R449" s="2" t="inlineStr"/>
    </row>
    <row r="450" ht="15" customHeight="1">
      <c r="A450" t="inlineStr">
        <is>
          <t>A 53641-2023</t>
        </is>
      </c>
      <c r="B450" s="1" t="n">
        <v>45230</v>
      </c>
      <c r="C450" s="1" t="n">
        <v>46048</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33000-2023</t>
        </is>
      </c>
      <c r="B451" s="1" t="n">
        <v>45125</v>
      </c>
      <c r="C451" s="1" t="n">
        <v>46048</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31581-2025</t>
        </is>
      </c>
      <c r="B452" s="1" t="n">
        <v>45833.6840162037</v>
      </c>
      <c r="C452" s="1" t="n">
        <v>46048</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31585-2025</t>
        </is>
      </c>
      <c r="B453" s="1" t="n">
        <v>45833.68815972222</v>
      </c>
      <c r="C453" s="1" t="n">
        <v>46048</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52892-2024</t>
        </is>
      </c>
      <c r="B454" s="1" t="n">
        <v>45610</v>
      </c>
      <c r="C454" s="1" t="n">
        <v>46048</v>
      </c>
      <c r="D454" t="inlineStr">
        <is>
          <t>ÖSTERGÖTLANDS LÄN</t>
        </is>
      </c>
      <c r="E454" t="inlineStr">
        <is>
          <t>LINKÖPING</t>
        </is>
      </c>
      <c r="G454" t="n">
        <v>4.2</v>
      </c>
      <c r="H454" t="n">
        <v>0</v>
      </c>
      <c r="I454" t="n">
        <v>0</v>
      </c>
      <c r="J454" t="n">
        <v>0</v>
      </c>
      <c r="K454" t="n">
        <v>0</v>
      </c>
      <c r="L454" t="n">
        <v>0</v>
      </c>
      <c r="M454" t="n">
        <v>0</v>
      </c>
      <c r="N454" t="n">
        <v>0</v>
      </c>
      <c r="O454" t="n">
        <v>0</v>
      </c>
      <c r="P454" t="n">
        <v>0</v>
      </c>
      <c r="Q454" t="n">
        <v>0</v>
      </c>
      <c r="R454" s="2" t="inlineStr"/>
    </row>
    <row r="455" ht="15" customHeight="1">
      <c r="A455" t="inlineStr">
        <is>
          <t>A 63935-2021</t>
        </is>
      </c>
      <c r="B455" s="1" t="n">
        <v>44509</v>
      </c>
      <c r="C455" s="1" t="n">
        <v>46048</v>
      </c>
      <c r="D455" t="inlineStr">
        <is>
          <t>ÖSTERGÖTLANDS LÄN</t>
        </is>
      </c>
      <c r="E455" t="inlineStr">
        <is>
          <t>LINKÖPING</t>
        </is>
      </c>
      <c r="F455" t="inlineStr">
        <is>
          <t>Övriga statliga verk och myndigheter</t>
        </is>
      </c>
      <c r="G455" t="n">
        <v>2.8</v>
      </c>
      <c r="H455" t="n">
        <v>0</v>
      </c>
      <c r="I455" t="n">
        <v>0</v>
      </c>
      <c r="J455" t="n">
        <v>0</v>
      </c>
      <c r="K455" t="n">
        <v>0</v>
      </c>
      <c r="L455" t="n">
        <v>0</v>
      </c>
      <c r="M455" t="n">
        <v>0</v>
      </c>
      <c r="N455" t="n">
        <v>0</v>
      </c>
      <c r="O455" t="n">
        <v>0</v>
      </c>
      <c r="P455" t="n">
        <v>0</v>
      </c>
      <c r="Q455" t="n">
        <v>0</v>
      </c>
      <c r="R455" s="2" t="inlineStr"/>
    </row>
    <row r="456" ht="15" customHeight="1">
      <c r="A456" t="inlineStr">
        <is>
          <t>A 6726-2024</t>
        </is>
      </c>
      <c r="B456" s="1" t="n">
        <v>45341</v>
      </c>
      <c r="C456" s="1" t="n">
        <v>46048</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30521-2024</t>
        </is>
      </c>
      <c r="B457" s="1" t="n">
        <v>45492</v>
      </c>
      <c r="C457" s="1" t="n">
        <v>46048</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51191-2022</t>
        </is>
      </c>
      <c r="B458" s="1" t="n">
        <v>44865</v>
      </c>
      <c r="C458" s="1" t="n">
        <v>46048</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12289-2025</t>
        </is>
      </c>
      <c r="B459" s="1" t="n">
        <v>45729</v>
      </c>
      <c r="C459" s="1" t="n">
        <v>46048</v>
      </c>
      <c r="D459" t="inlineStr">
        <is>
          <t>ÖSTERGÖTLANDS LÄN</t>
        </is>
      </c>
      <c r="E459" t="inlineStr">
        <is>
          <t>LINKÖPING</t>
        </is>
      </c>
      <c r="F459" t="inlineStr">
        <is>
          <t>Övriga statliga verk och myndigheter</t>
        </is>
      </c>
      <c r="G459" t="n">
        <v>6.5</v>
      </c>
      <c r="H459" t="n">
        <v>0</v>
      </c>
      <c r="I459" t="n">
        <v>0</v>
      </c>
      <c r="J459" t="n">
        <v>0</v>
      </c>
      <c r="K459" t="n">
        <v>0</v>
      </c>
      <c r="L459" t="n">
        <v>0</v>
      </c>
      <c r="M459" t="n">
        <v>0</v>
      </c>
      <c r="N459" t="n">
        <v>0</v>
      </c>
      <c r="O459" t="n">
        <v>0</v>
      </c>
      <c r="P459" t="n">
        <v>0</v>
      </c>
      <c r="Q459" t="n">
        <v>0</v>
      </c>
      <c r="R459" s="2" t="inlineStr"/>
    </row>
    <row r="460" ht="15" customHeight="1">
      <c r="A460" t="inlineStr">
        <is>
          <t>A 63554-2023</t>
        </is>
      </c>
      <c r="B460" s="1" t="n">
        <v>45275</v>
      </c>
      <c r="C460" s="1" t="n">
        <v>46048</v>
      </c>
      <c r="D460" t="inlineStr">
        <is>
          <t>ÖSTERGÖTLANDS LÄN</t>
        </is>
      </c>
      <c r="E460" t="inlineStr">
        <is>
          <t>LINKÖPING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3007-2023</t>
        </is>
      </c>
      <c r="B461" s="1" t="n">
        <v>44945</v>
      </c>
      <c r="C461" s="1" t="n">
        <v>46048</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18145-2021</t>
        </is>
      </c>
      <c r="B462" s="1" t="n">
        <v>44302</v>
      </c>
      <c r="C462" s="1" t="n">
        <v>46048</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9434-2024</t>
        </is>
      </c>
      <c r="B463" s="1" t="n">
        <v>45359</v>
      </c>
      <c r="C463" s="1" t="n">
        <v>46048</v>
      </c>
      <c r="D463" t="inlineStr">
        <is>
          <t>ÖSTERGÖTLANDS LÄN</t>
        </is>
      </c>
      <c r="E463" t="inlineStr">
        <is>
          <t>LINKÖPING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42054-2022</t>
        </is>
      </c>
      <c r="B464" s="1" t="n">
        <v>44830</v>
      </c>
      <c r="C464" s="1" t="n">
        <v>46048</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63638-2023</t>
        </is>
      </c>
      <c r="B465" s="1" t="n">
        <v>45275</v>
      </c>
      <c r="C465" s="1" t="n">
        <v>46048</v>
      </c>
      <c r="D465" t="inlineStr">
        <is>
          <t>ÖSTERGÖTLANDS LÄN</t>
        </is>
      </c>
      <c r="E465" t="inlineStr">
        <is>
          <t>LINKÖPING</t>
        </is>
      </c>
      <c r="F465" t="inlineStr">
        <is>
          <t>Övriga Aktiebolag</t>
        </is>
      </c>
      <c r="G465" t="n">
        <v>2.4</v>
      </c>
      <c r="H465" t="n">
        <v>0</v>
      </c>
      <c r="I465" t="n">
        <v>0</v>
      </c>
      <c r="J465" t="n">
        <v>0</v>
      </c>
      <c r="K465" t="n">
        <v>0</v>
      </c>
      <c r="L465" t="n">
        <v>0</v>
      </c>
      <c r="M465" t="n">
        <v>0</v>
      </c>
      <c r="N465" t="n">
        <v>0</v>
      </c>
      <c r="O465" t="n">
        <v>0</v>
      </c>
      <c r="P465" t="n">
        <v>0</v>
      </c>
      <c r="Q465" t="n">
        <v>0</v>
      </c>
      <c r="R465" s="2" t="inlineStr"/>
    </row>
    <row r="466" ht="15" customHeight="1">
      <c r="A466" t="inlineStr">
        <is>
          <t>A 63658-2023</t>
        </is>
      </c>
      <c r="B466" s="1" t="n">
        <v>45275</v>
      </c>
      <c r="C466" s="1" t="n">
        <v>46048</v>
      </c>
      <c r="D466" t="inlineStr">
        <is>
          <t>ÖSTERGÖTLANDS LÄN</t>
        </is>
      </c>
      <c r="E466" t="inlineStr">
        <is>
          <t>LINKÖPING</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50182-2023</t>
        </is>
      </c>
      <c r="B467" s="1" t="n">
        <v>45208</v>
      </c>
      <c r="C467" s="1" t="n">
        <v>46048</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46048</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29309-2024</t>
        </is>
      </c>
      <c r="B469" s="1" t="n">
        <v>45483</v>
      </c>
      <c r="C469" s="1" t="n">
        <v>46048</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16820-2024</t>
        </is>
      </c>
      <c r="B470" s="1" t="n">
        <v>45411.46809027778</v>
      </c>
      <c r="C470" s="1" t="n">
        <v>46048</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4456-2024</t>
        </is>
      </c>
      <c r="B471" s="1" t="n">
        <v>45327.52847222222</v>
      </c>
      <c r="C471" s="1" t="n">
        <v>46048</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35781-2023</t>
        </is>
      </c>
      <c r="B472" s="1" t="n">
        <v>45147</v>
      </c>
      <c r="C472" s="1" t="n">
        <v>46048</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20298-2025</t>
        </is>
      </c>
      <c r="B473" s="1" t="n">
        <v>45774.75024305555</v>
      </c>
      <c r="C473" s="1" t="n">
        <v>46048</v>
      </c>
      <c r="D473" t="inlineStr">
        <is>
          <t>ÖSTERGÖTLANDS LÄN</t>
        </is>
      </c>
      <c r="E473" t="inlineStr">
        <is>
          <t>LINKÖPING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6387-2022</t>
        </is>
      </c>
      <c r="B474" s="1" t="n">
        <v>44600</v>
      </c>
      <c r="C474" s="1" t="n">
        <v>46048</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48707-2023</t>
        </is>
      </c>
      <c r="B475" s="1" t="n">
        <v>45202</v>
      </c>
      <c r="C475" s="1" t="n">
        <v>46048</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15121-2022</t>
        </is>
      </c>
      <c r="B476" s="1" t="n">
        <v>44658</v>
      </c>
      <c r="C476" s="1" t="n">
        <v>46048</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50743-2023</t>
        </is>
      </c>
      <c r="B477" s="1" t="n">
        <v>45217</v>
      </c>
      <c r="C477" s="1" t="n">
        <v>46048</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13687-2025</t>
        </is>
      </c>
      <c r="B478" s="1" t="n">
        <v>45737.31425925926</v>
      </c>
      <c r="C478" s="1" t="n">
        <v>46048</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13695-2025</t>
        </is>
      </c>
      <c r="B479" s="1" t="n">
        <v>45737.32219907407</v>
      </c>
      <c r="C479" s="1" t="n">
        <v>46048</v>
      </c>
      <c r="D479" t="inlineStr">
        <is>
          <t>ÖSTERGÖTLANDS LÄN</t>
        </is>
      </c>
      <c r="E479" t="inlineStr">
        <is>
          <t>LINKÖPING</t>
        </is>
      </c>
      <c r="G479" t="n">
        <v>5.3</v>
      </c>
      <c r="H479" t="n">
        <v>0</v>
      </c>
      <c r="I479" t="n">
        <v>0</v>
      </c>
      <c r="J479" t="n">
        <v>0</v>
      </c>
      <c r="K479" t="n">
        <v>0</v>
      </c>
      <c r="L479" t="n">
        <v>0</v>
      </c>
      <c r="M479" t="n">
        <v>0</v>
      </c>
      <c r="N479" t="n">
        <v>0</v>
      </c>
      <c r="O479" t="n">
        <v>0</v>
      </c>
      <c r="P479" t="n">
        <v>0</v>
      </c>
      <c r="Q479" t="n">
        <v>0</v>
      </c>
      <c r="R479" s="2" t="inlineStr"/>
    </row>
    <row r="480" ht="15" customHeight="1">
      <c r="A480" t="inlineStr">
        <is>
          <t>A 20294-2025</t>
        </is>
      </c>
      <c r="B480" s="1" t="n">
        <v>45774.74667824074</v>
      </c>
      <c r="C480" s="1" t="n">
        <v>46048</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33947-2025</t>
        </is>
      </c>
      <c r="B481" s="1" t="n">
        <v>45842.65444444444</v>
      </c>
      <c r="C481" s="1" t="n">
        <v>46048</v>
      </c>
      <c r="D481" t="inlineStr">
        <is>
          <t>ÖSTERGÖTLANDS LÄN</t>
        </is>
      </c>
      <c r="E481" t="inlineStr">
        <is>
          <t>LINKÖPING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53529-2024</t>
        </is>
      </c>
      <c r="B482" s="1" t="n">
        <v>45614</v>
      </c>
      <c r="C482" s="1" t="n">
        <v>46048</v>
      </c>
      <c r="D482" t="inlineStr">
        <is>
          <t>ÖSTERGÖTLANDS LÄN</t>
        </is>
      </c>
      <c r="E482" t="inlineStr">
        <is>
          <t>LINKÖPING</t>
        </is>
      </c>
      <c r="G482" t="n">
        <v>6.7</v>
      </c>
      <c r="H482" t="n">
        <v>0</v>
      </c>
      <c r="I482" t="n">
        <v>0</v>
      </c>
      <c r="J482" t="n">
        <v>0</v>
      </c>
      <c r="K482" t="n">
        <v>0</v>
      </c>
      <c r="L482" t="n">
        <v>0</v>
      </c>
      <c r="M482" t="n">
        <v>0</v>
      </c>
      <c r="N482" t="n">
        <v>0</v>
      </c>
      <c r="O482" t="n">
        <v>0</v>
      </c>
      <c r="P482" t="n">
        <v>0</v>
      </c>
      <c r="Q482" t="n">
        <v>0</v>
      </c>
      <c r="R482" s="2" t="inlineStr"/>
    </row>
    <row r="483" ht="15" customHeight="1">
      <c r="A483" t="inlineStr">
        <is>
          <t>A 62012-2024</t>
        </is>
      </c>
      <c r="B483" s="1" t="n">
        <v>45655.79679398148</v>
      </c>
      <c r="C483" s="1" t="n">
        <v>46048</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17128-2025</t>
        </is>
      </c>
      <c r="B484" s="1" t="n">
        <v>45755.72622685185</v>
      </c>
      <c r="C484" s="1" t="n">
        <v>46048</v>
      </c>
      <c r="D484" t="inlineStr">
        <is>
          <t>ÖSTERGÖTLANDS LÄN</t>
        </is>
      </c>
      <c r="E484" t="inlineStr">
        <is>
          <t>LINKÖPING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52125-2022</t>
        </is>
      </c>
      <c r="B485" s="1" t="n">
        <v>44873</v>
      </c>
      <c r="C485" s="1" t="n">
        <v>46048</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12089-2025</t>
        </is>
      </c>
      <c r="B486" s="1" t="n">
        <v>45729</v>
      </c>
      <c r="C486" s="1" t="n">
        <v>46048</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15658-2023</t>
        </is>
      </c>
      <c r="B487" s="1" t="n">
        <v>45021.41194444444</v>
      </c>
      <c r="C487" s="1" t="n">
        <v>46048</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27343-2023</t>
        </is>
      </c>
      <c r="B488" s="1" t="n">
        <v>45096</v>
      </c>
      <c r="C488" s="1" t="n">
        <v>46048</v>
      </c>
      <c r="D488" t="inlineStr">
        <is>
          <t>ÖSTERGÖTLANDS LÄN</t>
        </is>
      </c>
      <c r="E488" t="inlineStr">
        <is>
          <t>LINKÖPING</t>
        </is>
      </c>
      <c r="F488" t="inlineStr">
        <is>
          <t>Allmännings- och besparingsskogar</t>
        </is>
      </c>
      <c r="G488" t="n">
        <v>6.9</v>
      </c>
      <c r="H488" t="n">
        <v>0</v>
      </c>
      <c r="I488" t="n">
        <v>0</v>
      </c>
      <c r="J488" t="n">
        <v>0</v>
      </c>
      <c r="K488" t="n">
        <v>0</v>
      </c>
      <c r="L488" t="n">
        <v>0</v>
      </c>
      <c r="M488" t="n">
        <v>0</v>
      </c>
      <c r="N488" t="n">
        <v>0</v>
      </c>
      <c r="O488" t="n">
        <v>0</v>
      </c>
      <c r="P488" t="n">
        <v>0</v>
      </c>
      <c r="Q488" t="n">
        <v>0</v>
      </c>
      <c r="R488" s="2" t="inlineStr"/>
    </row>
    <row r="489" ht="15" customHeight="1">
      <c r="A489" t="inlineStr">
        <is>
          <t>A 20469-2025</t>
        </is>
      </c>
      <c r="B489" s="1" t="n">
        <v>45775</v>
      </c>
      <c r="C489" s="1" t="n">
        <v>46048</v>
      </c>
      <c r="D489" t="inlineStr">
        <is>
          <t>ÖSTERGÖTLANDS LÄN</t>
        </is>
      </c>
      <c r="E489" t="inlineStr">
        <is>
          <t>LINKÖPING</t>
        </is>
      </c>
      <c r="F489" t="inlineStr">
        <is>
          <t>Kyrkan</t>
        </is>
      </c>
      <c r="G489" t="n">
        <v>6.1</v>
      </c>
      <c r="H489" t="n">
        <v>0</v>
      </c>
      <c r="I489" t="n">
        <v>0</v>
      </c>
      <c r="J489" t="n">
        <v>0</v>
      </c>
      <c r="K489" t="n">
        <v>0</v>
      </c>
      <c r="L489" t="n">
        <v>0</v>
      </c>
      <c r="M489" t="n">
        <v>0</v>
      </c>
      <c r="N489" t="n">
        <v>0</v>
      </c>
      <c r="O489" t="n">
        <v>0</v>
      </c>
      <c r="P489" t="n">
        <v>0</v>
      </c>
      <c r="Q489" t="n">
        <v>0</v>
      </c>
      <c r="R489" s="2" t="inlineStr"/>
    </row>
    <row r="490" ht="15" customHeight="1">
      <c r="A490" t="inlineStr">
        <is>
          <t>A 38886-2024</t>
        </is>
      </c>
      <c r="B490" s="1" t="n">
        <v>45547.66443287037</v>
      </c>
      <c r="C490" s="1" t="n">
        <v>46048</v>
      </c>
      <c r="D490" t="inlineStr">
        <is>
          <t>ÖSTERGÖTLANDS LÄN</t>
        </is>
      </c>
      <c r="E490" t="inlineStr">
        <is>
          <t>LINKÖPING</t>
        </is>
      </c>
      <c r="G490" t="n">
        <v>5.3</v>
      </c>
      <c r="H490" t="n">
        <v>0</v>
      </c>
      <c r="I490" t="n">
        <v>0</v>
      </c>
      <c r="J490" t="n">
        <v>0</v>
      </c>
      <c r="K490" t="n">
        <v>0</v>
      </c>
      <c r="L490" t="n">
        <v>0</v>
      </c>
      <c r="M490" t="n">
        <v>0</v>
      </c>
      <c r="N490" t="n">
        <v>0</v>
      </c>
      <c r="O490" t="n">
        <v>0</v>
      </c>
      <c r="P490" t="n">
        <v>0</v>
      </c>
      <c r="Q490" t="n">
        <v>0</v>
      </c>
      <c r="R490" s="2" t="inlineStr"/>
    </row>
    <row r="491" ht="15" customHeight="1">
      <c r="A491" t="inlineStr">
        <is>
          <t>A 51583-2024</t>
        </is>
      </c>
      <c r="B491" s="1" t="n">
        <v>45604.6397337963</v>
      </c>
      <c r="C491" s="1" t="n">
        <v>46048</v>
      </c>
      <c r="D491" t="inlineStr">
        <is>
          <t>ÖSTERGÖTLANDS LÄN</t>
        </is>
      </c>
      <c r="E491" t="inlineStr">
        <is>
          <t>LINKÖPING</t>
        </is>
      </c>
      <c r="F491" t="inlineStr">
        <is>
          <t>Övriga Aktiebolag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22842-2023</t>
        </is>
      </c>
      <c r="B492" s="1" t="n">
        <v>45071</v>
      </c>
      <c r="C492" s="1" t="n">
        <v>46048</v>
      </c>
      <c r="D492" t="inlineStr">
        <is>
          <t>ÖSTERGÖTLANDS LÄN</t>
        </is>
      </c>
      <c r="E492" t="inlineStr">
        <is>
          <t>LINKÖPING</t>
        </is>
      </c>
      <c r="F492" t="inlineStr">
        <is>
          <t>Kommuner</t>
        </is>
      </c>
      <c r="G492" t="n">
        <v>1.3</v>
      </c>
      <c r="H492" t="n">
        <v>0</v>
      </c>
      <c r="I492" t="n">
        <v>0</v>
      </c>
      <c r="J492" t="n">
        <v>0</v>
      </c>
      <c r="K492" t="n">
        <v>0</v>
      </c>
      <c r="L492" t="n">
        <v>0</v>
      </c>
      <c r="M492" t="n">
        <v>0</v>
      </c>
      <c r="N492" t="n">
        <v>0</v>
      </c>
      <c r="O492" t="n">
        <v>0</v>
      </c>
      <c r="P492" t="n">
        <v>0</v>
      </c>
      <c r="Q492" t="n">
        <v>0</v>
      </c>
      <c r="R492" s="2" t="inlineStr"/>
    </row>
    <row r="493" ht="15" customHeight="1">
      <c r="A493" t="inlineStr">
        <is>
          <t>A 64694-2023</t>
        </is>
      </c>
      <c r="B493" s="1" t="n">
        <v>45281</v>
      </c>
      <c r="C493" s="1" t="n">
        <v>46048</v>
      </c>
      <c r="D493" t="inlineStr">
        <is>
          <t>ÖSTERGÖTLANDS LÄN</t>
        </is>
      </c>
      <c r="E493" t="inlineStr">
        <is>
          <t>LINKÖPING</t>
        </is>
      </c>
      <c r="F493" t="inlineStr">
        <is>
          <t>Övriga statliga verk och myndigheter</t>
        </is>
      </c>
      <c r="G493" t="n">
        <v>4.9</v>
      </c>
      <c r="H493" t="n">
        <v>0</v>
      </c>
      <c r="I493" t="n">
        <v>0</v>
      </c>
      <c r="J493" t="n">
        <v>0</v>
      </c>
      <c r="K493" t="n">
        <v>0</v>
      </c>
      <c r="L493" t="n">
        <v>0</v>
      </c>
      <c r="M493" t="n">
        <v>0</v>
      </c>
      <c r="N493" t="n">
        <v>0</v>
      </c>
      <c r="O493" t="n">
        <v>0</v>
      </c>
      <c r="P493" t="n">
        <v>0</v>
      </c>
      <c r="Q493" t="n">
        <v>0</v>
      </c>
      <c r="R493" s="2" t="inlineStr"/>
    </row>
    <row r="494" ht="15" customHeight="1">
      <c r="A494" t="inlineStr">
        <is>
          <t>A 32602-2022</t>
        </is>
      </c>
      <c r="B494" s="1" t="n">
        <v>44783.43192129629</v>
      </c>
      <c r="C494" s="1" t="n">
        <v>46048</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14520-2025</t>
        </is>
      </c>
      <c r="B495" s="1" t="n">
        <v>45741</v>
      </c>
      <c r="C495" s="1" t="n">
        <v>46048</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31548-2022</t>
        </is>
      </c>
      <c r="B496" s="1" t="n">
        <v>44775.39832175926</v>
      </c>
      <c r="C496" s="1" t="n">
        <v>46048</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33800-2023</t>
        </is>
      </c>
      <c r="B497" s="1" t="n">
        <v>45121</v>
      </c>
      <c r="C497" s="1" t="n">
        <v>46048</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62321-2022</t>
        </is>
      </c>
      <c r="B498" s="1" t="n">
        <v>44916</v>
      </c>
      <c r="C498" s="1" t="n">
        <v>46048</v>
      </c>
      <c r="D498" t="inlineStr">
        <is>
          <t>ÖSTERGÖTLANDS LÄN</t>
        </is>
      </c>
      <c r="E498" t="inlineStr">
        <is>
          <t>LINKÖPING</t>
        </is>
      </c>
      <c r="F498" t="inlineStr">
        <is>
          <t>Kommuner</t>
        </is>
      </c>
      <c r="G498" t="n">
        <v>5.3</v>
      </c>
      <c r="H498" t="n">
        <v>0</v>
      </c>
      <c r="I498" t="n">
        <v>0</v>
      </c>
      <c r="J498" t="n">
        <v>0</v>
      </c>
      <c r="K498" t="n">
        <v>0</v>
      </c>
      <c r="L498" t="n">
        <v>0</v>
      </c>
      <c r="M498" t="n">
        <v>0</v>
      </c>
      <c r="N498" t="n">
        <v>0</v>
      </c>
      <c r="O498" t="n">
        <v>0</v>
      </c>
      <c r="P498" t="n">
        <v>0</v>
      </c>
      <c r="Q498" t="n">
        <v>0</v>
      </c>
      <c r="R498" s="2" t="inlineStr"/>
    </row>
    <row r="499" ht="15" customHeight="1">
      <c r="A499" t="inlineStr">
        <is>
          <t>A 26007-2025</t>
        </is>
      </c>
      <c r="B499" s="1" t="n">
        <v>45804.67081018518</v>
      </c>
      <c r="C499" s="1" t="n">
        <v>46048</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35174-2025</t>
        </is>
      </c>
      <c r="B500" s="1" t="n">
        <v>45852.90648148148</v>
      </c>
      <c r="C500" s="1" t="n">
        <v>46048</v>
      </c>
      <c r="D500" t="inlineStr">
        <is>
          <t>ÖSTERGÖTLANDS LÄN</t>
        </is>
      </c>
      <c r="E500" t="inlineStr">
        <is>
          <t>LINKÖPING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62017-2024</t>
        </is>
      </c>
      <c r="B501" s="1" t="n">
        <v>45655.81140046296</v>
      </c>
      <c r="C501" s="1" t="n">
        <v>46048</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17785-2023</t>
        </is>
      </c>
      <c r="B502" s="1" t="n">
        <v>45037.55094907407</v>
      </c>
      <c r="C502" s="1" t="n">
        <v>46048</v>
      </c>
      <c r="D502" t="inlineStr">
        <is>
          <t>ÖSTERGÖTLANDS LÄN</t>
        </is>
      </c>
      <c r="E502" t="inlineStr">
        <is>
          <t>LINKÖPING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47991-2023</t>
        </is>
      </c>
      <c r="B503" s="1" t="n">
        <v>45204.62655092592</v>
      </c>
      <c r="C503" s="1" t="n">
        <v>46048</v>
      </c>
      <c r="D503" t="inlineStr">
        <is>
          <t>ÖSTERGÖTLANDS LÄN</t>
        </is>
      </c>
      <c r="E503" t="inlineStr">
        <is>
          <t>LINKÖPING</t>
        </is>
      </c>
      <c r="F503" t="inlineStr">
        <is>
          <t>Allmännings- och besparingsskogar</t>
        </is>
      </c>
      <c r="G503" t="n">
        <v>7.3</v>
      </c>
      <c r="H503" t="n">
        <v>0</v>
      </c>
      <c r="I503" t="n">
        <v>0</v>
      </c>
      <c r="J503" t="n">
        <v>0</v>
      </c>
      <c r="K503" t="n">
        <v>0</v>
      </c>
      <c r="L503" t="n">
        <v>0</v>
      </c>
      <c r="M503" t="n">
        <v>0</v>
      </c>
      <c r="N503" t="n">
        <v>0</v>
      </c>
      <c r="O503" t="n">
        <v>0</v>
      </c>
      <c r="P503" t="n">
        <v>0</v>
      </c>
      <c r="Q503" t="n">
        <v>0</v>
      </c>
      <c r="R503" s="2" t="inlineStr"/>
    </row>
    <row r="504" ht="15" customHeight="1">
      <c r="A504" t="inlineStr">
        <is>
          <t>A 35179-2025</t>
        </is>
      </c>
      <c r="B504" s="1" t="n">
        <v>45852.93737268518</v>
      </c>
      <c r="C504" s="1" t="n">
        <v>46048</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35180-2025</t>
        </is>
      </c>
      <c r="B505" s="1" t="n">
        <v>45852.9413425926</v>
      </c>
      <c r="C505" s="1" t="n">
        <v>46048</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35178-2025</t>
        </is>
      </c>
      <c r="B506" s="1" t="n">
        <v>45852.91939814815</v>
      </c>
      <c r="C506" s="1" t="n">
        <v>46048</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1084-2023</t>
        </is>
      </c>
      <c r="B507" s="1" t="n">
        <v>44929</v>
      </c>
      <c r="C507" s="1" t="n">
        <v>46048</v>
      </c>
      <c r="D507" t="inlineStr">
        <is>
          <t>ÖSTERGÖTLANDS LÄN</t>
        </is>
      </c>
      <c r="E507" t="inlineStr">
        <is>
          <t>LINKÖPING</t>
        </is>
      </c>
      <c r="G507" t="n">
        <v>10.4</v>
      </c>
      <c r="H507" t="n">
        <v>0</v>
      </c>
      <c r="I507" t="n">
        <v>0</v>
      </c>
      <c r="J507" t="n">
        <v>0</v>
      </c>
      <c r="K507" t="n">
        <v>0</v>
      </c>
      <c r="L507" t="n">
        <v>0</v>
      </c>
      <c r="M507" t="n">
        <v>0</v>
      </c>
      <c r="N507" t="n">
        <v>0</v>
      </c>
      <c r="O507" t="n">
        <v>0</v>
      </c>
      <c r="P507" t="n">
        <v>0</v>
      </c>
      <c r="Q507" t="n">
        <v>0</v>
      </c>
      <c r="R507" s="2" t="inlineStr"/>
    </row>
    <row r="508" ht="15" customHeight="1">
      <c r="A508" t="inlineStr">
        <is>
          <t>A 267-2023</t>
        </is>
      </c>
      <c r="B508" s="1" t="n">
        <v>44928.80907407407</v>
      </c>
      <c r="C508" s="1" t="n">
        <v>46048</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940-2023</t>
        </is>
      </c>
      <c r="B509" s="1" t="n">
        <v>44933</v>
      </c>
      <c r="C509" s="1" t="n">
        <v>46048</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62686-2023</t>
        </is>
      </c>
      <c r="B510" s="1" t="n">
        <v>45271</v>
      </c>
      <c r="C510" s="1" t="n">
        <v>46048</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42044-2023</t>
        </is>
      </c>
      <c r="B511" s="1" t="n">
        <v>45177</v>
      </c>
      <c r="C511" s="1" t="n">
        <v>46048</v>
      </c>
      <c r="D511" t="inlineStr">
        <is>
          <t>ÖSTERGÖTLANDS LÄN</t>
        </is>
      </c>
      <c r="E511" t="inlineStr">
        <is>
          <t>LINKÖPING</t>
        </is>
      </c>
      <c r="G511" t="n">
        <v>3.9</v>
      </c>
      <c r="H511" t="n">
        <v>0</v>
      </c>
      <c r="I511" t="n">
        <v>0</v>
      </c>
      <c r="J511" t="n">
        <v>0</v>
      </c>
      <c r="K511" t="n">
        <v>0</v>
      </c>
      <c r="L511" t="n">
        <v>0</v>
      </c>
      <c r="M511" t="n">
        <v>0</v>
      </c>
      <c r="N511" t="n">
        <v>0</v>
      </c>
      <c r="O511" t="n">
        <v>0</v>
      </c>
      <c r="P511" t="n">
        <v>0</v>
      </c>
      <c r="Q511" t="n">
        <v>0</v>
      </c>
      <c r="R511" s="2" t="inlineStr"/>
    </row>
    <row r="512" ht="15" customHeight="1">
      <c r="A512" t="inlineStr">
        <is>
          <t>A 6369-2023</t>
        </is>
      </c>
      <c r="B512" s="1" t="n">
        <v>44965.61106481482</v>
      </c>
      <c r="C512" s="1" t="n">
        <v>46048</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5314-2021</t>
        </is>
      </c>
      <c r="B513" s="1" t="n">
        <v>44229</v>
      </c>
      <c r="C513" s="1" t="n">
        <v>46048</v>
      </c>
      <c r="D513" t="inlineStr">
        <is>
          <t>ÖSTERGÖTLANDS LÄN</t>
        </is>
      </c>
      <c r="E513" t="inlineStr">
        <is>
          <t>LINKÖPING</t>
        </is>
      </c>
      <c r="G513" t="n">
        <v>6.2</v>
      </c>
      <c r="H513" t="n">
        <v>0</v>
      </c>
      <c r="I513" t="n">
        <v>0</v>
      </c>
      <c r="J513" t="n">
        <v>0</v>
      </c>
      <c r="K513" t="n">
        <v>0</v>
      </c>
      <c r="L513" t="n">
        <v>0</v>
      </c>
      <c r="M513" t="n">
        <v>0</v>
      </c>
      <c r="N513" t="n">
        <v>0</v>
      </c>
      <c r="O513" t="n">
        <v>0</v>
      </c>
      <c r="P513" t="n">
        <v>0</v>
      </c>
      <c r="Q513" t="n">
        <v>0</v>
      </c>
      <c r="R513" s="2" t="inlineStr"/>
    </row>
    <row r="514" ht="15" customHeight="1">
      <c r="A514" t="inlineStr">
        <is>
          <t>A 30980-2022</t>
        </is>
      </c>
      <c r="B514" s="1" t="n">
        <v>44768</v>
      </c>
      <c r="C514" s="1" t="n">
        <v>46048</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46048</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60007-2022</t>
        </is>
      </c>
      <c r="B516" s="1" t="n">
        <v>44909.47282407407</v>
      </c>
      <c r="C516" s="1" t="n">
        <v>46048</v>
      </c>
      <c r="D516" t="inlineStr">
        <is>
          <t>ÖSTERGÖTLANDS LÄN</t>
        </is>
      </c>
      <c r="E516" t="inlineStr">
        <is>
          <t>LINKÖPING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53411-2023</t>
        </is>
      </c>
      <c r="B517" s="1" t="n">
        <v>45229.81049768518</v>
      </c>
      <c r="C517" s="1" t="n">
        <v>46048</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50799-2022</t>
        </is>
      </c>
      <c r="B518" s="1" t="n">
        <v>44862</v>
      </c>
      <c r="C518" s="1" t="n">
        <v>46048</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35757-2025</t>
        </is>
      </c>
      <c r="B519" s="1" t="n">
        <v>45860.59876157407</v>
      </c>
      <c r="C519" s="1" t="n">
        <v>46048</v>
      </c>
      <c r="D519" t="inlineStr">
        <is>
          <t>ÖSTERGÖTLANDS LÄN</t>
        </is>
      </c>
      <c r="E519" t="inlineStr">
        <is>
          <t>LINKÖPING</t>
        </is>
      </c>
      <c r="G519" t="n">
        <v>5.7</v>
      </c>
      <c r="H519" t="n">
        <v>0</v>
      </c>
      <c r="I519" t="n">
        <v>0</v>
      </c>
      <c r="J519" t="n">
        <v>0</v>
      </c>
      <c r="K519" t="n">
        <v>0</v>
      </c>
      <c r="L519" t="n">
        <v>0</v>
      </c>
      <c r="M519" t="n">
        <v>0</v>
      </c>
      <c r="N519" t="n">
        <v>0</v>
      </c>
      <c r="O519" t="n">
        <v>0</v>
      </c>
      <c r="P519" t="n">
        <v>0</v>
      </c>
      <c r="Q519" t="n">
        <v>0</v>
      </c>
      <c r="R519" s="2" t="inlineStr"/>
    </row>
    <row r="520" ht="15" customHeight="1">
      <c r="A520" t="inlineStr">
        <is>
          <t>A 26788-2022</t>
        </is>
      </c>
      <c r="B520" s="1" t="n">
        <v>44740</v>
      </c>
      <c r="C520" s="1" t="n">
        <v>46048</v>
      </c>
      <c r="D520" t="inlineStr">
        <is>
          <t>ÖSTERGÖTLANDS LÄN</t>
        </is>
      </c>
      <c r="E520" t="inlineStr">
        <is>
          <t>LINKÖPING</t>
        </is>
      </c>
      <c r="G520" t="n">
        <v>3.2</v>
      </c>
      <c r="H520" t="n">
        <v>0</v>
      </c>
      <c r="I520" t="n">
        <v>0</v>
      </c>
      <c r="J520" t="n">
        <v>0</v>
      </c>
      <c r="K520" t="n">
        <v>0</v>
      </c>
      <c r="L520" t="n">
        <v>0</v>
      </c>
      <c r="M520" t="n">
        <v>0</v>
      </c>
      <c r="N520" t="n">
        <v>0</v>
      </c>
      <c r="O520" t="n">
        <v>0</v>
      </c>
      <c r="P520" t="n">
        <v>0</v>
      </c>
      <c r="Q520" t="n">
        <v>0</v>
      </c>
      <c r="R520" s="2" t="inlineStr"/>
    </row>
    <row r="521" ht="15" customHeight="1">
      <c r="A521" t="inlineStr">
        <is>
          <t>A 35745-2025</t>
        </is>
      </c>
      <c r="B521" s="1" t="n">
        <v>45860.54739583333</v>
      </c>
      <c r="C521" s="1" t="n">
        <v>46048</v>
      </c>
      <c r="D521" t="inlineStr">
        <is>
          <t>ÖSTERGÖTLANDS LÄN</t>
        </is>
      </c>
      <c r="E521" t="inlineStr">
        <is>
          <t>LINKÖPING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35747-2025</t>
        </is>
      </c>
      <c r="B522" s="1" t="n">
        <v>45860.56385416666</v>
      </c>
      <c r="C522" s="1" t="n">
        <v>46048</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56064-2022</t>
        </is>
      </c>
      <c r="B523" s="1" t="n">
        <v>44889.59107638889</v>
      </c>
      <c r="C523" s="1" t="n">
        <v>46048</v>
      </c>
      <c r="D523" t="inlineStr">
        <is>
          <t>ÖSTERGÖTLANDS LÄN</t>
        </is>
      </c>
      <c r="E523" t="inlineStr">
        <is>
          <t>LINKÖPING</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47703-2023</t>
        </is>
      </c>
      <c r="B524" s="1" t="n">
        <v>45203</v>
      </c>
      <c r="C524" s="1" t="n">
        <v>46048</v>
      </c>
      <c r="D524" t="inlineStr">
        <is>
          <t>ÖSTERGÖTLANDS LÄN</t>
        </is>
      </c>
      <c r="E524" t="inlineStr">
        <is>
          <t>LINKÖPING</t>
        </is>
      </c>
      <c r="G524" t="n">
        <v>4.1</v>
      </c>
      <c r="H524" t="n">
        <v>0</v>
      </c>
      <c r="I524" t="n">
        <v>0</v>
      </c>
      <c r="J524" t="n">
        <v>0</v>
      </c>
      <c r="K524" t="n">
        <v>0</v>
      </c>
      <c r="L524" t="n">
        <v>0</v>
      </c>
      <c r="M524" t="n">
        <v>0</v>
      </c>
      <c r="N524" t="n">
        <v>0</v>
      </c>
      <c r="O524" t="n">
        <v>0</v>
      </c>
      <c r="P524" t="n">
        <v>0</v>
      </c>
      <c r="Q524" t="n">
        <v>0</v>
      </c>
      <c r="R524" s="2" t="inlineStr"/>
    </row>
    <row r="525" ht="15" customHeight="1">
      <c r="A525" t="inlineStr">
        <is>
          <t>A 35759-2025</t>
        </is>
      </c>
      <c r="B525" s="1" t="n">
        <v>45860</v>
      </c>
      <c r="C525" s="1" t="n">
        <v>46048</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38230-2023</t>
        </is>
      </c>
      <c r="B526" s="1" t="n">
        <v>45161.55373842592</v>
      </c>
      <c r="C526" s="1" t="n">
        <v>46048</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45442-2024</t>
        </is>
      </c>
      <c r="B527" s="1" t="n">
        <v>45576.64189814815</v>
      </c>
      <c r="C527" s="1" t="n">
        <v>46048</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4908-2023</t>
        </is>
      </c>
      <c r="B528" s="1" t="n">
        <v>44958</v>
      </c>
      <c r="C528" s="1" t="n">
        <v>46048</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24462-2023</t>
        </is>
      </c>
      <c r="B529" s="1" t="n">
        <v>45082</v>
      </c>
      <c r="C529" s="1" t="n">
        <v>46048</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1265-2023</t>
        </is>
      </c>
      <c r="B530" s="1" t="n">
        <v>44936</v>
      </c>
      <c r="C530" s="1" t="n">
        <v>46048</v>
      </c>
      <c r="D530" t="inlineStr">
        <is>
          <t>ÖSTERGÖTLANDS LÄN</t>
        </is>
      </c>
      <c r="E530" t="inlineStr">
        <is>
          <t>LINKÖPING</t>
        </is>
      </c>
      <c r="G530" t="n">
        <v>2.3</v>
      </c>
      <c r="H530" t="n">
        <v>0</v>
      </c>
      <c r="I530" t="n">
        <v>0</v>
      </c>
      <c r="J530" t="n">
        <v>0</v>
      </c>
      <c r="K530" t="n">
        <v>0</v>
      </c>
      <c r="L530" t="n">
        <v>0</v>
      </c>
      <c r="M530" t="n">
        <v>0</v>
      </c>
      <c r="N530" t="n">
        <v>0</v>
      </c>
      <c r="O530" t="n">
        <v>0</v>
      </c>
      <c r="P530" t="n">
        <v>0</v>
      </c>
      <c r="Q530" t="n">
        <v>0</v>
      </c>
      <c r="R530" s="2" t="inlineStr"/>
    </row>
    <row r="531" ht="15" customHeight="1">
      <c r="A531" t="inlineStr">
        <is>
          <t>A 16111-2022</t>
        </is>
      </c>
      <c r="B531" s="1" t="n">
        <v>44665</v>
      </c>
      <c r="C531" s="1" t="n">
        <v>46048</v>
      </c>
      <c r="D531" t="inlineStr">
        <is>
          <t>ÖSTERGÖTLANDS LÄN</t>
        </is>
      </c>
      <c r="E531" t="inlineStr">
        <is>
          <t>LINKÖPING</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48962-2022</t>
        </is>
      </c>
      <c r="B532" s="1" t="n">
        <v>44860.31635416667</v>
      </c>
      <c r="C532" s="1" t="n">
        <v>46048</v>
      </c>
      <c r="D532" t="inlineStr">
        <is>
          <t>ÖSTERGÖTLANDS LÄN</t>
        </is>
      </c>
      <c r="E532" t="inlineStr">
        <is>
          <t>LINKÖPING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62015-2024</t>
        </is>
      </c>
      <c r="B533" s="1" t="n">
        <v>45655.80457175926</v>
      </c>
      <c r="C533" s="1" t="n">
        <v>46048</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27891-2021</t>
        </is>
      </c>
      <c r="B534" s="1" t="n">
        <v>44354.65108796296</v>
      </c>
      <c r="C534" s="1" t="n">
        <v>46048</v>
      </c>
      <c r="D534" t="inlineStr">
        <is>
          <t>ÖSTERGÖTLANDS LÄN</t>
        </is>
      </c>
      <c r="E534" t="inlineStr">
        <is>
          <t>LINKÖPING</t>
        </is>
      </c>
      <c r="G534" t="n">
        <v>1.8</v>
      </c>
      <c r="H534" t="n">
        <v>0</v>
      </c>
      <c r="I534" t="n">
        <v>0</v>
      </c>
      <c r="J534" t="n">
        <v>0</v>
      </c>
      <c r="K534" t="n">
        <v>0</v>
      </c>
      <c r="L534" t="n">
        <v>0</v>
      </c>
      <c r="M534" t="n">
        <v>0</v>
      </c>
      <c r="N534" t="n">
        <v>0</v>
      </c>
      <c r="O534" t="n">
        <v>0</v>
      </c>
      <c r="P534" t="n">
        <v>0</v>
      </c>
      <c r="Q534" t="n">
        <v>0</v>
      </c>
      <c r="R534" s="2" t="inlineStr"/>
    </row>
    <row r="535" ht="15" customHeight="1">
      <c r="A535" t="inlineStr">
        <is>
          <t>A 12411-2022</t>
        </is>
      </c>
      <c r="B535" s="1" t="n">
        <v>44638.21601851852</v>
      </c>
      <c r="C535" s="1" t="n">
        <v>46048</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1268-2023</t>
        </is>
      </c>
      <c r="B536" s="1" t="n">
        <v>44936</v>
      </c>
      <c r="C536" s="1" t="n">
        <v>46048</v>
      </c>
      <c r="D536" t="inlineStr">
        <is>
          <t>ÖSTERGÖTLANDS LÄN</t>
        </is>
      </c>
      <c r="E536" t="inlineStr">
        <is>
          <t>LINKÖPING</t>
        </is>
      </c>
      <c r="G536" t="n">
        <v>4.6</v>
      </c>
      <c r="H536" t="n">
        <v>0</v>
      </c>
      <c r="I536" t="n">
        <v>0</v>
      </c>
      <c r="J536" t="n">
        <v>0</v>
      </c>
      <c r="K536" t="n">
        <v>0</v>
      </c>
      <c r="L536" t="n">
        <v>0</v>
      </c>
      <c r="M536" t="n">
        <v>0</v>
      </c>
      <c r="N536" t="n">
        <v>0</v>
      </c>
      <c r="O536" t="n">
        <v>0</v>
      </c>
      <c r="P536" t="n">
        <v>0</v>
      </c>
      <c r="Q536" t="n">
        <v>0</v>
      </c>
      <c r="R536" s="2" t="inlineStr"/>
    </row>
    <row r="537" ht="15" customHeight="1">
      <c r="A537" t="inlineStr">
        <is>
          <t>A 23491-2024</t>
        </is>
      </c>
      <c r="B537" s="1" t="n">
        <v>45453</v>
      </c>
      <c r="C537" s="1" t="n">
        <v>46048</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70-2024</t>
        </is>
      </c>
      <c r="B538" s="1" t="n">
        <v>45293</v>
      </c>
      <c r="C538" s="1" t="n">
        <v>46048</v>
      </c>
      <c r="D538" t="inlineStr">
        <is>
          <t>ÖSTERGÖTLANDS LÄN</t>
        </is>
      </c>
      <c r="E538" t="inlineStr">
        <is>
          <t>LINKÖPING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62687-2023</t>
        </is>
      </c>
      <c r="B539" s="1" t="n">
        <v>45271</v>
      </c>
      <c r="C539" s="1" t="n">
        <v>46048</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6054-2022</t>
        </is>
      </c>
      <c r="B540" s="1" t="n">
        <v>44599.53623842593</v>
      </c>
      <c r="C540" s="1" t="n">
        <v>46048</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31725-2022</t>
        </is>
      </c>
      <c r="B541" s="1" t="n">
        <v>44776.48541666667</v>
      </c>
      <c r="C541" s="1" t="n">
        <v>46048</v>
      </c>
      <c r="D541" t="inlineStr">
        <is>
          <t>ÖSTERGÖTLANDS LÄN</t>
        </is>
      </c>
      <c r="E541" t="inlineStr">
        <is>
          <t>LINKÖPING</t>
        </is>
      </c>
      <c r="G541" t="n">
        <v>2.6</v>
      </c>
      <c r="H541" t="n">
        <v>0</v>
      </c>
      <c r="I541" t="n">
        <v>0</v>
      </c>
      <c r="J541" t="n">
        <v>0</v>
      </c>
      <c r="K541" t="n">
        <v>0</v>
      </c>
      <c r="L541" t="n">
        <v>0</v>
      </c>
      <c r="M541" t="n">
        <v>0</v>
      </c>
      <c r="N541" t="n">
        <v>0</v>
      </c>
      <c r="O541" t="n">
        <v>0</v>
      </c>
      <c r="P541" t="n">
        <v>0</v>
      </c>
      <c r="Q541" t="n">
        <v>0</v>
      </c>
      <c r="R541" s="2" t="inlineStr"/>
    </row>
    <row r="542" ht="15" customHeight="1">
      <c r="A542" t="inlineStr">
        <is>
          <t>A 34641-2022</t>
        </is>
      </c>
      <c r="B542" s="1" t="n">
        <v>44795</v>
      </c>
      <c r="C542" s="1" t="n">
        <v>46048</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10741-2023</t>
        </is>
      </c>
      <c r="B543" s="1" t="n">
        <v>44988.70084490741</v>
      </c>
      <c r="C543" s="1" t="n">
        <v>46048</v>
      </c>
      <c r="D543" t="inlineStr">
        <is>
          <t>ÖSTERGÖTLANDS LÄN</t>
        </is>
      </c>
      <c r="E543" t="inlineStr">
        <is>
          <t>LINKÖPING</t>
        </is>
      </c>
      <c r="F543" t="inlineStr">
        <is>
          <t>Allmännings- och besparingsskogar</t>
        </is>
      </c>
      <c r="G543" t="n">
        <v>11.2</v>
      </c>
      <c r="H543" t="n">
        <v>0</v>
      </c>
      <c r="I543" t="n">
        <v>0</v>
      </c>
      <c r="J543" t="n">
        <v>0</v>
      </c>
      <c r="K543" t="n">
        <v>0</v>
      </c>
      <c r="L543" t="n">
        <v>0</v>
      </c>
      <c r="M543" t="n">
        <v>0</v>
      </c>
      <c r="N543" t="n">
        <v>0</v>
      </c>
      <c r="O543" t="n">
        <v>0</v>
      </c>
      <c r="P543" t="n">
        <v>0</v>
      </c>
      <c r="Q543" t="n">
        <v>0</v>
      </c>
      <c r="R543" s="2" t="inlineStr"/>
    </row>
    <row r="544" ht="15" customHeight="1">
      <c r="A544" t="inlineStr">
        <is>
          <t>A 938-2023</t>
        </is>
      </c>
      <c r="B544" s="1" t="n">
        <v>44933</v>
      </c>
      <c r="C544" s="1" t="n">
        <v>46048</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2389-2023</t>
        </is>
      </c>
      <c r="B545" s="1" t="n">
        <v>44942</v>
      </c>
      <c r="C545" s="1" t="n">
        <v>46048</v>
      </c>
      <c r="D545" t="inlineStr">
        <is>
          <t>ÖSTERGÖTLANDS LÄN</t>
        </is>
      </c>
      <c r="E545" t="inlineStr">
        <is>
          <t>LINKÖPING</t>
        </is>
      </c>
      <c r="G545" t="n">
        <v>3.3</v>
      </c>
      <c r="H545" t="n">
        <v>0</v>
      </c>
      <c r="I545" t="n">
        <v>0</v>
      </c>
      <c r="J545" t="n">
        <v>0</v>
      </c>
      <c r="K545" t="n">
        <v>0</v>
      </c>
      <c r="L545" t="n">
        <v>0</v>
      </c>
      <c r="M545" t="n">
        <v>0</v>
      </c>
      <c r="N545" t="n">
        <v>0</v>
      </c>
      <c r="O545" t="n">
        <v>0</v>
      </c>
      <c r="P545" t="n">
        <v>0</v>
      </c>
      <c r="Q545" t="n">
        <v>0</v>
      </c>
      <c r="R545" s="2" t="inlineStr"/>
    </row>
    <row r="546" ht="15" customHeight="1">
      <c r="A546" t="inlineStr">
        <is>
          <t>A 48-2024</t>
        </is>
      </c>
      <c r="B546" s="1" t="n">
        <v>45293</v>
      </c>
      <c r="C546" s="1" t="n">
        <v>46048</v>
      </c>
      <c r="D546" t="inlineStr">
        <is>
          <t>ÖSTERGÖTLANDS LÄN</t>
        </is>
      </c>
      <c r="E546" t="inlineStr">
        <is>
          <t>LINKÖPING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45771-2023</t>
        </is>
      </c>
      <c r="B547" s="1" t="n">
        <v>45195.4384375</v>
      </c>
      <c r="C547" s="1" t="n">
        <v>46048</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30547-2023</t>
        </is>
      </c>
      <c r="B548" s="1" t="n">
        <v>45111.75905092592</v>
      </c>
      <c r="C548" s="1" t="n">
        <v>46048</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40502-2024</t>
        </is>
      </c>
      <c r="B549" s="1" t="n">
        <v>45555.57263888889</v>
      </c>
      <c r="C549" s="1" t="n">
        <v>46048</v>
      </c>
      <c r="D549" t="inlineStr">
        <is>
          <t>ÖSTERGÖTLANDS LÄN</t>
        </is>
      </c>
      <c r="E549" t="inlineStr">
        <is>
          <t>LINKÖPING</t>
        </is>
      </c>
      <c r="F549" t="inlineStr">
        <is>
          <t>Allmännings- och besparingsskogar</t>
        </is>
      </c>
      <c r="G549" t="n">
        <v>17.5</v>
      </c>
      <c r="H549" t="n">
        <v>0</v>
      </c>
      <c r="I549" t="n">
        <v>0</v>
      </c>
      <c r="J549" t="n">
        <v>0</v>
      </c>
      <c r="K549" t="n">
        <v>0</v>
      </c>
      <c r="L549" t="n">
        <v>0</v>
      </c>
      <c r="M549" t="n">
        <v>0</v>
      </c>
      <c r="N549" t="n">
        <v>0</v>
      </c>
      <c r="O549" t="n">
        <v>0</v>
      </c>
      <c r="P549" t="n">
        <v>0</v>
      </c>
      <c r="Q549" t="n">
        <v>0</v>
      </c>
      <c r="R549" s="2" t="inlineStr"/>
    </row>
    <row r="550" ht="15" customHeight="1">
      <c r="A550" t="inlineStr">
        <is>
          <t>A 37057-2025</t>
        </is>
      </c>
      <c r="B550" s="1" t="n">
        <v>45875.37489583333</v>
      </c>
      <c r="C550" s="1" t="n">
        <v>46048</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43473-2024</t>
        </is>
      </c>
      <c r="B551" s="1" t="n">
        <v>45568</v>
      </c>
      <c r="C551" s="1" t="n">
        <v>46048</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43475-2024</t>
        </is>
      </c>
      <c r="B552" s="1" t="n">
        <v>45568</v>
      </c>
      <c r="C552" s="1" t="n">
        <v>46048</v>
      </c>
      <c r="D552" t="inlineStr">
        <is>
          <t>ÖSTERGÖTLANDS LÄN</t>
        </is>
      </c>
      <c r="E552" t="inlineStr">
        <is>
          <t>LINKÖPING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1207-2023</t>
        </is>
      </c>
      <c r="B553" s="1" t="n">
        <v>44930</v>
      </c>
      <c r="C553" s="1" t="n">
        <v>46048</v>
      </c>
      <c r="D553" t="inlineStr">
        <is>
          <t>ÖSTERGÖTLANDS LÄN</t>
        </is>
      </c>
      <c r="E553" t="inlineStr">
        <is>
          <t>LINKÖPING</t>
        </is>
      </c>
      <c r="F553" t="inlineStr">
        <is>
          <t>Övriga statliga verk och myndigheter</t>
        </is>
      </c>
      <c r="G553" t="n">
        <v>32.8</v>
      </c>
      <c r="H553" t="n">
        <v>0</v>
      </c>
      <c r="I553" t="n">
        <v>0</v>
      </c>
      <c r="J553" t="n">
        <v>0</v>
      </c>
      <c r="K553" t="n">
        <v>0</v>
      </c>
      <c r="L553" t="n">
        <v>0</v>
      </c>
      <c r="M553" t="n">
        <v>0</v>
      </c>
      <c r="N553" t="n">
        <v>0</v>
      </c>
      <c r="O553" t="n">
        <v>0</v>
      </c>
      <c r="P553" t="n">
        <v>0</v>
      </c>
      <c r="Q553" t="n">
        <v>0</v>
      </c>
      <c r="R553" s="2" t="inlineStr"/>
    </row>
    <row r="554" ht="15" customHeight="1">
      <c r="A554" t="inlineStr">
        <is>
          <t>A 29859-2024</t>
        </is>
      </c>
      <c r="B554" s="1" t="n">
        <v>45485.6846412037</v>
      </c>
      <c r="C554" s="1" t="n">
        <v>46048</v>
      </c>
      <c r="D554" t="inlineStr">
        <is>
          <t>ÖSTERGÖTLANDS LÄN</t>
        </is>
      </c>
      <c r="E554" t="inlineStr">
        <is>
          <t>LINKÖPING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57391-2023</t>
        </is>
      </c>
      <c r="B555" s="1" t="n">
        <v>45245</v>
      </c>
      <c r="C555" s="1" t="n">
        <v>46048</v>
      </c>
      <c r="D555" t="inlineStr">
        <is>
          <t>ÖSTERGÖTLANDS LÄN</t>
        </is>
      </c>
      <c r="E555" t="inlineStr">
        <is>
          <t>LINKÖPING</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45819-2024</t>
        </is>
      </c>
      <c r="B556" s="1" t="n">
        <v>45579.7454050926</v>
      </c>
      <c r="C556" s="1" t="n">
        <v>46048</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7992-2023</t>
        </is>
      </c>
      <c r="B557" s="1" t="n">
        <v>44970</v>
      </c>
      <c r="C557" s="1" t="n">
        <v>46048</v>
      </c>
      <c r="D557" t="inlineStr">
        <is>
          <t>ÖSTERGÖTLANDS LÄN</t>
        </is>
      </c>
      <c r="E557" t="inlineStr">
        <is>
          <t>LINKÖPING</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61281-2021</t>
        </is>
      </c>
      <c r="B558" s="1" t="n">
        <v>44498.60736111111</v>
      </c>
      <c r="C558" s="1" t="n">
        <v>46048</v>
      </c>
      <c r="D558" t="inlineStr">
        <is>
          <t>ÖSTERGÖTLANDS LÄN</t>
        </is>
      </c>
      <c r="E558" t="inlineStr">
        <is>
          <t>LINKÖPING</t>
        </is>
      </c>
      <c r="G558" t="n">
        <v>4.5</v>
      </c>
      <c r="H558" t="n">
        <v>0</v>
      </c>
      <c r="I558" t="n">
        <v>0</v>
      </c>
      <c r="J558" t="n">
        <v>0</v>
      </c>
      <c r="K558" t="n">
        <v>0</v>
      </c>
      <c r="L558" t="n">
        <v>0</v>
      </c>
      <c r="M558" t="n">
        <v>0</v>
      </c>
      <c r="N558" t="n">
        <v>0</v>
      </c>
      <c r="O558" t="n">
        <v>0</v>
      </c>
      <c r="P558" t="n">
        <v>0</v>
      </c>
      <c r="Q558" t="n">
        <v>0</v>
      </c>
      <c r="R558" s="2" t="inlineStr"/>
    </row>
    <row r="559" ht="15" customHeight="1">
      <c r="A559" t="inlineStr">
        <is>
          <t>A 25292-2021</t>
        </is>
      </c>
      <c r="B559" s="1" t="n">
        <v>44342</v>
      </c>
      <c r="C559" s="1" t="n">
        <v>46048</v>
      </c>
      <c r="D559" t="inlineStr">
        <is>
          <t>ÖSTERGÖTLANDS LÄN</t>
        </is>
      </c>
      <c r="E559" t="inlineStr">
        <is>
          <t>LINKÖPING</t>
        </is>
      </c>
      <c r="F559" t="inlineStr">
        <is>
          <t>Övriga Aktiebolag</t>
        </is>
      </c>
      <c r="G559" t="n">
        <v>12.8</v>
      </c>
      <c r="H559" t="n">
        <v>0</v>
      </c>
      <c r="I559" t="n">
        <v>0</v>
      </c>
      <c r="J559" t="n">
        <v>0</v>
      </c>
      <c r="K559" t="n">
        <v>0</v>
      </c>
      <c r="L559" t="n">
        <v>0</v>
      </c>
      <c r="M559" t="n">
        <v>0</v>
      </c>
      <c r="N559" t="n">
        <v>0</v>
      </c>
      <c r="O559" t="n">
        <v>0</v>
      </c>
      <c r="P559" t="n">
        <v>0</v>
      </c>
      <c r="Q559" t="n">
        <v>0</v>
      </c>
      <c r="R559" s="2" t="inlineStr"/>
    </row>
    <row r="560" ht="15" customHeight="1">
      <c r="A560" t="inlineStr">
        <is>
          <t>A 63935-2021</t>
        </is>
      </c>
      <c r="B560" s="1" t="n">
        <v>44509</v>
      </c>
      <c r="C560" s="1" t="n">
        <v>46048</v>
      </c>
      <c r="D560" t="inlineStr">
        <is>
          <t>ÖSTERGÖTLANDS LÄN</t>
        </is>
      </c>
      <c r="E560" t="inlineStr">
        <is>
          <t>LINKÖPING</t>
        </is>
      </c>
      <c r="F560" t="inlineStr">
        <is>
          <t>Övriga statliga verk och myndigheter</t>
        </is>
      </c>
      <c r="G560" t="n">
        <v>2.8</v>
      </c>
      <c r="H560" t="n">
        <v>0</v>
      </c>
      <c r="I560" t="n">
        <v>0</v>
      </c>
      <c r="J560" t="n">
        <v>0</v>
      </c>
      <c r="K560" t="n">
        <v>0</v>
      </c>
      <c r="L560" t="n">
        <v>0</v>
      </c>
      <c r="M560" t="n">
        <v>0</v>
      </c>
      <c r="N560" t="n">
        <v>0</v>
      </c>
      <c r="O560" t="n">
        <v>0</v>
      </c>
      <c r="P560" t="n">
        <v>0</v>
      </c>
      <c r="Q560" t="n">
        <v>0</v>
      </c>
      <c r="R560" s="2" t="inlineStr"/>
    </row>
    <row r="561" ht="15" customHeight="1">
      <c r="A561" t="inlineStr">
        <is>
          <t>A 15748-2025</t>
        </is>
      </c>
      <c r="B561" s="1" t="n">
        <v>45748.55282407408</v>
      </c>
      <c r="C561" s="1" t="n">
        <v>46048</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15754-2025</t>
        </is>
      </c>
      <c r="B562" s="1" t="n">
        <v>45748.56105324074</v>
      </c>
      <c r="C562" s="1" t="n">
        <v>46048</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38971-2025</t>
        </is>
      </c>
      <c r="B563" s="1" t="n">
        <v>45887.71827546296</v>
      </c>
      <c r="C563" s="1" t="n">
        <v>46048</v>
      </c>
      <c r="D563" t="inlineStr">
        <is>
          <t>ÖSTERGÖTLANDS LÄN</t>
        </is>
      </c>
      <c r="E563" t="inlineStr">
        <is>
          <t>LINKÖPING</t>
        </is>
      </c>
      <c r="G563" t="n">
        <v>3.9</v>
      </c>
      <c r="H563" t="n">
        <v>0</v>
      </c>
      <c r="I563" t="n">
        <v>0</v>
      </c>
      <c r="J563" t="n">
        <v>0</v>
      </c>
      <c r="K563" t="n">
        <v>0</v>
      </c>
      <c r="L563" t="n">
        <v>0</v>
      </c>
      <c r="M563" t="n">
        <v>0</v>
      </c>
      <c r="N563" t="n">
        <v>0</v>
      </c>
      <c r="O563" t="n">
        <v>0</v>
      </c>
      <c r="P563" t="n">
        <v>0</v>
      </c>
      <c r="Q563" t="n">
        <v>0</v>
      </c>
      <c r="R563" s="2" t="inlineStr"/>
    </row>
    <row r="564" ht="15" customHeight="1">
      <c r="A564" t="inlineStr">
        <is>
          <t>A 55345-2021</t>
        </is>
      </c>
      <c r="B564" s="1" t="n">
        <v>44475</v>
      </c>
      <c r="C564" s="1" t="n">
        <v>46048</v>
      </c>
      <c r="D564" t="inlineStr">
        <is>
          <t>ÖSTERGÖTLANDS LÄN</t>
        </is>
      </c>
      <c r="E564" t="inlineStr">
        <is>
          <t>LINKÖPING</t>
        </is>
      </c>
      <c r="G564" t="n">
        <v>5.7</v>
      </c>
      <c r="H564" t="n">
        <v>0</v>
      </c>
      <c r="I564" t="n">
        <v>0</v>
      </c>
      <c r="J564" t="n">
        <v>0</v>
      </c>
      <c r="K564" t="n">
        <v>0</v>
      </c>
      <c r="L564" t="n">
        <v>0</v>
      </c>
      <c r="M564" t="n">
        <v>0</v>
      </c>
      <c r="N564" t="n">
        <v>0</v>
      </c>
      <c r="O564" t="n">
        <v>0</v>
      </c>
      <c r="P564" t="n">
        <v>0</v>
      </c>
      <c r="Q564" t="n">
        <v>0</v>
      </c>
      <c r="R564" s="2" t="inlineStr"/>
    </row>
    <row r="565" ht="15" customHeight="1">
      <c r="A565" t="inlineStr">
        <is>
          <t>A 30518-2024</t>
        </is>
      </c>
      <c r="B565" s="1" t="n">
        <v>45492</v>
      </c>
      <c r="C565" s="1" t="n">
        <v>46048</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53797-2023</t>
        </is>
      </c>
      <c r="B566" s="1" t="n">
        <v>45230</v>
      </c>
      <c r="C566" s="1" t="n">
        <v>46048</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55345-2021</t>
        </is>
      </c>
      <c r="B567" s="1" t="n">
        <v>44475</v>
      </c>
      <c r="C567" s="1" t="n">
        <v>46048</v>
      </c>
      <c r="D567" t="inlineStr">
        <is>
          <t>ÖSTERGÖTLANDS LÄN</t>
        </is>
      </c>
      <c r="E567" t="inlineStr">
        <is>
          <t>LINKÖPING</t>
        </is>
      </c>
      <c r="G567" t="n">
        <v>5.7</v>
      </c>
      <c r="H567" t="n">
        <v>0</v>
      </c>
      <c r="I567" t="n">
        <v>0</v>
      </c>
      <c r="J567" t="n">
        <v>0</v>
      </c>
      <c r="K567" t="n">
        <v>0</v>
      </c>
      <c r="L567" t="n">
        <v>0</v>
      </c>
      <c r="M567" t="n">
        <v>0</v>
      </c>
      <c r="N567" t="n">
        <v>0</v>
      </c>
      <c r="O567" t="n">
        <v>0</v>
      </c>
      <c r="P567" t="n">
        <v>0</v>
      </c>
      <c r="Q567" t="n">
        <v>0</v>
      </c>
      <c r="R567" s="2" t="inlineStr"/>
    </row>
    <row r="568" ht="15" customHeight="1">
      <c r="A568" t="inlineStr">
        <is>
          <t>A 10198-2023</t>
        </is>
      </c>
      <c r="B568" s="1" t="n">
        <v>44986.54665509259</v>
      </c>
      <c r="C568" s="1" t="n">
        <v>46048</v>
      </c>
      <c r="D568" t="inlineStr">
        <is>
          <t>ÖSTERGÖTLANDS LÄN</t>
        </is>
      </c>
      <c r="E568" t="inlineStr">
        <is>
          <t>LINKÖPING</t>
        </is>
      </c>
      <c r="G568" t="n">
        <v>4.6</v>
      </c>
      <c r="H568" t="n">
        <v>0</v>
      </c>
      <c r="I568" t="n">
        <v>0</v>
      </c>
      <c r="J568" t="n">
        <v>0</v>
      </c>
      <c r="K568" t="n">
        <v>0</v>
      </c>
      <c r="L568" t="n">
        <v>0</v>
      </c>
      <c r="M568" t="n">
        <v>0</v>
      </c>
      <c r="N568" t="n">
        <v>0</v>
      </c>
      <c r="O568" t="n">
        <v>0</v>
      </c>
      <c r="P568" t="n">
        <v>0</v>
      </c>
      <c r="Q568" t="n">
        <v>0</v>
      </c>
      <c r="R568" s="2" t="inlineStr"/>
    </row>
    <row r="569" ht="15" customHeight="1">
      <c r="A569" t="inlineStr">
        <is>
          <t>A 25829-2025</t>
        </is>
      </c>
      <c r="B569" s="1" t="n">
        <v>45804.44505787037</v>
      </c>
      <c r="C569" s="1" t="n">
        <v>46048</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38046-2025</t>
        </is>
      </c>
      <c r="B570" s="1" t="n">
        <v>45882.39939814815</v>
      </c>
      <c r="C570" s="1" t="n">
        <v>46048</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4298-2023</t>
        </is>
      </c>
      <c r="B571" s="1" t="n">
        <v>44953</v>
      </c>
      <c r="C571" s="1" t="n">
        <v>46048</v>
      </c>
      <c r="D571" t="inlineStr">
        <is>
          <t>ÖSTERGÖTLANDS LÄN</t>
        </is>
      </c>
      <c r="E571" t="inlineStr">
        <is>
          <t>LINKÖPING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12428-2024</t>
        </is>
      </c>
      <c r="B572" s="1" t="n">
        <v>45379</v>
      </c>
      <c r="C572" s="1" t="n">
        <v>46048</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26618-2023</t>
        </is>
      </c>
      <c r="B573" s="1" t="n">
        <v>45092.70306712963</v>
      </c>
      <c r="C573" s="1" t="n">
        <v>46048</v>
      </c>
      <c r="D573" t="inlineStr">
        <is>
          <t>ÖSTERGÖTLANDS LÄN</t>
        </is>
      </c>
      <c r="E573" t="inlineStr">
        <is>
          <t>LINKÖPING</t>
        </is>
      </c>
      <c r="G573" t="n">
        <v>6.9</v>
      </c>
      <c r="H573" t="n">
        <v>0</v>
      </c>
      <c r="I573" t="n">
        <v>0</v>
      </c>
      <c r="J573" t="n">
        <v>0</v>
      </c>
      <c r="K573" t="n">
        <v>0</v>
      </c>
      <c r="L573" t="n">
        <v>0</v>
      </c>
      <c r="M573" t="n">
        <v>0</v>
      </c>
      <c r="N573" t="n">
        <v>0</v>
      </c>
      <c r="O573" t="n">
        <v>0</v>
      </c>
      <c r="P573" t="n">
        <v>0</v>
      </c>
      <c r="Q573" t="n">
        <v>0</v>
      </c>
      <c r="R573" s="2" t="inlineStr"/>
    </row>
    <row r="574" ht="15" customHeight="1">
      <c r="A574" t="inlineStr">
        <is>
          <t>A 34930-2023</t>
        </is>
      </c>
      <c r="B574" s="1" t="n">
        <v>45142</v>
      </c>
      <c r="C574" s="1" t="n">
        <v>46048</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670-2024</t>
        </is>
      </c>
      <c r="B575" s="1" t="n">
        <v>45300.3408912037</v>
      </c>
      <c r="C575" s="1" t="n">
        <v>46048</v>
      </c>
      <c r="D575" t="inlineStr">
        <is>
          <t>ÖSTERGÖTLANDS LÄN</t>
        </is>
      </c>
      <c r="E575" t="inlineStr">
        <is>
          <t>LINKÖPING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63845-2021</t>
        </is>
      </c>
      <c r="B576" s="1" t="n">
        <v>44509</v>
      </c>
      <c r="C576" s="1" t="n">
        <v>46048</v>
      </c>
      <c r="D576" t="inlineStr">
        <is>
          <t>ÖSTERGÖTLANDS LÄN</t>
        </is>
      </c>
      <c r="E576" t="inlineStr">
        <is>
          <t>LINKÖPING</t>
        </is>
      </c>
      <c r="G576" t="n">
        <v>5</v>
      </c>
      <c r="H576" t="n">
        <v>0</v>
      </c>
      <c r="I576" t="n">
        <v>0</v>
      </c>
      <c r="J576" t="n">
        <v>0</v>
      </c>
      <c r="K576" t="n">
        <v>0</v>
      </c>
      <c r="L576" t="n">
        <v>0</v>
      </c>
      <c r="M576" t="n">
        <v>0</v>
      </c>
      <c r="N576" t="n">
        <v>0</v>
      </c>
      <c r="O576" t="n">
        <v>0</v>
      </c>
      <c r="P576" t="n">
        <v>0</v>
      </c>
      <c r="Q576" t="n">
        <v>0</v>
      </c>
      <c r="R576" s="2" t="inlineStr"/>
    </row>
    <row r="577" ht="15" customHeight="1">
      <c r="A577" t="inlineStr">
        <is>
          <t>A 54034-2022</t>
        </is>
      </c>
      <c r="B577" s="1" t="n">
        <v>44881</v>
      </c>
      <c r="C577" s="1" t="n">
        <v>46048</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36336-2023</t>
        </is>
      </c>
      <c r="B578" s="1" t="n">
        <v>45152.45078703704</v>
      </c>
      <c r="C578" s="1" t="n">
        <v>46048</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48829-2023</t>
        </is>
      </c>
      <c r="B579" s="1" t="n">
        <v>45209.38177083333</v>
      </c>
      <c r="C579" s="1" t="n">
        <v>46048</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3008-2023</t>
        </is>
      </c>
      <c r="B580" s="1" t="n">
        <v>44945.79784722222</v>
      </c>
      <c r="C580" s="1" t="n">
        <v>46048</v>
      </c>
      <c r="D580" t="inlineStr">
        <is>
          <t>ÖSTERGÖTLANDS LÄN</t>
        </is>
      </c>
      <c r="E580" t="inlineStr">
        <is>
          <t>LINKÖPING</t>
        </is>
      </c>
      <c r="G580" t="n">
        <v>19.3</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46048</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39438-2025</t>
        </is>
      </c>
      <c r="B582" s="1" t="n">
        <v>45889.68641203704</v>
      </c>
      <c r="C582" s="1" t="n">
        <v>46048</v>
      </c>
      <c r="D582" t="inlineStr">
        <is>
          <t>ÖSTERGÖTLANDS LÄN</t>
        </is>
      </c>
      <c r="E582" t="inlineStr">
        <is>
          <t>LINKÖPING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27264-2025</t>
        </is>
      </c>
      <c r="B583" s="1" t="n">
        <v>45812.4794212963</v>
      </c>
      <c r="C583" s="1" t="n">
        <v>46048</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63669-2023</t>
        </is>
      </c>
      <c r="B584" s="1" t="n">
        <v>45275</v>
      </c>
      <c r="C584" s="1" t="n">
        <v>46048</v>
      </c>
      <c r="D584" t="inlineStr">
        <is>
          <t>ÖSTERGÖTLANDS LÄN</t>
        </is>
      </c>
      <c r="E584" t="inlineStr">
        <is>
          <t>LINKÖPING</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24586-2024</t>
        </is>
      </c>
      <c r="B585" s="1" t="n">
        <v>45460.46664351852</v>
      </c>
      <c r="C585" s="1" t="n">
        <v>46048</v>
      </c>
      <c r="D585" t="inlineStr">
        <is>
          <t>ÖSTERGÖTLANDS LÄN</t>
        </is>
      </c>
      <c r="E585" t="inlineStr">
        <is>
          <t>LINKÖPING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59576-2024</t>
        </is>
      </c>
      <c r="B586" s="1" t="n">
        <v>45638.66378472222</v>
      </c>
      <c r="C586" s="1" t="n">
        <v>46048</v>
      </c>
      <c r="D586" t="inlineStr">
        <is>
          <t>ÖSTERGÖTLANDS LÄN</t>
        </is>
      </c>
      <c r="E586" t="inlineStr">
        <is>
          <t>LINKÖPING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59642-2024</t>
        </is>
      </c>
      <c r="B587" s="1" t="n">
        <v>45639.31511574074</v>
      </c>
      <c r="C587" s="1" t="n">
        <v>46048</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59674-2024</t>
        </is>
      </c>
      <c r="B588" s="1" t="n">
        <v>45639</v>
      </c>
      <c r="C588" s="1" t="n">
        <v>46048</v>
      </c>
      <c r="D588" t="inlineStr">
        <is>
          <t>ÖSTERGÖTLANDS LÄN</t>
        </is>
      </c>
      <c r="E588" t="inlineStr">
        <is>
          <t>LINKÖPING</t>
        </is>
      </c>
      <c r="G588" t="n">
        <v>6.3</v>
      </c>
      <c r="H588" t="n">
        <v>0</v>
      </c>
      <c r="I588" t="n">
        <v>0</v>
      </c>
      <c r="J588" t="n">
        <v>0</v>
      </c>
      <c r="K588" t="n">
        <v>0</v>
      </c>
      <c r="L588" t="n">
        <v>0</v>
      </c>
      <c r="M588" t="n">
        <v>0</v>
      </c>
      <c r="N588" t="n">
        <v>0</v>
      </c>
      <c r="O588" t="n">
        <v>0</v>
      </c>
      <c r="P588" t="n">
        <v>0</v>
      </c>
      <c r="Q588" t="n">
        <v>0</v>
      </c>
      <c r="R588" s="2" t="inlineStr"/>
    </row>
    <row r="589" ht="15" customHeight="1">
      <c r="A589" t="inlineStr">
        <is>
          <t>A 39074-2025</t>
        </is>
      </c>
      <c r="B589" s="1" t="n">
        <v>45888</v>
      </c>
      <c r="C589" s="1" t="n">
        <v>46048</v>
      </c>
      <c r="D589" t="inlineStr">
        <is>
          <t>ÖSTERGÖTLANDS LÄN</t>
        </is>
      </c>
      <c r="E589" t="inlineStr">
        <is>
          <t>LINKÖPING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72567-2021</t>
        </is>
      </c>
      <c r="B590" s="1" t="n">
        <v>44546.45023148148</v>
      </c>
      <c r="C590" s="1" t="n">
        <v>46048</v>
      </c>
      <c r="D590" t="inlineStr">
        <is>
          <t>ÖSTERGÖTLANDS LÄN</t>
        </is>
      </c>
      <c r="E590" t="inlineStr">
        <is>
          <t>LINKÖPING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3742-2021</t>
        </is>
      </c>
      <c r="B591" s="1" t="n">
        <v>44221</v>
      </c>
      <c r="C591" s="1" t="n">
        <v>46048</v>
      </c>
      <c r="D591" t="inlineStr">
        <is>
          <t>ÖSTERGÖTLANDS LÄN</t>
        </is>
      </c>
      <c r="E591" t="inlineStr">
        <is>
          <t>LINKÖPING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18916-2024</t>
        </is>
      </c>
      <c r="B592" s="1" t="n">
        <v>45427.39541666667</v>
      </c>
      <c r="C592" s="1" t="n">
        <v>46048</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11084-2022</t>
        </is>
      </c>
      <c r="B593" s="1" t="n">
        <v>44628</v>
      </c>
      <c r="C593" s="1" t="n">
        <v>46048</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10203-2023</t>
        </is>
      </c>
      <c r="B594" s="1" t="n">
        <v>44986.55711805556</v>
      </c>
      <c r="C594" s="1" t="n">
        <v>46048</v>
      </c>
      <c r="D594" t="inlineStr">
        <is>
          <t>ÖSTERGÖTLANDS LÄN</t>
        </is>
      </c>
      <c r="E594" t="inlineStr">
        <is>
          <t>LINKÖPING</t>
        </is>
      </c>
      <c r="G594" t="n">
        <v>3.3</v>
      </c>
      <c r="H594" t="n">
        <v>0</v>
      </c>
      <c r="I594" t="n">
        <v>0</v>
      </c>
      <c r="J594" t="n">
        <v>0</v>
      </c>
      <c r="K594" t="n">
        <v>0</v>
      </c>
      <c r="L594" t="n">
        <v>0</v>
      </c>
      <c r="M594" t="n">
        <v>0</v>
      </c>
      <c r="N594" t="n">
        <v>0</v>
      </c>
      <c r="O594" t="n">
        <v>0</v>
      </c>
      <c r="P594" t="n">
        <v>0</v>
      </c>
      <c r="Q594" t="n">
        <v>0</v>
      </c>
      <c r="R594" s="2" t="inlineStr"/>
    </row>
    <row r="595" ht="15" customHeight="1">
      <c r="A595" t="inlineStr">
        <is>
          <t>A 40169-2025</t>
        </is>
      </c>
      <c r="B595" s="1" t="n">
        <v>45894.62824074074</v>
      </c>
      <c r="C595" s="1" t="n">
        <v>46048</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2618-2023</t>
        </is>
      </c>
      <c r="B596" s="1" t="n">
        <v>44944.35847222222</v>
      </c>
      <c r="C596" s="1" t="n">
        <v>46048</v>
      </c>
      <c r="D596" t="inlineStr">
        <is>
          <t>ÖSTERGÖTLANDS LÄN</t>
        </is>
      </c>
      <c r="E596" t="inlineStr">
        <is>
          <t>LINKÖPING</t>
        </is>
      </c>
      <c r="G596" t="n">
        <v>4.3</v>
      </c>
      <c r="H596" t="n">
        <v>0</v>
      </c>
      <c r="I596" t="n">
        <v>0</v>
      </c>
      <c r="J596" t="n">
        <v>0</v>
      </c>
      <c r="K596" t="n">
        <v>0</v>
      </c>
      <c r="L596" t="n">
        <v>0</v>
      </c>
      <c r="M596" t="n">
        <v>0</v>
      </c>
      <c r="N596" t="n">
        <v>0</v>
      </c>
      <c r="O596" t="n">
        <v>0</v>
      </c>
      <c r="P596" t="n">
        <v>0</v>
      </c>
      <c r="Q596" t="n">
        <v>0</v>
      </c>
      <c r="R596" s="2" t="inlineStr"/>
    </row>
    <row r="597" ht="15" customHeight="1">
      <c r="A597" t="inlineStr">
        <is>
          <t>A 62020-2024</t>
        </is>
      </c>
      <c r="B597" s="1" t="n">
        <v>45655.83563657408</v>
      </c>
      <c r="C597" s="1" t="n">
        <v>46048</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62021-2024</t>
        </is>
      </c>
      <c r="B598" s="1" t="n">
        <v>45655.84232638889</v>
      </c>
      <c r="C598" s="1" t="n">
        <v>46048</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1362-2023</t>
        </is>
      </c>
      <c r="B599" s="1" t="n">
        <v>44931</v>
      </c>
      <c r="C599" s="1" t="n">
        <v>46048</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49928-2024</t>
        </is>
      </c>
      <c r="B600" s="1" t="n">
        <v>45597.57811342592</v>
      </c>
      <c r="C600" s="1" t="n">
        <v>46048</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3627-2023</t>
        </is>
      </c>
      <c r="B601" s="1" t="n">
        <v>44950.64782407408</v>
      </c>
      <c r="C601" s="1" t="n">
        <v>46048</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51405-2023</t>
        </is>
      </c>
      <c r="B602" s="1" t="n">
        <v>45219</v>
      </c>
      <c r="C602" s="1" t="n">
        <v>46048</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11601-2023</t>
        </is>
      </c>
      <c r="B603" s="1" t="n">
        <v>44994</v>
      </c>
      <c r="C603" s="1" t="n">
        <v>46048</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40338-2024</t>
        </is>
      </c>
      <c r="B604" s="1" t="n">
        <v>45555.32940972222</v>
      </c>
      <c r="C604" s="1" t="n">
        <v>46048</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167-2024</t>
        </is>
      </c>
      <c r="B605" s="1" t="n">
        <v>45294</v>
      </c>
      <c r="C605" s="1" t="n">
        <v>46048</v>
      </c>
      <c r="D605" t="inlineStr">
        <is>
          <t>ÖSTERGÖTLANDS LÄN</t>
        </is>
      </c>
      <c r="E605" t="inlineStr">
        <is>
          <t>LINKÖPING</t>
        </is>
      </c>
      <c r="F605" t="inlineStr">
        <is>
          <t>Allmännings- och besparingsskogar</t>
        </is>
      </c>
      <c r="G605" t="n">
        <v>11.6</v>
      </c>
      <c r="H605" t="n">
        <v>0</v>
      </c>
      <c r="I605" t="n">
        <v>0</v>
      </c>
      <c r="J605" t="n">
        <v>0</v>
      </c>
      <c r="K605" t="n">
        <v>0</v>
      </c>
      <c r="L605" t="n">
        <v>0</v>
      </c>
      <c r="M605" t="n">
        <v>0</v>
      </c>
      <c r="N605" t="n">
        <v>0</v>
      </c>
      <c r="O605" t="n">
        <v>0</v>
      </c>
      <c r="P605" t="n">
        <v>0</v>
      </c>
      <c r="Q605" t="n">
        <v>0</v>
      </c>
      <c r="R605" s="2" t="inlineStr"/>
    </row>
    <row r="606" ht="15" customHeight="1">
      <c r="A606" t="inlineStr">
        <is>
          <t>A 27186-2021</t>
        </is>
      </c>
      <c r="B606" s="1" t="n">
        <v>44350.67715277777</v>
      </c>
      <c r="C606" s="1" t="n">
        <v>46048</v>
      </c>
      <c r="D606" t="inlineStr">
        <is>
          <t>ÖSTERGÖTLANDS LÄN</t>
        </is>
      </c>
      <c r="E606" t="inlineStr">
        <is>
          <t>LINKÖPING</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7343-2025</t>
        </is>
      </c>
      <c r="B607" s="1" t="n">
        <v>45703.67853009259</v>
      </c>
      <c r="C607" s="1" t="n">
        <v>46048</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41511-2025</t>
        </is>
      </c>
      <c r="B608" s="1" t="n">
        <v>45901.53839120371</v>
      </c>
      <c r="C608" s="1" t="n">
        <v>46048</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48271-2023</t>
        </is>
      </c>
      <c r="B609" s="1" t="n">
        <v>45205</v>
      </c>
      <c r="C609" s="1" t="n">
        <v>46048</v>
      </c>
      <c r="D609" t="inlineStr">
        <is>
          <t>ÖSTERGÖTLANDS LÄN</t>
        </is>
      </c>
      <c r="E609" t="inlineStr">
        <is>
          <t>LINKÖPING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12720-2022</t>
        </is>
      </c>
      <c r="B610" s="1" t="n">
        <v>44641</v>
      </c>
      <c r="C610" s="1" t="n">
        <v>46048</v>
      </c>
      <c r="D610" t="inlineStr">
        <is>
          <t>ÖSTERGÖTLANDS LÄN</t>
        </is>
      </c>
      <c r="E610" t="inlineStr">
        <is>
          <t>LINKÖPING</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62018-2024</t>
        </is>
      </c>
      <c r="B611" s="1" t="n">
        <v>45655.81387731482</v>
      </c>
      <c r="C611" s="1" t="n">
        <v>46048</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41706-2025</t>
        </is>
      </c>
      <c r="B612" s="1" t="n">
        <v>45902.42209490741</v>
      </c>
      <c r="C612" s="1" t="n">
        <v>46048</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3042-2024</t>
        </is>
      </c>
      <c r="B613" s="1" t="n">
        <v>45316.35028935185</v>
      </c>
      <c r="C613" s="1" t="n">
        <v>46048</v>
      </c>
      <c r="D613" t="inlineStr">
        <is>
          <t>ÖSTERGÖTLANDS LÄN</t>
        </is>
      </c>
      <c r="E613" t="inlineStr">
        <is>
          <t>LINKÖPING</t>
        </is>
      </c>
      <c r="G613" t="n">
        <v>3.1</v>
      </c>
      <c r="H613" t="n">
        <v>0</v>
      </c>
      <c r="I613" t="n">
        <v>0</v>
      </c>
      <c r="J613" t="n">
        <v>0</v>
      </c>
      <c r="K613" t="n">
        <v>0</v>
      </c>
      <c r="L613" t="n">
        <v>0</v>
      </c>
      <c r="M613" t="n">
        <v>0</v>
      </c>
      <c r="N613" t="n">
        <v>0</v>
      </c>
      <c r="O613" t="n">
        <v>0</v>
      </c>
      <c r="P613" t="n">
        <v>0</v>
      </c>
      <c r="Q613" t="n">
        <v>0</v>
      </c>
      <c r="R613" s="2" t="inlineStr"/>
    </row>
    <row r="614" ht="15" customHeight="1">
      <c r="A614" t="inlineStr">
        <is>
          <t>A 30551-2023</t>
        </is>
      </c>
      <c r="B614" s="1" t="n">
        <v>45111</v>
      </c>
      <c r="C614" s="1" t="n">
        <v>46048</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30860-2022</t>
        </is>
      </c>
      <c r="B615" s="1" t="n">
        <v>44767</v>
      </c>
      <c r="C615" s="1" t="n">
        <v>46048</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29293-2025</t>
        </is>
      </c>
      <c r="B616" s="1" t="n">
        <v>45824</v>
      </c>
      <c r="C616" s="1" t="n">
        <v>46048</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60004-2022</t>
        </is>
      </c>
      <c r="B617" s="1" t="n">
        <v>44909.47206018519</v>
      </c>
      <c r="C617" s="1" t="n">
        <v>46048</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60010-2022</t>
        </is>
      </c>
      <c r="B618" s="1" t="n">
        <v>44909.4740625</v>
      </c>
      <c r="C618" s="1" t="n">
        <v>46048</v>
      </c>
      <c r="D618" t="inlineStr">
        <is>
          <t>ÖSTERGÖTLANDS LÄN</t>
        </is>
      </c>
      <c r="E618" t="inlineStr">
        <is>
          <t>LINKÖPING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53827-2023</t>
        </is>
      </c>
      <c r="B619" s="1" t="n">
        <v>45230</v>
      </c>
      <c r="C619" s="1" t="n">
        <v>46048</v>
      </c>
      <c r="D619" t="inlineStr">
        <is>
          <t>ÖSTERGÖTLANDS LÄN</t>
        </is>
      </c>
      <c r="E619" t="inlineStr">
        <is>
          <t>LINKÖPING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42624-2025</t>
        </is>
      </c>
      <c r="B620" s="1" t="n">
        <v>45905</v>
      </c>
      <c r="C620" s="1" t="n">
        <v>46048</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42626-2025</t>
        </is>
      </c>
      <c r="B621" s="1" t="n">
        <v>45905</v>
      </c>
      <c r="C621" s="1" t="n">
        <v>46048</v>
      </c>
      <c r="D621" t="inlineStr">
        <is>
          <t>ÖSTERGÖTLANDS LÄN</t>
        </is>
      </c>
      <c r="E621" t="inlineStr">
        <is>
          <t>LINKÖPING</t>
        </is>
      </c>
      <c r="G621" t="n">
        <v>3.6</v>
      </c>
      <c r="H621" t="n">
        <v>0</v>
      </c>
      <c r="I621" t="n">
        <v>0</v>
      </c>
      <c r="J621" t="n">
        <v>0</v>
      </c>
      <c r="K621" t="n">
        <v>0</v>
      </c>
      <c r="L621" t="n">
        <v>0</v>
      </c>
      <c r="M621" t="n">
        <v>0</v>
      </c>
      <c r="N621" t="n">
        <v>0</v>
      </c>
      <c r="O621" t="n">
        <v>0</v>
      </c>
      <c r="P621" t="n">
        <v>0</v>
      </c>
      <c r="Q621" t="n">
        <v>0</v>
      </c>
      <c r="R621" s="2" t="inlineStr"/>
    </row>
    <row r="622" ht="15" customHeight="1">
      <c r="A622" t="inlineStr">
        <is>
          <t>A 4256-2022</t>
        </is>
      </c>
      <c r="B622" s="1" t="n">
        <v>44588</v>
      </c>
      <c r="C622" s="1" t="n">
        <v>46048</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42623-2025</t>
        </is>
      </c>
      <c r="B623" s="1" t="n">
        <v>45905</v>
      </c>
      <c r="C623" s="1" t="n">
        <v>46048</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61649-2023</t>
        </is>
      </c>
      <c r="B624" s="1" t="n">
        <v>45265</v>
      </c>
      <c r="C624" s="1" t="n">
        <v>46048</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223-2024</t>
        </is>
      </c>
      <c r="B625" s="1" t="n">
        <v>45294.72739583333</v>
      </c>
      <c r="C625" s="1" t="n">
        <v>46048</v>
      </c>
      <c r="D625" t="inlineStr">
        <is>
          <t>ÖSTERGÖTLANDS LÄN</t>
        </is>
      </c>
      <c r="E625" t="inlineStr">
        <is>
          <t>LINKÖPING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19464-2024</t>
        </is>
      </c>
      <c r="B626" s="1" t="n">
        <v>45429</v>
      </c>
      <c r="C626" s="1" t="n">
        <v>46048</v>
      </c>
      <c r="D626" t="inlineStr">
        <is>
          <t>ÖSTERGÖTLANDS LÄN</t>
        </is>
      </c>
      <c r="E626" t="inlineStr">
        <is>
          <t>LINKÖPING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630-2024</t>
        </is>
      </c>
      <c r="B627" s="1" t="n">
        <v>45299.67736111111</v>
      </c>
      <c r="C627" s="1" t="n">
        <v>46048</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30433-2024</t>
        </is>
      </c>
      <c r="B628" s="1" t="n">
        <v>45491.69741898148</v>
      </c>
      <c r="C628" s="1" t="n">
        <v>46048</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44170-2025</t>
        </is>
      </c>
      <c r="B629" s="1" t="n">
        <v>45915.59864583334</v>
      </c>
      <c r="C629" s="1" t="n">
        <v>46048</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63528-2023</t>
        </is>
      </c>
      <c r="B630" s="1" t="n">
        <v>45274.94810185185</v>
      </c>
      <c r="C630" s="1" t="n">
        <v>46048</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43755-2025</t>
        </is>
      </c>
      <c r="B631" s="1" t="n">
        <v>45912.47329861111</v>
      </c>
      <c r="C631" s="1" t="n">
        <v>46048</v>
      </c>
      <c r="D631" t="inlineStr">
        <is>
          <t>ÖSTERGÖTLANDS LÄN</t>
        </is>
      </c>
      <c r="E631" t="inlineStr">
        <is>
          <t>LINKÖPING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43758-2025</t>
        </is>
      </c>
      <c r="B632" s="1" t="n">
        <v>45912.47711805555</v>
      </c>
      <c r="C632" s="1" t="n">
        <v>46048</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61936-2023</t>
        </is>
      </c>
      <c r="B633" s="1" t="n">
        <v>45266.54534722222</v>
      </c>
      <c r="C633" s="1" t="n">
        <v>46048</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46048</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43753-2025</t>
        </is>
      </c>
      <c r="B635" s="1" t="n">
        <v>45912.4715625</v>
      </c>
      <c r="C635" s="1" t="n">
        <v>46048</v>
      </c>
      <c r="D635" t="inlineStr">
        <is>
          <t>ÖSTERGÖTLANDS LÄN</t>
        </is>
      </c>
      <c r="E635" t="inlineStr">
        <is>
          <t>LINKÖPING</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674-2024</t>
        </is>
      </c>
      <c r="B636" s="1" t="n">
        <v>45300.34408564815</v>
      </c>
      <c r="C636" s="1" t="n">
        <v>46048</v>
      </c>
      <c r="D636" t="inlineStr">
        <is>
          <t>ÖSTERGÖTLANDS LÄN</t>
        </is>
      </c>
      <c r="E636" t="inlineStr">
        <is>
          <t>LINKÖPING</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44759-2025</t>
        </is>
      </c>
      <c r="B637" s="1" t="n">
        <v>45917.7152662037</v>
      </c>
      <c r="C637" s="1" t="n">
        <v>46048</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6782-2024</t>
        </is>
      </c>
      <c r="B638" s="1" t="n">
        <v>45342</v>
      </c>
      <c r="C638" s="1" t="n">
        <v>46048</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44764-2025</t>
        </is>
      </c>
      <c r="B639" s="1" t="n">
        <v>45917.72821759259</v>
      </c>
      <c r="C639" s="1" t="n">
        <v>46048</v>
      </c>
      <c r="D639" t="inlineStr">
        <is>
          <t>ÖSTERGÖTLANDS LÄN</t>
        </is>
      </c>
      <c r="E639" t="inlineStr">
        <is>
          <t>LINKÖPING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46048</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46048</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46048</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46048</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46048</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45112-2025</t>
        </is>
      </c>
      <c r="B645" s="1" t="n">
        <v>45919</v>
      </c>
      <c r="C645" s="1" t="n">
        <v>46048</v>
      </c>
      <c r="D645" t="inlineStr">
        <is>
          <t>ÖSTERGÖTLANDS LÄN</t>
        </is>
      </c>
      <c r="E645" t="inlineStr">
        <is>
          <t>LINKÖPING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14667-2024</t>
        </is>
      </c>
      <c r="B646" s="1" t="n">
        <v>45397.42005787037</v>
      </c>
      <c r="C646" s="1" t="n">
        <v>46048</v>
      </c>
      <c r="D646" t="inlineStr">
        <is>
          <t>ÖSTERGÖTLANDS LÄN</t>
        </is>
      </c>
      <c r="E646" t="inlineStr">
        <is>
          <t>LINKÖPING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45634-2025</t>
        </is>
      </c>
      <c r="B647" s="1" t="n">
        <v>45922.85089120371</v>
      </c>
      <c r="C647" s="1" t="n">
        <v>46048</v>
      </c>
      <c r="D647" t="inlineStr">
        <is>
          <t>ÖSTERGÖTLANDS LÄN</t>
        </is>
      </c>
      <c r="E647" t="inlineStr">
        <is>
          <t>LINKÖPING</t>
        </is>
      </c>
      <c r="F647" t="inlineStr">
        <is>
          <t>Övriga Aktiebolag</t>
        </is>
      </c>
      <c r="G647" t="n">
        <v>0.3</v>
      </c>
      <c r="H647" t="n">
        <v>0</v>
      </c>
      <c r="I647" t="n">
        <v>0</v>
      </c>
      <c r="J647" t="n">
        <v>0</v>
      </c>
      <c r="K647" t="n">
        <v>0</v>
      </c>
      <c r="L647" t="n">
        <v>0</v>
      </c>
      <c r="M647" t="n">
        <v>0</v>
      </c>
      <c r="N647" t="n">
        <v>0</v>
      </c>
      <c r="O647" t="n">
        <v>0</v>
      </c>
      <c r="P647" t="n">
        <v>0</v>
      </c>
      <c r="Q647" t="n">
        <v>0</v>
      </c>
      <c r="R647" s="2" t="inlineStr"/>
    </row>
    <row r="648" ht="15" customHeight="1">
      <c r="A648" t="inlineStr">
        <is>
          <t>A 15714-2024</t>
        </is>
      </c>
      <c r="B648" s="1" t="n">
        <v>45404.48288194444</v>
      </c>
      <c r="C648" s="1" t="n">
        <v>46048</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45792-2025</t>
        </is>
      </c>
      <c r="B649" s="1" t="n">
        <v>45923.56998842592</v>
      </c>
      <c r="C649" s="1" t="n">
        <v>46048</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45804-2025</t>
        </is>
      </c>
      <c r="B650" s="1" t="n">
        <v>45923.5819675926</v>
      </c>
      <c r="C650" s="1" t="n">
        <v>46048</v>
      </c>
      <c r="D650" t="inlineStr">
        <is>
          <t>ÖSTERGÖTLANDS LÄN</t>
        </is>
      </c>
      <c r="E650" t="inlineStr">
        <is>
          <t>LINKÖPING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46048</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46426-2025</t>
        </is>
      </c>
      <c r="B652" s="1" t="n">
        <v>45925.6012962963</v>
      </c>
      <c r="C652" s="1" t="n">
        <v>46048</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30429-2024</t>
        </is>
      </c>
      <c r="B653" s="1" t="n">
        <v>45491.68972222223</v>
      </c>
      <c r="C653" s="1" t="n">
        <v>46048</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46428-2025</t>
        </is>
      </c>
      <c r="B654" s="1" t="n">
        <v>45925.60758101852</v>
      </c>
      <c r="C654" s="1" t="n">
        <v>46048</v>
      </c>
      <c r="D654" t="inlineStr">
        <is>
          <t>ÖSTERGÖTLANDS LÄN</t>
        </is>
      </c>
      <c r="E654" t="inlineStr">
        <is>
          <t>LINKÖPING</t>
        </is>
      </c>
      <c r="G654" t="n">
        <v>3</v>
      </c>
      <c r="H654" t="n">
        <v>0</v>
      </c>
      <c r="I654" t="n">
        <v>0</v>
      </c>
      <c r="J654" t="n">
        <v>0</v>
      </c>
      <c r="K654" t="n">
        <v>0</v>
      </c>
      <c r="L654" t="n">
        <v>0</v>
      </c>
      <c r="M654" t="n">
        <v>0</v>
      </c>
      <c r="N654" t="n">
        <v>0</v>
      </c>
      <c r="O654" t="n">
        <v>0</v>
      </c>
      <c r="P654" t="n">
        <v>0</v>
      </c>
      <c r="Q654" t="n">
        <v>0</v>
      </c>
      <c r="R654" s="2" t="inlineStr"/>
    </row>
    <row r="655" ht="15" customHeight="1">
      <c r="A655" t="inlineStr">
        <is>
          <t>A 30435-2024</t>
        </is>
      </c>
      <c r="B655" s="1" t="n">
        <v>45491.69962962963</v>
      </c>
      <c r="C655" s="1" t="n">
        <v>46048</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46377-2025</t>
        </is>
      </c>
      <c r="B656" s="1" t="n">
        <v>45925.51773148148</v>
      </c>
      <c r="C656" s="1" t="n">
        <v>46048</v>
      </c>
      <c r="D656" t="inlineStr">
        <is>
          <t>ÖSTERGÖTLANDS LÄN</t>
        </is>
      </c>
      <c r="E656" t="inlineStr">
        <is>
          <t>LINKÖPING</t>
        </is>
      </c>
      <c r="G656" t="n">
        <v>3.1</v>
      </c>
      <c r="H656" t="n">
        <v>0</v>
      </c>
      <c r="I656" t="n">
        <v>0</v>
      </c>
      <c r="J656" t="n">
        <v>0</v>
      </c>
      <c r="K656" t="n">
        <v>0</v>
      </c>
      <c r="L656" t="n">
        <v>0</v>
      </c>
      <c r="M656" t="n">
        <v>0</v>
      </c>
      <c r="N656" t="n">
        <v>0</v>
      </c>
      <c r="O656" t="n">
        <v>0</v>
      </c>
      <c r="P656" t="n">
        <v>0</v>
      </c>
      <c r="Q656" t="n">
        <v>0</v>
      </c>
      <c r="R656" s="2" t="inlineStr"/>
    </row>
    <row r="657" ht="15" customHeight="1">
      <c r="A657" t="inlineStr">
        <is>
          <t>A 4927-2021</t>
        </is>
      </c>
      <c r="B657" s="1" t="n">
        <v>44227.57215277778</v>
      </c>
      <c r="C657" s="1" t="n">
        <v>46048</v>
      </c>
      <c r="D657" t="inlineStr">
        <is>
          <t>ÖSTERGÖTLANDS LÄN</t>
        </is>
      </c>
      <c r="E657" t="inlineStr">
        <is>
          <t>LINKÖPING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38231-2022</t>
        </is>
      </c>
      <c r="B658" s="1" t="n">
        <v>44812</v>
      </c>
      <c r="C658" s="1" t="n">
        <v>46048</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34557-2022</t>
        </is>
      </c>
      <c r="B659" s="1" t="n">
        <v>44794.57074074074</v>
      </c>
      <c r="C659" s="1" t="n">
        <v>46048</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13011-2022</t>
        </is>
      </c>
      <c r="B660" s="1" t="n">
        <v>44643</v>
      </c>
      <c r="C660" s="1" t="n">
        <v>46048</v>
      </c>
      <c r="D660" t="inlineStr">
        <is>
          <t>ÖSTERGÖTLANDS LÄN</t>
        </is>
      </c>
      <c r="E660" t="inlineStr">
        <is>
          <t>LINKÖPING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617-2024</t>
        </is>
      </c>
      <c r="B661" s="1" t="n">
        <v>45299.66028935185</v>
      </c>
      <c r="C661" s="1" t="n">
        <v>46048</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46847-2025</t>
        </is>
      </c>
      <c r="B662" s="1" t="n">
        <v>45928.69971064815</v>
      </c>
      <c r="C662" s="1" t="n">
        <v>46048</v>
      </c>
      <c r="D662" t="inlineStr">
        <is>
          <t>ÖSTERGÖTLANDS LÄN</t>
        </is>
      </c>
      <c r="E662" t="inlineStr">
        <is>
          <t>LINKÖPING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19362-2023</t>
        </is>
      </c>
      <c r="B663" s="1" t="n">
        <v>45049</v>
      </c>
      <c r="C663" s="1" t="n">
        <v>46048</v>
      </c>
      <c r="D663" t="inlineStr">
        <is>
          <t>ÖSTERGÖTLANDS LÄN</t>
        </is>
      </c>
      <c r="E663" t="inlineStr">
        <is>
          <t>LINKÖPING</t>
        </is>
      </c>
      <c r="G663" t="n">
        <v>0.1</v>
      </c>
      <c r="H663" t="n">
        <v>0</v>
      </c>
      <c r="I663" t="n">
        <v>0</v>
      </c>
      <c r="J663" t="n">
        <v>0</v>
      </c>
      <c r="K663" t="n">
        <v>0</v>
      </c>
      <c r="L663" t="n">
        <v>0</v>
      </c>
      <c r="M663" t="n">
        <v>0</v>
      </c>
      <c r="N663" t="n">
        <v>0</v>
      </c>
      <c r="O663" t="n">
        <v>0</v>
      </c>
      <c r="P663" t="n">
        <v>0</v>
      </c>
      <c r="Q663" t="n">
        <v>0</v>
      </c>
      <c r="R663" s="2" t="inlineStr"/>
    </row>
    <row r="664" ht="15" customHeight="1">
      <c r="A664" t="inlineStr">
        <is>
          <t>A 19132-2023</t>
        </is>
      </c>
      <c r="B664" s="1" t="n">
        <v>45048.54754629629</v>
      </c>
      <c r="C664" s="1" t="n">
        <v>46048</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47233-2025</t>
        </is>
      </c>
      <c r="B665" s="1" t="n">
        <v>45930.40612268518</v>
      </c>
      <c r="C665" s="1" t="n">
        <v>46048</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47606-2025</t>
        </is>
      </c>
      <c r="B666" s="1" t="n">
        <v>45931.46402777778</v>
      </c>
      <c r="C666" s="1" t="n">
        <v>46048</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47304-2025</t>
        </is>
      </c>
      <c r="B667" s="1" t="n">
        <v>45930.52037037037</v>
      </c>
      <c r="C667" s="1" t="n">
        <v>46048</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31635-2023</t>
        </is>
      </c>
      <c r="B668" s="1" t="n">
        <v>45105</v>
      </c>
      <c r="C668" s="1" t="n">
        <v>46048</v>
      </c>
      <c r="D668" t="inlineStr">
        <is>
          <t>ÖSTERGÖTLANDS LÄN</t>
        </is>
      </c>
      <c r="E668" t="inlineStr">
        <is>
          <t>LINKÖPING</t>
        </is>
      </c>
      <c r="F668" t="inlineStr">
        <is>
          <t>Övriga statliga verk och myndigheter</t>
        </is>
      </c>
      <c r="G668" t="n">
        <v>4.6</v>
      </c>
      <c r="H668" t="n">
        <v>0</v>
      </c>
      <c r="I668" t="n">
        <v>0</v>
      </c>
      <c r="J668" t="n">
        <v>0</v>
      </c>
      <c r="K668" t="n">
        <v>0</v>
      </c>
      <c r="L668" t="n">
        <v>0</v>
      </c>
      <c r="M668" t="n">
        <v>0</v>
      </c>
      <c r="N668" t="n">
        <v>0</v>
      </c>
      <c r="O668" t="n">
        <v>0</v>
      </c>
      <c r="P668" t="n">
        <v>0</v>
      </c>
      <c r="Q668" t="n">
        <v>0</v>
      </c>
      <c r="R668" s="2" t="inlineStr"/>
    </row>
    <row r="669" ht="15" customHeight="1">
      <c r="A669" t="inlineStr">
        <is>
          <t>A 20296-2025</t>
        </is>
      </c>
      <c r="B669" s="1" t="n">
        <v>45774.74922453704</v>
      </c>
      <c r="C669" s="1" t="n">
        <v>46048</v>
      </c>
      <c r="D669" t="inlineStr">
        <is>
          <t>ÖSTERGÖTLANDS LÄN</t>
        </is>
      </c>
      <c r="E669" t="inlineStr">
        <is>
          <t>LINKÖPING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22770-2024</t>
        </is>
      </c>
      <c r="B670" s="1" t="n">
        <v>45448.4634375</v>
      </c>
      <c r="C670" s="1" t="n">
        <v>46048</v>
      </c>
      <c r="D670" t="inlineStr">
        <is>
          <t>ÖSTERGÖTLANDS LÄN</t>
        </is>
      </c>
      <c r="E670" t="inlineStr">
        <is>
          <t>LINKÖPING</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48343-2025</t>
        </is>
      </c>
      <c r="B671" s="1" t="n">
        <v>45932</v>
      </c>
      <c r="C671" s="1" t="n">
        <v>46048</v>
      </c>
      <c r="D671" t="inlineStr">
        <is>
          <t>ÖSTERGÖTLANDS LÄN</t>
        </is>
      </c>
      <c r="E671" t="inlineStr">
        <is>
          <t>LINKÖPING</t>
        </is>
      </c>
      <c r="F671" t="inlineStr">
        <is>
          <t>Övriga Aktiebolag</t>
        </is>
      </c>
      <c r="G671" t="n">
        <v>2</v>
      </c>
      <c r="H671" t="n">
        <v>0</v>
      </c>
      <c r="I671" t="n">
        <v>0</v>
      </c>
      <c r="J671" t="n">
        <v>0</v>
      </c>
      <c r="K671" t="n">
        <v>0</v>
      </c>
      <c r="L671" t="n">
        <v>0</v>
      </c>
      <c r="M671" t="n">
        <v>0</v>
      </c>
      <c r="N671" t="n">
        <v>0</v>
      </c>
      <c r="O671" t="n">
        <v>0</v>
      </c>
      <c r="P671" t="n">
        <v>0</v>
      </c>
      <c r="Q671" t="n">
        <v>0</v>
      </c>
      <c r="R671" s="2" t="inlineStr"/>
    </row>
    <row r="672" ht="15" customHeight="1">
      <c r="A672" t="inlineStr">
        <is>
          <t>A 48266-2025</t>
        </is>
      </c>
      <c r="B672" s="1" t="n">
        <v>45932</v>
      </c>
      <c r="C672" s="1" t="n">
        <v>46048</v>
      </c>
      <c r="D672" t="inlineStr">
        <is>
          <t>ÖSTERGÖTLANDS LÄN</t>
        </is>
      </c>
      <c r="E672" t="inlineStr">
        <is>
          <t>LINKÖPING</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11595-2025</t>
        </is>
      </c>
      <c r="B673" s="1" t="n">
        <v>45727.41893518518</v>
      </c>
      <c r="C673" s="1" t="n">
        <v>46048</v>
      </c>
      <c r="D673" t="inlineStr">
        <is>
          <t>ÖSTERGÖTLANDS LÄN</t>
        </is>
      </c>
      <c r="E673" t="inlineStr">
        <is>
          <t>LINKÖPING</t>
        </is>
      </c>
      <c r="G673" t="n">
        <v>6.6</v>
      </c>
      <c r="H673" t="n">
        <v>0</v>
      </c>
      <c r="I673" t="n">
        <v>0</v>
      </c>
      <c r="J673" t="n">
        <v>0</v>
      </c>
      <c r="K673" t="n">
        <v>0</v>
      </c>
      <c r="L673" t="n">
        <v>0</v>
      </c>
      <c r="M673" t="n">
        <v>0</v>
      </c>
      <c r="N673" t="n">
        <v>0</v>
      </c>
      <c r="O673" t="n">
        <v>0</v>
      </c>
      <c r="P673" t="n">
        <v>0</v>
      </c>
      <c r="Q673" t="n">
        <v>0</v>
      </c>
      <c r="R673" s="2" t="inlineStr"/>
    </row>
    <row r="674" ht="15" customHeight="1">
      <c r="A674" t="inlineStr">
        <is>
          <t>A 48839-2022</t>
        </is>
      </c>
      <c r="B674" s="1" t="n">
        <v>44859</v>
      </c>
      <c r="C674" s="1" t="n">
        <v>46048</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8967-2025</t>
        </is>
      </c>
      <c r="B675" s="1" t="n">
        <v>45712</v>
      </c>
      <c r="C675" s="1" t="n">
        <v>46048</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48254-2025</t>
        </is>
      </c>
      <c r="B676" s="1" t="n">
        <v>45932</v>
      </c>
      <c r="C676" s="1" t="n">
        <v>46048</v>
      </c>
      <c r="D676" t="inlineStr">
        <is>
          <t>ÖSTERGÖTLANDS LÄN</t>
        </is>
      </c>
      <c r="E676" t="inlineStr">
        <is>
          <t>LINKÖPING</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49455-2025</t>
        </is>
      </c>
      <c r="B677" s="1" t="n">
        <v>45938</v>
      </c>
      <c r="C677" s="1" t="n">
        <v>46048</v>
      </c>
      <c r="D677" t="inlineStr">
        <is>
          <t>ÖSTERGÖTLANDS LÄN</t>
        </is>
      </c>
      <c r="E677" t="inlineStr">
        <is>
          <t>LINKÖPING</t>
        </is>
      </c>
      <c r="F677" t="inlineStr">
        <is>
          <t>Övriga Aktiebolag</t>
        </is>
      </c>
      <c r="G677" t="n">
        <v>5.9</v>
      </c>
      <c r="H677" t="n">
        <v>0</v>
      </c>
      <c r="I677" t="n">
        <v>0</v>
      </c>
      <c r="J677" t="n">
        <v>0</v>
      </c>
      <c r="K677" t="n">
        <v>0</v>
      </c>
      <c r="L677" t="n">
        <v>0</v>
      </c>
      <c r="M677" t="n">
        <v>0</v>
      </c>
      <c r="N677" t="n">
        <v>0</v>
      </c>
      <c r="O677" t="n">
        <v>0</v>
      </c>
      <c r="P677" t="n">
        <v>0</v>
      </c>
      <c r="Q677" t="n">
        <v>0</v>
      </c>
      <c r="R677" s="2" t="inlineStr"/>
    </row>
    <row r="678" ht="15" customHeight="1">
      <c r="A678" t="inlineStr">
        <is>
          <t>A 49605-2025</t>
        </is>
      </c>
      <c r="B678" s="1" t="n">
        <v>45938</v>
      </c>
      <c r="C678" s="1" t="n">
        <v>46048</v>
      </c>
      <c r="D678" t="inlineStr">
        <is>
          <t>ÖSTERGÖTLANDS LÄN</t>
        </is>
      </c>
      <c r="E678" t="inlineStr">
        <is>
          <t>LINKÖPING</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49663-2025</t>
        </is>
      </c>
      <c r="B679" s="1" t="n">
        <v>45938</v>
      </c>
      <c r="C679" s="1" t="n">
        <v>46048</v>
      </c>
      <c r="D679" t="inlineStr">
        <is>
          <t>ÖSTERGÖTLANDS LÄN</t>
        </is>
      </c>
      <c r="E679" t="inlineStr">
        <is>
          <t>LINKÖPING</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49632-2025</t>
        </is>
      </c>
      <c r="B680" s="1" t="n">
        <v>45938</v>
      </c>
      <c r="C680" s="1" t="n">
        <v>46048</v>
      </c>
      <c r="D680" t="inlineStr">
        <is>
          <t>ÖSTERGÖTLANDS LÄN</t>
        </is>
      </c>
      <c r="E680" t="inlineStr">
        <is>
          <t>LINKÖPING</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49647-2025</t>
        </is>
      </c>
      <c r="B681" s="1" t="n">
        <v>45938</v>
      </c>
      <c r="C681" s="1" t="n">
        <v>46048</v>
      </c>
      <c r="D681" t="inlineStr">
        <is>
          <t>ÖSTERGÖTLANDS LÄN</t>
        </is>
      </c>
      <c r="E681" t="inlineStr">
        <is>
          <t>LINKÖPING</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49652-2025</t>
        </is>
      </c>
      <c r="B682" s="1" t="n">
        <v>45938</v>
      </c>
      <c r="C682" s="1" t="n">
        <v>46048</v>
      </c>
      <c r="D682" t="inlineStr">
        <is>
          <t>ÖSTERGÖTLANDS LÄN</t>
        </is>
      </c>
      <c r="E682" t="inlineStr">
        <is>
          <t>LINKÖPING</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49654-2025</t>
        </is>
      </c>
      <c r="B683" s="1" t="n">
        <v>45938</v>
      </c>
      <c r="C683" s="1" t="n">
        <v>46048</v>
      </c>
      <c r="D683" t="inlineStr">
        <is>
          <t>ÖSTERGÖTLANDS LÄN</t>
        </is>
      </c>
      <c r="E683" t="inlineStr">
        <is>
          <t>LINKÖPING</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49615-2025</t>
        </is>
      </c>
      <c r="B684" s="1" t="n">
        <v>45938</v>
      </c>
      <c r="C684" s="1" t="n">
        <v>46048</v>
      </c>
      <c r="D684" t="inlineStr">
        <is>
          <t>ÖSTERGÖTLANDS LÄN</t>
        </is>
      </c>
      <c r="E684" t="inlineStr">
        <is>
          <t>LINKÖPING</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49619-2025</t>
        </is>
      </c>
      <c r="B685" s="1" t="n">
        <v>45938</v>
      </c>
      <c r="C685" s="1" t="n">
        <v>46048</v>
      </c>
      <c r="D685" t="inlineStr">
        <is>
          <t>ÖSTERGÖTLANDS LÄN</t>
        </is>
      </c>
      <c r="E685" t="inlineStr">
        <is>
          <t>LINKÖPING</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49629-2025</t>
        </is>
      </c>
      <c r="B686" s="1" t="n">
        <v>45938</v>
      </c>
      <c r="C686" s="1" t="n">
        <v>46048</v>
      </c>
      <c r="D686" t="inlineStr">
        <is>
          <t>ÖSTERGÖTLANDS LÄN</t>
        </is>
      </c>
      <c r="E686" t="inlineStr">
        <is>
          <t>LINKÖPING</t>
        </is>
      </c>
      <c r="F686" t="inlineStr">
        <is>
          <t>Övriga Aktiebolag</t>
        </is>
      </c>
      <c r="G686" t="n">
        <v>4.5</v>
      </c>
      <c r="H686" t="n">
        <v>0</v>
      </c>
      <c r="I686" t="n">
        <v>0</v>
      </c>
      <c r="J686" t="n">
        <v>0</v>
      </c>
      <c r="K686" t="n">
        <v>0</v>
      </c>
      <c r="L686" t="n">
        <v>0</v>
      </c>
      <c r="M686" t="n">
        <v>0</v>
      </c>
      <c r="N686" t="n">
        <v>0</v>
      </c>
      <c r="O686" t="n">
        <v>0</v>
      </c>
      <c r="P686" t="n">
        <v>0</v>
      </c>
      <c r="Q686" t="n">
        <v>0</v>
      </c>
      <c r="R686" s="2" t="inlineStr"/>
    </row>
    <row r="687" ht="15" customHeight="1">
      <c r="A687" t="inlineStr">
        <is>
          <t>A 49650-2025</t>
        </is>
      </c>
      <c r="B687" s="1" t="n">
        <v>45938</v>
      </c>
      <c r="C687" s="1" t="n">
        <v>46048</v>
      </c>
      <c r="D687" t="inlineStr">
        <is>
          <t>ÖSTERGÖTLANDS LÄN</t>
        </is>
      </c>
      <c r="E687" t="inlineStr">
        <is>
          <t>LINKÖPING</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49633-2025</t>
        </is>
      </c>
      <c r="B688" s="1" t="n">
        <v>45938</v>
      </c>
      <c r="C688" s="1" t="n">
        <v>46048</v>
      </c>
      <c r="D688" t="inlineStr">
        <is>
          <t>ÖSTERGÖTLANDS LÄN</t>
        </is>
      </c>
      <c r="E688" t="inlineStr">
        <is>
          <t>LINKÖPING</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40983-2025</t>
        </is>
      </c>
      <c r="B689" s="1" t="n">
        <v>45898</v>
      </c>
      <c r="C689" s="1" t="n">
        <v>46048</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50056-2025</t>
        </is>
      </c>
      <c r="B690" s="1" t="n">
        <v>45941</v>
      </c>
      <c r="C690" s="1" t="n">
        <v>46048</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50667-2025</t>
        </is>
      </c>
      <c r="B691" s="1" t="n">
        <v>45945</v>
      </c>
      <c r="C691" s="1" t="n">
        <v>46048</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51802-2025</t>
        </is>
      </c>
      <c r="B692" s="1" t="n">
        <v>45950</v>
      </c>
      <c r="C692" s="1" t="n">
        <v>46048</v>
      </c>
      <c r="D692" t="inlineStr">
        <is>
          <t>ÖSTERGÖTLANDS LÄN</t>
        </is>
      </c>
      <c r="E692" t="inlineStr">
        <is>
          <t>LINKÖPING</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52111-2025</t>
        </is>
      </c>
      <c r="B693" s="1" t="n">
        <v>45952.69527777778</v>
      </c>
      <c r="C693" s="1" t="n">
        <v>46048</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52740-2025</t>
        </is>
      </c>
      <c r="B694" s="1" t="n">
        <v>45957.37747685185</v>
      </c>
      <c r="C694" s="1" t="n">
        <v>46048</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52800-2025</t>
        </is>
      </c>
      <c r="B695" s="1" t="n">
        <v>45957.44152777778</v>
      </c>
      <c r="C695" s="1" t="n">
        <v>46048</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52802-2025</t>
        </is>
      </c>
      <c r="B696" s="1" t="n">
        <v>45957.44295138889</v>
      </c>
      <c r="C696" s="1" t="n">
        <v>46048</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52743-2025</t>
        </is>
      </c>
      <c r="B697" s="1" t="n">
        <v>45957.38039351852</v>
      </c>
      <c r="C697" s="1" t="n">
        <v>46048</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52807-2025</t>
        </is>
      </c>
      <c r="B698" s="1" t="n">
        <v>45957.44837962963</v>
      </c>
      <c r="C698" s="1" t="n">
        <v>46048</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54332-2025</t>
        </is>
      </c>
      <c r="B699" s="1" t="n">
        <v>45965.34915509259</v>
      </c>
      <c r="C699" s="1" t="n">
        <v>46048</v>
      </c>
      <c r="D699" t="inlineStr">
        <is>
          <t>ÖSTERGÖTLANDS LÄN</t>
        </is>
      </c>
      <c r="E699" t="inlineStr">
        <is>
          <t>LINKÖPING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54329-2025</t>
        </is>
      </c>
      <c r="B700" s="1" t="n">
        <v>45965.34706018519</v>
      </c>
      <c r="C700" s="1" t="n">
        <v>46048</v>
      </c>
      <c r="D700" t="inlineStr">
        <is>
          <t>ÖSTERGÖTLANDS LÄN</t>
        </is>
      </c>
      <c r="E700" t="inlineStr">
        <is>
          <t>LINKÖPING</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62515-2025</t>
        </is>
      </c>
      <c r="B701" s="1" t="n">
        <v>46007.60548611111</v>
      </c>
      <c r="C701" s="1" t="n">
        <v>46048</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54333-2025</t>
        </is>
      </c>
      <c r="B702" s="1" t="n">
        <v>45965.35090277778</v>
      </c>
      <c r="C702" s="1" t="n">
        <v>46048</v>
      </c>
      <c r="D702" t="inlineStr">
        <is>
          <t>ÖSTERGÖTLANDS LÄN</t>
        </is>
      </c>
      <c r="E702" t="inlineStr">
        <is>
          <t>LINKÖPING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62686-2025</t>
        </is>
      </c>
      <c r="B703" s="1" t="n">
        <v>46008.46769675926</v>
      </c>
      <c r="C703" s="1" t="n">
        <v>46048</v>
      </c>
      <c r="D703" t="inlineStr">
        <is>
          <t>ÖSTERGÖTLANDS LÄN</t>
        </is>
      </c>
      <c r="E703" t="inlineStr">
        <is>
          <t>LINKÖPING</t>
        </is>
      </c>
      <c r="G703" t="n">
        <v>7.6</v>
      </c>
      <c r="H703" t="n">
        <v>0</v>
      </c>
      <c r="I703" t="n">
        <v>0</v>
      </c>
      <c r="J703" t="n">
        <v>0</v>
      </c>
      <c r="K703" t="n">
        <v>0</v>
      </c>
      <c r="L703" t="n">
        <v>0</v>
      </c>
      <c r="M703" t="n">
        <v>0</v>
      </c>
      <c r="N703" t="n">
        <v>0</v>
      </c>
      <c r="O703" t="n">
        <v>0</v>
      </c>
      <c r="P703" t="n">
        <v>0</v>
      </c>
      <c r="Q703" t="n">
        <v>0</v>
      </c>
      <c r="R703" s="2" t="inlineStr"/>
    </row>
    <row r="704" ht="15" customHeight="1">
      <c r="A704" t="inlineStr">
        <is>
          <t>A 62791-2025</t>
        </is>
      </c>
      <c r="B704" s="1" t="n">
        <v>46008.63266203704</v>
      </c>
      <c r="C704" s="1" t="n">
        <v>46048</v>
      </c>
      <c r="D704" t="inlineStr">
        <is>
          <t>ÖSTERGÖTLANDS LÄN</t>
        </is>
      </c>
      <c r="E704" t="inlineStr">
        <is>
          <t>LINKÖPING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55102-2025</t>
        </is>
      </c>
      <c r="B705" s="1" t="n">
        <v>45968.35410879629</v>
      </c>
      <c r="C705" s="1" t="n">
        <v>46048</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55132-2025</t>
        </is>
      </c>
      <c r="B706" s="1" t="n">
        <v>45968.41912037037</v>
      </c>
      <c r="C706" s="1" t="n">
        <v>46048</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63147-2025</t>
        </is>
      </c>
      <c r="B707" s="1" t="n">
        <v>46010.35003472222</v>
      </c>
      <c r="C707" s="1" t="n">
        <v>46048</v>
      </c>
      <c r="D707" t="inlineStr">
        <is>
          <t>ÖSTERGÖTLANDS LÄN</t>
        </is>
      </c>
      <c r="E707" t="inlineStr">
        <is>
          <t>LINKÖPING</t>
        </is>
      </c>
      <c r="G707" t="n">
        <v>4</v>
      </c>
      <c r="H707" t="n">
        <v>0</v>
      </c>
      <c r="I707" t="n">
        <v>0</v>
      </c>
      <c r="J707" t="n">
        <v>0</v>
      </c>
      <c r="K707" t="n">
        <v>0</v>
      </c>
      <c r="L707" t="n">
        <v>0</v>
      </c>
      <c r="M707" t="n">
        <v>0</v>
      </c>
      <c r="N707" t="n">
        <v>0</v>
      </c>
      <c r="O707" t="n">
        <v>0</v>
      </c>
      <c r="P707" t="n">
        <v>0</v>
      </c>
      <c r="Q707" t="n">
        <v>0</v>
      </c>
      <c r="R707" s="2" t="inlineStr"/>
    </row>
    <row r="708" ht="15" customHeight="1">
      <c r="A708" t="inlineStr">
        <is>
          <t>A 55109-2025</t>
        </is>
      </c>
      <c r="B708" s="1" t="n">
        <v>45968.37731481482</v>
      </c>
      <c r="C708" s="1" t="n">
        <v>46048</v>
      </c>
      <c r="D708" t="inlineStr">
        <is>
          <t>ÖSTERGÖTLANDS LÄN</t>
        </is>
      </c>
      <c r="E708" t="inlineStr">
        <is>
          <t>LINKÖPING</t>
        </is>
      </c>
      <c r="G708" t="n">
        <v>3.2</v>
      </c>
      <c r="H708" t="n">
        <v>0</v>
      </c>
      <c r="I708" t="n">
        <v>0</v>
      </c>
      <c r="J708" t="n">
        <v>0</v>
      </c>
      <c r="K708" t="n">
        <v>0</v>
      </c>
      <c r="L708" t="n">
        <v>0</v>
      </c>
      <c r="M708" t="n">
        <v>0</v>
      </c>
      <c r="N708" t="n">
        <v>0</v>
      </c>
      <c r="O708" t="n">
        <v>0</v>
      </c>
      <c r="P708" t="n">
        <v>0</v>
      </c>
      <c r="Q708" t="n">
        <v>0</v>
      </c>
      <c r="R708" s="2" t="inlineStr"/>
    </row>
    <row r="709" ht="15" customHeight="1">
      <c r="A709" t="inlineStr">
        <is>
          <t>A 63144-2025</t>
        </is>
      </c>
      <c r="B709" s="1" t="n">
        <v>46010.34716435185</v>
      </c>
      <c r="C709" s="1" t="n">
        <v>46048</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55165-2025</t>
        </is>
      </c>
      <c r="B710" s="1" t="n">
        <v>45968.48194444444</v>
      </c>
      <c r="C710" s="1" t="n">
        <v>46048</v>
      </c>
      <c r="D710" t="inlineStr">
        <is>
          <t>ÖSTERGÖTLANDS LÄN</t>
        </is>
      </c>
      <c r="E710" t="inlineStr">
        <is>
          <t>LINKÖPING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56113-2025</t>
        </is>
      </c>
      <c r="B711" s="1" t="n">
        <v>45973.73924768518</v>
      </c>
      <c r="C711" s="1" t="n">
        <v>46048</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56105-2025</t>
        </is>
      </c>
      <c r="B712" s="1" t="n">
        <v>45973.72855324074</v>
      </c>
      <c r="C712" s="1" t="n">
        <v>46048</v>
      </c>
      <c r="D712" t="inlineStr">
        <is>
          <t>ÖSTERGÖTLANDS LÄN</t>
        </is>
      </c>
      <c r="E712" t="inlineStr">
        <is>
          <t>LINKÖPING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56403-2025</t>
        </is>
      </c>
      <c r="B713" s="1" t="n">
        <v>45974</v>
      </c>
      <c r="C713" s="1" t="n">
        <v>46048</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56704-2025</t>
        </is>
      </c>
      <c r="B714" s="1" t="n">
        <v>45977.50608796296</v>
      </c>
      <c r="C714" s="1" t="n">
        <v>46048</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58802-2025</t>
        </is>
      </c>
      <c r="B715" s="1" t="n">
        <v>45986.8768287037</v>
      </c>
      <c r="C715" s="1" t="n">
        <v>46048</v>
      </c>
      <c r="D715" t="inlineStr">
        <is>
          <t>ÖSTERGÖTLANDS LÄN</t>
        </is>
      </c>
      <c r="E715" t="inlineStr">
        <is>
          <t>LINKÖPING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55004-2025</t>
        </is>
      </c>
      <c r="B716" s="1" t="n">
        <v>45967</v>
      </c>
      <c r="C716" s="1" t="n">
        <v>46048</v>
      </c>
      <c r="D716" t="inlineStr">
        <is>
          <t>ÖSTERGÖTLANDS LÄN</t>
        </is>
      </c>
      <c r="E716" t="inlineStr">
        <is>
          <t>LINKÖPING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59205-2025</t>
        </is>
      </c>
      <c r="B717" s="1" t="n">
        <v>45988.60721064815</v>
      </c>
      <c r="C717" s="1" t="n">
        <v>46048</v>
      </c>
      <c r="D717" t="inlineStr">
        <is>
          <t>ÖSTERGÖTLANDS LÄN</t>
        </is>
      </c>
      <c r="E717" t="inlineStr">
        <is>
          <t>LINKÖPING</t>
        </is>
      </c>
      <c r="F717" t="inlineStr">
        <is>
          <t>Sveaskog</t>
        </is>
      </c>
      <c r="G717" t="n">
        <v>11.3</v>
      </c>
      <c r="H717" t="n">
        <v>0</v>
      </c>
      <c r="I717" t="n">
        <v>0</v>
      </c>
      <c r="J717" t="n">
        <v>0</v>
      </c>
      <c r="K717" t="n">
        <v>0</v>
      </c>
      <c r="L717" t="n">
        <v>0</v>
      </c>
      <c r="M717" t="n">
        <v>0</v>
      </c>
      <c r="N717" t="n">
        <v>0</v>
      </c>
      <c r="O717" t="n">
        <v>0</v>
      </c>
      <c r="P717" t="n">
        <v>0</v>
      </c>
      <c r="Q717" t="n">
        <v>0</v>
      </c>
      <c r="R717" s="2" t="inlineStr"/>
    </row>
    <row r="718" ht="15" customHeight="1">
      <c r="A718" t="inlineStr">
        <is>
          <t>A 858-2026</t>
        </is>
      </c>
      <c r="B718" s="1" t="n">
        <v>46030.41200231481</v>
      </c>
      <c r="C718" s="1" t="n">
        <v>46048</v>
      </c>
      <c r="D718" t="inlineStr">
        <is>
          <t>ÖSTERGÖTLANDS LÄN</t>
        </is>
      </c>
      <c r="E718" t="inlineStr">
        <is>
          <t>LINKÖPING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860-2026</t>
        </is>
      </c>
      <c r="B719" s="1" t="n">
        <v>46030.41974537037</v>
      </c>
      <c r="C719" s="1" t="n">
        <v>46048</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873-2026</t>
        </is>
      </c>
      <c r="B720" s="1" t="n">
        <v>46030.43818287037</v>
      </c>
      <c r="C720" s="1" t="n">
        <v>46048</v>
      </c>
      <c r="D720" t="inlineStr">
        <is>
          <t>ÖSTERGÖTLANDS LÄN</t>
        </is>
      </c>
      <c r="E720" t="inlineStr">
        <is>
          <t>LINKÖPING</t>
        </is>
      </c>
      <c r="G720" t="n">
        <v>4.1</v>
      </c>
      <c r="H720" t="n">
        <v>0</v>
      </c>
      <c r="I720" t="n">
        <v>0</v>
      </c>
      <c r="J720" t="n">
        <v>0</v>
      </c>
      <c r="K720" t="n">
        <v>0</v>
      </c>
      <c r="L720" t="n">
        <v>0</v>
      </c>
      <c r="M720" t="n">
        <v>0</v>
      </c>
      <c r="N720" t="n">
        <v>0</v>
      </c>
      <c r="O720" t="n">
        <v>0</v>
      </c>
      <c r="P720" t="n">
        <v>0</v>
      </c>
      <c r="Q720" t="n">
        <v>0</v>
      </c>
      <c r="R720" s="2" t="inlineStr"/>
    </row>
    <row r="721" ht="15" customHeight="1">
      <c r="A721" t="inlineStr">
        <is>
          <t>A 944-2026</t>
        </is>
      </c>
      <c r="B721" s="1" t="n">
        <v>46030.53461805556</v>
      </c>
      <c r="C721" s="1" t="n">
        <v>46048</v>
      </c>
      <c r="D721" t="inlineStr">
        <is>
          <t>ÖSTERGÖTLANDS LÄN</t>
        </is>
      </c>
      <c r="E721" t="inlineStr">
        <is>
          <t>LINKÖPING</t>
        </is>
      </c>
      <c r="F721" t="inlineStr">
        <is>
          <t>Allmännings- och besparingsskogar</t>
        </is>
      </c>
      <c r="G721" t="n">
        <v>0.9</v>
      </c>
      <c r="H721" t="n">
        <v>0</v>
      </c>
      <c r="I721" t="n">
        <v>0</v>
      </c>
      <c r="J721" t="n">
        <v>0</v>
      </c>
      <c r="K721" t="n">
        <v>0</v>
      </c>
      <c r="L721" t="n">
        <v>0</v>
      </c>
      <c r="M721" t="n">
        <v>0</v>
      </c>
      <c r="N721" t="n">
        <v>0</v>
      </c>
      <c r="O721" t="n">
        <v>0</v>
      </c>
      <c r="P721" t="n">
        <v>0</v>
      </c>
      <c r="Q721" t="n">
        <v>0</v>
      </c>
      <c r="R721" s="2" t="inlineStr"/>
    </row>
    <row r="722" ht="15" customHeight="1">
      <c r="A722" t="inlineStr">
        <is>
          <t>A 1223-2026</t>
        </is>
      </c>
      <c r="B722" s="1" t="n">
        <v>46031.40233796297</v>
      </c>
      <c r="C722" s="1" t="n">
        <v>46048</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59472-2025</t>
        </is>
      </c>
      <c r="B723" s="1" t="n">
        <v>45989.58321759259</v>
      </c>
      <c r="C723" s="1" t="n">
        <v>46048</v>
      </c>
      <c r="D723" t="inlineStr">
        <is>
          <t>ÖSTERGÖTLANDS LÄN</t>
        </is>
      </c>
      <c r="E723" t="inlineStr">
        <is>
          <t>LINKÖPING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859-2026</t>
        </is>
      </c>
      <c r="B724" s="1" t="n">
        <v>46030.41450231482</v>
      </c>
      <c r="C724" s="1" t="n">
        <v>46048</v>
      </c>
      <c r="D724" t="inlineStr">
        <is>
          <t>ÖSTERGÖTLANDS LÄN</t>
        </is>
      </c>
      <c r="E724" t="inlineStr">
        <is>
          <t>LINKÖPING</t>
        </is>
      </c>
      <c r="G724" t="n">
        <v>0.2</v>
      </c>
      <c r="H724" t="n">
        <v>0</v>
      </c>
      <c r="I724" t="n">
        <v>0</v>
      </c>
      <c r="J724" t="n">
        <v>0</v>
      </c>
      <c r="K724" t="n">
        <v>0</v>
      </c>
      <c r="L724" t="n">
        <v>0</v>
      </c>
      <c r="M724" t="n">
        <v>0</v>
      </c>
      <c r="N724" t="n">
        <v>0</v>
      </c>
      <c r="O724" t="n">
        <v>0</v>
      </c>
      <c r="P724" t="n">
        <v>0</v>
      </c>
      <c r="Q724" t="n">
        <v>0</v>
      </c>
      <c r="R724" s="2" t="inlineStr"/>
    </row>
    <row r="725" ht="15" customHeight="1">
      <c r="A725" t="inlineStr">
        <is>
          <t>A 856-2026</t>
        </is>
      </c>
      <c r="B725" s="1" t="n">
        <v>46030.40644675926</v>
      </c>
      <c r="C725" s="1" t="n">
        <v>46048</v>
      </c>
      <c r="D725" t="inlineStr">
        <is>
          <t>ÖSTERGÖTLANDS LÄN</t>
        </is>
      </c>
      <c r="E725" t="inlineStr">
        <is>
          <t>LINKÖPING</t>
        </is>
      </c>
      <c r="G725" t="n">
        <v>6.4</v>
      </c>
      <c r="H725" t="n">
        <v>0</v>
      </c>
      <c r="I725" t="n">
        <v>0</v>
      </c>
      <c r="J725" t="n">
        <v>0</v>
      </c>
      <c r="K725" t="n">
        <v>0</v>
      </c>
      <c r="L725" t="n">
        <v>0</v>
      </c>
      <c r="M725" t="n">
        <v>0</v>
      </c>
      <c r="N725" t="n">
        <v>0</v>
      </c>
      <c r="O725" t="n">
        <v>0</v>
      </c>
      <c r="P725" t="n">
        <v>0</v>
      </c>
      <c r="Q725" t="n">
        <v>0</v>
      </c>
      <c r="R725" s="2" t="inlineStr"/>
    </row>
    <row r="726" ht="15" customHeight="1">
      <c r="A726" t="inlineStr">
        <is>
          <t>A 927-2026</t>
        </is>
      </c>
      <c r="B726" s="1" t="n">
        <v>46030.50560185185</v>
      </c>
      <c r="C726" s="1" t="n">
        <v>46048</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940-2026</t>
        </is>
      </c>
      <c r="B727" s="1" t="n">
        <v>46030.53052083333</v>
      </c>
      <c r="C727" s="1" t="n">
        <v>46048</v>
      </c>
      <c r="D727" t="inlineStr">
        <is>
          <t>ÖSTERGÖTLANDS LÄN</t>
        </is>
      </c>
      <c r="E727" t="inlineStr">
        <is>
          <t>LINKÖPING</t>
        </is>
      </c>
      <c r="F727" t="inlineStr">
        <is>
          <t>Allmännings- och besparingsskogar</t>
        </is>
      </c>
      <c r="G727" t="n">
        <v>2.9</v>
      </c>
      <c r="H727" t="n">
        <v>0</v>
      </c>
      <c r="I727" t="n">
        <v>0</v>
      </c>
      <c r="J727" t="n">
        <v>0</v>
      </c>
      <c r="K727" t="n">
        <v>0</v>
      </c>
      <c r="L727" t="n">
        <v>0</v>
      </c>
      <c r="M727" t="n">
        <v>0</v>
      </c>
      <c r="N727" t="n">
        <v>0</v>
      </c>
      <c r="O727" t="n">
        <v>0</v>
      </c>
      <c r="P727" t="n">
        <v>0</v>
      </c>
      <c r="Q727" t="n">
        <v>0</v>
      </c>
      <c r="R727" s="2" t="inlineStr"/>
    </row>
    <row r="728" ht="15" customHeight="1">
      <c r="A728" t="inlineStr">
        <is>
          <t>A 60087-2025</t>
        </is>
      </c>
      <c r="B728" s="1" t="n">
        <v>45993.71726851852</v>
      </c>
      <c r="C728" s="1" t="n">
        <v>46048</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2030-2026</t>
        </is>
      </c>
      <c r="B729" s="1" t="n">
        <v>46035.73590277778</v>
      </c>
      <c r="C729" s="1" t="n">
        <v>46048</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2031-2026</t>
        </is>
      </c>
      <c r="B730" s="1" t="n">
        <v>46035.74182870371</v>
      </c>
      <c r="C730" s="1" t="n">
        <v>46048</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60306-2025</t>
        </is>
      </c>
      <c r="B731" s="1" t="n">
        <v>45994.68326388889</v>
      </c>
      <c r="C731" s="1" t="n">
        <v>46048</v>
      </c>
      <c r="D731" t="inlineStr">
        <is>
          <t>ÖSTERGÖTLANDS LÄN</t>
        </is>
      </c>
      <c r="E731" t="inlineStr">
        <is>
          <t>LINKÖPING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60284-2025</t>
        </is>
      </c>
      <c r="B732" s="1" t="n">
        <v>45994.64373842593</v>
      </c>
      <c r="C732" s="1" t="n">
        <v>46048</v>
      </c>
      <c r="D732" t="inlineStr">
        <is>
          <t>ÖSTERGÖTLANDS LÄN</t>
        </is>
      </c>
      <c r="E732" t="inlineStr">
        <is>
          <t>LINKÖPING</t>
        </is>
      </c>
      <c r="G732" t="n">
        <v>3.5</v>
      </c>
      <c r="H732" t="n">
        <v>0</v>
      </c>
      <c r="I732" t="n">
        <v>0</v>
      </c>
      <c r="J732" t="n">
        <v>0</v>
      </c>
      <c r="K732" t="n">
        <v>0</v>
      </c>
      <c r="L732" t="n">
        <v>0</v>
      </c>
      <c r="M732" t="n">
        <v>0</v>
      </c>
      <c r="N732" t="n">
        <v>0</v>
      </c>
      <c r="O732" t="n">
        <v>0</v>
      </c>
      <c r="P732" t="n">
        <v>0</v>
      </c>
      <c r="Q732" t="n">
        <v>0</v>
      </c>
      <c r="R732" s="2" t="inlineStr"/>
    </row>
    <row r="733" ht="15" customHeight="1">
      <c r="A733" t="inlineStr">
        <is>
          <t>A 3044-2026</t>
        </is>
      </c>
      <c r="B733" s="1" t="n">
        <v>46038.73855324074</v>
      </c>
      <c r="C733" s="1" t="n">
        <v>46048</v>
      </c>
      <c r="D733" t="inlineStr">
        <is>
          <t>ÖSTERGÖTLANDS LÄN</t>
        </is>
      </c>
      <c r="E733" t="inlineStr">
        <is>
          <t>LINKÖPING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3043-2026</t>
        </is>
      </c>
      <c r="B734" s="1" t="n">
        <v>46038.73675925926</v>
      </c>
      <c r="C734" s="1" t="n">
        <v>46048</v>
      </c>
      <c r="D734" t="inlineStr">
        <is>
          <t>ÖSTERGÖTLANDS LÄN</t>
        </is>
      </c>
      <c r="E734" t="inlineStr">
        <is>
          <t>LINKÖPING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3046-2026</t>
        </is>
      </c>
      <c r="B735" s="1" t="n">
        <v>46038.74182870371</v>
      </c>
      <c r="C735" s="1" t="n">
        <v>46048</v>
      </c>
      <c r="D735" t="inlineStr">
        <is>
          <t>ÖSTERGÖTLANDS LÄN</t>
        </is>
      </c>
      <c r="E735" t="inlineStr">
        <is>
          <t>LINKÖPING</t>
        </is>
      </c>
      <c r="G735" t="n">
        <v>1.9</v>
      </c>
      <c r="H735" t="n">
        <v>0</v>
      </c>
      <c r="I735" t="n">
        <v>0</v>
      </c>
      <c r="J735" t="n">
        <v>0</v>
      </c>
      <c r="K735" t="n">
        <v>0</v>
      </c>
      <c r="L735" t="n">
        <v>0</v>
      </c>
      <c r="M735" t="n">
        <v>0</v>
      </c>
      <c r="N735" t="n">
        <v>0</v>
      </c>
      <c r="O735" t="n">
        <v>0</v>
      </c>
      <c r="P735" t="n">
        <v>0</v>
      </c>
      <c r="Q735" t="n">
        <v>0</v>
      </c>
      <c r="R735" s="2" t="inlineStr"/>
    </row>
    <row r="736" ht="15" customHeight="1">
      <c r="A736" t="inlineStr">
        <is>
          <t>A 60703-2025</t>
        </is>
      </c>
      <c r="B736" s="1" t="n">
        <v>45996.6052662037</v>
      </c>
      <c r="C736" s="1" t="n">
        <v>46048</v>
      </c>
      <c r="D736" t="inlineStr">
        <is>
          <t>ÖSTERGÖTLANDS LÄN</t>
        </is>
      </c>
      <c r="E736" t="inlineStr">
        <is>
          <t>LINKÖPING</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3045-2026</t>
        </is>
      </c>
      <c r="B737" s="1" t="n">
        <v>46038.74047453704</v>
      </c>
      <c r="C737" s="1" t="n">
        <v>46048</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60866-2025</t>
        </is>
      </c>
      <c r="B738" s="1" t="n">
        <v>45999</v>
      </c>
      <c r="C738" s="1" t="n">
        <v>46048</v>
      </c>
      <c r="D738" t="inlineStr">
        <is>
          <t>ÖSTERGÖTLANDS LÄN</t>
        </is>
      </c>
      <c r="E738" t="inlineStr">
        <is>
          <t>LINKÖPING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61230-2025</t>
        </is>
      </c>
      <c r="B739" s="1" t="n">
        <v>46000.63111111111</v>
      </c>
      <c r="C739" s="1" t="n">
        <v>46048</v>
      </c>
      <c r="D739" t="inlineStr">
        <is>
          <t>ÖSTERGÖTLANDS LÄN</t>
        </is>
      </c>
      <c r="E739" t="inlineStr">
        <is>
          <t>LINKÖPING</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61447-2025</t>
        </is>
      </c>
      <c r="B740" s="1" t="n">
        <v>46001.57554398148</v>
      </c>
      <c r="C740" s="1" t="n">
        <v>46048</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4469-2026</t>
        </is>
      </c>
      <c r="B741" s="1" t="n">
        <v>46045.65662037037</v>
      </c>
      <c r="C741" s="1" t="n">
        <v>46048</v>
      </c>
      <c r="D741" t="inlineStr">
        <is>
          <t>ÖSTERGÖTLANDS LÄN</t>
        </is>
      </c>
      <c r="E741" t="inlineStr">
        <is>
          <t>LINKÖPING</t>
        </is>
      </c>
      <c r="F741" t="inlineStr">
        <is>
          <t>Övriga Aktiebolag</t>
        </is>
      </c>
      <c r="G741" t="n">
        <v>3.8</v>
      </c>
      <c r="H741" t="n">
        <v>0</v>
      </c>
      <c r="I741" t="n">
        <v>0</v>
      </c>
      <c r="J741" t="n">
        <v>0</v>
      </c>
      <c r="K741" t="n">
        <v>0</v>
      </c>
      <c r="L741" t="n">
        <v>0</v>
      </c>
      <c r="M741" t="n">
        <v>0</v>
      </c>
      <c r="N741" t="n">
        <v>0</v>
      </c>
      <c r="O741" t="n">
        <v>0</v>
      </c>
      <c r="P741" t="n">
        <v>0</v>
      </c>
      <c r="Q741" t="n">
        <v>0</v>
      </c>
      <c r="R741" s="2" t="inlineStr"/>
    </row>
    <row r="742" ht="15" customHeight="1">
      <c r="A742" t="inlineStr">
        <is>
          <t>A 61899-2025</t>
        </is>
      </c>
      <c r="B742" s="1" t="n">
        <v>46003.46635416667</v>
      </c>
      <c r="C742" s="1" t="n">
        <v>46048</v>
      </c>
      <c r="D742" t="inlineStr">
        <is>
          <t>ÖSTERGÖTLANDS LÄN</t>
        </is>
      </c>
      <c r="E742" t="inlineStr">
        <is>
          <t>LINKÖPING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61643-2025</t>
        </is>
      </c>
      <c r="B743" s="1" t="n">
        <v>46002.43575231481</v>
      </c>
      <c r="C743" s="1" t="n">
        <v>46048</v>
      </c>
      <c r="D743" t="inlineStr">
        <is>
          <t>ÖSTERGÖTLANDS LÄN</t>
        </is>
      </c>
      <c r="E743" t="inlineStr">
        <is>
          <t>LINKÖPING</t>
        </is>
      </c>
      <c r="G743" t="n">
        <v>0.8</v>
      </c>
      <c r="H743" t="n">
        <v>0</v>
      </c>
      <c r="I743" t="n">
        <v>0</v>
      </c>
      <c r="J743" t="n">
        <v>0</v>
      </c>
      <c r="K743" t="n">
        <v>0</v>
      </c>
      <c r="L743" t="n">
        <v>0</v>
      </c>
      <c r="M743" t="n">
        <v>0</v>
      </c>
      <c r="N743" t="n">
        <v>0</v>
      </c>
      <c r="O743" t="n">
        <v>0</v>
      </c>
      <c r="P743" t="n">
        <v>0</v>
      </c>
      <c r="Q743" t="n">
        <v>0</v>
      </c>
      <c r="R743" s="2" t="inlineStr"/>
    </row>
    <row r="744">
      <c r="A744" t="inlineStr">
        <is>
          <t>A 61645-2025</t>
        </is>
      </c>
      <c r="B744" s="1" t="n">
        <v>46002.43697916667</v>
      </c>
      <c r="C744" s="1" t="n">
        <v>46048</v>
      </c>
      <c r="D744" t="inlineStr">
        <is>
          <t>ÖSTERGÖTLANDS LÄN</t>
        </is>
      </c>
      <c r="E744" t="inlineStr">
        <is>
          <t>LINKÖPING</t>
        </is>
      </c>
      <c r="G744" t="n">
        <v>1.9</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2026-01-26T11:01:50Z</dcterms:created>
  <dcterms:modified xmlns:dcterms="http://purl.org/dc/terms/" xmlns:xsi="http://www.w3.org/2001/XMLSchema-instance" xsi:type="dcterms:W3CDTF">2026-01-26T11:01:51Z</dcterms:modified>
</cp:coreProperties>
</file>