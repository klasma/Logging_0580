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45965</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17502-2022</t>
        </is>
      </c>
      <c r="B13" s="1" t="n">
        <v>44679</v>
      </c>
      <c r="C13" s="1" t="n">
        <v>45965</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45965</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45965</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45965</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45965</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45965</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45965</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45965</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45965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45965</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45965</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45965</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55344-2024</t>
        </is>
      </c>
      <c r="B25" s="1" t="n">
        <v>45621.7202662037</v>
      </c>
      <c r="C25" s="1" t="n">
        <v>45965</v>
      </c>
      <c r="D25" t="inlineStr">
        <is>
          <t>ÖSTERGÖTLANDS LÄN</t>
        </is>
      </c>
      <c r="E25" t="inlineStr">
        <is>
          <t>LINKÖPING</t>
        </is>
      </c>
      <c r="G25" t="n">
        <v>6.6</v>
      </c>
      <c r="H25" t="n">
        <v>0</v>
      </c>
      <c r="I25" t="n">
        <v>0</v>
      </c>
      <c r="J25" t="n">
        <v>2</v>
      </c>
      <c r="K25" t="n">
        <v>0</v>
      </c>
      <c r="L25" t="n">
        <v>0</v>
      </c>
      <c r="M25" t="n">
        <v>0</v>
      </c>
      <c r="N25" t="n">
        <v>0</v>
      </c>
      <c r="O25" t="n">
        <v>2</v>
      </c>
      <c r="P25" t="n">
        <v>0</v>
      </c>
      <c r="Q25" t="n">
        <v>2</v>
      </c>
      <c r="R25" s="2" t="inlineStr">
        <is>
          <t>Kandelabersvamp
Stjärnnästing</t>
        </is>
      </c>
      <c r="S25">
        <f>HYPERLINK("https://klasma.github.io/Logging_0580/artfynd/A 55344-2024 artfynd.xlsx", "A 55344-2024")</f>
        <v/>
      </c>
      <c r="T25">
        <f>HYPERLINK("https://klasma.github.io/Logging_0580/kartor/A 55344-2024 karta.png", "A 55344-2024")</f>
        <v/>
      </c>
      <c r="V25">
        <f>HYPERLINK("https://klasma.github.io/Logging_0580/klagomål/A 55344-2024 FSC-klagomål.docx", "A 55344-2024")</f>
        <v/>
      </c>
      <c r="W25">
        <f>HYPERLINK("https://klasma.github.io/Logging_0580/klagomålsmail/A 55344-2024 FSC-klagomål mail.docx", "A 55344-2024")</f>
        <v/>
      </c>
      <c r="X25">
        <f>HYPERLINK("https://klasma.github.io/Logging_0580/tillsyn/A 55344-2024 tillsynsbegäran.docx", "A 55344-2024")</f>
        <v/>
      </c>
      <c r="Y25">
        <f>HYPERLINK("https://klasma.github.io/Logging_0580/tillsynsmail/A 55344-2024 tillsynsbegäran mail.docx", "A 55344-2024")</f>
        <v/>
      </c>
    </row>
    <row r="26" ht="15" customHeight="1">
      <c r="A26" t="inlineStr">
        <is>
          <t>A 20292-2025</t>
        </is>
      </c>
      <c r="B26" s="1" t="n">
        <v>45774.7449537037</v>
      </c>
      <c r="C26" s="1" t="n">
        <v>45965</v>
      </c>
      <c r="D26" t="inlineStr">
        <is>
          <t>ÖSTERGÖTLANDS LÄN</t>
        </is>
      </c>
      <c r="E26" t="inlineStr">
        <is>
          <t>LINKÖPING</t>
        </is>
      </c>
      <c r="G26" t="n">
        <v>8.4</v>
      </c>
      <c r="H26" t="n">
        <v>1</v>
      </c>
      <c r="I26" t="n">
        <v>1</v>
      </c>
      <c r="J26" t="n">
        <v>0</v>
      </c>
      <c r="K26" t="n">
        <v>0</v>
      </c>
      <c r="L26" t="n">
        <v>0</v>
      </c>
      <c r="M26" t="n">
        <v>0</v>
      </c>
      <c r="N26" t="n">
        <v>0</v>
      </c>
      <c r="O26" t="n">
        <v>0</v>
      </c>
      <c r="P26" t="n">
        <v>0</v>
      </c>
      <c r="Q26" t="n">
        <v>2</v>
      </c>
      <c r="R26" s="2" t="inlineStr">
        <is>
          <t>Blåmossa
Blåsippa</t>
        </is>
      </c>
      <c r="S26">
        <f>HYPERLINK("https://klasma.github.io/Logging_0580/artfynd/A 20292-2025 artfynd.xlsx", "A 20292-2025")</f>
        <v/>
      </c>
      <c r="T26">
        <f>HYPERLINK("https://klasma.github.io/Logging_0580/kartor/A 20292-2025 karta.png", "A 20292-2025")</f>
        <v/>
      </c>
      <c r="V26">
        <f>HYPERLINK("https://klasma.github.io/Logging_0580/klagomål/A 20292-2025 FSC-klagomål.docx", "A 20292-2025")</f>
        <v/>
      </c>
      <c r="W26">
        <f>HYPERLINK("https://klasma.github.io/Logging_0580/klagomålsmail/A 20292-2025 FSC-klagomål mail.docx", "A 20292-2025")</f>
        <v/>
      </c>
      <c r="X26">
        <f>HYPERLINK("https://klasma.github.io/Logging_0580/tillsyn/A 20292-2025 tillsynsbegäran.docx", "A 20292-2025")</f>
        <v/>
      </c>
      <c r="Y26">
        <f>HYPERLINK("https://klasma.github.io/Logging_0580/tillsynsmail/A 20292-2025 tillsynsbegäran mail.docx", "A 20292-2025")</f>
        <v/>
      </c>
    </row>
    <row r="27" ht="15" customHeight="1">
      <c r="A27" t="inlineStr">
        <is>
          <t>A 58068-2021</t>
        </is>
      </c>
      <c r="B27" s="1" t="n">
        <v>44487</v>
      </c>
      <c r="C27" s="1" t="n">
        <v>45965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22040-2023</t>
        </is>
      </c>
      <c r="B28" s="1" t="n">
        <v>45068</v>
      </c>
      <c r="C28" s="1" t="n">
        <v>45965</v>
      </c>
      <c r="D28" t="inlineStr">
        <is>
          <t>ÖSTERGÖTLANDS LÄN</t>
        </is>
      </c>
      <c r="E28" t="inlineStr">
        <is>
          <t>LINKÖPING</t>
        </is>
      </c>
      <c r="F28" t="inlineStr">
        <is>
          <t>Kommuner</t>
        </is>
      </c>
      <c r="G28" t="n">
        <v>1</v>
      </c>
      <c r="H28" t="n">
        <v>1</v>
      </c>
      <c r="I28" t="n">
        <v>1</v>
      </c>
      <c r="J28" t="n">
        <v>0</v>
      </c>
      <c r="K28" t="n">
        <v>1</v>
      </c>
      <c r="L28" t="n">
        <v>0</v>
      </c>
      <c r="M28" t="n">
        <v>0</v>
      </c>
      <c r="N28" t="n">
        <v>0</v>
      </c>
      <c r="O28" t="n">
        <v>1</v>
      </c>
      <c r="P28" t="n">
        <v>1</v>
      </c>
      <c r="Q28" t="n">
        <v>2</v>
      </c>
      <c r="R28" s="2" t="inlineStr">
        <is>
          <t>Bombmurkla
Skarp dropptaggsvamp</t>
        </is>
      </c>
      <c r="S28">
        <f>HYPERLINK("https://klasma.github.io/Logging_0580/artfynd/A 22040-2023 artfynd.xlsx", "A 22040-2023")</f>
        <v/>
      </c>
      <c r="T28">
        <f>HYPERLINK("https://klasma.github.io/Logging_0580/kartor/A 22040-2023 karta.png", "A 22040-2023")</f>
        <v/>
      </c>
      <c r="V28">
        <f>HYPERLINK("https://klasma.github.io/Logging_0580/klagomål/A 22040-2023 FSC-klagomål.docx", "A 22040-2023")</f>
        <v/>
      </c>
      <c r="W28">
        <f>HYPERLINK("https://klasma.github.io/Logging_0580/klagomålsmail/A 22040-2023 FSC-klagomål mail.docx", "A 22040-2023")</f>
        <v/>
      </c>
      <c r="X28">
        <f>HYPERLINK("https://klasma.github.io/Logging_0580/tillsyn/A 22040-2023 tillsynsbegäran.docx", "A 22040-2023")</f>
        <v/>
      </c>
      <c r="Y28">
        <f>HYPERLINK("https://klasma.github.io/Logging_0580/tillsynsmail/A 22040-2023 tillsynsbegäran mail.docx", "A 22040-2023")</f>
        <v/>
      </c>
    </row>
    <row r="29" ht="15" customHeight="1">
      <c r="A29" t="inlineStr">
        <is>
          <t>A 58068-2021</t>
        </is>
      </c>
      <c r="B29" s="1" t="n">
        <v>44487</v>
      </c>
      <c r="C29" s="1" t="n">
        <v>45965</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45965</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38913-2023</t>
        </is>
      </c>
      <c r="B31" s="1" t="n">
        <v>45163</v>
      </c>
      <c r="C31" s="1" t="n">
        <v>45965</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21326-2025</t>
        </is>
      </c>
      <c r="B32" s="1" t="n">
        <v>45782.35407407407</v>
      </c>
      <c r="C32" s="1" t="n">
        <v>45965</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27981-2022</t>
        </is>
      </c>
      <c r="B33" s="1" t="n">
        <v>44745</v>
      </c>
      <c r="C33" s="1" t="n">
        <v>45965</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27795-2025</t>
        </is>
      </c>
      <c r="B34" s="1" t="n">
        <v>45816.7908912037</v>
      </c>
      <c r="C34" s="1" t="n">
        <v>45965</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45965</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45965</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45965</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8818-2025</t>
        </is>
      </c>
      <c r="B38" s="1" t="n">
        <v>45712</v>
      </c>
      <c r="C38" s="1" t="n">
        <v>45965</v>
      </c>
      <c r="D38" t="inlineStr">
        <is>
          <t>ÖSTERGÖTLANDS LÄN</t>
        </is>
      </c>
      <c r="E38" t="inlineStr">
        <is>
          <t>LINKÖPING</t>
        </is>
      </c>
      <c r="F38" t="inlineStr">
        <is>
          <t>Kommuner</t>
        </is>
      </c>
      <c r="G38" t="n">
        <v>0.6</v>
      </c>
      <c r="H38" t="n">
        <v>0</v>
      </c>
      <c r="I38" t="n">
        <v>0</v>
      </c>
      <c r="J38" t="n">
        <v>1</v>
      </c>
      <c r="K38" t="n">
        <v>1</v>
      </c>
      <c r="L38" t="n">
        <v>0</v>
      </c>
      <c r="M38" t="n">
        <v>0</v>
      </c>
      <c r="N38" t="n">
        <v>0</v>
      </c>
      <c r="O38" t="n">
        <v>2</v>
      </c>
      <c r="P38" t="n">
        <v>1</v>
      </c>
      <c r="Q38" t="n">
        <v>2</v>
      </c>
      <c r="R38" s="2" t="inlineStr">
        <is>
          <t>Luddvicker
Klubbsprötad bastardsvärmare</t>
        </is>
      </c>
      <c r="S38">
        <f>HYPERLINK("https://klasma.github.io/Logging_0580/artfynd/A 8818-2025 artfynd.xlsx", "A 8818-2025")</f>
        <v/>
      </c>
      <c r="T38">
        <f>HYPERLINK("https://klasma.github.io/Logging_0580/kartor/A 8818-2025 karta.png", "A 8818-2025")</f>
        <v/>
      </c>
      <c r="V38">
        <f>HYPERLINK("https://klasma.github.io/Logging_0580/klagomål/A 8818-2025 FSC-klagomål.docx", "A 8818-2025")</f>
        <v/>
      </c>
      <c r="W38">
        <f>HYPERLINK("https://klasma.github.io/Logging_0580/klagomålsmail/A 8818-2025 FSC-klagomål mail.docx", "A 8818-2025")</f>
        <v/>
      </c>
      <c r="X38">
        <f>HYPERLINK("https://klasma.github.io/Logging_0580/tillsyn/A 8818-2025 tillsynsbegäran.docx", "A 8818-2025")</f>
        <v/>
      </c>
      <c r="Y38">
        <f>HYPERLINK("https://klasma.github.io/Logging_0580/tillsynsmail/A 8818-2025 tillsynsbegäran mail.docx", "A 8818-2025")</f>
        <v/>
      </c>
    </row>
    <row r="39" ht="15" customHeight="1">
      <c r="A39" t="inlineStr">
        <is>
          <t>A 14879-2024</t>
        </is>
      </c>
      <c r="B39" s="1" t="n">
        <v>45398</v>
      </c>
      <c r="C39" s="1" t="n">
        <v>45965</v>
      </c>
      <c r="D39" t="inlineStr">
        <is>
          <t>ÖSTERGÖTLANDS LÄN</t>
        </is>
      </c>
      <c r="E39" t="inlineStr">
        <is>
          <t>LINKÖPING</t>
        </is>
      </c>
      <c r="F39" t="inlineStr">
        <is>
          <t>Övriga Aktiebolag</t>
        </is>
      </c>
      <c r="G39" t="n">
        <v>1.7</v>
      </c>
      <c r="H39" t="n">
        <v>1</v>
      </c>
      <c r="I39" t="n">
        <v>1</v>
      </c>
      <c r="J39" t="n">
        <v>0</v>
      </c>
      <c r="K39" t="n">
        <v>0</v>
      </c>
      <c r="L39" t="n">
        <v>0</v>
      </c>
      <c r="M39" t="n">
        <v>0</v>
      </c>
      <c r="N39" t="n">
        <v>0</v>
      </c>
      <c r="O39" t="n">
        <v>0</v>
      </c>
      <c r="P39" t="n">
        <v>0</v>
      </c>
      <c r="Q39" t="n">
        <v>2</v>
      </c>
      <c r="R39" s="2" t="inlineStr">
        <is>
          <t>Svart trolldruva
Grönvit nattviol</t>
        </is>
      </c>
      <c r="S39">
        <f>HYPERLINK("https://klasma.github.io/Logging_0580/artfynd/A 14879-2024 artfynd.xlsx", "A 14879-2024")</f>
        <v/>
      </c>
      <c r="T39">
        <f>HYPERLINK("https://klasma.github.io/Logging_0580/kartor/A 14879-2024 karta.png", "A 14879-2024")</f>
        <v/>
      </c>
      <c r="V39">
        <f>HYPERLINK("https://klasma.github.io/Logging_0580/klagomål/A 14879-2024 FSC-klagomål.docx", "A 14879-2024")</f>
        <v/>
      </c>
      <c r="W39">
        <f>HYPERLINK("https://klasma.github.io/Logging_0580/klagomålsmail/A 14879-2024 FSC-klagomål mail.docx", "A 14879-2024")</f>
        <v/>
      </c>
      <c r="X39">
        <f>HYPERLINK("https://klasma.github.io/Logging_0580/tillsyn/A 14879-2024 tillsynsbegäran.docx", "A 14879-2024")</f>
        <v/>
      </c>
      <c r="Y39">
        <f>HYPERLINK("https://klasma.github.io/Logging_0580/tillsynsmail/A 14879-2024 tillsynsbegäran mail.docx", "A 14879-2024")</f>
        <v/>
      </c>
    </row>
    <row r="40" ht="15" customHeight="1">
      <c r="A40" t="inlineStr">
        <is>
          <t>A 25985-2025</t>
        </is>
      </c>
      <c r="B40" s="1" t="n">
        <v>45804.64479166667</v>
      </c>
      <c r="C40" s="1" t="n">
        <v>45965</v>
      </c>
      <c r="D40" t="inlineStr">
        <is>
          <t>ÖSTERGÖTLANDS LÄN</t>
        </is>
      </c>
      <c r="E40" t="inlineStr">
        <is>
          <t>LINKÖPING</t>
        </is>
      </c>
      <c r="G40" t="n">
        <v>4.5</v>
      </c>
      <c r="H40" t="n">
        <v>2</v>
      </c>
      <c r="I40" t="n">
        <v>0</v>
      </c>
      <c r="J40" t="n">
        <v>1</v>
      </c>
      <c r="K40" t="n">
        <v>0</v>
      </c>
      <c r="L40" t="n">
        <v>0</v>
      </c>
      <c r="M40" t="n">
        <v>0</v>
      </c>
      <c r="N40" t="n">
        <v>0</v>
      </c>
      <c r="O40" t="n">
        <v>1</v>
      </c>
      <c r="P40" t="n">
        <v>0</v>
      </c>
      <c r="Q40" t="n">
        <v>2</v>
      </c>
      <c r="R40" s="2" t="inlineStr">
        <is>
          <t>Spillkråka
Revlummer</t>
        </is>
      </c>
      <c r="S40">
        <f>HYPERLINK("https://klasma.github.io/Logging_0580/artfynd/A 25985-2025 artfynd.xlsx", "A 25985-2025")</f>
        <v/>
      </c>
      <c r="T40">
        <f>HYPERLINK("https://klasma.github.io/Logging_0580/kartor/A 25985-2025 karta.png", "A 25985-2025")</f>
        <v/>
      </c>
      <c r="V40">
        <f>HYPERLINK("https://klasma.github.io/Logging_0580/klagomål/A 25985-2025 FSC-klagomål.docx", "A 25985-2025")</f>
        <v/>
      </c>
      <c r="W40">
        <f>HYPERLINK("https://klasma.github.io/Logging_0580/klagomålsmail/A 25985-2025 FSC-klagomål mail.docx", "A 25985-2025")</f>
        <v/>
      </c>
      <c r="X40">
        <f>HYPERLINK("https://klasma.github.io/Logging_0580/tillsyn/A 25985-2025 tillsynsbegäran.docx", "A 25985-2025")</f>
        <v/>
      </c>
      <c r="Y40">
        <f>HYPERLINK("https://klasma.github.io/Logging_0580/tillsynsmail/A 25985-2025 tillsynsbegäran mail.docx", "A 25985-2025")</f>
        <v/>
      </c>
      <c r="Z40">
        <f>HYPERLINK("https://klasma.github.io/Logging_0580/fåglar/A 25985-2025 prioriterade fågelarter.docx", "A 25985-2025")</f>
        <v/>
      </c>
    </row>
    <row r="41" ht="15" customHeight="1">
      <c r="A41" t="inlineStr">
        <is>
          <t>A 50048-2025</t>
        </is>
      </c>
      <c r="B41" s="1" t="n">
        <v>45941</v>
      </c>
      <c r="C41" s="1" t="n">
        <v>45965</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45965</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45965</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45965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46496-2022</t>
        </is>
      </c>
      <c r="B45" s="1" t="n">
        <v>44848</v>
      </c>
      <c r="C45" s="1" t="n">
        <v>45965</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43017-2021</t>
        </is>
      </c>
      <c r="B46" s="1" t="n">
        <v>44431</v>
      </c>
      <c r="C46" s="1" t="n">
        <v>45965</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56250-2021</t>
        </is>
      </c>
      <c r="B47" s="1" t="n">
        <v>44479</v>
      </c>
      <c r="C47" s="1" t="n">
        <v>45965</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15290-2025</t>
        </is>
      </c>
      <c r="B48" s="1" t="n">
        <v>45745.45288194445</v>
      </c>
      <c r="C48" s="1" t="n">
        <v>45965</v>
      </c>
      <c r="D48" t="inlineStr">
        <is>
          <t>ÖSTERGÖTLANDS LÄN</t>
        </is>
      </c>
      <c r="E48" t="inlineStr">
        <is>
          <t>LINKÖPING</t>
        </is>
      </c>
      <c r="G48" t="n">
        <v>18.4</v>
      </c>
      <c r="H48" t="n">
        <v>1</v>
      </c>
      <c r="I48" t="n">
        <v>0</v>
      </c>
      <c r="J48" t="n">
        <v>1</v>
      </c>
      <c r="K48" t="n">
        <v>0</v>
      </c>
      <c r="L48" t="n">
        <v>0</v>
      </c>
      <c r="M48" t="n">
        <v>0</v>
      </c>
      <c r="N48" t="n">
        <v>0</v>
      </c>
      <c r="O48" t="n">
        <v>1</v>
      </c>
      <c r="P48" t="n">
        <v>0</v>
      </c>
      <c r="Q48" t="n">
        <v>1</v>
      </c>
      <c r="R48" s="2" t="inlineStr">
        <is>
          <t>Havsörn</t>
        </is>
      </c>
      <c r="S48">
        <f>HYPERLINK("https://klasma.github.io/Logging_0580/artfynd/A 15290-2025 artfynd.xlsx", "A 15290-2025")</f>
        <v/>
      </c>
      <c r="T48">
        <f>HYPERLINK("https://klasma.github.io/Logging_0580/kartor/A 15290-2025 karta.png", "A 15290-2025")</f>
        <v/>
      </c>
      <c r="V48">
        <f>HYPERLINK("https://klasma.github.io/Logging_0580/klagomål/A 15290-2025 FSC-klagomål.docx", "A 15290-2025")</f>
        <v/>
      </c>
      <c r="W48">
        <f>HYPERLINK("https://klasma.github.io/Logging_0580/klagomålsmail/A 15290-2025 FSC-klagomål mail.docx", "A 15290-2025")</f>
        <v/>
      </c>
      <c r="X48">
        <f>HYPERLINK("https://klasma.github.io/Logging_0580/tillsyn/A 15290-2025 tillsynsbegäran.docx", "A 15290-2025")</f>
        <v/>
      </c>
      <c r="Y48">
        <f>HYPERLINK("https://klasma.github.io/Logging_0580/tillsynsmail/A 15290-2025 tillsynsbegäran mail.docx", "A 15290-2025")</f>
        <v/>
      </c>
      <c r="Z48">
        <f>HYPERLINK("https://klasma.github.io/Logging_0580/fåglar/A 15290-2025 prioriterade fågelarter.docx", "A 15290-2025")</f>
        <v/>
      </c>
    </row>
    <row r="49" ht="15" customHeight="1">
      <c r="A49" t="inlineStr">
        <is>
          <t>A 17389-2021</t>
        </is>
      </c>
      <c r="B49" s="1" t="n">
        <v>44298.96792824074</v>
      </c>
      <c r="C49" s="1" t="n">
        <v>45965</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45965</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5911-2022</t>
        </is>
      </c>
      <c r="B51" s="1" t="n">
        <v>44597</v>
      </c>
      <c r="C51" s="1" t="n">
        <v>45965</v>
      </c>
      <c r="D51" t="inlineStr">
        <is>
          <t>ÖSTERGÖTLANDS LÄN</t>
        </is>
      </c>
      <c r="E51" t="inlineStr">
        <is>
          <t>LINKÖPING</t>
        </is>
      </c>
      <c r="G51" t="n">
        <v>3.5</v>
      </c>
      <c r="H51" t="n">
        <v>0</v>
      </c>
      <c r="I51" t="n">
        <v>0</v>
      </c>
      <c r="J51" t="n">
        <v>1</v>
      </c>
      <c r="K51" t="n">
        <v>0</v>
      </c>
      <c r="L51" t="n">
        <v>0</v>
      </c>
      <c r="M51" t="n">
        <v>0</v>
      </c>
      <c r="N51" t="n">
        <v>0</v>
      </c>
      <c r="O51" t="n">
        <v>1</v>
      </c>
      <c r="P51" t="n">
        <v>0</v>
      </c>
      <c r="Q51" t="n">
        <v>1</v>
      </c>
      <c r="R51" s="2" t="inlineStr">
        <is>
          <t>Spindelört</t>
        </is>
      </c>
      <c r="S51">
        <f>HYPERLINK("https://klasma.github.io/Logging_0580/artfynd/A 5911-2022 artfynd.xlsx", "A 5911-2022")</f>
        <v/>
      </c>
      <c r="T51">
        <f>HYPERLINK("https://klasma.github.io/Logging_0580/kartor/A 5911-2022 karta.png", "A 5911-2022")</f>
        <v/>
      </c>
      <c r="V51">
        <f>HYPERLINK("https://klasma.github.io/Logging_0580/klagomål/A 5911-2022 FSC-klagomål.docx", "A 5911-2022")</f>
        <v/>
      </c>
      <c r="W51">
        <f>HYPERLINK("https://klasma.github.io/Logging_0580/klagomålsmail/A 5911-2022 FSC-klagomål mail.docx", "A 5911-2022")</f>
        <v/>
      </c>
      <c r="X51">
        <f>HYPERLINK("https://klasma.github.io/Logging_0580/tillsyn/A 5911-2022 tillsynsbegäran.docx", "A 5911-2022")</f>
        <v/>
      </c>
      <c r="Y51">
        <f>HYPERLINK("https://klasma.github.io/Logging_0580/tillsynsmail/A 5911-2022 tillsynsbegäran mail.docx", "A 5911-2022")</f>
        <v/>
      </c>
    </row>
    <row r="52" ht="15" customHeight="1">
      <c r="A52" t="inlineStr">
        <is>
          <t>A 1716-2023</t>
        </is>
      </c>
      <c r="B52" s="1" t="n">
        <v>44938</v>
      </c>
      <c r="C52" s="1" t="n">
        <v>45965</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71127-2021</t>
        </is>
      </c>
      <c r="B53" s="1" t="n">
        <v>44537</v>
      </c>
      <c r="C53" s="1" t="n">
        <v>45965</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931-2025</t>
        </is>
      </c>
      <c r="B54" s="1" t="n">
        <v>45665.88498842593</v>
      </c>
      <c r="C54" s="1" t="n">
        <v>45965</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56128-2022</t>
        </is>
      </c>
      <c r="B55" s="1" t="n">
        <v>44889</v>
      </c>
      <c r="C55" s="1" t="n">
        <v>45965</v>
      </c>
      <c r="D55" t="inlineStr">
        <is>
          <t>ÖSTERGÖTLANDS LÄN</t>
        </is>
      </c>
      <c r="E55" t="inlineStr">
        <is>
          <t>LINKÖPING</t>
        </is>
      </c>
      <c r="G55" t="n">
        <v>2</v>
      </c>
      <c r="H55" t="n">
        <v>0</v>
      </c>
      <c r="I55" t="n">
        <v>1</v>
      </c>
      <c r="J55" t="n">
        <v>0</v>
      </c>
      <c r="K55" t="n">
        <v>0</v>
      </c>
      <c r="L55" t="n">
        <v>0</v>
      </c>
      <c r="M55" t="n">
        <v>0</v>
      </c>
      <c r="N55" t="n">
        <v>0</v>
      </c>
      <c r="O55" t="n">
        <v>0</v>
      </c>
      <c r="P55" t="n">
        <v>0</v>
      </c>
      <c r="Q55" t="n">
        <v>1</v>
      </c>
      <c r="R55" s="2" t="inlineStr">
        <is>
          <t>Tibast</t>
        </is>
      </c>
      <c r="S55">
        <f>HYPERLINK("https://klasma.github.io/Logging_0580/artfynd/A 56128-2022 artfynd.xlsx", "A 56128-2022")</f>
        <v/>
      </c>
      <c r="T55">
        <f>HYPERLINK("https://klasma.github.io/Logging_0580/kartor/A 56128-2022 karta.png", "A 56128-2022")</f>
        <v/>
      </c>
      <c r="V55">
        <f>HYPERLINK("https://klasma.github.io/Logging_0580/klagomål/A 56128-2022 FSC-klagomål.docx", "A 56128-2022")</f>
        <v/>
      </c>
      <c r="W55">
        <f>HYPERLINK("https://klasma.github.io/Logging_0580/klagomålsmail/A 56128-2022 FSC-klagomål mail.docx", "A 56128-2022")</f>
        <v/>
      </c>
      <c r="X55">
        <f>HYPERLINK("https://klasma.github.io/Logging_0580/tillsyn/A 56128-2022 tillsynsbegäran.docx", "A 56128-2022")</f>
        <v/>
      </c>
      <c r="Y55">
        <f>HYPERLINK("https://klasma.github.io/Logging_0580/tillsynsmail/A 56128-2022 tillsynsbegäran mail.docx", "A 56128-2022")</f>
        <v/>
      </c>
    </row>
    <row r="56" ht="15" customHeight="1">
      <c r="A56" t="inlineStr">
        <is>
          <t>A 126-2024</t>
        </is>
      </c>
      <c r="B56" s="1" t="n">
        <v>45294</v>
      </c>
      <c r="C56" s="1" t="n">
        <v>45965</v>
      </c>
      <c r="D56" t="inlineStr">
        <is>
          <t>ÖSTERGÖTLANDS LÄN</t>
        </is>
      </c>
      <c r="E56" t="inlineStr">
        <is>
          <t>LINKÖPING</t>
        </is>
      </c>
      <c r="G56" t="n">
        <v>1</v>
      </c>
      <c r="H56" t="n">
        <v>0</v>
      </c>
      <c r="I56" t="n">
        <v>1</v>
      </c>
      <c r="J56" t="n">
        <v>0</v>
      </c>
      <c r="K56" t="n">
        <v>0</v>
      </c>
      <c r="L56" t="n">
        <v>0</v>
      </c>
      <c r="M56" t="n">
        <v>0</v>
      </c>
      <c r="N56" t="n">
        <v>0</v>
      </c>
      <c r="O56" t="n">
        <v>0</v>
      </c>
      <c r="P56" t="n">
        <v>0</v>
      </c>
      <c r="Q56" t="n">
        <v>1</v>
      </c>
      <c r="R56" s="2" t="inlineStr">
        <is>
          <t>Blåmossa</t>
        </is>
      </c>
      <c r="S56">
        <f>HYPERLINK("https://klasma.github.io/Logging_0580/artfynd/A 126-2024 artfynd.xlsx", "A 126-2024")</f>
        <v/>
      </c>
      <c r="T56">
        <f>HYPERLINK("https://klasma.github.io/Logging_0580/kartor/A 126-2024 karta.png", "A 126-2024")</f>
        <v/>
      </c>
      <c r="V56">
        <f>HYPERLINK("https://klasma.github.io/Logging_0580/klagomål/A 126-2024 FSC-klagomål.docx", "A 126-2024")</f>
        <v/>
      </c>
      <c r="W56">
        <f>HYPERLINK("https://klasma.github.io/Logging_0580/klagomålsmail/A 126-2024 FSC-klagomål mail.docx", "A 126-2024")</f>
        <v/>
      </c>
      <c r="X56">
        <f>HYPERLINK("https://klasma.github.io/Logging_0580/tillsyn/A 126-2024 tillsynsbegäran.docx", "A 126-2024")</f>
        <v/>
      </c>
      <c r="Y56">
        <f>HYPERLINK("https://klasma.github.io/Logging_0580/tillsynsmail/A 126-2024 tillsynsbegäran mail.docx", "A 126-2024")</f>
        <v/>
      </c>
    </row>
    <row r="57" ht="15" customHeight="1">
      <c r="A57" t="inlineStr">
        <is>
          <t>A 3395-2023</t>
        </is>
      </c>
      <c r="B57" s="1" t="n">
        <v>44949</v>
      </c>
      <c r="C57" s="1" t="n">
        <v>45965</v>
      </c>
      <c r="D57" t="inlineStr">
        <is>
          <t>ÖSTERGÖTLANDS LÄN</t>
        </is>
      </c>
      <c r="E57" t="inlineStr">
        <is>
          <t>LINKÖPING</t>
        </is>
      </c>
      <c r="G57" t="n">
        <v>2</v>
      </c>
      <c r="H57" t="n">
        <v>0</v>
      </c>
      <c r="I57" t="n">
        <v>0</v>
      </c>
      <c r="J57" t="n">
        <v>1</v>
      </c>
      <c r="K57" t="n">
        <v>0</v>
      </c>
      <c r="L57" t="n">
        <v>0</v>
      </c>
      <c r="M57" t="n">
        <v>0</v>
      </c>
      <c r="N57" t="n">
        <v>0</v>
      </c>
      <c r="O57" t="n">
        <v>1</v>
      </c>
      <c r="P57" t="n">
        <v>0</v>
      </c>
      <c r="Q57" t="n">
        <v>1</v>
      </c>
      <c r="R57" s="2" t="inlineStr">
        <is>
          <t>Sommarfibbla</t>
        </is>
      </c>
      <c r="S57">
        <f>HYPERLINK("https://klasma.github.io/Logging_0580/artfynd/A 3395-2023 artfynd.xlsx", "A 3395-2023")</f>
        <v/>
      </c>
      <c r="T57">
        <f>HYPERLINK("https://klasma.github.io/Logging_0580/kartor/A 3395-2023 karta.png", "A 3395-2023")</f>
        <v/>
      </c>
      <c r="V57">
        <f>HYPERLINK("https://klasma.github.io/Logging_0580/klagomål/A 3395-2023 FSC-klagomål.docx", "A 3395-2023")</f>
        <v/>
      </c>
      <c r="W57">
        <f>HYPERLINK("https://klasma.github.io/Logging_0580/klagomålsmail/A 3395-2023 FSC-klagomål mail.docx", "A 3395-2023")</f>
        <v/>
      </c>
      <c r="X57">
        <f>HYPERLINK("https://klasma.github.io/Logging_0580/tillsyn/A 3395-2023 tillsynsbegäran.docx", "A 3395-2023")</f>
        <v/>
      </c>
      <c r="Y57">
        <f>HYPERLINK("https://klasma.github.io/Logging_0580/tillsynsmail/A 3395-2023 tillsynsbegäran mail.docx", "A 3395-2023")</f>
        <v/>
      </c>
    </row>
    <row r="58" ht="15" customHeight="1">
      <c r="A58" t="inlineStr">
        <is>
          <t>A 3397-2023</t>
        </is>
      </c>
      <c r="B58" s="1" t="n">
        <v>44949</v>
      </c>
      <c r="C58" s="1" t="n">
        <v>45965</v>
      </c>
      <c r="D58" t="inlineStr">
        <is>
          <t>ÖSTERGÖTLANDS LÄN</t>
        </is>
      </c>
      <c r="E58" t="inlineStr">
        <is>
          <t>LINKÖPING</t>
        </is>
      </c>
      <c r="G58" t="n">
        <v>4.1</v>
      </c>
      <c r="H58" t="n">
        <v>0</v>
      </c>
      <c r="I58" t="n">
        <v>0</v>
      </c>
      <c r="J58" t="n">
        <v>1</v>
      </c>
      <c r="K58" t="n">
        <v>0</v>
      </c>
      <c r="L58" t="n">
        <v>0</v>
      </c>
      <c r="M58" t="n">
        <v>0</v>
      </c>
      <c r="N58" t="n">
        <v>0</v>
      </c>
      <c r="O58" t="n">
        <v>1</v>
      </c>
      <c r="P58" t="n">
        <v>0</v>
      </c>
      <c r="Q58" t="n">
        <v>1</v>
      </c>
      <c r="R58" s="2" t="inlineStr">
        <is>
          <t>Svinrot</t>
        </is>
      </c>
      <c r="S58">
        <f>HYPERLINK("https://klasma.github.io/Logging_0580/artfynd/A 3397-2023 artfynd.xlsx", "A 3397-2023")</f>
        <v/>
      </c>
      <c r="T58">
        <f>HYPERLINK("https://klasma.github.io/Logging_0580/kartor/A 3397-2023 karta.png", "A 3397-2023")</f>
        <v/>
      </c>
      <c r="V58">
        <f>HYPERLINK("https://klasma.github.io/Logging_0580/klagomål/A 3397-2023 FSC-klagomål.docx", "A 3397-2023")</f>
        <v/>
      </c>
      <c r="W58">
        <f>HYPERLINK("https://klasma.github.io/Logging_0580/klagomålsmail/A 3397-2023 FSC-klagomål mail.docx", "A 3397-2023")</f>
        <v/>
      </c>
      <c r="X58">
        <f>HYPERLINK("https://klasma.github.io/Logging_0580/tillsyn/A 3397-2023 tillsynsbegäran.docx", "A 3397-2023")</f>
        <v/>
      </c>
      <c r="Y58">
        <f>HYPERLINK("https://klasma.github.io/Logging_0580/tillsynsmail/A 3397-2023 tillsynsbegäran mail.docx", "A 3397-2023")</f>
        <v/>
      </c>
    </row>
    <row r="59" ht="15" customHeight="1">
      <c r="A59" t="inlineStr">
        <is>
          <t>A 1213-2023</t>
        </is>
      </c>
      <c r="B59" s="1" t="n">
        <v>44930</v>
      </c>
      <c r="C59" s="1" t="n">
        <v>45965</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54835-2023</t>
        </is>
      </c>
      <c r="B60" s="1" t="n">
        <v>45236</v>
      </c>
      <c r="C60" s="1" t="n">
        <v>45965</v>
      </c>
      <c r="D60" t="inlineStr">
        <is>
          <t>ÖSTERGÖTLANDS LÄN</t>
        </is>
      </c>
      <c r="E60" t="inlineStr">
        <is>
          <t>LINKÖPING</t>
        </is>
      </c>
      <c r="G60" t="n">
        <v>2</v>
      </c>
      <c r="H60" t="n">
        <v>1</v>
      </c>
      <c r="I60" t="n">
        <v>0</v>
      </c>
      <c r="J60" t="n">
        <v>0</v>
      </c>
      <c r="K60" t="n">
        <v>0</v>
      </c>
      <c r="L60" t="n">
        <v>0</v>
      </c>
      <c r="M60" t="n">
        <v>0</v>
      </c>
      <c r="N60" t="n">
        <v>0</v>
      </c>
      <c r="O60" t="n">
        <v>0</v>
      </c>
      <c r="P60" t="n">
        <v>0</v>
      </c>
      <c r="Q60" t="n">
        <v>1</v>
      </c>
      <c r="R60" s="2" t="inlineStr">
        <is>
          <t>Sparvuggla</t>
        </is>
      </c>
      <c r="S60">
        <f>HYPERLINK("https://klasma.github.io/Logging_0580/artfynd/A 54835-2023 artfynd.xlsx", "A 54835-2023")</f>
        <v/>
      </c>
      <c r="T60">
        <f>HYPERLINK("https://klasma.github.io/Logging_0580/kartor/A 54835-2023 karta.png", "A 54835-2023")</f>
        <v/>
      </c>
      <c r="V60">
        <f>HYPERLINK("https://klasma.github.io/Logging_0580/klagomål/A 54835-2023 FSC-klagomål.docx", "A 54835-2023")</f>
        <v/>
      </c>
      <c r="W60">
        <f>HYPERLINK("https://klasma.github.io/Logging_0580/klagomålsmail/A 54835-2023 FSC-klagomål mail.docx", "A 54835-2023")</f>
        <v/>
      </c>
      <c r="X60">
        <f>HYPERLINK("https://klasma.github.io/Logging_0580/tillsyn/A 54835-2023 tillsynsbegäran.docx", "A 54835-2023")</f>
        <v/>
      </c>
      <c r="Y60">
        <f>HYPERLINK("https://klasma.github.io/Logging_0580/tillsynsmail/A 54835-2023 tillsynsbegäran mail.docx", "A 54835-2023")</f>
        <v/>
      </c>
      <c r="Z60">
        <f>HYPERLINK("https://klasma.github.io/Logging_0580/fåglar/A 54835-2023 prioriterade fågelarter.docx", "A 54835-2023")</f>
        <v/>
      </c>
    </row>
    <row r="61" ht="15" customHeight="1">
      <c r="A61" t="inlineStr">
        <is>
          <t>A 34881-2023</t>
        </is>
      </c>
      <c r="B61" s="1" t="n">
        <v>45140</v>
      </c>
      <c r="C61" s="1" t="n">
        <v>45965</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Tallticka</t>
        </is>
      </c>
      <c r="S61">
        <f>HYPERLINK("https://klasma.github.io/Logging_0580/artfynd/A 34881-2023 artfynd.xlsx", "A 34881-2023")</f>
        <v/>
      </c>
      <c r="T61">
        <f>HYPERLINK("https://klasma.github.io/Logging_0580/kartor/A 34881-2023 karta.png", "A 34881-2023")</f>
        <v/>
      </c>
      <c r="U61">
        <f>HYPERLINK("https://klasma.github.io/Logging_0580/knärot/A 34881-2023 karta knärot.png", "A 34881-2023")</f>
        <v/>
      </c>
      <c r="V61">
        <f>HYPERLINK("https://klasma.github.io/Logging_0580/klagomål/A 34881-2023 FSC-klagomål.docx", "A 34881-2023")</f>
        <v/>
      </c>
      <c r="W61">
        <f>HYPERLINK("https://klasma.github.io/Logging_0580/klagomålsmail/A 34881-2023 FSC-klagomål mail.docx", "A 34881-2023")</f>
        <v/>
      </c>
      <c r="X61">
        <f>HYPERLINK("https://klasma.github.io/Logging_0580/tillsyn/A 34881-2023 tillsynsbegäran.docx", "A 34881-2023")</f>
        <v/>
      </c>
      <c r="Y61">
        <f>HYPERLINK("https://klasma.github.io/Logging_0580/tillsynsmail/A 34881-2023 tillsynsbegäran mail.docx", "A 34881-2023")</f>
        <v/>
      </c>
    </row>
    <row r="62" ht="15" customHeight="1">
      <c r="A62" t="inlineStr">
        <is>
          <t>A 22526-2025</t>
        </is>
      </c>
      <c r="B62" s="1" t="n">
        <v>45786.78096064815</v>
      </c>
      <c r="C62" s="1" t="n">
        <v>45965</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50471-2024</t>
        </is>
      </c>
      <c r="B63" s="1" t="n">
        <v>45601.47166666666</v>
      </c>
      <c r="C63" s="1" t="n">
        <v>45965</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19103-2021</t>
        </is>
      </c>
      <c r="B64" s="1" t="n">
        <v>44308</v>
      </c>
      <c r="C64" s="1" t="n">
        <v>45965</v>
      </c>
      <c r="D64" t="inlineStr">
        <is>
          <t>ÖSTERGÖTLANDS LÄN</t>
        </is>
      </c>
      <c r="E64" t="inlineStr">
        <is>
          <t>LINKÖPING</t>
        </is>
      </c>
      <c r="G64" t="n">
        <v>4.7</v>
      </c>
      <c r="H64" t="n">
        <v>0</v>
      </c>
      <c r="I64" t="n">
        <v>0</v>
      </c>
      <c r="J64" t="n">
        <v>1</v>
      </c>
      <c r="K64" t="n">
        <v>0</v>
      </c>
      <c r="L64" t="n">
        <v>0</v>
      </c>
      <c r="M64" t="n">
        <v>0</v>
      </c>
      <c r="N64" t="n">
        <v>0</v>
      </c>
      <c r="O64" t="n">
        <v>1</v>
      </c>
      <c r="P64" t="n">
        <v>0</v>
      </c>
      <c r="Q64" t="n">
        <v>1</v>
      </c>
      <c r="R64" s="2" t="inlineStr">
        <is>
          <t>Tallticka</t>
        </is>
      </c>
      <c r="S64">
        <f>HYPERLINK("https://klasma.github.io/Logging_0580/artfynd/A 19103-2021 artfynd.xlsx", "A 19103-2021")</f>
        <v/>
      </c>
      <c r="T64">
        <f>HYPERLINK("https://klasma.github.io/Logging_0580/kartor/A 19103-2021 karta.png", "A 19103-2021")</f>
        <v/>
      </c>
      <c r="V64">
        <f>HYPERLINK("https://klasma.github.io/Logging_0580/klagomål/A 19103-2021 FSC-klagomål.docx", "A 19103-2021")</f>
        <v/>
      </c>
      <c r="W64">
        <f>HYPERLINK("https://klasma.github.io/Logging_0580/klagomålsmail/A 19103-2021 FSC-klagomål mail.docx", "A 19103-2021")</f>
        <v/>
      </c>
      <c r="X64">
        <f>HYPERLINK("https://klasma.github.io/Logging_0580/tillsyn/A 19103-2021 tillsynsbegäran.docx", "A 19103-2021")</f>
        <v/>
      </c>
      <c r="Y64">
        <f>HYPERLINK("https://klasma.github.io/Logging_0580/tillsynsmail/A 19103-2021 tillsynsbegäran mail.docx", "A 19103-2021")</f>
        <v/>
      </c>
    </row>
    <row r="65" ht="15" customHeight="1">
      <c r="A65" t="inlineStr">
        <is>
          <t>A 45317-2023</t>
        </is>
      </c>
      <c r="B65" s="1" t="n">
        <v>45191.74868055555</v>
      </c>
      <c r="C65" s="1" t="n">
        <v>45965</v>
      </c>
      <c r="D65" t="inlineStr">
        <is>
          <t>ÖSTERGÖTLANDS LÄN</t>
        </is>
      </c>
      <c r="E65" t="inlineStr">
        <is>
          <t>LINKÖPING</t>
        </is>
      </c>
      <c r="F65" t="inlineStr">
        <is>
          <t>Allmännings- och besparingsskogar</t>
        </is>
      </c>
      <c r="G65" t="n">
        <v>29.3</v>
      </c>
      <c r="H65" t="n">
        <v>0</v>
      </c>
      <c r="I65" t="n">
        <v>0</v>
      </c>
      <c r="J65" t="n">
        <v>1</v>
      </c>
      <c r="K65" t="n">
        <v>0</v>
      </c>
      <c r="L65" t="n">
        <v>0</v>
      </c>
      <c r="M65" t="n">
        <v>0</v>
      </c>
      <c r="N65" t="n">
        <v>0</v>
      </c>
      <c r="O65" t="n">
        <v>1</v>
      </c>
      <c r="P65" t="n">
        <v>0</v>
      </c>
      <c r="Q65" t="n">
        <v>1</v>
      </c>
      <c r="R65" s="2" t="inlineStr">
        <is>
          <t>Svinrot</t>
        </is>
      </c>
      <c r="S65">
        <f>HYPERLINK("https://klasma.github.io/Logging_0580/artfynd/A 45317-2023 artfynd.xlsx", "A 45317-2023")</f>
        <v/>
      </c>
      <c r="T65">
        <f>HYPERLINK("https://klasma.github.io/Logging_0580/kartor/A 45317-2023 karta.png", "A 45317-2023")</f>
        <v/>
      </c>
      <c r="V65">
        <f>HYPERLINK("https://klasma.github.io/Logging_0580/klagomål/A 45317-2023 FSC-klagomål.docx", "A 45317-2023")</f>
        <v/>
      </c>
      <c r="W65">
        <f>HYPERLINK("https://klasma.github.io/Logging_0580/klagomålsmail/A 45317-2023 FSC-klagomål mail.docx", "A 45317-2023")</f>
        <v/>
      </c>
      <c r="X65">
        <f>HYPERLINK("https://klasma.github.io/Logging_0580/tillsyn/A 45317-2023 tillsynsbegäran.docx", "A 45317-2023")</f>
        <v/>
      </c>
      <c r="Y65">
        <f>HYPERLINK("https://klasma.github.io/Logging_0580/tillsynsmail/A 45317-2023 tillsynsbegäran mail.docx", "A 45317-2023")</f>
        <v/>
      </c>
    </row>
    <row r="66" ht="15" customHeight="1">
      <c r="A66" t="inlineStr">
        <is>
          <t>A 41749-2023</t>
        </is>
      </c>
      <c r="B66" s="1" t="n">
        <v>45176</v>
      </c>
      <c r="C66" s="1" t="n">
        <v>45965</v>
      </c>
      <c r="D66" t="inlineStr">
        <is>
          <t>ÖSTERGÖTLANDS LÄN</t>
        </is>
      </c>
      <c r="E66" t="inlineStr">
        <is>
          <t>LINKÖPING</t>
        </is>
      </c>
      <c r="G66" t="n">
        <v>3.6</v>
      </c>
      <c r="H66" t="n">
        <v>0</v>
      </c>
      <c r="I66" t="n">
        <v>0</v>
      </c>
      <c r="J66" t="n">
        <v>1</v>
      </c>
      <c r="K66" t="n">
        <v>0</v>
      </c>
      <c r="L66" t="n">
        <v>0</v>
      </c>
      <c r="M66" t="n">
        <v>0</v>
      </c>
      <c r="N66" t="n">
        <v>0</v>
      </c>
      <c r="O66" t="n">
        <v>1</v>
      </c>
      <c r="P66" t="n">
        <v>0</v>
      </c>
      <c r="Q66" t="n">
        <v>1</v>
      </c>
      <c r="R66" s="2" t="inlineStr">
        <is>
          <t>Svinrot</t>
        </is>
      </c>
      <c r="S66">
        <f>HYPERLINK("https://klasma.github.io/Logging_0580/artfynd/A 41749-2023 artfynd.xlsx", "A 41749-2023")</f>
        <v/>
      </c>
      <c r="T66">
        <f>HYPERLINK("https://klasma.github.io/Logging_0580/kartor/A 41749-2023 karta.png", "A 41749-2023")</f>
        <v/>
      </c>
      <c r="V66">
        <f>HYPERLINK("https://klasma.github.io/Logging_0580/klagomål/A 41749-2023 FSC-klagomål.docx", "A 41749-2023")</f>
        <v/>
      </c>
      <c r="W66">
        <f>HYPERLINK("https://klasma.github.io/Logging_0580/klagomålsmail/A 41749-2023 FSC-klagomål mail.docx", "A 41749-2023")</f>
        <v/>
      </c>
      <c r="X66">
        <f>HYPERLINK("https://klasma.github.io/Logging_0580/tillsyn/A 41749-2023 tillsynsbegäran.docx", "A 41749-2023")</f>
        <v/>
      </c>
      <c r="Y66">
        <f>HYPERLINK("https://klasma.github.io/Logging_0580/tillsynsmail/A 41749-2023 tillsynsbegäran mail.docx", "A 41749-2023")</f>
        <v/>
      </c>
    </row>
    <row r="67" ht="15" customHeight="1">
      <c r="A67" t="inlineStr">
        <is>
          <t>A 20295-2025</t>
        </is>
      </c>
      <c r="B67" s="1" t="n">
        <v>45774.74846064814</v>
      </c>
      <c r="C67" s="1" t="n">
        <v>45965</v>
      </c>
      <c r="D67" t="inlineStr">
        <is>
          <t>ÖSTERGÖTLANDS LÄN</t>
        </is>
      </c>
      <c r="E67" t="inlineStr">
        <is>
          <t>LINKÖPING</t>
        </is>
      </c>
      <c r="G67" t="n">
        <v>3</v>
      </c>
      <c r="H67" t="n">
        <v>0</v>
      </c>
      <c r="I67" t="n">
        <v>0</v>
      </c>
      <c r="J67" t="n">
        <v>1</v>
      </c>
      <c r="K67" t="n">
        <v>0</v>
      </c>
      <c r="L67" t="n">
        <v>0</v>
      </c>
      <c r="M67" t="n">
        <v>0</v>
      </c>
      <c r="N67" t="n">
        <v>0</v>
      </c>
      <c r="O67" t="n">
        <v>1</v>
      </c>
      <c r="P67" t="n">
        <v>0</v>
      </c>
      <c r="Q67" t="n">
        <v>1</v>
      </c>
      <c r="R67" s="2" t="inlineStr">
        <is>
          <t>Tallticka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row>
    <row r="68" ht="15" customHeight="1">
      <c r="A68" t="inlineStr">
        <is>
          <t>A 50806-2023</t>
        </is>
      </c>
      <c r="B68" s="1" t="n">
        <v>45217</v>
      </c>
      <c r="C68" s="1" t="n">
        <v>45965</v>
      </c>
      <c r="D68" t="inlineStr">
        <is>
          <t>ÖSTERGÖTLANDS LÄN</t>
        </is>
      </c>
      <c r="E68" t="inlineStr">
        <is>
          <t>LINKÖPING</t>
        </is>
      </c>
      <c r="F68" t="inlineStr">
        <is>
          <t>Övriga Aktiebolag</t>
        </is>
      </c>
      <c r="G68" t="n">
        <v>0.7</v>
      </c>
      <c r="H68" t="n">
        <v>1</v>
      </c>
      <c r="I68" t="n">
        <v>0</v>
      </c>
      <c r="J68" t="n">
        <v>0</v>
      </c>
      <c r="K68" t="n">
        <v>0</v>
      </c>
      <c r="L68" t="n">
        <v>0</v>
      </c>
      <c r="M68" t="n">
        <v>0</v>
      </c>
      <c r="N68" t="n">
        <v>0</v>
      </c>
      <c r="O68" t="n">
        <v>0</v>
      </c>
      <c r="P68" t="n">
        <v>0</v>
      </c>
      <c r="Q68" t="n">
        <v>1</v>
      </c>
      <c r="R68" s="2" t="inlineStr">
        <is>
          <t>Gullviva</t>
        </is>
      </c>
      <c r="S68">
        <f>HYPERLINK("https://klasma.github.io/Logging_0580/artfynd/A 50806-2023 artfynd.xlsx", "A 50806-2023")</f>
        <v/>
      </c>
      <c r="T68">
        <f>HYPERLINK("https://klasma.github.io/Logging_0580/kartor/A 50806-2023 karta.png", "A 50806-2023")</f>
        <v/>
      </c>
      <c r="V68">
        <f>HYPERLINK("https://klasma.github.io/Logging_0580/klagomål/A 50806-2023 FSC-klagomål.docx", "A 50806-2023")</f>
        <v/>
      </c>
      <c r="W68">
        <f>HYPERLINK("https://klasma.github.io/Logging_0580/klagomålsmail/A 50806-2023 FSC-klagomål mail.docx", "A 50806-2023")</f>
        <v/>
      </c>
      <c r="X68">
        <f>HYPERLINK("https://klasma.github.io/Logging_0580/tillsyn/A 50806-2023 tillsynsbegäran.docx", "A 50806-2023")</f>
        <v/>
      </c>
      <c r="Y68">
        <f>HYPERLINK("https://klasma.github.io/Logging_0580/tillsynsmail/A 50806-2023 tillsynsbegäran mail.docx", "A 50806-2023")</f>
        <v/>
      </c>
    </row>
    <row r="69" ht="15" customHeight="1">
      <c r="A69" t="inlineStr">
        <is>
          <t>A 35948-2023</t>
        </is>
      </c>
      <c r="B69" s="1" t="n">
        <v>45148</v>
      </c>
      <c r="C69" s="1" t="n">
        <v>45965</v>
      </c>
      <c r="D69" t="inlineStr">
        <is>
          <t>ÖSTERGÖTLANDS LÄN</t>
        </is>
      </c>
      <c r="E69" t="inlineStr">
        <is>
          <t>LINKÖPING</t>
        </is>
      </c>
      <c r="G69" t="n">
        <v>1.9</v>
      </c>
      <c r="H69" t="n">
        <v>0</v>
      </c>
      <c r="I69" t="n">
        <v>1</v>
      </c>
      <c r="J69" t="n">
        <v>0</v>
      </c>
      <c r="K69" t="n">
        <v>0</v>
      </c>
      <c r="L69" t="n">
        <v>0</v>
      </c>
      <c r="M69" t="n">
        <v>0</v>
      </c>
      <c r="N69" t="n">
        <v>0</v>
      </c>
      <c r="O69" t="n">
        <v>0</v>
      </c>
      <c r="P69" t="n">
        <v>0</v>
      </c>
      <c r="Q69" t="n">
        <v>1</v>
      </c>
      <c r="R69" s="2" t="inlineStr">
        <is>
          <t>Brun nållav</t>
        </is>
      </c>
      <c r="S69">
        <f>HYPERLINK("https://klasma.github.io/Logging_0580/artfynd/A 35948-2023 artfynd.xlsx", "A 35948-2023")</f>
        <v/>
      </c>
      <c r="T69">
        <f>HYPERLINK("https://klasma.github.io/Logging_0580/kartor/A 35948-2023 karta.png", "A 35948-2023")</f>
        <v/>
      </c>
      <c r="V69">
        <f>HYPERLINK("https://klasma.github.io/Logging_0580/klagomål/A 35948-2023 FSC-klagomål.docx", "A 35948-2023")</f>
        <v/>
      </c>
      <c r="W69">
        <f>HYPERLINK("https://klasma.github.io/Logging_0580/klagomålsmail/A 35948-2023 FSC-klagomål mail.docx", "A 35948-2023")</f>
        <v/>
      </c>
      <c r="X69">
        <f>HYPERLINK("https://klasma.github.io/Logging_0580/tillsyn/A 35948-2023 tillsynsbegäran.docx", "A 35948-2023")</f>
        <v/>
      </c>
      <c r="Y69">
        <f>HYPERLINK("https://klasma.github.io/Logging_0580/tillsynsmail/A 35948-2023 tillsynsbegäran mail.docx", "A 35948-2023")</f>
        <v/>
      </c>
    </row>
    <row r="70" ht="15" customHeight="1">
      <c r="A70" t="inlineStr">
        <is>
          <t>A 60573-2021</t>
        </is>
      </c>
      <c r="B70" s="1" t="n">
        <v>44496</v>
      </c>
      <c r="C70" s="1" t="n">
        <v>45965</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48347-2025</t>
        </is>
      </c>
      <c r="B71" s="1" t="n">
        <v>45932</v>
      </c>
      <c r="C71" s="1" t="n">
        <v>45965</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48353-2025</t>
        </is>
      </c>
      <c r="B72" s="1" t="n">
        <v>45932</v>
      </c>
      <c r="C72" s="1" t="n">
        <v>45965</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48298-2025</t>
        </is>
      </c>
      <c r="B73" s="1" t="n">
        <v>45932</v>
      </c>
      <c r="C73" s="1" t="n">
        <v>45965</v>
      </c>
      <c r="D73" t="inlineStr">
        <is>
          <t>ÖSTERGÖTLANDS LÄN</t>
        </is>
      </c>
      <c r="E73" t="inlineStr">
        <is>
          <t>LINKÖPING</t>
        </is>
      </c>
      <c r="F73" t="inlineStr">
        <is>
          <t>Övriga Aktiebolag</t>
        </is>
      </c>
      <c r="G73" t="n">
        <v>1.7</v>
      </c>
      <c r="H73" t="n">
        <v>0</v>
      </c>
      <c r="I73" t="n">
        <v>1</v>
      </c>
      <c r="J73" t="n">
        <v>0</v>
      </c>
      <c r="K73" t="n">
        <v>0</v>
      </c>
      <c r="L73" t="n">
        <v>0</v>
      </c>
      <c r="M73" t="n">
        <v>0</v>
      </c>
      <c r="N73" t="n">
        <v>0</v>
      </c>
      <c r="O73" t="n">
        <v>0</v>
      </c>
      <c r="P73" t="n">
        <v>0</v>
      </c>
      <c r="Q73" t="n">
        <v>1</v>
      </c>
      <c r="R73" s="2" t="inlineStr">
        <is>
          <t>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27403-2025</t>
        </is>
      </c>
      <c r="B74" s="1" t="n">
        <v>45812.72518518518</v>
      </c>
      <c r="C74" s="1" t="n">
        <v>45965</v>
      </c>
      <c r="D74" t="inlineStr">
        <is>
          <t>ÖSTERGÖTLANDS LÄN</t>
        </is>
      </c>
      <c r="E74" t="inlineStr">
        <is>
          <t>LINKÖPING</t>
        </is>
      </c>
      <c r="G74" t="n">
        <v>1.4</v>
      </c>
      <c r="H74" t="n">
        <v>0</v>
      </c>
      <c r="I74" t="n">
        <v>0</v>
      </c>
      <c r="J74" t="n">
        <v>1</v>
      </c>
      <c r="K74" t="n">
        <v>0</v>
      </c>
      <c r="L74" t="n">
        <v>0</v>
      </c>
      <c r="M74" t="n">
        <v>0</v>
      </c>
      <c r="N74" t="n">
        <v>0</v>
      </c>
      <c r="O74" t="n">
        <v>1</v>
      </c>
      <c r="P74" t="n">
        <v>0</v>
      </c>
      <c r="Q74" t="n">
        <v>1</v>
      </c>
      <c r="R74" s="2" t="inlineStr">
        <is>
          <t>Tallticka</t>
        </is>
      </c>
      <c r="S74">
        <f>HYPERLINK("https://klasma.github.io/Logging_0580/artfynd/A 27403-2025 artfynd.xlsx", "A 27403-2025")</f>
        <v/>
      </c>
      <c r="T74">
        <f>HYPERLINK("https://klasma.github.io/Logging_0580/kartor/A 27403-2025 karta.png", "A 27403-2025")</f>
        <v/>
      </c>
      <c r="V74">
        <f>HYPERLINK("https://klasma.github.io/Logging_0580/klagomål/A 27403-2025 FSC-klagomål.docx", "A 27403-2025")</f>
        <v/>
      </c>
      <c r="W74">
        <f>HYPERLINK("https://klasma.github.io/Logging_0580/klagomålsmail/A 27403-2025 FSC-klagomål mail.docx", "A 27403-2025")</f>
        <v/>
      </c>
      <c r="X74">
        <f>HYPERLINK("https://klasma.github.io/Logging_0580/tillsyn/A 27403-2025 tillsynsbegäran.docx", "A 27403-2025")</f>
        <v/>
      </c>
      <c r="Y74">
        <f>HYPERLINK("https://klasma.github.io/Logging_0580/tillsynsmail/A 27403-2025 tillsynsbegäran mail.docx", "A 27403-2025")</f>
        <v/>
      </c>
    </row>
    <row r="75" ht="15" customHeight="1">
      <c r="A75" t="inlineStr">
        <is>
          <t>A 56651-2023</t>
        </is>
      </c>
      <c r="B75" s="1" t="n">
        <v>45243</v>
      </c>
      <c r="C75" s="1" t="n">
        <v>45965</v>
      </c>
      <c r="D75" t="inlineStr">
        <is>
          <t>ÖSTERGÖTLANDS LÄN</t>
        </is>
      </c>
      <c r="E75" t="inlineStr">
        <is>
          <t>LINKÖPING</t>
        </is>
      </c>
      <c r="F75" t="inlineStr">
        <is>
          <t>Övriga Aktiebolag</t>
        </is>
      </c>
      <c r="G75" t="n">
        <v>2.3</v>
      </c>
      <c r="H75" t="n">
        <v>0</v>
      </c>
      <c r="I75" t="n">
        <v>0</v>
      </c>
      <c r="J75" t="n">
        <v>1</v>
      </c>
      <c r="K75" t="n">
        <v>0</v>
      </c>
      <c r="L75" t="n">
        <v>0</v>
      </c>
      <c r="M75" t="n">
        <v>0</v>
      </c>
      <c r="N75" t="n">
        <v>0</v>
      </c>
      <c r="O75" t="n">
        <v>1</v>
      </c>
      <c r="P75" t="n">
        <v>0</v>
      </c>
      <c r="Q75" t="n">
        <v>1</v>
      </c>
      <c r="R75" s="2" t="inlineStr">
        <is>
          <t>Gul dropplav</t>
        </is>
      </c>
      <c r="S75">
        <f>HYPERLINK("https://klasma.github.io/Logging_0580/artfynd/A 56651-2023 artfynd.xlsx", "A 56651-2023")</f>
        <v/>
      </c>
      <c r="T75">
        <f>HYPERLINK("https://klasma.github.io/Logging_0580/kartor/A 56651-2023 karta.png", "A 56651-2023")</f>
        <v/>
      </c>
      <c r="V75">
        <f>HYPERLINK("https://klasma.github.io/Logging_0580/klagomål/A 56651-2023 FSC-klagomål.docx", "A 56651-2023")</f>
        <v/>
      </c>
      <c r="W75">
        <f>HYPERLINK("https://klasma.github.io/Logging_0580/klagomålsmail/A 56651-2023 FSC-klagomål mail.docx", "A 56651-2023")</f>
        <v/>
      </c>
      <c r="X75">
        <f>HYPERLINK("https://klasma.github.io/Logging_0580/tillsyn/A 56651-2023 tillsynsbegäran.docx", "A 56651-2023")</f>
        <v/>
      </c>
      <c r="Y75">
        <f>HYPERLINK("https://klasma.github.io/Logging_0580/tillsynsmail/A 56651-2023 tillsynsbegäran mail.docx", "A 56651-2023")</f>
        <v/>
      </c>
    </row>
    <row r="76" ht="15" customHeight="1">
      <c r="A76" t="inlineStr">
        <is>
          <t>A 59948-2022</t>
        </is>
      </c>
      <c r="B76" s="1" t="n">
        <v>44909</v>
      </c>
      <c r="C76" s="1" t="n">
        <v>45965</v>
      </c>
      <c r="D76" t="inlineStr">
        <is>
          <t>ÖSTERGÖTLANDS LÄN</t>
        </is>
      </c>
      <c r="E76" t="inlineStr">
        <is>
          <t>LINKÖPING</t>
        </is>
      </c>
      <c r="G76" t="n">
        <v>6.7</v>
      </c>
      <c r="H76" t="n">
        <v>0</v>
      </c>
      <c r="I76" t="n">
        <v>0</v>
      </c>
      <c r="J76" t="n">
        <v>0</v>
      </c>
      <c r="K76" t="n">
        <v>0</v>
      </c>
      <c r="L76" t="n">
        <v>0</v>
      </c>
      <c r="M76" t="n">
        <v>1</v>
      </c>
      <c r="N76" t="n">
        <v>0</v>
      </c>
      <c r="O76" t="n">
        <v>1</v>
      </c>
      <c r="P76" t="n">
        <v>1</v>
      </c>
      <c r="Q76" t="n">
        <v>1</v>
      </c>
      <c r="R76" s="2" t="inlineStr">
        <is>
          <t>Skogsalm</t>
        </is>
      </c>
      <c r="S76">
        <f>HYPERLINK("https://klasma.github.io/Logging_0580/artfynd/A 59948-2022 artfynd.xlsx", "A 59948-2022")</f>
        <v/>
      </c>
      <c r="T76">
        <f>HYPERLINK("https://klasma.github.io/Logging_0580/kartor/A 59948-2022 karta.png", "A 59948-2022")</f>
        <v/>
      </c>
      <c r="V76">
        <f>HYPERLINK("https://klasma.github.io/Logging_0580/klagomål/A 59948-2022 FSC-klagomål.docx", "A 59948-2022")</f>
        <v/>
      </c>
      <c r="W76">
        <f>HYPERLINK("https://klasma.github.io/Logging_0580/klagomålsmail/A 59948-2022 FSC-klagomål mail.docx", "A 59948-2022")</f>
        <v/>
      </c>
      <c r="X76">
        <f>HYPERLINK("https://klasma.github.io/Logging_0580/tillsyn/A 59948-2022 tillsynsbegäran.docx", "A 59948-2022")</f>
        <v/>
      </c>
      <c r="Y76">
        <f>HYPERLINK("https://klasma.github.io/Logging_0580/tillsynsmail/A 59948-2022 tillsynsbegäran mail.docx", "A 59948-2022")</f>
        <v/>
      </c>
    </row>
    <row r="77" ht="15" customHeight="1">
      <c r="A77" t="inlineStr">
        <is>
          <t>A 48273-2025</t>
        </is>
      </c>
      <c r="B77" s="1" t="n">
        <v>45932</v>
      </c>
      <c r="C77" s="1" t="n">
        <v>45965</v>
      </c>
      <c r="D77" t="inlineStr">
        <is>
          <t>ÖSTERGÖTLANDS LÄN</t>
        </is>
      </c>
      <c r="E77" t="inlineStr">
        <is>
          <t>LINKÖPING</t>
        </is>
      </c>
      <c r="F77" t="inlineStr">
        <is>
          <t>Övriga Aktiebolag</t>
        </is>
      </c>
      <c r="G77" t="n">
        <v>4.6</v>
      </c>
      <c r="H77" t="n">
        <v>0</v>
      </c>
      <c r="I77" t="n">
        <v>0</v>
      </c>
      <c r="J77" t="n">
        <v>1</v>
      </c>
      <c r="K77" t="n">
        <v>0</v>
      </c>
      <c r="L77" t="n">
        <v>0</v>
      </c>
      <c r="M77" t="n">
        <v>0</v>
      </c>
      <c r="N77" t="n">
        <v>0</v>
      </c>
      <c r="O77" t="n">
        <v>1</v>
      </c>
      <c r="P77" t="n">
        <v>0</v>
      </c>
      <c r="Q77" t="n">
        <v>1</v>
      </c>
      <c r="R77" s="2" t="inlineStr">
        <is>
          <t>Barrviolspindling</t>
        </is>
      </c>
      <c r="S77">
        <f>HYPERLINK("https://klasma.github.io/Logging_0580/artfynd/A 48273-2025 artfynd.xlsx", "A 48273-2025")</f>
        <v/>
      </c>
      <c r="T77">
        <f>HYPERLINK("https://klasma.github.io/Logging_0580/kartor/A 48273-2025 karta.png", "A 48273-2025")</f>
        <v/>
      </c>
      <c r="V77">
        <f>HYPERLINK("https://klasma.github.io/Logging_0580/klagomål/A 48273-2025 FSC-klagomål.docx", "A 48273-2025")</f>
        <v/>
      </c>
      <c r="W77">
        <f>HYPERLINK("https://klasma.github.io/Logging_0580/klagomålsmail/A 48273-2025 FSC-klagomål mail.docx", "A 48273-2025")</f>
        <v/>
      </c>
      <c r="X77">
        <f>HYPERLINK("https://klasma.github.io/Logging_0580/tillsyn/A 48273-2025 tillsynsbegäran.docx", "A 48273-2025")</f>
        <v/>
      </c>
      <c r="Y77">
        <f>HYPERLINK("https://klasma.github.io/Logging_0580/tillsynsmail/A 48273-2025 tillsynsbegäran mail.docx", "A 48273-2025")</f>
        <v/>
      </c>
    </row>
    <row r="78" ht="15" customHeight="1">
      <c r="A78" t="inlineStr">
        <is>
          <t>A 62071-2023</t>
        </is>
      </c>
      <c r="B78" s="1" t="n">
        <v>45266.73542824074</v>
      </c>
      <c r="C78" s="1" t="n">
        <v>45965</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90-2024</t>
        </is>
      </c>
      <c r="B79" s="1" t="n">
        <v>45293</v>
      </c>
      <c r="C79" s="1" t="n">
        <v>45965</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17444-2025</t>
        </is>
      </c>
      <c r="B80" s="1" t="n">
        <v>45757.43452546297</v>
      </c>
      <c r="C80" s="1" t="n">
        <v>45965</v>
      </c>
      <c r="D80" t="inlineStr">
        <is>
          <t>ÖSTERGÖTLANDS LÄN</t>
        </is>
      </c>
      <c r="E80" t="inlineStr">
        <is>
          <t>LINKÖPING</t>
        </is>
      </c>
      <c r="G80" t="n">
        <v>1.3</v>
      </c>
      <c r="H80" t="n">
        <v>1</v>
      </c>
      <c r="I80" t="n">
        <v>0</v>
      </c>
      <c r="J80" t="n">
        <v>1</v>
      </c>
      <c r="K80" t="n">
        <v>0</v>
      </c>
      <c r="L80" t="n">
        <v>0</v>
      </c>
      <c r="M80" t="n">
        <v>0</v>
      </c>
      <c r="N80" t="n">
        <v>0</v>
      </c>
      <c r="O80" t="n">
        <v>1</v>
      </c>
      <c r="P80" t="n">
        <v>0</v>
      </c>
      <c r="Q80" t="n">
        <v>1</v>
      </c>
      <c r="R80" s="2" t="inlineStr">
        <is>
          <t>Dårgräsfjäril</t>
        </is>
      </c>
      <c r="S80">
        <f>HYPERLINK("https://klasma.github.io/Logging_0580/artfynd/A 17444-2025 artfynd.xlsx", "A 17444-2025")</f>
        <v/>
      </c>
      <c r="T80">
        <f>HYPERLINK("https://klasma.github.io/Logging_0580/kartor/A 17444-2025 karta.png", "A 17444-2025")</f>
        <v/>
      </c>
      <c r="V80">
        <f>HYPERLINK("https://klasma.github.io/Logging_0580/klagomål/A 17444-2025 FSC-klagomål.docx", "A 17444-2025")</f>
        <v/>
      </c>
      <c r="W80">
        <f>HYPERLINK("https://klasma.github.io/Logging_0580/klagomålsmail/A 17444-2025 FSC-klagomål mail.docx", "A 17444-2025")</f>
        <v/>
      </c>
      <c r="X80">
        <f>HYPERLINK("https://klasma.github.io/Logging_0580/tillsyn/A 17444-2025 tillsynsbegäran.docx", "A 17444-2025")</f>
        <v/>
      </c>
      <c r="Y80">
        <f>HYPERLINK("https://klasma.github.io/Logging_0580/tillsynsmail/A 17444-2025 tillsynsbegäran mail.docx", "A 17444-2025")</f>
        <v/>
      </c>
    </row>
    <row r="81" ht="15" customHeight="1">
      <c r="A81" t="inlineStr">
        <is>
          <t>A 36723-2023</t>
        </is>
      </c>
      <c r="B81" s="1" t="n">
        <v>45153</v>
      </c>
      <c r="C81" s="1" t="n">
        <v>45965</v>
      </c>
      <c r="D81" t="inlineStr">
        <is>
          <t>ÖSTERGÖTLANDS LÄN</t>
        </is>
      </c>
      <c r="E81" t="inlineStr">
        <is>
          <t>LINKÖPING</t>
        </is>
      </c>
      <c r="F81" t="inlineStr">
        <is>
          <t>Allmännings- och besparingsskogar</t>
        </is>
      </c>
      <c r="G81" t="n">
        <v>9.9</v>
      </c>
      <c r="H81" t="n">
        <v>0</v>
      </c>
      <c r="I81" t="n">
        <v>0</v>
      </c>
      <c r="J81" t="n">
        <v>0</v>
      </c>
      <c r="K81" t="n">
        <v>1</v>
      </c>
      <c r="L81" t="n">
        <v>0</v>
      </c>
      <c r="M81" t="n">
        <v>0</v>
      </c>
      <c r="N81" t="n">
        <v>0</v>
      </c>
      <c r="O81" t="n">
        <v>1</v>
      </c>
      <c r="P81" t="n">
        <v>1</v>
      </c>
      <c r="Q81" t="n">
        <v>1</v>
      </c>
      <c r="R81" s="2" t="inlineStr">
        <is>
          <t>Bitter taggsvamp</t>
        </is>
      </c>
      <c r="S81">
        <f>HYPERLINK("https://klasma.github.io/Logging_0580/artfynd/A 36723-2023 artfynd.xlsx", "A 36723-2023")</f>
        <v/>
      </c>
      <c r="T81">
        <f>HYPERLINK("https://klasma.github.io/Logging_0580/kartor/A 36723-2023 karta.png", "A 36723-2023")</f>
        <v/>
      </c>
      <c r="V81">
        <f>HYPERLINK("https://klasma.github.io/Logging_0580/klagomål/A 36723-2023 FSC-klagomål.docx", "A 36723-2023")</f>
        <v/>
      </c>
      <c r="W81">
        <f>HYPERLINK("https://klasma.github.io/Logging_0580/klagomålsmail/A 36723-2023 FSC-klagomål mail.docx", "A 36723-2023")</f>
        <v/>
      </c>
      <c r="X81">
        <f>HYPERLINK("https://klasma.github.io/Logging_0580/tillsyn/A 36723-2023 tillsynsbegäran.docx", "A 36723-2023")</f>
        <v/>
      </c>
      <c r="Y81">
        <f>HYPERLINK("https://klasma.github.io/Logging_0580/tillsynsmail/A 36723-2023 tillsynsbegäran mail.docx", "A 36723-2023")</f>
        <v/>
      </c>
    </row>
    <row r="82" ht="15" customHeight="1">
      <c r="A82" t="inlineStr">
        <is>
          <t>A 40309-2024</t>
        </is>
      </c>
      <c r="B82" s="1" t="n">
        <v>45554.724375</v>
      </c>
      <c r="C82" s="1" t="n">
        <v>45965</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43989-2025</t>
        </is>
      </c>
      <c r="B83" s="1" t="n">
        <v>45915.44128472222</v>
      </c>
      <c r="C83" s="1" t="n">
        <v>45965</v>
      </c>
      <c r="D83" t="inlineStr">
        <is>
          <t>ÖSTERGÖTLANDS LÄN</t>
        </is>
      </c>
      <c r="E83" t="inlineStr">
        <is>
          <t>LINKÖPING</t>
        </is>
      </c>
      <c r="F83" t="inlineStr">
        <is>
          <t>Allmännings- och besparingsskogar</t>
        </is>
      </c>
      <c r="G83" t="n">
        <v>3.5</v>
      </c>
      <c r="H83" t="n">
        <v>0</v>
      </c>
      <c r="I83" t="n">
        <v>0</v>
      </c>
      <c r="J83" t="n">
        <v>1</v>
      </c>
      <c r="K83" t="n">
        <v>0</v>
      </c>
      <c r="L83" t="n">
        <v>0</v>
      </c>
      <c r="M83" t="n">
        <v>0</v>
      </c>
      <c r="N83" t="n">
        <v>0</v>
      </c>
      <c r="O83" t="n">
        <v>1</v>
      </c>
      <c r="P83" t="n">
        <v>0</v>
      </c>
      <c r="Q83" t="n">
        <v>1</v>
      </c>
      <c r="R83" s="2" t="inlineStr">
        <is>
          <t>Kavelhirs</t>
        </is>
      </c>
      <c r="S83">
        <f>HYPERLINK("https://klasma.github.io/Logging_0580/artfynd/A 43989-2025 artfynd.xlsx", "A 43989-2025")</f>
        <v/>
      </c>
      <c r="T83">
        <f>HYPERLINK("https://klasma.github.io/Logging_0580/kartor/A 43989-2025 karta.png", "A 43989-2025")</f>
        <v/>
      </c>
      <c r="V83">
        <f>HYPERLINK("https://klasma.github.io/Logging_0580/klagomål/A 43989-2025 FSC-klagomål.docx", "A 43989-2025")</f>
        <v/>
      </c>
      <c r="W83">
        <f>HYPERLINK("https://klasma.github.io/Logging_0580/klagomålsmail/A 43989-2025 FSC-klagomål mail.docx", "A 43989-2025")</f>
        <v/>
      </c>
      <c r="X83">
        <f>HYPERLINK("https://klasma.github.io/Logging_0580/tillsyn/A 43989-2025 tillsynsbegäran.docx", "A 43989-2025")</f>
        <v/>
      </c>
      <c r="Y83">
        <f>HYPERLINK("https://klasma.github.io/Logging_0580/tillsynsmail/A 43989-2025 tillsynsbegäran mail.docx", "A 43989-2025")</f>
        <v/>
      </c>
    </row>
    <row r="84" ht="15" customHeight="1">
      <c r="A84" t="inlineStr">
        <is>
          <t>A 44760-2025</t>
        </is>
      </c>
      <c r="B84" s="1" t="n">
        <v>45917.71873842592</v>
      </c>
      <c r="C84" s="1" t="n">
        <v>45965</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Tallticka</t>
        </is>
      </c>
      <c r="S84">
        <f>HYPERLINK("https://klasma.github.io/Logging_0580/artfynd/A 44760-2025 artfynd.xlsx", "A 44760-2025")</f>
        <v/>
      </c>
      <c r="T84">
        <f>HYPERLINK("https://klasma.github.io/Logging_0580/kartor/A 44760-2025 karta.png", "A 44760-2025")</f>
        <v/>
      </c>
      <c r="V84">
        <f>HYPERLINK("https://klasma.github.io/Logging_0580/klagomål/A 44760-2025 FSC-klagomål.docx", "A 44760-2025")</f>
        <v/>
      </c>
      <c r="W84">
        <f>HYPERLINK("https://klasma.github.io/Logging_0580/klagomålsmail/A 44760-2025 FSC-klagomål mail.docx", "A 44760-2025")</f>
        <v/>
      </c>
      <c r="X84">
        <f>HYPERLINK("https://klasma.github.io/Logging_0580/tillsyn/A 44760-2025 tillsynsbegäran.docx", "A 44760-2025")</f>
        <v/>
      </c>
      <c r="Y84">
        <f>HYPERLINK("https://klasma.github.io/Logging_0580/tillsynsmail/A 44760-2025 tillsynsbegäran mail.docx", "A 44760-2025")</f>
        <v/>
      </c>
    </row>
    <row r="85" ht="15" customHeight="1">
      <c r="A85" t="inlineStr">
        <is>
          <t>A 50034-2025</t>
        </is>
      </c>
      <c r="B85" s="1" t="n">
        <v>45941</v>
      </c>
      <c r="C85" s="1" t="n">
        <v>45965</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38881-2021</t>
        </is>
      </c>
      <c r="B86" s="1" t="n">
        <v>44411.46893518518</v>
      </c>
      <c r="C86" s="1" t="n">
        <v>45965</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38887-2021</t>
        </is>
      </c>
      <c r="B87" s="1" t="n">
        <v>44411</v>
      </c>
      <c r="C87" s="1" t="n">
        <v>45965</v>
      </c>
      <c r="D87" t="inlineStr">
        <is>
          <t>ÖSTERGÖTLANDS LÄN</t>
        </is>
      </c>
      <c r="E87" t="inlineStr">
        <is>
          <t>LINKÖPING</t>
        </is>
      </c>
      <c r="G87" t="n">
        <v>1.6</v>
      </c>
      <c r="H87" t="n">
        <v>0</v>
      </c>
      <c r="I87" t="n">
        <v>0</v>
      </c>
      <c r="J87" t="n">
        <v>0</v>
      </c>
      <c r="K87" t="n">
        <v>0</v>
      </c>
      <c r="L87" t="n">
        <v>0</v>
      </c>
      <c r="M87" t="n">
        <v>0</v>
      </c>
      <c r="N87" t="n">
        <v>0</v>
      </c>
      <c r="O87" t="n">
        <v>0</v>
      </c>
      <c r="P87" t="n">
        <v>0</v>
      </c>
      <c r="Q87" t="n">
        <v>0</v>
      </c>
      <c r="R87" s="2" t="inlineStr"/>
    </row>
    <row r="88" ht="15" customHeight="1">
      <c r="A88" t="inlineStr">
        <is>
          <t>A 5008-2021</t>
        </is>
      </c>
      <c r="B88" s="1" t="n">
        <v>44228</v>
      </c>
      <c r="C88" s="1" t="n">
        <v>45965</v>
      </c>
      <c r="D88" t="inlineStr">
        <is>
          <t>ÖSTERGÖTLANDS LÄN</t>
        </is>
      </c>
      <c r="E88" t="inlineStr">
        <is>
          <t>LINKÖPING</t>
        </is>
      </c>
      <c r="F88" t="inlineStr">
        <is>
          <t>Övriga Aktiebolag</t>
        </is>
      </c>
      <c r="G88" t="n">
        <v>0.3</v>
      </c>
      <c r="H88" t="n">
        <v>0</v>
      </c>
      <c r="I88" t="n">
        <v>0</v>
      </c>
      <c r="J88" t="n">
        <v>0</v>
      </c>
      <c r="K88" t="n">
        <v>0</v>
      </c>
      <c r="L88" t="n">
        <v>0</v>
      </c>
      <c r="M88" t="n">
        <v>0</v>
      </c>
      <c r="N88" t="n">
        <v>0</v>
      </c>
      <c r="O88" t="n">
        <v>0</v>
      </c>
      <c r="P88" t="n">
        <v>0</v>
      </c>
      <c r="Q88" t="n">
        <v>0</v>
      </c>
      <c r="R88" s="2" t="inlineStr"/>
    </row>
    <row r="89" ht="15" customHeight="1">
      <c r="A89" t="inlineStr">
        <is>
          <t>A 56239-2021</t>
        </is>
      </c>
      <c r="B89" s="1" t="n">
        <v>44478</v>
      </c>
      <c r="C89" s="1" t="n">
        <v>45965</v>
      </c>
      <c r="D89" t="inlineStr">
        <is>
          <t>ÖSTERGÖTLANDS LÄN</t>
        </is>
      </c>
      <c r="E89" t="inlineStr">
        <is>
          <t>LINKÖPING</t>
        </is>
      </c>
      <c r="F89" t="inlineStr">
        <is>
          <t>Övriga Aktiebolag</t>
        </is>
      </c>
      <c r="G89" t="n">
        <v>3</v>
      </c>
      <c r="H89" t="n">
        <v>0</v>
      </c>
      <c r="I89" t="n">
        <v>0</v>
      </c>
      <c r="J89" t="n">
        <v>0</v>
      </c>
      <c r="K89" t="n">
        <v>0</v>
      </c>
      <c r="L89" t="n">
        <v>0</v>
      </c>
      <c r="M89" t="n">
        <v>0</v>
      </c>
      <c r="N89" t="n">
        <v>0</v>
      </c>
      <c r="O89" t="n">
        <v>0</v>
      </c>
      <c r="P89" t="n">
        <v>0</v>
      </c>
      <c r="Q89" t="n">
        <v>0</v>
      </c>
      <c r="R89" s="2" t="inlineStr"/>
    </row>
    <row r="90" ht="15" customHeight="1">
      <c r="A90" t="inlineStr">
        <is>
          <t>A 7289-2021</t>
        </is>
      </c>
      <c r="B90" s="1" t="n">
        <v>44238</v>
      </c>
      <c r="C90" s="1" t="n">
        <v>45965</v>
      </c>
      <c r="D90" t="inlineStr">
        <is>
          <t>ÖSTERGÖTLANDS LÄN</t>
        </is>
      </c>
      <c r="E90" t="inlineStr">
        <is>
          <t>LINKÖPING</t>
        </is>
      </c>
      <c r="G90" t="n">
        <v>0.7</v>
      </c>
      <c r="H90" t="n">
        <v>0</v>
      </c>
      <c r="I90" t="n">
        <v>0</v>
      </c>
      <c r="J90" t="n">
        <v>0</v>
      </c>
      <c r="K90" t="n">
        <v>0</v>
      </c>
      <c r="L90" t="n">
        <v>0</v>
      </c>
      <c r="M90" t="n">
        <v>0</v>
      </c>
      <c r="N90" t="n">
        <v>0</v>
      </c>
      <c r="O90" t="n">
        <v>0</v>
      </c>
      <c r="P90" t="n">
        <v>0</v>
      </c>
      <c r="Q90" t="n">
        <v>0</v>
      </c>
      <c r="R90" s="2" t="inlineStr"/>
    </row>
    <row r="91" ht="15" customHeight="1">
      <c r="A91" t="inlineStr">
        <is>
          <t>A 6958-2021</t>
        </is>
      </c>
      <c r="B91" s="1" t="n">
        <v>44237</v>
      </c>
      <c r="C91" s="1" t="n">
        <v>45965</v>
      </c>
      <c r="D91" t="inlineStr">
        <is>
          <t>ÖSTERGÖTLANDS LÄN</t>
        </is>
      </c>
      <c r="E91" t="inlineStr">
        <is>
          <t>LINKÖPING</t>
        </is>
      </c>
      <c r="G91" t="n">
        <v>0.6</v>
      </c>
      <c r="H91" t="n">
        <v>0</v>
      </c>
      <c r="I91" t="n">
        <v>0</v>
      </c>
      <c r="J91" t="n">
        <v>0</v>
      </c>
      <c r="K91" t="n">
        <v>0</v>
      </c>
      <c r="L91" t="n">
        <v>0</v>
      </c>
      <c r="M91" t="n">
        <v>0</v>
      </c>
      <c r="N91" t="n">
        <v>0</v>
      </c>
      <c r="O91" t="n">
        <v>0</v>
      </c>
      <c r="P91" t="n">
        <v>0</v>
      </c>
      <c r="Q91" t="n">
        <v>0</v>
      </c>
      <c r="R91" s="2" t="inlineStr"/>
    </row>
    <row r="92" ht="15" customHeight="1">
      <c r="A92" t="inlineStr">
        <is>
          <t>A 398-2021</t>
        </is>
      </c>
      <c r="B92" s="1" t="n">
        <v>44201</v>
      </c>
      <c r="C92" s="1" t="n">
        <v>45965</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45965</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7840-2022</t>
        </is>
      </c>
      <c r="B94" s="1" t="n">
        <v>44608</v>
      </c>
      <c r="C94" s="1" t="n">
        <v>45965</v>
      </c>
      <c r="D94" t="inlineStr">
        <is>
          <t>ÖSTERGÖTLANDS LÄN</t>
        </is>
      </c>
      <c r="E94" t="inlineStr">
        <is>
          <t>LINKÖPING</t>
        </is>
      </c>
      <c r="G94" t="n">
        <v>1</v>
      </c>
      <c r="H94" t="n">
        <v>0</v>
      </c>
      <c r="I94" t="n">
        <v>0</v>
      </c>
      <c r="J94" t="n">
        <v>0</v>
      </c>
      <c r="K94" t="n">
        <v>0</v>
      </c>
      <c r="L94" t="n">
        <v>0</v>
      </c>
      <c r="M94" t="n">
        <v>0</v>
      </c>
      <c r="N94" t="n">
        <v>0</v>
      </c>
      <c r="O94" t="n">
        <v>0</v>
      </c>
      <c r="P94" t="n">
        <v>0</v>
      </c>
      <c r="Q94" t="n">
        <v>0</v>
      </c>
      <c r="R94" s="2" t="inlineStr"/>
    </row>
    <row r="95" ht="15" customHeight="1">
      <c r="A95" t="inlineStr">
        <is>
          <t>A 40506-2021</t>
        </is>
      </c>
      <c r="B95" s="1" t="n">
        <v>44420</v>
      </c>
      <c r="C95" s="1" t="n">
        <v>45965</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64269-2021</t>
        </is>
      </c>
      <c r="B96" s="1" t="n">
        <v>44510</v>
      </c>
      <c r="C96" s="1" t="n">
        <v>45965</v>
      </c>
      <c r="D96" t="inlineStr">
        <is>
          <t>ÖSTERGÖTLANDS LÄN</t>
        </is>
      </c>
      <c r="E96" t="inlineStr">
        <is>
          <t>LINKÖPING</t>
        </is>
      </c>
      <c r="G96" t="n">
        <v>1.9</v>
      </c>
      <c r="H96" t="n">
        <v>0</v>
      </c>
      <c r="I96" t="n">
        <v>0</v>
      </c>
      <c r="J96" t="n">
        <v>0</v>
      </c>
      <c r="K96" t="n">
        <v>0</v>
      </c>
      <c r="L96" t="n">
        <v>0</v>
      </c>
      <c r="M96" t="n">
        <v>0</v>
      </c>
      <c r="N96" t="n">
        <v>0</v>
      </c>
      <c r="O96" t="n">
        <v>0</v>
      </c>
      <c r="P96" t="n">
        <v>0</v>
      </c>
      <c r="Q96" t="n">
        <v>0</v>
      </c>
      <c r="R96" s="2" t="inlineStr"/>
    </row>
    <row r="97" ht="15" customHeight="1">
      <c r="A97" t="inlineStr">
        <is>
          <t>A 58407-2021</t>
        </is>
      </c>
      <c r="B97" s="1" t="n">
        <v>44488</v>
      </c>
      <c r="C97" s="1" t="n">
        <v>45965</v>
      </c>
      <c r="D97" t="inlineStr">
        <is>
          <t>ÖSTERGÖTLANDS LÄN</t>
        </is>
      </c>
      <c r="E97" t="inlineStr">
        <is>
          <t>LINKÖPING</t>
        </is>
      </c>
      <c r="G97" t="n">
        <v>1.1</v>
      </c>
      <c r="H97" t="n">
        <v>0</v>
      </c>
      <c r="I97" t="n">
        <v>0</v>
      </c>
      <c r="J97" t="n">
        <v>0</v>
      </c>
      <c r="K97" t="n">
        <v>0</v>
      </c>
      <c r="L97" t="n">
        <v>0</v>
      </c>
      <c r="M97" t="n">
        <v>0</v>
      </c>
      <c r="N97" t="n">
        <v>0</v>
      </c>
      <c r="O97" t="n">
        <v>0</v>
      </c>
      <c r="P97" t="n">
        <v>0</v>
      </c>
      <c r="Q97" t="n">
        <v>0</v>
      </c>
      <c r="R97" s="2" t="inlineStr"/>
    </row>
    <row r="98" ht="15" customHeight="1">
      <c r="A98" t="inlineStr">
        <is>
          <t>A 30800-2022</t>
        </is>
      </c>
      <c r="B98" s="1" t="n">
        <v>44764.75119212963</v>
      </c>
      <c r="C98" s="1" t="n">
        <v>45965</v>
      </c>
      <c r="D98" t="inlineStr">
        <is>
          <t>ÖSTERGÖTLANDS LÄN</t>
        </is>
      </c>
      <c r="E98" t="inlineStr">
        <is>
          <t>LINKÖPING</t>
        </is>
      </c>
      <c r="G98" t="n">
        <v>0.9</v>
      </c>
      <c r="H98" t="n">
        <v>0</v>
      </c>
      <c r="I98" t="n">
        <v>0</v>
      </c>
      <c r="J98" t="n">
        <v>0</v>
      </c>
      <c r="K98" t="n">
        <v>0</v>
      </c>
      <c r="L98" t="n">
        <v>0</v>
      </c>
      <c r="M98" t="n">
        <v>0</v>
      </c>
      <c r="N98" t="n">
        <v>0</v>
      </c>
      <c r="O98" t="n">
        <v>0</v>
      </c>
      <c r="P98" t="n">
        <v>0</v>
      </c>
      <c r="Q98" t="n">
        <v>0</v>
      </c>
      <c r="R98" s="2" t="inlineStr"/>
    </row>
    <row r="99" ht="15" customHeight="1">
      <c r="A99" t="inlineStr">
        <is>
          <t>A 40635-2021</t>
        </is>
      </c>
      <c r="B99" s="1" t="n">
        <v>44420</v>
      </c>
      <c r="C99" s="1" t="n">
        <v>45965</v>
      </c>
      <c r="D99" t="inlineStr">
        <is>
          <t>ÖSTERGÖTLANDS LÄN</t>
        </is>
      </c>
      <c r="E99" t="inlineStr">
        <is>
          <t>LINKÖPING</t>
        </is>
      </c>
      <c r="G99" t="n">
        <v>2.7</v>
      </c>
      <c r="H99" t="n">
        <v>0</v>
      </c>
      <c r="I99" t="n">
        <v>0</v>
      </c>
      <c r="J99" t="n">
        <v>0</v>
      </c>
      <c r="K99" t="n">
        <v>0</v>
      </c>
      <c r="L99" t="n">
        <v>0</v>
      </c>
      <c r="M99" t="n">
        <v>0</v>
      </c>
      <c r="N99" t="n">
        <v>0</v>
      </c>
      <c r="O99" t="n">
        <v>0</v>
      </c>
      <c r="P99" t="n">
        <v>0</v>
      </c>
      <c r="Q99" t="n">
        <v>0</v>
      </c>
      <c r="R99" s="2" t="inlineStr"/>
    </row>
    <row r="100" ht="15" customHeight="1">
      <c r="A100" t="inlineStr">
        <is>
          <t>A 49018-2022</t>
        </is>
      </c>
      <c r="B100" s="1" t="n">
        <v>44855</v>
      </c>
      <c r="C100" s="1" t="n">
        <v>45965</v>
      </c>
      <c r="D100" t="inlineStr">
        <is>
          <t>ÖSTERGÖTLANDS LÄN</t>
        </is>
      </c>
      <c r="E100" t="inlineStr">
        <is>
          <t>LINKÖPING</t>
        </is>
      </c>
      <c r="F100" t="inlineStr">
        <is>
          <t>Kommuner</t>
        </is>
      </c>
      <c r="G100" t="n">
        <v>0.4</v>
      </c>
      <c r="H100" t="n">
        <v>0</v>
      </c>
      <c r="I100" t="n">
        <v>0</v>
      </c>
      <c r="J100" t="n">
        <v>0</v>
      </c>
      <c r="K100" t="n">
        <v>0</v>
      </c>
      <c r="L100" t="n">
        <v>0</v>
      </c>
      <c r="M100" t="n">
        <v>0</v>
      </c>
      <c r="N100" t="n">
        <v>0</v>
      </c>
      <c r="O100" t="n">
        <v>0</v>
      </c>
      <c r="P100" t="n">
        <v>0</v>
      </c>
      <c r="Q100" t="n">
        <v>0</v>
      </c>
      <c r="R100" s="2" t="inlineStr"/>
    </row>
    <row r="101" ht="15" customHeight="1">
      <c r="A101" t="inlineStr">
        <is>
          <t>A 1581-2022</t>
        </is>
      </c>
      <c r="B101" s="1" t="n">
        <v>44573</v>
      </c>
      <c r="C101" s="1" t="n">
        <v>45965</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46234-2022</t>
        </is>
      </c>
      <c r="B102" s="1" t="n">
        <v>44846</v>
      </c>
      <c r="C102" s="1" t="n">
        <v>45965</v>
      </c>
      <c r="D102" t="inlineStr">
        <is>
          <t>ÖSTERGÖTLANDS LÄN</t>
        </is>
      </c>
      <c r="E102" t="inlineStr">
        <is>
          <t>LINKÖPING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38961-2021</t>
        </is>
      </c>
      <c r="B103" s="1" t="n">
        <v>44411</v>
      </c>
      <c r="C103" s="1" t="n">
        <v>45965</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159-2022</t>
        </is>
      </c>
      <c r="B104" s="1" t="n">
        <v>44564</v>
      </c>
      <c r="C104" s="1" t="n">
        <v>45965</v>
      </c>
      <c r="D104" t="inlineStr">
        <is>
          <t>ÖSTERGÖTLANDS LÄN</t>
        </is>
      </c>
      <c r="E104" t="inlineStr">
        <is>
          <t>LINKÖPING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60639-2021</t>
        </is>
      </c>
      <c r="B105" s="1" t="n">
        <v>44496</v>
      </c>
      <c r="C105" s="1" t="n">
        <v>45965</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45965</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32433-2022</t>
        </is>
      </c>
      <c r="B107" s="1" t="n">
        <v>44782.48431712963</v>
      </c>
      <c r="C107" s="1" t="n">
        <v>45965</v>
      </c>
      <c r="D107" t="inlineStr">
        <is>
          <t>ÖSTERGÖTLANDS LÄN</t>
        </is>
      </c>
      <c r="E107" t="inlineStr">
        <is>
          <t>LINKÖPING</t>
        </is>
      </c>
      <c r="G107" t="n">
        <v>11.3</v>
      </c>
      <c r="H107" t="n">
        <v>0</v>
      </c>
      <c r="I107" t="n">
        <v>0</v>
      </c>
      <c r="J107" t="n">
        <v>0</v>
      </c>
      <c r="K107" t="n">
        <v>0</v>
      </c>
      <c r="L107" t="n">
        <v>0</v>
      </c>
      <c r="M107" t="n">
        <v>0</v>
      </c>
      <c r="N107" t="n">
        <v>0</v>
      </c>
      <c r="O107" t="n">
        <v>0</v>
      </c>
      <c r="P107" t="n">
        <v>0</v>
      </c>
      <c r="Q107" t="n">
        <v>0</v>
      </c>
      <c r="R107" s="2" t="inlineStr"/>
    </row>
    <row r="108" ht="15" customHeight="1">
      <c r="A108" t="inlineStr">
        <is>
          <t>A 38143-2021</t>
        </is>
      </c>
      <c r="B108" s="1" t="n">
        <v>44405</v>
      </c>
      <c r="C108" s="1" t="n">
        <v>45965</v>
      </c>
      <c r="D108" t="inlineStr">
        <is>
          <t>ÖSTERGÖTLANDS LÄN</t>
        </is>
      </c>
      <c r="E108" t="inlineStr">
        <is>
          <t>LINKÖPING</t>
        </is>
      </c>
      <c r="G108" t="n">
        <v>4.1</v>
      </c>
      <c r="H108" t="n">
        <v>0</v>
      </c>
      <c r="I108" t="n">
        <v>0</v>
      </c>
      <c r="J108" t="n">
        <v>0</v>
      </c>
      <c r="K108" t="n">
        <v>0</v>
      </c>
      <c r="L108" t="n">
        <v>0</v>
      </c>
      <c r="M108" t="n">
        <v>0</v>
      </c>
      <c r="N108" t="n">
        <v>0</v>
      </c>
      <c r="O108" t="n">
        <v>0</v>
      </c>
      <c r="P108" t="n">
        <v>0</v>
      </c>
      <c r="Q108" t="n">
        <v>0</v>
      </c>
      <c r="R108" s="2" t="inlineStr"/>
    </row>
    <row r="109" ht="15" customHeight="1">
      <c r="A109" t="inlineStr">
        <is>
          <t>A 38254-2021</t>
        </is>
      </c>
      <c r="B109" s="1" t="n">
        <v>44405</v>
      </c>
      <c r="C109" s="1" t="n">
        <v>45965</v>
      </c>
      <c r="D109" t="inlineStr">
        <is>
          <t>ÖSTERGÖTLANDS LÄN</t>
        </is>
      </c>
      <c r="E109" t="inlineStr">
        <is>
          <t>LINKÖPING</t>
        </is>
      </c>
      <c r="G109" t="n">
        <v>1.9</v>
      </c>
      <c r="H109" t="n">
        <v>0</v>
      </c>
      <c r="I109" t="n">
        <v>0</v>
      </c>
      <c r="J109" t="n">
        <v>0</v>
      </c>
      <c r="K109" t="n">
        <v>0</v>
      </c>
      <c r="L109" t="n">
        <v>0</v>
      </c>
      <c r="M109" t="n">
        <v>0</v>
      </c>
      <c r="N109" t="n">
        <v>0</v>
      </c>
      <c r="O109" t="n">
        <v>0</v>
      </c>
      <c r="P109" t="n">
        <v>0</v>
      </c>
      <c r="Q109" t="n">
        <v>0</v>
      </c>
      <c r="R109" s="2" t="inlineStr"/>
    </row>
    <row r="110" ht="15" customHeight="1">
      <c r="A110" t="inlineStr">
        <is>
          <t>A 261-2021</t>
        </is>
      </c>
      <c r="B110" s="1" t="n">
        <v>44200</v>
      </c>
      <c r="C110" s="1" t="n">
        <v>45965</v>
      </c>
      <c r="D110" t="inlineStr">
        <is>
          <t>ÖSTERGÖTLANDS LÄN</t>
        </is>
      </c>
      <c r="E110" t="inlineStr">
        <is>
          <t>LINKÖPING</t>
        </is>
      </c>
      <c r="G110" t="n">
        <v>3.1</v>
      </c>
      <c r="H110" t="n">
        <v>0</v>
      </c>
      <c r="I110" t="n">
        <v>0</v>
      </c>
      <c r="J110" t="n">
        <v>0</v>
      </c>
      <c r="K110" t="n">
        <v>0</v>
      </c>
      <c r="L110" t="n">
        <v>0</v>
      </c>
      <c r="M110" t="n">
        <v>0</v>
      </c>
      <c r="N110" t="n">
        <v>0</v>
      </c>
      <c r="O110" t="n">
        <v>0</v>
      </c>
      <c r="P110" t="n">
        <v>0</v>
      </c>
      <c r="Q110" t="n">
        <v>0</v>
      </c>
      <c r="R110" s="2" t="inlineStr"/>
    </row>
    <row r="111" ht="15" customHeight="1">
      <c r="A111" t="inlineStr">
        <is>
          <t>A 31703-2022</t>
        </is>
      </c>
      <c r="B111" s="1" t="n">
        <v>44776</v>
      </c>
      <c r="C111" s="1" t="n">
        <v>45965</v>
      </c>
      <c r="D111" t="inlineStr">
        <is>
          <t>ÖSTERGÖTLANDS LÄN</t>
        </is>
      </c>
      <c r="E111" t="inlineStr">
        <is>
          <t>LINKÖPING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67120-2020</t>
        </is>
      </c>
      <c r="B112" s="1" t="n">
        <v>44180</v>
      </c>
      <c r="C112" s="1" t="n">
        <v>45965</v>
      </c>
      <c r="D112" t="inlineStr">
        <is>
          <t>ÖSTERGÖTLANDS LÄN</t>
        </is>
      </c>
      <c r="E112" t="inlineStr">
        <is>
          <t>LINKÖPING</t>
        </is>
      </c>
      <c r="F112" t="inlineStr">
        <is>
          <t>Övriga statliga verk och myndigheter</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45965</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45965</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45965</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45965</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45965</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45965</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45965</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45965</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45965</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45965</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45965</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45965</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45965</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45965</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45965</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45965</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45965</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45965</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45965</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45965</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45965</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45965</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45965</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45965</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45965</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45965</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45965</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45965</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45965</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384-2021</t>
        </is>
      </c>
      <c r="B142" s="1" t="n">
        <v>44201.57689814815</v>
      </c>
      <c r="C142" s="1" t="n">
        <v>45965</v>
      </c>
      <c r="D142" t="inlineStr">
        <is>
          <t>ÖSTERGÖTLANDS LÄN</t>
        </is>
      </c>
      <c r="E142" t="inlineStr">
        <is>
          <t>LINKÖPING</t>
        </is>
      </c>
      <c r="G142" t="n">
        <v>0.2</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45965</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45965</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45965</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45965</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45965</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45965</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38134-2021</t>
        </is>
      </c>
      <c r="B149" s="1" t="n">
        <v>44405.3794212963</v>
      </c>
      <c r="C149" s="1" t="n">
        <v>45965</v>
      </c>
      <c r="D149" t="inlineStr">
        <is>
          <t>ÖSTERGÖTLANDS LÄN</t>
        </is>
      </c>
      <c r="E149" t="inlineStr">
        <is>
          <t>LINKÖPING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4929-2021</t>
        </is>
      </c>
      <c r="B150" s="1" t="n">
        <v>44227.57533564815</v>
      </c>
      <c r="C150" s="1" t="n">
        <v>45965</v>
      </c>
      <c r="D150" t="inlineStr">
        <is>
          <t>ÖSTERGÖTLANDS LÄN</t>
        </is>
      </c>
      <c r="E150" t="inlineStr">
        <is>
          <t>LINKÖPING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45965</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44849-2022</t>
        </is>
      </c>
      <c r="B152" s="1" t="n">
        <v>44841</v>
      </c>
      <c r="C152" s="1" t="n">
        <v>45965</v>
      </c>
      <c r="D152" t="inlineStr">
        <is>
          <t>ÖSTERGÖTLANDS LÄN</t>
        </is>
      </c>
      <c r="E152" t="inlineStr">
        <is>
          <t>LINKÖPING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70835-2021</t>
        </is>
      </c>
      <c r="B153" s="1" t="n">
        <v>44537</v>
      </c>
      <c r="C153" s="1" t="n">
        <v>45965</v>
      </c>
      <c r="D153" t="inlineStr">
        <is>
          <t>ÖSTERGÖTLANDS LÄN</t>
        </is>
      </c>
      <c r="E153" t="inlineStr">
        <is>
          <t>LINKÖPING</t>
        </is>
      </c>
      <c r="G153" t="n">
        <v>2.3</v>
      </c>
      <c r="H153" t="n">
        <v>0</v>
      </c>
      <c r="I153" t="n">
        <v>0</v>
      </c>
      <c r="J153" t="n">
        <v>0</v>
      </c>
      <c r="K153" t="n">
        <v>0</v>
      </c>
      <c r="L153" t="n">
        <v>0</v>
      </c>
      <c r="M153" t="n">
        <v>0</v>
      </c>
      <c r="N153" t="n">
        <v>0</v>
      </c>
      <c r="O153" t="n">
        <v>0</v>
      </c>
      <c r="P153" t="n">
        <v>0</v>
      </c>
      <c r="Q153" t="n">
        <v>0</v>
      </c>
      <c r="R153" s="2" t="inlineStr"/>
    </row>
    <row r="154" ht="15" customHeight="1">
      <c r="A154" t="inlineStr">
        <is>
          <t>A 37934-2022</t>
        </is>
      </c>
      <c r="B154" s="1" t="n">
        <v>44809</v>
      </c>
      <c r="C154" s="1" t="n">
        <v>45965</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33891-2021</t>
        </is>
      </c>
      <c r="B155" s="1" t="n">
        <v>44378</v>
      </c>
      <c r="C155" s="1" t="n">
        <v>45965</v>
      </c>
      <c r="D155" t="inlineStr">
        <is>
          <t>ÖSTERGÖTLANDS LÄN</t>
        </is>
      </c>
      <c r="E155" t="inlineStr">
        <is>
          <t>LINKÖPING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45965</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45965</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45965</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45965</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4377-2021</t>
        </is>
      </c>
      <c r="B160" s="1" t="n">
        <v>44223</v>
      </c>
      <c r="C160" s="1" t="n">
        <v>45965</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31732-2022</t>
        </is>
      </c>
      <c r="B161" s="1" t="n">
        <v>44776.49267361111</v>
      </c>
      <c r="C161" s="1" t="n">
        <v>45965</v>
      </c>
      <c r="D161" t="inlineStr">
        <is>
          <t>ÖSTERGÖTLANDS LÄN</t>
        </is>
      </c>
      <c r="E161" t="inlineStr">
        <is>
          <t>LINKÖPING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58266-2021</t>
        </is>
      </c>
      <c r="B162" s="1" t="n">
        <v>44487</v>
      </c>
      <c r="C162" s="1" t="n">
        <v>45965</v>
      </c>
      <c r="D162" t="inlineStr">
        <is>
          <t>ÖSTERGÖTLANDS LÄN</t>
        </is>
      </c>
      <c r="E162" t="inlineStr">
        <is>
          <t>LINKÖPING</t>
        </is>
      </c>
      <c r="F162" t="inlineStr">
        <is>
          <t>Övriga Aktiebolag</t>
        </is>
      </c>
      <c r="G162" t="n">
        <v>3.2</v>
      </c>
      <c r="H162" t="n">
        <v>0</v>
      </c>
      <c r="I162" t="n">
        <v>0</v>
      </c>
      <c r="J162" t="n">
        <v>0</v>
      </c>
      <c r="K162" t="n">
        <v>0</v>
      </c>
      <c r="L162" t="n">
        <v>0</v>
      </c>
      <c r="M162" t="n">
        <v>0</v>
      </c>
      <c r="N162" t="n">
        <v>0</v>
      </c>
      <c r="O162" t="n">
        <v>0</v>
      </c>
      <c r="P162" t="n">
        <v>0</v>
      </c>
      <c r="Q162" t="n">
        <v>0</v>
      </c>
      <c r="R162" s="2" t="inlineStr"/>
    </row>
    <row r="163" ht="15" customHeight="1">
      <c r="A163" t="inlineStr">
        <is>
          <t>A 11079-2022</t>
        </is>
      </c>
      <c r="B163" s="1" t="n">
        <v>44628</v>
      </c>
      <c r="C163" s="1" t="n">
        <v>45965</v>
      </c>
      <c r="D163" t="inlineStr">
        <is>
          <t>ÖSTERGÖTLANDS LÄN</t>
        </is>
      </c>
      <c r="E163" t="inlineStr">
        <is>
          <t>LINKÖPING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20901-2021</t>
        </is>
      </c>
      <c r="B164" s="1" t="n">
        <v>44319</v>
      </c>
      <c r="C164" s="1" t="n">
        <v>45965</v>
      </c>
      <c r="D164" t="inlineStr">
        <is>
          <t>ÖSTERGÖTLANDS LÄN</t>
        </is>
      </c>
      <c r="E164" t="inlineStr">
        <is>
          <t>LINKÖPING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61153-2021</t>
        </is>
      </c>
      <c r="B165" s="1" t="n">
        <v>44497</v>
      </c>
      <c r="C165" s="1" t="n">
        <v>45965</v>
      </c>
      <c r="D165" t="inlineStr">
        <is>
          <t>ÖSTERGÖTLANDS LÄN</t>
        </is>
      </c>
      <c r="E165" t="inlineStr">
        <is>
          <t>LINKÖPING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33885-2021</t>
        </is>
      </c>
      <c r="B166" s="1" t="n">
        <v>44378</v>
      </c>
      <c r="C166" s="1" t="n">
        <v>45965</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28447-2021</t>
        </is>
      </c>
      <c r="B167" s="1" t="n">
        <v>44356</v>
      </c>
      <c r="C167" s="1" t="n">
        <v>45965</v>
      </c>
      <c r="D167" t="inlineStr">
        <is>
          <t>ÖSTERGÖTLANDS LÄN</t>
        </is>
      </c>
      <c r="E167" t="inlineStr">
        <is>
          <t>LINKÖPING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12413-2022</t>
        </is>
      </c>
      <c r="B168" s="1" t="n">
        <v>44638</v>
      </c>
      <c r="C168" s="1" t="n">
        <v>45965</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9935-2021</t>
        </is>
      </c>
      <c r="B169" s="1" t="n">
        <v>44253</v>
      </c>
      <c r="C169" s="1" t="n">
        <v>45965</v>
      </c>
      <c r="D169" t="inlineStr">
        <is>
          <t>ÖSTERGÖTLANDS LÄN</t>
        </is>
      </c>
      <c r="E169" t="inlineStr">
        <is>
          <t>LINKÖPING</t>
        </is>
      </c>
      <c r="G169" t="n">
        <v>4.5</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45965</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46490-2022</t>
        </is>
      </c>
      <c r="B171" s="1" t="n">
        <v>44848</v>
      </c>
      <c r="C171" s="1" t="n">
        <v>45965</v>
      </c>
      <c r="D171" t="inlineStr">
        <is>
          <t>ÖSTERGÖTLANDS LÄN</t>
        </is>
      </c>
      <c r="E171" t="inlineStr">
        <is>
          <t>LINKÖPING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19318-2022</t>
        </is>
      </c>
      <c r="B172" s="1" t="n">
        <v>44692.5827662037</v>
      </c>
      <c r="C172" s="1" t="n">
        <v>45965</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65398-2021</t>
        </is>
      </c>
      <c r="B173" s="1" t="n">
        <v>44515</v>
      </c>
      <c r="C173" s="1" t="n">
        <v>45965</v>
      </c>
      <c r="D173" t="inlineStr">
        <is>
          <t>ÖSTERGÖTLANDS LÄN</t>
        </is>
      </c>
      <c r="E173" t="inlineStr">
        <is>
          <t>LINKÖPING</t>
        </is>
      </c>
      <c r="F173" t="inlineStr">
        <is>
          <t>Övriga statliga verk och myndigheter</t>
        </is>
      </c>
      <c r="G173" t="n">
        <v>2.4</v>
      </c>
      <c r="H173" t="n">
        <v>0</v>
      </c>
      <c r="I173" t="n">
        <v>0</v>
      </c>
      <c r="J173" t="n">
        <v>0</v>
      </c>
      <c r="K173" t="n">
        <v>0</v>
      </c>
      <c r="L173" t="n">
        <v>0</v>
      </c>
      <c r="M173" t="n">
        <v>0</v>
      </c>
      <c r="N173" t="n">
        <v>0</v>
      </c>
      <c r="O173" t="n">
        <v>0</v>
      </c>
      <c r="P173" t="n">
        <v>0</v>
      </c>
      <c r="Q173" t="n">
        <v>0</v>
      </c>
      <c r="R173" s="2" t="inlineStr"/>
    </row>
    <row r="174" ht="15" customHeight="1">
      <c r="A174" t="inlineStr">
        <is>
          <t>A 67912-2021</t>
        </is>
      </c>
      <c r="B174" s="1" t="n">
        <v>44525</v>
      </c>
      <c r="C174" s="1" t="n">
        <v>45965</v>
      </c>
      <c r="D174" t="inlineStr">
        <is>
          <t>ÖSTERGÖTLANDS LÄN</t>
        </is>
      </c>
      <c r="E174" t="inlineStr">
        <is>
          <t>LINKÖPING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67940-2021</t>
        </is>
      </c>
      <c r="B175" s="1" t="n">
        <v>44525.62849537037</v>
      </c>
      <c r="C175" s="1" t="n">
        <v>45965</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54467-2022</t>
        </is>
      </c>
      <c r="B176" s="1" t="n">
        <v>44882</v>
      </c>
      <c r="C176" s="1" t="n">
        <v>45965</v>
      </c>
      <c r="D176" t="inlineStr">
        <is>
          <t>ÖSTERGÖTLANDS LÄN</t>
        </is>
      </c>
      <c r="E176" t="inlineStr">
        <is>
          <t>LINKÖPING</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36341-2022</t>
        </is>
      </c>
      <c r="B177" s="1" t="n">
        <v>44803</v>
      </c>
      <c r="C177" s="1" t="n">
        <v>45965</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4240-2022</t>
        </is>
      </c>
      <c r="B178" s="1" t="n">
        <v>44588</v>
      </c>
      <c r="C178" s="1" t="n">
        <v>45965</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45965</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45965</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46891-2021</t>
        </is>
      </c>
      <c r="B181" s="1" t="n">
        <v>44446.44587962963</v>
      </c>
      <c r="C181" s="1" t="n">
        <v>45965</v>
      </c>
      <c r="D181" t="inlineStr">
        <is>
          <t>ÖSTERGÖTLANDS LÄN</t>
        </is>
      </c>
      <c r="E181" t="inlineStr">
        <is>
          <t>LINKÖPING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34486-2021</t>
        </is>
      </c>
      <c r="B182" s="1" t="n">
        <v>44382.29295138889</v>
      </c>
      <c r="C182" s="1" t="n">
        <v>45965</v>
      </c>
      <c r="D182" t="inlineStr">
        <is>
          <t>ÖSTERGÖTLANDS LÄN</t>
        </is>
      </c>
      <c r="E182" t="inlineStr">
        <is>
          <t>LINKÖPING</t>
        </is>
      </c>
      <c r="G182" t="n">
        <v>4.4</v>
      </c>
      <c r="H182" t="n">
        <v>0</v>
      </c>
      <c r="I182" t="n">
        <v>0</v>
      </c>
      <c r="J182" t="n">
        <v>0</v>
      </c>
      <c r="K182" t="n">
        <v>0</v>
      </c>
      <c r="L182" t="n">
        <v>0</v>
      </c>
      <c r="M182" t="n">
        <v>0</v>
      </c>
      <c r="N182" t="n">
        <v>0</v>
      </c>
      <c r="O182" t="n">
        <v>0</v>
      </c>
      <c r="P182" t="n">
        <v>0</v>
      </c>
      <c r="Q182" t="n">
        <v>0</v>
      </c>
      <c r="R182" s="2" t="inlineStr"/>
    </row>
    <row r="183" ht="15" customHeight="1">
      <c r="A183" t="inlineStr">
        <is>
          <t>A 61302-2021</t>
        </is>
      </c>
      <c r="B183" s="1" t="n">
        <v>44498.63189814815</v>
      </c>
      <c r="C183" s="1" t="n">
        <v>45965</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13075-2022</t>
        </is>
      </c>
      <c r="B184" s="1" t="n">
        <v>44643</v>
      </c>
      <c r="C184" s="1" t="n">
        <v>45965</v>
      </c>
      <c r="D184" t="inlineStr">
        <is>
          <t>ÖSTERGÖTLANDS LÄN</t>
        </is>
      </c>
      <c r="E184" t="inlineStr">
        <is>
          <t>LINKÖPING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38235-2022</t>
        </is>
      </c>
      <c r="B185" s="1" t="n">
        <v>44812</v>
      </c>
      <c r="C185" s="1" t="n">
        <v>45965</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27666-2022</t>
        </is>
      </c>
      <c r="B186" s="1" t="n">
        <v>44743.39017361111</v>
      </c>
      <c r="C186" s="1" t="n">
        <v>45965</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19183-2021</t>
        </is>
      </c>
      <c r="B187" s="1" t="n">
        <v>44308.73248842593</v>
      </c>
      <c r="C187" s="1" t="n">
        <v>45965</v>
      </c>
      <c r="D187" t="inlineStr">
        <is>
          <t>ÖSTERGÖTLANDS LÄN</t>
        </is>
      </c>
      <c r="E187" t="inlineStr">
        <is>
          <t>LINKÖPING</t>
        </is>
      </c>
      <c r="F187" t="inlineStr">
        <is>
          <t>Allmännings- och besparingsskogar</t>
        </is>
      </c>
      <c r="G187" t="n">
        <v>4.6</v>
      </c>
      <c r="H187" t="n">
        <v>0</v>
      </c>
      <c r="I187" t="n">
        <v>0</v>
      </c>
      <c r="J187" t="n">
        <v>0</v>
      </c>
      <c r="K187" t="n">
        <v>0</v>
      </c>
      <c r="L187" t="n">
        <v>0</v>
      </c>
      <c r="M187" t="n">
        <v>0</v>
      </c>
      <c r="N187" t="n">
        <v>0</v>
      </c>
      <c r="O187" t="n">
        <v>0</v>
      </c>
      <c r="P187" t="n">
        <v>0</v>
      </c>
      <c r="Q187" t="n">
        <v>0</v>
      </c>
      <c r="R187" s="2" t="inlineStr"/>
    </row>
    <row r="188" ht="15" customHeight="1">
      <c r="A188" t="inlineStr">
        <is>
          <t>A 23416-2022</t>
        </is>
      </c>
      <c r="B188" s="1" t="n">
        <v>44720.78243055556</v>
      </c>
      <c r="C188" s="1" t="n">
        <v>45965</v>
      </c>
      <c r="D188" t="inlineStr">
        <is>
          <t>ÖSTERGÖTLANDS LÄN</t>
        </is>
      </c>
      <c r="E188" t="inlineStr">
        <is>
          <t>LINKÖPING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34880-2022</t>
        </is>
      </c>
      <c r="B189" s="1" t="n">
        <v>44796</v>
      </c>
      <c r="C189" s="1" t="n">
        <v>45965</v>
      </c>
      <c r="D189" t="inlineStr">
        <is>
          <t>ÖSTERGÖTLANDS LÄN</t>
        </is>
      </c>
      <c r="E189" t="inlineStr">
        <is>
          <t>LINKÖPING</t>
        </is>
      </c>
      <c r="F189" t="inlineStr">
        <is>
          <t>Övriga statliga verk och myndigheter</t>
        </is>
      </c>
      <c r="G189" t="n">
        <v>4</v>
      </c>
      <c r="H189" t="n">
        <v>0</v>
      </c>
      <c r="I189" t="n">
        <v>0</v>
      </c>
      <c r="J189" t="n">
        <v>0</v>
      </c>
      <c r="K189" t="n">
        <v>0</v>
      </c>
      <c r="L189" t="n">
        <v>0</v>
      </c>
      <c r="M189" t="n">
        <v>0</v>
      </c>
      <c r="N189" t="n">
        <v>0</v>
      </c>
      <c r="O189" t="n">
        <v>0</v>
      </c>
      <c r="P189" t="n">
        <v>0</v>
      </c>
      <c r="Q189" t="n">
        <v>0</v>
      </c>
      <c r="R189" s="2" t="inlineStr"/>
    </row>
    <row r="190" ht="15" customHeight="1">
      <c r="A190" t="inlineStr">
        <is>
          <t>A 48042-2022</t>
        </is>
      </c>
      <c r="B190" s="1" t="n">
        <v>44855</v>
      </c>
      <c r="C190" s="1" t="n">
        <v>45965</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45965</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45965</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59288-2020</t>
        </is>
      </c>
      <c r="B193" s="1" t="n">
        <v>44147</v>
      </c>
      <c r="C193" s="1" t="n">
        <v>45965</v>
      </c>
      <c r="D193" t="inlineStr">
        <is>
          <t>ÖSTERGÖTLANDS LÄN</t>
        </is>
      </c>
      <c r="E193" t="inlineStr">
        <is>
          <t>LINKÖPING</t>
        </is>
      </c>
      <c r="G193" t="n">
        <v>2.8</v>
      </c>
      <c r="H193" t="n">
        <v>0</v>
      </c>
      <c r="I193" t="n">
        <v>0</v>
      </c>
      <c r="J193" t="n">
        <v>0</v>
      </c>
      <c r="K193" t="n">
        <v>0</v>
      </c>
      <c r="L193" t="n">
        <v>0</v>
      </c>
      <c r="M193" t="n">
        <v>0</v>
      </c>
      <c r="N193" t="n">
        <v>0</v>
      </c>
      <c r="O193" t="n">
        <v>0</v>
      </c>
      <c r="P193" t="n">
        <v>0</v>
      </c>
      <c r="Q193" t="n">
        <v>0</v>
      </c>
      <c r="R193" s="2" t="inlineStr"/>
    </row>
    <row r="194" ht="15" customHeight="1">
      <c r="A194" t="inlineStr">
        <is>
          <t>A 27769-2022</t>
        </is>
      </c>
      <c r="B194" s="1" t="n">
        <v>44743.53200231482</v>
      </c>
      <c r="C194" s="1" t="n">
        <v>45965</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13922-2021</t>
        </is>
      </c>
      <c r="B195" s="1" t="n">
        <v>44277.45946759259</v>
      </c>
      <c r="C195" s="1" t="n">
        <v>45965</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43934-2023</t>
        </is>
      </c>
      <c r="B196" s="1" t="n">
        <v>45187</v>
      </c>
      <c r="C196" s="1" t="n">
        <v>45965</v>
      </c>
      <c r="D196" t="inlineStr">
        <is>
          <t>ÖSTERGÖTLANDS LÄN</t>
        </is>
      </c>
      <c r="E196" t="inlineStr">
        <is>
          <t>LINKÖPING</t>
        </is>
      </c>
      <c r="F196" t="inlineStr">
        <is>
          <t>Övriga Aktiebolag</t>
        </is>
      </c>
      <c r="G196" t="n">
        <v>3.8</v>
      </c>
      <c r="H196" t="n">
        <v>0</v>
      </c>
      <c r="I196" t="n">
        <v>0</v>
      </c>
      <c r="J196" t="n">
        <v>0</v>
      </c>
      <c r="K196" t="n">
        <v>0</v>
      </c>
      <c r="L196" t="n">
        <v>0</v>
      </c>
      <c r="M196" t="n">
        <v>0</v>
      </c>
      <c r="N196" t="n">
        <v>0</v>
      </c>
      <c r="O196" t="n">
        <v>0</v>
      </c>
      <c r="P196" t="n">
        <v>0</v>
      </c>
      <c r="Q196" t="n">
        <v>0</v>
      </c>
      <c r="R196" s="2" t="inlineStr"/>
    </row>
    <row r="197" ht="15" customHeight="1">
      <c r="A197" t="inlineStr">
        <is>
          <t>A 10407-2025</t>
        </is>
      </c>
      <c r="B197" s="1" t="n">
        <v>45720.62863425926</v>
      </c>
      <c r="C197" s="1" t="n">
        <v>45965</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1787-2022</t>
        </is>
      </c>
      <c r="B198" s="1" t="n">
        <v>44574</v>
      </c>
      <c r="C198" s="1" t="n">
        <v>45965</v>
      </c>
      <c r="D198" t="inlineStr">
        <is>
          <t>ÖSTERGÖTLANDS LÄN</t>
        </is>
      </c>
      <c r="E198" t="inlineStr">
        <is>
          <t>LINKÖPING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948-2022</t>
        </is>
      </c>
      <c r="B199" s="1" t="n">
        <v>44571</v>
      </c>
      <c r="C199" s="1" t="n">
        <v>45965</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45965</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37014-2021</t>
        </is>
      </c>
      <c r="B201" s="1" t="n">
        <v>44393</v>
      </c>
      <c r="C201" s="1" t="n">
        <v>45965</v>
      </c>
      <c r="D201" t="inlineStr">
        <is>
          <t>ÖSTERGÖTLANDS LÄN</t>
        </is>
      </c>
      <c r="E201" t="inlineStr">
        <is>
          <t>LINKÖPING</t>
        </is>
      </c>
      <c r="F201" t="inlineStr">
        <is>
          <t>Allmännings- och besparingsskogar</t>
        </is>
      </c>
      <c r="G201" t="n">
        <v>7.7</v>
      </c>
      <c r="H201" t="n">
        <v>0</v>
      </c>
      <c r="I201" t="n">
        <v>0</v>
      </c>
      <c r="J201" t="n">
        <v>0</v>
      </c>
      <c r="K201" t="n">
        <v>0</v>
      </c>
      <c r="L201" t="n">
        <v>0</v>
      </c>
      <c r="M201" t="n">
        <v>0</v>
      </c>
      <c r="N201" t="n">
        <v>0</v>
      </c>
      <c r="O201" t="n">
        <v>0</v>
      </c>
      <c r="P201" t="n">
        <v>0</v>
      </c>
      <c r="Q201" t="n">
        <v>0</v>
      </c>
      <c r="R201" s="2" t="inlineStr"/>
    </row>
    <row r="202" ht="15" customHeight="1">
      <c r="A202" t="inlineStr">
        <is>
          <t>A 12035-2025</t>
        </is>
      </c>
      <c r="B202" s="1" t="n">
        <v>45728.64946759259</v>
      </c>
      <c r="C202" s="1" t="n">
        <v>45965</v>
      </c>
      <c r="D202" t="inlineStr">
        <is>
          <t>ÖSTERGÖTLANDS LÄN</t>
        </is>
      </c>
      <c r="E202" t="inlineStr">
        <is>
          <t>LINKÖPING</t>
        </is>
      </c>
      <c r="G202" t="n">
        <v>3.7</v>
      </c>
      <c r="H202" t="n">
        <v>0</v>
      </c>
      <c r="I202" t="n">
        <v>0</v>
      </c>
      <c r="J202" t="n">
        <v>0</v>
      </c>
      <c r="K202" t="n">
        <v>0</v>
      </c>
      <c r="L202" t="n">
        <v>0</v>
      </c>
      <c r="M202" t="n">
        <v>0</v>
      </c>
      <c r="N202" t="n">
        <v>0</v>
      </c>
      <c r="O202" t="n">
        <v>0</v>
      </c>
      <c r="P202" t="n">
        <v>0</v>
      </c>
      <c r="Q202" t="n">
        <v>0</v>
      </c>
      <c r="R202" s="2" t="inlineStr"/>
    </row>
    <row r="203" ht="15" customHeight="1">
      <c r="A203" t="inlineStr">
        <is>
          <t>A 63487-2023</t>
        </is>
      </c>
      <c r="B203" s="1" t="n">
        <v>45274.66712962963</v>
      </c>
      <c r="C203" s="1" t="n">
        <v>45965</v>
      </c>
      <c r="D203" t="inlineStr">
        <is>
          <t>ÖSTERGÖTLANDS LÄN</t>
        </is>
      </c>
      <c r="E203" t="inlineStr">
        <is>
          <t>LINKÖPING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51484-2023</t>
        </is>
      </c>
      <c r="B204" s="1" t="n">
        <v>45222</v>
      </c>
      <c r="C204" s="1" t="n">
        <v>45965</v>
      </c>
      <c r="D204" t="inlineStr">
        <is>
          <t>ÖSTERGÖTLANDS LÄN</t>
        </is>
      </c>
      <c r="E204" t="inlineStr">
        <is>
          <t>LINKÖPING</t>
        </is>
      </c>
      <c r="F204" t="inlineStr">
        <is>
          <t>Övriga Aktiebolag</t>
        </is>
      </c>
      <c r="G204" t="n">
        <v>7.7</v>
      </c>
      <c r="H204" t="n">
        <v>0</v>
      </c>
      <c r="I204" t="n">
        <v>0</v>
      </c>
      <c r="J204" t="n">
        <v>0</v>
      </c>
      <c r="K204" t="n">
        <v>0</v>
      </c>
      <c r="L204" t="n">
        <v>0</v>
      </c>
      <c r="M204" t="n">
        <v>0</v>
      </c>
      <c r="N204" t="n">
        <v>0</v>
      </c>
      <c r="O204" t="n">
        <v>0</v>
      </c>
      <c r="P204" t="n">
        <v>0</v>
      </c>
      <c r="Q204" t="n">
        <v>0</v>
      </c>
      <c r="R204" s="2" t="inlineStr"/>
    </row>
    <row r="205" ht="15" customHeight="1">
      <c r="A205" t="inlineStr">
        <is>
          <t>A 7354-2025</t>
        </is>
      </c>
      <c r="B205" s="1" t="n">
        <v>45704.41174768518</v>
      </c>
      <c r="C205" s="1" t="n">
        <v>45965</v>
      </c>
      <c r="D205" t="inlineStr">
        <is>
          <t>ÖSTERGÖTLANDS LÄN</t>
        </is>
      </c>
      <c r="E205" t="inlineStr">
        <is>
          <t>LINKÖPING</t>
        </is>
      </c>
      <c r="G205" t="n">
        <v>4.8</v>
      </c>
      <c r="H205" t="n">
        <v>0</v>
      </c>
      <c r="I205" t="n">
        <v>0</v>
      </c>
      <c r="J205" t="n">
        <v>0</v>
      </c>
      <c r="K205" t="n">
        <v>0</v>
      </c>
      <c r="L205" t="n">
        <v>0</v>
      </c>
      <c r="M205" t="n">
        <v>0</v>
      </c>
      <c r="N205" t="n">
        <v>0</v>
      </c>
      <c r="O205" t="n">
        <v>0</v>
      </c>
      <c r="P205" t="n">
        <v>0</v>
      </c>
      <c r="Q205" t="n">
        <v>0</v>
      </c>
      <c r="R205" s="2" t="inlineStr"/>
    </row>
    <row r="206" ht="15" customHeight="1">
      <c r="A206" t="inlineStr">
        <is>
          <t>A 63935-2021</t>
        </is>
      </c>
      <c r="B206" s="1" t="n">
        <v>44509</v>
      </c>
      <c r="C206" s="1" t="n">
        <v>45965</v>
      </c>
      <c r="D206" t="inlineStr">
        <is>
          <t>ÖSTERGÖTLANDS LÄN</t>
        </is>
      </c>
      <c r="E206" t="inlineStr">
        <is>
          <t>LINKÖPING</t>
        </is>
      </c>
      <c r="F206" t="inlineStr">
        <is>
          <t>Övriga statliga verk och myndigheter</t>
        </is>
      </c>
      <c r="G206" t="n">
        <v>2.8</v>
      </c>
      <c r="H206" t="n">
        <v>0</v>
      </c>
      <c r="I206" t="n">
        <v>0</v>
      </c>
      <c r="J206" t="n">
        <v>0</v>
      </c>
      <c r="K206" t="n">
        <v>0</v>
      </c>
      <c r="L206" t="n">
        <v>0</v>
      </c>
      <c r="M206" t="n">
        <v>0</v>
      </c>
      <c r="N206" t="n">
        <v>0</v>
      </c>
      <c r="O206" t="n">
        <v>0</v>
      </c>
      <c r="P206" t="n">
        <v>0</v>
      </c>
      <c r="Q206" t="n">
        <v>0</v>
      </c>
      <c r="R206" s="2" t="inlineStr"/>
    </row>
    <row r="207" ht="15" customHeight="1">
      <c r="A207" t="inlineStr">
        <is>
          <t>A 20455-2024</t>
        </is>
      </c>
      <c r="B207" s="1" t="n">
        <v>45435.65314814815</v>
      </c>
      <c r="C207" s="1" t="n">
        <v>45965</v>
      </c>
      <c r="D207" t="inlineStr">
        <is>
          <t>ÖSTERGÖTLANDS LÄN</t>
        </is>
      </c>
      <c r="E207" t="inlineStr">
        <is>
          <t>LINKÖPING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30471-2023</t>
        </is>
      </c>
      <c r="B208" s="1" t="n">
        <v>45111.58931712963</v>
      </c>
      <c r="C208" s="1" t="n">
        <v>45965</v>
      </c>
      <c r="D208" t="inlineStr">
        <is>
          <t>ÖSTERGÖTLANDS LÄN</t>
        </is>
      </c>
      <c r="E208" t="inlineStr">
        <is>
          <t>LINKÖPING</t>
        </is>
      </c>
      <c r="G208" t="n">
        <v>2.9</v>
      </c>
      <c r="H208" t="n">
        <v>0</v>
      </c>
      <c r="I208" t="n">
        <v>0</v>
      </c>
      <c r="J208" t="n">
        <v>0</v>
      </c>
      <c r="K208" t="n">
        <v>0</v>
      </c>
      <c r="L208" t="n">
        <v>0</v>
      </c>
      <c r="M208" t="n">
        <v>0</v>
      </c>
      <c r="N208" t="n">
        <v>0</v>
      </c>
      <c r="O208" t="n">
        <v>0</v>
      </c>
      <c r="P208" t="n">
        <v>0</v>
      </c>
      <c r="Q208" t="n">
        <v>0</v>
      </c>
      <c r="R208" s="2" t="inlineStr"/>
    </row>
    <row r="209" ht="15" customHeight="1">
      <c r="A209" t="inlineStr">
        <is>
          <t>A 14093-2024</t>
        </is>
      </c>
      <c r="B209" s="1" t="n">
        <v>45392.60278935185</v>
      </c>
      <c r="C209" s="1" t="n">
        <v>45965</v>
      </c>
      <c r="D209" t="inlineStr">
        <is>
          <t>ÖSTERGÖTLANDS LÄN</t>
        </is>
      </c>
      <c r="E209" t="inlineStr">
        <is>
          <t>LINKÖPING</t>
        </is>
      </c>
      <c r="F209" t="inlineStr">
        <is>
          <t>Övriga Aktiebolag</t>
        </is>
      </c>
      <c r="G209" t="n">
        <v>0.6</v>
      </c>
      <c r="H209" t="n">
        <v>0</v>
      </c>
      <c r="I209" t="n">
        <v>0</v>
      </c>
      <c r="J209" t="n">
        <v>0</v>
      </c>
      <c r="K209" t="n">
        <v>0</v>
      </c>
      <c r="L209" t="n">
        <v>0</v>
      </c>
      <c r="M209" t="n">
        <v>0</v>
      </c>
      <c r="N209" t="n">
        <v>0</v>
      </c>
      <c r="O209" t="n">
        <v>0</v>
      </c>
      <c r="P209" t="n">
        <v>0</v>
      </c>
      <c r="Q209" t="n">
        <v>0</v>
      </c>
      <c r="R209" s="2" t="inlineStr"/>
    </row>
    <row r="210" ht="15" customHeight="1">
      <c r="A210" t="inlineStr">
        <is>
          <t>A 9434-2024</t>
        </is>
      </c>
      <c r="B210" s="1" t="n">
        <v>45359</v>
      </c>
      <c r="C210" s="1" t="n">
        <v>45965</v>
      </c>
      <c r="D210" t="inlineStr">
        <is>
          <t>ÖSTERGÖTLANDS LÄN</t>
        </is>
      </c>
      <c r="E210" t="inlineStr">
        <is>
          <t>LINKÖPING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40810-2022</t>
        </is>
      </c>
      <c r="B211" s="1" t="n">
        <v>44824</v>
      </c>
      <c r="C211" s="1" t="n">
        <v>45965</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63678-2023</t>
        </is>
      </c>
      <c r="B212" s="1" t="n">
        <v>45275.64769675926</v>
      </c>
      <c r="C212" s="1" t="n">
        <v>45965</v>
      </c>
      <c r="D212" t="inlineStr">
        <is>
          <t>ÖSTERGÖTLANDS LÄN</t>
        </is>
      </c>
      <c r="E212" t="inlineStr">
        <is>
          <t>LINKÖPING</t>
        </is>
      </c>
      <c r="F212" t="inlineStr">
        <is>
          <t>Övriga Aktiebolag</t>
        </is>
      </c>
      <c r="G212" t="n">
        <v>0.4</v>
      </c>
      <c r="H212" t="n">
        <v>0</v>
      </c>
      <c r="I212" t="n">
        <v>0</v>
      </c>
      <c r="J212" t="n">
        <v>0</v>
      </c>
      <c r="K212" t="n">
        <v>0</v>
      </c>
      <c r="L212" t="n">
        <v>0</v>
      </c>
      <c r="M212" t="n">
        <v>0</v>
      </c>
      <c r="N212" t="n">
        <v>0</v>
      </c>
      <c r="O212" t="n">
        <v>0</v>
      </c>
      <c r="P212" t="n">
        <v>0</v>
      </c>
      <c r="Q212" t="n">
        <v>0</v>
      </c>
      <c r="R212" s="2" t="inlineStr"/>
    </row>
    <row r="213" ht="15" customHeight="1">
      <c r="A213" t="inlineStr">
        <is>
          <t>A 63688-2023</t>
        </is>
      </c>
      <c r="B213" s="1" t="n">
        <v>45275</v>
      </c>
      <c r="C213" s="1" t="n">
        <v>45965</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63691-2023</t>
        </is>
      </c>
      <c r="B214" s="1" t="n">
        <v>45275</v>
      </c>
      <c r="C214" s="1" t="n">
        <v>45965</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34557-2022</t>
        </is>
      </c>
      <c r="B215" s="1" t="n">
        <v>44794.57074074074</v>
      </c>
      <c r="C215" s="1" t="n">
        <v>45965</v>
      </c>
      <c r="D215" t="inlineStr">
        <is>
          <t>ÖSTERGÖTLANDS LÄN</t>
        </is>
      </c>
      <c r="E215" t="inlineStr">
        <is>
          <t>LINKÖPING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63304-2021</t>
        </is>
      </c>
      <c r="B216" s="1" t="n">
        <v>44508.4396412037</v>
      </c>
      <c r="C216" s="1" t="n">
        <v>45965</v>
      </c>
      <c r="D216" t="inlineStr">
        <is>
          <t>ÖSTERGÖTLANDS LÄN</t>
        </is>
      </c>
      <c r="E216" t="inlineStr">
        <is>
          <t>LINKÖPING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17157-2024</t>
        </is>
      </c>
      <c r="B217" s="1" t="n">
        <v>45412.70567129629</v>
      </c>
      <c r="C217" s="1" t="n">
        <v>45965</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19362-2023</t>
        </is>
      </c>
      <c r="B218" s="1" t="n">
        <v>45049</v>
      </c>
      <c r="C218" s="1" t="n">
        <v>45965</v>
      </c>
      <c r="D218" t="inlineStr">
        <is>
          <t>ÖSTERGÖTLANDS LÄN</t>
        </is>
      </c>
      <c r="E218" t="inlineStr">
        <is>
          <t>LINKÖPING</t>
        </is>
      </c>
      <c r="G218" t="n">
        <v>0.1</v>
      </c>
      <c r="H218" t="n">
        <v>0</v>
      </c>
      <c r="I218" t="n">
        <v>0</v>
      </c>
      <c r="J218" t="n">
        <v>0</v>
      </c>
      <c r="K218" t="n">
        <v>0</v>
      </c>
      <c r="L218" t="n">
        <v>0</v>
      </c>
      <c r="M218" t="n">
        <v>0</v>
      </c>
      <c r="N218" t="n">
        <v>0</v>
      </c>
      <c r="O218" t="n">
        <v>0</v>
      </c>
      <c r="P218" t="n">
        <v>0</v>
      </c>
      <c r="Q218" t="n">
        <v>0</v>
      </c>
      <c r="R218" s="2" t="inlineStr"/>
    </row>
    <row r="219" ht="15" customHeight="1">
      <c r="A219" t="inlineStr">
        <is>
          <t>A 20298-2025</t>
        </is>
      </c>
      <c r="B219" s="1" t="n">
        <v>45774.75024305555</v>
      </c>
      <c r="C219" s="1" t="n">
        <v>45965</v>
      </c>
      <c r="D219" t="inlineStr">
        <is>
          <t>ÖSTERGÖTLANDS LÄN</t>
        </is>
      </c>
      <c r="E219" t="inlineStr">
        <is>
          <t>LINKÖPING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41426-2022</t>
        </is>
      </c>
      <c r="B220" s="1" t="n">
        <v>44826</v>
      </c>
      <c r="C220" s="1" t="n">
        <v>45965</v>
      </c>
      <c r="D220" t="inlineStr">
        <is>
          <t>ÖSTERGÖTLANDS LÄN</t>
        </is>
      </c>
      <c r="E220" t="inlineStr">
        <is>
          <t>LINKÖPING</t>
        </is>
      </c>
      <c r="G220" t="n">
        <v>3</v>
      </c>
      <c r="H220" t="n">
        <v>0</v>
      </c>
      <c r="I220" t="n">
        <v>0</v>
      </c>
      <c r="J220" t="n">
        <v>0</v>
      </c>
      <c r="K220" t="n">
        <v>0</v>
      </c>
      <c r="L220" t="n">
        <v>0</v>
      </c>
      <c r="M220" t="n">
        <v>0</v>
      </c>
      <c r="N220" t="n">
        <v>0</v>
      </c>
      <c r="O220" t="n">
        <v>0</v>
      </c>
      <c r="P220" t="n">
        <v>0</v>
      </c>
      <c r="Q220" t="n">
        <v>0</v>
      </c>
      <c r="R220" s="2" t="inlineStr"/>
    </row>
    <row r="221" ht="15" customHeight="1">
      <c r="A221" t="inlineStr">
        <is>
          <t>A 35463-2023</t>
        </is>
      </c>
      <c r="B221" s="1" t="n">
        <v>45146</v>
      </c>
      <c r="C221" s="1" t="n">
        <v>45965</v>
      </c>
      <c r="D221" t="inlineStr">
        <is>
          <t>ÖSTERGÖTLANDS LÄN</t>
        </is>
      </c>
      <c r="E221" t="inlineStr">
        <is>
          <t>LINKÖPING</t>
        </is>
      </c>
      <c r="F221" t="inlineStr">
        <is>
          <t>Övriga Aktiebolag</t>
        </is>
      </c>
      <c r="G221" t="n">
        <v>1.8</v>
      </c>
      <c r="H221" t="n">
        <v>0</v>
      </c>
      <c r="I221" t="n">
        <v>0</v>
      </c>
      <c r="J221" t="n">
        <v>0</v>
      </c>
      <c r="K221" t="n">
        <v>0</v>
      </c>
      <c r="L221" t="n">
        <v>0</v>
      </c>
      <c r="M221" t="n">
        <v>0</v>
      </c>
      <c r="N221" t="n">
        <v>0</v>
      </c>
      <c r="O221" t="n">
        <v>0</v>
      </c>
      <c r="P221" t="n">
        <v>0</v>
      </c>
      <c r="Q221" t="n">
        <v>0</v>
      </c>
      <c r="R221" s="2" t="inlineStr"/>
    </row>
    <row r="222" ht="15" customHeight="1">
      <c r="A222" t="inlineStr">
        <is>
          <t>A 13689-2025</t>
        </is>
      </c>
      <c r="B222" s="1" t="n">
        <v>45737.31590277778</v>
      </c>
      <c r="C222" s="1" t="n">
        <v>45965</v>
      </c>
      <c r="D222" t="inlineStr">
        <is>
          <t>ÖSTERGÖTLANDS LÄN</t>
        </is>
      </c>
      <c r="E222" t="inlineStr">
        <is>
          <t>LINKÖPING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13696-2025</t>
        </is>
      </c>
      <c r="B223" s="1" t="n">
        <v>45737.32273148148</v>
      </c>
      <c r="C223" s="1" t="n">
        <v>45965</v>
      </c>
      <c r="D223" t="inlineStr">
        <is>
          <t>ÖSTERGÖTLANDS LÄN</t>
        </is>
      </c>
      <c r="E223" t="inlineStr">
        <is>
          <t>LINKÖPING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16111-2022</t>
        </is>
      </c>
      <c r="B224" s="1" t="n">
        <v>44665</v>
      </c>
      <c r="C224" s="1" t="n">
        <v>45965</v>
      </c>
      <c r="D224" t="inlineStr">
        <is>
          <t>ÖSTERGÖTLANDS LÄN</t>
        </is>
      </c>
      <c r="E224" t="inlineStr">
        <is>
          <t>LINKÖPING</t>
        </is>
      </c>
      <c r="F224" t="inlineStr">
        <is>
          <t>Övriga Aktiebolag</t>
        </is>
      </c>
      <c r="G224" t="n">
        <v>2.9</v>
      </c>
      <c r="H224" t="n">
        <v>0</v>
      </c>
      <c r="I224" t="n">
        <v>0</v>
      </c>
      <c r="J224" t="n">
        <v>0</v>
      </c>
      <c r="K224" t="n">
        <v>0</v>
      </c>
      <c r="L224" t="n">
        <v>0</v>
      </c>
      <c r="M224" t="n">
        <v>0</v>
      </c>
      <c r="N224" t="n">
        <v>0</v>
      </c>
      <c r="O224" t="n">
        <v>0</v>
      </c>
      <c r="P224" t="n">
        <v>0</v>
      </c>
      <c r="Q224" t="n">
        <v>0</v>
      </c>
      <c r="R224" s="2" t="inlineStr"/>
    </row>
    <row r="225" ht="15" customHeight="1">
      <c r="A225" t="inlineStr">
        <is>
          <t>A 12428-2024</t>
        </is>
      </c>
      <c r="B225" s="1" t="n">
        <v>45379</v>
      </c>
      <c r="C225" s="1" t="n">
        <v>45965</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14576-2023</t>
        </is>
      </c>
      <c r="B226" s="1" t="n">
        <v>45013</v>
      </c>
      <c r="C226" s="1" t="n">
        <v>45965</v>
      </c>
      <c r="D226" t="inlineStr">
        <is>
          <t>ÖSTERGÖTLANDS LÄN</t>
        </is>
      </c>
      <c r="E226" t="inlineStr">
        <is>
          <t>LINKÖPING</t>
        </is>
      </c>
      <c r="G226" t="n">
        <v>3.2</v>
      </c>
      <c r="H226" t="n">
        <v>0</v>
      </c>
      <c r="I226" t="n">
        <v>0</v>
      </c>
      <c r="J226" t="n">
        <v>0</v>
      </c>
      <c r="K226" t="n">
        <v>0</v>
      </c>
      <c r="L226" t="n">
        <v>0</v>
      </c>
      <c r="M226" t="n">
        <v>0</v>
      </c>
      <c r="N226" t="n">
        <v>0</v>
      </c>
      <c r="O226" t="n">
        <v>0</v>
      </c>
      <c r="P226" t="n">
        <v>0</v>
      </c>
      <c r="Q226" t="n">
        <v>0</v>
      </c>
      <c r="R226" s="2" t="inlineStr"/>
    </row>
    <row r="227" ht="15" customHeight="1">
      <c r="A227" t="inlineStr">
        <is>
          <t>A 31635-2023</t>
        </is>
      </c>
      <c r="B227" s="1" t="n">
        <v>45105</v>
      </c>
      <c r="C227" s="1" t="n">
        <v>45965</v>
      </c>
      <c r="D227" t="inlineStr">
        <is>
          <t>ÖSTERGÖTLANDS LÄN</t>
        </is>
      </c>
      <c r="E227" t="inlineStr">
        <is>
          <t>LINKÖPING</t>
        </is>
      </c>
      <c r="F227" t="inlineStr">
        <is>
          <t>Övriga statliga verk och myndigheter</t>
        </is>
      </c>
      <c r="G227" t="n">
        <v>4.6</v>
      </c>
      <c r="H227" t="n">
        <v>0</v>
      </c>
      <c r="I227" t="n">
        <v>0</v>
      </c>
      <c r="J227" t="n">
        <v>0</v>
      </c>
      <c r="K227" t="n">
        <v>0</v>
      </c>
      <c r="L227" t="n">
        <v>0</v>
      </c>
      <c r="M227" t="n">
        <v>0</v>
      </c>
      <c r="N227" t="n">
        <v>0</v>
      </c>
      <c r="O227" t="n">
        <v>0</v>
      </c>
      <c r="P227" t="n">
        <v>0</v>
      </c>
      <c r="Q227" t="n">
        <v>0</v>
      </c>
      <c r="R227" s="2" t="inlineStr"/>
    </row>
    <row r="228" ht="15" customHeight="1">
      <c r="A228" t="inlineStr">
        <is>
          <t>A 49928-2024</t>
        </is>
      </c>
      <c r="B228" s="1" t="n">
        <v>45597.57811342592</v>
      </c>
      <c r="C228" s="1" t="n">
        <v>45965</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12089-2025</t>
        </is>
      </c>
      <c r="B229" s="1" t="n">
        <v>45729</v>
      </c>
      <c r="C229" s="1" t="n">
        <v>45965</v>
      </c>
      <c r="D229" t="inlineStr">
        <is>
          <t>ÖSTERGÖTLANDS LÄN</t>
        </is>
      </c>
      <c r="E229" t="inlineStr">
        <is>
          <t>LINKÖPING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34162-2022</t>
        </is>
      </c>
      <c r="B230" s="1" t="n">
        <v>44791</v>
      </c>
      <c r="C230" s="1" t="n">
        <v>45965</v>
      </c>
      <c r="D230" t="inlineStr">
        <is>
          <t>ÖSTERGÖTLANDS LÄN</t>
        </is>
      </c>
      <c r="E230" t="inlineStr">
        <is>
          <t>LINKÖPING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54845-2023</t>
        </is>
      </c>
      <c r="B231" s="1" t="n">
        <v>45236</v>
      </c>
      <c r="C231" s="1" t="n">
        <v>45965</v>
      </c>
      <c r="D231" t="inlineStr">
        <is>
          <t>ÖSTERGÖTLANDS LÄN</t>
        </is>
      </c>
      <c r="E231" t="inlineStr">
        <is>
          <t>LINKÖPING</t>
        </is>
      </c>
      <c r="F231" t="inlineStr">
        <is>
          <t>Övriga Aktiebolag</t>
        </is>
      </c>
      <c r="G231" t="n">
        <v>5.7</v>
      </c>
      <c r="H231" t="n">
        <v>0</v>
      </c>
      <c r="I231" t="n">
        <v>0</v>
      </c>
      <c r="J231" t="n">
        <v>0</v>
      </c>
      <c r="K231" t="n">
        <v>0</v>
      </c>
      <c r="L231" t="n">
        <v>0</v>
      </c>
      <c r="M231" t="n">
        <v>0</v>
      </c>
      <c r="N231" t="n">
        <v>0</v>
      </c>
      <c r="O231" t="n">
        <v>0</v>
      </c>
      <c r="P231" t="n">
        <v>0</v>
      </c>
      <c r="Q231" t="n">
        <v>0</v>
      </c>
      <c r="R231" s="2" t="inlineStr"/>
    </row>
    <row r="232" ht="15" customHeight="1">
      <c r="A232" t="inlineStr">
        <is>
          <t>A 46687-2021</t>
        </is>
      </c>
      <c r="B232" s="1" t="n">
        <v>44445</v>
      </c>
      <c r="C232" s="1" t="n">
        <v>45965</v>
      </c>
      <c r="D232" t="inlineStr">
        <is>
          <t>ÖSTERGÖTLANDS LÄN</t>
        </is>
      </c>
      <c r="E232" t="inlineStr">
        <is>
          <t>LINKÖPING</t>
        </is>
      </c>
      <c r="F232" t="inlineStr">
        <is>
          <t>Övriga statliga verk och myndigheter</t>
        </is>
      </c>
      <c r="G232" t="n">
        <v>2.3</v>
      </c>
      <c r="H232" t="n">
        <v>0</v>
      </c>
      <c r="I232" t="n">
        <v>0</v>
      </c>
      <c r="J232" t="n">
        <v>0</v>
      </c>
      <c r="K232" t="n">
        <v>0</v>
      </c>
      <c r="L232" t="n">
        <v>0</v>
      </c>
      <c r="M232" t="n">
        <v>0</v>
      </c>
      <c r="N232" t="n">
        <v>0</v>
      </c>
      <c r="O232" t="n">
        <v>0</v>
      </c>
      <c r="P232" t="n">
        <v>0</v>
      </c>
      <c r="Q232" t="n">
        <v>0</v>
      </c>
      <c r="R232" s="2" t="inlineStr"/>
    </row>
    <row r="233" ht="15" customHeight="1">
      <c r="A233" t="inlineStr">
        <is>
          <t>A 46225-2021</t>
        </is>
      </c>
      <c r="B233" s="1" t="n">
        <v>44442</v>
      </c>
      <c r="C233" s="1" t="n">
        <v>45965</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54428-2022</t>
        </is>
      </c>
      <c r="B234" s="1" t="n">
        <v>44882.57643518518</v>
      </c>
      <c r="C234" s="1" t="n">
        <v>45965</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30855-2022</t>
        </is>
      </c>
      <c r="B235" s="1" t="n">
        <v>44767</v>
      </c>
      <c r="C235" s="1" t="n">
        <v>45965</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59954-2020</t>
        </is>
      </c>
      <c r="B236" s="1" t="n">
        <v>44151</v>
      </c>
      <c r="C236" s="1" t="n">
        <v>45965</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59969-2020</t>
        </is>
      </c>
      <c r="B237" s="1" t="n">
        <v>44151</v>
      </c>
      <c r="C237" s="1" t="n">
        <v>45965</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1355-2023</t>
        </is>
      </c>
      <c r="B238" s="1" t="n">
        <v>44931</v>
      </c>
      <c r="C238" s="1" t="n">
        <v>45965</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27844-2024</t>
        </is>
      </c>
      <c r="B239" s="1" t="n">
        <v>45475.63047453704</v>
      </c>
      <c r="C239" s="1" t="n">
        <v>45965</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11790-2024</t>
        </is>
      </c>
      <c r="B240" s="1" t="n">
        <v>45374</v>
      </c>
      <c r="C240" s="1" t="n">
        <v>45965</v>
      </c>
      <c r="D240" t="inlineStr">
        <is>
          <t>ÖSTERGÖTLANDS LÄN</t>
        </is>
      </c>
      <c r="E240" t="inlineStr">
        <is>
          <t>LINKÖPING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61298-2021</t>
        </is>
      </c>
      <c r="B241" s="1" t="n">
        <v>44498.62533564815</v>
      </c>
      <c r="C241" s="1" t="n">
        <v>45965</v>
      </c>
      <c r="D241" t="inlineStr">
        <is>
          <t>ÖSTERGÖTLANDS LÄN</t>
        </is>
      </c>
      <c r="E241" t="inlineStr">
        <is>
          <t>LINKÖPING</t>
        </is>
      </c>
      <c r="G241" t="n">
        <v>4.3</v>
      </c>
      <c r="H241" t="n">
        <v>0</v>
      </c>
      <c r="I241" t="n">
        <v>0</v>
      </c>
      <c r="J241" t="n">
        <v>0</v>
      </c>
      <c r="K241" t="n">
        <v>0</v>
      </c>
      <c r="L241" t="n">
        <v>0</v>
      </c>
      <c r="M241" t="n">
        <v>0</v>
      </c>
      <c r="N241" t="n">
        <v>0</v>
      </c>
      <c r="O241" t="n">
        <v>0</v>
      </c>
      <c r="P241" t="n">
        <v>0</v>
      </c>
      <c r="Q241" t="n">
        <v>0</v>
      </c>
      <c r="R241" s="2" t="inlineStr"/>
    </row>
    <row r="242" ht="15" customHeight="1">
      <c r="A242" t="inlineStr">
        <is>
          <t>A 61333-2021</t>
        </is>
      </c>
      <c r="B242" s="1" t="n">
        <v>44498.6764699074</v>
      </c>
      <c r="C242" s="1" t="n">
        <v>45965</v>
      </c>
      <c r="D242" t="inlineStr">
        <is>
          <t>ÖSTERGÖTLANDS LÄN</t>
        </is>
      </c>
      <c r="E242" t="inlineStr">
        <is>
          <t>LINKÖPING</t>
        </is>
      </c>
      <c r="G242" t="n">
        <v>7.5</v>
      </c>
      <c r="H242" t="n">
        <v>0</v>
      </c>
      <c r="I242" t="n">
        <v>0</v>
      </c>
      <c r="J242" t="n">
        <v>0</v>
      </c>
      <c r="K242" t="n">
        <v>0</v>
      </c>
      <c r="L242" t="n">
        <v>0</v>
      </c>
      <c r="M242" t="n">
        <v>0</v>
      </c>
      <c r="N242" t="n">
        <v>0</v>
      </c>
      <c r="O242" t="n">
        <v>0</v>
      </c>
      <c r="P242" t="n">
        <v>0</v>
      </c>
      <c r="Q242" t="n">
        <v>0</v>
      </c>
      <c r="R242" s="2" t="inlineStr"/>
    </row>
    <row r="243" ht="15" customHeight="1">
      <c r="A243" t="inlineStr">
        <is>
          <t>A 48962-2022</t>
        </is>
      </c>
      <c r="B243" s="1" t="n">
        <v>44860.31635416667</v>
      </c>
      <c r="C243" s="1" t="n">
        <v>45965</v>
      </c>
      <c r="D243" t="inlineStr">
        <is>
          <t>ÖSTERGÖTLANDS LÄN</t>
        </is>
      </c>
      <c r="E243" t="inlineStr">
        <is>
          <t>LINKÖPING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53647-2021</t>
        </is>
      </c>
      <c r="B244" s="1" t="n">
        <v>44469</v>
      </c>
      <c r="C244" s="1" t="n">
        <v>45965</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22772-2024</t>
        </is>
      </c>
      <c r="B245" s="1" t="n">
        <v>45448.46712962963</v>
      </c>
      <c r="C245" s="1" t="n">
        <v>45965</v>
      </c>
      <c r="D245" t="inlineStr">
        <is>
          <t>ÖSTERGÖTLANDS LÄN</t>
        </is>
      </c>
      <c r="E245" t="inlineStr">
        <is>
          <t>LINKÖPING</t>
        </is>
      </c>
      <c r="F245" t="inlineStr">
        <is>
          <t>Sveaskog</t>
        </is>
      </c>
      <c r="G245" t="n">
        <v>3</v>
      </c>
      <c r="H245" t="n">
        <v>0</v>
      </c>
      <c r="I245" t="n">
        <v>0</v>
      </c>
      <c r="J245" t="n">
        <v>0</v>
      </c>
      <c r="K245" t="n">
        <v>0</v>
      </c>
      <c r="L245" t="n">
        <v>0</v>
      </c>
      <c r="M245" t="n">
        <v>0</v>
      </c>
      <c r="N245" t="n">
        <v>0</v>
      </c>
      <c r="O245" t="n">
        <v>0</v>
      </c>
      <c r="P245" t="n">
        <v>0</v>
      </c>
      <c r="Q245" t="n">
        <v>0</v>
      </c>
      <c r="R245" s="2" t="inlineStr"/>
    </row>
    <row r="246" ht="15" customHeight="1">
      <c r="A246" t="inlineStr">
        <is>
          <t>A 18916-2024</t>
        </is>
      </c>
      <c r="B246" s="1" t="n">
        <v>45427.39541666667</v>
      </c>
      <c r="C246" s="1" t="n">
        <v>45965</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62321-2022</t>
        </is>
      </c>
      <c r="B247" s="1" t="n">
        <v>44916</v>
      </c>
      <c r="C247" s="1" t="n">
        <v>45965</v>
      </c>
      <c r="D247" t="inlineStr">
        <is>
          <t>ÖSTERGÖTLANDS LÄN</t>
        </is>
      </c>
      <c r="E247" t="inlineStr">
        <is>
          <t>LINKÖPING</t>
        </is>
      </c>
      <c r="F247" t="inlineStr">
        <is>
          <t>Kommuner</t>
        </is>
      </c>
      <c r="G247" t="n">
        <v>5.3</v>
      </c>
      <c r="H247" t="n">
        <v>0</v>
      </c>
      <c r="I247" t="n">
        <v>0</v>
      </c>
      <c r="J247" t="n">
        <v>0</v>
      </c>
      <c r="K247" t="n">
        <v>0</v>
      </c>
      <c r="L247" t="n">
        <v>0</v>
      </c>
      <c r="M247" t="n">
        <v>0</v>
      </c>
      <c r="N247" t="n">
        <v>0</v>
      </c>
      <c r="O247" t="n">
        <v>0</v>
      </c>
      <c r="P247" t="n">
        <v>0</v>
      </c>
      <c r="Q247" t="n">
        <v>0</v>
      </c>
      <c r="R247" s="2" t="inlineStr"/>
    </row>
    <row r="248" ht="15" customHeight="1">
      <c r="A248" t="inlineStr">
        <is>
          <t>A 12412-2022</t>
        </is>
      </c>
      <c r="B248" s="1" t="n">
        <v>44638</v>
      </c>
      <c r="C248" s="1" t="n">
        <v>45965</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24586-2024</t>
        </is>
      </c>
      <c r="B249" s="1" t="n">
        <v>45460.46664351852</v>
      </c>
      <c r="C249" s="1" t="n">
        <v>45965</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43475-2024</t>
        </is>
      </c>
      <c r="B250" s="1" t="n">
        <v>45568</v>
      </c>
      <c r="C250" s="1" t="n">
        <v>45965</v>
      </c>
      <c r="D250" t="inlineStr">
        <is>
          <t>ÖSTERGÖTLANDS LÄN</t>
        </is>
      </c>
      <c r="E250" t="inlineStr">
        <is>
          <t>LINKÖPING</t>
        </is>
      </c>
      <c r="G250" t="n">
        <v>3.2</v>
      </c>
      <c r="H250" t="n">
        <v>0</v>
      </c>
      <c r="I250" t="n">
        <v>0</v>
      </c>
      <c r="J250" t="n">
        <v>0</v>
      </c>
      <c r="K250" t="n">
        <v>0</v>
      </c>
      <c r="L250" t="n">
        <v>0</v>
      </c>
      <c r="M250" t="n">
        <v>0</v>
      </c>
      <c r="N250" t="n">
        <v>0</v>
      </c>
      <c r="O250" t="n">
        <v>0</v>
      </c>
      <c r="P250" t="n">
        <v>0</v>
      </c>
      <c r="Q250" t="n">
        <v>0</v>
      </c>
      <c r="R250" s="2" t="inlineStr"/>
    </row>
    <row r="251" ht="15" customHeight="1">
      <c r="A251" t="inlineStr">
        <is>
          <t>A 10741-2023</t>
        </is>
      </c>
      <c r="B251" s="1" t="n">
        <v>44988.70084490741</v>
      </c>
      <c r="C251" s="1" t="n">
        <v>45965</v>
      </c>
      <c r="D251" t="inlineStr">
        <is>
          <t>ÖSTERGÖTLANDS LÄN</t>
        </is>
      </c>
      <c r="E251" t="inlineStr">
        <is>
          <t>LINKÖPING</t>
        </is>
      </c>
      <c r="F251" t="inlineStr">
        <is>
          <t>Allmännings- och besparingsskogar</t>
        </is>
      </c>
      <c r="G251" t="n">
        <v>11.2</v>
      </c>
      <c r="H251" t="n">
        <v>0</v>
      </c>
      <c r="I251" t="n">
        <v>0</v>
      </c>
      <c r="J251" t="n">
        <v>0</v>
      </c>
      <c r="K251" t="n">
        <v>0</v>
      </c>
      <c r="L251" t="n">
        <v>0</v>
      </c>
      <c r="M251" t="n">
        <v>0</v>
      </c>
      <c r="N251" t="n">
        <v>0</v>
      </c>
      <c r="O251" t="n">
        <v>0</v>
      </c>
      <c r="P251" t="n">
        <v>0</v>
      </c>
      <c r="Q251" t="n">
        <v>0</v>
      </c>
      <c r="R251" s="2" t="inlineStr"/>
    </row>
    <row r="252" ht="15" customHeight="1">
      <c r="A252" t="inlineStr">
        <is>
          <t>A 17124-2025</t>
        </is>
      </c>
      <c r="B252" s="1" t="n">
        <v>45755.69678240741</v>
      </c>
      <c r="C252" s="1" t="n">
        <v>45965</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17126-2025</t>
        </is>
      </c>
      <c r="B253" s="1" t="n">
        <v>45755.70814814815</v>
      </c>
      <c r="C253" s="1" t="n">
        <v>45965</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17143-2025</t>
        </is>
      </c>
      <c r="B254" s="1" t="n">
        <v>45755.92731481481</v>
      </c>
      <c r="C254" s="1" t="n">
        <v>45965</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50963-2021</t>
        </is>
      </c>
      <c r="B255" s="1" t="n">
        <v>44460</v>
      </c>
      <c r="C255" s="1" t="n">
        <v>45965</v>
      </c>
      <c r="D255" t="inlineStr">
        <is>
          <t>ÖSTERGÖTLANDS LÄN</t>
        </is>
      </c>
      <c r="E255" t="inlineStr">
        <is>
          <t>LINKÖPING</t>
        </is>
      </c>
      <c r="G255" t="n">
        <v>4.4</v>
      </c>
      <c r="H255" t="n">
        <v>0</v>
      </c>
      <c r="I255" t="n">
        <v>0</v>
      </c>
      <c r="J255" t="n">
        <v>0</v>
      </c>
      <c r="K255" t="n">
        <v>0</v>
      </c>
      <c r="L255" t="n">
        <v>0</v>
      </c>
      <c r="M255" t="n">
        <v>0</v>
      </c>
      <c r="N255" t="n">
        <v>0</v>
      </c>
      <c r="O255" t="n">
        <v>0</v>
      </c>
      <c r="P255" t="n">
        <v>0</v>
      </c>
      <c r="Q255" t="n">
        <v>0</v>
      </c>
      <c r="R255" s="2" t="inlineStr"/>
    </row>
    <row r="256" ht="15" customHeight="1">
      <c r="A256" t="inlineStr">
        <is>
          <t>A 17103-2025</t>
        </is>
      </c>
      <c r="B256" s="1" t="n">
        <v>45755.66143518518</v>
      </c>
      <c r="C256" s="1" t="n">
        <v>45965</v>
      </c>
      <c r="D256" t="inlineStr">
        <is>
          <t>ÖSTERGÖTLANDS LÄN</t>
        </is>
      </c>
      <c r="E256" t="inlineStr">
        <is>
          <t>LINKÖPING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30551-2023</t>
        </is>
      </c>
      <c r="B257" s="1" t="n">
        <v>45111</v>
      </c>
      <c r="C257" s="1" t="n">
        <v>45965</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50784-2022</t>
        </is>
      </c>
      <c r="B258" s="1" t="n">
        <v>44862</v>
      </c>
      <c r="C258" s="1" t="n">
        <v>45965</v>
      </c>
      <c r="D258" t="inlineStr">
        <is>
          <t>ÖSTERGÖTLANDS LÄN</t>
        </is>
      </c>
      <c r="E258" t="inlineStr">
        <is>
          <t>LINKÖPING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45821-2024</t>
        </is>
      </c>
      <c r="B259" s="1" t="n">
        <v>45579.75803240741</v>
      </c>
      <c r="C259" s="1" t="n">
        <v>45965</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22043-2023</t>
        </is>
      </c>
      <c r="B260" s="1" t="n">
        <v>45069.39050925926</v>
      </c>
      <c r="C260" s="1" t="n">
        <v>45965</v>
      </c>
      <c r="D260" t="inlineStr">
        <is>
          <t>ÖSTERGÖTLANDS LÄN</t>
        </is>
      </c>
      <c r="E260" t="inlineStr">
        <is>
          <t>LINKÖPING</t>
        </is>
      </c>
      <c r="G260" t="n">
        <v>5.9</v>
      </c>
      <c r="H260" t="n">
        <v>0</v>
      </c>
      <c r="I260" t="n">
        <v>0</v>
      </c>
      <c r="J260" t="n">
        <v>0</v>
      </c>
      <c r="K260" t="n">
        <v>0</v>
      </c>
      <c r="L260" t="n">
        <v>0</v>
      </c>
      <c r="M260" t="n">
        <v>0</v>
      </c>
      <c r="N260" t="n">
        <v>0</v>
      </c>
      <c r="O260" t="n">
        <v>0</v>
      </c>
      <c r="P260" t="n">
        <v>0</v>
      </c>
      <c r="Q260" t="n">
        <v>0</v>
      </c>
      <c r="R260" s="2" t="inlineStr"/>
    </row>
    <row r="261" ht="15" customHeight="1">
      <c r="A261" t="inlineStr">
        <is>
          <t>A 39017-2021</t>
        </is>
      </c>
      <c r="B261" s="1" t="n">
        <v>44412</v>
      </c>
      <c r="C261" s="1" t="n">
        <v>45965</v>
      </c>
      <c r="D261" t="inlineStr">
        <is>
          <t>ÖSTERGÖTLANDS LÄN</t>
        </is>
      </c>
      <c r="E261" t="inlineStr">
        <is>
          <t>LINKÖPING</t>
        </is>
      </c>
      <c r="F261" t="inlineStr">
        <is>
          <t>Övriga statliga verk och myndigheter</t>
        </is>
      </c>
      <c r="G261" t="n">
        <v>0.8</v>
      </c>
      <c r="H261" t="n">
        <v>0</v>
      </c>
      <c r="I261" t="n">
        <v>0</v>
      </c>
      <c r="J261" t="n">
        <v>0</v>
      </c>
      <c r="K261" t="n">
        <v>0</v>
      </c>
      <c r="L261" t="n">
        <v>0</v>
      </c>
      <c r="M261" t="n">
        <v>0</v>
      </c>
      <c r="N261" t="n">
        <v>0</v>
      </c>
      <c r="O261" t="n">
        <v>0</v>
      </c>
      <c r="P261" t="n">
        <v>0</v>
      </c>
      <c r="Q261" t="n">
        <v>0</v>
      </c>
      <c r="R261" s="2" t="inlineStr"/>
    </row>
    <row r="262" ht="15" customHeight="1">
      <c r="A262" t="inlineStr">
        <is>
          <t>A 61936-2023</t>
        </is>
      </c>
      <c r="B262" s="1" t="n">
        <v>45266.54534722222</v>
      </c>
      <c r="C262" s="1" t="n">
        <v>45965</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1263-2024</t>
        </is>
      </c>
      <c r="B263" s="1" t="n">
        <v>45302</v>
      </c>
      <c r="C263" s="1" t="n">
        <v>45965</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49656-2021</t>
        </is>
      </c>
      <c r="B264" s="1" t="n">
        <v>44454</v>
      </c>
      <c r="C264" s="1" t="n">
        <v>45965</v>
      </c>
      <c r="D264" t="inlineStr">
        <is>
          <t>ÖSTERGÖTLANDS LÄN</t>
        </is>
      </c>
      <c r="E264" t="inlineStr">
        <is>
          <t>LINKÖPING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24464-2023</t>
        </is>
      </c>
      <c r="B265" s="1" t="n">
        <v>45082.58068287037</v>
      </c>
      <c r="C265" s="1" t="n">
        <v>45965</v>
      </c>
      <c r="D265" t="inlineStr">
        <is>
          <t>ÖSTERGÖTLANDS LÄN</t>
        </is>
      </c>
      <c r="E265" t="inlineStr">
        <is>
          <t>LINKÖPING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16820-2024</t>
        </is>
      </c>
      <c r="B266" s="1" t="n">
        <v>45411.46809027778</v>
      </c>
      <c r="C266" s="1" t="n">
        <v>45965</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48389-2024</t>
        </is>
      </c>
      <c r="B267" s="1" t="n">
        <v>45590.59991898148</v>
      </c>
      <c r="C267" s="1" t="n">
        <v>45965</v>
      </c>
      <c r="D267" t="inlineStr">
        <is>
          <t>ÖSTERGÖTLANDS LÄN</t>
        </is>
      </c>
      <c r="E267" t="inlineStr">
        <is>
          <t>LINKÖPING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61281-2021</t>
        </is>
      </c>
      <c r="B268" s="1" t="n">
        <v>44498.60736111111</v>
      </c>
      <c r="C268" s="1" t="n">
        <v>45965</v>
      </c>
      <c r="D268" t="inlineStr">
        <is>
          <t>ÖSTERGÖTLANDS LÄN</t>
        </is>
      </c>
      <c r="E268" t="inlineStr">
        <is>
          <t>LINKÖPING</t>
        </is>
      </c>
      <c r="G268" t="n">
        <v>4.5</v>
      </c>
      <c r="H268" t="n">
        <v>0</v>
      </c>
      <c r="I268" t="n">
        <v>0</v>
      </c>
      <c r="J268" t="n">
        <v>0</v>
      </c>
      <c r="K268" t="n">
        <v>0</v>
      </c>
      <c r="L268" t="n">
        <v>0</v>
      </c>
      <c r="M268" t="n">
        <v>0</v>
      </c>
      <c r="N268" t="n">
        <v>0</v>
      </c>
      <c r="O268" t="n">
        <v>0</v>
      </c>
      <c r="P268" t="n">
        <v>0</v>
      </c>
      <c r="Q268" t="n">
        <v>0</v>
      </c>
      <c r="R268" s="2" t="inlineStr"/>
    </row>
    <row r="269" ht="15" customHeight="1">
      <c r="A269" t="inlineStr">
        <is>
          <t>A 30465-2023</t>
        </is>
      </c>
      <c r="B269" s="1" t="n">
        <v>45111</v>
      </c>
      <c r="C269" s="1" t="n">
        <v>45965</v>
      </c>
      <c r="D269" t="inlineStr">
        <is>
          <t>ÖSTERGÖTLANDS LÄN</t>
        </is>
      </c>
      <c r="E269" t="inlineStr">
        <is>
          <t>LINKÖPING</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30980-2022</t>
        </is>
      </c>
      <c r="B270" s="1" t="n">
        <v>44768</v>
      </c>
      <c r="C270" s="1" t="n">
        <v>45965</v>
      </c>
      <c r="D270" t="inlineStr">
        <is>
          <t>ÖSTERGÖTLANDS LÄN</t>
        </is>
      </c>
      <c r="E270" t="inlineStr">
        <is>
          <t>LINKÖPING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6369-2023</t>
        </is>
      </c>
      <c r="B271" s="1" t="n">
        <v>44965.61106481482</v>
      </c>
      <c r="C271" s="1" t="n">
        <v>45965</v>
      </c>
      <c r="D271" t="inlineStr">
        <is>
          <t>ÖSTERGÖTLANDS LÄN</t>
        </is>
      </c>
      <c r="E271" t="inlineStr">
        <is>
          <t>LINKÖPING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30521-2024</t>
        </is>
      </c>
      <c r="B272" s="1" t="n">
        <v>45492</v>
      </c>
      <c r="C272" s="1" t="n">
        <v>45965</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40618-2021</t>
        </is>
      </c>
      <c r="B273" s="1" t="n">
        <v>44420.49575231481</v>
      </c>
      <c r="C273" s="1" t="n">
        <v>45965</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10094-2024</t>
        </is>
      </c>
      <c r="B274" s="1" t="n">
        <v>45364</v>
      </c>
      <c r="C274" s="1" t="n">
        <v>45965</v>
      </c>
      <c r="D274" t="inlineStr">
        <is>
          <t>ÖSTERGÖTLANDS LÄN</t>
        </is>
      </c>
      <c r="E274" t="inlineStr">
        <is>
          <t>LINKÖPING</t>
        </is>
      </c>
      <c r="F274" t="inlineStr">
        <is>
          <t>Övriga Aktiebolag</t>
        </is>
      </c>
      <c r="G274" t="n">
        <v>1.9</v>
      </c>
      <c r="H274" t="n">
        <v>0</v>
      </c>
      <c r="I274" t="n">
        <v>0</v>
      </c>
      <c r="J274" t="n">
        <v>0</v>
      </c>
      <c r="K274" t="n">
        <v>0</v>
      </c>
      <c r="L274" t="n">
        <v>0</v>
      </c>
      <c r="M274" t="n">
        <v>0</v>
      </c>
      <c r="N274" t="n">
        <v>0</v>
      </c>
      <c r="O274" t="n">
        <v>0</v>
      </c>
      <c r="P274" t="n">
        <v>0</v>
      </c>
      <c r="Q274" t="n">
        <v>0</v>
      </c>
      <c r="R274" s="2" t="inlineStr"/>
    </row>
    <row r="275" ht="15" customHeight="1">
      <c r="A275" t="inlineStr">
        <is>
          <t>A 24351-2024</t>
        </is>
      </c>
      <c r="B275" s="1" t="n">
        <v>45457.59011574074</v>
      </c>
      <c r="C275" s="1" t="n">
        <v>45965</v>
      </c>
      <c r="D275" t="inlineStr">
        <is>
          <t>ÖSTERGÖTLANDS LÄN</t>
        </is>
      </c>
      <c r="E275" t="inlineStr">
        <is>
          <t>LINKÖPING</t>
        </is>
      </c>
      <c r="G275" t="n">
        <v>11.9</v>
      </c>
      <c r="H275" t="n">
        <v>0</v>
      </c>
      <c r="I275" t="n">
        <v>0</v>
      </c>
      <c r="J275" t="n">
        <v>0</v>
      </c>
      <c r="K275" t="n">
        <v>0</v>
      </c>
      <c r="L275" t="n">
        <v>0</v>
      </c>
      <c r="M275" t="n">
        <v>0</v>
      </c>
      <c r="N275" t="n">
        <v>0</v>
      </c>
      <c r="O275" t="n">
        <v>0</v>
      </c>
      <c r="P275" t="n">
        <v>0</v>
      </c>
      <c r="Q275" t="n">
        <v>0</v>
      </c>
      <c r="R275" s="2" t="inlineStr"/>
    </row>
    <row r="276" ht="15" customHeight="1">
      <c r="A276" t="inlineStr">
        <is>
          <t>A 62374-2020</t>
        </is>
      </c>
      <c r="B276" s="1" t="n">
        <v>44159</v>
      </c>
      <c r="C276" s="1" t="n">
        <v>45965</v>
      </c>
      <c r="D276" t="inlineStr">
        <is>
          <t>ÖSTERGÖTLANDS LÄN</t>
        </is>
      </c>
      <c r="E276" t="inlineStr">
        <is>
          <t>LINKÖPING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23735-2023</t>
        </is>
      </c>
      <c r="B277" s="1" t="n">
        <v>45077</v>
      </c>
      <c r="C277" s="1" t="n">
        <v>45965</v>
      </c>
      <c r="D277" t="inlineStr">
        <is>
          <t>ÖSTERGÖTLANDS LÄN</t>
        </is>
      </c>
      <c r="E277" t="inlineStr">
        <is>
          <t>LINKÖPING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350-2022</t>
        </is>
      </c>
      <c r="B278" s="1" t="n">
        <v>44565</v>
      </c>
      <c r="C278" s="1" t="n">
        <v>45965</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62501-2023</t>
        </is>
      </c>
      <c r="B279" s="1" t="n">
        <v>45268</v>
      </c>
      <c r="C279" s="1" t="n">
        <v>45965</v>
      </c>
      <c r="D279" t="inlineStr">
        <is>
          <t>ÖSTERGÖTLANDS LÄN</t>
        </is>
      </c>
      <c r="E279" t="inlineStr">
        <is>
          <t>LINKÖPING</t>
        </is>
      </c>
      <c r="G279" t="n">
        <v>7.4</v>
      </c>
      <c r="H279" t="n">
        <v>0</v>
      </c>
      <c r="I279" t="n">
        <v>0</v>
      </c>
      <c r="J279" t="n">
        <v>0</v>
      </c>
      <c r="K279" t="n">
        <v>0</v>
      </c>
      <c r="L279" t="n">
        <v>0</v>
      </c>
      <c r="M279" t="n">
        <v>0</v>
      </c>
      <c r="N279" t="n">
        <v>0</v>
      </c>
      <c r="O279" t="n">
        <v>0</v>
      </c>
      <c r="P279" t="n">
        <v>0</v>
      </c>
      <c r="Q279" t="n">
        <v>0</v>
      </c>
      <c r="R279" s="2" t="inlineStr"/>
    </row>
    <row r="280" ht="15" customHeight="1">
      <c r="A280" t="inlineStr">
        <is>
          <t>A 58947-2022</t>
        </is>
      </c>
      <c r="B280" s="1" t="n">
        <v>44903.64769675926</v>
      </c>
      <c r="C280" s="1" t="n">
        <v>45965</v>
      </c>
      <c r="D280" t="inlineStr">
        <is>
          <t>ÖSTERGÖTLANDS LÄN</t>
        </is>
      </c>
      <c r="E280" t="inlineStr">
        <is>
          <t>LINKÖPING</t>
        </is>
      </c>
      <c r="G280" t="n">
        <v>4</v>
      </c>
      <c r="H280" t="n">
        <v>0</v>
      </c>
      <c r="I280" t="n">
        <v>0</v>
      </c>
      <c r="J280" t="n">
        <v>0</v>
      </c>
      <c r="K280" t="n">
        <v>0</v>
      </c>
      <c r="L280" t="n">
        <v>0</v>
      </c>
      <c r="M280" t="n">
        <v>0</v>
      </c>
      <c r="N280" t="n">
        <v>0</v>
      </c>
      <c r="O280" t="n">
        <v>0</v>
      </c>
      <c r="P280" t="n">
        <v>0</v>
      </c>
      <c r="Q280" t="n">
        <v>0</v>
      </c>
      <c r="R280" s="2" t="inlineStr"/>
    </row>
    <row r="281" ht="15" customHeight="1">
      <c r="A281" t="inlineStr">
        <is>
          <t>A 4256-2022</t>
        </is>
      </c>
      <c r="B281" s="1" t="n">
        <v>44588</v>
      </c>
      <c r="C281" s="1" t="n">
        <v>45965</v>
      </c>
      <c r="D281" t="inlineStr">
        <is>
          <t>ÖSTERGÖTLANDS LÄN</t>
        </is>
      </c>
      <c r="E281" t="inlineStr">
        <is>
          <t>LINKÖPING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1207-2023</t>
        </is>
      </c>
      <c r="B282" s="1" t="n">
        <v>44930</v>
      </c>
      <c r="C282" s="1" t="n">
        <v>45965</v>
      </c>
      <c r="D282" t="inlineStr">
        <is>
          <t>ÖSTERGÖTLANDS LÄN</t>
        </is>
      </c>
      <c r="E282" t="inlineStr">
        <is>
          <t>LINKÖPING</t>
        </is>
      </c>
      <c r="F282" t="inlineStr">
        <is>
          <t>Övriga statliga verk och myndigheter</t>
        </is>
      </c>
      <c r="G282" t="n">
        <v>32.8</v>
      </c>
      <c r="H282" t="n">
        <v>0</v>
      </c>
      <c r="I282" t="n">
        <v>0</v>
      </c>
      <c r="J282" t="n">
        <v>0</v>
      </c>
      <c r="K282" t="n">
        <v>0</v>
      </c>
      <c r="L282" t="n">
        <v>0</v>
      </c>
      <c r="M282" t="n">
        <v>0</v>
      </c>
      <c r="N282" t="n">
        <v>0</v>
      </c>
      <c r="O282" t="n">
        <v>0</v>
      </c>
      <c r="P282" t="n">
        <v>0</v>
      </c>
      <c r="Q282" t="n">
        <v>0</v>
      </c>
      <c r="R282" s="2" t="inlineStr"/>
    </row>
    <row r="283" ht="15" customHeight="1">
      <c r="A283" t="inlineStr">
        <is>
          <t>A 49979-2022</t>
        </is>
      </c>
      <c r="B283" s="1" t="n">
        <v>44865</v>
      </c>
      <c r="C283" s="1" t="n">
        <v>45965</v>
      </c>
      <c r="D283" t="inlineStr">
        <is>
          <t>ÖSTERGÖTLANDS LÄN</t>
        </is>
      </c>
      <c r="E283" t="inlineStr">
        <is>
          <t>LINKÖPING</t>
        </is>
      </c>
      <c r="F283" t="inlineStr">
        <is>
          <t>Övriga Aktiebolag</t>
        </is>
      </c>
      <c r="G283" t="n">
        <v>11.4</v>
      </c>
      <c r="H283" t="n">
        <v>0</v>
      </c>
      <c r="I283" t="n">
        <v>0</v>
      </c>
      <c r="J283" t="n">
        <v>0</v>
      </c>
      <c r="K283" t="n">
        <v>0</v>
      </c>
      <c r="L283" t="n">
        <v>0</v>
      </c>
      <c r="M283" t="n">
        <v>0</v>
      </c>
      <c r="N283" t="n">
        <v>0</v>
      </c>
      <c r="O283" t="n">
        <v>0</v>
      </c>
      <c r="P283" t="n">
        <v>0</v>
      </c>
      <c r="Q283" t="n">
        <v>0</v>
      </c>
      <c r="R283" s="2" t="inlineStr"/>
    </row>
    <row r="284" ht="15" customHeight="1">
      <c r="A284" t="inlineStr">
        <is>
          <t>A 62015-2024</t>
        </is>
      </c>
      <c r="B284" s="1" t="n">
        <v>45655.80457175926</v>
      </c>
      <c r="C284" s="1" t="n">
        <v>45965</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62020-2024</t>
        </is>
      </c>
      <c r="B285" s="1" t="n">
        <v>45655.83563657408</v>
      </c>
      <c r="C285" s="1" t="n">
        <v>45965</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62021-2024</t>
        </is>
      </c>
      <c r="B286" s="1" t="n">
        <v>45655.84232638889</v>
      </c>
      <c r="C286" s="1" t="n">
        <v>45965</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25948-2023</t>
        </is>
      </c>
      <c r="B287" s="1" t="n">
        <v>45090</v>
      </c>
      <c r="C287" s="1" t="n">
        <v>45965</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53827-2023</t>
        </is>
      </c>
      <c r="B288" s="1" t="n">
        <v>45230</v>
      </c>
      <c r="C288" s="1" t="n">
        <v>45965</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27891-2021</t>
        </is>
      </c>
      <c r="B289" s="1" t="n">
        <v>44354.65108796296</v>
      </c>
      <c r="C289" s="1" t="n">
        <v>45965</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57391-2023</t>
        </is>
      </c>
      <c r="B290" s="1" t="n">
        <v>45245</v>
      </c>
      <c r="C290" s="1" t="n">
        <v>45965</v>
      </c>
      <c r="D290" t="inlineStr">
        <is>
          <t>ÖSTERGÖTLANDS LÄN</t>
        </is>
      </c>
      <c r="E290" t="inlineStr">
        <is>
          <t>LINKÖPING</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33867-2023</t>
        </is>
      </c>
      <c r="B291" s="1" t="n">
        <v>45133.94640046296</v>
      </c>
      <c r="C291" s="1" t="n">
        <v>45965</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940-2023</t>
        </is>
      </c>
      <c r="B292" s="1" t="n">
        <v>44933</v>
      </c>
      <c r="C292" s="1" t="n">
        <v>45965</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20294-2025</t>
        </is>
      </c>
      <c r="B293" s="1" t="n">
        <v>45774.74667824074</v>
      </c>
      <c r="C293" s="1" t="n">
        <v>45965</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60013-2022</t>
        </is>
      </c>
      <c r="B294" s="1" t="n">
        <v>44909.47482638889</v>
      </c>
      <c r="C294" s="1" t="n">
        <v>45965</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32255-2021</t>
        </is>
      </c>
      <c r="B295" s="1" t="n">
        <v>44371.45949074074</v>
      </c>
      <c r="C295" s="1" t="n">
        <v>45965</v>
      </c>
      <c r="D295" t="inlineStr">
        <is>
          <t>ÖSTERGÖTLANDS LÄN</t>
        </is>
      </c>
      <c r="E295" t="inlineStr">
        <is>
          <t>LINKÖPING</t>
        </is>
      </c>
      <c r="F295" t="inlineStr">
        <is>
          <t>Övriga Aktiebolag</t>
        </is>
      </c>
      <c r="G295" t="n">
        <v>1.1</v>
      </c>
      <c r="H295" t="n">
        <v>0</v>
      </c>
      <c r="I295" t="n">
        <v>0</v>
      </c>
      <c r="J295" t="n">
        <v>0</v>
      </c>
      <c r="K295" t="n">
        <v>0</v>
      </c>
      <c r="L295" t="n">
        <v>0</v>
      </c>
      <c r="M295" t="n">
        <v>0</v>
      </c>
      <c r="N295" t="n">
        <v>0</v>
      </c>
      <c r="O295" t="n">
        <v>0</v>
      </c>
      <c r="P295" t="n">
        <v>0</v>
      </c>
      <c r="Q295" t="n">
        <v>0</v>
      </c>
      <c r="R295" s="2" t="inlineStr"/>
    </row>
    <row r="296" ht="15" customHeight="1">
      <c r="A296" t="inlineStr">
        <is>
          <t>A 7992-2023</t>
        </is>
      </c>
      <c r="B296" s="1" t="n">
        <v>44970</v>
      </c>
      <c r="C296" s="1" t="n">
        <v>45965</v>
      </c>
      <c r="D296" t="inlineStr">
        <is>
          <t>ÖSTERGÖTLANDS LÄN</t>
        </is>
      </c>
      <c r="E296" t="inlineStr">
        <is>
          <t>LINKÖPING</t>
        </is>
      </c>
      <c r="F296" t="inlineStr">
        <is>
          <t>Kommuner</t>
        </is>
      </c>
      <c r="G296" t="n">
        <v>1</v>
      </c>
      <c r="H296" t="n">
        <v>0</v>
      </c>
      <c r="I296" t="n">
        <v>0</v>
      </c>
      <c r="J296" t="n">
        <v>0</v>
      </c>
      <c r="K296" t="n">
        <v>0</v>
      </c>
      <c r="L296" t="n">
        <v>0</v>
      </c>
      <c r="M296" t="n">
        <v>0</v>
      </c>
      <c r="N296" t="n">
        <v>0</v>
      </c>
      <c r="O296" t="n">
        <v>0</v>
      </c>
      <c r="P296" t="n">
        <v>0</v>
      </c>
      <c r="Q296" t="n">
        <v>0</v>
      </c>
      <c r="R296" s="2" t="inlineStr"/>
    </row>
    <row r="297" ht="15" customHeight="1">
      <c r="A297" t="inlineStr">
        <is>
          <t>A 3007-2025</t>
        </is>
      </c>
      <c r="B297" s="1" t="n">
        <v>45678.56328703704</v>
      </c>
      <c r="C297" s="1" t="n">
        <v>45965</v>
      </c>
      <c r="D297" t="inlineStr">
        <is>
          <t>ÖSTERGÖTLANDS LÄN</t>
        </is>
      </c>
      <c r="E297" t="inlineStr">
        <is>
          <t>LINKÖPING</t>
        </is>
      </c>
      <c r="G297" t="n">
        <v>3.1</v>
      </c>
      <c r="H297" t="n">
        <v>0</v>
      </c>
      <c r="I297" t="n">
        <v>0</v>
      </c>
      <c r="J297" t="n">
        <v>0</v>
      </c>
      <c r="K297" t="n">
        <v>0</v>
      </c>
      <c r="L297" t="n">
        <v>0</v>
      </c>
      <c r="M297" t="n">
        <v>0</v>
      </c>
      <c r="N297" t="n">
        <v>0</v>
      </c>
      <c r="O297" t="n">
        <v>0</v>
      </c>
      <c r="P297" t="n">
        <v>0</v>
      </c>
      <c r="Q297" t="n">
        <v>0</v>
      </c>
      <c r="R297" s="2" t="inlineStr"/>
    </row>
    <row r="298" ht="15" customHeight="1">
      <c r="A298" t="inlineStr">
        <is>
          <t>A 45819-2024</t>
        </is>
      </c>
      <c r="B298" s="1" t="n">
        <v>45579.7454050926</v>
      </c>
      <c r="C298" s="1" t="n">
        <v>45965</v>
      </c>
      <c r="D298" t="inlineStr">
        <is>
          <t>ÖSTERGÖTLANDS LÄN</t>
        </is>
      </c>
      <c r="E298" t="inlineStr">
        <is>
          <t>LINKÖPING</t>
        </is>
      </c>
      <c r="G298" t="n">
        <v>5</v>
      </c>
      <c r="H298" t="n">
        <v>0</v>
      </c>
      <c r="I298" t="n">
        <v>0</v>
      </c>
      <c r="J298" t="n">
        <v>0</v>
      </c>
      <c r="K298" t="n">
        <v>0</v>
      </c>
      <c r="L298" t="n">
        <v>0</v>
      </c>
      <c r="M298" t="n">
        <v>0</v>
      </c>
      <c r="N298" t="n">
        <v>0</v>
      </c>
      <c r="O298" t="n">
        <v>0</v>
      </c>
      <c r="P298" t="n">
        <v>0</v>
      </c>
      <c r="Q298" t="n">
        <v>0</v>
      </c>
      <c r="R298" s="2" t="inlineStr"/>
    </row>
    <row r="299" ht="15" customHeight="1">
      <c r="A299" t="inlineStr">
        <is>
          <t>A 3041-2024</t>
        </is>
      </c>
      <c r="B299" s="1" t="n">
        <v>45316.34875</v>
      </c>
      <c r="C299" s="1" t="n">
        <v>45965</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34877-2023</t>
        </is>
      </c>
      <c r="B300" s="1" t="n">
        <v>45140</v>
      </c>
      <c r="C300" s="1" t="n">
        <v>45965</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1924-2024</t>
        </is>
      </c>
      <c r="B301" s="1" t="n">
        <v>45308</v>
      </c>
      <c r="C301" s="1" t="n">
        <v>45965</v>
      </c>
      <c r="D301" t="inlineStr">
        <is>
          <t>ÖSTERGÖTLANDS LÄN</t>
        </is>
      </c>
      <c r="E301" t="inlineStr">
        <is>
          <t>LINKÖPING</t>
        </is>
      </c>
      <c r="F301" t="inlineStr">
        <is>
          <t>Övriga Aktiebolag</t>
        </is>
      </c>
      <c r="G301" t="n">
        <v>0.5</v>
      </c>
      <c r="H301" t="n">
        <v>0</v>
      </c>
      <c r="I301" t="n">
        <v>0</v>
      </c>
      <c r="J301" t="n">
        <v>0</v>
      </c>
      <c r="K301" t="n">
        <v>0</v>
      </c>
      <c r="L301" t="n">
        <v>0</v>
      </c>
      <c r="M301" t="n">
        <v>0</v>
      </c>
      <c r="N301" t="n">
        <v>0</v>
      </c>
      <c r="O301" t="n">
        <v>0</v>
      </c>
      <c r="P301" t="n">
        <v>0</v>
      </c>
      <c r="Q301" t="n">
        <v>0</v>
      </c>
      <c r="R301" s="2" t="inlineStr"/>
    </row>
    <row r="302" ht="15" customHeight="1">
      <c r="A302" t="inlineStr">
        <is>
          <t>A 24462-2023</t>
        </is>
      </c>
      <c r="B302" s="1" t="n">
        <v>45082</v>
      </c>
      <c r="C302" s="1" t="n">
        <v>45965</v>
      </c>
      <c r="D302" t="inlineStr">
        <is>
          <t>ÖSTERGÖTLANDS LÄN</t>
        </is>
      </c>
      <c r="E302" t="inlineStr">
        <is>
          <t>LINKÖPING</t>
        </is>
      </c>
      <c r="G302" t="n">
        <v>3.5</v>
      </c>
      <c r="H302" t="n">
        <v>0</v>
      </c>
      <c r="I302" t="n">
        <v>0</v>
      </c>
      <c r="J302" t="n">
        <v>0</v>
      </c>
      <c r="K302" t="n">
        <v>0</v>
      </c>
      <c r="L302" t="n">
        <v>0</v>
      </c>
      <c r="M302" t="n">
        <v>0</v>
      </c>
      <c r="N302" t="n">
        <v>0</v>
      </c>
      <c r="O302" t="n">
        <v>0</v>
      </c>
      <c r="P302" t="n">
        <v>0</v>
      </c>
      <c r="Q302" t="n">
        <v>0</v>
      </c>
      <c r="R302" s="2" t="inlineStr"/>
    </row>
    <row r="303" ht="15" customHeight="1">
      <c r="A303" t="inlineStr">
        <is>
          <t>A 3530-2024</t>
        </is>
      </c>
      <c r="B303" s="1" t="n">
        <v>45320.54717592592</v>
      </c>
      <c r="C303" s="1" t="n">
        <v>45965</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48829-2023</t>
        </is>
      </c>
      <c r="B304" s="1" t="n">
        <v>45209.38177083333</v>
      </c>
      <c r="C304" s="1" t="n">
        <v>45965</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34558-2022</t>
        </is>
      </c>
      <c r="B305" s="1" t="n">
        <v>44794.57594907407</v>
      </c>
      <c r="C305" s="1" t="n">
        <v>45965</v>
      </c>
      <c r="D305" t="inlineStr">
        <is>
          <t>ÖSTERGÖTLANDS LÄN</t>
        </is>
      </c>
      <c r="E305" t="inlineStr">
        <is>
          <t>LINKÖPING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38046-2025</t>
        </is>
      </c>
      <c r="B306" s="1" t="n">
        <v>45882.39939814815</v>
      </c>
      <c r="C306" s="1" t="n">
        <v>45965</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168-2024</t>
        </is>
      </c>
      <c r="B307" s="1" t="n">
        <v>45294</v>
      </c>
      <c r="C307" s="1" t="n">
        <v>45965</v>
      </c>
      <c r="D307" t="inlineStr">
        <is>
          <t>ÖSTERGÖTLANDS LÄN</t>
        </is>
      </c>
      <c r="E307" t="inlineStr">
        <is>
          <t>LINKÖPING</t>
        </is>
      </c>
      <c r="F307" t="inlineStr">
        <is>
          <t>Allmännings- och besparingsskogar</t>
        </is>
      </c>
      <c r="G307" t="n">
        <v>8.9</v>
      </c>
      <c r="H307" t="n">
        <v>0</v>
      </c>
      <c r="I307" t="n">
        <v>0</v>
      </c>
      <c r="J307" t="n">
        <v>0</v>
      </c>
      <c r="K307" t="n">
        <v>0</v>
      </c>
      <c r="L307" t="n">
        <v>0</v>
      </c>
      <c r="M307" t="n">
        <v>0</v>
      </c>
      <c r="N307" t="n">
        <v>0</v>
      </c>
      <c r="O307" t="n">
        <v>0</v>
      </c>
      <c r="P307" t="n">
        <v>0</v>
      </c>
      <c r="Q307" t="n">
        <v>0</v>
      </c>
      <c r="R307" s="2" t="inlineStr"/>
    </row>
    <row r="308" ht="15" customHeight="1">
      <c r="A308" t="inlineStr">
        <is>
          <t>A 46426-2025</t>
        </is>
      </c>
      <c r="B308" s="1" t="n">
        <v>45925.6012962963</v>
      </c>
      <c r="C308" s="1" t="n">
        <v>45965</v>
      </c>
      <c r="D308" t="inlineStr">
        <is>
          <t>ÖSTERGÖTLANDS LÄN</t>
        </is>
      </c>
      <c r="E308" t="inlineStr">
        <is>
          <t>LINKÖPING</t>
        </is>
      </c>
      <c r="G308" t="n">
        <v>4.4</v>
      </c>
      <c r="H308" t="n">
        <v>0</v>
      </c>
      <c r="I308" t="n">
        <v>0</v>
      </c>
      <c r="J308" t="n">
        <v>0</v>
      </c>
      <c r="K308" t="n">
        <v>0</v>
      </c>
      <c r="L308" t="n">
        <v>0</v>
      </c>
      <c r="M308" t="n">
        <v>0</v>
      </c>
      <c r="N308" t="n">
        <v>0</v>
      </c>
      <c r="O308" t="n">
        <v>0</v>
      </c>
      <c r="P308" t="n">
        <v>0</v>
      </c>
      <c r="Q308" t="n">
        <v>0</v>
      </c>
      <c r="R308" s="2" t="inlineStr"/>
    </row>
    <row r="309" ht="15" customHeight="1">
      <c r="A309" t="inlineStr">
        <is>
          <t>A 62686-2023</t>
        </is>
      </c>
      <c r="B309" s="1" t="n">
        <v>45271</v>
      </c>
      <c r="C309" s="1" t="n">
        <v>45965</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38231-2022</t>
        </is>
      </c>
      <c r="B310" s="1" t="n">
        <v>44812</v>
      </c>
      <c r="C310" s="1" t="n">
        <v>45965</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50799-2022</t>
        </is>
      </c>
      <c r="B311" s="1" t="n">
        <v>44862</v>
      </c>
      <c r="C311" s="1" t="n">
        <v>45965</v>
      </c>
      <c r="D311" t="inlineStr">
        <is>
          <t>ÖSTERGÖTLANDS LÄN</t>
        </is>
      </c>
      <c r="E311" t="inlineStr">
        <is>
          <t>LINKÖPING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15658-2023</t>
        </is>
      </c>
      <c r="B312" s="1" t="n">
        <v>45021.41194444444</v>
      </c>
      <c r="C312" s="1" t="n">
        <v>45965</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45965</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63489-2023</t>
        </is>
      </c>
      <c r="B314" s="1" t="n">
        <v>45274.66761574074</v>
      </c>
      <c r="C314" s="1" t="n">
        <v>45965</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40431-2024</t>
        </is>
      </c>
      <c r="B315" s="1" t="n">
        <v>45555.47070601852</v>
      </c>
      <c r="C315" s="1" t="n">
        <v>45965</v>
      </c>
      <c r="D315" t="inlineStr">
        <is>
          <t>ÖSTERGÖTLANDS LÄN</t>
        </is>
      </c>
      <c r="E315" t="inlineStr">
        <is>
          <t>LINKÖPING</t>
        </is>
      </c>
      <c r="F315" t="inlineStr">
        <is>
          <t>Allmännings- och besparingsskogar</t>
        </is>
      </c>
      <c r="G315" t="n">
        <v>2.9</v>
      </c>
      <c r="H315" t="n">
        <v>0</v>
      </c>
      <c r="I315" t="n">
        <v>0</v>
      </c>
      <c r="J315" t="n">
        <v>0</v>
      </c>
      <c r="K315" t="n">
        <v>0</v>
      </c>
      <c r="L315" t="n">
        <v>0</v>
      </c>
      <c r="M315" t="n">
        <v>0</v>
      </c>
      <c r="N315" t="n">
        <v>0</v>
      </c>
      <c r="O315" t="n">
        <v>0</v>
      </c>
      <c r="P315" t="n">
        <v>0</v>
      </c>
      <c r="Q315" t="n">
        <v>0</v>
      </c>
      <c r="R315" s="2" t="inlineStr"/>
    </row>
    <row r="316" ht="15" customHeight="1">
      <c r="A316" t="inlineStr">
        <is>
          <t>A 267-2023</t>
        </is>
      </c>
      <c r="B316" s="1" t="n">
        <v>44928.80907407407</v>
      </c>
      <c r="C316" s="1" t="n">
        <v>45965</v>
      </c>
      <c r="D316" t="inlineStr">
        <is>
          <t>ÖSTERGÖTLANDS LÄN</t>
        </is>
      </c>
      <c r="E316" t="inlineStr">
        <is>
          <t>LINKÖPING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26618-2023</t>
        </is>
      </c>
      <c r="B317" s="1" t="n">
        <v>45092.70306712963</v>
      </c>
      <c r="C317" s="1" t="n">
        <v>45965</v>
      </c>
      <c r="D317" t="inlineStr">
        <is>
          <t>ÖSTERGÖTLANDS LÄN</t>
        </is>
      </c>
      <c r="E317" t="inlineStr">
        <is>
          <t>LINKÖPING</t>
        </is>
      </c>
      <c r="G317" t="n">
        <v>6.9</v>
      </c>
      <c r="H317" t="n">
        <v>0</v>
      </c>
      <c r="I317" t="n">
        <v>0</v>
      </c>
      <c r="J317" t="n">
        <v>0</v>
      </c>
      <c r="K317" t="n">
        <v>0</v>
      </c>
      <c r="L317" t="n">
        <v>0</v>
      </c>
      <c r="M317" t="n">
        <v>0</v>
      </c>
      <c r="N317" t="n">
        <v>0</v>
      </c>
      <c r="O317" t="n">
        <v>0</v>
      </c>
      <c r="P317" t="n">
        <v>0</v>
      </c>
      <c r="Q317" t="n">
        <v>0</v>
      </c>
      <c r="R317" s="2" t="inlineStr"/>
    </row>
    <row r="318" ht="15" customHeight="1">
      <c r="A318" t="inlineStr">
        <is>
          <t>A 30433-2024</t>
        </is>
      </c>
      <c r="B318" s="1" t="n">
        <v>45491.69741898148</v>
      </c>
      <c r="C318" s="1" t="n">
        <v>45965</v>
      </c>
      <c r="D318" t="inlineStr">
        <is>
          <t>ÖSTERGÖTLANDS LÄN</t>
        </is>
      </c>
      <c r="E318" t="inlineStr">
        <is>
          <t>LINKÖPING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70-2024</t>
        </is>
      </c>
      <c r="B319" s="1" t="n">
        <v>45293</v>
      </c>
      <c r="C319" s="1" t="n">
        <v>45965</v>
      </c>
      <c r="D319" t="inlineStr">
        <is>
          <t>ÖSTERGÖTLANDS LÄN</t>
        </is>
      </c>
      <c r="E319" t="inlineStr">
        <is>
          <t>LINKÖPING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63665-2023</t>
        </is>
      </c>
      <c r="B320" s="1" t="n">
        <v>45275</v>
      </c>
      <c r="C320" s="1" t="n">
        <v>45965</v>
      </c>
      <c r="D320" t="inlineStr">
        <is>
          <t>ÖSTERGÖTLANDS LÄN</t>
        </is>
      </c>
      <c r="E320" t="inlineStr">
        <is>
          <t>LINKÖPING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52220-2023</t>
        </is>
      </c>
      <c r="B321" s="1" t="n">
        <v>45217</v>
      </c>
      <c r="C321" s="1" t="n">
        <v>45965</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52225-2023</t>
        </is>
      </c>
      <c r="B322" s="1" t="n">
        <v>45217</v>
      </c>
      <c r="C322" s="1" t="n">
        <v>45965</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6782-2024</t>
        </is>
      </c>
      <c r="B323" s="1" t="n">
        <v>45342</v>
      </c>
      <c r="C323" s="1" t="n">
        <v>45965</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617-2024</t>
        </is>
      </c>
      <c r="B324" s="1" t="n">
        <v>45299.66028935185</v>
      </c>
      <c r="C324" s="1" t="n">
        <v>45965</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46428-2025</t>
        </is>
      </c>
      <c r="B325" s="1" t="n">
        <v>45925.60758101852</v>
      </c>
      <c r="C325" s="1" t="n">
        <v>45965</v>
      </c>
      <c r="D325" t="inlineStr">
        <is>
          <t>ÖSTERGÖTLANDS LÄN</t>
        </is>
      </c>
      <c r="E325" t="inlineStr">
        <is>
          <t>LINKÖPING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19464-2024</t>
        </is>
      </c>
      <c r="B326" s="1" t="n">
        <v>45429</v>
      </c>
      <c r="C326" s="1" t="n">
        <v>45965</v>
      </c>
      <c r="D326" t="inlineStr">
        <is>
          <t>ÖSTERGÖTLANDS LÄN</t>
        </is>
      </c>
      <c r="E326" t="inlineStr">
        <is>
          <t>LINKÖPING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42044-2023</t>
        </is>
      </c>
      <c r="B327" s="1" t="n">
        <v>45177</v>
      </c>
      <c r="C327" s="1" t="n">
        <v>45965</v>
      </c>
      <c r="D327" t="inlineStr">
        <is>
          <t>ÖSTERGÖTLANDS LÄN</t>
        </is>
      </c>
      <c r="E327" t="inlineStr">
        <is>
          <t>LINKÖPING</t>
        </is>
      </c>
      <c r="G327" t="n">
        <v>3.9</v>
      </c>
      <c r="H327" t="n">
        <v>0</v>
      </c>
      <c r="I327" t="n">
        <v>0</v>
      </c>
      <c r="J327" t="n">
        <v>0</v>
      </c>
      <c r="K327" t="n">
        <v>0</v>
      </c>
      <c r="L327" t="n">
        <v>0</v>
      </c>
      <c r="M327" t="n">
        <v>0</v>
      </c>
      <c r="N327" t="n">
        <v>0</v>
      </c>
      <c r="O327" t="n">
        <v>0</v>
      </c>
      <c r="P327" t="n">
        <v>0</v>
      </c>
      <c r="Q327" t="n">
        <v>0</v>
      </c>
      <c r="R327" s="2" t="inlineStr"/>
    </row>
    <row r="328" ht="15" customHeight="1">
      <c r="A328" t="inlineStr">
        <is>
          <t>A 670-2024</t>
        </is>
      </c>
      <c r="B328" s="1" t="n">
        <v>45300.3408912037</v>
      </c>
      <c r="C328" s="1" t="n">
        <v>45965</v>
      </c>
      <c r="D328" t="inlineStr">
        <is>
          <t>ÖSTERGÖTLANDS LÄN</t>
        </is>
      </c>
      <c r="E328" t="inlineStr">
        <is>
          <t>LINKÖPING</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52125-2022</t>
        </is>
      </c>
      <c r="B329" s="1" t="n">
        <v>44873</v>
      </c>
      <c r="C329" s="1" t="n">
        <v>45965</v>
      </c>
      <c r="D329" t="inlineStr">
        <is>
          <t>ÖSTERGÖTLANDS LÄN</t>
        </is>
      </c>
      <c r="E329" t="inlineStr">
        <is>
          <t>LINKÖPING</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67123-2020</t>
        </is>
      </c>
      <c r="B330" s="1" t="n">
        <v>44180</v>
      </c>
      <c r="C330" s="1" t="n">
        <v>45965</v>
      </c>
      <c r="D330" t="inlineStr">
        <is>
          <t>ÖSTERGÖTLANDS LÄN</t>
        </is>
      </c>
      <c r="E330" t="inlineStr">
        <is>
          <t>LINKÖPING</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630-2024</t>
        </is>
      </c>
      <c r="B331" s="1" t="n">
        <v>45299.67736111111</v>
      </c>
      <c r="C331" s="1" t="n">
        <v>45965</v>
      </c>
      <c r="D331" t="inlineStr">
        <is>
          <t>ÖSTERGÖTLANDS LÄN</t>
        </is>
      </c>
      <c r="E331" t="inlineStr">
        <is>
          <t>LINKÖPING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1084-2023</t>
        </is>
      </c>
      <c r="B332" s="1" t="n">
        <v>44929</v>
      </c>
      <c r="C332" s="1" t="n">
        <v>45965</v>
      </c>
      <c r="D332" t="inlineStr">
        <is>
          <t>ÖSTERGÖTLANDS LÄN</t>
        </is>
      </c>
      <c r="E332" t="inlineStr">
        <is>
          <t>LINKÖPING</t>
        </is>
      </c>
      <c r="G332" t="n">
        <v>10.4</v>
      </c>
      <c r="H332" t="n">
        <v>0</v>
      </c>
      <c r="I332" t="n">
        <v>0</v>
      </c>
      <c r="J332" t="n">
        <v>0</v>
      </c>
      <c r="K332" t="n">
        <v>0</v>
      </c>
      <c r="L332" t="n">
        <v>0</v>
      </c>
      <c r="M332" t="n">
        <v>0</v>
      </c>
      <c r="N332" t="n">
        <v>0</v>
      </c>
      <c r="O332" t="n">
        <v>0</v>
      </c>
      <c r="P332" t="n">
        <v>0</v>
      </c>
      <c r="Q332" t="n">
        <v>0</v>
      </c>
      <c r="R332" s="2" t="inlineStr"/>
    </row>
    <row r="333" ht="15" customHeight="1">
      <c r="A333" t="inlineStr">
        <is>
          <t>A 30429-2024</t>
        </is>
      </c>
      <c r="B333" s="1" t="n">
        <v>45491.68972222223</v>
      </c>
      <c r="C333" s="1" t="n">
        <v>45965</v>
      </c>
      <c r="D333" t="inlineStr">
        <is>
          <t>ÖSTERGÖTLANDS LÄN</t>
        </is>
      </c>
      <c r="E333" t="inlineStr">
        <is>
          <t>LINKÖPING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3008-2023</t>
        </is>
      </c>
      <c r="B334" s="1" t="n">
        <v>44945.79784722222</v>
      </c>
      <c r="C334" s="1" t="n">
        <v>45965</v>
      </c>
      <c r="D334" t="inlineStr">
        <is>
          <t>ÖSTERGÖTLANDS LÄN</t>
        </is>
      </c>
      <c r="E334" t="inlineStr">
        <is>
          <t>LINKÖPING</t>
        </is>
      </c>
      <c r="G334" t="n">
        <v>19.3</v>
      </c>
      <c r="H334" t="n">
        <v>0</v>
      </c>
      <c r="I334" t="n">
        <v>0</v>
      </c>
      <c r="J334" t="n">
        <v>0</v>
      </c>
      <c r="K334" t="n">
        <v>0</v>
      </c>
      <c r="L334" t="n">
        <v>0</v>
      </c>
      <c r="M334" t="n">
        <v>0</v>
      </c>
      <c r="N334" t="n">
        <v>0</v>
      </c>
      <c r="O334" t="n">
        <v>0</v>
      </c>
      <c r="P334" t="n">
        <v>0</v>
      </c>
      <c r="Q334" t="n">
        <v>0</v>
      </c>
      <c r="R334" s="2" t="inlineStr"/>
    </row>
    <row r="335" ht="15" customHeight="1">
      <c r="A335" t="inlineStr">
        <is>
          <t>A 30435-2024</t>
        </is>
      </c>
      <c r="B335" s="1" t="n">
        <v>45491.69962962963</v>
      </c>
      <c r="C335" s="1" t="n">
        <v>45965</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29859-2024</t>
        </is>
      </c>
      <c r="B336" s="1" t="n">
        <v>45485.6846412037</v>
      </c>
      <c r="C336" s="1" t="n">
        <v>45965</v>
      </c>
      <c r="D336" t="inlineStr">
        <is>
          <t>ÖSTERGÖTLANDS LÄN</t>
        </is>
      </c>
      <c r="E336" t="inlineStr">
        <is>
          <t>LINKÖPING</t>
        </is>
      </c>
      <c r="G336" t="n">
        <v>0.4</v>
      </c>
      <c r="H336" t="n">
        <v>0</v>
      </c>
      <c r="I336" t="n">
        <v>0</v>
      </c>
      <c r="J336" t="n">
        <v>0</v>
      </c>
      <c r="K336" t="n">
        <v>0</v>
      </c>
      <c r="L336" t="n">
        <v>0</v>
      </c>
      <c r="M336" t="n">
        <v>0</v>
      </c>
      <c r="N336" t="n">
        <v>0</v>
      </c>
      <c r="O336" t="n">
        <v>0</v>
      </c>
      <c r="P336" t="n">
        <v>0</v>
      </c>
      <c r="Q336" t="n">
        <v>0</v>
      </c>
      <c r="R336" s="2" t="inlineStr"/>
    </row>
    <row r="337" ht="15" customHeight="1">
      <c r="A337" t="inlineStr">
        <is>
          <t>A 51571-2024</t>
        </is>
      </c>
      <c r="B337" s="1" t="n">
        <v>45604</v>
      </c>
      <c r="C337" s="1" t="n">
        <v>45965</v>
      </c>
      <c r="D337" t="inlineStr">
        <is>
          <t>ÖSTERGÖTLANDS LÄN</t>
        </is>
      </c>
      <c r="E337" t="inlineStr">
        <is>
          <t>LINKÖPING</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223-2024</t>
        </is>
      </c>
      <c r="B338" s="1" t="n">
        <v>45294.72739583333</v>
      </c>
      <c r="C338" s="1" t="n">
        <v>45965</v>
      </c>
      <c r="D338" t="inlineStr">
        <is>
          <t>ÖSTERGÖTLANDS LÄN</t>
        </is>
      </c>
      <c r="E338" t="inlineStr">
        <is>
          <t>LINKÖPING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227-2024</t>
        </is>
      </c>
      <c r="B339" s="1" t="n">
        <v>45294.73603009259</v>
      </c>
      <c r="C339" s="1" t="n">
        <v>45965</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55345-2021</t>
        </is>
      </c>
      <c r="B340" s="1" t="n">
        <v>44475</v>
      </c>
      <c r="C340" s="1" t="n">
        <v>45965</v>
      </c>
      <c r="D340" t="inlineStr">
        <is>
          <t>ÖSTERGÖTLANDS LÄN</t>
        </is>
      </c>
      <c r="E340" t="inlineStr">
        <is>
          <t>LINKÖPING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53816-2023</t>
        </is>
      </c>
      <c r="B341" s="1" t="n">
        <v>45231.40012731482</v>
      </c>
      <c r="C341" s="1" t="n">
        <v>45965</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36557-2023</t>
        </is>
      </c>
      <c r="B342" s="1" t="n">
        <v>45153</v>
      </c>
      <c r="C342" s="1" t="n">
        <v>45965</v>
      </c>
      <c r="D342" t="inlineStr">
        <is>
          <t>ÖSTERGÖTLANDS LÄN</t>
        </is>
      </c>
      <c r="E342" t="inlineStr">
        <is>
          <t>LINKÖPING</t>
        </is>
      </c>
      <c r="F342" t="inlineStr">
        <is>
          <t>Övriga Aktiebolag</t>
        </is>
      </c>
      <c r="G342" t="n">
        <v>3.1</v>
      </c>
      <c r="H342" t="n">
        <v>0</v>
      </c>
      <c r="I342" t="n">
        <v>0</v>
      </c>
      <c r="J342" t="n">
        <v>0</v>
      </c>
      <c r="K342" t="n">
        <v>0</v>
      </c>
      <c r="L342" t="n">
        <v>0</v>
      </c>
      <c r="M342" t="n">
        <v>0</v>
      </c>
      <c r="N342" t="n">
        <v>0</v>
      </c>
      <c r="O342" t="n">
        <v>0</v>
      </c>
      <c r="P342" t="n">
        <v>0</v>
      </c>
      <c r="Q342" t="n">
        <v>0</v>
      </c>
      <c r="R342" s="2" t="inlineStr"/>
    </row>
    <row r="343" ht="15" customHeight="1">
      <c r="A343" t="inlineStr">
        <is>
          <t>A 6599-2023</t>
        </is>
      </c>
      <c r="B343" s="1" t="n">
        <v>44966.52603009259</v>
      </c>
      <c r="C343" s="1" t="n">
        <v>45965</v>
      </c>
      <c r="D343" t="inlineStr">
        <is>
          <t>ÖSTERGÖTLANDS LÄN</t>
        </is>
      </c>
      <c r="E343" t="inlineStr">
        <is>
          <t>LINKÖPING</t>
        </is>
      </c>
      <c r="G343" t="n">
        <v>1.9</v>
      </c>
      <c r="H343" t="n">
        <v>0</v>
      </c>
      <c r="I343" t="n">
        <v>0</v>
      </c>
      <c r="J343" t="n">
        <v>0</v>
      </c>
      <c r="K343" t="n">
        <v>0</v>
      </c>
      <c r="L343" t="n">
        <v>0</v>
      </c>
      <c r="M343" t="n">
        <v>0</v>
      </c>
      <c r="N343" t="n">
        <v>0</v>
      </c>
      <c r="O343" t="n">
        <v>0</v>
      </c>
      <c r="P343" t="n">
        <v>0</v>
      </c>
      <c r="Q343" t="n">
        <v>0</v>
      </c>
      <c r="R343" s="2" t="inlineStr"/>
    </row>
    <row r="344" ht="15" customHeight="1">
      <c r="A344" t="inlineStr">
        <is>
          <t>A 21782-2024</t>
        </is>
      </c>
      <c r="B344" s="1" t="n">
        <v>45442.63368055555</v>
      </c>
      <c r="C344" s="1" t="n">
        <v>45965</v>
      </c>
      <c r="D344" t="inlineStr">
        <is>
          <t>ÖSTERGÖTLANDS LÄN</t>
        </is>
      </c>
      <c r="E344" t="inlineStr">
        <is>
          <t>LINKÖPING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43473-2024</t>
        </is>
      </c>
      <c r="B345" s="1" t="n">
        <v>45568</v>
      </c>
      <c r="C345" s="1" t="n">
        <v>45965</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56917-2022</t>
        </is>
      </c>
      <c r="B346" s="1" t="n">
        <v>44894</v>
      </c>
      <c r="C346" s="1" t="n">
        <v>45965</v>
      </c>
      <c r="D346" t="inlineStr">
        <is>
          <t>ÖSTERGÖTLANDS LÄN</t>
        </is>
      </c>
      <c r="E346" t="inlineStr">
        <is>
          <t>LINKÖPING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1265-2023</t>
        </is>
      </c>
      <c r="B347" s="1" t="n">
        <v>44936</v>
      </c>
      <c r="C347" s="1" t="n">
        <v>45965</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1362-2023</t>
        </is>
      </c>
      <c r="B348" s="1" t="n">
        <v>44931</v>
      </c>
      <c r="C348" s="1" t="n">
        <v>45965</v>
      </c>
      <c r="D348" t="inlineStr">
        <is>
          <t>ÖSTERGÖTLANDS LÄN</t>
        </is>
      </c>
      <c r="E348" t="inlineStr">
        <is>
          <t>LINKÖPING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57766-2023</t>
        </is>
      </c>
      <c r="B349" s="1" t="n">
        <v>45246</v>
      </c>
      <c r="C349" s="1" t="n">
        <v>45965</v>
      </c>
      <c r="D349" t="inlineStr">
        <is>
          <t>ÖSTERGÖTLANDS LÄN</t>
        </is>
      </c>
      <c r="E349" t="inlineStr">
        <is>
          <t>LINKÖPING</t>
        </is>
      </c>
      <c r="F349" t="inlineStr">
        <is>
          <t>Allmännings- och besparingsskogar</t>
        </is>
      </c>
      <c r="G349" t="n">
        <v>12.8</v>
      </c>
      <c r="H349" t="n">
        <v>0</v>
      </c>
      <c r="I349" t="n">
        <v>0</v>
      </c>
      <c r="J349" t="n">
        <v>0</v>
      </c>
      <c r="K349" t="n">
        <v>0</v>
      </c>
      <c r="L349" t="n">
        <v>0</v>
      </c>
      <c r="M349" t="n">
        <v>0</v>
      </c>
      <c r="N349" t="n">
        <v>0</v>
      </c>
      <c r="O349" t="n">
        <v>0</v>
      </c>
      <c r="P349" t="n">
        <v>0</v>
      </c>
      <c r="Q349" t="n">
        <v>0</v>
      </c>
      <c r="R349" s="2" t="inlineStr"/>
    </row>
    <row r="350" ht="15" customHeight="1">
      <c r="A350" t="inlineStr">
        <is>
          <t>A 54034-2022</t>
        </is>
      </c>
      <c r="B350" s="1" t="n">
        <v>44881</v>
      </c>
      <c r="C350" s="1" t="n">
        <v>45965</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55493-2021</t>
        </is>
      </c>
      <c r="B351" s="1" t="n">
        <v>44475.61988425926</v>
      </c>
      <c r="C351" s="1" t="n">
        <v>45965</v>
      </c>
      <c r="D351" t="inlineStr">
        <is>
          <t>ÖSTERGÖTLANDS LÄN</t>
        </is>
      </c>
      <c r="E351" t="inlineStr">
        <is>
          <t>LINKÖPING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61532-2021</t>
        </is>
      </c>
      <c r="B352" s="1" t="n">
        <v>44501</v>
      </c>
      <c r="C352" s="1" t="n">
        <v>45965</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6054-2022</t>
        </is>
      </c>
      <c r="B353" s="1" t="n">
        <v>44599.53623842593</v>
      </c>
      <c r="C353" s="1" t="n">
        <v>45965</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3374-2023</t>
        </is>
      </c>
      <c r="B354" s="1" t="n">
        <v>44949</v>
      </c>
      <c r="C354" s="1" t="n">
        <v>45965</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224-2024</t>
        </is>
      </c>
      <c r="B355" s="1" t="n">
        <v>45294</v>
      </c>
      <c r="C355" s="1" t="n">
        <v>45965</v>
      </c>
      <c r="D355" t="inlineStr">
        <is>
          <t>ÖSTERGÖTLANDS LÄN</t>
        </is>
      </c>
      <c r="E355" t="inlineStr">
        <is>
          <t>LINKÖPING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6726-2024</t>
        </is>
      </c>
      <c r="B356" s="1" t="n">
        <v>45341</v>
      </c>
      <c r="C356" s="1" t="n">
        <v>45965</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25119-2023</t>
        </is>
      </c>
      <c r="B357" s="1" t="n">
        <v>45086.42326388889</v>
      </c>
      <c r="C357" s="1" t="n">
        <v>45965</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27186-2021</t>
        </is>
      </c>
      <c r="B358" s="1" t="n">
        <v>44350.67715277777</v>
      </c>
      <c r="C358" s="1" t="n">
        <v>45965</v>
      </c>
      <c r="D358" t="inlineStr">
        <is>
          <t>ÖSTERGÖTLANDS LÄN</t>
        </is>
      </c>
      <c r="E358" t="inlineStr">
        <is>
          <t>LINKÖPING</t>
        </is>
      </c>
      <c r="F358" t="inlineStr">
        <is>
          <t>Allmännings- och besparingsskogar</t>
        </is>
      </c>
      <c r="G358" t="n">
        <v>1.4</v>
      </c>
      <c r="H358" t="n">
        <v>0</v>
      </c>
      <c r="I358" t="n">
        <v>0</v>
      </c>
      <c r="J358" t="n">
        <v>0</v>
      </c>
      <c r="K358" t="n">
        <v>0</v>
      </c>
      <c r="L358" t="n">
        <v>0</v>
      </c>
      <c r="M358" t="n">
        <v>0</v>
      </c>
      <c r="N358" t="n">
        <v>0</v>
      </c>
      <c r="O358" t="n">
        <v>0</v>
      </c>
      <c r="P358" t="n">
        <v>0</v>
      </c>
      <c r="Q358" t="n">
        <v>0</v>
      </c>
      <c r="R358" s="2" t="inlineStr"/>
    </row>
    <row r="359" ht="15" customHeight="1">
      <c r="A359" t="inlineStr">
        <is>
          <t>A 10194-2023</t>
        </is>
      </c>
      <c r="B359" s="1" t="n">
        <v>44986.52277777778</v>
      </c>
      <c r="C359" s="1" t="n">
        <v>45965</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55944-2024</t>
        </is>
      </c>
      <c r="B360" s="1" t="n">
        <v>45623.61640046296</v>
      </c>
      <c r="C360" s="1" t="n">
        <v>45965</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55947-2024</t>
        </is>
      </c>
      <c r="B361" s="1" t="n">
        <v>45623</v>
      </c>
      <c r="C361" s="1" t="n">
        <v>45965</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47703-2023</t>
        </is>
      </c>
      <c r="B362" s="1" t="n">
        <v>45203</v>
      </c>
      <c r="C362" s="1" t="n">
        <v>45965</v>
      </c>
      <c r="D362" t="inlineStr">
        <is>
          <t>ÖSTERGÖTLANDS LÄN</t>
        </is>
      </c>
      <c r="E362" t="inlineStr">
        <is>
          <t>LINKÖPING</t>
        </is>
      </c>
      <c r="G362" t="n">
        <v>4.1</v>
      </c>
      <c r="H362" t="n">
        <v>0</v>
      </c>
      <c r="I362" t="n">
        <v>0</v>
      </c>
      <c r="J362" t="n">
        <v>0</v>
      </c>
      <c r="K362" t="n">
        <v>0</v>
      </c>
      <c r="L362" t="n">
        <v>0</v>
      </c>
      <c r="M362" t="n">
        <v>0</v>
      </c>
      <c r="N362" t="n">
        <v>0</v>
      </c>
      <c r="O362" t="n">
        <v>0</v>
      </c>
      <c r="P362" t="n">
        <v>0</v>
      </c>
      <c r="Q362" t="n">
        <v>0</v>
      </c>
      <c r="R362" s="2" t="inlineStr"/>
    </row>
    <row r="363" ht="15" customHeight="1">
      <c r="A363" t="inlineStr">
        <is>
          <t>A 4456-2024</t>
        </is>
      </c>
      <c r="B363" s="1" t="n">
        <v>45327.52847222222</v>
      </c>
      <c r="C363" s="1" t="n">
        <v>45965</v>
      </c>
      <c r="D363" t="inlineStr">
        <is>
          <t>ÖSTERGÖTLANDS LÄN</t>
        </is>
      </c>
      <c r="E363" t="inlineStr">
        <is>
          <t>LINKÖPING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51559-2024</t>
        </is>
      </c>
      <c r="B364" s="1" t="n">
        <v>45604.61431712963</v>
      </c>
      <c r="C364" s="1" t="n">
        <v>45965</v>
      </c>
      <c r="D364" t="inlineStr">
        <is>
          <t>ÖSTERGÖTLANDS LÄN</t>
        </is>
      </c>
      <c r="E364" t="inlineStr">
        <is>
          <t>LINKÖPING</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58114-2021</t>
        </is>
      </c>
      <c r="B365" s="1" t="n">
        <v>44487</v>
      </c>
      <c r="C365" s="1" t="n">
        <v>45965</v>
      </c>
      <c r="D365" t="inlineStr">
        <is>
          <t>ÖSTERGÖTLANDS LÄN</t>
        </is>
      </c>
      <c r="E365" t="inlineStr">
        <is>
          <t>LINKÖPING</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62353-2022</t>
        </is>
      </c>
      <c r="B366" s="1" t="n">
        <v>44923</v>
      </c>
      <c r="C366" s="1" t="n">
        <v>45965</v>
      </c>
      <c r="D366" t="inlineStr">
        <is>
          <t>ÖSTERGÖTLANDS LÄN</t>
        </is>
      </c>
      <c r="E366" t="inlineStr">
        <is>
          <t>LINKÖPING</t>
        </is>
      </c>
      <c r="F366" t="inlineStr">
        <is>
          <t>Allmännings- och besparingsskogar</t>
        </is>
      </c>
      <c r="G366" t="n">
        <v>1.7</v>
      </c>
      <c r="H366" t="n">
        <v>0</v>
      </c>
      <c r="I366" t="n">
        <v>0</v>
      </c>
      <c r="J366" t="n">
        <v>0</v>
      </c>
      <c r="K366" t="n">
        <v>0</v>
      </c>
      <c r="L366" t="n">
        <v>0</v>
      </c>
      <c r="M366" t="n">
        <v>0</v>
      </c>
      <c r="N366" t="n">
        <v>0</v>
      </c>
      <c r="O366" t="n">
        <v>0</v>
      </c>
      <c r="P366" t="n">
        <v>0</v>
      </c>
      <c r="Q366" t="n">
        <v>0</v>
      </c>
      <c r="R366" s="2" t="inlineStr"/>
    </row>
    <row r="367" ht="15" customHeight="1">
      <c r="A367" t="inlineStr">
        <is>
          <t>A 15754-2025</t>
        </is>
      </c>
      <c r="B367" s="1" t="n">
        <v>45748.56105324074</v>
      </c>
      <c r="C367" s="1" t="n">
        <v>45965</v>
      </c>
      <c r="D367" t="inlineStr">
        <is>
          <t>ÖSTERGÖTLANDS LÄN</t>
        </is>
      </c>
      <c r="E367" t="inlineStr">
        <is>
          <t>LINKÖPING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53814-2023</t>
        </is>
      </c>
      <c r="B368" s="1" t="n">
        <v>45231</v>
      </c>
      <c r="C368" s="1" t="n">
        <v>45965</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4298-2023</t>
        </is>
      </c>
      <c r="B369" s="1" t="n">
        <v>44953</v>
      </c>
      <c r="C369" s="1" t="n">
        <v>45965</v>
      </c>
      <c r="D369" t="inlineStr">
        <is>
          <t>ÖSTERGÖTLANDS LÄN</t>
        </is>
      </c>
      <c r="E369" t="inlineStr">
        <is>
          <t>LINKÖPING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61281-2021</t>
        </is>
      </c>
      <c r="B370" s="1" t="n">
        <v>44498.60736111111</v>
      </c>
      <c r="C370" s="1" t="n">
        <v>45965</v>
      </c>
      <c r="D370" t="inlineStr">
        <is>
          <t>ÖSTERGÖTLANDS LÄN</t>
        </is>
      </c>
      <c r="E370" t="inlineStr">
        <is>
          <t>LINKÖPING</t>
        </is>
      </c>
      <c r="G370" t="n">
        <v>4.5</v>
      </c>
      <c r="H370" t="n">
        <v>0</v>
      </c>
      <c r="I370" t="n">
        <v>0</v>
      </c>
      <c r="J370" t="n">
        <v>0</v>
      </c>
      <c r="K370" t="n">
        <v>0</v>
      </c>
      <c r="L370" t="n">
        <v>0</v>
      </c>
      <c r="M370" t="n">
        <v>0</v>
      </c>
      <c r="N370" t="n">
        <v>0</v>
      </c>
      <c r="O370" t="n">
        <v>0</v>
      </c>
      <c r="P370" t="n">
        <v>0</v>
      </c>
      <c r="Q370" t="n">
        <v>0</v>
      </c>
      <c r="R370" s="2" t="inlineStr"/>
    </row>
    <row r="371" ht="15" customHeight="1">
      <c r="A371" t="inlineStr">
        <is>
          <t>A 52892-2024</t>
        </is>
      </c>
      <c r="B371" s="1" t="n">
        <v>45610</v>
      </c>
      <c r="C371" s="1" t="n">
        <v>45965</v>
      </c>
      <c r="D371" t="inlineStr">
        <is>
          <t>ÖSTERGÖTLANDS LÄN</t>
        </is>
      </c>
      <c r="E371" t="inlineStr">
        <is>
          <t>LINKÖPING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18145-2021</t>
        </is>
      </c>
      <c r="B372" s="1" t="n">
        <v>44302</v>
      </c>
      <c r="C372" s="1" t="n">
        <v>45965</v>
      </c>
      <c r="D372" t="inlineStr">
        <is>
          <t>ÖSTERGÖTLANDS LÄN</t>
        </is>
      </c>
      <c r="E372" t="inlineStr">
        <is>
          <t>LINKÖPING</t>
        </is>
      </c>
      <c r="G372" t="n">
        <v>2.4</v>
      </c>
      <c r="H372" t="n">
        <v>0</v>
      </c>
      <c r="I372" t="n">
        <v>0</v>
      </c>
      <c r="J372" t="n">
        <v>0</v>
      </c>
      <c r="K372" t="n">
        <v>0</v>
      </c>
      <c r="L372" t="n">
        <v>0</v>
      </c>
      <c r="M372" t="n">
        <v>0</v>
      </c>
      <c r="N372" t="n">
        <v>0</v>
      </c>
      <c r="O372" t="n">
        <v>0</v>
      </c>
      <c r="P372" t="n">
        <v>0</v>
      </c>
      <c r="Q372" t="n">
        <v>0</v>
      </c>
      <c r="R372" s="2" t="inlineStr"/>
    </row>
    <row r="373" ht="15" customHeight="1">
      <c r="A373" t="inlineStr">
        <is>
          <t>A 63935-2021</t>
        </is>
      </c>
      <c r="B373" s="1" t="n">
        <v>44509</v>
      </c>
      <c r="C373" s="1" t="n">
        <v>45965</v>
      </c>
      <c r="D373" t="inlineStr">
        <is>
          <t>ÖSTERGÖTLANDS LÄN</t>
        </is>
      </c>
      <c r="E373" t="inlineStr">
        <is>
          <t>LINKÖPING</t>
        </is>
      </c>
      <c r="F373" t="inlineStr">
        <is>
          <t>Övriga statliga verk och myndigheter</t>
        </is>
      </c>
      <c r="G373" t="n">
        <v>2.8</v>
      </c>
      <c r="H373" t="n">
        <v>0</v>
      </c>
      <c r="I373" t="n">
        <v>0</v>
      </c>
      <c r="J373" t="n">
        <v>0</v>
      </c>
      <c r="K373" t="n">
        <v>0</v>
      </c>
      <c r="L373" t="n">
        <v>0</v>
      </c>
      <c r="M373" t="n">
        <v>0</v>
      </c>
      <c r="N373" t="n">
        <v>0</v>
      </c>
      <c r="O373" t="n">
        <v>0</v>
      </c>
      <c r="P373" t="n">
        <v>0</v>
      </c>
      <c r="Q373" t="n">
        <v>0</v>
      </c>
      <c r="R373" s="2" t="inlineStr"/>
    </row>
    <row r="374" ht="15" customHeight="1">
      <c r="A374" t="inlineStr">
        <is>
          <t>A 25568-2024</t>
        </is>
      </c>
      <c r="B374" s="1" t="n">
        <v>45463.58699074074</v>
      </c>
      <c r="C374" s="1" t="n">
        <v>45965</v>
      </c>
      <c r="D374" t="inlineStr">
        <is>
          <t>ÖSTERGÖTLANDS LÄN</t>
        </is>
      </c>
      <c r="E374" t="inlineStr">
        <is>
          <t>LINKÖPING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38136-2023</t>
        </is>
      </c>
      <c r="B375" s="1" t="n">
        <v>45161.37310185185</v>
      </c>
      <c r="C375" s="1" t="n">
        <v>45965</v>
      </c>
      <c r="D375" t="inlineStr">
        <is>
          <t>ÖSTERGÖTLANDS LÄN</t>
        </is>
      </c>
      <c r="E375" t="inlineStr">
        <is>
          <t>LINKÖPING</t>
        </is>
      </c>
      <c r="G375" t="n">
        <v>5.6</v>
      </c>
      <c r="H375" t="n">
        <v>0</v>
      </c>
      <c r="I375" t="n">
        <v>0</v>
      </c>
      <c r="J375" t="n">
        <v>0</v>
      </c>
      <c r="K375" t="n">
        <v>0</v>
      </c>
      <c r="L375" t="n">
        <v>0</v>
      </c>
      <c r="M375" t="n">
        <v>0</v>
      </c>
      <c r="N375" t="n">
        <v>0</v>
      </c>
      <c r="O375" t="n">
        <v>0</v>
      </c>
      <c r="P375" t="n">
        <v>0</v>
      </c>
      <c r="Q375" t="n">
        <v>0</v>
      </c>
      <c r="R375" s="2" t="inlineStr"/>
    </row>
    <row r="376" ht="15" customHeight="1">
      <c r="A376" t="inlineStr">
        <is>
          <t>A 12317-2025</t>
        </is>
      </c>
      <c r="B376" s="1" t="n">
        <v>45729.8487037037</v>
      </c>
      <c r="C376" s="1" t="n">
        <v>45965</v>
      </c>
      <c r="D376" t="inlineStr">
        <is>
          <t>ÖSTERGÖTLANDS LÄN</t>
        </is>
      </c>
      <c r="E376" t="inlineStr">
        <is>
          <t>LINKÖPING</t>
        </is>
      </c>
      <c r="G376" t="n">
        <v>8</v>
      </c>
      <c r="H376" t="n">
        <v>0</v>
      </c>
      <c r="I376" t="n">
        <v>0</v>
      </c>
      <c r="J376" t="n">
        <v>0</v>
      </c>
      <c r="K376" t="n">
        <v>0</v>
      </c>
      <c r="L376" t="n">
        <v>0</v>
      </c>
      <c r="M376" t="n">
        <v>0</v>
      </c>
      <c r="N376" t="n">
        <v>0</v>
      </c>
      <c r="O376" t="n">
        <v>0</v>
      </c>
      <c r="P376" t="n">
        <v>0</v>
      </c>
      <c r="Q376" t="n">
        <v>0</v>
      </c>
      <c r="R376" s="2" t="inlineStr"/>
    </row>
    <row r="377" ht="15" customHeight="1">
      <c r="A377" t="inlineStr">
        <is>
          <t>A 14528-2025</t>
        </is>
      </c>
      <c r="B377" s="1" t="n">
        <v>45741</v>
      </c>
      <c r="C377" s="1" t="n">
        <v>45965</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3008-2023</t>
        </is>
      </c>
      <c r="B378" s="1" t="n">
        <v>44945.79784722222</v>
      </c>
      <c r="C378" s="1" t="n">
        <v>45965</v>
      </c>
      <c r="D378" t="inlineStr">
        <is>
          <t>ÖSTERGÖTLANDS LÄN</t>
        </is>
      </c>
      <c r="E378" t="inlineStr">
        <is>
          <t>LINKÖPING</t>
        </is>
      </c>
      <c r="G378" t="n">
        <v>19.3</v>
      </c>
      <c r="H378" t="n">
        <v>0</v>
      </c>
      <c r="I378" t="n">
        <v>0</v>
      </c>
      <c r="J378" t="n">
        <v>0</v>
      </c>
      <c r="K378" t="n">
        <v>0</v>
      </c>
      <c r="L378" t="n">
        <v>0</v>
      </c>
      <c r="M378" t="n">
        <v>0</v>
      </c>
      <c r="N378" t="n">
        <v>0</v>
      </c>
      <c r="O378" t="n">
        <v>0</v>
      </c>
      <c r="P378" t="n">
        <v>0</v>
      </c>
      <c r="Q378" t="n">
        <v>0</v>
      </c>
      <c r="R378" s="2" t="inlineStr"/>
    </row>
    <row r="379" ht="15" customHeight="1">
      <c r="A379" t="inlineStr">
        <is>
          <t>A 61649-2023</t>
        </is>
      </c>
      <c r="B379" s="1" t="n">
        <v>45265</v>
      </c>
      <c r="C379" s="1" t="n">
        <v>45965</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60004-2022</t>
        </is>
      </c>
      <c r="B380" s="1" t="n">
        <v>44909.47206018519</v>
      </c>
      <c r="C380" s="1" t="n">
        <v>45965</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52796-2023</t>
        </is>
      </c>
      <c r="B381" s="1" t="n">
        <v>45219</v>
      </c>
      <c r="C381" s="1" t="n">
        <v>45965</v>
      </c>
      <c r="D381" t="inlineStr">
        <is>
          <t>ÖSTERGÖTLANDS LÄN</t>
        </is>
      </c>
      <c r="E381" t="inlineStr">
        <is>
          <t>LINKÖPING</t>
        </is>
      </c>
      <c r="F381" t="inlineStr">
        <is>
          <t>Övriga statliga verk och myndigheter</t>
        </is>
      </c>
      <c r="G381" t="n">
        <v>3.9</v>
      </c>
      <c r="H381" t="n">
        <v>0</v>
      </c>
      <c r="I381" t="n">
        <v>0</v>
      </c>
      <c r="J381" t="n">
        <v>0</v>
      </c>
      <c r="K381" t="n">
        <v>0</v>
      </c>
      <c r="L381" t="n">
        <v>0</v>
      </c>
      <c r="M381" t="n">
        <v>0</v>
      </c>
      <c r="N381" t="n">
        <v>0</v>
      </c>
      <c r="O381" t="n">
        <v>0</v>
      </c>
      <c r="P381" t="n">
        <v>0</v>
      </c>
      <c r="Q381" t="n">
        <v>0</v>
      </c>
      <c r="R381" s="2" t="inlineStr"/>
    </row>
    <row r="382" ht="15" customHeight="1">
      <c r="A382" t="inlineStr">
        <is>
          <t>A 50743-2023</t>
        </is>
      </c>
      <c r="B382" s="1" t="n">
        <v>45217</v>
      </c>
      <c r="C382" s="1" t="n">
        <v>45965</v>
      </c>
      <c r="D382" t="inlineStr">
        <is>
          <t>ÖSTERGÖTLANDS LÄN</t>
        </is>
      </c>
      <c r="E382" t="inlineStr">
        <is>
          <t>LINKÖPING</t>
        </is>
      </c>
      <c r="G382" t="n">
        <v>2.7</v>
      </c>
      <c r="H382" t="n">
        <v>0</v>
      </c>
      <c r="I382" t="n">
        <v>0</v>
      </c>
      <c r="J382" t="n">
        <v>0</v>
      </c>
      <c r="K382" t="n">
        <v>0</v>
      </c>
      <c r="L382" t="n">
        <v>0</v>
      </c>
      <c r="M382" t="n">
        <v>0</v>
      </c>
      <c r="N382" t="n">
        <v>0</v>
      </c>
      <c r="O382" t="n">
        <v>0</v>
      </c>
      <c r="P382" t="n">
        <v>0</v>
      </c>
      <c r="Q382" t="n">
        <v>0</v>
      </c>
      <c r="R382" s="2" t="inlineStr"/>
    </row>
    <row r="383" ht="15" customHeight="1">
      <c r="A383" t="inlineStr">
        <is>
          <t>A 60985-2023</t>
        </is>
      </c>
      <c r="B383" s="1" t="n">
        <v>45261.48429398148</v>
      </c>
      <c r="C383" s="1" t="n">
        <v>45965</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45771-2023</t>
        </is>
      </c>
      <c r="B384" s="1" t="n">
        <v>45195.4384375</v>
      </c>
      <c r="C384" s="1" t="n">
        <v>45965</v>
      </c>
      <c r="D384" t="inlineStr">
        <is>
          <t>ÖSTERGÖTLANDS LÄN</t>
        </is>
      </c>
      <c r="E384" t="inlineStr">
        <is>
          <t>LINKÖPING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421-2024</t>
        </is>
      </c>
      <c r="B385" s="1" t="n">
        <v>45296.51877314815</v>
      </c>
      <c r="C385" s="1" t="n">
        <v>45965</v>
      </c>
      <c r="D385" t="inlineStr">
        <is>
          <t>ÖSTERGÖTLANDS LÄN</t>
        </is>
      </c>
      <c r="E385" t="inlineStr">
        <is>
          <t>LINKÖPING</t>
        </is>
      </c>
      <c r="G385" t="n">
        <v>3.7</v>
      </c>
      <c r="H385" t="n">
        <v>0</v>
      </c>
      <c r="I385" t="n">
        <v>0</v>
      </c>
      <c r="J385" t="n">
        <v>0</v>
      </c>
      <c r="K385" t="n">
        <v>0</v>
      </c>
      <c r="L385" t="n">
        <v>0</v>
      </c>
      <c r="M385" t="n">
        <v>0</v>
      </c>
      <c r="N385" t="n">
        <v>0</v>
      </c>
      <c r="O385" t="n">
        <v>0</v>
      </c>
      <c r="P385" t="n">
        <v>0</v>
      </c>
      <c r="Q385" t="n">
        <v>0</v>
      </c>
      <c r="R385" s="2" t="inlineStr"/>
    </row>
    <row r="386" ht="15" customHeight="1">
      <c r="A386" t="inlineStr">
        <is>
          <t>A 51405-2023</t>
        </is>
      </c>
      <c r="B386" s="1" t="n">
        <v>45219</v>
      </c>
      <c r="C386" s="1" t="n">
        <v>45965</v>
      </c>
      <c r="D386" t="inlineStr">
        <is>
          <t>ÖSTERGÖTLANDS LÄN</t>
        </is>
      </c>
      <c r="E386" t="inlineStr">
        <is>
          <t>LINKÖPING</t>
        </is>
      </c>
      <c r="F386" t="inlineStr">
        <is>
          <t>Övriga Aktiebolag</t>
        </is>
      </c>
      <c r="G386" t="n">
        <v>3</v>
      </c>
      <c r="H386" t="n">
        <v>0</v>
      </c>
      <c r="I386" t="n">
        <v>0</v>
      </c>
      <c r="J386" t="n">
        <v>0</v>
      </c>
      <c r="K386" t="n">
        <v>0</v>
      </c>
      <c r="L386" t="n">
        <v>0</v>
      </c>
      <c r="M386" t="n">
        <v>0</v>
      </c>
      <c r="N386" t="n">
        <v>0</v>
      </c>
      <c r="O386" t="n">
        <v>0</v>
      </c>
      <c r="P386" t="n">
        <v>0</v>
      </c>
      <c r="Q386" t="n">
        <v>0</v>
      </c>
      <c r="R386" s="2" t="inlineStr"/>
    </row>
    <row r="387" ht="15" customHeight="1">
      <c r="A387" t="inlineStr">
        <is>
          <t>A 55736-2022</t>
        </is>
      </c>
      <c r="B387" s="1" t="n">
        <v>44888</v>
      </c>
      <c r="C387" s="1" t="n">
        <v>45965</v>
      </c>
      <c r="D387" t="inlineStr">
        <is>
          <t>ÖSTERGÖTLANDS LÄN</t>
        </is>
      </c>
      <c r="E387" t="inlineStr">
        <is>
          <t>LINKÖPING</t>
        </is>
      </c>
      <c r="G387" t="n">
        <v>5.5</v>
      </c>
      <c r="H387" t="n">
        <v>0</v>
      </c>
      <c r="I387" t="n">
        <v>0</v>
      </c>
      <c r="J387" t="n">
        <v>0</v>
      </c>
      <c r="K387" t="n">
        <v>0</v>
      </c>
      <c r="L387" t="n">
        <v>0</v>
      </c>
      <c r="M387" t="n">
        <v>0</v>
      </c>
      <c r="N387" t="n">
        <v>0</v>
      </c>
      <c r="O387" t="n">
        <v>0</v>
      </c>
      <c r="P387" t="n">
        <v>0</v>
      </c>
      <c r="Q387" t="n">
        <v>0</v>
      </c>
      <c r="R387" s="2" t="inlineStr"/>
    </row>
    <row r="388" ht="15" customHeight="1">
      <c r="A388" t="inlineStr">
        <is>
          <t>A 53639-2023</t>
        </is>
      </c>
      <c r="B388" s="1" t="n">
        <v>45230.59686342593</v>
      </c>
      <c r="C388" s="1" t="n">
        <v>45965</v>
      </c>
      <c r="D388" t="inlineStr">
        <is>
          <t>ÖSTERGÖTLANDS LÄN</t>
        </is>
      </c>
      <c r="E388" t="inlineStr">
        <is>
          <t>LINKÖPING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24467-2023</t>
        </is>
      </c>
      <c r="B389" s="1" t="n">
        <v>45082</v>
      </c>
      <c r="C389" s="1" t="n">
        <v>45965</v>
      </c>
      <c r="D389" t="inlineStr">
        <is>
          <t>ÖSTERGÖTLANDS LÄN</t>
        </is>
      </c>
      <c r="E389" t="inlineStr">
        <is>
          <t>LINKÖPING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63554-2023</t>
        </is>
      </c>
      <c r="B390" s="1" t="n">
        <v>45275</v>
      </c>
      <c r="C390" s="1" t="n">
        <v>45965</v>
      </c>
      <c r="D390" t="inlineStr">
        <is>
          <t>ÖSTERGÖTLANDS LÄN</t>
        </is>
      </c>
      <c r="E390" t="inlineStr">
        <is>
          <t>LINKÖPING</t>
        </is>
      </c>
      <c r="G390" t="n">
        <v>4.3</v>
      </c>
      <c r="H390" t="n">
        <v>0</v>
      </c>
      <c r="I390" t="n">
        <v>0</v>
      </c>
      <c r="J390" t="n">
        <v>0</v>
      </c>
      <c r="K390" t="n">
        <v>0</v>
      </c>
      <c r="L390" t="n">
        <v>0</v>
      </c>
      <c r="M390" t="n">
        <v>0</v>
      </c>
      <c r="N390" t="n">
        <v>0</v>
      </c>
      <c r="O390" t="n">
        <v>0</v>
      </c>
      <c r="P390" t="n">
        <v>0</v>
      </c>
      <c r="Q390" t="n">
        <v>0</v>
      </c>
      <c r="R390" s="2" t="inlineStr"/>
    </row>
    <row r="391" ht="15" customHeight="1">
      <c r="A391" t="inlineStr">
        <is>
          <t>A 25292-2021</t>
        </is>
      </c>
      <c r="B391" s="1" t="n">
        <v>44342</v>
      </c>
      <c r="C391" s="1" t="n">
        <v>45965</v>
      </c>
      <c r="D391" t="inlineStr">
        <is>
          <t>ÖSTERGÖTLANDS LÄN</t>
        </is>
      </c>
      <c r="E391" t="inlineStr">
        <is>
          <t>LINKÖPING</t>
        </is>
      </c>
      <c r="F391" t="inlineStr">
        <is>
          <t>Övriga Aktiebolag</t>
        </is>
      </c>
      <c r="G391" t="n">
        <v>12.8</v>
      </c>
      <c r="H391" t="n">
        <v>0</v>
      </c>
      <c r="I391" t="n">
        <v>0</v>
      </c>
      <c r="J391" t="n">
        <v>0</v>
      </c>
      <c r="K391" t="n">
        <v>0</v>
      </c>
      <c r="L391" t="n">
        <v>0</v>
      </c>
      <c r="M391" t="n">
        <v>0</v>
      </c>
      <c r="N391" t="n">
        <v>0</v>
      </c>
      <c r="O391" t="n">
        <v>0</v>
      </c>
      <c r="P391" t="n">
        <v>0</v>
      </c>
      <c r="Q391" t="n">
        <v>0</v>
      </c>
      <c r="R391" s="2" t="inlineStr"/>
    </row>
    <row r="392" ht="15" customHeight="1">
      <c r="A392" t="inlineStr">
        <is>
          <t>A 62488-2023</t>
        </is>
      </c>
      <c r="B392" s="1" t="n">
        <v>45268.5847337963</v>
      </c>
      <c r="C392" s="1" t="n">
        <v>45965</v>
      </c>
      <c r="D392" t="inlineStr">
        <is>
          <t>ÖSTERGÖTLANDS LÄN</t>
        </is>
      </c>
      <c r="E392" t="inlineStr">
        <is>
          <t>LINKÖPING</t>
        </is>
      </c>
      <c r="G392" t="n">
        <v>4.1</v>
      </c>
      <c r="H392" t="n">
        <v>0</v>
      </c>
      <c r="I392" t="n">
        <v>0</v>
      </c>
      <c r="J392" t="n">
        <v>0</v>
      </c>
      <c r="K392" t="n">
        <v>0</v>
      </c>
      <c r="L392" t="n">
        <v>0</v>
      </c>
      <c r="M392" t="n">
        <v>0</v>
      </c>
      <c r="N392" t="n">
        <v>0</v>
      </c>
      <c r="O392" t="n">
        <v>0</v>
      </c>
      <c r="P392" t="n">
        <v>0</v>
      </c>
      <c r="Q392" t="n">
        <v>0</v>
      </c>
      <c r="R392" s="2" t="inlineStr"/>
    </row>
    <row r="393" ht="15" customHeight="1">
      <c r="A393" t="inlineStr">
        <is>
          <t>A 30111-2024</t>
        </is>
      </c>
      <c r="B393" s="1" t="n">
        <v>45489.46947916667</v>
      </c>
      <c r="C393" s="1" t="n">
        <v>45965</v>
      </c>
      <c r="D393" t="inlineStr">
        <is>
          <t>ÖSTERGÖTLANDS LÄN</t>
        </is>
      </c>
      <c r="E393" t="inlineStr">
        <is>
          <t>LINKÖPING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30119-2024</t>
        </is>
      </c>
      <c r="B394" s="1" t="n">
        <v>45489</v>
      </c>
      <c r="C394" s="1" t="n">
        <v>45965</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62495-2023</t>
        </is>
      </c>
      <c r="B395" s="1" t="n">
        <v>45268.59717592593</v>
      </c>
      <c r="C395" s="1" t="n">
        <v>45965</v>
      </c>
      <c r="D395" t="inlineStr">
        <is>
          <t>ÖSTERGÖTLANDS LÄN</t>
        </is>
      </c>
      <c r="E395" t="inlineStr">
        <is>
          <t>LINKÖPING</t>
        </is>
      </c>
      <c r="G395" t="n">
        <v>4.1</v>
      </c>
      <c r="H395" t="n">
        <v>0</v>
      </c>
      <c r="I395" t="n">
        <v>0</v>
      </c>
      <c r="J395" t="n">
        <v>0</v>
      </c>
      <c r="K395" t="n">
        <v>0</v>
      </c>
      <c r="L395" t="n">
        <v>0</v>
      </c>
      <c r="M395" t="n">
        <v>0</v>
      </c>
      <c r="N395" t="n">
        <v>0</v>
      </c>
      <c r="O395" t="n">
        <v>0</v>
      </c>
      <c r="P395" t="n">
        <v>0</v>
      </c>
      <c r="Q395" t="n">
        <v>0</v>
      </c>
      <c r="R395" s="2" t="inlineStr"/>
    </row>
    <row r="396" ht="15" customHeight="1">
      <c r="A396" t="inlineStr">
        <is>
          <t>A 6206-2024</t>
        </is>
      </c>
      <c r="B396" s="1" t="n">
        <v>45337.5977662037</v>
      </c>
      <c r="C396" s="1" t="n">
        <v>45965</v>
      </c>
      <c r="D396" t="inlineStr">
        <is>
          <t>ÖSTERGÖTLANDS LÄN</t>
        </is>
      </c>
      <c r="E396" t="inlineStr">
        <is>
          <t>LINKÖPING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30434-2024</t>
        </is>
      </c>
      <c r="B397" s="1" t="n">
        <v>45491.69811342593</v>
      </c>
      <c r="C397" s="1" t="n">
        <v>45965</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10198-2023</t>
        </is>
      </c>
      <c r="B398" s="1" t="n">
        <v>44986.54665509259</v>
      </c>
      <c r="C398" s="1" t="n">
        <v>45965</v>
      </c>
      <c r="D398" t="inlineStr">
        <is>
          <t>ÖSTERGÖTLANDS LÄN</t>
        </is>
      </c>
      <c r="E398" t="inlineStr">
        <is>
          <t>LINKÖPING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15714-2024</t>
        </is>
      </c>
      <c r="B399" s="1" t="n">
        <v>45404.48288194444</v>
      </c>
      <c r="C399" s="1" t="n">
        <v>45965</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22771-2024</t>
        </is>
      </c>
      <c r="B400" s="1" t="n">
        <v>45448.46574074074</v>
      </c>
      <c r="C400" s="1" t="n">
        <v>45965</v>
      </c>
      <c r="D400" t="inlineStr">
        <is>
          <t>ÖSTERGÖTLANDS LÄN</t>
        </is>
      </c>
      <c r="E400" t="inlineStr">
        <is>
          <t>LINKÖPING</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30481-2023</t>
        </is>
      </c>
      <c r="B401" s="1" t="n">
        <v>45111</v>
      </c>
      <c r="C401" s="1" t="n">
        <v>45965</v>
      </c>
      <c r="D401" t="inlineStr">
        <is>
          <t>ÖSTERGÖTLANDS LÄN</t>
        </is>
      </c>
      <c r="E401" t="inlineStr">
        <is>
          <t>LINKÖPING</t>
        </is>
      </c>
      <c r="F401" t="inlineStr">
        <is>
          <t>Övriga Aktiebolag</t>
        </is>
      </c>
      <c r="G401" t="n">
        <v>2</v>
      </c>
      <c r="H401" t="n">
        <v>0</v>
      </c>
      <c r="I401" t="n">
        <v>0</v>
      </c>
      <c r="J401" t="n">
        <v>0</v>
      </c>
      <c r="K401" t="n">
        <v>0</v>
      </c>
      <c r="L401" t="n">
        <v>0</v>
      </c>
      <c r="M401" t="n">
        <v>0</v>
      </c>
      <c r="N401" t="n">
        <v>0</v>
      </c>
      <c r="O401" t="n">
        <v>0</v>
      </c>
      <c r="P401" t="n">
        <v>0</v>
      </c>
      <c r="Q401" t="n">
        <v>0</v>
      </c>
      <c r="R401" s="2" t="inlineStr"/>
    </row>
    <row r="402" ht="15" customHeight="1">
      <c r="A402" t="inlineStr">
        <is>
          <t>A 17128-2025</t>
        </is>
      </c>
      <c r="B402" s="1" t="n">
        <v>45755.72622685185</v>
      </c>
      <c r="C402" s="1" t="n">
        <v>45965</v>
      </c>
      <c r="D402" t="inlineStr">
        <is>
          <t>ÖSTERGÖTLANDS LÄN</t>
        </is>
      </c>
      <c r="E402" t="inlineStr">
        <is>
          <t>LINKÖPING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74160-2021</t>
        </is>
      </c>
      <c r="B403" s="1" t="n">
        <v>44558</v>
      </c>
      <c r="C403" s="1" t="n">
        <v>45965</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11084-2022</t>
        </is>
      </c>
      <c r="B404" s="1" t="n">
        <v>44628</v>
      </c>
      <c r="C404" s="1" t="n">
        <v>45965</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63559-2023</t>
        </is>
      </c>
      <c r="B405" s="1" t="n">
        <v>45275.35924768518</v>
      </c>
      <c r="C405" s="1" t="n">
        <v>45965</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57745-2022</t>
        </is>
      </c>
      <c r="B406" s="1" t="n">
        <v>44897.58119212963</v>
      </c>
      <c r="C406" s="1" t="n">
        <v>45965</v>
      </c>
      <c r="D406" t="inlineStr">
        <is>
          <t>ÖSTERGÖTLANDS LÄN</t>
        </is>
      </c>
      <c r="E406" t="inlineStr">
        <is>
          <t>LINKÖPING</t>
        </is>
      </c>
      <c r="F406" t="inlineStr">
        <is>
          <t>Sveaskog</t>
        </is>
      </c>
      <c r="G406" t="n">
        <v>3.1</v>
      </c>
      <c r="H406" t="n">
        <v>0</v>
      </c>
      <c r="I406" t="n">
        <v>0</v>
      </c>
      <c r="J406" t="n">
        <v>0</v>
      </c>
      <c r="K406" t="n">
        <v>0</v>
      </c>
      <c r="L406" t="n">
        <v>0</v>
      </c>
      <c r="M406" t="n">
        <v>0</v>
      </c>
      <c r="N406" t="n">
        <v>0</v>
      </c>
      <c r="O406" t="n">
        <v>0</v>
      </c>
      <c r="P406" t="n">
        <v>0</v>
      </c>
      <c r="Q406" t="n">
        <v>0</v>
      </c>
      <c r="R406" s="2" t="inlineStr"/>
    </row>
    <row r="407" ht="15" customHeight="1">
      <c r="A407" t="inlineStr">
        <is>
          <t>A 62018-2024</t>
        </is>
      </c>
      <c r="B407" s="1" t="n">
        <v>45655.81387731482</v>
      </c>
      <c r="C407" s="1" t="n">
        <v>45965</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46377-2025</t>
        </is>
      </c>
      <c r="B408" s="1" t="n">
        <v>45925.51773148148</v>
      </c>
      <c r="C408" s="1" t="n">
        <v>45965</v>
      </c>
      <c r="D408" t="inlineStr">
        <is>
          <t>ÖSTERGÖTLANDS LÄN</t>
        </is>
      </c>
      <c r="E408" t="inlineStr">
        <is>
          <t>LINKÖPING</t>
        </is>
      </c>
      <c r="G408" t="n">
        <v>3.1</v>
      </c>
      <c r="H408" t="n">
        <v>0</v>
      </c>
      <c r="I408" t="n">
        <v>0</v>
      </c>
      <c r="J408" t="n">
        <v>0</v>
      </c>
      <c r="K408" t="n">
        <v>0</v>
      </c>
      <c r="L408" t="n">
        <v>0</v>
      </c>
      <c r="M408" t="n">
        <v>0</v>
      </c>
      <c r="N408" t="n">
        <v>0</v>
      </c>
      <c r="O408" t="n">
        <v>0</v>
      </c>
      <c r="P408" t="n">
        <v>0</v>
      </c>
      <c r="Q408" t="n">
        <v>0</v>
      </c>
      <c r="R408" s="2" t="inlineStr"/>
    </row>
    <row r="409" ht="15" customHeight="1">
      <c r="A409" t="inlineStr">
        <is>
          <t>A 62073-2023</t>
        </is>
      </c>
      <c r="B409" s="1" t="n">
        <v>45266.73844907407</v>
      </c>
      <c r="C409" s="1" t="n">
        <v>45965</v>
      </c>
      <c r="D409" t="inlineStr">
        <is>
          <t>ÖSTERGÖTLANDS LÄN</t>
        </is>
      </c>
      <c r="E409" t="inlineStr">
        <is>
          <t>LINKÖPING</t>
        </is>
      </c>
      <c r="F409" t="inlineStr">
        <is>
          <t>Allmännings- och besparingsskogar</t>
        </is>
      </c>
      <c r="G409" t="n">
        <v>1.8</v>
      </c>
      <c r="H409" t="n">
        <v>0</v>
      </c>
      <c r="I409" t="n">
        <v>0</v>
      </c>
      <c r="J409" t="n">
        <v>0</v>
      </c>
      <c r="K409" t="n">
        <v>0</v>
      </c>
      <c r="L409" t="n">
        <v>0</v>
      </c>
      <c r="M409" t="n">
        <v>0</v>
      </c>
      <c r="N409" t="n">
        <v>0</v>
      </c>
      <c r="O409" t="n">
        <v>0</v>
      </c>
      <c r="P409" t="n">
        <v>0</v>
      </c>
      <c r="Q409" t="n">
        <v>0</v>
      </c>
      <c r="R409" s="2" t="inlineStr"/>
    </row>
    <row r="410" ht="15" customHeight="1">
      <c r="A410" t="inlineStr">
        <is>
          <t>A 23491-2024</t>
        </is>
      </c>
      <c r="B410" s="1" t="n">
        <v>45453</v>
      </c>
      <c r="C410" s="1" t="n">
        <v>45965</v>
      </c>
      <c r="D410" t="inlineStr">
        <is>
          <t>ÖSTERGÖTLANDS LÄN</t>
        </is>
      </c>
      <c r="E410" t="inlineStr">
        <is>
          <t>LINKÖPING</t>
        </is>
      </c>
      <c r="G410" t="n">
        <v>2.2</v>
      </c>
      <c r="H410" t="n">
        <v>0</v>
      </c>
      <c r="I410" t="n">
        <v>0</v>
      </c>
      <c r="J410" t="n">
        <v>0</v>
      </c>
      <c r="K410" t="n">
        <v>0</v>
      </c>
      <c r="L410" t="n">
        <v>0</v>
      </c>
      <c r="M410" t="n">
        <v>0</v>
      </c>
      <c r="N410" t="n">
        <v>0</v>
      </c>
      <c r="O410" t="n">
        <v>0</v>
      </c>
      <c r="P410" t="n">
        <v>0</v>
      </c>
      <c r="Q410" t="n">
        <v>0</v>
      </c>
      <c r="R410" s="2" t="inlineStr"/>
    </row>
    <row r="411" ht="15" customHeight="1">
      <c r="A411" t="inlineStr">
        <is>
          <t>A 14520-2025</t>
        </is>
      </c>
      <c r="B411" s="1" t="n">
        <v>45741</v>
      </c>
      <c r="C411" s="1" t="n">
        <v>45965</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58714-2020</t>
        </is>
      </c>
      <c r="B412" s="1" t="n">
        <v>44146</v>
      </c>
      <c r="C412" s="1" t="n">
        <v>45965</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672-2024</t>
        </is>
      </c>
      <c r="B413" s="1" t="n">
        <v>45300</v>
      </c>
      <c r="C413" s="1" t="n">
        <v>45965</v>
      </c>
      <c r="D413" t="inlineStr">
        <is>
          <t>ÖSTERGÖTLANDS LÄN</t>
        </is>
      </c>
      <c r="E413" t="inlineStr">
        <is>
          <t>LINKÖPING</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29309-2024</t>
        </is>
      </c>
      <c r="B414" s="1" t="n">
        <v>45483</v>
      </c>
      <c r="C414" s="1" t="n">
        <v>45965</v>
      </c>
      <c r="D414" t="inlineStr">
        <is>
          <t>ÖSTERGÖTLANDS LÄN</t>
        </is>
      </c>
      <c r="E414" t="inlineStr">
        <is>
          <t>LINKÖPING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29411-2023</t>
        </is>
      </c>
      <c r="B415" s="1" t="n">
        <v>45106.46225694445</v>
      </c>
      <c r="C415" s="1" t="n">
        <v>45965</v>
      </c>
      <c r="D415" t="inlineStr">
        <is>
          <t>ÖSTERGÖTLANDS LÄN</t>
        </is>
      </c>
      <c r="E415" t="inlineStr">
        <is>
          <t>LINKÖPING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29412-2023</t>
        </is>
      </c>
      <c r="B416" s="1" t="n">
        <v>45106.46359953703</v>
      </c>
      <c r="C416" s="1" t="n">
        <v>45965</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29413-2023</t>
        </is>
      </c>
      <c r="B417" s="1" t="n">
        <v>45106.46465277778</v>
      </c>
      <c r="C417" s="1" t="n">
        <v>45965</v>
      </c>
      <c r="D417" t="inlineStr">
        <is>
          <t>ÖSTERGÖTLANDS LÄN</t>
        </is>
      </c>
      <c r="E417" t="inlineStr">
        <is>
          <t>LINKÖPING</t>
        </is>
      </c>
      <c r="G417" t="n">
        <v>8</v>
      </c>
      <c r="H417" t="n">
        <v>0</v>
      </c>
      <c r="I417" t="n">
        <v>0</v>
      </c>
      <c r="J417" t="n">
        <v>0</v>
      </c>
      <c r="K417" t="n">
        <v>0</v>
      </c>
      <c r="L417" t="n">
        <v>0</v>
      </c>
      <c r="M417" t="n">
        <v>0</v>
      </c>
      <c r="N417" t="n">
        <v>0</v>
      </c>
      <c r="O417" t="n">
        <v>0</v>
      </c>
      <c r="P417" t="n">
        <v>0</v>
      </c>
      <c r="Q417" t="n">
        <v>0</v>
      </c>
      <c r="R417" s="2" t="inlineStr"/>
    </row>
    <row r="418" ht="15" customHeight="1">
      <c r="A418" t="inlineStr">
        <is>
          <t>A 42832-2023</t>
        </is>
      </c>
      <c r="B418" s="1" t="n">
        <v>45182.38091435185</v>
      </c>
      <c r="C418" s="1" t="n">
        <v>45965</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24151-2024</t>
        </is>
      </c>
      <c r="B419" s="1" t="n">
        <v>45456.67717592593</v>
      </c>
      <c r="C419" s="1" t="n">
        <v>45965</v>
      </c>
      <c r="D419" t="inlineStr">
        <is>
          <t>ÖSTERGÖTLANDS LÄN</t>
        </is>
      </c>
      <c r="E419" t="inlineStr">
        <is>
          <t>LINKÖPING</t>
        </is>
      </c>
      <c r="G419" t="n">
        <v>2.1</v>
      </c>
      <c r="H419" t="n">
        <v>0</v>
      </c>
      <c r="I419" t="n">
        <v>0</v>
      </c>
      <c r="J419" t="n">
        <v>0</v>
      </c>
      <c r="K419" t="n">
        <v>0</v>
      </c>
      <c r="L419" t="n">
        <v>0</v>
      </c>
      <c r="M419" t="n">
        <v>0</v>
      </c>
      <c r="N419" t="n">
        <v>0</v>
      </c>
      <c r="O419" t="n">
        <v>0</v>
      </c>
      <c r="P419" t="n">
        <v>0</v>
      </c>
      <c r="Q419" t="n">
        <v>0</v>
      </c>
      <c r="R419" s="2" t="inlineStr"/>
    </row>
    <row r="420" ht="15" customHeight="1">
      <c r="A420" t="inlineStr">
        <is>
          <t>A 56064-2022</t>
        </is>
      </c>
      <c r="B420" s="1" t="n">
        <v>44889.59107638889</v>
      </c>
      <c r="C420" s="1" t="n">
        <v>45965</v>
      </c>
      <c r="D420" t="inlineStr">
        <is>
          <t>ÖSTERGÖTLANDS LÄN</t>
        </is>
      </c>
      <c r="E420" t="inlineStr">
        <is>
          <t>LINKÖPING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40502-2024</t>
        </is>
      </c>
      <c r="B421" s="1" t="n">
        <v>45555.57263888889</v>
      </c>
      <c r="C421" s="1" t="n">
        <v>45965</v>
      </c>
      <c r="D421" t="inlineStr">
        <is>
          <t>ÖSTERGÖTLANDS LÄN</t>
        </is>
      </c>
      <c r="E421" t="inlineStr">
        <is>
          <t>LINKÖPING</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5872-2025</t>
        </is>
      </c>
      <c r="B422" s="1" t="n">
        <v>45695.36659722222</v>
      </c>
      <c r="C422" s="1" t="n">
        <v>45965</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59674-2024</t>
        </is>
      </c>
      <c r="B423" s="1" t="n">
        <v>45639</v>
      </c>
      <c r="C423" s="1" t="n">
        <v>45965</v>
      </c>
      <c r="D423" t="inlineStr">
        <is>
          <t>ÖSTERGÖTLANDS LÄN</t>
        </is>
      </c>
      <c r="E423" t="inlineStr">
        <is>
          <t>LINKÖPING</t>
        </is>
      </c>
      <c r="G423" t="n">
        <v>6.3</v>
      </c>
      <c r="H423" t="n">
        <v>0</v>
      </c>
      <c r="I423" t="n">
        <v>0</v>
      </c>
      <c r="J423" t="n">
        <v>0</v>
      </c>
      <c r="K423" t="n">
        <v>0</v>
      </c>
      <c r="L423" t="n">
        <v>0</v>
      </c>
      <c r="M423" t="n">
        <v>0</v>
      </c>
      <c r="N423" t="n">
        <v>0</v>
      </c>
      <c r="O423" t="n">
        <v>0</v>
      </c>
      <c r="P423" t="n">
        <v>0</v>
      </c>
      <c r="Q423" t="n">
        <v>0</v>
      </c>
      <c r="R423" s="2" t="inlineStr"/>
    </row>
    <row r="424" ht="15" customHeight="1">
      <c r="A424" t="inlineStr">
        <is>
          <t>A 63845-2021</t>
        </is>
      </c>
      <c r="B424" s="1" t="n">
        <v>44509</v>
      </c>
      <c r="C424" s="1" t="n">
        <v>45965</v>
      </c>
      <c r="D424" t="inlineStr">
        <is>
          <t>ÖSTERGÖTLANDS LÄN</t>
        </is>
      </c>
      <c r="E424" t="inlineStr">
        <is>
          <t>LINKÖPING</t>
        </is>
      </c>
      <c r="G424" t="n">
        <v>5</v>
      </c>
      <c r="H424" t="n">
        <v>0</v>
      </c>
      <c r="I424" t="n">
        <v>0</v>
      </c>
      <c r="J424" t="n">
        <v>0</v>
      </c>
      <c r="K424" t="n">
        <v>0</v>
      </c>
      <c r="L424" t="n">
        <v>0</v>
      </c>
      <c r="M424" t="n">
        <v>0</v>
      </c>
      <c r="N424" t="n">
        <v>0</v>
      </c>
      <c r="O424" t="n">
        <v>0</v>
      </c>
      <c r="P424" t="n">
        <v>0</v>
      </c>
      <c r="Q424" t="n">
        <v>0</v>
      </c>
      <c r="R424" s="2" t="inlineStr"/>
    </row>
    <row r="425" ht="15" customHeight="1">
      <c r="A425" t="inlineStr">
        <is>
          <t>A 39074-2025</t>
        </is>
      </c>
      <c r="B425" s="1" t="n">
        <v>45888</v>
      </c>
      <c r="C425" s="1" t="n">
        <v>45965</v>
      </c>
      <c r="D425" t="inlineStr">
        <is>
          <t>ÖSTERGÖTLANDS LÄN</t>
        </is>
      </c>
      <c r="E425" t="inlineStr">
        <is>
          <t>LINKÖPING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17785-2023</t>
        </is>
      </c>
      <c r="B426" s="1" t="n">
        <v>45037.55094907407</v>
      </c>
      <c r="C426" s="1" t="n">
        <v>45965</v>
      </c>
      <c r="D426" t="inlineStr">
        <is>
          <t>ÖSTERGÖTLANDS LÄN</t>
        </is>
      </c>
      <c r="E426" t="inlineStr">
        <is>
          <t>LINKÖPING</t>
        </is>
      </c>
      <c r="F426" t="inlineStr">
        <is>
          <t>Allmännings- och besparingsskogar</t>
        </is>
      </c>
      <c r="G426" t="n">
        <v>3.1</v>
      </c>
      <c r="H426" t="n">
        <v>0</v>
      </c>
      <c r="I426" t="n">
        <v>0</v>
      </c>
      <c r="J426" t="n">
        <v>0</v>
      </c>
      <c r="K426" t="n">
        <v>0</v>
      </c>
      <c r="L426" t="n">
        <v>0</v>
      </c>
      <c r="M426" t="n">
        <v>0</v>
      </c>
      <c r="N426" t="n">
        <v>0</v>
      </c>
      <c r="O426" t="n">
        <v>0</v>
      </c>
      <c r="P426" t="n">
        <v>0</v>
      </c>
      <c r="Q426" t="n">
        <v>0</v>
      </c>
      <c r="R426" s="2" t="inlineStr"/>
    </row>
    <row r="427" ht="15" customHeight="1">
      <c r="A427" t="inlineStr">
        <is>
          <t>A 32346-2023</t>
        </is>
      </c>
      <c r="B427" s="1" t="n">
        <v>45120</v>
      </c>
      <c r="C427" s="1" t="n">
        <v>45965</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44155-2024</t>
        </is>
      </c>
      <c r="B428" s="1" t="n">
        <v>45572.68226851852</v>
      </c>
      <c r="C428" s="1" t="n">
        <v>45965</v>
      </c>
      <c r="D428" t="inlineStr">
        <is>
          <t>ÖSTERGÖTLANDS LÄN</t>
        </is>
      </c>
      <c r="E428" t="inlineStr">
        <is>
          <t>LINKÖPING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59576-2024</t>
        </is>
      </c>
      <c r="B429" s="1" t="n">
        <v>45638.66378472222</v>
      </c>
      <c r="C429" s="1" t="n">
        <v>45965</v>
      </c>
      <c r="D429" t="inlineStr">
        <is>
          <t>ÖSTERGÖTLANDS LÄN</t>
        </is>
      </c>
      <c r="E429" t="inlineStr">
        <is>
          <t>LINKÖPING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1627-2023</t>
        </is>
      </c>
      <c r="B430" s="1" t="n">
        <v>44937</v>
      </c>
      <c r="C430" s="1" t="n">
        <v>45965</v>
      </c>
      <c r="D430" t="inlineStr">
        <is>
          <t>ÖSTERGÖTLANDS LÄN</t>
        </is>
      </c>
      <c r="E430" t="inlineStr">
        <is>
          <t>LINKÖPING</t>
        </is>
      </c>
      <c r="G430" t="n">
        <v>10.8</v>
      </c>
      <c r="H430" t="n">
        <v>0</v>
      </c>
      <c r="I430" t="n">
        <v>0</v>
      </c>
      <c r="J430" t="n">
        <v>0</v>
      </c>
      <c r="K430" t="n">
        <v>0</v>
      </c>
      <c r="L430" t="n">
        <v>0</v>
      </c>
      <c r="M430" t="n">
        <v>0</v>
      </c>
      <c r="N430" t="n">
        <v>0</v>
      </c>
      <c r="O430" t="n">
        <v>0</v>
      </c>
      <c r="P430" t="n">
        <v>0</v>
      </c>
      <c r="Q430" t="n">
        <v>0</v>
      </c>
      <c r="R430" s="2" t="inlineStr"/>
    </row>
    <row r="431" ht="15" customHeight="1">
      <c r="A431" t="inlineStr">
        <is>
          <t>A 47233-2025</t>
        </is>
      </c>
      <c r="B431" s="1" t="n">
        <v>45930.40612268518</v>
      </c>
      <c r="C431" s="1" t="n">
        <v>45965</v>
      </c>
      <c r="D431" t="inlineStr">
        <is>
          <t>ÖSTERGÖTLANDS LÄN</t>
        </is>
      </c>
      <c r="E431" t="inlineStr">
        <is>
          <t>LINKÖPING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51583-2024</t>
        </is>
      </c>
      <c r="B432" s="1" t="n">
        <v>45604.6397337963</v>
      </c>
      <c r="C432" s="1" t="n">
        <v>45965</v>
      </c>
      <c r="D432" t="inlineStr">
        <is>
          <t>ÖSTERGÖTLANDS LÄN</t>
        </is>
      </c>
      <c r="E432" t="inlineStr">
        <is>
          <t>LINKÖPING</t>
        </is>
      </c>
      <c r="F432" t="inlineStr">
        <is>
          <t>Övriga Aktiebolag</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62019-2024</t>
        </is>
      </c>
      <c r="B433" s="1" t="n">
        <v>45655.82</v>
      </c>
      <c r="C433" s="1" t="n">
        <v>45965</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42997-2021</t>
        </is>
      </c>
      <c r="B434" s="1" t="n">
        <v>44431.45556712963</v>
      </c>
      <c r="C434" s="1" t="n">
        <v>45965</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38317-2024</t>
        </is>
      </c>
      <c r="B435" s="1" t="n">
        <v>45545.65766203704</v>
      </c>
      <c r="C435" s="1" t="n">
        <v>45965</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16665-2023</t>
        </is>
      </c>
      <c r="B436" s="1" t="n">
        <v>45030.5583912037</v>
      </c>
      <c r="C436" s="1" t="n">
        <v>45965</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60860-2024</t>
        </is>
      </c>
      <c r="B437" s="1" t="n">
        <v>45644.6893287037</v>
      </c>
      <c r="C437" s="1" t="n">
        <v>45965</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31640-2023</t>
        </is>
      </c>
      <c r="B438" s="1" t="n">
        <v>45117</v>
      </c>
      <c r="C438" s="1" t="n">
        <v>45965</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16213-2025</t>
        </is>
      </c>
      <c r="B439" s="1" t="n">
        <v>45750.62740740741</v>
      </c>
      <c r="C439" s="1" t="n">
        <v>45965</v>
      </c>
      <c r="D439" t="inlineStr">
        <is>
          <t>ÖSTERGÖTLANDS LÄN</t>
        </is>
      </c>
      <c r="E439" t="inlineStr">
        <is>
          <t>LINKÖPING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50182-2023</t>
        </is>
      </c>
      <c r="B440" s="1" t="n">
        <v>45208</v>
      </c>
      <c r="C440" s="1" t="n">
        <v>45965</v>
      </c>
      <c r="D440" t="inlineStr">
        <is>
          <t>ÖSTERGÖTLANDS LÄN</t>
        </is>
      </c>
      <c r="E440" t="inlineStr">
        <is>
          <t>LINKÖPING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34872-2023</t>
        </is>
      </c>
      <c r="B441" s="1" t="n">
        <v>45140</v>
      </c>
      <c r="C441" s="1" t="n">
        <v>45965</v>
      </c>
      <c r="D441" t="inlineStr">
        <is>
          <t>ÖSTERGÖTLANDS LÄN</t>
        </is>
      </c>
      <c r="E441" t="inlineStr">
        <is>
          <t>LINKÖPING</t>
        </is>
      </c>
      <c r="G441" t="n">
        <v>4.8</v>
      </c>
      <c r="H441" t="n">
        <v>0</v>
      </c>
      <c r="I441" t="n">
        <v>0</v>
      </c>
      <c r="J441" t="n">
        <v>0</v>
      </c>
      <c r="K441" t="n">
        <v>0</v>
      </c>
      <c r="L441" t="n">
        <v>0</v>
      </c>
      <c r="M441" t="n">
        <v>0</v>
      </c>
      <c r="N441" t="n">
        <v>0</v>
      </c>
      <c r="O441" t="n">
        <v>0</v>
      </c>
      <c r="P441" t="n">
        <v>0</v>
      </c>
      <c r="Q441" t="n">
        <v>0</v>
      </c>
      <c r="R441" s="2" t="inlineStr"/>
    </row>
    <row r="442" ht="15" customHeight="1">
      <c r="A442" t="inlineStr">
        <is>
          <t>A 33000-2023</t>
        </is>
      </c>
      <c r="B442" s="1" t="n">
        <v>45125</v>
      </c>
      <c r="C442" s="1" t="n">
        <v>45965</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1844-2025</t>
        </is>
      </c>
      <c r="B443" s="1" t="n">
        <v>45671.57730324074</v>
      </c>
      <c r="C443" s="1" t="n">
        <v>45965</v>
      </c>
      <c r="D443" t="inlineStr">
        <is>
          <t>ÖSTERGÖTLANDS LÄN</t>
        </is>
      </c>
      <c r="E443" t="inlineStr">
        <is>
          <t>LINKÖPING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38971-2025</t>
        </is>
      </c>
      <c r="B444" s="1" t="n">
        <v>45887.71827546296</v>
      </c>
      <c r="C444" s="1" t="n">
        <v>45965</v>
      </c>
      <c r="D444" t="inlineStr">
        <is>
          <t>ÖSTERGÖTLANDS LÄN</t>
        </is>
      </c>
      <c r="E444" t="inlineStr">
        <is>
          <t>LINKÖPING</t>
        </is>
      </c>
      <c r="G444" t="n">
        <v>3.9</v>
      </c>
      <c r="H444" t="n">
        <v>0</v>
      </c>
      <c r="I444" t="n">
        <v>0</v>
      </c>
      <c r="J444" t="n">
        <v>0</v>
      </c>
      <c r="K444" t="n">
        <v>0</v>
      </c>
      <c r="L444" t="n">
        <v>0</v>
      </c>
      <c r="M444" t="n">
        <v>0</v>
      </c>
      <c r="N444" t="n">
        <v>0</v>
      </c>
      <c r="O444" t="n">
        <v>0</v>
      </c>
      <c r="P444" t="n">
        <v>0</v>
      </c>
      <c r="Q444" t="n">
        <v>0</v>
      </c>
      <c r="R444" s="2" t="inlineStr"/>
    </row>
    <row r="445" ht="15" customHeight="1">
      <c r="A445" t="inlineStr">
        <is>
          <t>A 72567-2021</t>
        </is>
      </c>
      <c r="B445" s="1" t="n">
        <v>44546.45023148148</v>
      </c>
      <c r="C445" s="1" t="n">
        <v>45965</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2997-2025</t>
        </is>
      </c>
      <c r="B446" s="1" t="n">
        <v>45678.54631944445</v>
      </c>
      <c r="C446" s="1" t="n">
        <v>45965</v>
      </c>
      <c r="D446" t="inlineStr">
        <is>
          <t>ÖSTERGÖTLANDS LÄN</t>
        </is>
      </c>
      <c r="E446" t="inlineStr">
        <is>
          <t>LINKÖPING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31534-2023</t>
        </is>
      </c>
      <c r="B447" s="1" t="n">
        <v>45116</v>
      </c>
      <c r="C447" s="1" t="n">
        <v>45965</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14028-2024</t>
        </is>
      </c>
      <c r="B448" s="1" t="n">
        <v>45392</v>
      </c>
      <c r="C448" s="1" t="n">
        <v>45965</v>
      </c>
      <c r="D448" t="inlineStr">
        <is>
          <t>ÖSTERGÖTLANDS LÄN</t>
        </is>
      </c>
      <c r="E448" t="inlineStr">
        <is>
          <t>LINKÖPING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26803-2024</t>
        </is>
      </c>
      <c r="B449" s="1" t="n">
        <v>45470</v>
      </c>
      <c r="C449" s="1" t="n">
        <v>45965</v>
      </c>
      <c r="D449" t="inlineStr">
        <is>
          <t>ÖSTERGÖTLANDS LÄN</t>
        </is>
      </c>
      <c r="E449" t="inlineStr">
        <is>
          <t>LINKÖPING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21155-2025</t>
        </is>
      </c>
      <c r="B450" s="1" t="n">
        <v>45779.37586805555</v>
      </c>
      <c r="C450" s="1" t="n">
        <v>45965</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45806-2024</t>
        </is>
      </c>
      <c r="B451" s="1" t="n">
        <v>45579.69619212963</v>
      </c>
      <c r="C451" s="1" t="n">
        <v>45965</v>
      </c>
      <c r="D451" t="inlineStr">
        <is>
          <t>ÖSTERGÖTLANDS LÄN</t>
        </is>
      </c>
      <c r="E451" t="inlineStr">
        <is>
          <t>LINKÖPING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21165-2025</t>
        </is>
      </c>
      <c r="B452" s="1" t="n">
        <v>45779.39417824074</v>
      </c>
      <c r="C452" s="1" t="n">
        <v>45965</v>
      </c>
      <c r="D452" t="inlineStr">
        <is>
          <t>ÖSTERGÖTLANDS LÄN</t>
        </is>
      </c>
      <c r="E452" t="inlineStr">
        <is>
          <t>LINKÖPING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46847-2025</t>
        </is>
      </c>
      <c r="B453" s="1" t="n">
        <v>45928.69971064815</v>
      </c>
      <c r="C453" s="1" t="n">
        <v>45965</v>
      </c>
      <c r="D453" t="inlineStr">
        <is>
          <t>ÖSTERGÖTLANDS LÄN</t>
        </is>
      </c>
      <c r="E453" t="inlineStr">
        <is>
          <t>LINKÖPING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37154-2023</t>
        </is>
      </c>
      <c r="B454" s="1" t="n">
        <v>45155</v>
      </c>
      <c r="C454" s="1" t="n">
        <v>45965</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14667-2024</t>
        </is>
      </c>
      <c r="B455" s="1" t="n">
        <v>45397.42005787037</v>
      </c>
      <c r="C455" s="1" t="n">
        <v>45965</v>
      </c>
      <c r="D455" t="inlineStr">
        <is>
          <t>ÖSTERGÖTLANDS LÄN</t>
        </is>
      </c>
      <c r="E455" t="inlineStr">
        <is>
          <t>LINKÖPING</t>
        </is>
      </c>
      <c r="G455" t="n">
        <v>2.3</v>
      </c>
      <c r="H455" t="n">
        <v>0</v>
      </c>
      <c r="I455" t="n">
        <v>0</v>
      </c>
      <c r="J455" t="n">
        <v>0</v>
      </c>
      <c r="K455" t="n">
        <v>0</v>
      </c>
      <c r="L455" t="n">
        <v>0</v>
      </c>
      <c r="M455" t="n">
        <v>0</v>
      </c>
      <c r="N455" t="n">
        <v>0</v>
      </c>
      <c r="O455" t="n">
        <v>0</v>
      </c>
      <c r="P455" t="n">
        <v>0</v>
      </c>
      <c r="Q455" t="n">
        <v>0</v>
      </c>
      <c r="R455" s="2" t="inlineStr"/>
    </row>
    <row r="456" ht="15" customHeight="1">
      <c r="A456" t="inlineStr">
        <is>
          <t>A 2697-2023</t>
        </is>
      </c>
      <c r="B456" s="1" t="n">
        <v>44944</v>
      </c>
      <c r="C456" s="1" t="n">
        <v>45965</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11330-2023</t>
        </is>
      </c>
      <c r="B457" s="1" t="n">
        <v>44993.24648148148</v>
      </c>
      <c r="C457" s="1" t="n">
        <v>45965</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53641-2023</t>
        </is>
      </c>
      <c r="B458" s="1" t="n">
        <v>45230</v>
      </c>
      <c r="C458" s="1" t="n">
        <v>45965</v>
      </c>
      <c r="D458" t="inlineStr">
        <is>
          <t>ÖSTERGÖTLANDS LÄN</t>
        </is>
      </c>
      <c r="E458" t="inlineStr">
        <is>
          <t>LINKÖPING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42000-2023</t>
        </is>
      </c>
      <c r="B459" s="1" t="n">
        <v>45177</v>
      </c>
      <c r="C459" s="1" t="n">
        <v>45965</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48707-2023</t>
        </is>
      </c>
      <c r="B460" s="1" t="n">
        <v>45202</v>
      </c>
      <c r="C460" s="1" t="n">
        <v>45965</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53411-2023</t>
        </is>
      </c>
      <c r="B461" s="1" t="n">
        <v>45229.81049768518</v>
      </c>
      <c r="C461" s="1" t="n">
        <v>45965</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56741-2023</t>
        </is>
      </c>
      <c r="B462" s="1" t="n">
        <v>45244</v>
      </c>
      <c r="C462" s="1" t="n">
        <v>45965</v>
      </c>
      <c r="D462" t="inlineStr">
        <is>
          <t>ÖSTERGÖTLANDS LÄN</t>
        </is>
      </c>
      <c r="E462" t="inlineStr">
        <is>
          <t>LINKÖPING</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56792-2023</t>
        </is>
      </c>
      <c r="B463" s="1" t="n">
        <v>45244</v>
      </c>
      <c r="C463" s="1" t="n">
        <v>45965</v>
      </c>
      <c r="D463" t="inlineStr">
        <is>
          <t>ÖSTERGÖTLANDS LÄN</t>
        </is>
      </c>
      <c r="E463" t="inlineStr">
        <is>
          <t>LINKÖPING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47304-2025</t>
        </is>
      </c>
      <c r="B464" s="1" t="n">
        <v>45930.52037037037</v>
      </c>
      <c r="C464" s="1" t="n">
        <v>45965</v>
      </c>
      <c r="D464" t="inlineStr">
        <is>
          <t>ÖSTERGÖTLANDS LÄN</t>
        </is>
      </c>
      <c r="E464" t="inlineStr">
        <is>
          <t>LINKÖPING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3007-2023</t>
        </is>
      </c>
      <c r="B465" s="1" t="n">
        <v>44945</v>
      </c>
      <c r="C465" s="1" t="n">
        <v>45965</v>
      </c>
      <c r="D465" t="inlineStr">
        <is>
          <t>ÖSTERGÖTLANDS LÄN</t>
        </is>
      </c>
      <c r="E465" t="inlineStr">
        <is>
          <t>LINKÖPING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40338-2024</t>
        </is>
      </c>
      <c r="B466" s="1" t="n">
        <v>45555.32940972222</v>
      </c>
      <c r="C466" s="1" t="n">
        <v>45965</v>
      </c>
      <c r="D466" t="inlineStr">
        <is>
          <t>ÖSTERGÖTLANDS LÄN</t>
        </is>
      </c>
      <c r="E466" t="inlineStr">
        <is>
          <t>LINKÖPING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3013-2023</t>
        </is>
      </c>
      <c r="B467" s="1" t="n">
        <v>44945.8092824074</v>
      </c>
      <c r="C467" s="1" t="n">
        <v>45965</v>
      </c>
      <c r="D467" t="inlineStr">
        <is>
          <t>ÖSTERGÖTLANDS LÄN</t>
        </is>
      </c>
      <c r="E467" t="inlineStr">
        <is>
          <t>LINKÖPING</t>
        </is>
      </c>
      <c r="G467" t="n">
        <v>5.2</v>
      </c>
      <c r="H467" t="n">
        <v>0</v>
      </c>
      <c r="I467" t="n">
        <v>0</v>
      </c>
      <c r="J467" t="n">
        <v>0</v>
      </c>
      <c r="K467" t="n">
        <v>0</v>
      </c>
      <c r="L467" t="n">
        <v>0</v>
      </c>
      <c r="M467" t="n">
        <v>0</v>
      </c>
      <c r="N467" t="n">
        <v>0</v>
      </c>
      <c r="O467" t="n">
        <v>0</v>
      </c>
      <c r="P467" t="n">
        <v>0</v>
      </c>
      <c r="Q467" t="n">
        <v>0</v>
      </c>
      <c r="R467" s="2" t="inlineStr"/>
    </row>
    <row r="468" ht="15" customHeight="1">
      <c r="A468" t="inlineStr">
        <is>
          <t>A 55945-2024</t>
        </is>
      </c>
      <c r="B468" s="1" t="n">
        <v>45623.61754629629</v>
      </c>
      <c r="C468" s="1" t="n">
        <v>45965</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57752-2023</t>
        </is>
      </c>
      <c r="B469" s="1" t="n">
        <v>45246.78474537037</v>
      </c>
      <c r="C469" s="1" t="n">
        <v>45965</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32602-2022</t>
        </is>
      </c>
      <c r="B470" s="1" t="n">
        <v>44783.43192129629</v>
      </c>
      <c r="C470" s="1" t="n">
        <v>45965</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1993-2023</t>
        </is>
      </c>
      <c r="B471" s="1" t="n">
        <v>44939</v>
      </c>
      <c r="C471" s="1" t="n">
        <v>45965</v>
      </c>
      <c r="D471" t="inlineStr">
        <is>
          <t>ÖSTERGÖTLANDS LÄN</t>
        </is>
      </c>
      <c r="E471" t="inlineStr">
        <is>
          <t>LINKÖPING</t>
        </is>
      </c>
      <c r="G471" t="n">
        <v>3.7</v>
      </c>
      <c r="H471" t="n">
        <v>0</v>
      </c>
      <c r="I471" t="n">
        <v>0</v>
      </c>
      <c r="J471" t="n">
        <v>0</v>
      </c>
      <c r="K471" t="n">
        <v>0</v>
      </c>
      <c r="L471" t="n">
        <v>0</v>
      </c>
      <c r="M471" t="n">
        <v>0</v>
      </c>
      <c r="N471" t="n">
        <v>0</v>
      </c>
      <c r="O471" t="n">
        <v>0</v>
      </c>
      <c r="P471" t="n">
        <v>0</v>
      </c>
      <c r="Q471" t="n">
        <v>0</v>
      </c>
      <c r="R471" s="2" t="inlineStr"/>
    </row>
    <row r="472" ht="15" customHeight="1">
      <c r="A472" t="inlineStr">
        <is>
          <t>A 2618-2023</t>
        </is>
      </c>
      <c r="B472" s="1" t="n">
        <v>44944.35847222222</v>
      </c>
      <c r="C472" s="1" t="n">
        <v>45965</v>
      </c>
      <c r="D472" t="inlineStr">
        <is>
          <t>ÖSTERGÖTLANDS LÄN</t>
        </is>
      </c>
      <c r="E472" t="inlineStr">
        <is>
          <t>LINKÖPING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10203-2023</t>
        </is>
      </c>
      <c r="B473" s="1" t="n">
        <v>44986.55711805556</v>
      </c>
      <c r="C473" s="1" t="n">
        <v>45965</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34889-2023</t>
        </is>
      </c>
      <c r="B474" s="1" t="n">
        <v>45140</v>
      </c>
      <c r="C474" s="1" t="n">
        <v>45965</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34928-2023</t>
        </is>
      </c>
      <c r="B475" s="1" t="n">
        <v>45142</v>
      </c>
      <c r="C475" s="1" t="n">
        <v>45965</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9473-2024</t>
        </is>
      </c>
      <c r="B476" s="1" t="n">
        <v>45359.55474537037</v>
      </c>
      <c r="C476" s="1" t="n">
        <v>45965</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10797-2024</t>
        </is>
      </c>
      <c r="B477" s="1" t="n">
        <v>45369.6190162037</v>
      </c>
      <c r="C477" s="1" t="n">
        <v>45965</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22264-2025</t>
        </is>
      </c>
      <c r="B478" s="1" t="n">
        <v>45785</v>
      </c>
      <c r="C478" s="1" t="n">
        <v>45965</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27264-2025</t>
        </is>
      </c>
      <c r="B479" s="1" t="n">
        <v>45812.4794212963</v>
      </c>
      <c r="C479" s="1" t="n">
        <v>45965</v>
      </c>
      <c r="D479" t="inlineStr">
        <is>
          <t>ÖSTERGÖTLANDS LÄN</t>
        </is>
      </c>
      <c r="E479" t="inlineStr">
        <is>
          <t>LINKÖPING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1268-2023</t>
        </is>
      </c>
      <c r="B480" s="1" t="n">
        <v>44936</v>
      </c>
      <c r="C480" s="1" t="n">
        <v>45965</v>
      </c>
      <c r="D480" t="inlineStr">
        <is>
          <t>ÖSTERGÖTLANDS LÄN</t>
        </is>
      </c>
      <c r="E480" t="inlineStr">
        <is>
          <t>LINKÖPING</t>
        </is>
      </c>
      <c r="G480" t="n">
        <v>4.6</v>
      </c>
      <c r="H480" t="n">
        <v>0</v>
      </c>
      <c r="I480" t="n">
        <v>0</v>
      </c>
      <c r="J480" t="n">
        <v>0</v>
      </c>
      <c r="K480" t="n">
        <v>0</v>
      </c>
      <c r="L480" t="n">
        <v>0</v>
      </c>
      <c r="M480" t="n">
        <v>0</v>
      </c>
      <c r="N480" t="n">
        <v>0</v>
      </c>
      <c r="O480" t="n">
        <v>0</v>
      </c>
      <c r="P480" t="n">
        <v>0</v>
      </c>
      <c r="Q480" t="n">
        <v>0</v>
      </c>
      <c r="R480" s="2" t="inlineStr"/>
    </row>
    <row r="481" ht="15" customHeight="1">
      <c r="A481" t="inlineStr">
        <is>
          <t>A 5314-2021</t>
        </is>
      </c>
      <c r="B481" s="1" t="n">
        <v>44229</v>
      </c>
      <c r="C481" s="1" t="n">
        <v>45965</v>
      </c>
      <c r="D481" t="inlineStr">
        <is>
          <t>ÖSTERGÖTLANDS LÄN</t>
        </is>
      </c>
      <c r="E481" t="inlineStr">
        <is>
          <t>LINKÖPING</t>
        </is>
      </c>
      <c r="G481" t="n">
        <v>6.2</v>
      </c>
      <c r="H481" t="n">
        <v>0</v>
      </c>
      <c r="I481" t="n">
        <v>0</v>
      </c>
      <c r="J481" t="n">
        <v>0</v>
      </c>
      <c r="K481" t="n">
        <v>0</v>
      </c>
      <c r="L481" t="n">
        <v>0</v>
      </c>
      <c r="M481" t="n">
        <v>0</v>
      </c>
      <c r="N481" t="n">
        <v>0</v>
      </c>
      <c r="O481" t="n">
        <v>0</v>
      </c>
      <c r="P481" t="n">
        <v>0</v>
      </c>
      <c r="Q481" t="n">
        <v>0</v>
      </c>
      <c r="R481" s="2" t="inlineStr"/>
    </row>
    <row r="482" ht="15" customHeight="1">
      <c r="A482" t="inlineStr">
        <is>
          <t>A 6859-2024</t>
        </is>
      </c>
      <c r="B482" s="1" t="n">
        <v>45342</v>
      </c>
      <c r="C482" s="1" t="n">
        <v>45965</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38580-2024</t>
        </is>
      </c>
      <c r="B483" s="1" t="n">
        <v>45546.64825231482</v>
      </c>
      <c r="C483" s="1" t="n">
        <v>45965</v>
      </c>
      <c r="D483" t="inlineStr">
        <is>
          <t>ÖSTERGÖTLANDS LÄN</t>
        </is>
      </c>
      <c r="E483" t="inlineStr">
        <is>
          <t>LINKÖPING</t>
        </is>
      </c>
      <c r="G483" t="n">
        <v>4.8</v>
      </c>
      <c r="H483" t="n">
        <v>0</v>
      </c>
      <c r="I483" t="n">
        <v>0</v>
      </c>
      <c r="J483" t="n">
        <v>0</v>
      </c>
      <c r="K483" t="n">
        <v>0</v>
      </c>
      <c r="L483" t="n">
        <v>0</v>
      </c>
      <c r="M483" t="n">
        <v>0</v>
      </c>
      <c r="N483" t="n">
        <v>0</v>
      </c>
      <c r="O483" t="n">
        <v>0</v>
      </c>
      <c r="P483" t="n">
        <v>0</v>
      </c>
      <c r="Q483" t="n">
        <v>0</v>
      </c>
      <c r="R483" s="2" t="inlineStr"/>
    </row>
    <row r="484" ht="15" customHeight="1">
      <c r="A484" t="inlineStr">
        <is>
          <t>A 13413-2023</t>
        </is>
      </c>
      <c r="B484" s="1" t="n">
        <v>45005.58341435185</v>
      </c>
      <c r="C484" s="1" t="n">
        <v>45965</v>
      </c>
      <c r="D484" t="inlineStr">
        <is>
          <t>ÖSTERGÖTLANDS LÄN</t>
        </is>
      </c>
      <c r="E484" t="inlineStr">
        <is>
          <t>LINKÖPING</t>
        </is>
      </c>
      <c r="G484" t="n">
        <v>2.4</v>
      </c>
      <c r="H484" t="n">
        <v>0</v>
      </c>
      <c r="I484" t="n">
        <v>0</v>
      </c>
      <c r="J484" t="n">
        <v>0</v>
      </c>
      <c r="K484" t="n">
        <v>0</v>
      </c>
      <c r="L484" t="n">
        <v>0</v>
      </c>
      <c r="M484" t="n">
        <v>0</v>
      </c>
      <c r="N484" t="n">
        <v>0</v>
      </c>
      <c r="O484" t="n">
        <v>0</v>
      </c>
      <c r="P484" t="n">
        <v>0</v>
      </c>
      <c r="Q484" t="n">
        <v>0</v>
      </c>
      <c r="R484" s="2" t="inlineStr"/>
    </row>
    <row r="485" ht="15" customHeight="1">
      <c r="A485" t="inlineStr">
        <is>
          <t>A 572-2025</t>
        </is>
      </c>
      <c r="B485" s="1" t="n">
        <v>45664.56349537037</v>
      </c>
      <c r="C485" s="1" t="n">
        <v>45965</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22364-2025</t>
        </is>
      </c>
      <c r="B486" s="1" t="n">
        <v>45786.46930555555</v>
      </c>
      <c r="C486" s="1" t="n">
        <v>45965</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49747-2024</t>
        </is>
      </c>
      <c r="B487" s="1" t="n">
        <v>45596</v>
      </c>
      <c r="C487" s="1" t="n">
        <v>45965</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63528-2023</t>
        </is>
      </c>
      <c r="B488" s="1" t="n">
        <v>45274.94810185185</v>
      </c>
      <c r="C488" s="1" t="n">
        <v>45965</v>
      </c>
      <c r="D488" t="inlineStr">
        <is>
          <t>ÖSTERGÖTLANDS LÄN</t>
        </is>
      </c>
      <c r="E488" t="inlineStr">
        <is>
          <t>LINKÖPING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63638-2023</t>
        </is>
      </c>
      <c r="B489" s="1" t="n">
        <v>45275</v>
      </c>
      <c r="C489" s="1" t="n">
        <v>45965</v>
      </c>
      <c r="D489" t="inlineStr">
        <is>
          <t>ÖSTERGÖTLANDS LÄN</t>
        </is>
      </c>
      <c r="E489" t="inlineStr">
        <is>
          <t>LINKÖPING</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63658-2023</t>
        </is>
      </c>
      <c r="B490" s="1" t="n">
        <v>45275</v>
      </c>
      <c r="C490" s="1" t="n">
        <v>45965</v>
      </c>
      <c r="D490" t="inlineStr">
        <is>
          <t>ÖSTERGÖTLANDS LÄN</t>
        </is>
      </c>
      <c r="E490" t="inlineStr">
        <is>
          <t>LINKÖPING</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37683-2024</t>
        </is>
      </c>
      <c r="B491" s="1" t="n">
        <v>45541.59120370371</v>
      </c>
      <c r="C491" s="1" t="n">
        <v>45965</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44287-2024</t>
        </is>
      </c>
      <c r="B492" s="1" t="n">
        <v>45573.50582175926</v>
      </c>
      <c r="C492" s="1" t="n">
        <v>45965</v>
      </c>
      <c r="D492" t="inlineStr">
        <is>
          <t>ÖSTERGÖTLANDS LÄN</t>
        </is>
      </c>
      <c r="E492" t="inlineStr">
        <is>
          <t>LINKÖPING</t>
        </is>
      </c>
      <c r="G492" t="n">
        <v>12.7</v>
      </c>
      <c r="H492" t="n">
        <v>0</v>
      </c>
      <c r="I492" t="n">
        <v>0</v>
      </c>
      <c r="J492" t="n">
        <v>0</v>
      </c>
      <c r="K492" t="n">
        <v>0</v>
      </c>
      <c r="L492" t="n">
        <v>0</v>
      </c>
      <c r="M492" t="n">
        <v>0</v>
      </c>
      <c r="N492" t="n">
        <v>0</v>
      </c>
      <c r="O492" t="n">
        <v>0</v>
      </c>
      <c r="P492" t="n">
        <v>0</v>
      </c>
      <c r="Q492" t="n">
        <v>0</v>
      </c>
      <c r="R492" s="2" t="inlineStr"/>
    </row>
    <row r="493" ht="15" customHeight="1">
      <c r="A493" t="inlineStr">
        <is>
          <t>A 7808-2022</t>
        </is>
      </c>
      <c r="B493" s="1" t="n">
        <v>44608</v>
      </c>
      <c r="C493" s="1" t="n">
        <v>45965</v>
      </c>
      <c r="D493" t="inlineStr">
        <is>
          <t>ÖSTERGÖTLANDS LÄN</t>
        </is>
      </c>
      <c r="E493" t="inlineStr">
        <is>
          <t>LINKÖPING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31725-2022</t>
        </is>
      </c>
      <c r="B494" s="1" t="n">
        <v>44776.48541666667</v>
      </c>
      <c r="C494" s="1" t="n">
        <v>45965</v>
      </c>
      <c r="D494" t="inlineStr">
        <is>
          <t>ÖSTERGÖTLANDS LÄN</t>
        </is>
      </c>
      <c r="E494" t="inlineStr">
        <is>
          <t>LINKÖPING</t>
        </is>
      </c>
      <c r="G494" t="n">
        <v>2.6</v>
      </c>
      <c r="H494" t="n">
        <v>0</v>
      </c>
      <c r="I494" t="n">
        <v>0</v>
      </c>
      <c r="J494" t="n">
        <v>0</v>
      </c>
      <c r="K494" t="n">
        <v>0</v>
      </c>
      <c r="L494" t="n">
        <v>0</v>
      </c>
      <c r="M494" t="n">
        <v>0</v>
      </c>
      <c r="N494" t="n">
        <v>0</v>
      </c>
      <c r="O494" t="n">
        <v>0</v>
      </c>
      <c r="P494" t="n">
        <v>0</v>
      </c>
      <c r="Q494" t="n">
        <v>0</v>
      </c>
      <c r="R494" s="2" t="inlineStr"/>
    </row>
    <row r="495" ht="15" customHeight="1">
      <c r="A495" t="inlineStr">
        <is>
          <t>A 36336-2023</t>
        </is>
      </c>
      <c r="B495" s="1" t="n">
        <v>45152.45078703704</v>
      </c>
      <c r="C495" s="1" t="n">
        <v>45965</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39438-2025</t>
        </is>
      </c>
      <c r="B496" s="1" t="n">
        <v>45889.68641203704</v>
      </c>
      <c r="C496" s="1" t="n">
        <v>45965</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56623-2024</t>
        </is>
      </c>
      <c r="B497" s="1" t="n">
        <v>45625</v>
      </c>
      <c r="C497" s="1" t="n">
        <v>45965</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29312-2024</t>
        </is>
      </c>
      <c r="B498" s="1" t="n">
        <v>45483</v>
      </c>
      <c r="C498" s="1" t="n">
        <v>45965</v>
      </c>
      <c r="D498" t="inlineStr">
        <is>
          <t>ÖSTERGÖTLANDS LÄN</t>
        </is>
      </c>
      <c r="E498" t="inlineStr">
        <is>
          <t>LINKÖPING</t>
        </is>
      </c>
      <c r="G498" t="n">
        <v>2.1</v>
      </c>
      <c r="H498" t="n">
        <v>0</v>
      </c>
      <c r="I498" t="n">
        <v>0</v>
      </c>
      <c r="J498" t="n">
        <v>0</v>
      </c>
      <c r="K498" t="n">
        <v>0</v>
      </c>
      <c r="L498" t="n">
        <v>0</v>
      </c>
      <c r="M498" t="n">
        <v>0</v>
      </c>
      <c r="N498" t="n">
        <v>0</v>
      </c>
      <c r="O498" t="n">
        <v>0</v>
      </c>
      <c r="P498" t="n">
        <v>0</v>
      </c>
      <c r="Q498" t="n">
        <v>0</v>
      </c>
      <c r="R498" s="2" t="inlineStr"/>
    </row>
    <row r="499" ht="15" customHeight="1">
      <c r="A499" t="inlineStr">
        <is>
          <t>A 2389-2023</t>
        </is>
      </c>
      <c r="B499" s="1" t="n">
        <v>44942</v>
      </c>
      <c r="C499" s="1" t="n">
        <v>45965</v>
      </c>
      <c r="D499" t="inlineStr">
        <is>
          <t>ÖSTERGÖTLANDS LÄN</t>
        </is>
      </c>
      <c r="E499" t="inlineStr">
        <is>
          <t>LINKÖPING</t>
        </is>
      </c>
      <c r="G499" t="n">
        <v>3.3</v>
      </c>
      <c r="H499" t="n">
        <v>0</v>
      </c>
      <c r="I499" t="n">
        <v>0</v>
      </c>
      <c r="J499" t="n">
        <v>0</v>
      </c>
      <c r="K499" t="n">
        <v>0</v>
      </c>
      <c r="L499" t="n">
        <v>0</v>
      </c>
      <c r="M499" t="n">
        <v>0</v>
      </c>
      <c r="N499" t="n">
        <v>0</v>
      </c>
      <c r="O499" t="n">
        <v>0</v>
      </c>
      <c r="P499" t="n">
        <v>0</v>
      </c>
      <c r="Q499" t="n">
        <v>0</v>
      </c>
      <c r="R499" s="2" t="inlineStr"/>
    </row>
    <row r="500" ht="15" customHeight="1">
      <c r="A500" t="inlineStr">
        <is>
          <t>A 3627-2023</t>
        </is>
      </c>
      <c r="B500" s="1" t="n">
        <v>44950.64782407408</v>
      </c>
      <c r="C500" s="1" t="n">
        <v>45965</v>
      </c>
      <c r="D500" t="inlineStr">
        <is>
          <t>ÖSTERGÖTLANDS LÄN</t>
        </is>
      </c>
      <c r="E500" t="inlineStr">
        <is>
          <t>LINKÖPING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13011-2022</t>
        </is>
      </c>
      <c r="B501" s="1" t="n">
        <v>44643</v>
      </c>
      <c r="C501" s="1" t="n">
        <v>45965</v>
      </c>
      <c r="D501" t="inlineStr">
        <is>
          <t>ÖSTERGÖTLANDS LÄN</t>
        </is>
      </c>
      <c r="E501" t="inlineStr">
        <is>
          <t>LINKÖPING</t>
        </is>
      </c>
      <c r="G501" t="n">
        <v>3.7</v>
      </c>
      <c r="H501" t="n">
        <v>0</v>
      </c>
      <c r="I501" t="n">
        <v>0</v>
      </c>
      <c r="J501" t="n">
        <v>0</v>
      </c>
      <c r="K501" t="n">
        <v>0</v>
      </c>
      <c r="L501" t="n">
        <v>0</v>
      </c>
      <c r="M501" t="n">
        <v>0</v>
      </c>
      <c r="N501" t="n">
        <v>0</v>
      </c>
      <c r="O501" t="n">
        <v>0</v>
      </c>
      <c r="P501" t="n">
        <v>0</v>
      </c>
      <c r="Q501" t="n">
        <v>0</v>
      </c>
      <c r="R501" s="2" t="inlineStr"/>
    </row>
    <row r="502" ht="15" customHeight="1">
      <c r="A502" t="inlineStr">
        <is>
          <t>A 23120-2025</t>
        </is>
      </c>
      <c r="B502" s="1" t="n">
        <v>45791.37481481482</v>
      </c>
      <c r="C502" s="1" t="n">
        <v>45965</v>
      </c>
      <c r="D502" t="inlineStr">
        <is>
          <t>ÖSTERGÖTLANDS LÄN</t>
        </is>
      </c>
      <c r="E502" t="inlineStr">
        <is>
          <t>LINKÖPING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62687-2023</t>
        </is>
      </c>
      <c r="B503" s="1" t="n">
        <v>45271</v>
      </c>
      <c r="C503" s="1" t="n">
        <v>45965</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11595-2025</t>
        </is>
      </c>
      <c r="B504" s="1" t="n">
        <v>45727.41893518518</v>
      </c>
      <c r="C504" s="1" t="n">
        <v>45965</v>
      </c>
      <c r="D504" t="inlineStr">
        <is>
          <t>ÖSTERGÖTLANDS LÄN</t>
        </is>
      </c>
      <c r="E504" t="inlineStr">
        <is>
          <t>LINKÖPING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50508-2024</t>
        </is>
      </c>
      <c r="B505" s="1" t="n">
        <v>45601.53907407408</v>
      </c>
      <c r="C505" s="1" t="n">
        <v>45965</v>
      </c>
      <c r="D505" t="inlineStr">
        <is>
          <t>ÖSTERGÖTLANDS LÄN</t>
        </is>
      </c>
      <c r="E505" t="inlineStr">
        <is>
          <t>LINKÖPING</t>
        </is>
      </c>
      <c r="F505" t="inlineStr">
        <is>
          <t>Övriga Aktiebolag</t>
        </is>
      </c>
      <c r="G505" t="n">
        <v>2</v>
      </c>
      <c r="H505" t="n">
        <v>0</v>
      </c>
      <c r="I505" t="n">
        <v>0</v>
      </c>
      <c r="J505" t="n">
        <v>0</v>
      </c>
      <c r="K505" t="n">
        <v>0</v>
      </c>
      <c r="L505" t="n">
        <v>0</v>
      </c>
      <c r="M505" t="n">
        <v>0</v>
      </c>
      <c r="N505" t="n">
        <v>0</v>
      </c>
      <c r="O505" t="n">
        <v>0</v>
      </c>
      <c r="P505" t="n">
        <v>0</v>
      </c>
      <c r="Q505" t="n">
        <v>0</v>
      </c>
      <c r="R505" s="2" t="inlineStr"/>
    </row>
    <row r="506" ht="15" customHeight="1">
      <c r="A506" t="inlineStr">
        <is>
          <t>A 18891-2022</t>
        </is>
      </c>
      <c r="B506" s="1" t="n">
        <v>44690</v>
      </c>
      <c r="C506" s="1" t="n">
        <v>45965</v>
      </c>
      <c r="D506" t="inlineStr">
        <is>
          <t>ÖSTERGÖTLANDS LÄN</t>
        </is>
      </c>
      <c r="E506" t="inlineStr">
        <is>
          <t>LINKÖPING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48699-2024</t>
        </is>
      </c>
      <c r="B507" s="1" t="n">
        <v>45593.52091435185</v>
      </c>
      <c r="C507" s="1" t="n">
        <v>45965</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36336-2022</t>
        </is>
      </c>
      <c r="B508" s="1" t="n">
        <v>44803</v>
      </c>
      <c r="C508" s="1" t="n">
        <v>45965</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26620-2023</t>
        </is>
      </c>
      <c r="B509" s="1" t="n">
        <v>45092.70390046296</v>
      </c>
      <c r="C509" s="1" t="n">
        <v>45965</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48839-2022</t>
        </is>
      </c>
      <c r="B510" s="1" t="n">
        <v>44859</v>
      </c>
      <c r="C510" s="1" t="n">
        <v>45965</v>
      </c>
      <c r="D510" t="inlineStr">
        <is>
          <t>ÖSTERGÖTLANDS LÄN</t>
        </is>
      </c>
      <c r="E510" t="inlineStr">
        <is>
          <t>LINKÖPING</t>
        </is>
      </c>
      <c r="F510" t="inlineStr">
        <is>
          <t>Övriga Aktiebolag</t>
        </is>
      </c>
      <c r="G510" t="n">
        <v>0.6</v>
      </c>
      <c r="H510" t="n">
        <v>0</v>
      </c>
      <c r="I510" t="n">
        <v>0</v>
      </c>
      <c r="J510" t="n">
        <v>0</v>
      </c>
      <c r="K510" t="n">
        <v>0</v>
      </c>
      <c r="L510" t="n">
        <v>0</v>
      </c>
      <c r="M510" t="n">
        <v>0</v>
      </c>
      <c r="N510" t="n">
        <v>0</v>
      </c>
      <c r="O510" t="n">
        <v>0</v>
      </c>
      <c r="P510" t="n">
        <v>0</v>
      </c>
      <c r="Q510" t="n">
        <v>0</v>
      </c>
      <c r="R510" s="2" t="inlineStr"/>
    </row>
    <row r="511" ht="15" customHeight="1">
      <c r="A511" t="inlineStr">
        <is>
          <t>A 13911-2025</t>
        </is>
      </c>
      <c r="B511" s="1" t="n">
        <v>45737.64784722222</v>
      </c>
      <c r="C511" s="1" t="n">
        <v>45965</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23768-2025</t>
        </is>
      </c>
      <c r="B512" s="1" t="n">
        <v>45793.47493055555</v>
      </c>
      <c r="C512" s="1" t="n">
        <v>45965</v>
      </c>
      <c r="D512" t="inlineStr">
        <is>
          <t>ÖSTERGÖTLANDS LÄN</t>
        </is>
      </c>
      <c r="E512" t="inlineStr">
        <is>
          <t>LINKÖPING</t>
        </is>
      </c>
      <c r="G512" t="n">
        <v>3.4</v>
      </c>
      <c r="H512" t="n">
        <v>0</v>
      </c>
      <c r="I512" t="n">
        <v>0</v>
      </c>
      <c r="J512" t="n">
        <v>0</v>
      </c>
      <c r="K512" t="n">
        <v>0</v>
      </c>
      <c r="L512" t="n">
        <v>0</v>
      </c>
      <c r="M512" t="n">
        <v>0</v>
      </c>
      <c r="N512" t="n">
        <v>0</v>
      </c>
      <c r="O512" t="n">
        <v>0</v>
      </c>
      <c r="P512" t="n">
        <v>0</v>
      </c>
      <c r="Q512" t="n">
        <v>0</v>
      </c>
      <c r="R512" s="2" t="inlineStr"/>
    </row>
    <row r="513" ht="15" customHeight="1">
      <c r="A513" t="inlineStr">
        <is>
          <t>A 6387-2022</t>
        </is>
      </c>
      <c r="B513" s="1" t="n">
        <v>44600</v>
      </c>
      <c r="C513" s="1" t="n">
        <v>45965</v>
      </c>
      <c r="D513" t="inlineStr">
        <is>
          <t>ÖSTERGÖTLANDS LÄN</t>
        </is>
      </c>
      <c r="E513" t="inlineStr">
        <is>
          <t>LINKÖPING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56180-2024</t>
        </is>
      </c>
      <c r="B514" s="1" t="n">
        <v>45624.56611111111</v>
      </c>
      <c r="C514" s="1" t="n">
        <v>45965</v>
      </c>
      <c r="D514" t="inlineStr">
        <is>
          <t>ÖSTERGÖTLANDS LÄN</t>
        </is>
      </c>
      <c r="E514" t="inlineStr">
        <is>
          <t>LINKÖPING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34641-2022</t>
        </is>
      </c>
      <c r="B515" s="1" t="n">
        <v>44795</v>
      </c>
      <c r="C515" s="1" t="n">
        <v>45965</v>
      </c>
      <c r="D515" t="inlineStr">
        <is>
          <t>ÖSTERGÖTLANDS LÄN</t>
        </is>
      </c>
      <c r="E515" t="inlineStr">
        <is>
          <t>LINKÖPING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13687-2025</t>
        </is>
      </c>
      <c r="B516" s="1" t="n">
        <v>45737.31425925926</v>
      </c>
      <c r="C516" s="1" t="n">
        <v>45965</v>
      </c>
      <c r="D516" t="inlineStr">
        <is>
          <t>ÖSTERGÖTLANDS LÄN</t>
        </is>
      </c>
      <c r="E516" t="inlineStr">
        <is>
          <t>LINKÖPING</t>
        </is>
      </c>
      <c r="G516" t="n">
        <v>2.7</v>
      </c>
      <c r="H516" t="n">
        <v>0</v>
      </c>
      <c r="I516" t="n">
        <v>0</v>
      </c>
      <c r="J516" t="n">
        <v>0</v>
      </c>
      <c r="K516" t="n">
        <v>0</v>
      </c>
      <c r="L516" t="n">
        <v>0</v>
      </c>
      <c r="M516" t="n">
        <v>0</v>
      </c>
      <c r="N516" t="n">
        <v>0</v>
      </c>
      <c r="O516" t="n">
        <v>0</v>
      </c>
      <c r="P516" t="n">
        <v>0</v>
      </c>
      <c r="Q516" t="n">
        <v>0</v>
      </c>
      <c r="R516" s="2" t="inlineStr"/>
    </row>
    <row r="517" ht="15" customHeight="1">
      <c r="A517" t="inlineStr">
        <is>
          <t>A 13695-2025</t>
        </is>
      </c>
      <c r="B517" s="1" t="n">
        <v>45737.32219907407</v>
      </c>
      <c r="C517" s="1" t="n">
        <v>45965</v>
      </c>
      <c r="D517" t="inlineStr">
        <is>
          <t>ÖSTERGÖTLANDS LÄN</t>
        </is>
      </c>
      <c r="E517" t="inlineStr">
        <is>
          <t>LINKÖPING</t>
        </is>
      </c>
      <c r="G517" t="n">
        <v>5.3</v>
      </c>
      <c r="H517" t="n">
        <v>0</v>
      </c>
      <c r="I517" t="n">
        <v>0</v>
      </c>
      <c r="J517" t="n">
        <v>0</v>
      </c>
      <c r="K517" t="n">
        <v>0</v>
      </c>
      <c r="L517" t="n">
        <v>0</v>
      </c>
      <c r="M517" t="n">
        <v>0</v>
      </c>
      <c r="N517" t="n">
        <v>0</v>
      </c>
      <c r="O517" t="n">
        <v>0</v>
      </c>
      <c r="P517" t="n">
        <v>0</v>
      </c>
      <c r="Q517" t="n">
        <v>0</v>
      </c>
      <c r="R517" s="2" t="inlineStr"/>
    </row>
    <row r="518" ht="15" customHeight="1">
      <c r="A518" t="inlineStr">
        <is>
          <t>A 47606-2025</t>
        </is>
      </c>
      <c r="B518" s="1" t="n">
        <v>45931.46402777778</v>
      </c>
      <c r="C518" s="1" t="n">
        <v>45965</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938-2023</t>
        </is>
      </c>
      <c r="B519" s="1" t="n">
        <v>44933</v>
      </c>
      <c r="C519" s="1" t="n">
        <v>45965</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25418-2023</t>
        </is>
      </c>
      <c r="B520" s="1" t="n">
        <v>45089</v>
      </c>
      <c r="C520" s="1" t="n">
        <v>45965</v>
      </c>
      <c r="D520" t="inlineStr">
        <is>
          <t>ÖSTERGÖTLANDS LÄN</t>
        </is>
      </c>
      <c r="E520" t="inlineStr">
        <is>
          <t>LINKÖPING</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60007-2022</t>
        </is>
      </c>
      <c r="B521" s="1" t="n">
        <v>44909.47282407407</v>
      </c>
      <c r="C521" s="1" t="n">
        <v>45965</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52413-2023</t>
        </is>
      </c>
      <c r="B522" s="1" t="n">
        <v>45225.27950231481</v>
      </c>
      <c r="C522" s="1" t="n">
        <v>45965</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11601-2023</t>
        </is>
      </c>
      <c r="B523" s="1" t="n">
        <v>44994</v>
      </c>
      <c r="C523" s="1" t="n">
        <v>45965</v>
      </c>
      <c r="D523" t="inlineStr">
        <is>
          <t>ÖSTERGÖTLANDS LÄN</t>
        </is>
      </c>
      <c r="E523" t="inlineStr">
        <is>
          <t>LINKÖPING</t>
        </is>
      </c>
      <c r="G523" t="n">
        <v>1.7</v>
      </c>
      <c r="H523" t="n">
        <v>0</v>
      </c>
      <c r="I523" t="n">
        <v>0</v>
      </c>
      <c r="J523" t="n">
        <v>0</v>
      </c>
      <c r="K523" t="n">
        <v>0</v>
      </c>
      <c r="L523" t="n">
        <v>0</v>
      </c>
      <c r="M523" t="n">
        <v>0</v>
      </c>
      <c r="N523" t="n">
        <v>0</v>
      </c>
      <c r="O523" t="n">
        <v>0</v>
      </c>
      <c r="P523" t="n">
        <v>0</v>
      </c>
      <c r="Q523" t="n">
        <v>0</v>
      </c>
      <c r="R523" s="2" t="inlineStr"/>
    </row>
    <row r="524" ht="15" customHeight="1">
      <c r="A524" t="inlineStr">
        <is>
          <t>A 42054-2022</t>
        </is>
      </c>
      <c r="B524" s="1" t="n">
        <v>44830</v>
      </c>
      <c r="C524" s="1" t="n">
        <v>45965</v>
      </c>
      <c r="D524" t="inlineStr">
        <is>
          <t>ÖSTERGÖTLANDS LÄN</t>
        </is>
      </c>
      <c r="E524" t="inlineStr">
        <is>
          <t>LINKÖPING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53797-2023</t>
        </is>
      </c>
      <c r="B525" s="1" t="n">
        <v>45230</v>
      </c>
      <c r="C525" s="1" t="n">
        <v>45965</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22833-2023</t>
        </is>
      </c>
      <c r="B526" s="1" t="n">
        <v>45071</v>
      </c>
      <c r="C526" s="1" t="n">
        <v>45965</v>
      </c>
      <c r="D526" t="inlineStr">
        <is>
          <t>ÖSTERGÖTLANDS LÄN</t>
        </is>
      </c>
      <c r="E526" t="inlineStr">
        <is>
          <t>LINKÖPING</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44280-2024</t>
        </is>
      </c>
      <c r="B527" s="1" t="n">
        <v>45573.49461805556</v>
      </c>
      <c r="C527" s="1" t="n">
        <v>45965</v>
      </c>
      <c r="D527" t="inlineStr">
        <is>
          <t>ÖSTERGÖTLANDS LÄN</t>
        </is>
      </c>
      <c r="E527" t="inlineStr">
        <is>
          <t>LINKÖPING</t>
        </is>
      </c>
      <c r="G527" t="n">
        <v>5.3</v>
      </c>
      <c r="H527" t="n">
        <v>0</v>
      </c>
      <c r="I527" t="n">
        <v>0</v>
      </c>
      <c r="J527" t="n">
        <v>0</v>
      </c>
      <c r="K527" t="n">
        <v>0</v>
      </c>
      <c r="L527" t="n">
        <v>0</v>
      </c>
      <c r="M527" t="n">
        <v>0</v>
      </c>
      <c r="N527" t="n">
        <v>0</v>
      </c>
      <c r="O527" t="n">
        <v>0</v>
      </c>
      <c r="P527" t="n">
        <v>0</v>
      </c>
      <c r="Q527" t="n">
        <v>0</v>
      </c>
      <c r="R527" s="2" t="inlineStr"/>
    </row>
    <row r="528" ht="15" customHeight="1">
      <c r="A528" t="inlineStr">
        <is>
          <t>A 1260-2023</t>
        </is>
      </c>
      <c r="B528" s="1" t="n">
        <v>44936</v>
      </c>
      <c r="C528" s="1" t="n">
        <v>45965</v>
      </c>
      <c r="D528" t="inlineStr">
        <is>
          <t>ÖSTERGÖTLANDS LÄN</t>
        </is>
      </c>
      <c r="E528" t="inlineStr">
        <is>
          <t>LINKÖPING</t>
        </is>
      </c>
      <c r="G528" t="n">
        <v>1.2</v>
      </c>
      <c r="H528" t="n">
        <v>0</v>
      </c>
      <c r="I528" t="n">
        <v>0</v>
      </c>
      <c r="J528" t="n">
        <v>0</v>
      </c>
      <c r="K528" t="n">
        <v>0</v>
      </c>
      <c r="L528" t="n">
        <v>0</v>
      </c>
      <c r="M528" t="n">
        <v>0</v>
      </c>
      <c r="N528" t="n">
        <v>0</v>
      </c>
      <c r="O528" t="n">
        <v>0</v>
      </c>
      <c r="P528" t="n">
        <v>0</v>
      </c>
      <c r="Q528" t="n">
        <v>0</v>
      </c>
      <c r="R528" s="2" t="inlineStr"/>
    </row>
    <row r="529" ht="15" customHeight="1">
      <c r="A529" t="inlineStr">
        <is>
          <t>A 17898-2022</t>
        </is>
      </c>
      <c r="B529" s="1" t="n">
        <v>44683</v>
      </c>
      <c r="C529" s="1" t="n">
        <v>45965</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7702-2023</t>
        </is>
      </c>
      <c r="B530" s="1" t="n">
        <v>44967</v>
      </c>
      <c r="C530" s="1" t="n">
        <v>45965</v>
      </c>
      <c r="D530" t="inlineStr">
        <is>
          <t>ÖSTERGÖTLANDS LÄN</t>
        </is>
      </c>
      <c r="E530" t="inlineStr">
        <is>
          <t>LINKÖPING</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62017-2024</t>
        </is>
      </c>
      <c r="B531" s="1" t="n">
        <v>45655.81140046296</v>
      </c>
      <c r="C531" s="1" t="n">
        <v>45965</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674-2024</t>
        </is>
      </c>
      <c r="B532" s="1" t="n">
        <v>45300.34408564815</v>
      </c>
      <c r="C532" s="1" t="n">
        <v>45965</v>
      </c>
      <c r="D532" t="inlineStr">
        <is>
          <t>ÖSTERGÖTLANDS LÄN</t>
        </is>
      </c>
      <c r="E532" t="inlineStr">
        <is>
          <t>LINKÖPING</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63684-2023</t>
        </is>
      </c>
      <c r="B533" s="1" t="n">
        <v>45275</v>
      </c>
      <c r="C533" s="1" t="n">
        <v>45965</v>
      </c>
      <c r="D533" t="inlineStr">
        <is>
          <t>ÖSTERGÖTLANDS LÄN</t>
        </is>
      </c>
      <c r="E533" t="inlineStr">
        <is>
          <t>LINKÖPING</t>
        </is>
      </c>
      <c r="G533" t="n">
        <v>0.4</v>
      </c>
      <c r="H533" t="n">
        <v>0</v>
      </c>
      <c r="I533" t="n">
        <v>0</v>
      </c>
      <c r="J533" t="n">
        <v>0</v>
      </c>
      <c r="K533" t="n">
        <v>0</v>
      </c>
      <c r="L533" t="n">
        <v>0</v>
      </c>
      <c r="M533" t="n">
        <v>0</v>
      </c>
      <c r="N533" t="n">
        <v>0</v>
      </c>
      <c r="O533" t="n">
        <v>0</v>
      </c>
      <c r="P533" t="n">
        <v>0</v>
      </c>
      <c r="Q533" t="n">
        <v>0</v>
      </c>
      <c r="R533" s="2" t="inlineStr"/>
    </row>
    <row r="534" ht="15" customHeight="1">
      <c r="A534" t="inlineStr">
        <is>
          <t>A 167-2024</t>
        </is>
      </c>
      <c r="B534" s="1" t="n">
        <v>45294</v>
      </c>
      <c r="C534" s="1" t="n">
        <v>45965</v>
      </c>
      <c r="D534" t="inlineStr">
        <is>
          <t>ÖSTERGÖTLANDS LÄN</t>
        </is>
      </c>
      <c r="E534" t="inlineStr">
        <is>
          <t>LINKÖPING</t>
        </is>
      </c>
      <c r="F534" t="inlineStr">
        <is>
          <t>Allmännings- och besparingsskogar</t>
        </is>
      </c>
      <c r="G534" t="n">
        <v>11.6</v>
      </c>
      <c r="H534" t="n">
        <v>0</v>
      </c>
      <c r="I534" t="n">
        <v>0</v>
      </c>
      <c r="J534" t="n">
        <v>0</v>
      </c>
      <c r="K534" t="n">
        <v>0</v>
      </c>
      <c r="L534" t="n">
        <v>0</v>
      </c>
      <c r="M534" t="n">
        <v>0</v>
      </c>
      <c r="N534" t="n">
        <v>0</v>
      </c>
      <c r="O534" t="n">
        <v>0</v>
      </c>
      <c r="P534" t="n">
        <v>0</v>
      </c>
      <c r="Q534" t="n">
        <v>0</v>
      </c>
      <c r="R534" s="2" t="inlineStr"/>
    </row>
    <row r="535" ht="15" customHeight="1">
      <c r="A535" t="inlineStr">
        <is>
          <t>A 36725-2023</t>
        </is>
      </c>
      <c r="B535" s="1" t="n">
        <v>45153.68471064815</v>
      </c>
      <c r="C535" s="1" t="n">
        <v>45965</v>
      </c>
      <c r="D535" t="inlineStr">
        <is>
          <t>ÖSTERGÖTLANDS LÄN</t>
        </is>
      </c>
      <c r="E535" t="inlineStr">
        <is>
          <t>LINKÖPING</t>
        </is>
      </c>
      <c r="F535" t="inlineStr">
        <is>
          <t>Allmännings- och besparingsskogar</t>
        </is>
      </c>
      <c r="G535" t="n">
        <v>2.6</v>
      </c>
      <c r="H535" t="n">
        <v>0</v>
      </c>
      <c r="I535" t="n">
        <v>0</v>
      </c>
      <c r="J535" t="n">
        <v>0</v>
      </c>
      <c r="K535" t="n">
        <v>0</v>
      </c>
      <c r="L535" t="n">
        <v>0</v>
      </c>
      <c r="M535" t="n">
        <v>0</v>
      </c>
      <c r="N535" t="n">
        <v>0</v>
      </c>
      <c r="O535" t="n">
        <v>0</v>
      </c>
      <c r="P535" t="n">
        <v>0</v>
      </c>
      <c r="Q535" t="n">
        <v>0</v>
      </c>
      <c r="R535" s="2" t="inlineStr"/>
    </row>
    <row r="536" ht="15" customHeight="1">
      <c r="A536" t="inlineStr">
        <is>
          <t>A 12411-2022</t>
        </is>
      </c>
      <c r="B536" s="1" t="n">
        <v>44638.21601851852</v>
      </c>
      <c r="C536" s="1" t="n">
        <v>45965</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10492-2022</t>
        </is>
      </c>
      <c r="B537" s="1" t="n">
        <v>44623.6377199074</v>
      </c>
      <c r="C537" s="1" t="n">
        <v>45965</v>
      </c>
      <c r="D537" t="inlineStr">
        <is>
          <t>ÖSTERGÖTLANDS LÄN</t>
        </is>
      </c>
      <c r="E537" t="inlineStr">
        <is>
          <t>LINKÖPING</t>
        </is>
      </c>
      <c r="G537" t="n">
        <v>2.1</v>
      </c>
      <c r="H537" t="n">
        <v>0</v>
      </c>
      <c r="I537" t="n">
        <v>0</v>
      </c>
      <c r="J537" t="n">
        <v>0</v>
      </c>
      <c r="K537" t="n">
        <v>0</v>
      </c>
      <c r="L537" t="n">
        <v>0</v>
      </c>
      <c r="M537" t="n">
        <v>0</v>
      </c>
      <c r="N537" t="n">
        <v>0</v>
      </c>
      <c r="O537" t="n">
        <v>0</v>
      </c>
      <c r="P537" t="n">
        <v>0</v>
      </c>
      <c r="Q537" t="n">
        <v>0</v>
      </c>
      <c r="R537" s="2" t="inlineStr"/>
    </row>
    <row r="538" ht="15" customHeight="1">
      <c r="A538" t="inlineStr">
        <is>
          <t>A 27343-2023</t>
        </is>
      </c>
      <c r="B538" s="1" t="n">
        <v>45096</v>
      </c>
      <c r="C538" s="1" t="n">
        <v>45965</v>
      </c>
      <c r="D538" t="inlineStr">
        <is>
          <t>ÖSTERGÖTLANDS LÄN</t>
        </is>
      </c>
      <c r="E538" t="inlineStr">
        <is>
          <t>LINKÖPING</t>
        </is>
      </c>
      <c r="F538" t="inlineStr">
        <is>
          <t>Allmännings- och besparingsskogar</t>
        </is>
      </c>
      <c r="G538" t="n">
        <v>6.9</v>
      </c>
      <c r="H538" t="n">
        <v>0</v>
      </c>
      <c r="I538" t="n">
        <v>0</v>
      </c>
      <c r="J538" t="n">
        <v>0</v>
      </c>
      <c r="K538" t="n">
        <v>0</v>
      </c>
      <c r="L538" t="n">
        <v>0</v>
      </c>
      <c r="M538" t="n">
        <v>0</v>
      </c>
      <c r="N538" t="n">
        <v>0</v>
      </c>
      <c r="O538" t="n">
        <v>0</v>
      </c>
      <c r="P538" t="n">
        <v>0</v>
      </c>
      <c r="Q538" t="n">
        <v>0</v>
      </c>
      <c r="R538" s="2" t="inlineStr"/>
    </row>
    <row r="539" ht="15" customHeight="1">
      <c r="A539" t="inlineStr">
        <is>
          <t>A 25996-2025</t>
        </is>
      </c>
      <c r="B539" s="1" t="n">
        <v>45804.65851851852</v>
      </c>
      <c r="C539" s="1" t="n">
        <v>45965</v>
      </c>
      <c r="D539" t="inlineStr">
        <is>
          <t>ÖSTERGÖTLANDS LÄN</t>
        </is>
      </c>
      <c r="E539" t="inlineStr">
        <is>
          <t>LINKÖPING</t>
        </is>
      </c>
      <c r="G539" t="n">
        <v>3.2</v>
      </c>
      <c r="H539" t="n">
        <v>0</v>
      </c>
      <c r="I539" t="n">
        <v>0</v>
      </c>
      <c r="J539" t="n">
        <v>0</v>
      </c>
      <c r="K539" t="n">
        <v>0</v>
      </c>
      <c r="L539" t="n">
        <v>0</v>
      </c>
      <c r="M539" t="n">
        <v>0</v>
      </c>
      <c r="N539" t="n">
        <v>0</v>
      </c>
      <c r="O539" t="n">
        <v>0</v>
      </c>
      <c r="P539" t="n">
        <v>0</v>
      </c>
      <c r="Q539" t="n">
        <v>0</v>
      </c>
      <c r="R539" s="2" t="inlineStr"/>
    </row>
    <row r="540" ht="15" customHeight="1">
      <c r="A540" t="inlineStr">
        <is>
          <t>A 22774-2024</t>
        </is>
      </c>
      <c r="B540" s="1" t="n">
        <v>45448.46924768519</v>
      </c>
      <c r="C540" s="1" t="n">
        <v>45965</v>
      </c>
      <c r="D540" t="inlineStr">
        <is>
          <t>ÖSTERGÖTLANDS LÄN</t>
        </is>
      </c>
      <c r="E540" t="inlineStr">
        <is>
          <t>LINKÖPING</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22778-2024</t>
        </is>
      </c>
      <c r="B541" s="1" t="n">
        <v>45448.47233796296</v>
      </c>
      <c r="C541" s="1" t="n">
        <v>45965</v>
      </c>
      <c r="D541" t="inlineStr">
        <is>
          <t>ÖSTERGÖTLANDS LÄN</t>
        </is>
      </c>
      <c r="E541" t="inlineStr">
        <is>
          <t>LINKÖPING</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7343-2025</t>
        </is>
      </c>
      <c r="B542" s="1" t="n">
        <v>45703.67853009259</v>
      </c>
      <c r="C542" s="1" t="n">
        <v>45965</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26002-2025</t>
        </is>
      </c>
      <c r="B543" s="1" t="n">
        <v>45804.66534722222</v>
      </c>
      <c r="C543" s="1" t="n">
        <v>45965</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8967-2025</t>
        </is>
      </c>
      <c r="B544" s="1" t="n">
        <v>45712</v>
      </c>
      <c r="C544" s="1" t="n">
        <v>45965</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35427-2023</t>
        </is>
      </c>
      <c r="B545" s="1" t="n">
        <v>45146</v>
      </c>
      <c r="C545" s="1" t="n">
        <v>45965</v>
      </c>
      <c r="D545" t="inlineStr">
        <is>
          <t>ÖSTERGÖTLANDS LÄN</t>
        </is>
      </c>
      <c r="E545" t="inlineStr">
        <is>
          <t>LINKÖPING</t>
        </is>
      </c>
      <c r="F545" t="inlineStr">
        <is>
          <t>Övriga Aktiebolag</t>
        </is>
      </c>
      <c r="G545" t="n">
        <v>2.5</v>
      </c>
      <c r="H545" t="n">
        <v>0</v>
      </c>
      <c r="I545" t="n">
        <v>0</v>
      </c>
      <c r="J545" t="n">
        <v>0</v>
      </c>
      <c r="K545" t="n">
        <v>0</v>
      </c>
      <c r="L545" t="n">
        <v>0</v>
      </c>
      <c r="M545" t="n">
        <v>0</v>
      </c>
      <c r="N545" t="n">
        <v>0</v>
      </c>
      <c r="O545" t="n">
        <v>0</v>
      </c>
      <c r="P545" t="n">
        <v>0</v>
      </c>
      <c r="Q545" t="n">
        <v>0</v>
      </c>
      <c r="R545" s="2" t="inlineStr"/>
    </row>
    <row r="546" ht="15" customHeight="1">
      <c r="A546" t="inlineStr">
        <is>
          <t>A 34864-2023</t>
        </is>
      </c>
      <c r="B546" s="1" t="n">
        <v>45141</v>
      </c>
      <c r="C546" s="1" t="n">
        <v>45965</v>
      </c>
      <c r="D546" t="inlineStr">
        <is>
          <t>ÖSTERGÖTLANDS LÄN</t>
        </is>
      </c>
      <c r="E546" t="inlineStr">
        <is>
          <t>LINKÖPING</t>
        </is>
      </c>
      <c r="G546" t="n">
        <v>3.3</v>
      </c>
      <c r="H546" t="n">
        <v>0</v>
      </c>
      <c r="I546" t="n">
        <v>0</v>
      </c>
      <c r="J546" t="n">
        <v>0</v>
      </c>
      <c r="K546" t="n">
        <v>0</v>
      </c>
      <c r="L546" t="n">
        <v>0</v>
      </c>
      <c r="M546" t="n">
        <v>0</v>
      </c>
      <c r="N546" t="n">
        <v>0</v>
      </c>
      <c r="O546" t="n">
        <v>0</v>
      </c>
      <c r="P546" t="n">
        <v>0</v>
      </c>
      <c r="Q546" t="n">
        <v>0</v>
      </c>
      <c r="R546" s="2" t="inlineStr"/>
    </row>
    <row r="547" ht="15" customHeight="1">
      <c r="A547" t="inlineStr">
        <is>
          <t>A 30468-2023</t>
        </is>
      </c>
      <c r="B547" s="1" t="n">
        <v>45111.58732638889</v>
      </c>
      <c r="C547" s="1" t="n">
        <v>45965</v>
      </c>
      <c r="D547" t="inlineStr">
        <is>
          <t>ÖSTERGÖTLANDS LÄN</t>
        </is>
      </c>
      <c r="E547" t="inlineStr">
        <is>
          <t>LINKÖPING</t>
        </is>
      </c>
      <c r="G547" t="n">
        <v>10.1</v>
      </c>
      <c r="H547" t="n">
        <v>0</v>
      </c>
      <c r="I547" t="n">
        <v>0</v>
      </c>
      <c r="J547" t="n">
        <v>0</v>
      </c>
      <c r="K547" t="n">
        <v>0</v>
      </c>
      <c r="L547" t="n">
        <v>0</v>
      </c>
      <c r="M547" t="n">
        <v>0</v>
      </c>
      <c r="N547" t="n">
        <v>0</v>
      </c>
      <c r="O547" t="n">
        <v>0</v>
      </c>
      <c r="P547" t="n">
        <v>0</v>
      </c>
      <c r="Q547" t="n">
        <v>0</v>
      </c>
      <c r="R547" s="2" t="inlineStr"/>
    </row>
    <row r="548" ht="15" customHeight="1">
      <c r="A548" t="inlineStr">
        <is>
          <t>A 52531-2023</t>
        </is>
      </c>
      <c r="B548" s="1" t="n">
        <v>45225</v>
      </c>
      <c r="C548" s="1" t="n">
        <v>45965</v>
      </c>
      <c r="D548" t="inlineStr">
        <is>
          <t>ÖSTERGÖTLANDS LÄN</t>
        </is>
      </c>
      <c r="E548" t="inlineStr">
        <is>
          <t>LINKÖPING</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34930-2023</t>
        </is>
      </c>
      <c r="B549" s="1" t="n">
        <v>45142</v>
      </c>
      <c r="C549" s="1" t="n">
        <v>45965</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30985-2022</t>
        </is>
      </c>
      <c r="B550" s="1" t="n">
        <v>44768</v>
      </c>
      <c r="C550" s="1" t="n">
        <v>45965</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20296-2025</t>
        </is>
      </c>
      <c r="B551" s="1" t="n">
        <v>45774.74922453704</v>
      </c>
      <c r="C551" s="1" t="n">
        <v>45965</v>
      </c>
      <c r="D551" t="inlineStr">
        <is>
          <t>ÖSTERGÖTLANDS LÄN</t>
        </is>
      </c>
      <c r="E551" t="inlineStr">
        <is>
          <t>LINKÖPING</t>
        </is>
      </c>
      <c r="G551" t="n">
        <v>2.2</v>
      </c>
      <c r="H551" t="n">
        <v>0</v>
      </c>
      <c r="I551" t="n">
        <v>0</v>
      </c>
      <c r="J551" t="n">
        <v>0</v>
      </c>
      <c r="K551" t="n">
        <v>0</v>
      </c>
      <c r="L551" t="n">
        <v>0</v>
      </c>
      <c r="M551" t="n">
        <v>0</v>
      </c>
      <c r="N551" t="n">
        <v>0</v>
      </c>
      <c r="O551" t="n">
        <v>0</v>
      </c>
      <c r="P551" t="n">
        <v>0</v>
      </c>
      <c r="Q551" t="n">
        <v>0</v>
      </c>
      <c r="R551" s="2" t="inlineStr"/>
    </row>
    <row r="552" ht="15" customHeight="1">
      <c r="A552" t="inlineStr">
        <is>
          <t>A 56841-2023</t>
        </is>
      </c>
      <c r="B552" s="1" t="n">
        <v>45244</v>
      </c>
      <c r="C552" s="1" t="n">
        <v>45965</v>
      </c>
      <c r="D552" t="inlineStr">
        <is>
          <t>ÖSTERGÖTLANDS LÄN</t>
        </is>
      </c>
      <c r="E552" t="inlineStr">
        <is>
          <t>LINKÖPING</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40169-2025</t>
        </is>
      </c>
      <c r="B553" s="1" t="n">
        <v>45894.62824074074</v>
      </c>
      <c r="C553" s="1" t="n">
        <v>45965</v>
      </c>
      <c r="D553" t="inlineStr">
        <is>
          <t>ÖSTERGÖTLANDS LÄN</t>
        </is>
      </c>
      <c r="E553" t="inlineStr">
        <is>
          <t>LINKÖPING</t>
        </is>
      </c>
      <c r="G553" t="n">
        <v>2.8</v>
      </c>
      <c r="H553" t="n">
        <v>0</v>
      </c>
      <c r="I553" t="n">
        <v>0</v>
      </c>
      <c r="J553" t="n">
        <v>0</v>
      </c>
      <c r="K553" t="n">
        <v>0</v>
      </c>
      <c r="L553" t="n">
        <v>0</v>
      </c>
      <c r="M553" t="n">
        <v>0</v>
      </c>
      <c r="N553" t="n">
        <v>0</v>
      </c>
      <c r="O553" t="n">
        <v>0</v>
      </c>
      <c r="P553" t="n">
        <v>0</v>
      </c>
      <c r="Q553" t="n">
        <v>0</v>
      </c>
      <c r="R553" s="2" t="inlineStr"/>
    </row>
    <row r="554" ht="15" customHeight="1">
      <c r="A554" t="inlineStr">
        <is>
          <t>A 48343-2025</t>
        </is>
      </c>
      <c r="B554" s="1" t="n">
        <v>45932</v>
      </c>
      <c r="C554" s="1" t="n">
        <v>45965</v>
      </c>
      <c r="D554" t="inlineStr">
        <is>
          <t>ÖSTERGÖTLANDS LÄN</t>
        </is>
      </c>
      <c r="E554" t="inlineStr">
        <is>
          <t>LINKÖPING</t>
        </is>
      </c>
      <c r="F554" t="inlineStr">
        <is>
          <t>Övriga Aktiebolag</t>
        </is>
      </c>
      <c r="G554" t="n">
        <v>2</v>
      </c>
      <c r="H554" t="n">
        <v>0</v>
      </c>
      <c r="I554" t="n">
        <v>0</v>
      </c>
      <c r="J554" t="n">
        <v>0</v>
      </c>
      <c r="K554" t="n">
        <v>0</v>
      </c>
      <c r="L554" t="n">
        <v>0</v>
      </c>
      <c r="M554" t="n">
        <v>0</v>
      </c>
      <c r="N554" t="n">
        <v>0</v>
      </c>
      <c r="O554" t="n">
        <v>0</v>
      </c>
      <c r="P554" t="n">
        <v>0</v>
      </c>
      <c r="Q554" t="n">
        <v>0</v>
      </c>
      <c r="R554" s="2" t="inlineStr"/>
    </row>
    <row r="555" ht="15" customHeight="1">
      <c r="A555" t="inlineStr">
        <is>
          <t>A 59642-2024</t>
        </is>
      </c>
      <c r="B555" s="1" t="n">
        <v>45639.31511574074</v>
      </c>
      <c r="C555" s="1" t="n">
        <v>45965</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15748-2025</t>
        </is>
      </c>
      <c r="B556" s="1" t="n">
        <v>45748.55282407408</v>
      </c>
      <c r="C556" s="1" t="n">
        <v>45965</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31792-2021</t>
        </is>
      </c>
      <c r="B557" s="1" t="n">
        <v>44369</v>
      </c>
      <c r="C557" s="1" t="n">
        <v>45965</v>
      </c>
      <c r="D557" t="inlineStr">
        <is>
          <t>ÖSTERGÖTLANDS LÄN</t>
        </is>
      </c>
      <c r="E557" t="inlineStr">
        <is>
          <t>LINKÖPING</t>
        </is>
      </c>
      <c r="G557" t="n">
        <v>1.9</v>
      </c>
      <c r="H557" t="n">
        <v>0</v>
      </c>
      <c r="I557" t="n">
        <v>0</v>
      </c>
      <c r="J557" t="n">
        <v>0</v>
      </c>
      <c r="K557" t="n">
        <v>0</v>
      </c>
      <c r="L557" t="n">
        <v>0</v>
      </c>
      <c r="M557" t="n">
        <v>0</v>
      </c>
      <c r="N557" t="n">
        <v>0</v>
      </c>
      <c r="O557" t="n">
        <v>0</v>
      </c>
      <c r="P557" t="n">
        <v>0</v>
      </c>
      <c r="Q557" t="n">
        <v>0</v>
      </c>
      <c r="R557" s="2" t="inlineStr"/>
    </row>
    <row r="558" ht="15" customHeight="1">
      <c r="A558" t="inlineStr">
        <is>
          <t>A 25097-2023</t>
        </is>
      </c>
      <c r="B558" s="1" t="n">
        <v>45086</v>
      </c>
      <c r="C558" s="1" t="n">
        <v>45965</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53812-2023</t>
        </is>
      </c>
      <c r="B559" s="1" t="n">
        <v>45231.39583333334</v>
      </c>
      <c r="C559" s="1" t="n">
        <v>45965</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53830-2023</t>
        </is>
      </c>
      <c r="B560" s="1" t="n">
        <v>45230</v>
      </c>
      <c r="C560" s="1" t="n">
        <v>45965</v>
      </c>
      <c r="D560" t="inlineStr">
        <is>
          <t>ÖSTERGÖTLANDS LÄN</t>
        </is>
      </c>
      <c r="E560" t="inlineStr">
        <is>
          <t>LINKÖPING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35735-2023</t>
        </is>
      </c>
      <c r="B561" s="1" t="n">
        <v>45147</v>
      </c>
      <c r="C561" s="1" t="n">
        <v>45965</v>
      </c>
      <c r="D561" t="inlineStr">
        <is>
          <t>ÖSTERGÖTLANDS LÄN</t>
        </is>
      </c>
      <c r="E561" t="inlineStr">
        <is>
          <t>LINKÖPING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16462-2021</t>
        </is>
      </c>
      <c r="B562" s="1" t="n">
        <v>44293</v>
      </c>
      <c r="C562" s="1" t="n">
        <v>45965</v>
      </c>
      <c r="D562" t="inlineStr">
        <is>
          <t>ÖSTERGÖTLANDS LÄN</t>
        </is>
      </c>
      <c r="E562" t="inlineStr">
        <is>
          <t>LINKÖPING</t>
        </is>
      </c>
      <c r="F562" t="inlineStr">
        <is>
          <t>Allmännings- och besparingsskogar</t>
        </is>
      </c>
      <c r="G562" t="n">
        <v>24.7</v>
      </c>
      <c r="H562" t="n">
        <v>0</v>
      </c>
      <c r="I562" t="n">
        <v>0</v>
      </c>
      <c r="J562" t="n">
        <v>0</v>
      </c>
      <c r="K562" t="n">
        <v>0</v>
      </c>
      <c r="L562" t="n">
        <v>0</v>
      </c>
      <c r="M562" t="n">
        <v>0</v>
      </c>
      <c r="N562" t="n">
        <v>0</v>
      </c>
      <c r="O562" t="n">
        <v>0</v>
      </c>
      <c r="P562" t="n">
        <v>0</v>
      </c>
      <c r="Q562" t="n">
        <v>0</v>
      </c>
      <c r="R562" s="2" t="inlineStr"/>
    </row>
    <row r="563" ht="15" customHeight="1">
      <c r="A563" t="inlineStr">
        <is>
          <t>A 25776-2021</t>
        </is>
      </c>
      <c r="B563" s="1" t="n">
        <v>44343</v>
      </c>
      <c r="C563" s="1" t="n">
        <v>45965</v>
      </c>
      <c r="D563" t="inlineStr">
        <is>
          <t>ÖSTERGÖTLANDS LÄN</t>
        </is>
      </c>
      <c r="E563" t="inlineStr">
        <is>
          <t>LINKÖPING</t>
        </is>
      </c>
      <c r="G563" t="n">
        <v>2.6</v>
      </c>
      <c r="H563" t="n">
        <v>0</v>
      </c>
      <c r="I563" t="n">
        <v>0</v>
      </c>
      <c r="J563" t="n">
        <v>0</v>
      </c>
      <c r="K563" t="n">
        <v>0</v>
      </c>
      <c r="L563" t="n">
        <v>0</v>
      </c>
      <c r="M563" t="n">
        <v>0</v>
      </c>
      <c r="N563" t="n">
        <v>0</v>
      </c>
      <c r="O563" t="n">
        <v>0</v>
      </c>
      <c r="P563" t="n">
        <v>0</v>
      </c>
      <c r="Q563" t="n">
        <v>0</v>
      </c>
      <c r="R563" s="2" t="inlineStr"/>
    </row>
    <row r="564" ht="15" customHeight="1">
      <c r="A564" t="inlineStr">
        <is>
          <t>A 30856-2022</t>
        </is>
      </c>
      <c r="B564" s="1" t="n">
        <v>44767</v>
      </c>
      <c r="C564" s="1" t="n">
        <v>45965</v>
      </c>
      <c r="D564" t="inlineStr">
        <is>
          <t>ÖSTERGÖTLANDS LÄN</t>
        </is>
      </c>
      <c r="E564" t="inlineStr">
        <is>
          <t>LINKÖPING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38715-2023</t>
        </is>
      </c>
      <c r="B565" s="1" t="n">
        <v>45160</v>
      </c>
      <c r="C565" s="1" t="n">
        <v>45965</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19187-2021</t>
        </is>
      </c>
      <c r="B566" s="1" t="n">
        <v>44308</v>
      </c>
      <c r="C566" s="1" t="n">
        <v>45965</v>
      </c>
      <c r="D566" t="inlineStr">
        <is>
          <t>ÖSTERGÖTLANDS LÄN</t>
        </is>
      </c>
      <c r="E566" t="inlineStr">
        <is>
          <t>LINKÖPING</t>
        </is>
      </c>
      <c r="F566" t="inlineStr">
        <is>
          <t>Allmännings- och besparingsskogar</t>
        </is>
      </c>
      <c r="G566" t="n">
        <v>20</v>
      </c>
      <c r="H566" t="n">
        <v>0</v>
      </c>
      <c r="I566" t="n">
        <v>0</v>
      </c>
      <c r="J566" t="n">
        <v>0</v>
      </c>
      <c r="K566" t="n">
        <v>0</v>
      </c>
      <c r="L566" t="n">
        <v>0</v>
      </c>
      <c r="M566" t="n">
        <v>0</v>
      </c>
      <c r="N566" t="n">
        <v>0</v>
      </c>
      <c r="O566" t="n">
        <v>0</v>
      </c>
      <c r="P566" t="n">
        <v>0</v>
      </c>
      <c r="Q566" t="n">
        <v>0</v>
      </c>
      <c r="R566" s="2" t="inlineStr"/>
    </row>
    <row r="567" ht="15" customHeight="1">
      <c r="A567" t="inlineStr">
        <is>
          <t>A 28200-2025</t>
        </is>
      </c>
      <c r="B567" s="1" t="n">
        <v>45818.4428125</v>
      </c>
      <c r="C567" s="1" t="n">
        <v>45965</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39219-2021</t>
        </is>
      </c>
      <c r="B568" s="1" t="n">
        <v>44413</v>
      </c>
      <c r="C568" s="1" t="n">
        <v>45965</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39224-2021</t>
        </is>
      </c>
      <c r="B569" s="1" t="n">
        <v>44413</v>
      </c>
      <c r="C569" s="1" t="n">
        <v>45965</v>
      </c>
      <c r="D569" t="inlineStr">
        <is>
          <t>ÖSTERGÖTLANDS LÄN</t>
        </is>
      </c>
      <c r="E569" t="inlineStr">
        <is>
          <t>LINKÖPING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27950-2025</t>
        </is>
      </c>
      <c r="B570" s="1" t="n">
        <v>45817.52960648148</v>
      </c>
      <c r="C570" s="1" t="n">
        <v>45965</v>
      </c>
      <c r="D570" t="inlineStr">
        <is>
          <t>ÖSTERGÖTLANDS LÄN</t>
        </is>
      </c>
      <c r="E570" t="inlineStr">
        <is>
          <t>LINKÖPING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27797-2025</t>
        </is>
      </c>
      <c r="B571" s="1" t="n">
        <v>45816.80521990741</v>
      </c>
      <c r="C571" s="1" t="n">
        <v>45965</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27798-2025</t>
        </is>
      </c>
      <c r="B572" s="1" t="n">
        <v>45816.81532407407</v>
      </c>
      <c r="C572" s="1" t="n">
        <v>45965</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48266-2025</t>
        </is>
      </c>
      <c r="B573" s="1" t="n">
        <v>45932</v>
      </c>
      <c r="C573" s="1" t="n">
        <v>45965</v>
      </c>
      <c r="D573" t="inlineStr">
        <is>
          <t>ÖSTERGÖTLANDS LÄN</t>
        </is>
      </c>
      <c r="E573" t="inlineStr">
        <is>
          <t>LINKÖPING</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28209-2025</t>
        </is>
      </c>
      <c r="B574" s="1" t="n">
        <v>45818.45112268518</v>
      </c>
      <c r="C574" s="1" t="n">
        <v>45965</v>
      </c>
      <c r="D574" t="inlineStr">
        <is>
          <t>ÖSTERGÖTLANDS LÄN</t>
        </is>
      </c>
      <c r="E574" t="inlineStr">
        <is>
          <t>LINKÖPING</t>
        </is>
      </c>
      <c r="G574" t="n">
        <v>4.2</v>
      </c>
      <c r="H574" t="n">
        <v>0</v>
      </c>
      <c r="I574" t="n">
        <v>0</v>
      </c>
      <c r="J574" t="n">
        <v>0</v>
      </c>
      <c r="K574" t="n">
        <v>0</v>
      </c>
      <c r="L574" t="n">
        <v>0</v>
      </c>
      <c r="M574" t="n">
        <v>0</v>
      </c>
      <c r="N574" t="n">
        <v>0</v>
      </c>
      <c r="O574" t="n">
        <v>0</v>
      </c>
      <c r="P574" t="n">
        <v>0</v>
      </c>
      <c r="Q574" t="n">
        <v>0</v>
      </c>
      <c r="R574" s="2" t="inlineStr"/>
    </row>
    <row r="575" ht="15" customHeight="1">
      <c r="A575" t="inlineStr">
        <is>
          <t>A 27766-2022</t>
        </is>
      </c>
      <c r="B575" s="1" t="n">
        <v>44743.53112268518</v>
      </c>
      <c r="C575" s="1" t="n">
        <v>45965</v>
      </c>
      <c r="D575" t="inlineStr">
        <is>
          <t>ÖSTERGÖTLANDS LÄN</t>
        </is>
      </c>
      <c r="E575" t="inlineStr">
        <is>
          <t>LINKÖPING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28204-2025</t>
        </is>
      </c>
      <c r="B576" s="1" t="n">
        <v>45818.4477662037</v>
      </c>
      <c r="C576" s="1" t="n">
        <v>45965</v>
      </c>
      <c r="D576" t="inlineStr">
        <is>
          <t>ÖSTERGÖTLANDS LÄN</t>
        </is>
      </c>
      <c r="E576" t="inlineStr">
        <is>
          <t>LINKÖPING</t>
        </is>
      </c>
      <c r="G576" t="n">
        <v>2.9</v>
      </c>
      <c r="H576" t="n">
        <v>0</v>
      </c>
      <c r="I576" t="n">
        <v>0</v>
      </c>
      <c r="J576" t="n">
        <v>0</v>
      </c>
      <c r="K576" t="n">
        <v>0</v>
      </c>
      <c r="L576" t="n">
        <v>0</v>
      </c>
      <c r="M576" t="n">
        <v>0</v>
      </c>
      <c r="N576" t="n">
        <v>0</v>
      </c>
      <c r="O576" t="n">
        <v>0</v>
      </c>
      <c r="P576" t="n">
        <v>0</v>
      </c>
      <c r="Q576" t="n">
        <v>0</v>
      </c>
      <c r="R576" s="2" t="inlineStr"/>
    </row>
    <row r="577" ht="15" customHeight="1">
      <c r="A577" t="inlineStr">
        <is>
          <t>A 28398-2025</t>
        </is>
      </c>
      <c r="B577" s="1" t="n">
        <v>45819.34208333334</v>
      </c>
      <c r="C577" s="1" t="n">
        <v>45965</v>
      </c>
      <c r="D577" t="inlineStr">
        <is>
          <t>ÖSTERGÖTLANDS LÄN</t>
        </is>
      </c>
      <c r="E577" t="inlineStr">
        <is>
          <t>LINKÖPING</t>
        </is>
      </c>
      <c r="F577" t="inlineStr">
        <is>
          <t>Sveaskog</t>
        </is>
      </c>
      <c r="G577" t="n">
        <v>7.9</v>
      </c>
      <c r="H577" t="n">
        <v>0</v>
      </c>
      <c r="I577" t="n">
        <v>0</v>
      </c>
      <c r="J577" t="n">
        <v>0</v>
      </c>
      <c r="K577" t="n">
        <v>0</v>
      </c>
      <c r="L577" t="n">
        <v>0</v>
      </c>
      <c r="M577" t="n">
        <v>0</v>
      </c>
      <c r="N577" t="n">
        <v>0</v>
      </c>
      <c r="O577" t="n">
        <v>0</v>
      </c>
      <c r="P577" t="n">
        <v>0</v>
      </c>
      <c r="Q577" t="n">
        <v>0</v>
      </c>
      <c r="R577" s="2" t="inlineStr"/>
    </row>
    <row r="578" ht="15" customHeight="1">
      <c r="A578" t="inlineStr">
        <is>
          <t>A 48254-2025</t>
        </is>
      </c>
      <c r="B578" s="1" t="n">
        <v>45932</v>
      </c>
      <c r="C578" s="1" t="n">
        <v>45965</v>
      </c>
      <c r="D578" t="inlineStr">
        <is>
          <t>ÖSTERGÖTLANDS LÄN</t>
        </is>
      </c>
      <c r="E578" t="inlineStr">
        <is>
          <t>LINKÖPING</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48271-2023</t>
        </is>
      </c>
      <c r="B579" s="1" t="n">
        <v>45205</v>
      </c>
      <c r="C579" s="1" t="n">
        <v>45965</v>
      </c>
      <c r="D579" t="inlineStr">
        <is>
          <t>ÖSTERGÖTLANDS LÄN</t>
        </is>
      </c>
      <c r="E579" t="inlineStr">
        <is>
          <t>LINKÖPING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28416-2025</t>
        </is>
      </c>
      <c r="B580" s="1" t="n">
        <v>45819.35346064815</v>
      </c>
      <c r="C580" s="1" t="n">
        <v>45965</v>
      </c>
      <c r="D580" t="inlineStr">
        <is>
          <t>ÖSTERGÖTLANDS LÄN</t>
        </is>
      </c>
      <c r="E580" t="inlineStr">
        <is>
          <t>LINKÖPING</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29027-2025</t>
        </is>
      </c>
      <c r="B581" s="1" t="n">
        <v>45821.4375462963</v>
      </c>
      <c r="C581" s="1" t="n">
        <v>45965</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29393-2025</t>
        </is>
      </c>
      <c r="B582" s="1" t="n">
        <v>45824.6057175926</v>
      </c>
      <c r="C582" s="1" t="n">
        <v>45965</v>
      </c>
      <c r="D582" t="inlineStr">
        <is>
          <t>ÖSTERGÖTLANDS LÄN</t>
        </is>
      </c>
      <c r="E582" t="inlineStr">
        <is>
          <t>LINKÖPING</t>
        </is>
      </c>
      <c r="F582" t="inlineStr">
        <is>
          <t>Sveaskog</t>
        </is>
      </c>
      <c r="G582" t="n">
        <v>24.6</v>
      </c>
      <c r="H582" t="n">
        <v>0</v>
      </c>
      <c r="I582" t="n">
        <v>0</v>
      </c>
      <c r="J582" t="n">
        <v>0</v>
      </c>
      <c r="K582" t="n">
        <v>0</v>
      </c>
      <c r="L582" t="n">
        <v>0</v>
      </c>
      <c r="M582" t="n">
        <v>0</v>
      </c>
      <c r="N582" t="n">
        <v>0</v>
      </c>
      <c r="O582" t="n">
        <v>0</v>
      </c>
      <c r="P582" t="n">
        <v>0</v>
      </c>
      <c r="Q582" t="n">
        <v>0</v>
      </c>
      <c r="R582" s="2" t="inlineStr"/>
    </row>
    <row r="583" ht="15" customHeight="1">
      <c r="A583" t="inlineStr">
        <is>
          <t>A 13266-2025</t>
        </is>
      </c>
      <c r="B583" s="1" t="n">
        <v>45735.53318287037</v>
      </c>
      <c r="C583" s="1" t="n">
        <v>45965</v>
      </c>
      <c r="D583" t="inlineStr">
        <is>
          <t>ÖSTERGÖTLANDS LÄN</t>
        </is>
      </c>
      <c r="E583" t="inlineStr">
        <is>
          <t>LINKÖPING</t>
        </is>
      </c>
      <c r="G583" t="n">
        <v>3.1</v>
      </c>
      <c r="H583" t="n">
        <v>0</v>
      </c>
      <c r="I583" t="n">
        <v>0</v>
      </c>
      <c r="J583" t="n">
        <v>0</v>
      </c>
      <c r="K583" t="n">
        <v>0</v>
      </c>
      <c r="L583" t="n">
        <v>0</v>
      </c>
      <c r="M583" t="n">
        <v>0</v>
      </c>
      <c r="N583" t="n">
        <v>0</v>
      </c>
      <c r="O583" t="n">
        <v>0</v>
      </c>
      <c r="P583" t="n">
        <v>0</v>
      </c>
      <c r="Q583" t="n">
        <v>0</v>
      </c>
      <c r="R583" s="2" t="inlineStr"/>
    </row>
    <row r="584" ht="15" customHeight="1">
      <c r="A584" t="inlineStr">
        <is>
          <t>A 29411-2025</t>
        </is>
      </c>
      <c r="B584" s="1" t="n">
        <v>45824.6219212963</v>
      </c>
      <c r="C584" s="1" t="n">
        <v>45965</v>
      </c>
      <c r="D584" t="inlineStr">
        <is>
          <t>ÖSTERGÖTLANDS LÄN</t>
        </is>
      </c>
      <c r="E584" t="inlineStr">
        <is>
          <t>LINKÖPING</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60001-2022</t>
        </is>
      </c>
      <c r="B585" s="1" t="n">
        <v>44909.47087962963</v>
      </c>
      <c r="C585" s="1" t="n">
        <v>45965</v>
      </c>
      <c r="D585" t="inlineStr">
        <is>
          <t>ÖSTERGÖTLANDS LÄN</t>
        </is>
      </c>
      <c r="E585" t="inlineStr">
        <is>
          <t>LINKÖPING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29599-2025</t>
        </is>
      </c>
      <c r="B586" s="1" t="n">
        <v>45825.41101851852</v>
      </c>
      <c r="C586" s="1" t="n">
        <v>45965</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39457-2023</t>
        </is>
      </c>
      <c r="B587" s="1" t="n">
        <v>45166</v>
      </c>
      <c r="C587" s="1" t="n">
        <v>45965</v>
      </c>
      <c r="D587" t="inlineStr">
        <is>
          <t>ÖSTERGÖTLANDS LÄN</t>
        </is>
      </c>
      <c r="E587" t="inlineStr">
        <is>
          <t>LINKÖPING</t>
        </is>
      </c>
      <c r="G587" t="n">
        <v>2.1</v>
      </c>
      <c r="H587" t="n">
        <v>0</v>
      </c>
      <c r="I587" t="n">
        <v>0</v>
      </c>
      <c r="J587" t="n">
        <v>0</v>
      </c>
      <c r="K587" t="n">
        <v>0</v>
      </c>
      <c r="L587" t="n">
        <v>0</v>
      </c>
      <c r="M587" t="n">
        <v>0</v>
      </c>
      <c r="N587" t="n">
        <v>0</v>
      </c>
      <c r="O587" t="n">
        <v>0</v>
      </c>
      <c r="P587" t="n">
        <v>0</v>
      </c>
      <c r="Q587" t="n">
        <v>0</v>
      </c>
      <c r="R587" s="2" t="inlineStr"/>
    </row>
    <row r="588" ht="15" customHeight="1">
      <c r="A588" t="inlineStr">
        <is>
          <t>A 1657-2024</t>
        </is>
      </c>
      <c r="B588" s="1" t="n">
        <v>45306.82501157407</v>
      </c>
      <c r="C588" s="1" t="n">
        <v>45965</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30355-2025</t>
        </is>
      </c>
      <c r="B589" s="1" t="n">
        <v>45827</v>
      </c>
      <c r="C589" s="1" t="n">
        <v>45965</v>
      </c>
      <c r="D589" t="inlineStr">
        <is>
          <t>ÖSTERGÖTLANDS LÄN</t>
        </is>
      </c>
      <c r="E589" t="inlineStr">
        <is>
          <t>LINKÖPING</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30353-2025</t>
        </is>
      </c>
      <c r="B590" s="1" t="n">
        <v>45827</v>
      </c>
      <c r="C590" s="1" t="n">
        <v>45965</v>
      </c>
      <c r="D590" t="inlineStr">
        <is>
          <t>ÖSTERGÖTLANDS LÄN</t>
        </is>
      </c>
      <c r="E590" t="inlineStr">
        <is>
          <t>LINKÖPING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30976-2022</t>
        </is>
      </c>
      <c r="B591" s="1" t="n">
        <v>44768</v>
      </c>
      <c r="C591" s="1" t="n">
        <v>45965</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30860-2022</t>
        </is>
      </c>
      <c r="B592" s="1" t="n">
        <v>44767</v>
      </c>
      <c r="C592" s="1" t="n">
        <v>45965</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48186-2022</t>
        </is>
      </c>
      <c r="B593" s="1" t="n">
        <v>44858</v>
      </c>
      <c r="C593" s="1" t="n">
        <v>45965</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28266-2024</t>
        </is>
      </c>
      <c r="B594" s="1" t="n">
        <v>45477.43600694444</v>
      </c>
      <c r="C594" s="1" t="n">
        <v>45965</v>
      </c>
      <c r="D594" t="inlineStr">
        <is>
          <t>ÖSTERGÖTLANDS LÄN</t>
        </is>
      </c>
      <c r="E594" t="inlineStr">
        <is>
          <t>LINKÖPING</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31548-2022</t>
        </is>
      </c>
      <c r="B595" s="1" t="n">
        <v>44775.39832175926</v>
      </c>
      <c r="C595" s="1" t="n">
        <v>45965</v>
      </c>
      <c r="D595" t="inlineStr">
        <is>
          <t>ÖSTERGÖTLANDS LÄN</t>
        </is>
      </c>
      <c r="E595" t="inlineStr">
        <is>
          <t>LINKÖPING</t>
        </is>
      </c>
      <c r="G595" t="n">
        <v>0.9</v>
      </c>
      <c r="H595" t="n">
        <v>0</v>
      </c>
      <c r="I595" t="n">
        <v>0</v>
      </c>
      <c r="J595" t="n">
        <v>0</v>
      </c>
      <c r="K595" t="n">
        <v>0</v>
      </c>
      <c r="L595" t="n">
        <v>0</v>
      </c>
      <c r="M595" t="n">
        <v>0</v>
      </c>
      <c r="N595" t="n">
        <v>0</v>
      </c>
      <c r="O595" t="n">
        <v>0</v>
      </c>
      <c r="P595" t="n">
        <v>0</v>
      </c>
      <c r="Q595" t="n">
        <v>0</v>
      </c>
      <c r="R595" s="2" t="inlineStr"/>
    </row>
    <row r="596" ht="15" customHeight="1">
      <c r="A596" t="inlineStr">
        <is>
          <t>A 1211-2023</t>
        </is>
      </c>
      <c r="B596" s="1" t="n">
        <v>44930</v>
      </c>
      <c r="C596" s="1" t="n">
        <v>45965</v>
      </c>
      <c r="D596" t="inlineStr">
        <is>
          <t>ÖSTERGÖTLANDS LÄN</t>
        </is>
      </c>
      <c r="E596" t="inlineStr">
        <is>
          <t>LINKÖPING</t>
        </is>
      </c>
      <c r="F596" t="inlineStr">
        <is>
          <t>Övriga statliga verk och myndigheter</t>
        </is>
      </c>
      <c r="G596" t="n">
        <v>7.9</v>
      </c>
      <c r="H596" t="n">
        <v>0</v>
      </c>
      <c r="I596" t="n">
        <v>0</v>
      </c>
      <c r="J596" t="n">
        <v>0</v>
      </c>
      <c r="K596" t="n">
        <v>0</v>
      </c>
      <c r="L596" t="n">
        <v>0</v>
      </c>
      <c r="M596" t="n">
        <v>0</v>
      </c>
      <c r="N596" t="n">
        <v>0</v>
      </c>
      <c r="O596" t="n">
        <v>0</v>
      </c>
      <c r="P596" t="n">
        <v>0</v>
      </c>
      <c r="Q596" t="n">
        <v>0</v>
      </c>
      <c r="R596" s="2" t="inlineStr"/>
    </row>
    <row r="597" ht="15" customHeight="1">
      <c r="A597" t="inlineStr">
        <is>
          <t>A 51191-2022</t>
        </is>
      </c>
      <c r="B597" s="1" t="n">
        <v>44865</v>
      </c>
      <c r="C597" s="1" t="n">
        <v>45965</v>
      </c>
      <c r="D597" t="inlineStr">
        <is>
          <t>ÖSTERGÖTLANDS LÄN</t>
        </is>
      </c>
      <c r="E597" t="inlineStr">
        <is>
          <t>LINKÖPING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55632-2022</t>
        </is>
      </c>
      <c r="B598" s="1" t="n">
        <v>44888</v>
      </c>
      <c r="C598" s="1" t="n">
        <v>45965</v>
      </c>
      <c r="D598" t="inlineStr">
        <is>
          <t>ÖSTERGÖTLANDS LÄN</t>
        </is>
      </c>
      <c r="E598" t="inlineStr">
        <is>
          <t>LINKÖPING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31581-2025</t>
        </is>
      </c>
      <c r="B599" s="1" t="n">
        <v>45833.6840162037</v>
      </c>
      <c r="C599" s="1" t="n">
        <v>45965</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31585-2025</t>
        </is>
      </c>
      <c r="B600" s="1" t="n">
        <v>45833.68815972222</v>
      </c>
      <c r="C600" s="1" t="n">
        <v>45965</v>
      </c>
      <c r="D600" t="inlineStr">
        <is>
          <t>ÖSTERGÖTLANDS LÄN</t>
        </is>
      </c>
      <c r="E600" t="inlineStr">
        <is>
          <t>LINKÖPING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63669-2023</t>
        </is>
      </c>
      <c r="B601" s="1" t="n">
        <v>45275</v>
      </c>
      <c r="C601" s="1" t="n">
        <v>45965</v>
      </c>
      <c r="D601" t="inlineStr">
        <is>
          <t>ÖSTERGÖTLANDS LÄN</t>
        </is>
      </c>
      <c r="E601" t="inlineStr">
        <is>
          <t>LINKÖPING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12289-2025</t>
        </is>
      </c>
      <c r="B602" s="1" t="n">
        <v>45729</v>
      </c>
      <c r="C602" s="1" t="n">
        <v>45965</v>
      </c>
      <c r="D602" t="inlineStr">
        <is>
          <t>ÖSTERGÖTLANDS LÄN</t>
        </is>
      </c>
      <c r="E602" t="inlineStr">
        <is>
          <t>LINKÖPING</t>
        </is>
      </c>
      <c r="F602" t="inlineStr">
        <is>
          <t>Övriga statliga verk och myndigheter</t>
        </is>
      </c>
      <c r="G602" t="n">
        <v>6.5</v>
      </c>
      <c r="H602" t="n">
        <v>0</v>
      </c>
      <c r="I602" t="n">
        <v>0</v>
      </c>
      <c r="J602" t="n">
        <v>0</v>
      </c>
      <c r="K602" t="n">
        <v>0</v>
      </c>
      <c r="L602" t="n">
        <v>0</v>
      </c>
      <c r="M602" t="n">
        <v>0</v>
      </c>
      <c r="N602" t="n">
        <v>0</v>
      </c>
      <c r="O602" t="n">
        <v>0</v>
      </c>
      <c r="P602" t="n">
        <v>0</v>
      </c>
      <c r="Q602" t="n">
        <v>0</v>
      </c>
      <c r="R602" s="2" t="inlineStr"/>
    </row>
    <row r="603" ht="15" customHeight="1">
      <c r="A603" t="inlineStr">
        <is>
          <t>A 36657-2023</t>
        </is>
      </c>
      <c r="B603" s="1" t="n">
        <v>45153.5702662037</v>
      </c>
      <c r="C603" s="1" t="n">
        <v>45965</v>
      </c>
      <c r="D603" t="inlineStr">
        <is>
          <t>ÖSTERGÖTLANDS LÄN</t>
        </is>
      </c>
      <c r="E603" t="inlineStr">
        <is>
          <t>LINKÖPING</t>
        </is>
      </c>
      <c r="F603" t="inlineStr">
        <is>
          <t>Allmännings- och besparingsskogar</t>
        </is>
      </c>
      <c r="G603" t="n">
        <v>2</v>
      </c>
      <c r="H603" t="n">
        <v>0</v>
      </c>
      <c r="I603" t="n">
        <v>0</v>
      </c>
      <c r="J603" t="n">
        <v>0</v>
      </c>
      <c r="K603" t="n">
        <v>0</v>
      </c>
      <c r="L603" t="n">
        <v>0</v>
      </c>
      <c r="M603" t="n">
        <v>0</v>
      </c>
      <c r="N603" t="n">
        <v>0</v>
      </c>
      <c r="O603" t="n">
        <v>0</v>
      </c>
      <c r="P603" t="n">
        <v>0</v>
      </c>
      <c r="Q603" t="n">
        <v>0</v>
      </c>
      <c r="R603" s="2" t="inlineStr"/>
    </row>
    <row r="604" ht="15" customHeight="1">
      <c r="A604" t="inlineStr">
        <is>
          <t>A 49615-2025</t>
        </is>
      </c>
      <c r="B604" s="1" t="n">
        <v>45938</v>
      </c>
      <c r="C604" s="1" t="n">
        <v>45965</v>
      </c>
      <c r="D604" t="inlineStr">
        <is>
          <t>ÖSTERGÖTLANDS LÄN</t>
        </is>
      </c>
      <c r="E604" t="inlineStr">
        <is>
          <t>LINKÖPING</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49619-2025</t>
        </is>
      </c>
      <c r="B605" s="1" t="n">
        <v>45938</v>
      </c>
      <c r="C605" s="1" t="n">
        <v>45965</v>
      </c>
      <c r="D605" t="inlineStr">
        <is>
          <t>ÖSTERGÖTLANDS LÄN</t>
        </is>
      </c>
      <c r="E605" t="inlineStr">
        <is>
          <t>LINKÖPING</t>
        </is>
      </c>
      <c r="F605" t="inlineStr">
        <is>
          <t>Övriga Aktiebolag</t>
        </is>
      </c>
      <c r="G605" t="n">
        <v>2.3</v>
      </c>
      <c r="H605" t="n">
        <v>0</v>
      </c>
      <c r="I605" t="n">
        <v>0</v>
      </c>
      <c r="J605" t="n">
        <v>0</v>
      </c>
      <c r="K605" t="n">
        <v>0</v>
      </c>
      <c r="L605" t="n">
        <v>0</v>
      </c>
      <c r="M605" t="n">
        <v>0</v>
      </c>
      <c r="N605" t="n">
        <v>0</v>
      </c>
      <c r="O605" t="n">
        <v>0</v>
      </c>
      <c r="P605" t="n">
        <v>0</v>
      </c>
      <c r="Q605" t="n">
        <v>0</v>
      </c>
      <c r="R605" s="2" t="inlineStr"/>
    </row>
    <row r="606" ht="15" customHeight="1">
      <c r="A606" t="inlineStr">
        <is>
          <t>A 49629-2025</t>
        </is>
      </c>
      <c r="B606" s="1" t="n">
        <v>45938</v>
      </c>
      <c r="C606" s="1" t="n">
        <v>45965</v>
      </c>
      <c r="D606" t="inlineStr">
        <is>
          <t>ÖSTERGÖTLANDS LÄN</t>
        </is>
      </c>
      <c r="E606" t="inlineStr">
        <is>
          <t>LINKÖPING</t>
        </is>
      </c>
      <c r="F606" t="inlineStr">
        <is>
          <t>Övriga Aktiebolag</t>
        </is>
      </c>
      <c r="G606" t="n">
        <v>4.5</v>
      </c>
      <c r="H606" t="n">
        <v>0</v>
      </c>
      <c r="I606" t="n">
        <v>0</v>
      </c>
      <c r="J606" t="n">
        <v>0</v>
      </c>
      <c r="K606" t="n">
        <v>0</v>
      </c>
      <c r="L606" t="n">
        <v>0</v>
      </c>
      <c r="M606" t="n">
        <v>0</v>
      </c>
      <c r="N606" t="n">
        <v>0</v>
      </c>
      <c r="O606" t="n">
        <v>0</v>
      </c>
      <c r="P606" t="n">
        <v>0</v>
      </c>
      <c r="Q606" t="n">
        <v>0</v>
      </c>
      <c r="R606" s="2" t="inlineStr"/>
    </row>
    <row r="607" ht="15" customHeight="1">
      <c r="A607" t="inlineStr">
        <is>
          <t>A 49633-2025</t>
        </is>
      </c>
      <c r="B607" s="1" t="n">
        <v>45938</v>
      </c>
      <c r="C607" s="1" t="n">
        <v>45965</v>
      </c>
      <c r="D607" t="inlineStr">
        <is>
          <t>ÖSTERGÖTLANDS LÄN</t>
        </is>
      </c>
      <c r="E607" t="inlineStr">
        <is>
          <t>LINKÖPING</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32723-2025</t>
        </is>
      </c>
      <c r="B608" s="1" t="n">
        <v>45838</v>
      </c>
      <c r="C608" s="1" t="n">
        <v>45965</v>
      </c>
      <c r="D608" t="inlineStr">
        <is>
          <t>ÖSTERGÖTLANDS LÄN</t>
        </is>
      </c>
      <c r="E608" t="inlineStr">
        <is>
          <t>LINKÖPING</t>
        </is>
      </c>
      <c r="G608" t="n">
        <v>2.1</v>
      </c>
      <c r="H608" t="n">
        <v>0</v>
      </c>
      <c r="I608" t="n">
        <v>0</v>
      </c>
      <c r="J608" t="n">
        <v>0</v>
      </c>
      <c r="K608" t="n">
        <v>0</v>
      </c>
      <c r="L608" t="n">
        <v>0</v>
      </c>
      <c r="M608" t="n">
        <v>0</v>
      </c>
      <c r="N608" t="n">
        <v>0</v>
      </c>
      <c r="O608" t="n">
        <v>0</v>
      </c>
      <c r="P608" t="n">
        <v>0</v>
      </c>
      <c r="Q608" t="n">
        <v>0</v>
      </c>
      <c r="R608" s="2" t="inlineStr"/>
    </row>
    <row r="609" ht="15" customHeight="1">
      <c r="A609" t="inlineStr">
        <is>
          <t>A 19169-2023</t>
        </is>
      </c>
      <c r="B609" s="1" t="n">
        <v>45044</v>
      </c>
      <c r="C609" s="1" t="n">
        <v>45965</v>
      </c>
      <c r="D609" t="inlineStr">
        <is>
          <t>ÖSTERGÖTLANDS LÄN</t>
        </is>
      </c>
      <c r="E609" t="inlineStr">
        <is>
          <t>LINKÖPING</t>
        </is>
      </c>
      <c r="G609" t="n">
        <v>2.7</v>
      </c>
      <c r="H609" t="n">
        <v>0</v>
      </c>
      <c r="I609" t="n">
        <v>0</v>
      </c>
      <c r="J609" t="n">
        <v>0</v>
      </c>
      <c r="K609" t="n">
        <v>0</v>
      </c>
      <c r="L609" t="n">
        <v>0</v>
      </c>
      <c r="M609" t="n">
        <v>0</v>
      </c>
      <c r="N609" t="n">
        <v>0</v>
      </c>
      <c r="O609" t="n">
        <v>0</v>
      </c>
      <c r="P609" t="n">
        <v>0</v>
      </c>
      <c r="Q609" t="n">
        <v>0</v>
      </c>
      <c r="R609" s="2" t="inlineStr"/>
    </row>
    <row r="610" ht="15" customHeight="1">
      <c r="A610" t="inlineStr">
        <is>
          <t>A 1209-2023</t>
        </is>
      </c>
      <c r="B610" s="1" t="n">
        <v>44930</v>
      </c>
      <c r="C610" s="1" t="n">
        <v>45965</v>
      </c>
      <c r="D610" t="inlineStr">
        <is>
          <t>ÖSTERGÖTLANDS LÄN</t>
        </is>
      </c>
      <c r="E610" t="inlineStr">
        <is>
          <t>LINKÖPING</t>
        </is>
      </c>
      <c r="F610" t="inlineStr">
        <is>
          <t>Övriga statliga verk och myndigheter</t>
        </is>
      </c>
      <c r="G610" t="n">
        <v>25.8</v>
      </c>
      <c r="H610" t="n">
        <v>0</v>
      </c>
      <c r="I610" t="n">
        <v>0</v>
      </c>
      <c r="J610" t="n">
        <v>0</v>
      </c>
      <c r="K610" t="n">
        <v>0</v>
      </c>
      <c r="L610" t="n">
        <v>0</v>
      </c>
      <c r="M610" t="n">
        <v>0</v>
      </c>
      <c r="N610" t="n">
        <v>0</v>
      </c>
      <c r="O610" t="n">
        <v>0</v>
      </c>
      <c r="P610" t="n">
        <v>0</v>
      </c>
      <c r="Q610" t="n">
        <v>0</v>
      </c>
      <c r="R610" s="2" t="inlineStr"/>
    </row>
    <row r="611" ht="15" customHeight="1">
      <c r="A611" t="inlineStr">
        <is>
          <t>A 49455-2025</t>
        </is>
      </c>
      <c r="B611" s="1" t="n">
        <v>45938</v>
      </c>
      <c r="C611" s="1" t="n">
        <v>45965</v>
      </c>
      <c r="D611" t="inlineStr">
        <is>
          <t>ÖSTERGÖTLANDS LÄN</t>
        </is>
      </c>
      <c r="E611" t="inlineStr">
        <is>
          <t>LINKÖPING</t>
        </is>
      </c>
      <c r="F611" t="inlineStr">
        <is>
          <t>Övriga Aktiebolag</t>
        </is>
      </c>
      <c r="G611" t="n">
        <v>5.9</v>
      </c>
      <c r="H611" t="n">
        <v>0</v>
      </c>
      <c r="I611" t="n">
        <v>0</v>
      </c>
      <c r="J611" t="n">
        <v>0</v>
      </c>
      <c r="K611" t="n">
        <v>0</v>
      </c>
      <c r="L611" t="n">
        <v>0</v>
      </c>
      <c r="M611" t="n">
        <v>0</v>
      </c>
      <c r="N611" t="n">
        <v>0</v>
      </c>
      <c r="O611" t="n">
        <v>0</v>
      </c>
      <c r="P611" t="n">
        <v>0</v>
      </c>
      <c r="Q611" t="n">
        <v>0</v>
      </c>
      <c r="R611" s="2" t="inlineStr"/>
    </row>
    <row r="612" ht="15" customHeight="1">
      <c r="A612" t="inlineStr">
        <is>
          <t>A 2085-2024</t>
        </is>
      </c>
      <c r="B612" s="1" t="n">
        <v>45309</v>
      </c>
      <c r="C612" s="1" t="n">
        <v>45965</v>
      </c>
      <c r="D612" t="inlineStr">
        <is>
          <t>ÖSTERGÖTLANDS LÄN</t>
        </is>
      </c>
      <c r="E612" t="inlineStr">
        <is>
          <t>LINKÖPING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48-2024</t>
        </is>
      </c>
      <c r="B613" s="1" t="n">
        <v>45293</v>
      </c>
      <c r="C613" s="1" t="n">
        <v>45965</v>
      </c>
      <c r="D613" t="inlineStr">
        <is>
          <t>ÖSTERGÖTLANDS LÄN</t>
        </is>
      </c>
      <c r="E613" t="inlineStr">
        <is>
          <t>LINKÖPING</t>
        </is>
      </c>
      <c r="G613" t="n">
        <v>4.6</v>
      </c>
      <c r="H613" t="n">
        <v>0</v>
      </c>
      <c r="I613" t="n">
        <v>0</v>
      </c>
      <c r="J613" t="n">
        <v>0</v>
      </c>
      <c r="K613" t="n">
        <v>0</v>
      </c>
      <c r="L613" t="n">
        <v>0</v>
      </c>
      <c r="M613" t="n">
        <v>0</v>
      </c>
      <c r="N613" t="n">
        <v>0</v>
      </c>
      <c r="O613" t="n">
        <v>0</v>
      </c>
      <c r="P613" t="n">
        <v>0</v>
      </c>
      <c r="Q613" t="n">
        <v>0</v>
      </c>
      <c r="R613" s="2" t="inlineStr"/>
    </row>
    <row r="614" ht="15" customHeight="1">
      <c r="A614" t="inlineStr">
        <is>
          <t>A 49632-2025</t>
        </is>
      </c>
      <c r="B614" s="1" t="n">
        <v>45938</v>
      </c>
      <c r="C614" s="1" t="n">
        <v>45965</v>
      </c>
      <c r="D614" t="inlineStr">
        <is>
          <t>ÖSTERGÖTLANDS LÄN</t>
        </is>
      </c>
      <c r="E614" t="inlineStr">
        <is>
          <t>LINKÖPING</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56560-2023</t>
        </is>
      </c>
      <c r="B615" s="1" t="n">
        <v>45238</v>
      </c>
      <c r="C615" s="1" t="n">
        <v>45965</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19132-2023</t>
        </is>
      </c>
      <c r="B616" s="1" t="n">
        <v>45048.54754629629</v>
      </c>
      <c r="C616" s="1" t="n">
        <v>45965</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49650-2025</t>
        </is>
      </c>
      <c r="B617" s="1" t="n">
        <v>45938</v>
      </c>
      <c r="C617" s="1" t="n">
        <v>45965</v>
      </c>
      <c r="D617" t="inlineStr">
        <is>
          <t>ÖSTERGÖTLANDS LÄN</t>
        </is>
      </c>
      <c r="E617" t="inlineStr">
        <is>
          <t>LINKÖPING</t>
        </is>
      </c>
      <c r="F617" t="inlineStr">
        <is>
          <t>Övriga Aktiebolag</t>
        </is>
      </c>
      <c r="G617" t="n">
        <v>1.5</v>
      </c>
      <c r="H617" t="n">
        <v>0</v>
      </c>
      <c r="I617" t="n">
        <v>0</v>
      </c>
      <c r="J617" t="n">
        <v>0</v>
      </c>
      <c r="K617" t="n">
        <v>0</v>
      </c>
      <c r="L617" t="n">
        <v>0</v>
      </c>
      <c r="M617" t="n">
        <v>0</v>
      </c>
      <c r="N617" t="n">
        <v>0</v>
      </c>
      <c r="O617" t="n">
        <v>0</v>
      </c>
      <c r="P617" t="n">
        <v>0</v>
      </c>
      <c r="Q617" t="n">
        <v>0</v>
      </c>
      <c r="R617" s="2" t="inlineStr"/>
    </row>
    <row r="618" ht="15" customHeight="1">
      <c r="A618" t="inlineStr">
        <is>
          <t>A 49652-2025</t>
        </is>
      </c>
      <c r="B618" s="1" t="n">
        <v>45938</v>
      </c>
      <c r="C618" s="1" t="n">
        <v>45965</v>
      </c>
      <c r="D618" t="inlineStr">
        <is>
          <t>ÖSTERGÖTLANDS LÄN</t>
        </is>
      </c>
      <c r="E618" t="inlineStr">
        <is>
          <t>LINKÖPING</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33947-2025</t>
        </is>
      </c>
      <c r="B619" s="1" t="n">
        <v>45842.65444444444</v>
      </c>
      <c r="C619" s="1" t="n">
        <v>45965</v>
      </c>
      <c r="D619" t="inlineStr">
        <is>
          <t>ÖSTERGÖTLANDS LÄN</t>
        </is>
      </c>
      <c r="E619" t="inlineStr">
        <is>
          <t>LINKÖPING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49654-2025</t>
        </is>
      </c>
      <c r="B620" s="1" t="n">
        <v>45938</v>
      </c>
      <c r="C620" s="1" t="n">
        <v>45965</v>
      </c>
      <c r="D620" t="inlineStr">
        <is>
          <t>ÖSTERGÖTLANDS LÄN</t>
        </is>
      </c>
      <c r="E620" t="inlineStr">
        <is>
          <t>LINKÖPING</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52412-2023</t>
        </is>
      </c>
      <c r="B621" s="1" t="n">
        <v>45225.27888888889</v>
      </c>
      <c r="C621" s="1" t="n">
        <v>45965</v>
      </c>
      <c r="D621" t="inlineStr">
        <is>
          <t>ÖSTERGÖTLANDS LÄN</t>
        </is>
      </c>
      <c r="E621" t="inlineStr">
        <is>
          <t>LINKÖPING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49647-2025</t>
        </is>
      </c>
      <c r="B622" s="1" t="n">
        <v>45938</v>
      </c>
      <c r="C622" s="1" t="n">
        <v>45965</v>
      </c>
      <c r="D622" t="inlineStr">
        <is>
          <t>ÖSTERGÖTLANDS LÄN</t>
        </is>
      </c>
      <c r="E622" t="inlineStr">
        <is>
          <t>LINKÖPING</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62492-2023</t>
        </is>
      </c>
      <c r="B623" s="1" t="n">
        <v>45268.58987268519</v>
      </c>
      <c r="C623" s="1" t="n">
        <v>45965</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49605-2025</t>
        </is>
      </c>
      <c r="B624" s="1" t="n">
        <v>45938</v>
      </c>
      <c r="C624" s="1" t="n">
        <v>45965</v>
      </c>
      <c r="D624" t="inlineStr">
        <is>
          <t>ÖSTERGÖTLANDS LÄN</t>
        </is>
      </c>
      <c r="E624" t="inlineStr">
        <is>
          <t>LINKÖPING</t>
        </is>
      </c>
      <c r="F624" t="inlineStr">
        <is>
          <t>Övriga Aktiebolag</t>
        </is>
      </c>
      <c r="G624" t="n">
        <v>3.3</v>
      </c>
      <c r="H624" t="n">
        <v>0</v>
      </c>
      <c r="I624" t="n">
        <v>0</v>
      </c>
      <c r="J624" t="n">
        <v>0</v>
      </c>
      <c r="K624" t="n">
        <v>0</v>
      </c>
      <c r="L624" t="n">
        <v>0</v>
      </c>
      <c r="M624" t="n">
        <v>0</v>
      </c>
      <c r="N624" t="n">
        <v>0</v>
      </c>
      <c r="O624" t="n">
        <v>0</v>
      </c>
      <c r="P624" t="n">
        <v>0</v>
      </c>
      <c r="Q624" t="n">
        <v>0</v>
      </c>
      <c r="R624" s="2" t="inlineStr"/>
    </row>
    <row r="625" ht="15" customHeight="1">
      <c r="A625" t="inlineStr">
        <is>
          <t>A 49663-2025</t>
        </is>
      </c>
      <c r="B625" s="1" t="n">
        <v>45938</v>
      </c>
      <c r="C625" s="1" t="n">
        <v>45965</v>
      </c>
      <c r="D625" t="inlineStr">
        <is>
          <t>ÖSTERGÖTLANDS LÄN</t>
        </is>
      </c>
      <c r="E625" t="inlineStr">
        <is>
          <t>LINKÖPING</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40983-2025</t>
        </is>
      </c>
      <c r="B626" s="1" t="n">
        <v>45898</v>
      </c>
      <c r="C626" s="1" t="n">
        <v>45965</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41706-2025</t>
        </is>
      </c>
      <c r="B627" s="1" t="n">
        <v>45902.42209490741</v>
      </c>
      <c r="C627" s="1" t="n">
        <v>45965</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62012-2024</t>
        </is>
      </c>
      <c r="B628" s="1" t="n">
        <v>45655.79679398148</v>
      </c>
      <c r="C628" s="1" t="n">
        <v>45965</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38230-2023</t>
        </is>
      </c>
      <c r="B629" s="1" t="n">
        <v>45161.55373842592</v>
      </c>
      <c r="C629" s="1" t="n">
        <v>45965</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56756-2023</t>
        </is>
      </c>
      <c r="B630" s="1" t="n">
        <v>45244</v>
      </c>
      <c r="C630" s="1" t="n">
        <v>45965</v>
      </c>
      <c r="D630" t="inlineStr">
        <is>
          <t>ÖSTERGÖTLANDS LÄN</t>
        </is>
      </c>
      <c r="E630" t="inlineStr">
        <is>
          <t>LINKÖPING</t>
        </is>
      </c>
      <c r="F630" t="inlineStr">
        <is>
          <t>Övriga Aktiebolag</t>
        </is>
      </c>
      <c r="G630" t="n">
        <v>0.8</v>
      </c>
      <c r="H630" t="n">
        <v>0</v>
      </c>
      <c r="I630" t="n">
        <v>0</v>
      </c>
      <c r="J630" t="n">
        <v>0</v>
      </c>
      <c r="K630" t="n">
        <v>0</v>
      </c>
      <c r="L630" t="n">
        <v>0</v>
      </c>
      <c r="M630" t="n">
        <v>0</v>
      </c>
      <c r="N630" t="n">
        <v>0</v>
      </c>
      <c r="O630" t="n">
        <v>0</v>
      </c>
      <c r="P630" t="n">
        <v>0</v>
      </c>
      <c r="Q630" t="n">
        <v>0</v>
      </c>
      <c r="R630" s="2" t="inlineStr"/>
    </row>
    <row r="631" ht="15" customHeight="1">
      <c r="A631" t="inlineStr">
        <is>
          <t>A 53529-2024</t>
        </is>
      </c>
      <c r="B631" s="1" t="n">
        <v>45614</v>
      </c>
      <c r="C631" s="1" t="n">
        <v>45965</v>
      </c>
      <c r="D631" t="inlineStr">
        <is>
          <t>ÖSTERGÖTLANDS LÄN</t>
        </is>
      </c>
      <c r="E631" t="inlineStr">
        <is>
          <t>LINKÖPING</t>
        </is>
      </c>
      <c r="G631" t="n">
        <v>6.7</v>
      </c>
      <c r="H631" t="n">
        <v>0</v>
      </c>
      <c r="I631" t="n">
        <v>0</v>
      </c>
      <c r="J631" t="n">
        <v>0</v>
      </c>
      <c r="K631" t="n">
        <v>0</v>
      </c>
      <c r="L631" t="n">
        <v>0</v>
      </c>
      <c r="M631" t="n">
        <v>0</v>
      </c>
      <c r="N631" t="n">
        <v>0</v>
      </c>
      <c r="O631" t="n">
        <v>0</v>
      </c>
      <c r="P631" t="n">
        <v>0</v>
      </c>
      <c r="Q631" t="n">
        <v>0</v>
      </c>
      <c r="R631" s="2" t="inlineStr"/>
    </row>
    <row r="632" ht="15" customHeight="1">
      <c r="A632" t="inlineStr">
        <is>
          <t>A 38886-2024</t>
        </is>
      </c>
      <c r="B632" s="1" t="n">
        <v>45547.66443287037</v>
      </c>
      <c r="C632" s="1" t="n">
        <v>45965</v>
      </c>
      <c r="D632" t="inlineStr">
        <is>
          <t>ÖSTERGÖTLANDS LÄN</t>
        </is>
      </c>
      <c r="E632" t="inlineStr">
        <is>
          <t>LINKÖPING</t>
        </is>
      </c>
      <c r="G632" t="n">
        <v>5.3</v>
      </c>
      <c r="H632" t="n">
        <v>0</v>
      </c>
      <c r="I632" t="n">
        <v>0</v>
      </c>
      <c r="J632" t="n">
        <v>0</v>
      </c>
      <c r="K632" t="n">
        <v>0</v>
      </c>
      <c r="L632" t="n">
        <v>0</v>
      </c>
      <c r="M632" t="n">
        <v>0</v>
      </c>
      <c r="N632" t="n">
        <v>0</v>
      </c>
      <c r="O632" t="n">
        <v>0</v>
      </c>
      <c r="P632" t="n">
        <v>0</v>
      </c>
      <c r="Q632" t="n">
        <v>0</v>
      </c>
      <c r="R632" s="2" t="inlineStr"/>
    </row>
    <row r="633" ht="15" customHeight="1">
      <c r="A633" t="inlineStr">
        <is>
          <t>A 11590-2023</t>
        </is>
      </c>
      <c r="B633" s="1" t="n">
        <v>44994.36689814815</v>
      </c>
      <c r="C633" s="1" t="n">
        <v>45965</v>
      </c>
      <c r="D633" t="inlineStr">
        <is>
          <t>ÖSTERGÖTLANDS LÄN</t>
        </is>
      </c>
      <c r="E633" t="inlineStr">
        <is>
          <t>LINKÖPING</t>
        </is>
      </c>
      <c r="G633" t="n">
        <v>3.1</v>
      </c>
      <c r="H633" t="n">
        <v>0</v>
      </c>
      <c r="I633" t="n">
        <v>0</v>
      </c>
      <c r="J633" t="n">
        <v>0</v>
      </c>
      <c r="K633" t="n">
        <v>0</v>
      </c>
      <c r="L633" t="n">
        <v>0</v>
      </c>
      <c r="M633" t="n">
        <v>0</v>
      </c>
      <c r="N633" t="n">
        <v>0</v>
      </c>
      <c r="O633" t="n">
        <v>0</v>
      </c>
      <c r="P633" t="n">
        <v>0</v>
      </c>
      <c r="Q633" t="n">
        <v>0</v>
      </c>
      <c r="R633" s="2" t="inlineStr"/>
    </row>
    <row r="634" ht="15" customHeight="1">
      <c r="A634" t="inlineStr">
        <is>
          <t>A 20469-2025</t>
        </is>
      </c>
      <c r="B634" s="1" t="n">
        <v>45775</v>
      </c>
      <c r="C634" s="1" t="n">
        <v>45965</v>
      </c>
      <c r="D634" t="inlineStr">
        <is>
          <t>ÖSTERGÖTLANDS LÄN</t>
        </is>
      </c>
      <c r="E634" t="inlineStr">
        <is>
          <t>LINKÖPING</t>
        </is>
      </c>
      <c r="F634" t="inlineStr">
        <is>
          <t>Kyrkan</t>
        </is>
      </c>
      <c r="G634" t="n">
        <v>6.1</v>
      </c>
      <c r="H634" t="n">
        <v>0</v>
      </c>
      <c r="I634" t="n">
        <v>0</v>
      </c>
      <c r="J634" t="n">
        <v>0</v>
      </c>
      <c r="K634" t="n">
        <v>0</v>
      </c>
      <c r="L634" t="n">
        <v>0</v>
      </c>
      <c r="M634" t="n">
        <v>0</v>
      </c>
      <c r="N634" t="n">
        <v>0</v>
      </c>
      <c r="O634" t="n">
        <v>0</v>
      </c>
      <c r="P634" t="n">
        <v>0</v>
      </c>
      <c r="Q634" t="n">
        <v>0</v>
      </c>
      <c r="R634" s="2" t="inlineStr"/>
    </row>
    <row r="635" ht="15" customHeight="1">
      <c r="A635" t="inlineStr">
        <is>
          <t>A 10461-2023</t>
        </is>
      </c>
      <c r="B635" s="1" t="n">
        <v>44987.5969212963</v>
      </c>
      <c r="C635" s="1" t="n">
        <v>45965</v>
      </c>
      <c r="D635" t="inlineStr">
        <is>
          <t>ÖSTERGÖTLANDS LÄN</t>
        </is>
      </c>
      <c r="E635" t="inlineStr">
        <is>
          <t>LINKÖPING</t>
        </is>
      </c>
      <c r="G635" t="n">
        <v>7.8</v>
      </c>
      <c r="H635" t="n">
        <v>0</v>
      </c>
      <c r="I635" t="n">
        <v>0</v>
      </c>
      <c r="J635" t="n">
        <v>0</v>
      </c>
      <c r="K635" t="n">
        <v>0</v>
      </c>
      <c r="L635" t="n">
        <v>0</v>
      </c>
      <c r="M635" t="n">
        <v>0</v>
      </c>
      <c r="N635" t="n">
        <v>0</v>
      </c>
      <c r="O635" t="n">
        <v>0</v>
      </c>
      <c r="P635" t="n">
        <v>0</v>
      </c>
      <c r="Q635" t="n">
        <v>0</v>
      </c>
      <c r="R635" s="2" t="inlineStr"/>
    </row>
    <row r="636" ht="15" customHeight="1">
      <c r="A636" t="inlineStr">
        <is>
          <t>A 41345-2021</t>
        </is>
      </c>
      <c r="B636" s="1" t="n">
        <v>44424.61851851852</v>
      </c>
      <c r="C636" s="1" t="n">
        <v>45965</v>
      </c>
      <c r="D636" t="inlineStr">
        <is>
          <t>ÖSTERGÖTLANDS LÄN</t>
        </is>
      </c>
      <c r="E636" t="inlineStr">
        <is>
          <t>LINKÖPING</t>
        </is>
      </c>
      <c r="F636" t="inlineStr">
        <is>
          <t>Sveaskog</t>
        </is>
      </c>
      <c r="G636" t="n">
        <v>6.3</v>
      </c>
      <c r="H636" t="n">
        <v>0</v>
      </c>
      <c r="I636" t="n">
        <v>0</v>
      </c>
      <c r="J636" t="n">
        <v>0</v>
      </c>
      <c r="K636" t="n">
        <v>0</v>
      </c>
      <c r="L636" t="n">
        <v>0</v>
      </c>
      <c r="M636" t="n">
        <v>0</v>
      </c>
      <c r="N636" t="n">
        <v>0</v>
      </c>
      <c r="O636" t="n">
        <v>0</v>
      </c>
      <c r="P636" t="n">
        <v>0</v>
      </c>
      <c r="Q636" t="n">
        <v>0</v>
      </c>
      <c r="R636" s="2" t="inlineStr"/>
    </row>
    <row r="637" ht="15" customHeight="1">
      <c r="A637" t="inlineStr">
        <is>
          <t>A 33800-2023</t>
        </is>
      </c>
      <c r="B637" s="1" t="n">
        <v>45121</v>
      </c>
      <c r="C637" s="1" t="n">
        <v>45965</v>
      </c>
      <c r="D637" t="inlineStr">
        <is>
          <t>ÖSTERGÖTLANDS LÄN</t>
        </is>
      </c>
      <c r="E637" t="inlineStr">
        <is>
          <t>LINKÖPING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47991-2023</t>
        </is>
      </c>
      <c r="B638" s="1" t="n">
        <v>45204.62655092592</v>
      </c>
      <c r="C638" s="1" t="n">
        <v>45965</v>
      </c>
      <c r="D638" t="inlineStr">
        <is>
          <t>ÖSTERGÖTLANDS LÄN</t>
        </is>
      </c>
      <c r="E638" t="inlineStr">
        <is>
          <t>LINKÖPING</t>
        </is>
      </c>
      <c r="F638" t="inlineStr">
        <is>
          <t>Allmännings- och besparingsskogar</t>
        </is>
      </c>
      <c r="G638" t="n">
        <v>7.3</v>
      </c>
      <c r="H638" t="n">
        <v>0</v>
      </c>
      <c r="I638" t="n">
        <v>0</v>
      </c>
      <c r="J638" t="n">
        <v>0</v>
      </c>
      <c r="K638" t="n">
        <v>0</v>
      </c>
      <c r="L638" t="n">
        <v>0</v>
      </c>
      <c r="M638" t="n">
        <v>0</v>
      </c>
      <c r="N638" t="n">
        <v>0</v>
      </c>
      <c r="O638" t="n">
        <v>0</v>
      </c>
      <c r="P638" t="n">
        <v>0</v>
      </c>
      <c r="Q638" t="n">
        <v>0</v>
      </c>
      <c r="R638" s="2" t="inlineStr"/>
    </row>
    <row r="639" ht="15" customHeight="1">
      <c r="A639" t="inlineStr">
        <is>
          <t>A 67129-2020</t>
        </is>
      </c>
      <c r="B639" s="1" t="n">
        <v>44180</v>
      </c>
      <c r="C639" s="1" t="n">
        <v>45965</v>
      </c>
      <c r="D639" t="inlineStr">
        <is>
          <t>ÖSTERGÖTLANDS LÄN</t>
        </is>
      </c>
      <c r="E639" t="inlineStr">
        <is>
          <t>LINKÖPING</t>
        </is>
      </c>
      <c r="F639" t="inlineStr">
        <is>
          <t>Övriga statliga verk och myndigheter</t>
        </is>
      </c>
      <c r="G639" t="n">
        <v>2.7</v>
      </c>
      <c r="H639" t="n">
        <v>0</v>
      </c>
      <c r="I639" t="n">
        <v>0</v>
      </c>
      <c r="J639" t="n">
        <v>0</v>
      </c>
      <c r="K639" t="n">
        <v>0</v>
      </c>
      <c r="L639" t="n">
        <v>0</v>
      </c>
      <c r="M639" t="n">
        <v>0</v>
      </c>
      <c r="N639" t="n">
        <v>0</v>
      </c>
      <c r="O639" t="n">
        <v>0</v>
      </c>
      <c r="P639" t="n">
        <v>0</v>
      </c>
      <c r="Q639" t="n">
        <v>0</v>
      </c>
      <c r="R639" s="2" t="inlineStr"/>
    </row>
    <row r="640" ht="15" customHeight="1">
      <c r="A640" t="inlineStr">
        <is>
          <t>A 35178-2025</t>
        </is>
      </c>
      <c r="B640" s="1" t="n">
        <v>45852.91939814815</v>
      </c>
      <c r="C640" s="1" t="n">
        <v>45965</v>
      </c>
      <c r="D640" t="inlineStr">
        <is>
          <t>ÖSTERGÖTLANDS LÄN</t>
        </is>
      </c>
      <c r="E640" t="inlineStr">
        <is>
          <t>LINKÖPING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35174-2025</t>
        </is>
      </c>
      <c r="B641" s="1" t="n">
        <v>45852.90648148148</v>
      </c>
      <c r="C641" s="1" t="n">
        <v>45965</v>
      </c>
      <c r="D641" t="inlineStr">
        <is>
          <t>ÖSTERGÖTLANDS LÄN</t>
        </is>
      </c>
      <c r="E641" t="inlineStr">
        <is>
          <t>LINKÖPING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26007-2025</t>
        </is>
      </c>
      <c r="B642" s="1" t="n">
        <v>45804.67081018518</v>
      </c>
      <c r="C642" s="1" t="n">
        <v>45965</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61307-2021</t>
        </is>
      </c>
      <c r="B643" s="1" t="n">
        <v>44498.63928240741</v>
      </c>
      <c r="C643" s="1" t="n">
        <v>45965</v>
      </c>
      <c r="D643" t="inlineStr">
        <is>
          <t>ÖSTERGÖTLANDS LÄN</t>
        </is>
      </c>
      <c r="E643" t="inlineStr">
        <is>
          <t>LINKÖPING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61325-2021</t>
        </is>
      </c>
      <c r="B644" s="1" t="n">
        <v>44498.66814814815</v>
      </c>
      <c r="C644" s="1" t="n">
        <v>45965</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35179-2025</t>
        </is>
      </c>
      <c r="B645" s="1" t="n">
        <v>45852.93737268518</v>
      </c>
      <c r="C645" s="1" t="n">
        <v>45965</v>
      </c>
      <c r="D645" t="inlineStr">
        <is>
          <t>ÖSTERGÖTLANDS LÄN</t>
        </is>
      </c>
      <c r="E645" t="inlineStr">
        <is>
          <t>LINKÖPING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35180-2025</t>
        </is>
      </c>
      <c r="B646" s="1" t="n">
        <v>45852.9413425926</v>
      </c>
      <c r="C646" s="1" t="n">
        <v>45965</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60010-2022</t>
        </is>
      </c>
      <c r="B647" s="1" t="n">
        <v>44909.4740625</v>
      </c>
      <c r="C647" s="1" t="n">
        <v>45965</v>
      </c>
      <c r="D647" t="inlineStr">
        <is>
          <t>ÖSTERGÖTLANDS LÄN</t>
        </is>
      </c>
      <c r="E647" t="inlineStr">
        <is>
          <t>LINKÖPING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41511-2025</t>
        </is>
      </c>
      <c r="B648" s="1" t="n">
        <v>45901.53839120371</v>
      </c>
      <c r="C648" s="1" t="n">
        <v>45965</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45965</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45965</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45965</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35747-2025</t>
        </is>
      </c>
      <c r="B652" s="1" t="n">
        <v>45860.56385416666</v>
      </c>
      <c r="C652" s="1" t="n">
        <v>45965</v>
      </c>
      <c r="D652" t="inlineStr">
        <is>
          <t>ÖSTERGÖTLANDS LÄN</t>
        </is>
      </c>
      <c r="E652" t="inlineStr">
        <is>
          <t>LINKÖPING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35745-2025</t>
        </is>
      </c>
      <c r="B653" s="1" t="n">
        <v>45860.54739583333</v>
      </c>
      <c r="C653" s="1" t="n">
        <v>45965</v>
      </c>
      <c r="D653" t="inlineStr">
        <is>
          <t>ÖSTERGÖTLANDS LÄN</t>
        </is>
      </c>
      <c r="E653" t="inlineStr">
        <is>
          <t>LINKÖPING</t>
        </is>
      </c>
      <c r="G653" t="n">
        <v>4.4</v>
      </c>
      <c r="H653" t="n">
        <v>0</v>
      </c>
      <c r="I653" t="n">
        <v>0</v>
      </c>
      <c r="J653" t="n">
        <v>0</v>
      </c>
      <c r="K653" t="n">
        <v>0</v>
      </c>
      <c r="L653" t="n">
        <v>0</v>
      </c>
      <c r="M653" t="n">
        <v>0</v>
      </c>
      <c r="N653" t="n">
        <v>0</v>
      </c>
      <c r="O653" t="n">
        <v>0</v>
      </c>
      <c r="P653" t="n">
        <v>0</v>
      </c>
      <c r="Q653" t="n">
        <v>0</v>
      </c>
      <c r="R653" s="2" t="inlineStr"/>
    </row>
    <row r="654" ht="15" customHeight="1">
      <c r="A654" t="inlineStr">
        <is>
          <t>A 35757-2025</t>
        </is>
      </c>
      <c r="B654" s="1" t="n">
        <v>45860.59876157407</v>
      </c>
      <c r="C654" s="1" t="n">
        <v>45965</v>
      </c>
      <c r="D654" t="inlineStr">
        <is>
          <t>ÖSTERGÖTLANDS LÄN</t>
        </is>
      </c>
      <c r="E654" t="inlineStr">
        <is>
          <t>LINKÖPING</t>
        </is>
      </c>
      <c r="G654" t="n">
        <v>5.7</v>
      </c>
      <c r="H654" t="n">
        <v>0</v>
      </c>
      <c r="I654" t="n">
        <v>0</v>
      </c>
      <c r="J654" t="n">
        <v>0</v>
      </c>
      <c r="K654" t="n">
        <v>0</v>
      </c>
      <c r="L654" t="n">
        <v>0</v>
      </c>
      <c r="M654" t="n">
        <v>0</v>
      </c>
      <c r="N654" t="n">
        <v>0</v>
      </c>
      <c r="O654" t="n">
        <v>0</v>
      </c>
      <c r="P654" t="n">
        <v>0</v>
      </c>
      <c r="Q654" t="n">
        <v>0</v>
      </c>
      <c r="R654" s="2" t="inlineStr"/>
    </row>
    <row r="655" ht="15" customHeight="1">
      <c r="A655" t="inlineStr">
        <is>
          <t>A 35759-2025</t>
        </is>
      </c>
      <c r="B655" s="1" t="n">
        <v>45860</v>
      </c>
      <c r="C655" s="1" t="n">
        <v>45965</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3742-2021</t>
        </is>
      </c>
      <c r="B656" s="1" t="n">
        <v>44221</v>
      </c>
      <c r="C656" s="1" t="n">
        <v>45965</v>
      </c>
      <c r="D656" t="inlineStr">
        <is>
          <t>ÖSTERGÖTLANDS LÄN</t>
        </is>
      </c>
      <c r="E656" t="inlineStr">
        <is>
          <t>LINKÖPING</t>
        </is>
      </c>
      <c r="G656" t="n">
        <v>5.5</v>
      </c>
      <c r="H656" t="n">
        <v>0</v>
      </c>
      <c r="I656" t="n">
        <v>0</v>
      </c>
      <c r="J656" t="n">
        <v>0</v>
      </c>
      <c r="K656" t="n">
        <v>0</v>
      </c>
      <c r="L656" t="n">
        <v>0</v>
      </c>
      <c r="M656" t="n">
        <v>0</v>
      </c>
      <c r="N656" t="n">
        <v>0</v>
      </c>
      <c r="O656" t="n">
        <v>0</v>
      </c>
      <c r="P656" t="n">
        <v>0</v>
      </c>
      <c r="Q656" t="n">
        <v>0</v>
      </c>
      <c r="R656" s="2" t="inlineStr"/>
    </row>
    <row r="657" ht="15" customHeight="1">
      <c r="A657" t="inlineStr">
        <is>
          <t>A 3011-2023</t>
        </is>
      </c>
      <c r="B657" s="1" t="n">
        <v>44945</v>
      </c>
      <c r="C657" s="1" t="n">
        <v>45965</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45442-2024</t>
        </is>
      </c>
      <c r="B658" s="1" t="n">
        <v>45576.64189814815</v>
      </c>
      <c r="C658" s="1" t="n">
        <v>45965</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3432-2023</t>
        </is>
      </c>
      <c r="B659" s="1" t="n">
        <v>44949</v>
      </c>
      <c r="C659" s="1" t="n">
        <v>45965</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1440-2021</t>
        </is>
      </c>
      <c r="B660" s="1" t="n">
        <v>44208</v>
      </c>
      <c r="C660" s="1" t="n">
        <v>45965</v>
      </c>
      <c r="D660" t="inlineStr">
        <is>
          <t>ÖSTERGÖTLANDS LÄN</t>
        </is>
      </c>
      <c r="E660" t="inlineStr">
        <is>
          <t>LINKÖPING</t>
        </is>
      </c>
      <c r="G660" t="n">
        <v>8.4</v>
      </c>
      <c r="H660" t="n">
        <v>0</v>
      </c>
      <c r="I660" t="n">
        <v>0</v>
      </c>
      <c r="J660" t="n">
        <v>0</v>
      </c>
      <c r="K660" t="n">
        <v>0</v>
      </c>
      <c r="L660" t="n">
        <v>0</v>
      </c>
      <c r="M660" t="n">
        <v>0</v>
      </c>
      <c r="N660" t="n">
        <v>0</v>
      </c>
      <c r="O660" t="n">
        <v>0</v>
      </c>
      <c r="P660" t="n">
        <v>0</v>
      </c>
      <c r="Q660" t="n">
        <v>0</v>
      </c>
      <c r="R660" s="2" t="inlineStr"/>
    </row>
    <row r="661" ht="15" customHeight="1">
      <c r="A661" t="inlineStr">
        <is>
          <t>A 60472-2022</t>
        </is>
      </c>
      <c r="B661" s="1" t="n">
        <v>44911.41037037037</v>
      </c>
      <c r="C661" s="1" t="n">
        <v>45965</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12720-2022</t>
        </is>
      </c>
      <c r="B662" s="1" t="n">
        <v>44641</v>
      </c>
      <c r="C662" s="1" t="n">
        <v>45965</v>
      </c>
      <c r="D662" t="inlineStr">
        <is>
          <t>ÖSTERGÖTLANDS LÄN</t>
        </is>
      </c>
      <c r="E662" t="inlineStr">
        <is>
          <t>LINKÖPING</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3042-2024</t>
        </is>
      </c>
      <c r="B663" s="1" t="n">
        <v>45316.35028935185</v>
      </c>
      <c r="C663" s="1" t="n">
        <v>45965</v>
      </c>
      <c r="D663" t="inlineStr">
        <is>
          <t>ÖSTERGÖTLANDS LÄN</t>
        </is>
      </c>
      <c r="E663" t="inlineStr">
        <is>
          <t>LINKÖPING</t>
        </is>
      </c>
      <c r="G663" t="n">
        <v>3.1</v>
      </c>
      <c r="H663" t="n">
        <v>0</v>
      </c>
      <c r="I663" t="n">
        <v>0</v>
      </c>
      <c r="J663" t="n">
        <v>0</v>
      </c>
      <c r="K663" t="n">
        <v>0</v>
      </c>
      <c r="L663" t="n">
        <v>0</v>
      </c>
      <c r="M663" t="n">
        <v>0</v>
      </c>
      <c r="N663" t="n">
        <v>0</v>
      </c>
      <c r="O663" t="n">
        <v>0</v>
      </c>
      <c r="P663" t="n">
        <v>0</v>
      </c>
      <c r="Q663" t="n">
        <v>0</v>
      </c>
      <c r="R663" s="2" t="inlineStr"/>
    </row>
    <row r="664" ht="15" customHeight="1">
      <c r="A664" t="inlineStr">
        <is>
          <t>A 29293-2025</t>
        </is>
      </c>
      <c r="B664" s="1" t="n">
        <v>45824</v>
      </c>
      <c r="C664" s="1" t="n">
        <v>45965</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45831-2024</t>
        </is>
      </c>
      <c r="B665" s="1" t="n">
        <v>45579.90508101852</v>
      </c>
      <c r="C665" s="1" t="n">
        <v>45965</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57396-2021</t>
        </is>
      </c>
      <c r="B666" s="1" t="n">
        <v>44483.56151620371</v>
      </c>
      <c r="C666" s="1" t="n">
        <v>45965</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22842-2023</t>
        </is>
      </c>
      <c r="B667" s="1" t="n">
        <v>45071</v>
      </c>
      <c r="C667" s="1" t="n">
        <v>45965</v>
      </c>
      <c r="D667" t="inlineStr">
        <is>
          <t>ÖSTERGÖTLANDS LÄN</t>
        </is>
      </c>
      <c r="E667" t="inlineStr">
        <is>
          <t>LINKÖPING</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50386-2021</t>
        </is>
      </c>
      <c r="B668" s="1" t="n">
        <v>44459</v>
      </c>
      <c r="C668" s="1" t="n">
        <v>45965</v>
      </c>
      <c r="D668" t="inlineStr">
        <is>
          <t>ÖSTERGÖTLANDS LÄN</t>
        </is>
      </c>
      <c r="E668" t="inlineStr">
        <is>
          <t>LINKÖPING</t>
        </is>
      </c>
      <c r="G668" t="n">
        <v>2.3</v>
      </c>
      <c r="H668" t="n">
        <v>0</v>
      </c>
      <c r="I668" t="n">
        <v>0</v>
      </c>
      <c r="J668" t="n">
        <v>0</v>
      </c>
      <c r="K668" t="n">
        <v>0</v>
      </c>
      <c r="L668" t="n">
        <v>0</v>
      </c>
      <c r="M668" t="n">
        <v>0</v>
      </c>
      <c r="N668" t="n">
        <v>0</v>
      </c>
      <c r="O668" t="n">
        <v>0</v>
      </c>
      <c r="P668" t="n">
        <v>0</v>
      </c>
      <c r="Q668" t="n">
        <v>0</v>
      </c>
      <c r="R668" s="2" t="inlineStr"/>
    </row>
    <row r="669" ht="15" customHeight="1">
      <c r="A669" t="inlineStr">
        <is>
          <t>A 35781-2023</t>
        </is>
      </c>
      <c r="B669" s="1" t="n">
        <v>45147</v>
      </c>
      <c r="C669" s="1" t="n">
        <v>45965</v>
      </c>
      <c r="D669" t="inlineStr">
        <is>
          <t>ÖSTERGÖTLANDS LÄN</t>
        </is>
      </c>
      <c r="E669" t="inlineStr">
        <is>
          <t>LINKÖPING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22770-2024</t>
        </is>
      </c>
      <c r="B670" s="1" t="n">
        <v>45448.4634375</v>
      </c>
      <c r="C670" s="1" t="n">
        <v>45965</v>
      </c>
      <c r="D670" t="inlineStr">
        <is>
          <t>ÖSTERGÖTLANDS LÄN</t>
        </is>
      </c>
      <c r="E670" t="inlineStr">
        <is>
          <t>LINKÖPING</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11671-2023</t>
        </is>
      </c>
      <c r="B671" s="1" t="n">
        <v>44994.48125</v>
      </c>
      <c r="C671" s="1" t="n">
        <v>45965</v>
      </c>
      <c r="D671" t="inlineStr">
        <is>
          <t>ÖSTERGÖTLANDS LÄN</t>
        </is>
      </c>
      <c r="E671" t="inlineStr">
        <is>
          <t>LINKÖPING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54425-2022</t>
        </is>
      </c>
      <c r="B672" s="1" t="n">
        <v>44882.57453703704</v>
      </c>
      <c r="C672" s="1" t="n">
        <v>45965</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50667-2025</t>
        </is>
      </c>
      <c r="B673" s="1" t="n">
        <v>45945</v>
      </c>
      <c r="C673" s="1" t="n">
        <v>45965</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4927-2021</t>
        </is>
      </c>
      <c r="B674" s="1" t="n">
        <v>44227.57215277778</v>
      </c>
      <c r="C674" s="1" t="n">
        <v>45965</v>
      </c>
      <c r="D674" t="inlineStr">
        <is>
          <t>ÖSTERGÖTLANDS LÄN</t>
        </is>
      </c>
      <c r="E674" t="inlineStr">
        <is>
          <t>LINKÖPING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37057-2025</t>
        </is>
      </c>
      <c r="B675" s="1" t="n">
        <v>45875.37489583333</v>
      </c>
      <c r="C675" s="1" t="n">
        <v>45965</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30547-2023</t>
        </is>
      </c>
      <c r="B676" s="1" t="n">
        <v>45111.75905092592</v>
      </c>
      <c r="C676" s="1" t="n">
        <v>45965</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24904-2024</t>
        </is>
      </c>
      <c r="B677" s="1" t="n">
        <v>45461</v>
      </c>
      <c r="C677" s="1" t="n">
        <v>45965</v>
      </c>
      <c r="D677" t="inlineStr">
        <is>
          <t>ÖSTERGÖTLANDS LÄN</t>
        </is>
      </c>
      <c r="E677" t="inlineStr">
        <is>
          <t>LINKÖPING</t>
        </is>
      </c>
      <c r="G677" t="n">
        <v>3.8</v>
      </c>
      <c r="H677" t="n">
        <v>0</v>
      </c>
      <c r="I677" t="n">
        <v>0</v>
      </c>
      <c r="J677" t="n">
        <v>0</v>
      </c>
      <c r="K677" t="n">
        <v>0</v>
      </c>
      <c r="L677" t="n">
        <v>0</v>
      </c>
      <c r="M677" t="n">
        <v>0</v>
      </c>
      <c r="N677" t="n">
        <v>0</v>
      </c>
      <c r="O677" t="n">
        <v>0</v>
      </c>
      <c r="P677" t="n">
        <v>0</v>
      </c>
      <c r="Q677" t="n">
        <v>0</v>
      </c>
      <c r="R677" s="2" t="inlineStr"/>
    </row>
    <row r="678" ht="15" customHeight="1">
      <c r="A678" t="inlineStr">
        <is>
          <t>A 26788-2022</t>
        </is>
      </c>
      <c r="B678" s="1" t="n">
        <v>44740</v>
      </c>
      <c r="C678" s="1" t="n">
        <v>45965</v>
      </c>
      <c r="D678" t="inlineStr">
        <is>
          <t>ÖSTERGÖTLANDS LÄN</t>
        </is>
      </c>
      <c r="E678" t="inlineStr">
        <is>
          <t>LINKÖPING</t>
        </is>
      </c>
      <c r="G678" t="n">
        <v>3.2</v>
      </c>
      <c r="H678" t="n">
        <v>0</v>
      </c>
      <c r="I678" t="n">
        <v>0</v>
      </c>
      <c r="J678" t="n">
        <v>0</v>
      </c>
      <c r="K678" t="n">
        <v>0</v>
      </c>
      <c r="L678" t="n">
        <v>0</v>
      </c>
      <c r="M678" t="n">
        <v>0</v>
      </c>
      <c r="N678" t="n">
        <v>0</v>
      </c>
      <c r="O678" t="n">
        <v>0</v>
      </c>
      <c r="P678" t="n">
        <v>0</v>
      </c>
      <c r="Q678" t="n">
        <v>0</v>
      </c>
      <c r="R678" s="2" t="inlineStr"/>
    </row>
    <row r="679" ht="15" customHeight="1">
      <c r="A679" t="inlineStr">
        <is>
          <t>A 15121-2022</t>
        </is>
      </c>
      <c r="B679" s="1" t="n">
        <v>44658</v>
      </c>
      <c r="C679" s="1" t="n">
        <v>45965</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51919-2024</t>
        </is>
      </c>
      <c r="B680" s="1" t="n">
        <v>45607.60791666667</v>
      </c>
      <c r="C680" s="1" t="n">
        <v>45965</v>
      </c>
      <c r="D680" t="inlineStr">
        <is>
          <t>ÖSTERGÖTLANDS LÄN</t>
        </is>
      </c>
      <c r="E680" t="inlineStr">
        <is>
          <t>LINKÖPING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45634-2025</t>
        </is>
      </c>
      <c r="B681" s="1" t="n">
        <v>45922.85089120371</v>
      </c>
      <c r="C681" s="1" t="n">
        <v>45965</v>
      </c>
      <c r="D681" t="inlineStr">
        <is>
          <t>ÖSTERGÖTLANDS LÄN</t>
        </is>
      </c>
      <c r="E681" t="inlineStr">
        <is>
          <t>LINKÖPING</t>
        </is>
      </c>
      <c r="F681" t="inlineStr">
        <is>
          <t>Övriga Aktiebolag</t>
        </is>
      </c>
      <c r="G681" t="n">
        <v>0.3</v>
      </c>
      <c r="H681" t="n">
        <v>0</v>
      </c>
      <c r="I681" t="n">
        <v>0</v>
      </c>
      <c r="J681" t="n">
        <v>0</v>
      </c>
      <c r="K681" t="n">
        <v>0</v>
      </c>
      <c r="L681" t="n">
        <v>0</v>
      </c>
      <c r="M681" t="n">
        <v>0</v>
      </c>
      <c r="N681" t="n">
        <v>0</v>
      </c>
      <c r="O681" t="n">
        <v>0</v>
      </c>
      <c r="P681" t="n">
        <v>0</v>
      </c>
      <c r="Q681" t="n">
        <v>0</v>
      </c>
      <c r="R681" s="2" t="inlineStr"/>
    </row>
    <row r="682" ht="15" customHeight="1">
      <c r="A682" t="inlineStr">
        <is>
          <t>A 55009-2023</t>
        </is>
      </c>
      <c r="B682" s="1" t="n">
        <v>45237</v>
      </c>
      <c r="C682" s="1" t="n">
        <v>45965</v>
      </c>
      <c r="D682" t="inlineStr">
        <is>
          <t>ÖSTERGÖTLANDS LÄN</t>
        </is>
      </c>
      <c r="E682" t="inlineStr">
        <is>
          <t>LINKÖPING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20291-2025</t>
        </is>
      </c>
      <c r="B683" s="1" t="n">
        <v>45774.74288194445</v>
      </c>
      <c r="C683" s="1" t="n">
        <v>45965</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20293-2025</t>
        </is>
      </c>
      <c r="B684" s="1" t="n">
        <v>45774.74611111111</v>
      </c>
      <c r="C684" s="1" t="n">
        <v>45965</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660-2023</t>
        </is>
      </c>
      <c r="B685" s="1" t="n">
        <v>44930</v>
      </c>
      <c r="C685" s="1" t="n">
        <v>45965</v>
      </c>
      <c r="D685" t="inlineStr">
        <is>
          <t>ÖSTERGÖTLANDS LÄN</t>
        </is>
      </c>
      <c r="E685" t="inlineStr">
        <is>
          <t>LINKÖPING</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64694-2023</t>
        </is>
      </c>
      <c r="B686" s="1" t="n">
        <v>45281</v>
      </c>
      <c r="C686" s="1" t="n">
        <v>45965</v>
      </c>
      <c r="D686" t="inlineStr">
        <is>
          <t>ÖSTERGÖTLANDS LÄN</t>
        </is>
      </c>
      <c r="E686" t="inlineStr">
        <is>
          <t>LINKÖPING</t>
        </is>
      </c>
      <c r="F686" t="inlineStr">
        <is>
          <t>Övriga statliga verk och myndigheter</t>
        </is>
      </c>
      <c r="G686" t="n">
        <v>4.9</v>
      </c>
      <c r="H686" t="n">
        <v>0</v>
      </c>
      <c r="I686" t="n">
        <v>0</v>
      </c>
      <c r="J686" t="n">
        <v>0</v>
      </c>
      <c r="K686" t="n">
        <v>0</v>
      </c>
      <c r="L686" t="n">
        <v>0</v>
      </c>
      <c r="M686" t="n">
        <v>0</v>
      </c>
      <c r="N686" t="n">
        <v>0</v>
      </c>
      <c r="O686" t="n">
        <v>0</v>
      </c>
      <c r="P686" t="n">
        <v>0</v>
      </c>
      <c r="Q686" t="n">
        <v>0</v>
      </c>
      <c r="R686" s="2" t="inlineStr"/>
    </row>
    <row r="687" ht="15" customHeight="1">
      <c r="A687" t="inlineStr">
        <is>
          <t>A 25829-2025</t>
        </is>
      </c>
      <c r="B687" s="1" t="n">
        <v>45804.44505787037</v>
      </c>
      <c r="C687" s="1" t="n">
        <v>45965</v>
      </c>
      <c r="D687" t="inlineStr">
        <is>
          <t>ÖSTERGÖTLANDS LÄN</t>
        </is>
      </c>
      <c r="E687" t="inlineStr">
        <is>
          <t>LINKÖPING</t>
        </is>
      </c>
      <c r="G687" t="n">
        <v>1</v>
      </c>
      <c r="H687" t="n">
        <v>0</v>
      </c>
      <c r="I687" t="n">
        <v>0</v>
      </c>
      <c r="J687" t="n">
        <v>0</v>
      </c>
      <c r="K687" t="n">
        <v>0</v>
      </c>
      <c r="L687" t="n">
        <v>0</v>
      </c>
      <c r="M687" t="n">
        <v>0</v>
      </c>
      <c r="N687" t="n">
        <v>0</v>
      </c>
      <c r="O687" t="n">
        <v>0</v>
      </c>
      <c r="P687" t="n">
        <v>0</v>
      </c>
      <c r="Q687" t="n">
        <v>0</v>
      </c>
      <c r="R687" s="2" t="inlineStr"/>
    </row>
    <row r="688" ht="15" customHeight="1">
      <c r="A688" t="inlineStr">
        <is>
          <t>A 42623-2025</t>
        </is>
      </c>
      <c r="B688" s="1" t="n">
        <v>45905</v>
      </c>
      <c r="C688" s="1" t="n">
        <v>45965</v>
      </c>
      <c r="D688" t="inlineStr">
        <is>
          <t>ÖSTERGÖTLANDS LÄN</t>
        </is>
      </c>
      <c r="E688" t="inlineStr">
        <is>
          <t>LINKÖPING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46194-2025</t>
        </is>
      </c>
      <c r="B689" s="1" t="n">
        <v>45924.68075231482</v>
      </c>
      <c r="C689" s="1" t="n">
        <v>45965</v>
      </c>
      <c r="D689" t="inlineStr">
        <is>
          <t>ÖSTERGÖTLANDS LÄN</t>
        </is>
      </c>
      <c r="E689" t="inlineStr">
        <is>
          <t>LINKÖPING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45804-2025</t>
        </is>
      </c>
      <c r="B690" s="1" t="n">
        <v>45923.5819675926</v>
      </c>
      <c r="C690" s="1" t="n">
        <v>45965</v>
      </c>
      <c r="D690" t="inlineStr">
        <is>
          <t>ÖSTERGÖTLANDS LÄN</t>
        </is>
      </c>
      <c r="E690" t="inlineStr">
        <is>
          <t>LINKÖPING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45792-2025</t>
        </is>
      </c>
      <c r="B691" s="1" t="n">
        <v>45923.56998842592</v>
      </c>
      <c r="C691" s="1" t="n">
        <v>45965</v>
      </c>
      <c r="D691" t="inlineStr">
        <is>
          <t>ÖSTERGÖTLANDS LÄN</t>
        </is>
      </c>
      <c r="E691" t="inlineStr">
        <is>
          <t>LINKÖPING</t>
        </is>
      </c>
      <c r="G691" t="n">
        <v>2.6</v>
      </c>
      <c r="H691" t="n">
        <v>0</v>
      </c>
      <c r="I691" t="n">
        <v>0</v>
      </c>
      <c r="J691" t="n">
        <v>0</v>
      </c>
      <c r="K691" t="n">
        <v>0</v>
      </c>
      <c r="L691" t="n">
        <v>0</v>
      </c>
      <c r="M691" t="n">
        <v>0</v>
      </c>
      <c r="N691" t="n">
        <v>0</v>
      </c>
      <c r="O691" t="n">
        <v>0</v>
      </c>
      <c r="P691" t="n">
        <v>0</v>
      </c>
      <c r="Q691" t="n">
        <v>0</v>
      </c>
      <c r="R691" s="2" t="inlineStr"/>
    </row>
    <row r="692" ht="15" customHeight="1">
      <c r="A692" t="inlineStr">
        <is>
          <t>A 42624-2025</t>
        </is>
      </c>
      <c r="B692" s="1" t="n">
        <v>45905</v>
      </c>
      <c r="C692" s="1" t="n">
        <v>45965</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42626-2025</t>
        </is>
      </c>
      <c r="B693" s="1" t="n">
        <v>45905</v>
      </c>
      <c r="C693" s="1" t="n">
        <v>45965</v>
      </c>
      <c r="D693" t="inlineStr">
        <is>
          <t>ÖSTERGÖTLANDS LÄN</t>
        </is>
      </c>
      <c r="E693" t="inlineStr">
        <is>
          <t>LINKÖPING</t>
        </is>
      </c>
      <c r="G693" t="n">
        <v>3.6</v>
      </c>
      <c r="H693" t="n">
        <v>0</v>
      </c>
      <c r="I693" t="n">
        <v>0</v>
      </c>
      <c r="J693" t="n">
        <v>0</v>
      </c>
      <c r="K693" t="n">
        <v>0</v>
      </c>
      <c r="L693" t="n">
        <v>0</v>
      </c>
      <c r="M693" t="n">
        <v>0</v>
      </c>
      <c r="N693" t="n">
        <v>0</v>
      </c>
      <c r="O693" t="n">
        <v>0</v>
      </c>
      <c r="P693" t="n">
        <v>0</v>
      </c>
      <c r="Q693" t="n">
        <v>0</v>
      </c>
      <c r="R693" s="2" t="inlineStr"/>
    </row>
    <row r="694" ht="15" customHeight="1">
      <c r="A694" t="inlineStr">
        <is>
          <t>A 10253-2022</t>
        </is>
      </c>
      <c r="B694" s="1" t="n">
        <v>44622</v>
      </c>
      <c r="C694" s="1" t="n">
        <v>45965</v>
      </c>
      <c r="D694" t="inlineStr">
        <is>
          <t>ÖSTERGÖTLANDS LÄN</t>
        </is>
      </c>
      <c r="E694" t="inlineStr">
        <is>
          <t>LINKÖPING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51802-2025</t>
        </is>
      </c>
      <c r="B695" s="1" t="n">
        <v>45950</v>
      </c>
      <c r="C695" s="1" t="n">
        <v>45965</v>
      </c>
      <c r="D695" t="inlineStr">
        <is>
          <t>ÖSTERGÖTLANDS LÄN</t>
        </is>
      </c>
      <c r="E695" t="inlineStr">
        <is>
          <t>LINKÖPING</t>
        </is>
      </c>
      <c r="F695" t="inlineStr">
        <is>
          <t>Övriga Aktiebolag</t>
        </is>
      </c>
      <c r="G695" t="n">
        <v>2</v>
      </c>
      <c r="H695" t="n">
        <v>0</v>
      </c>
      <c r="I695" t="n">
        <v>0</v>
      </c>
      <c r="J695" t="n">
        <v>0</v>
      </c>
      <c r="K695" t="n">
        <v>0</v>
      </c>
      <c r="L695" t="n">
        <v>0</v>
      </c>
      <c r="M695" t="n">
        <v>0</v>
      </c>
      <c r="N695" t="n">
        <v>0</v>
      </c>
      <c r="O695" t="n">
        <v>0</v>
      </c>
      <c r="P695" t="n">
        <v>0</v>
      </c>
      <c r="Q695" t="n">
        <v>0</v>
      </c>
      <c r="R695" s="2" t="inlineStr"/>
    </row>
    <row r="696" ht="15" customHeight="1">
      <c r="A696" t="inlineStr">
        <is>
          <t>A 52111-2025</t>
        </is>
      </c>
      <c r="B696" s="1" t="n">
        <v>45952.69527777778</v>
      </c>
      <c r="C696" s="1" t="n">
        <v>45965</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43755-2025</t>
        </is>
      </c>
      <c r="B697" s="1" t="n">
        <v>45912.47329861111</v>
      </c>
      <c r="C697" s="1" t="n">
        <v>45965</v>
      </c>
      <c r="D697" t="inlineStr">
        <is>
          <t>ÖSTERGÖTLANDS LÄN</t>
        </is>
      </c>
      <c r="E697" t="inlineStr">
        <is>
          <t>LINKÖPING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43753-2025</t>
        </is>
      </c>
      <c r="B698" s="1" t="n">
        <v>45912.4715625</v>
      </c>
      <c r="C698" s="1" t="n">
        <v>45965</v>
      </c>
      <c r="D698" t="inlineStr">
        <is>
          <t>ÖSTERGÖTLANDS LÄN</t>
        </is>
      </c>
      <c r="E698" t="inlineStr">
        <is>
          <t>LINKÖPING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43758-2025</t>
        </is>
      </c>
      <c r="B699" s="1" t="n">
        <v>45912.47711805555</v>
      </c>
      <c r="C699" s="1" t="n">
        <v>45965</v>
      </c>
      <c r="D699" t="inlineStr">
        <is>
          <t>ÖSTERGÖTLANDS LÄN</t>
        </is>
      </c>
      <c r="E699" t="inlineStr">
        <is>
          <t>LINKÖPING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44170-2025</t>
        </is>
      </c>
      <c r="B700" s="1" t="n">
        <v>45915.59864583334</v>
      </c>
      <c r="C700" s="1" t="n">
        <v>45965</v>
      </c>
      <c r="D700" t="inlineStr">
        <is>
          <t>ÖSTERGÖTLANDS LÄN</t>
        </is>
      </c>
      <c r="E700" t="inlineStr">
        <is>
          <t>LINKÖPING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52740-2025</t>
        </is>
      </c>
      <c r="B701" s="1" t="n">
        <v>45957.37747685185</v>
      </c>
      <c r="C701" s="1" t="n">
        <v>45965</v>
      </c>
      <c r="D701" t="inlineStr">
        <is>
          <t>ÖSTERGÖTLANDS LÄN</t>
        </is>
      </c>
      <c r="E701" t="inlineStr">
        <is>
          <t>LINKÖPING</t>
        </is>
      </c>
      <c r="G701" t="n">
        <v>3.7</v>
      </c>
      <c r="H701" t="n">
        <v>0</v>
      </c>
      <c r="I701" t="n">
        <v>0</v>
      </c>
      <c r="J701" t="n">
        <v>0</v>
      </c>
      <c r="K701" t="n">
        <v>0</v>
      </c>
      <c r="L701" t="n">
        <v>0</v>
      </c>
      <c r="M701" t="n">
        <v>0</v>
      </c>
      <c r="N701" t="n">
        <v>0</v>
      </c>
      <c r="O701" t="n">
        <v>0</v>
      </c>
      <c r="P701" t="n">
        <v>0</v>
      </c>
      <c r="Q701" t="n">
        <v>0</v>
      </c>
      <c r="R701" s="2" t="inlineStr"/>
    </row>
    <row r="702" ht="15" customHeight="1">
      <c r="A702" t="inlineStr">
        <is>
          <t>A 52743-2025</t>
        </is>
      </c>
      <c r="B702" s="1" t="n">
        <v>45957.38039351852</v>
      </c>
      <c r="C702" s="1" t="n">
        <v>45965</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52807-2025</t>
        </is>
      </c>
      <c r="B703" s="1" t="n">
        <v>45957.44837962963</v>
      </c>
      <c r="C703" s="1" t="n">
        <v>45965</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52800-2025</t>
        </is>
      </c>
      <c r="B704" s="1" t="n">
        <v>45957.44152777778</v>
      </c>
      <c r="C704" s="1" t="n">
        <v>45965</v>
      </c>
      <c r="D704" t="inlineStr">
        <is>
          <t>ÖSTERGÖTLANDS LÄN</t>
        </is>
      </c>
      <c r="E704" t="inlineStr">
        <is>
          <t>LINKÖPING</t>
        </is>
      </c>
      <c r="G704" t="n">
        <v>2.5</v>
      </c>
      <c r="H704" t="n">
        <v>0</v>
      </c>
      <c r="I704" t="n">
        <v>0</v>
      </c>
      <c r="J704" t="n">
        <v>0</v>
      </c>
      <c r="K704" t="n">
        <v>0</v>
      </c>
      <c r="L704" t="n">
        <v>0</v>
      </c>
      <c r="M704" t="n">
        <v>0</v>
      </c>
      <c r="N704" t="n">
        <v>0</v>
      </c>
      <c r="O704" t="n">
        <v>0</v>
      </c>
      <c r="P704" t="n">
        <v>0</v>
      </c>
      <c r="Q704" t="n">
        <v>0</v>
      </c>
      <c r="R704" s="2" t="inlineStr"/>
    </row>
    <row r="705" ht="15" customHeight="1">
      <c r="A705" t="inlineStr">
        <is>
          <t>A 52802-2025</t>
        </is>
      </c>
      <c r="B705" s="1" t="n">
        <v>45957.44295138889</v>
      </c>
      <c r="C705" s="1" t="n">
        <v>45965</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44759-2025</t>
        </is>
      </c>
      <c r="B706" s="1" t="n">
        <v>45917.7152662037</v>
      </c>
      <c r="C706" s="1" t="n">
        <v>45965</v>
      </c>
      <c r="D706" t="inlineStr">
        <is>
          <t>ÖSTERGÖTLANDS LÄN</t>
        </is>
      </c>
      <c r="E706" t="inlineStr">
        <is>
          <t>LINKÖPING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44764-2025</t>
        </is>
      </c>
      <c r="B707" s="1" t="n">
        <v>45917.72821759259</v>
      </c>
      <c r="C707" s="1" t="n">
        <v>45965</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45112-2025</t>
        </is>
      </c>
      <c r="B708" s="1" t="n">
        <v>45919</v>
      </c>
      <c r="C708" s="1" t="n">
        <v>45965</v>
      </c>
      <c r="D708" t="inlineStr">
        <is>
          <t>ÖSTERGÖTLANDS LÄN</t>
        </is>
      </c>
      <c r="E708" t="inlineStr">
        <is>
          <t>LINKÖPING</t>
        </is>
      </c>
      <c r="G708" t="n">
        <v>3.5</v>
      </c>
      <c r="H708" t="n">
        <v>0</v>
      </c>
      <c r="I708" t="n">
        <v>0</v>
      </c>
      <c r="J708" t="n">
        <v>0</v>
      </c>
      <c r="K708" t="n">
        <v>0</v>
      </c>
      <c r="L708" t="n">
        <v>0</v>
      </c>
      <c r="M708" t="n">
        <v>0</v>
      </c>
      <c r="N708" t="n">
        <v>0</v>
      </c>
      <c r="O708" t="n">
        <v>0</v>
      </c>
      <c r="P708" t="n">
        <v>0</v>
      </c>
      <c r="Q708" t="n">
        <v>0</v>
      </c>
      <c r="R708" s="2" t="inlineStr"/>
    </row>
    <row r="709">
      <c r="A709" t="inlineStr">
        <is>
          <t>A 50056-2025</t>
        </is>
      </c>
      <c r="B709" s="1" t="n">
        <v>45941</v>
      </c>
      <c r="C709" s="1" t="n">
        <v>45965</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2025-11-04T10:05:00Z</dcterms:created>
  <dcterms:modified xmlns:dcterms="http://purl.org/dc/terms/" xmlns:xsi="http://www.w3.org/2001/XMLSchema-instance" xsi:type="dcterms:W3CDTF">2025-11-04T10:05:01Z</dcterms:modified>
</cp:coreProperties>
</file>