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45985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45985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45985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45985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45985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45985</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45985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45985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45985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45985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45985</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45985</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9192-2025</t>
        </is>
      </c>
      <c r="B15" s="1" t="n">
        <v>45714.45943287037</v>
      </c>
      <c r="C15" s="1" t="n">
        <v>45985</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45985</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45985</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45985</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45985</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45985</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45985</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45985</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45985</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45985</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45985</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58068-2021</t>
        </is>
      </c>
      <c r="B26" s="1" t="n">
        <v>44487</v>
      </c>
      <c r="C26" s="1" t="n">
        <v>45985</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45985</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27981-2022</t>
        </is>
      </c>
      <c r="B28" s="1" t="n">
        <v>44745</v>
      </c>
      <c r="C28" s="1" t="n">
        <v>45985</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50048-2025</t>
        </is>
      </c>
      <c r="B29" s="1" t="n">
        <v>45941</v>
      </c>
      <c r="C29" s="1" t="n">
        <v>45985</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25985-2025</t>
        </is>
      </c>
      <c r="B30" s="1" t="n">
        <v>45804.64479166667</v>
      </c>
      <c r="C30" s="1" t="n">
        <v>45985</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38913-2023</t>
        </is>
      </c>
      <c r="B31" s="1" t="n">
        <v>45163</v>
      </c>
      <c r="C31" s="1" t="n">
        <v>45985</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45985</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45985</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45985</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45985</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45985</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45985</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45985</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45985</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45985</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45985</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45985</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45985</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45985</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45985</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45985</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45985</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45985</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45985</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45985</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41749-2023</t>
        </is>
      </c>
      <c r="B51" s="1" t="n">
        <v>45176</v>
      </c>
      <c r="C51" s="1" t="n">
        <v>45985</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41749-2023 artfynd.xlsx", "A 41749-2023")</f>
        <v/>
      </c>
      <c r="T51">
        <f>HYPERLINK("https://klasma.github.io/Logging_0580/kartor/A 41749-2023 karta.png", "A 41749-2023")</f>
        <v/>
      </c>
      <c r="V51">
        <f>HYPERLINK("https://klasma.github.io/Logging_0580/klagomål/A 41749-2023 FSC-klagomål.docx", "A 41749-2023")</f>
        <v/>
      </c>
      <c r="W51">
        <f>HYPERLINK("https://klasma.github.io/Logging_0580/klagomålsmail/A 41749-2023 FSC-klagomål mail.docx", "A 41749-2023")</f>
        <v/>
      </c>
      <c r="X51">
        <f>HYPERLINK("https://klasma.github.io/Logging_0580/tillsyn/A 41749-2023 tillsynsbegäran.docx", "A 41749-2023")</f>
        <v/>
      </c>
      <c r="Y51">
        <f>HYPERLINK("https://klasma.github.io/Logging_0580/tillsynsmail/A 41749-2023 tillsynsbegäran mail.docx", "A 41749-2023")</f>
        <v/>
      </c>
    </row>
    <row r="52" ht="15" customHeight="1">
      <c r="A52" t="inlineStr">
        <is>
          <t>A 22526-2025</t>
        </is>
      </c>
      <c r="B52" s="1" t="n">
        <v>45786.78096064815</v>
      </c>
      <c r="C52" s="1" t="n">
        <v>45985</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27403-2025</t>
        </is>
      </c>
      <c r="B53" s="1" t="n">
        <v>45812.72518518518</v>
      </c>
      <c r="C53" s="1" t="n">
        <v>45985</v>
      </c>
      <c r="D53" t="inlineStr">
        <is>
          <t>ÖSTERGÖTLANDS LÄN</t>
        </is>
      </c>
      <c r="E53" t="inlineStr">
        <is>
          <t>LINKÖPING</t>
        </is>
      </c>
      <c r="G53" t="n">
        <v>1.4</v>
      </c>
      <c r="H53" t="n">
        <v>0</v>
      </c>
      <c r="I53" t="n">
        <v>0</v>
      </c>
      <c r="J53" t="n">
        <v>1</v>
      </c>
      <c r="K53" t="n">
        <v>0</v>
      </c>
      <c r="L53" t="n">
        <v>0</v>
      </c>
      <c r="M53" t="n">
        <v>0</v>
      </c>
      <c r="N53" t="n">
        <v>0</v>
      </c>
      <c r="O53" t="n">
        <v>1</v>
      </c>
      <c r="P53" t="n">
        <v>0</v>
      </c>
      <c r="Q53" t="n">
        <v>1</v>
      </c>
      <c r="R53" s="2" t="inlineStr">
        <is>
          <t>Tallticka</t>
        </is>
      </c>
      <c r="S53">
        <f>HYPERLINK("https://klasma.github.io/Logging_0580/artfynd/A 27403-2025 artfynd.xlsx", "A 27403-2025")</f>
        <v/>
      </c>
      <c r="T53">
        <f>HYPERLINK("https://klasma.github.io/Logging_0580/kartor/A 27403-2025 karta.png", "A 27403-2025")</f>
        <v/>
      </c>
      <c r="V53">
        <f>HYPERLINK("https://klasma.github.io/Logging_0580/klagomål/A 27403-2025 FSC-klagomål.docx", "A 27403-2025")</f>
        <v/>
      </c>
      <c r="W53">
        <f>HYPERLINK("https://klasma.github.io/Logging_0580/klagomålsmail/A 27403-2025 FSC-klagomål mail.docx", "A 27403-2025")</f>
        <v/>
      </c>
      <c r="X53">
        <f>HYPERLINK("https://klasma.github.io/Logging_0580/tillsyn/A 27403-2025 tillsynsbegäran.docx", "A 27403-2025")</f>
        <v/>
      </c>
      <c r="Y53">
        <f>HYPERLINK("https://klasma.github.io/Logging_0580/tillsynsmail/A 27403-2025 tillsynsbegäran mail.docx", "A 27403-2025")</f>
        <v/>
      </c>
    </row>
    <row r="54" ht="15" customHeight="1">
      <c r="A54" t="inlineStr">
        <is>
          <t>A 1213-2023</t>
        </is>
      </c>
      <c r="B54" s="1" t="n">
        <v>44930</v>
      </c>
      <c r="C54" s="1" t="n">
        <v>45985</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43989-2025</t>
        </is>
      </c>
      <c r="B55" s="1" t="n">
        <v>45915.44128472222</v>
      </c>
      <c r="C55" s="1" t="n">
        <v>45985</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50471-2024</t>
        </is>
      </c>
      <c r="B56" s="1" t="n">
        <v>45601.47166666666</v>
      </c>
      <c r="C56" s="1" t="n">
        <v>45985</v>
      </c>
      <c r="D56" t="inlineStr">
        <is>
          <t>ÖSTERGÖTLANDS LÄN</t>
        </is>
      </c>
      <c r="E56" t="inlineStr">
        <is>
          <t>LINKÖPING</t>
        </is>
      </c>
      <c r="F56" t="inlineStr">
        <is>
          <t>Övriga Aktiebolag</t>
        </is>
      </c>
      <c r="G56" t="n">
        <v>2</v>
      </c>
      <c r="H56" t="n">
        <v>0</v>
      </c>
      <c r="I56" t="n">
        <v>1</v>
      </c>
      <c r="J56" t="n">
        <v>0</v>
      </c>
      <c r="K56" t="n">
        <v>0</v>
      </c>
      <c r="L56" t="n">
        <v>0</v>
      </c>
      <c r="M56" t="n">
        <v>0</v>
      </c>
      <c r="N56" t="n">
        <v>0</v>
      </c>
      <c r="O56" t="n">
        <v>0</v>
      </c>
      <c r="P56" t="n">
        <v>0</v>
      </c>
      <c r="Q56" t="n">
        <v>1</v>
      </c>
      <c r="R56" s="2" t="inlineStr">
        <is>
          <t>Västlig hakmossa</t>
        </is>
      </c>
      <c r="S56">
        <f>HYPERLINK("https://klasma.github.io/Logging_0580/artfynd/A 50471-2024 artfynd.xlsx", "A 50471-2024")</f>
        <v/>
      </c>
      <c r="T56">
        <f>HYPERLINK("https://klasma.github.io/Logging_0580/kartor/A 50471-2024 karta.png", "A 50471-2024")</f>
        <v/>
      </c>
      <c r="V56">
        <f>HYPERLINK("https://klasma.github.io/Logging_0580/klagomål/A 50471-2024 FSC-klagomål.docx", "A 50471-2024")</f>
        <v/>
      </c>
      <c r="W56">
        <f>HYPERLINK("https://klasma.github.io/Logging_0580/klagomålsmail/A 50471-2024 FSC-klagomål mail.docx", "A 50471-2024")</f>
        <v/>
      </c>
      <c r="X56">
        <f>HYPERLINK("https://klasma.github.io/Logging_0580/tillsyn/A 50471-2024 tillsynsbegäran.docx", "A 50471-2024")</f>
        <v/>
      </c>
      <c r="Y56">
        <f>HYPERLINK("https://klasma.github.io/Logging_0580/tillsynsmail/A 50471-2024 tillsynsbegäran mail.docx", "A 50471-2024")</f>
        <v/>
      </c>
    </row>
    <row r="57" ht="15" customHeight="1">
      <c r="A57" t="inlineStr">
        <is>
          <t>A 44760-2025</t>
        </is>
      </c>
      <c r="B57" s="1" t="n">
        <v>45917.71873842592</v>
      </c>
      <c r="C57" s="1" t="n">
        <v>45985</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50806-2023</t>
        </is>
      </c>
      <c r="B58" s="1" t="n">
        <v>45217</v>
      </c>
      <c r="C58" s="1" t="n">
        <v>45985</v>
      </c>
      <c r="D58" t="inlineStr">
        <is>
          <t>ÖSTERGÖTLANDS LÄN</t>
        </is>
      </c>
      <c r="E58" t="inlineStr">
        <is>
          <t>LINKÖPING</t>
        </is>
      </c>
      <c r="F58" t="inlineStr">
        <is>
          <t>Övriga Aktiebolag</t>
        </is>
      </c>
      <c r="G58" t="n">
        <v>0.7</v>
      </c>
      <c r="H58" t="n">
        <v>1</v>
      </c>
      <c r="I58" t="n">
        <v>0</v>
      </c>
      <c r="J58" t="n">
        <v>0</v>
      </c>
      <c r="K58" t="n">
        <v>0</v>
      </c>
      <c r="L58" t="n">
        <v>0</v>
      </c>
      <c r="M58" t="n">
        <v>0</v>
      </c>
      <c r="N58" t="n">
        <v>0</v>
      </c>
      <c r="O58" t="n">
        <v>0</v>
      </c>
      <c r="P58" t="n">
        <v>0</v>
      </c>
      <c r="Q58" t="n">
        <v>1</v>
      </c>
      <c r="R58" s="2" t="inlineStr">
        <is>
          <t>Gullviva</t>
        </is>
      </c>
      <c r="S58">
        <f>HYPERLINK("https://klasma.github.io/Logging_0580/artfynd/A 50806-2023 artfynd.xlsx", "A 50806-2023")</f>
        <v/>
      </c>
      <c r="T58">
        <f>HYPERLINK("https://klasma.github.io/Logging_0580/kartor/A 50806-2023 karta.png", "A 50806-2023")</f>
        <v/>
      </c>
      <c r="V58">
        <f>HYPERLINK("https://klasma.github.io/Logging_0580/klagomål/A 50806-2023 FSC-klagomål.docx", "A 50806-2023")</f>
        <v/>
      </c>
      <c r="W58">
        <f>HYPERLINK("https://klasma.github.io/Logging_0580/klagomålsmail/A 50806-2023 FSC-klagomål mail.docx", "A 50806-2023")</f>
        <v/>
      </c>
      <c r="X58">
        <f>HYPERLINK("https://klasma.github.io/Logging_0580/tillsyn/A 50806-2023 tillsynsbegäran.docx", "A 50806-2023")</f>
        <v/>
      </c>
      <c r="Y58">
        <f>HYPERLINK("https://klasma.github.io/Logging_0580/tillsynsmail/A 50806-2023 tillsynsbegäran mail.docx", "A 50806-2023")</f>
        <v/>
      </c>
    </row>
    <row r="59" ht="15" customHeight="1">
      <c r="A59" t="inlineStr">
        <is>
          <t>A 50034-2025</t>
        </is>
      </c>
      <c r="B59" s="1" t="n">
        <v>45941</v>
      </c>
      <c r="C59" s="1" t="n">
        <v>45985</v>
      </c>
      <c r="D59" t="inlineStr">
        <is>
          <t>ÖSTERGÖTLANDS LÄN</t>
        </is>
      </c>
      <c r="E59" t="inlineStr">
        <is>
          <t>LINKÖPING</t>
        </is>
      </c>
      <c r="G59" t="n">
        <v>6.2</v>
      </c>
      <c r="H59" t="n">
        <v>0</v>
      </c>
      <c r="I59" t="n">
        <v>0</v>
      </c>
      <c r="J59" t="n">
        <v>0</v>
      </c>
      <c r="K59" t="n">
        <v>0</v>
      </c>
      <c r="L59" t="n">
        <v>0</v>
      </c>
      <c r="M59" t="n">
        <v>1</v>
      </c>
      <c r="N59" t="n">
        <v>0</v>
      </c>
      <c r="O59" t="n">
        <v>1</v>
      </c>
      <c r="P59" t="n">
        <v>1</v>
      </c>
      <c r="Q59" t="n">
        <v>1</v>
      </c>
      <c r="R59" s="2" t="inlineStr">
        <is>
          <t>Skogsalm</t>
        </is>
      </c>
      <c r="S59">
        <f>HYPERLINK("https://klasma.github.io/Logging_0580/artfynd/A 50034-2025 artfynd.xlsx", "A 50034-2025")</f>
        <v/>
      </c>
      <c r="T59">
        <f>HYPERLINK("https://klasma.github.io/Logging_0580/kartor/A 50034-2025 karta.png", "A 50034-2025")</f>
        <v/>
      </c>
      <c r="V59">
        <f>HYPERLINK("https://klasma.github.io/Logging_0580/klagomål/A 50034-2025 FSC-klagomål.docx", "A 50034-2025")</f>
        <v/>
      </c>
      <c r="W59">
        <f>HYPERLINK("https://klasma.github.io/Logging_0580/klagomålsmail/A 50034-2025 FSC-klagomål mail.docx", "A 50034-2025")</f>
        <v/>
      </c>
      <c r="X59">
        <f>HYPERLINK("https://klasma.github.io/Logging_0580/tillsyn/A 50034-2025 tillsynsbegäran.docx", "A 50034-2025")</f>
        <v/>
      </c>
      <c r="Y59">
        <f>HYPERLINK("https://klasma.github.io/Logging_0580/tillsynsmail/A 50034-2025 tillsynsbegäran mail.docx", "A 50034-2025")</f>
        <v/>
      </c>
    </row>
    <row r="60" ht="15" customHeight="1">
      <c r="A60" t="inlineStr">
        <is>
          <t>A 36723-2023</t>
        </is>
      </c>
      <c r="B60" s="1" t="n">
        <v>45153</v>
      </c>
      <c r="C60" s="1" t="n">
        <v>45985</v>
      </c>
      <c r="D60" t="inlineStr">
        <is>
          <t>ÖSTERGÖTLANDS LÄN</t>
        </is>
      </c>
      <c r="E60" t="inlineStr">
        <is>
          <t>LINKÖPING</t>
        </is>
      </c>
      <c r="F60" t="inlineStr">
        <is>
          <t>Allmännings- och besparingsskogar</t>
        </is>
      </c>
      <c r="G60" t="n">
        <v>9.9</v>
      </c>
      <c r="H60" t="n">
        <v>0</v>
      </c>
      <c r="I60" t="n">
        <v>0</v>
      </c>
      <c r="J60" t="n">
        <v>0</v>
      </c>
      <c r="K60" t="n">
        <v>1</v>
      </c>
      <c r="L60" t="n">
        <v>0</v>
      </c>
      <c r="M60" t="n">
        <v>0</v>
      </c>
      <c r="N60" t="n">
        <v>0</v>
      </c>
      <c r="O60" t="n">
        <v>1</v>
      </c>
      <c r="P60" t="n">
        <v>1</v>
      </c>
      <c r="Q60" t="n">
        <v>1</v>
      </c>
      <c r="R60" s="2" t="inlineStr">
        <is>
          <t>Bitter taggsvamp</t>
        </is>
      </c>
      <c r="S60">
        <f>HYPERLINK("https://klasma.github.io/Logging_0580/artfynd/A 36723-2023 artfynd.xlsx", "A 36723-2023")</f>
        <v/>
      </c>
      <c r="T60">
        <f>HYPERLINK("https://klasma.github.io/Logging_0580/kartor/A 36723-2023 karta.png", "A 36723-2023")</f>
        <v/>
      </c>
      <c r="V60">
        <f>HYPERLINK("https://klasma.github.io/Logging_0580/klagomål/A 36723-2023 FSC-klagomål.docx", "A 36723-2023")</f>
        <v/>
      </c>
      <c r="W60">
        <f>HYPERLINK("https://klasma.github.io/Logging_0580/klagomålsmail/A 36723-2023 FSC-klagomål mail.docx", "A 36723-2023")</f>
        <v/>
      </c>
      <c r="X60">
        <f>HYPERLINK("https://klasma.github.io/Logging_0580/tillsyn/A 36723-2023 tillsynsbegäran.docx", "A 36723-2023")</f>
        <v/>
      </c>
      <c r="Y60">
        <f>HYPERLINK("https://klasma.github.io/Logging_0580/tillsynsmail/A 36723-2023 tillsynsbegäran mail.docx", "A 36723-2023")</f>
        <v/>
      </c>
    </row>
    <row r="61" ht="15" customHeight="1">
      <c r="A61" t="inlineStr">
        <is>
          <t>A 60573-2021</t>
        </is>
      </c>
      <c r="B61" s="1" t="n">
        <v>44496</v>
      </c>
      <c r="C61" s="1" t="n">
        <v>45985</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48273-2025</t>
        </is>
      </c>
      <c r="B62" s="1" t="n">
        <v>45932</v>
      </c>
      <c r="C62" s="1" t="n">
        <v>45985</v>
      </c>
      <c r="D62" t="inlineStr">
        <is>
          <t>ÖSTERGÖTLANDS LÄN</t>
        </is>
      </c>
      <c r="E62" t="inlineStr">
        <is>
          <t>LINKÖPING</t>
        </is>
      </c>
      <c r="F62" t="inlineStr">
        <is>
          <t>Övriga Aktiebolag</t>
        </is>
      </c>
      <c r="G62" t="n">
        <v>4.6</v>
      </c>
      <c r="H62" t="n">
        <v>0</v>
      </c>
      <c r="I62" t="n">
        <v>0</v>
      </c>
      <c r="J62" t="n">
        <v>1</v>
      </c>
      <c r="K62" t="n">
        <v>0</v>
      </c>
      <c r="L62" t="n">
        <v>0</v>
      </c>
      <c r="M62" t="n">
        <v>0</v>
      </c>
      <c r="N62" t="n">
        <v>0</v>
      </c>
      <c r="O62" t="n">
        <v>1</v>
      </c>
      <c r="P62" t="n">
        <v>0</v>
      </c>
      <c r="Q62" t="n">
        <v>1</v>
      </c>
      <c r="R62" s="2" t="inlineStr">
        <is>
          <t>Barrviolspindling</t>
        </is>
      </c>
      <c r="S62">
        <f>HYPERLINK("https://klasma.github.io/Logging_0580/artfynd/A 48273-2025 artfynd.xlsx", "A 48273-2025")</f>
        <v/>
      </c>
      <c r="T62">
        <f>HYPERLINK("https://klasma.github.io/Logging_0580/kartor/A 48273-2025 karta.png", "A 48273-2025")</f>
        <v/>
      </c>
      <c r="V62">
        <f>HYPERLINK("https://klasma.github.io/Logging_0580/klagomål/A 48273-2025 FSC-klagomål.docx", "A 48273-2025")</f>
        <v/>
      </c>
      <c r="W62">
        <f>HYPERLINK("https://klasma.github.io/Logging_0580/klagomålsmail/A 48273-2025 FSC-klagomål mail.docx", "A 48273-2025")</f>
        <v/>
      </c>
      <c r="X62">
        <f>HYPERLINK("https://klasma.github.io/Logging_0580/tillsyn/A 48273-2025 tillsynsbegäran.docx", "A 48273-2025")</f>
        <v/>
      </c>
      <c r="Y62">
        <f>HYPERLINK("https://klasma.github.io/Logging_0580/tillsynsmail/A 48273-2025 tillsynsbegäran mail.docx", "A 48273-2025")</f>
        <v/>
      </c>
    </row>
    <row r="63" ht="15" customHeight="1">
      <c r="A63" t="inlineStr">
        <is>
          <t>A 48298-2025</t>
        </is>
      </c>
      <c r="B63" s="1" t="n">
        <v>45932</v>
      </c>
      <c r="C63" s="1" t="n">
        <v>45985</v>
      </c>
      <c r="D63" t="inlineStr">
        <is>
          <t>ÖSTERGÖTLANDS LÄN</t>
        </is>
      </c>
      <c r="E63" t="inlineStr">
        <is>
          <t>LINKÖPING</t>
        </is>
      </c>
      <c r="F63" t="inlineStr">
        <is>
          <t>Övriga Aktiebolag</t>
        </is>
      </c>
      <c r="G63" t="n">
        <v>1.7</v>
      </c>
      <c r="H63" t="n">
        <v>0</v>
      </c>
      <c r="I63" t="n">
        <v>1</v>
      </c>
      <c r="J63" t="n">
        <v>0</v>
      </c>
      <c r="K63" t="n">
        <v>0</v>
      </c>
      <c r="L63" t="n">
        <v>0</v>
      </c>
      <c r="M63" t="n">
        <v>0</v>
      </c>
      <c r="N63" t="n">
        <v>0</v>
      </c>
      <c r="O63" t="n">
        <v>0</v>
      </c>
      <c r="P63" t="n">
        <v>0</v>
      </c>
      <c r="Q63" t="n">
        <v>1</v>
      </c>
      <c r="R63" s="2" t="inlineStr">
        <is>
          <t>Västlig hakmossa</t>
        </is>
      </c>
      <c r="S63">
        <f>HYPERLINK("https://klasma.github.io/Logging_0580/artfynd/A 48298-2025 artfynd.xlsx", "A 48298-2025")</f>
        <v/>
      </c>
      <c r="T63">
        <f>HYPERLINK("https://klasma.github.io/Logging_0580/kartor/A 48298-2025 karta.png", "A 48298-2025")</f>
        <v/>
      </c>
      <c r="V63">
        <f>HYPERLINK("https://klasma.github.io/Logging_0580/klagomål/A 48298-2025 FSC-klagomål.docx", "A 48298-2025")</f>
        <v/>
      </c>
      <c r="W63">
        <f>HYPERLINK("https://klasma.github.io/Logging_0580/klagomålsmail/A 48298-2025 FSC-klagomål mail.docx", "A 48298-2025")</f>
        <v/>
      </c>
      <c r="X63">
        <f>HYPERLINK("https://klasma.github.io/Logging_0580/tillsyn/A 48298-2025 tillsynsbegäran.docx", "A 48298-2025")</f>
        <v/>
      </c>
      <c r="Y63">
        <f>HYPERLINK("https://klasma.github.io/Logging_0580/tillsynsmail/A 48298-2025 tillsynsbegäran mail.docx", "A 48298-2025")</f>
        <v/>
      </c>
    </row>
    <row r="64" ht="15" customHeight="1">
      <c r="A64" t="inlineStr">
        <is>
          <t>A 48353-2025</t>
        </is>
      </c>
      <c r="B64" s="1" t="n">
        <v>45932</v>
      </c>
      <c r="C64" s="1" t="n">
        <v>45985</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56112-2025</t>
        </is>
      </c>
      <c r="B65" s="1" t="n">
        <v>45973.73625</v>
      </c>
      <c r="C65" s="1" t="n">
        <v>45985</v>
      </c>
      <c r="D65" t="inlineStr">
        <is>
          <t>ÖSTERGÖTLANDS LÄN</t>
        </is>
      </c>
      <c r="E65" t="inlineStr">
        <is>
          <t>LINKÖPING</t>
        </is>
      </c>
      <c r="G65" t="n">
        <v>0.6</v>
      </c>
      <c r="H65" t="n">
        <v>0</v>
      </c>
      <c r="I65" t="n">
        <v>0</v>
      </c>
      <c r="J65" t="n">
        <v>1</v>
      </c>
      <c r="K65" t="n">
        <v>0</v>
      </c>
      <c r="L65" t="n">
        <v>0</v>
      </c>
      <c r="M65" t="n">
        <v>0</v>
      </c>
      <c r="N65" t="n">
        <v>0</v>
      </c>
      <c r="O65" t="n">
        <v>1</v>
      </c>
      <c r="P65" t="n">
        <v>0</v>
      </c>
      <c r="Q65" t="n">
        <v>1</v>
      </c>
      <c r="R65" s="2" t="inlineStr">
        <is>
          <t>Solvända</t>
        </is>
      </c>
      <c r="S65">
        <f>HYPERLINK("https://klasma.github.io/Logging_0580/artfynd/A 56112-2025 artfynd.xlsx", "A 56112-2025")</f>
        <v/>
      </c>
      <c r="T65">
        <f>HYPERLINK("https://klasma.github.io/Logging_0580/kartor/A 56112-2025 karta.png", "A 56112-2025")</f>
        <v/>
      </c>
      <c r="V65">
        <f>HYPERLINK("https://klasma.github.io/Logging_0580/klagomål/A 56112-2025 FSC-klagomål.docx", "A 56112-2025")</f>
        <v/>
      </c>
      <c r="W65">
        <f>HYPERLINK("https://klasma.github.io/Logging_0580/klagomålsmail/A 56112-2025 FSC-klagomål mail.docx", "A 56112-2025")</f>
        <v/>
      </c>
      <c r="X65">
        <f>HYPERLINK("https://klasma.github.io/Logging_0580/tillsyn/A 56112-2025 tillsynsbegäran.docx", "A 56112-2025")</f>
        <v/>
      </c>
      <c r="Y65">
        <f>HYPERLINK("https://klasma.github.io/Logging_0580/tillsynsmail/A 56112-2025 tillsynsbegäran mail.docx", "A 56112-2025")</f>
        <v/>
      </c>
    </row>
    <row r="66" ht="15" customHeight="1">
      <c r="A66" t="inlineStr">
        <is>
          <t>A 48347-2025</t>
        </is>
      </c>
      <c r="B66" s="1" t="n">
        <v>45932</v>
      </c>
      <c r="C66" s="1" t="n">
        <v>45985</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5911-2022</t>
        </is>
      </c>
      <c r="B67" s="1" t="n">
        <v>44597</v>
      </c>
      <c r="C67" s="1" t="n">
        <v>45985</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56128-2022</t>
        </is>
      </c>
      <c r="B68" s="1" t="n">
        <v>44889</v>
      </c>
      <c r="C68" s="1" t="n">
        <v>45985</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54835-2023</t>
        </is>
      </c>
      <c r="B69" s="1" t="n">
        <v>45236</v>
      </c>
      <c r="C69" s="1" t="n">
        <v>45985</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45985</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19103-2021</t>
        </is>
      </c>
      <c r="B71" s="1" t="n">
        <v>44308</v>
      </c>
      <c r="C71" s="1" t="n">
        <v>45985</v>
      </c>
      <c r="D71" t="inlineStr">
        <is>
          <t>ÖSTERGÖTLANDS LÄN</t>
        </is>
      </c>
      <c r="E71" t="inlineStr">
        <is>
          <t>LINKÖPING</t>
        </is>
      </c>
      <c r="G71" t="n">
        <v>4.7</v>
      </c>
      <c r="H71" t="n">
        <v>0</v>
      </c>
      <c r="I71" t="n">
        <v>0</v>
      </c>
      <c r="J71" t="n">
        <v>1</v>
      </c>
      <c r="K71" t="n">
        <v>0</v>
      </c>
      <c r="L71" t="n">
        <v>0</v>
      </c>
      <c r="M71" t="n">
        <v>0</v>
      </c>
      <c r="N71" t="n">
        <v>0</v>
      </c>
      <c r="O71" t="n">
        <v>1</v>
      </c>
      <c r="P71" t="n">
        <v>0</v>
      </c>
      <c r="Q71" t="n">
        <v>1</v>
      </c>
      <c r="R71" s="2" t="inlineStr">
        <is>
          <t>Tallticka</t>
        </is>
      </c>
      <c r="S71">
        <f>HYPERLINK("https://klasma.github.io/Logging_0580/artfynd/A 19103-2021 artfynd.xlsx", "A 19103-2021")</f>
        <v/>
      </c>
      <c r="T71">
        <f>HYPERLINK("https://klasma.github.io/Logging_0580/kartor/A 19103-2021 karta.png", "A 19103-2021")</f>
        <v/>
      </c>
      <c r="V71">
        <f>HYPERLINK("https://klasma.github.io/Logging_0580/klagomål/A 19103-2021 FSC-klagomål.docx", "A 19103-2021")</f>
        <v/>
      </c>
      <c r="W71">
        <f>HYPERLINK("https://klasma.github.io/Logging_0580/klagomålsmail/A 19103-2021 FSC-klagomål mail.docx", "A 19103-2021")</f>
        <v/>
      </c>
      <c r="X71">
        <f>HYPERLINK("https://klasma.github.io/Logging_0580/tillsyn/A 19103-2021 tillsynsbegäran.docx", "A 19103-2021")</f>
        <v/>
      </c>
      <c r="Y71">
        <f>HYPERLINK("https://klasma.github.io/Logging_0580/tillsynsmail/A 19103-2021 tillsynsbegäran mail.docx", "A 19103-2021")</f>
        <v/>
      </c>
    </row>
    <row r="72" ht="15" customHeight="1">
      <c r="A72" t="inlineStr">
        <is>
          <t>A 45317-2023</t>
        </is>
      </c>
      <c r="B72" s="1" t="n">
        <v>45191.74868055555</v>
      </c>
      <c r="C72" s="1" t="n">
        <v>45985</v>
      </c>
      <c r="D72" t="inlineStr">
        <is>
          <t>ÖSTERGÖTLANDS LÄN</t>
        </is>
      </c>
      <c r="E72" t="inlineStr">
        <is>
          <t>LINKÖPING</t>
        </is>
      </c>
      <c r="F72" t="inlineStr">
        <is>
          <t>Allmännings- och besparingsskogar</t>
        </is>
      </c>
      <c r="G72" t="n">
        <v>29.3</v>
      </c>
      <c r="H72" t="n">
        <v>0</v>
      </c>
      <c r="I72" t="n">
        <v>0</v>
      </c>
      <c r="J72" t="n">
        <v>1</v>
      </c>
      <c r="K72" t="n">
        <v>0</v>
      </c>
      <c r="L72" t="n">
        <v>0</v>
      </c>
      <c r="M72" t="n">
        <v>0</v>
      </c>
      <c r="N72" t="n">
        <v>0</v>
      </c>
      <c r="O72" t="n">
        <v>1</v>
      </c>
      <c r="P72" t="n">
        <v>0</v>
      </c>
      <c r="Q72" t="n">
        <v>1</v>
      </c>
      <c r="R72" s="2" t="inlineStr">
        <is>
          <t>Svinrot</t>
        </is>
      </c>
      <c r="S72">
        <f>HYPERLINK("https://klasma.github.io/Logging_0580/artfynd/A 45317-2023 artfynd.xlsx", "A 45317-2023")</f>
        <v/>
      </c>
      <c r="T72">
        <f>HYPERLINK("https://klasma.github.io/Logging_0580/kartor/A 45317-2023 karta.png", "A 45317-2023")</f>
        <v/>
      </c>
      <c r="V72">
        <f>HYPERLINK("https://klasma.github.io/Logging_0580/klagomål/A 45317-2023 FSC-klagomål.docx", "A 45317-2023")</f>
        <v/>
      </c>
      <c r="W72">
        <f>HYPERLINK("https://klasma.github.io/Logging_0580/klagomålsmail/A 45317-2023 FSC-klagomål mail.docx", "A 45317-2023")</f>
        <v/>
      </c>
      <c r="X72">
        <f>HYPERLINK("https://klasma.github.io/Logging_0580/tillsyn/A 45317-2023 tillsynsbegäran.docx", "A 45317-2023")</f>
        <v/>
      </c>
      <c r="Y72">
        <f>HYPERLINK("https://klasma.github.io/Logging_0580/tillsynsmail/A 45317-2023 tillsynsbegäran mail.docx", "A 45317-2023")</f>
        <v/>
      </c>
    </row>
    <row r="73" ht="15" customHeight="1">
      <c r="A73" t="inlineStr">
        <is>
          <t>A 20295-2025</t>
        </is>
      </c>
      <c r="B73" s="1" t="n">
        <v>45774.74846064814</v>
      </c>
      <c r="C73" s="1" t="n">
        <v>45985</v>
      </c>
      <c r="D73" t="inlineStr">
        <is>
          <t>ÖSTERGÖTLANDS LÄN</t>
        </is>
      </c>
      <c r="E73" t="inlineStr">
        <is>
          <t>LINKÖPING</t>
        </is>
      </c>
      <c r="G73" t="n">
        <v>3</v>
      </c>
      <c r="H73" t="n">
        <v>0</v>
      </c>
      <c r="I73" t="n">
        <v>0</v>
      </c>
      <c r="J73" t="n">
        <v>1</v>
      </c>
      <c r="K73" t="n">
        <v>0</v>
      </c>
      <c r="L73" t="n">
        <v>0</v>
      </c>
      <c r="M73" t="n">
        <v>0</v>
      </c>
      <c r="N73" t="n">
        <v>0</v>
      </c>
      <c r="O73" t="n">
        <v>1</v>
      </c>
      <c r="P73" t="n">
        <v>0</v>
      </c>
      <c r="Q73" t="n">
        <v>1</v>
      </c>
      <c r="R73" s="2" t="inlineStr">
        <is>
          <t>Tallticka</t>
        </is>
      </c>
      <c r="S73">
        <f>HYPERLINK("https://klasma.github.io/Logging_0580/artfynd/A 20295-2025 artfynd.xlsx", "A 20295-2025")</f>
        <v/>
      </c>
      <c r="T73">
        <f>HYPERLINK("https://klasma.github.io/Logging_0580/kartor/A 20295-2025 karta.png", "A 20295-2025")</f>
        <v/>
      </c>
      <c r="V73">
        <f>HYPERLINK("https://klasma.github.io/Logging_0580/klagomål/A 20295-2025 FSC-klagomål.docx", "A 20295-2025")</f>
        <v/>
      </c>
      <c r="W73">
        <f>HYPERLINK("https://klasma.github.io/Logging_0580/klagomålsmail/A 20295-2025 FSC-klagomål mail.docx", "A 20295-2025")</f>
        <v/>
      </c>
      <c r="X73">
        <f>HYPERLINK("https://klasma.github.io/Logging_0580/tillsyn/A 20295-2025 tillsynsbegäran.docx", "A 20295-2025")</f>
        <v/>
      </c>
      <c r="Y73">
        <f>HYPERLINK("https://klasma.github.io/Logging_0580/tillsynsmail/A 20295-2025 tillsynsbegäran mail.docx", "A 20295-2025")</f>
        <v/>
      </c>
    </row>
    <row r="74" ht="15" customHeight="1">
      <c r="A74" t="inlineStr">
        <is>
          <t>A 37683-2024</t>
        </is>
      </c>
      <c r="B74" s="1" t="n">
        <v>45541.59120370371</v>
      </c>
      <c r="C74" s="1" t="n">
        <v>45985</v>
      </c>
      <c r="D74" t="inlineStr">
        <is>
          <t>ÖSTERGÖTLANDS LÄN</t>
        </is>
      </c>
      <c r="E74" t="inlineStr">
        <is>
          <t>LINKÖPING</t>
        </is>
      </c>
      <c r="G74" t="n">
        <v>0.6</v>
      </c>
      <c r="H74" t="n">
        <v>0</v>
      </c>
      <c r="I74" t="n">
        <v>1</v>
      </c>
      <c r="J74" t="n">
        <v>0</v>
      </c>
      <c r="K74" t="n">
        <v>0</v>
      </c>
      <c r="L74" t="n">
        <v>0</v>
      </c>
      <c r="M74" t="n">
        <v>0</v>
      </c>
      <c r="N74" t="n">
        <v>0</v>
      </c>
      <c r="O74" t="n">
        <v>0</v>
      </c>
      <c r="P74" t="n">
        <v>0</v>
      </c>
      <c r="Q74" t="n">
        <v>1</v>
      </c>
      <c r="R74" s="2" t="inlineStr">
        <is>
          <t>Tibast</t>
        </is>
      </c>
      <c r="S74">
        <f>HYPERLINK("https://klasma.github.io/Logging_0580/artfynd/A 37683-2024 artfynd.xlsx", "A 37683-2024")</f>
        <v/>
      </c>
      <c r="T74">
        <f>HYPERLINK("https://klasma.github.io/Logging_0580/kartor/A 37683-2024 karta.png", "A 37683-2024")</f>
        <v/>
      </c>
      <c r="V74">
        <f>HYPERLINK("https://klasma.github.io/Logging_0580/klagomål/A 37683-2024 FSC-klagomål.docx", "A 37683-2024")</f>
        <v/>
      </c>
      <c r="W74">
        <f>HYPERLINK("https://klasma.github.io/Logging_0580/klagomålsmail/A 37683-2024 FSC-klagomål mail.docx", "A 37683-2024")</f>
        <v/>
      </c>
      <c r="X74">
        <f>HYPERLINK("https://klasma.github.io/Logging_0580/tillsyn/A 37683-2024 tillsynsbegäran.docx", "A 37683-2024")</f>
        <v/>
      </c>
      <c r="Y74">
        <f>HYPERLINK("https://klasma.github.io/Logging_0580/tillsynsmail/A 37683-2024 tillsynsbegäran mail.docx", "A 37683-2024")</f>
        <v/>
      </c>
    </row>
    <row r="75" ht="15" customHeight="1">
      <c r="A75" t="inlineStr">
        <is>
          <t>A 35948-2023</t>
        </is>
      </c>
      <c r="B75" s="1" t="n">
        <v>45148</v>
      </c>
      <c r="C75" s="1" t="n">
        <v>45985</v>
      </c>
      <c r="D75" t="inlineStr">
        <is>
          <t>ÖSTERGÖTLANDS LÄN</t>
        </is>
      </c>
      <c r="E75" t="inlineStr">
        <is>
          <t>LINKÖPING</t>
        </is>
      </c>
      <c r="G75" t="n">
        <v>1.9</v>
      </c>
      <c r="H75" t="n">
        <v>0</v>
      </c>
      <c r="I75" t="n">
        <v>1</v>
      </c>
      <c r="J75" t="n">
        <v>0</v>
      </c>
      <c r="K75" t="n">
        <v>0</v>
      </c>
      <c r="L75" t="n">
        <v>0</v>
      </c>
      <c r="M75" t="n">
        <v>0</v>
      </c>
      <c r="N75" t="n">
        <v>0</v>
      </c>
      <c r="O75" t="n">
        <v>0</v>
      </c>
      <c r="P75" t="n">
        <v>0</v>
      </c>
      <c r="Q75" t="n">
        <v>1</v>
      </c>
      <c r="R75" s="2" t="inlineStr">
        <is>
          <t>Brun nållav</t>
        </is>
      </c>
      <c r="S75">
        <f>HYPERLINK("https://klasma.github.io/Logging_0580/artfynd/A 35948-2023 artfynd.xlsx", "A 35948-2023")</f>
        <v/>
      </c>
      <c r="T75">
        <f>HYPERLINK("https://klasma.github.io/Logging_0580/kartor/A 35948-2023 karta.png", "A 35948-2023")</f>
        <v/>
      </c>
      <c r="V75">
        <f>HYPERLINK("https://klasma.github.io/Logging_0580/klagomål/A 35948-2023 FSC-klagomål.docx", "A 35948-2023")</f>
        <v/>
      </c>
      <c r="W75">
        <f>HYPERLINK("https://klasma.github.io/Logging_0580/klagomålsmail/A 35948-2023 FSC-klagomål mail.docx", "A 35948-2023")</f>
        <v/>
      </c>
      <c r="X75">
        <f>HYPERLINK("https://klasma.github.io/Logging_0580/tillsyn/A 35948-2023 tillsynsbegäran.docx", "A 35948-2023")</f>
        <v/>
      </c>
      <c r="Y75">
        <f>HYPERLINK("https://klasma.github.io/Logging_0580/tillsynsmail/A 35948-2023 tillsynsbegäran mail.docx", "A 35948-2023")</f>
        <v/>
      </c>
    </row>
    <row r="76" ht="15" customHeight="1">
      <c r="A76" t="inlineStr">
        <is>
          <t>A 56651-2023</t>
        </is>
      </c>
      <c r="B76" s="1" t="n">
        <v>45243</v>
      </c>
      <c r="C76" s="1" t="n">
        <v>45985</v>
      </c>
      <c r="D76" t="inlineStr">
        <is>
          <t>ÖSTERGÖTLANDS LÄN</t>
        </is>
      </c>
      <c r="E76" t="inlineStr">
        <is>
          <t>LINKÖPING</t>
        </is>
      </c>
      <c r="F76" t="inlineStr">
        <is>
          <t>Övriga Aktiebolag</t>
        </is>
      </c>
      <c r="G76" t="n">
        <v>2.3</v>
      </c>
      <c r="H76" t="n">
        <v>0</v>
      </c>
      <c r="I76" t="n">
        <v>0</v>
      </c>
      <c r="J76" t="n">
        <v>1</v>
      </c>
      <c r="K76" t="n">
        <v>0</v>
      </c>
      <c r="L76" t="n">
        <v>0</v>
      </c>
      <c r="M76" t="n">
        <v>0</v>
      </c>
      <c r="N76" t="n">
        <v>0</v>
      </c>
      <c r="O76" t="n">
        <v>1</v>
      </c>
      <c r="P76" t="n">
        <v>0</v>
      </c>
      <c r="Q76" t="n">
        <v>1</v>
      </c>
      <c r="R76" s="2" t="inlineStr">
        <is>
          <t>Gul dropplav</t>
        </is>
      </c>
      <c r="S76">
        <f>HYPERLINK("https://klasma.github.io/Logging_0580/artfynd/A 56651-2023 artfynd.xlsx", "A 56651-2023")</f>
        <v/>
      </c>
      <c r="T76">
        <f>HYPERLINK("https://klasma.github.io/Logging_0580/kartor/A 56651-2023 karta.png", "A 56651-2023")</f>
        <v/>
      </c>
      <c r="V76">
        <f>HYPERLINK("https://klasma.github.io/Logging_0580/klagomål/A 56651-2023 FSC-klagomål.docx", "A 56651-2023")</f>
        <v/>
      </c>
      <c r="W76">
        <f>HYPERLINK("https://klasma.github.io/Logging_0580/klagomålsmail/A 56651-2023 FSC-klagomål mail.docx", "A 56651-2023")</f>
        <v/>
      </c>
      <c r="X76">
        <f>HYPERLINK("https://klasma.github.io/Logging_0580/tillsyn/A 56651-2023 tillsynsbegäran.docx", "A 56651-2023")</f>
        <v/>
      </c>
      <c r="Y76">
        <f>HYPERLINK("https://klasma.github.io/Logging_0580/tillsynsmail/A 56651-2023 tillsynsbegäran mail.docx", "A 56651-2023")</f>
        <v/>
      </c>
    </row>
    <row r="77" ht="15" customHeight="1">
      <c r="A77" t="inlineStr">
        <is>
          <t>A 59948-2022</t>
        </is>
      </c>
      <c r="B77" s="1" t="n">
        <v>44909</v>
      </c>
      <c r="C77" s="1" t="n">
        <v>45985</v>
      </c>
      <c r="D77" t="inlineStr">
        <is>
          <t>ÖSTERGÖTLANDS LÄN</t>
        </is>
      </c>
      <c r="E77" t="inlineStr">
        <is>
          <t>LINKÖPING</t>
        </is>
      </c>
      <c r="G77" t="n">
        <v>6.7</v>
      </c>
      <c r="H77" t="n">
        <v>0</v>
      </c>
      <c r="I77" t="n">
        <v>0</v>
      </c>
      <c r="J77" t="n">
        <v>0</v>
      </c>
      <c r="K77" t="n">
        <v>0</v>
      </c>
      <c r="L77" t="n">
        <v>0</v>
      </c>
      <c r="M77" t="n">
        <v>1</v>
      </c>
      <c r="N77" t="n">
        <v>0</v>
      </c>
      <c r="O77" t="n">
        <v>1</v>
      </c>
      <c r="P77" t="n">
        <v>1</v>
      </c>
      <c r="Q77" t="n">
        <v>1</v>
      </c>
      <c r="R77" s="2" t="inlineStr">
        <is>
          <t>Skogsalm</t>
        </is>
      </c>
      <c r="S77">
        <f>HYPERLINK("https://klasma.github.io/Logging_0580/artfynd/A 59948-2022 artfynd.xlsx", "A 59948-2022")</f>
        <v/>
      </c>
      <c r="T77">
        <f>HYPERLINK("https://klasma.github.io/Logging_0580/kartor/A 59948-2022 karta.png", "A 59948-2022")</f>
        <v/>
      </c>
      <c r="V77">
        <f>HYPERLINK("https://klasma.github.io/Logging_0580/klagomål/A 59948-2022 FSC-klagomål.docx", "A 59948-2022")</f>
        <v/>
      </c>
      <c r="W77">
        <f>HYPERLINK("https://klasma.github.io/Logging_0580/klagomålsmail/A 59948-2022 FSC-klagomål mail.docx", "A 59948-2022")</f>
        <v/>
      </c>
      <c r="X77">
        <f>HYPERLINK("https://klasma.github.io/Logging_0580/tillsyn/A 59948-2022 tillsynsbegäran.docx", "A 59948-2022")</f>
        <v/>
      </c>
      <c r="Y77">
        <f>HYPERLINK("https://klasma.github.io/Logging_0580/tillsynsmail/A 59948-2022 tillsynsbegäran mail.docx", "A 59948-2022")</f>
        <v/>
      </c>
    </row>
    <row r="78" ht="15" customHeight="1">
      <c r="A78" t="inlineStr">
        <is>
          <t>A 39457-2023</t>
        </is>
      </c>
      <c r="B78" s="1" t="n">
        <v>45166</v>
      </c>
      <c r="C78" s="1" t="n">
        <v>45985</v>
      </c>
      <c r="D78" t="inlineStr">
        <is>
          <t>ÖSTERGÖTLANDS LÄN</t>
        </is>
      </c>
      <c r="E78" t="inlineStr">
        <is>
          <t>LINKÖPING</t>
        </is>
      </c>
      <c r="G78" t="n">
        <v>2.1</v>
      </c>
      <c r="H78" t="n">
        <v>1</v>
      </c>
      <c r="I78" t="n">
        <v>0</v>
      </c>
      <c r="J78" t="n">
        <v>0</v>
      </c>
      <c r="K78" t="n">
        <v>0</v>
      </c>
      <c r="L78" t="n">
        <v>0</v>
      </c>
      <c r="M78" t="n">
        <v>0</v>
      </c>
      <c r="N78" t="n">
        <v>0</v>
      </c>
      <c r="O78" t="n">
        <v>0</v>
      </c>
      <c r="P78" t="n">
        <v>0</v>
      </c>
      <c r="Q78" t="n">
        <v>1</v>
      </c>
      <c r="R78" s="2" t="inlineStr">
        <is>
          <t>Sparvuggla</t>
        </is>
      </c>
      <c r="S78">
        <f>HYPERLINK("https://klasma.github.io/Logging_0580/artfynd/A 39457-2023 artfynd.xlsx", "A 39457-2023")</f>
        <v/>
      </c>
      <c r="T78">
        <f>HYPERLINK("https://klasma.github.io/Logging_0580/kartor/A 39457-2023 karta.png", "A 39457-2023")</f>
        <v/>
      </c>
      <c r="V78">
        <f>HYPERLINK("https://klasma.github.io/Logging_0580/klagomål/A 39457-2023 FSC-klagomål.docx", "A 39457-2023")</f>
        <v/>
      </c>
      <c r="W78">
        <f>HYPERLINK("https://klasma.github.io/Logging_0580/klagomålsmail/A 39457-2023 FSC-klagomål mail.docx", "A 39457-2023")</f>
        <v/>
      </c>
      <c r="X78">
        <f>HYPERLINK("https://klasma.github.io/Logging_0580/tillsyn/A 39457-2023 tillsynsbegäran.docx", "A 39457-2023")</f>
        <v/>
      </c>
      <c r="Y78">
        <f>HYPERLINK("https://klasma.github.io/Logging_0580/tillsynsmail/A 39457-2023 tillsynsbegäran mail.docx", "A 39457-2023")</f>
        <v/>
      </c>
      <c r="Z78">
        <f>HYPERLINK("https://klasma.github.io/Logging_0580/fåglar/A 39457-2023 prioriterade fågelarter.docx", "A 39457-2023")</f>
        <v/>
      </c>
    </row>
    <row r="79" ht="15" customHeight="1">
      <c r="A79" t="inlineStr">
        <is>
          <t>A 62071-2023</t>
        </is>
      </c>
      <c r="B79" s="1" t="n">
        <v>45266.73542824074</v>
      </c>
      <c r="C79" s="1" t="n">
        <v>45985</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90-2024</t>
        </is>
      </c>
      <c r="B80" s="1" t="n">
        <v>45293</v>
      </c>
      <c r="C80" s="1" t="n">
        <v>45985</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17444-2025</t>
        </is>
      </c>
      <c r="B81" s="1" t="n">
        <v>45757.43452546297</v>
      </c>
      <c r="C81" s="1" t="n">
        <v>45985</v>
      </c>
      <c r="D81" t="inlineStr">
        <is>
          <t>ÖSTERGÖTLANDS LÄN</t>
        </is>
      </c>
      <c r="E81" t="inlineStr">
        <is>
          <t>LINKÖPING</t>
        </is>
      </c>
      <c r="G81" t="n">
        <v>1.3</v>
      </c>
      <c r="H81" t="n">
        <v>1</v>
      </c>
      <c r="I81" t="n">
        <v>0</v>
      </c>
      <c r="J81" t="n">
        <v>1</v>
      </c>
      <c r="K81" t="n">
        <v>0</v>
      </c>
      <c r="L81" t="n">
        <v>0</v>
      </c>
      <c r="M81" t="n">
        <v>0</v>
      </c>
      <c r="N81" t="n">
        <v>0</v>
      </c>
      <c r="O81" t="n">
        <v>1</v>
      </c>
      <c r="P81" t="n">
        <v>0</v>
      </c>
      <c r="Q81" t="n">
        <v>1</v>
      </c>
      <c r="R81" s="2" t="inlineStr">
        <is>
          <t>Dårgräsfjäril</t>
        </is>
      </c>
      <c r="S81">
        <f>HYPERLINK("https://klasma.github.io/Logging_0580/artfynd/A 17444-2025 artfynd.xlsx", "A 17444-2025")</f>
        <v/>
      </c>
      <c r="T81">
        <f>HYPERLINK("https://klasma.github.io/Logging_0580/kartor/A 17444-2025 karta.png", "A 17444-2025")</f>
        <v/>
      </c>
      <c r="V81">
        <f>HYPERLINK("https://klasma.github.io/Logging_0580/klagomål/A 17444-2025 FSC-klagomål.docx", "A 17444-2025")</f>
        <v/>
      </c>
      <c r="W81">
        <f>HYPERLINK("https://klasma.github.io/Logging_0580/klagomålsmail/A 17444-2025 FSC-klagomål mail.docx", "A 17444-2025")</f>
        <v/>
      </c>
      <c r="X81">
        <f>HYPERLINK("https://klasma.github.io/Logging_0580/tillsyn/A 17444-2025 tillsynsbegäran.docx", "A 17444-2025")</f>
        <v/>
      </c>
      <c r="Y81">
        <f>HYPERLINK("https://klasma.github.io/Logging_0580/tillsynsmail/A 17444-2025 tillsynsbegäran mail.docx", "A 17444-2025")</f>
        <v/>
      </c>
    </row>
    <row r="82" ht="15" customHeight="1">
      <c r="A82" t="inlineStr">
        <is>
          <t>A 40309-2024</t>
        </is>
      </c>
      <c r="B82" s="1" t="n">
        <v>45554.724375</v>
      </c>
      <c r="C82" s="1" t="n">
        <v>45985</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15290-2025</t>
        </is>
      </c>
      <c r="B83" s="1" t="n">
        <v>45745.45288194445</v>
      </c>
      <c r="C83" s="1" t="n">
        <v>45985</v>
      </c>
      <c r="D83" t="inlineStr">
        <is>
          <t>ÖSTERGÖTLANDS LÄN</t>
        </is>
      </c>
      <c r="E83" t="inlineStr">
        <is>
          <t>LINKÖPING</t>
        </is>
      </c>
      <c r="G83" t="n">
        <v>18.4</v>
      </c>
      <c r="H83" t="n">
        <v>1</v>
      </c>
      <c r="I83" t="n">
        <v>0</v>
      </c>
      <c r="J83" t="n">
        <v>1</v>
      </c>
      <c r="K83" t="n">
        <v>0</v>
      </c>
      <c r="L83" t="n">
        <v>0</v>
      </c>
      <c r="M83" t="n">
        <v>0</v>
      </c>
      <c r="N83" t="n">
        <v>0</v>
      </c>
      <c r="O83" t="n">
        <v>1</v>
      </c>
      <c r="P83" t="n">
        <v>0</v>
      </c>
      <c r="Q83" t="n">
        <v>1</v>
      </c>
      <c r="R83" s="2" t="inlineStr">
        <is>
          <t>Havsörn</t>
        </is>
      </c>
      <c r="S83">
        <f>HYPERLINK("https://klasma.github.io/Logging_0580/artfynd/A 15290-2025 artfynd.xlsx", "A 15290-2025")</f>
        <v/>
      </c>
      <c r="T83">
        <f>HYPERLINK("https://klasma.github.io/Logging_0580/kartor/A 15290-2025 karta.png", "A 15290-2025")</f>
        <v/>
      </c>
      <c r="V83">
        <f>HYPERLINK("https://klasma.github.io/Logging_0580/klagomål/A 15290-2025 FSC-klagomål.docx", "A 15290-2025")</f>
        <v/>
      </c>
      <c r="W83">
        <f>HYPERLINK("https://klasma.github.io/Logging_0580/klagomålsmail/A 15290-2025 FSC-klagomål mail.docx", "A 15290-2025")</f>
        <v/>
      </c>
      <c r="X83">
        <f>HYPERLINK("https://klasma.github.io/Logging_0580/tillsyn/A 15290-2025 tillsynsbegäran.docx", "A 15290-2025")</f>
        <v/>
      </c>
      <c r="Y83">
        <f>HYPERLINK("https://klasma.github.io/Logging_0580/tillsynsmail/A 15290-2025 tillsynsbegäran mail.docx", "A 15290-2025")</f>
        <v/>
      </c>
      <c r="Z83">
        <f>HYPERLINK("https://klasma.github.io/Logging_0580/fåglar/A 15290-2025 prioriterade fågelarter.docx", "A 15290-2025")</f>
        <v/>
      </c>
    </row>
    <row r="84" ht="15" customHeight="1">
      <c r="A84" t="inlineStr">
        <is>
          <t>A 1716-2023</t>
        </is>
      </c>
      <c r="B84" s="1" t="n">
        <v>44938</v>
      </c>
      <c r="C84" s="1" t="n">
        <v>45985</v>
      </c>
      <c r="D84" t="inlineStr">
        <is>
          <t>ÖSTERGÖTLANDS LÄN</t>
        </is>
      </c>
      <c r="E84" t="inlineStr">
        <is>
          <t>LINKÖPING</t>
        </is>
      </c>
      <c r="G84" t="n">
        <v>3.6</v>
      </c>
      <c r="H84" t="n">
        <v>0</v>
      </c>
      <c r="I84" t="n">
        <v>0</v>
      </c>
      <c r="J84" t="n">
        <v>1</v>
      </c>
      <c r="K84" t="n">
        <v>0</v>
      </c>
      <c r="L84" t="n">
        <v>0</v>
      </c>
      <c r="M84" t="n">
        <v>0</v>
      </c>
      <c r="N84" t="n">
        <v>0</v>
      </c>
      <c r="O84" t="n">
        <v>1</v>
      </c>
      <c r="P84" t="n">
        <v>0</v>
      </c>
      <c r="Q84" t="n">
        <v>1</v>
      </c>
      <c r="R84" s="2" t="inlineStr">
        <is>
          <t>Svinrot</t>
        </is>
      </c>
      <c r="S84">
        <f>HYPERLINK("https://klasma.github.io/Logging_0580/artfynd/A 1716-2023 artfynd.xlsx", "A 1716-2023")</f>
        <v/>
      </c>
      <c r="T84">
        <f>HYPERLINK("https://klasma.github.io/Logging_0580/kartor/A 1716-2023 karta.png", "A 1716-2023")</f>
        <v/>
      </c>
      <c r="V84">
        <f>HYPERLINK("https://klasma.github.io/Logging_0580/klagomål/A 1716-2023 FSC-klagomål.docx", "A 1716-2023")</f>
        <v/>
      </c>
      <c r="W84">
        <f>HYPERLINK("https://klasma.github.io/Logging_0580/klagomålsmail/A 1716-2023 FSC-klagomål mail.docx", "A 1716-2023")</f>
        <v/>
      </c>
      <c r="X84">
        <f>HYPERLINK("https://klasma.github.io/Logging_0580/tillsyn/A 1716-2023 tillsynsbegäran.docx", "A 1716-2023")</f>
        <v/>
      </c>
      <c r="Y84">
        <f>HYPERLINK("https://klasma.github.io/Logging_0580/tillsynsmail/A 1716-2023 tillsynsbegäran mail.docx", "A 1716-2023")</f>
        <v/>
      </c>
    </row>
    <row r="85" ht="15" customHeight="1">
      <c r="A85" t="inlineStr">
        <is>
          <t>A 931-2025</t>
        </is>
      </c>
      <c r="B85" s="1" t="n">
        <v>45665.88498842593</v>
      </c>
      <c r="C85" s="1" t="n">
        <v>45985</v>
      </c>
      <c r="D85" t="inlineStr">
        <is>
          <t>ÖSTERGÖTLANDS LÄN</t>
        </is>
      </c>
      <c r="E85" t="inlineStr">
        <is>
          <t>LINKÖPING</t>
        </is>
      </c>
      <c r="F85" t="inlineStr">
        <is>
          <t>Övriga Aktiebolag</t>
        </is>
      </c>
      <c r="G85" t="n">
        <v>0.8</v>
      </c>
      <c r="H85" t="n">
        <v>0</v>
      </c>
      <c r="I85" t="n">
        <v>0</v>
      </c>
      <c r="J85" t="n">
        <v>1</v>
      </c>
      <c r="K85" t="n">
        <v>0</v>
      </c>
      <c r="L85" t="n">
        <v>0</v>
      </c>
      <c r="M85" t="n">
        <v>0</v>
      </c>
      <c r="N85" t="n">
        <v>0</v>
      </c>
      <c r="O85" t="n">
        <v>1</v>
      </c>
      <c r="P85" t="n">
        <v>0</v>
      </c>
      <c r="Q85" t="n">
        <v>1</v>
      </c>
      <c r="R85" s="2" t="inlineStr">
        <is>
          <t>Tallticka</t>
        </is>
      </c>
      <c r="S85">
        <f>HYPERLINK("https://klasma.github.io/Logging_0580/artfynd/A 931-2025 artfynd.xlsx", "A 931-2025")</f>
        <v/>
      </c>
      <c r="T85">
        <f>HYPERLINK("https://klasma.github.io/Logging_0580/kartor/A 931-2025 karta.png", "A 931-2025")</f>
        <v/>
      </c>
      <c r="V85">
        <f>HYPERLINK("https://klasma.github.io/Logging_0580/klagomål/A 931-2025 FSC-klagomål.docx", "A 931-2025")</f>
        <v/>
      </c>
      <c r="W85">
        <f>HYPERLINK("https://klasma.github.io/Logging_0580/klagomålsmail/A 931-2025 FSC-klagomål mail.docx", "A 931-2025")</f>
        <v/>
      </c>
      <c r="X85">
        <f>HYPERLINK("https://klasma.github.io/Logging_0580/tillsyn/A 931-2025 tillsynsbegäran.docx", "A 931-2025")</f>
        <v/>
      </c>
      <c r="Y85">
        <f>HYPERLINK("https://klasma.github.io/Logging_0580/tillsynsmail/A 931-2025 tillsynsbegäran mail.docx", "A 931-2025")</f>
        <v/>
      </c>
    </row>
    <row r="86" ht="15" customHeight="1">
      <c r="A86" t="inlineStr">
        <is>
          <t>A 126-2024</t>
        </is>
      </c>
      <c r="B86" s="1" t="n">
        <v>45294</v>
      </c>
      <c r="C86" s="1" t="n">
        <v>45985</v>
      </c>
      <c r="D86" t="inlineStr">
        <is>
          <t>ÖSTERGÖTLANDS LÄN</t>
        </is>
      </c>
      <c r="E86" t="inlineStr">
        <is>
          <t>LINKÖPING</t>
        </is>
      </c>
      <c r="G86" t="n">
        <v>1</v>
      </c>
      <c r="H86" t="n">
        <v>0</v>
      </c>
      <c r="I86" t="n">
        <v>1</v>
      </c>
      <c r="J86" t="n">
        <v>0</v>
      </c>
      <c r="K86" t="n">
        <v>0</v>
      </c>
      <c r="L86" t="n">
        <v>0</v>
      </c>
      <c r="M86" t="n">
        <v>0</v>
      </c>
      <c r="N86" t="n">
        <v>0</v>
      </c>
      <c r="O86" t="n">
        <v>0</v>
      </c>
      <c r="P86" t="n">
        <v>0</v>
      </c>
      <c r="Q86" t="n">
        <v>1</v>
      </c>
      <c r="R86" s="2" t="inlineStr">
        <is>
          <t>Blåmossa</t>
        </is>
      </c>
      <c r="S86">
        <f>HYPERLINK("https://klasma.github.io/Logging_0580/artfynd/A 126-2024 artfynd.xlsx", "A 126-2024")</f>
        <v/>
      </c>
      <c r="T86">
        <f>HYPERLINK("https://klasma.github.io/Logging_0580/kartor/A 126-2024 karta.png", "A 126-2024")</f>
        <v/>
      </c>
      <c r="V86">
        <f>HYPERLINK("https://klasma.github.io/Logging_0580/klagomål/A 126-2024 FSC-klagomål.docx", "A 126-2024")</f>
        <v/>
      </c>
      <c r="W86">
        <f>HYPERLINK("https://klasma.github.io/Logging_0580/klagomålsmail/A 126-2024 FSC-klagomål mail.docx", "A 126-2024")</f>
        <v/>
      </c>
      <c r="X86">
        <f>HYPERLINK("https://klasma.github.io/Logging_0580/tillsyn/A 126-2024 tillsynsbegäran.docx", "A 126-2024")</f>
        <v/>
      </c>
      <c r="Y86">
        <f>HYPERLINK("https://klasma.github.io/Logging_0580/tillsynsmail/A 126-2024 tillsynsbegäran mail.docx", "A 126-2024")</f>
        <v/>
      </c>
    </row>
    <row r="87" ht="15" customHeight="1">
      <c r="A87" t="inlineStr">
        <is>
          <t>A 3395-2023</t>
        </is>
      </c>
      <c r="B87" s="1" t="n">
        <v>44949</v>
      </c>
      <c r="C87" s="1" t="n">
        <v>45985</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3397-2023</t>
        </is>
      </c>
      <c r="B88" s="1" t="n">
        <v>44949</v>
      </c>
      <c r="C88" s="1" t="n">
        <v>45985</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38881-2021</t>
        </is>
      </c>
      <c r="B89" s="1" t="n">
        <v>44411.46893518518</v>
      </c>
      <c r="C89" s="1" t="n">
        <v>45985</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38887-2021</t>
        </is>
      </c>
      <c r="B90" s="1" t="n">
        <v>44411</v>
      </c>
      <c r="C90" s="1" t="n">
        <v>45985</v>
      </c>
      <c r="D90" t="inlineStr">
        <is>
          <t>ÖSTERGÖTLANDS LÄN</t>
        </is>
      </c>
      <c r="E90" t="inlineStr">
        <is>
          <t>LINKÖPING</t>
        </is>
      </c>
      <c r="G90" t="n">
        <v>1.6</v>
      </c>
      <c r="H90" t="n">
        <v>0</v>
      </c>
      <c r="I90" t="n">
        <v>0</v>
      </c>
      <c r="J90" t="n">
        <v>0</v>
      </c>
      <c r="K90" t="n">
        <v>0</v>
      </c>
      <c r="L90" t="n">
        <v>0</v>
      </c>
      <c r="M90" t="n">
        <v>0</v>
      </c>
      <c r="N90" t="n">
        <v>0</v>
      </c>
      <c r="O90" t="n">
        <v>0</v>
      </c>
      <c r="P90" t="n">
        <v>0</v>
      </c>
      <c r="Q90" t="n">
        <v>0</v>
      </c>
      <c r="R90" s="2" t="inlineStr"/>
    </row>
    <row r="91" ht="15" customHeight="1">
      <c r="A91" t="inlineStr">
        <is>
          <t>A 5008-2021</t>
        </is>
      </c>
      <c r="B91" s="1" t="n">
        <v>44228</v>
      </c>
      <c r="C91" s="1" t="n">
        <v>45985</v>
      </c>
      <c r="D91" t="inlineStr">
        <is>
          <t>ÖSTERGÖTLANDS LÄN</t>
        </is>
      </c>
      <c r="E91" t="inlineStr">
        <is>
          <t>LINKÖPING</t>
        </is>
      </c>
      <c r="F91" t="inlineStr">
        <is>
          <t>Övriga Aktiebolag</t>
        </is>
      </c>
      <c r="G91" t="n">
        <v>0.3</v>
      </c>
      <c r="H91" t="n">
        <v>0</v>
      </c>
      <c r="I91" t="n">
        <v>0</v>
      </c>
      <c r="J91" t="n">
        <v>0</v>
      </c>
      <c r="K91" t="n">
        <v>0</v>
      </c>
      <c r="L91" t="n">
        <v>0</v>
      </c>
      <c r="M91" t="n">
        <v>0</v>
      </c>
      <c r="N91" t="n">
        <v>0</v>
      </c>
      <c r="O91" t="n">
        <v>0</v>
      </c>
      <c r="P91" t="n">
        <v>0</v>
      </c>
      <c r="Q91" t="n">
        <v>0</v>
      </c>
      <c r="R91" s="2" t="inlineStr"/>
    </row>
    <row r="92" ht="15" customHeight="1">
      <c r="A92" t="inlineStr">
        <is>
          <t>A 56239-2021</t>
        </is>
      </c>
      <c r="B92" s="1" t="n">
        <v>44478</v>
      </c>
      <c r="C92" s="1" t="n">
        <v>45985</v>
      </c>
      <c r="D92" t="inlineStr">
        <is>
          <t>ÖSTERGÖTLANDS LÄN</t>
        </is>
      </c>
      <c r="E92" t="inlineStr">
        <is>
          <t>LINKÖPING</t>
        </is>
      </c>
      <c r="F92" t="inlineStr">
        <is>
          <t>Övriga Aktiebolag</t>
        </is>
      </c>
      <c r="G92" t="n">
        <v>3</v>
      </c>
      <c r="H92" t="n">
        <v>0</v>
      </c>
      <c r="I92" t="n">
        <v>0</v>
      </c>
      <c r="J92" t="n">
        <v>0</v>
      </c>
      <c r="K92" t="n">
        <v>0</v>
      </c>
      <c r="L92" t="n">
        <v>0</v>
      </c>
      <c r="M92" t="n">
        <v>0</v>
      </c>
      <c r="N92" t="n">
        <v>0</v>
      </c>
      <c r="O92" t="n">
        <v>0</v>
      </c>
      <c r="P92" t="n">
        <v>0</v>
      </c>
      <c r="Q92" t="n">
        <v>0</v>
      </c>
      <c r="R92" s="2" t="inlineStr"/>
    </row>
    <row r="93" ht="15" customHeight="1">
      <c r="A93" t="inlineStr">
        <is>
          <t>A 7289-2021</t>
        </is>
      </c>
      <c r="B93" s="1" t="n">
        <v>44238</v>
      </c>
      <c r="C93" s="1" t="n">
        <v>45985</v>
      </c>
      <c r="D93" t="inlineStr">
        <is>
          <t>ÖSTERGÖTLANDS LÄN</t>
        </is>
      </c>
      <c r="E93" t="inlineStr">
        <is>
          <t>LINKÖPING</t>
        </is>
      </c>
      <c r="G93" t="n">
        <v>0.7</v>
      </c>
      <c r="H93" t="n">
        <v>0</v>
      </c>
      <c r="I93" t="n">
        <v>0</v>
      </c>
      <c r="J93" t="n">
        <v>0</v>
      </c>
      <c r="K93" t="n">
        <v>0</v>
      </c>
      <c r="L93" t="n">
        <v>0</v>
      </c>
      <c r="M93" t="n">
        <v>0</v>
      </c>
      <c r="N93" t="n">
        <v>0</v>
      </c>
      <c r="O93" t="n">
        <v>0</v>
      </c>
      <c r="P93" t="n">
        <v>0</v>
      </c>
      <c r="Q93" t="n">
        <v>0</v>
      </c>
      <c r="R93" s="2" t="inlineStr"/>
    </row>
    <row r="94" ht="15" customHeight="1">
      <c r="A94" t="inlineStr">
        <is>
          <t>A 6958-2021</t>
        </is>
      </c>
      <c r="B94" s="1" t="n">
        <v>44237</v>
      </c>
      <c r="C94" s="1" t="n">
        <v>45985</v>
      </c>
      <c r="D94" t="inlineStr">
        <is>
          <t>ÖSTERGÖTLANDS LÄN</t>
        </is>
      </c>
      <c r="E94" t="inlineStr">
        <is>
          <t>LINKÖPING</t>
        </is>
      </c>
      <c r="G94" t="n">
        <v>0.6</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45985</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45985</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45985</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45985</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45985</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45985</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45985</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45985</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45985</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45985</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45985</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45985</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45985</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45985</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16715-2021</t>
        </is>
      </c>
      <c r="B109" s="1" t="n">
        <v>44294</v>
      </c>
      <c r="C109" s="1" t="n">
        <v>45985</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47462-2022</t>
        </is>
      </c>
      <c r="B110" s="1" t="n">
        <v>44853.62758101852</v>
      </c>
      <c r="C110" s="1" t="n">
        <v>45985</v>
      </c>
      <c r="D110" t="inlineStr">
        <is>
          <t>ÖSTERGÖTLANDS LÄN</t>
        </is>
      </c>
      <c r="E110" t="inlineStr">
        <is>
          <t>LINKÖPING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38143-2021</t>
        </is>
      </c>
      <c r="B111" s="1" t="n">
        <v>44405</v>
      </c>
      <c r="C111" s="1" t="n">
        <v>45985</v>
      </c>
      <c r="D111" t="inlineStr">
        <is>
          <t>ÖSTERGÖTLANDS LÄN</t>
        </is>
      </c>
      <c r="E111" t="inlineStr">
        <is>
          <t>LINKÖPING</t>
        </is>
      </c>
      <c r="G111" t="n">
        <v>4.1</v>
      </c>
      <c r="H111" t="n">
        <v>0</v>
      </c>
      <c r="I111" t="n">
        <v>0</v>
      </c>
      <c r="J111" t="n">
        <v>0</v>
      </c>
      <c r="K111" t="n">
        <v>0</v>
      </c>
      <c r="L111" t="n">
        <v>0</v>
      </c>
      <c r="M111" t="n">
        <v>0</v>
      </c>
      <c r="N111" t="n">
        <v>0</v>
      </c>
      <c r="O111" t="n">
        <v>0</v>
      </c>
      <c r="P111" t="n">
        <v>0</v>
      </c>
      <c r="Q111" t="n">
        <v>0</v>
      </c>
      <c r="R111" s="2" t="inlineStr"/>
    </row>
    <row r="112" ht="15" customHeight="1">
      <c r="A112" t="inlineStr">
        <is>
          <t>A 38254-2021</t>
        </is>
      </c>
      <c r="B112" s="1" t="n">
        <v>44405</v>
      </c>
      <c r="C112" s="1" t="n">
        <v>45985</v>
      </c>
      <c r="D112" t="inlineStr">
        <is>
          <t>ÖSTERGÖTLANDS LÄN</t>
        </is>
      </c>
      <c r="E112" t="inlineStr">
        <is>
          <t>LINKÖPING</t>
        </is>
      </c>
      <c r="G112" t="n">
        <v>1.9</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45985</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31703-2022</t>
        </is>
      </c>
      <c r="B114" s="1" t="n">
        <v>44776</v>
      </c>
      <c r="C114" s="1" t="n">
        <v>45985</v>
      </c>
      <c r="D114" t="inlineStr">
        <is>
          <t>ÖSTERGÖTLANDS LÄN</t>
        </is>
      </c>
      <c r="E114" t="inlineStr">
        <is>
          <t>LINKÖPING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45985</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45985</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45985</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45985</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45985</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45985</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45985</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45985</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45985</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45985</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45985</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45985</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45985</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45985</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45985</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45985</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45985</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45985</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45985</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45985</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45985</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45985</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45985</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45985</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45985</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45985</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45985</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45985</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45985</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45985</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45985</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45985</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45985</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45985</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45985</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45985</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45985</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45985</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45985</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45985</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9935-2021</t>
        </is>
      </c>
      <c r="B155" s="1" t="n">
        <v>44253</v>
      </c>
      <c r="C155" s="1" t="n">
        <v>45985</v>
      </c>
      <c r="D155" t="inlineStr">
        <is>
          <t>ÖSTERGÖTLANDS LÄN</t>
        </is>
      </c>
      <c r="E155" t="inlineStr">
        <is>
          <t>LINKÖPING</t>
        </is>
      </c>
      <c r="G155" t="n">
        <v>4.5</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45985</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45985</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45985</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45985</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45985</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45985</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45985</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45985</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45985</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45985</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45985</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37014-2021</t>
        </is>
      </c>
      <c r="B167" s="1" t="n">
        <v>44393</v>
      </c>
      <c r="C167" s="1" t="n">
        <v>45985</v>
      </c>
      <c r="D167" t="inlineStr">
        <is>
          <t>ÖSTERGÖTLANDS LÄN</t>
        </is>
      </c>
      <c r="E167" t="inlineStr">
        <is>
          <t>LINKÖPING</t>
        </is>
      </c>
      <c r="F167" t="inlineStr">
        <is>
          <t>Allmännings- och besparingsskogar</t>
        </is>
      </c>
      <c r="G167" t="n">
        <v>7.7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45985</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45985</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45985</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45985</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45985</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45985</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45985</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45985</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45985</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45985</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45985</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45985</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45985</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45985</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45985</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45985</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56688-2021</t>
        </is>
      </c>
      <c r="B184" s="1" t="n">
        <v>44481</v>
      </c>
      <c r="C184" s="1" t="n">
        <v>45985</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45985</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45985</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45985</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45985</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45985</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45985</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45985</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45985</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45985</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45985</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45985</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45985</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45985</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45985</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45985</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45985</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45985</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45985</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45985</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45985</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45985</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12035-2025</t>
        </is>
      </c>
      <c r="B206" s="1" t="n">
        <v>45728.64946759259</v>
      </c>
      <c r="C206" s="1" t="n">
        <v>45985</v>
      </c>
      <c r="D206" t="inlineStr">
        <is>
          <t>ÖSTERGÖTLANDS LÄN</t>
        </is>
      </c>
      <c r="E206" t="inlineStr">
        <is>
          <t>LINKÖPING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10407-2025</t>
        </is>
      </c>
      <c r="B207" s="1" t="n">
        <v>45720.62863425926</v>
      </c>
      <c r="C207" s="1" t="n">
        <v>45985</v>
      </c>
      <c r="D207" t="inlineStr">
        <is>
          <t>ÖSTERGÖTLANDS LÄN</t>
        </is>
      </c>
      <c r="E207" t="inlineStr">
        <is>
          <t>LINKÖPING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51484-2023</t>
        </is>
      </c>
      <c r="B208" s="1" t="n">
        <v>45222</v>
      </c>
      <c r="C208" s="1" t="n">
        <v>45985</v>
      </c>
      <c r="D208" t="inlineStr">
        <is>
          <t>ÖSTERGÖTLANDS LÄN</t>
        </is>
      </c>
      <c r="E208" t="inlineStr">
        <is>
          <t>LINKÖPING</t>
        </is>
      </c>
      <c r="F208" t="inlineStr">
        <is>
          <t>Övriga Aktiebolag</t>
        </is>
      </c>
      <c r="G208" t="n">
        <v>7.7</v>
      </c>
      <c r="H208" t="n">
        <v>0</v>
      </c>
      <c r="I208" t="n">
        <v>0</v>
      </c>
      <c r="J208" t="n">
        <v>0</v>
      </c>
      <c r="K208" t="n">
        <v>0</v>
      </c>
      <c r="L208" t="n">
        <v>0</v>
      </c>
      <c r="M208" t="n">
        <v>0</v>
      </c>
      <c r="N208" t="n">
        <v>0</v>
      </c>
      <c r="O208" t="n">
        <v>0</v>
      </c>
      <c r="P208" t="n">
        <v>0</v>
      </c>
      <c r="Q208" t="n">
        <v>0</v>
      </c>
      <c r="R208" s="2" t="inlineStr"/>
    </row>
    <row r="209" ht="15" customHeight="1">
      <c r="A209" t="inlineStr">
        <is>
          <t>A 39021-2021</t>
        </is>
      </c>
      <c r="B209" s="1" t="n">
        <v>44412</v>
      </c>
      <c r="C209" s="1" t="n">
        <v>45985</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63678-2023</t>
        </is>
      </c>
      <c r="B210" s="1" t="n">
        <v>45275.64769675926</v>
      </c>
      <c r="C210" s="1" t="n">
        <v>45985</v>
      </c>
      <c r="D210" t="inlineStr">
        <is>
          <t>ÖSTERGÖTLANDS LÄN</t>
        </is>
      </c>
      <c r="E210" t="inlineStr">
        <is>
          <t>LINKÖPING</t>
        </is>
      </c>
      <c r="F210" t="inlineStr">
        <is>
          <t>Övriga Aktiebolag</t>
        </is>
      </c>
      <c r="G210" t="n">
        <v>0.4</v>
      </c>
      <c r="H210" t="n">
        <v>0</v>
      </c>
      <c r="I210" t="n">
        <v>0</v>
      </c>
      <c r="J210" t="n">
        <v>0</v>
      </c>
      <c r="K210" t="n">
        <v>0</v>
      </c>
      <c r="L210" t="n">
        <v>0</v>
      </c>
      <c r="M210" t="n">
        <v>0</v>
      </c>
      <c r="N210" t="n">
        <v>0</v>
      </c>
      <c r="O210" t="n">
        <v>0</v>
      </c>
      <c r="P210" t="n">
        <v>0</v>
      </c>
      <c r="Q210" t="n">
        <v>0</v>
      </c>
      <c r="R210" s="2" t="inlineStr"/>
    </row>
    <row r="211" ht="15" customHeight="1">
      <c r="A211" t="inlineStr">
        <is>
          <t>A 63688-2023</t>
        </is>
      </c>
      <c r="B211" s="1" t="n">
        <v>45275</v>
      </c>
      <c r="C211" s="1" t="n">
        <v>45985</v>
      </c>
      <c r="D211" t="inlineStr">
        <is>
          <t>ÖSTERGÖTLANDS LÄN</t>
        </is>
      </c>
      <c r="E211" t="inlineStr">
        <is>
          <t>LINKÖPING</t>
        </is>
      </c>
      <c r="F211" t="inlineStr">
        <is>
          <t>Övriga Aktiebolag</t>
        </is>
      </c>
      <c r="G211" t="n">
        <v>2.4</v>
      </c>
      <c r="H211" t="n">
        <v>0</v>
      </c>
      <c r="I211" t="n">
        <v>0</v>
      </c>
      <c r="J211" t="n">
        <v>0</v>
      </c>
      <c r="K211" t="n">
        <v>0</v>
      </c>
      <c r="L211" t="n">
        <v>0</v>
      </c>
      <c r="M211" t="n">
        <v>0</v>
      </c>
      <c r="N211" t="n">
        <v>0</v>
      </c>
      <c r="O211" t="n">
        <v>0</v>
      </c>
      <c r="P211" t="n">
        <v>0</v>
      </c>
      <c r="Q211" t="n">
        <v>0</v>
      </c>
      <c r="R211" s="2" t="inlineStr"/>
    </row>
    <row r="212" ht="15" customHeight="1">
      <c r="A212" t="inlineStr">
        <is>
          <t>A 63691-2023</t>
        </is>
      </c>
      <c r="B212" s="1" t="n">
        <v>45275</v>
      </c>
      <c r="C212" s="1" t="n">
        <v>45985</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34557-2022</t>
        </is>
      </c>
      <c r="B213" s="1" t="n">
        <v>44794.57074074074</v>
      </c>
      <c r="C213" s="1" t="n">
        <v>45985</v>
      </c>
      <c r="D213" t="inlineStr">
        <is>
          <t>ÖSTERGÖTLANDS LÄN</t>
        </is>
      </c>
      <c r="E213" t="inlineStr">
        <is>
          <t>LINKÖPING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17157-2024</t>
        </is>
      </c>
      <c r="B214" s="1" t="n">
        <v>45412.70567129629</v>
      </c>
      <c r="C214" s="1" t="n">
        <v>45985</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9434-2024</t>
        </is>
      </c>
      <c r="B215" s="1" t="n">
        <v>45359</v>
      </c>
      <c r="C215" s="1" t="n">
        <v>45985</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13689-2025</t>
        </is>
      </c>
      <c r="B216" s="1" t="n">
        <v>45737.31590277778</v>
      </c>
      <c r="C216" s="1" t="n">
        <v>45985</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13696-2025</t>
        </is>
      </c>
      <c r="B217" s="1" t="n">
        <v>45737.32273148148</v>
      </c>
      <c r="C217" s="1" t="n">
        <v>45985</v>
      </c>
      <c r="D217" t="inlineStr">
        <is>
          <t>ÖSTERGÖTLANDS LÄN</t>
        </is>
      </c>
      <c r="E217" t="inlineStr">
        <is>
          <t>LINKÖPING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12428-2024</t>
        </is>
      </c>
      <c r="B218" s="1" t="n">
        <v>45379</v>
      </c>
      <c r="C218" s="1" t="n">
        <v>45985</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46225-2021</t>
        </is>
      </c>
      <c r="B219" s="1" t="n">
        <v>44442</v>
      </c>
      <c r="C219" s="1" t="n">
        <v>45985</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54428-2022</t>
        </is>
      </c>
      <c r="B220" s="1" t="n">
        <v>44882.57643518518</v>
      </c>
      <c r="C220" s="1" t="n">
        <v>45985</v>
      </c>
      <c r="D220" t="inlineStr">
        <is>
          <t>ÖSTERGÖTLANDS LÄN</t>
        </is>
      </c>
      <c r="E220" t="inlineStr">
        <is>
          <t>LINKÖPING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57752-2023</t>
        </is>
      </c>
      <c r="B221" s="1" t="n">
        <v>45246.78474537037</v>
      </c>
      <c r="C221" s="1" t="n">
        <v>45985</v>
      </c>
      <c r="D221" t="inlineStr">
        <is>
          <t>ÖSTERGÖTLANDS LÄN</t>
        </is>
      </c>
      <c r="E221" t="inlineStr">
        <is>
          <t>LINKÖPING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11790-2024</t>
        </is>
      </c>
      <c r="B222" s="1" t="n">
        <v>45374</v>
      </c>
      <c r="C222" s="1" t="n">
        <v>45985</v>
      </c>
      <c r="D222" t="inlineStr">
        <is>
          <t>ÖSTERGÖTLANDS LÄN</t>
        </is>
      </c>
      <c r="E222" t="inlineStr">
        <is>
          <t>LINKÖPING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48962-2022</t>
        </is>
      </c>
      <c r="B223" s="1" t="n">
        <v>44860.31635416667</v>
      </c>
      <c r="C223" s="1" t="n">
        <v>45985</v>
      </c>
      <c r="D223" t="inlineStr">
        <is>
          <t>ÖSTERGÖTLANDS LÄN</t>
        </is>
      </c>
      <c r="E223" t="inlineStr">
        <is>
          <t>LINKÖPING</t>
        </is>
      </c>
      <c r="G223" t="n">
        <v>2.9</v>
      </c>
      <c r="H223" t="n">
        <v>0</v>
      </c>
      <c r="I223" t="n">
        <v>0</v>
      </c>
      <c r="J223" t="n">
        <v>0</v>
      </c>
      <c r="K223" t="n">
        <v>0</v>
      </c>
      <c r="L223" t="n">
        <v>0</v>
      </c>
      <c r="M223" t="n">
        <v>0</v>
      </c>
      <c r="N223" t="n">
        <v>0</v>
      </c>
      <c r="O223" t="n">
        <v>0</v>
      </c>
      <c r="P223" t="n">
        <v>0</v>
      </c>
      <c r="Q223" t="n">
        <v>0</v>
      </c>
      <c r="R223" s="2" t="inlineStr"/>
    </row>
    <row r="224" ht="15" customHeight="1">
      <c r="A224" t="inlineStr">
        <is>
          <t>A 3008-2023</t>
        </is>
      </c>
      <c r="B224" s="1" t="n">
        <v>44945.79784722222</v>
      </c>
      <c r="C224" s="1" t="n">
        <v>45985</v>
      </c>
      <c r="D224" t="inlineStr">
        <is>
          <t>ÖSTERGÖTLANDS LÄN</t>
        </is>
      </c>
      <c r="E224" t="inlineStr">
        <is>
          <t>LINKÖPING</t>
        </is>
      </c>
      <c r="G224" t="n">
        <v>19.3</v>
      </c>
      <c r="H224" t="n">
        <v>0</v>
      </c>
      <c r="I224" t="n">
        <v>0</v>
      </c>
      <c r="J224" t="n">
        <v>0</v>
      </c>
      <c r="K224" t="n">
        <v>0</v>
      </c>
      <c r="L224" t="n">
        <v>0</v>
      </c>
      <c r="M224" t="n">
        <v>0</v>
      </c>
      <c r="N224" t="n">
        <v>0</v>
      </c>
      <c r="O224" t="n">
        <v>0</v>
      </c>
      <c r="P224" t="n">
        <v>0</v>
      </c>
      <c r="Q224" t="n">
        <v>0</v>
      </c>
      <c r="R224" s="2" t="inlineStr"/>
    </row>
    <row r="225" ht="15" customHeight="1">
      <c r="A225" t="inlineStr">
        <is>
          <t>A 53647-2021</t>
        </is>
      </c>
      <c r="B225" s="1" t="n">
        <v>44469</v>
      </c>
      <c r="C225" s="1" t="n">
        <v>45985</v>
      </c>
      <c r="D225" t="inlineStr">
        <is>
          <t>ÖSTERGÖTLANDS LÄN</t>
        </is>
      </c>
      <c r="E225" t="inlineStr">
        <is>
          <t>LINKÖPING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22772-2024</t>
        </is>
      </c>
      <c r="B226" s="1" t="n">
        <v>45448.46712962963</v>
      </c>
      <c r="C226" s="1" t="n">
        <v>45985</v>
      </c>
      <c r="D226" t="inlineStr">
        <is>
          <t>ÖSTERGÖTLANDS LÄN</t>
        </is>
      </c>
      <c r="E226" t="inlineStr">
        <is>
          <t>LINKÖPING</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18916-2024</t>
        </is>
      </c>
      <c r="B227" s="1" t="n">
        <v>45427.39541666667</v>
      </c>
      <c r="C227" s="1" t="n">
        <v>45985</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55345-2021</t>
        </is>
      </c>
      <c r="B228" s="1" t="n">
        <v>44475</v>
      </c>
      <c r="C228" s="1" t="n">
        <v>45985</v>
      </c>
      <c r="D228" t="inlineStr">
        <is>
          <t>ÖSTERGÖTLANDS LÄN</t>
        </is>
      </c>
      <c r="E228" t="inlineStr">
        <is>
          <t>LINKÖPING</t>
        </is>
      </c>
      <c r="G228" t="n">
        <v>5.7</v>
      </c>
      <c r="H228" t="n">
        <v>0</v>
      </c>
      <c r="I228" t="n">
        <v>0</v>
      </c>
      <c r="J228" t="n">
        <v>0</v>
      </c>
      <c r="K228" t="n">
        <v>0</v>
      </c>
      <c r="L228" t="n">
        <v>0</v>
      </c>
      <c r="M228" t="n">
        <v>0</v>
      </c>
      <c r="N228" t="n">
        <v>0</v>
      </c>
      <c r="O228" t="n">
        <v>0</v>
      </c>
      <c r="P228" t="n">
        <v>0</v>
      </c>
      <c r="Q228" t="n">
        <v>0</v>
      </c>
      <c r="R228" s="2" t="inlineStr"/>
    </row>
    <row r="229" ht="15" customHeight="1">
      <c r="A229" t="inlineStr">
        <is>
          <t>A 9473-2024</t>
        </is>
      </c>
      <c r="B229" s="1" t="n">
        <v>45359.55474537037</v>
      </c>
      <c r="C229" s="1" t="n">
        <v>45985</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24586-2024</t>
        </is>
      </c>
      <c r="B230" s="1" t="n">
        <v>45460.46664351852</v>
      </c>
      <c r="C230" s="1" t="n">
        <v>45985</v>
      </c>
      <c r="D230" t="inlineStr">
        <is>
          <t>ÖSTERGÖTLANDS LÄN</t>
        </is>
      </c>
      <c r="E230" t="inlineStr">
        <is>
          <t>LINKÖPING</t>
        </is>
      </c>
      <c r="G230" t="n">
        <v>4</v>
      </c>
      <c r="H230" t="n">
        <v>0</v>
      </c>
      <c r="I230" t="n">
        <v>0</v>
      </c>
      <c r="J230" t="n">
        <v>0</v>
      </c>
      <c r="K230" t="n">
        <v>0</v>
      </c>
      <c r="L230" t="n">
        <v>0</v>
      </c>
      <c r="M230" t="n">
        <v>0</v>
      </c>
      <c r="N230" t="n">
        <v>0</v>
      </c>
      <c r="O230" t="n">
        <v>0</v>
      </c>
      <c r="P230" t="n">
        <v>0</v>
      </c>
      <c r="Q230" t="n">
        <v>0</v>
      </c>
      <c r="R230" s="2" t="inlineStr"/>
    </row>
    <row r="231" ht="15" customHeight="1">
      <c r="A231" t="inlineStr">
        <is>
          <t>A 10797-2024</t>
        </is>
      </c>
      <c r="B231" s="1" t="n">
        <v>45369.6190162037</v>
      </c>
      <c r="C231" s="1" t="n">
        <v>45985</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22264-2025</t>
        </is>
      </c>
      <c r="B232" s="1" t="n">
        <v>45785</v>
      </c>
      <c r="C232" s="1" t="n">
        <v>45985</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17124-2025</t>
        </is>
      </c>
      <c r="B233" s="1" t="n">
        <v>45755.69678240741</v>
      </c>
      <c r="C233" s="1" t="n">
        <v>45985</v>
      </c>
      <c r="D233" t="inlineStr">
        <is>
          <t>ÖSTERGÖTLANDS LÄN</t>
        </is>
      </c>
      <c r="E233" t="inlineStr">
        <is>
          <t>LINKÖPING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17126-2025</t>
        </is>
      </c>
      <c r="B234" s="1" t="n">
        <v>45755.70814814815</v>
      </c>
      <c r="C234" s="1" t="n">
        <v>45985</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17143-2025</t>
        </is>
      </c>
      <c r="B235" s="1" t="n">
        <v>45755.92731481481</v>
      </c>
      <c r="C235" s="1" t="n">
        <v>45985</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61281-2021</t>
        </is>
      </c>
      <c r="B236" s="1" t="n">
        <v>44498.60736111111</v>
      </c>
      <c r="C236" s="1" t="n">
        <v>45985</v>
      </c>
      <c r="D236" t="inlineStr">
        <is>
          <t>ÖSTERGÖTLANDS LÄN</t>
        </is>
      </c>
      <c r="E236" t="inlineStr">
        <is>
          <t>LINKÖPING</t>
        </is>
      </c>
      <c r="G236" t="n">
        <v>4.5</v>
      </c>
      <c r="H236" t="n">
        <v>0</v>
      </c>
      <c r="I236" t="n">
        <v>0</v>
      </c>
      <c r="J236" t="n">
        <v>0</v>
      </c>
      <c r="K236" t="n">
        <v>0</v>
      </c>
      <c r="L236" t="n">
        <v>0</v>
      </c>
      <c r="M236" t="n">
        <v>0</v>
      </c>
      <c r="N236" t="n">
        <v>0</v>
      </c>
      <c r="O236" t="n">
        <v>0</v>
      </c>
      <c r="P236" t="n">
        <v>0</v>
      </c>
      <c r="Q236" t="n">
        <v>0</v>
      </c>
      <c r="R236" s="2" t="inlineStr"/>
    </row>
    <row r="237" ht="15" customHeight="1">
      <c r="A237" t="inlineStr">
        <is>
          <t>A 63935-2021</t>
        </is>
      </c>
      <c r="B237" s="1" t="n">
        <v>44509</v>
      </c>
      <c r="C237" s="1" t="n">
        <v>45985</v>
      </c>
      <c r="D237" t="inlineStr">
        <is>
          <t>ÖSTERGÖTLANDS LÄN</t>
        </is>
      </c>
      <c r="E237" t="inlineStr">
        <is>
          <t>LINKÖPING</t>
        </is>
      </c>
      <c r="F237" t="inlineStr">
        <is>
          <t>Övriga statliga verk och myndigheter</t>
        </is>
      </c>
      <c r="G237" t="n">
        <v>2.8</v>
      </c>
      <c r="H237" t="n">
        <v>0</v>
      </c>
      <c r="I237" t="n">
        <v>0</v>
      </c>
      <c r="J237" t="n">
        <v>0</v>
      </c>
      <c r="K237" t="n">
        <v>0</v>
      </c>
      <c r="L237" t="n">
        <v>0</v>
      </c>
      <c r="M237" t="n">
        <v>0</v>
      </c>
      <c r="N237" t="n">
        <v>0</v>
      </c>
      <c r="O237" t="n">
        <v>0</v>
      </c>
      <c r="P237" t="n">
        <v>0</v>
      </c>
      <c r="Q237" t="n">
        <v>0</v>
      </c>
      <c r="R237" s="2" t="inlineStr"/>
    </row>
    <row r="238" ht="15" customHeight="1">
      <c r="A238" t="inlineStr">
        <is>
          <t>A 6859-2024</t>
        </is>
      </c>
      <c r="B238" s="1" t="n">
        <v>45342</v>
      </c>
      <c r="C238" s="1" t="n">
        <v>45985</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39017-2021</t>
        </is>
      </c>
      <c r="B239" s="1" t="n">
        <v>44412</v>
      </c>
      <c r="C239" s="1" t="n">
        <v>45985</v>
      </c>
      <c r="D239" t="inlineStr">
        <is>
          <t>ÖSTERGÖTLANDS LÄN</t>
        </is>
      </c>
      <c r="E239" t="inlineStr">
        <is>
          <t>LINKÖPING</t>
        </is>
      </c>
      <c r="F239" t="inlineStr">
        <is>
          <t>Övriga statliga verk och myndigheter</t>
        </is>
      </c>
      <c r="G239" t="n">
        <v>0.8</v>
      </c>
      <c r="H239" t="n">
        <v>0</v>
      </c>
      <c r="I239" t="n">
        <v>0</v>
      </c>
      <c r="J239" t="n">
        <v>0</v>
      </c>
      <c r="K239" t="n">
        <v>0</v>
      </c>
      <c r="L239" t="n">
        <v>0</v>
      </c>
      <c r="M239" t="n">
        <v>0</v>
      </c>
      <c r="N239" t="n">
        <v>0</v>
      </c>
      <c r="O239" t="n">
        <v>0</v>
      </c>
      <c r="P239" t="n">
        <v>0</v>
      </c>
      <c r="Q239" t="n">
        <v>0</v>
      </c>
      <c r="R239" s="2" t="inlineStr"/>
    </row>
    <row r="240" ht="15" customHeight="1">
      <c r="A240" t="inlineStr">
        <is>
          <t>A 38580-2024</t>
        </is>
      </c>
      <c r="B240" s="1" t="n">
        <v>45546.64825231482</v>
      </c>
      <c r="C240" s="1" t="n">
        <v>45985</v>
      </c>
      <c r="D240" t="inlineStr">
        <is>
          <t>ÖSTERGÖTLANDS LÄN</t>
        </is>
      </c>
      <c r="E240" t="inlineStr">
        <is>
          <t>LINKÖPING</t>
        </is>
      </c>
      <c r="G240" t="n">
        <v>4.8</v>
      </c>
      <c r="H240" t="n">
        <v>0</v>
      </c>
      <c r="I240" t="n">
        <v>0</v>
      </c>
      <c r="J240" t="n">
        <v>0</v>
      </c>
      <c r="K240" t="n">
        <v>0</v>
      </c>
      <c r="L240" t="n">
        <v>0</v>
      </c>
      <c r="M240" t="n">
        <v>0</v>
      </c>
      <c r="N240" t="n">
        <v>0</v>
      </c>
      <c r="O240" t="n">
        <v>0</v>
      </c>
      <c r="P240" t="n">
        <v>0</v>
      </c>
      <c r="Q240" t="n">
        <v>0</v>
      </c>
      <c r="R240" s="2" t="inlineStr"/>
    </row>
    <row r="241" ht="15" customHeight="1">
      <c r="A241" t="inlineStr">
        <is>
          <t>A 25292-2021</t>
        </is>
      </c>
      <c r="B241" s="1" t="n">
        <v>44342</v>
      </c>
      <c r="C241" s="1" t="n">
        <v>45985</v>
      </c>
      <c r="D241" t="inlineStr">
        <is>
          <t>ÖSTERGÖTLANDS LÄN</t>
        </is>
      </c>
      <c r="E241" t="inlineStr">
        <is>
          <t>LINKÖPING</t>
        </is>
      </c>
      <c r="F241" t="inlineStr">
        <is>
          <t>Övriga Aktiebolag</t>
        </is>
      </c>
      <c r="G241" t="n">
        <v>12.8</v>
      </c>
      <c r="H241" t="n">
        <v>0</v>
      </c>
      <c r="I241" t="n">
        <v>0</v>
      </c>
      <c r="J241" t="n">
        <v>0</v>
      </c>
      <c r="K241" t="n">
        <v>0</v>
      </c>
      <c r="L241" t="n">
        <v>0</v>
      </c>
      <c r="M241" t="n">
        <v>0</v>
      </c>
      <c r="N241" t="n">
        <v>0</v>
      </c>
      <c r="O241" t="n">
        <v>0</v>
      </c>
      <c r="P241" t="n">
        <v>0</v>
      </c>
      <c r="Q241" t="n">
        <v>0</v>
      </c>
      <c r="R241" s="2" t="inlineStr"/>
    </row>
    <row r="242" ht="15" customHeight="1">
      <c r="A242" t="inlineStr">
        <is>
          <t>A 572-2025</t>
        </is>
      </c>
      <c r="B242" s="1" t="n">
        <v>45664.56349537037</v>
      </c>
      <c r="C242" s="1" t="n">
        <v>45985</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22364-2025</t>
        </is>
      </c>
      <c r="B243" s="1" t="n">
        <v>45786.46930555555</v>
      </c>
      <c r="C243" s="1" t="n">
        <v>45985</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16820-2024</t>
        </is>
      </c>
      <c r="B244" s="1" t="n">
        <v>45411.46809027778</v>
      </c>
      <c r="C244" s="1" t="n">
        <v>45985</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44287-2024</t>
        </is>
      </c>
      <c r="B245" s="1" t="n">
        <v>45573.50582175926</v>
      </c>
      <c r="C245" s="1" t="n">
        <v>45985</v>
      </c>
      <c r="D245" t="inlineStr">
        <is>
          <t>ÖSTERGÖTLANDS LÄN</t>
        </is>
      </c>
      <c r="E245" t="inlineStr">
        <is>
          <t>LINKÖPING</t>
        </is>
      </c>
      <c r="G245" t="n">
        <v>12.7</v>
      </c>
      <c r="H245" t="n">
        <v>0</v>
      </c>
      <c r="I245" t="n">
        <v>0</v>
      </c>
      <c r="J245" t="n">
        <v>0</v>
      </c>
      <c r="K245" t="n">
        <v>0</v>
      </c>
      <c r="L245" t="n">
        <v>0</v>
      </c>
      <c r="M245" t="n">
        <v>0</v>
      </c>
      <c r="N245" t="n">
        <v>0</v>
      </c>
      <c r="O245" t="n">
        <v>0</v>
      </c>
      <c r="P245" t="n">
        <v>0</v>
      </c>
      <c r="Q245" t="n">
        <v>0</v>
      </c>
      <c r="R245" s="2" t="inlineStr"/>
    </row>
    <row r="246" ht="15" customHeight="1">
      <c r="A246" t="inlineStr">
        <is>
          <t>A 30980-2022</t>
        </is>
      </c>
      <c r="B246" s="1" t="n">
        <v>44768</v>
      </c>
      <c r="C246" s="1" t="n">
        <v>45985</v>
      </c>
      <c r="D246" t="inlineStr">
        <is>
          <t>ÖSTERGÖTLANDS LÄN</t>
        </is>
      </c>
      <c r="E246" t="inlineStr">
        <is>
          <t>LINKÖPING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29312-2024</t>
        </is>
      </c>
      <c r="B247" s="1" t="n">
        <v>45483</v>
      </c>
      <c r="C247" s="1" t="n">
        <v>45985</v>
      </c>
      <c r="D247" t="inlineStr">
        <is>
          <t>ÖSTERGÖTLANDS LÄN</t>
        </is>
      </c>
      <c r="E247" t="inlineStr">
        <is>
          <t>LINKÖPING</t>
        </is>
      </c>
      <c r="G247" t="n">
        <v>2.1</v>
      </c>
      <c r="H247" t="n">
        <v>0</v>
      </c>
      <c r="I247" t="n">
        <v>0</v>
      </c>
      <c r="J247" t="n">
        <v>0</v>
      </c>
      <c r="K247" t="n">
        <v>0</v>
      </c>
      <c r="L247" t="n">
        <v>0</v>
      </c>
      <c r="M247" t="n">
        <v>0</v>
      </c>
      <c r="N247" t="n">
        <v>0</v>
      </c>
      <c r="O247" t="n">
        <v>0</v>
      </c>
      <c r="P247" t="n">
        <v>0</v>
      </c>
      <c r="Q247" t="n">
        <v>0</v>
      </c>
      <c r="R247" s="2" t="inlineStr"/>
    </row>
    <row r="248" ht="15" customHeight="1">
      <c r="A248" t="inlineStr">
        <is>
          <t>A 39074-2025</t>
        </is>
      </c>
      <c r="B248" s="1" t="n">
        <v>45888</v>
      </c>
      <c r="C248" s="1" t="n">
        <v>45985</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24351-2024</t>
        </is>
      </c>
      <c r="B249" s="1" t="n">
        <v>45457.59011574074</v>
      </c>
      <c r="C249" s="1" t="n">
        <v>45985</v>
      </c>
      <c r="D249" t="inlineStr">
        <is>
          <t>ÖSTERGÖTLANDS LÄN</t>
        </is>
      </c>
      <c r="E249" t="inlineStr">
        <is>
          <t>LINKÖPING</t>
        </is>
      </c>
      <c r="G249" t="n">
        <v>11.9</v>
      </c>
      <c r="H249" t="n">
        <v>0</v>
      </c>
      <c r="I249" t="n">
        <v>0</v>
      </c>
      <c r="J249" t="n">
        <v>0</v>
      </c>
      <c r="K249" t="n">
        <v>0</v>
      </c>
      <c r="L249" t="n">
        <v>0</v>
      </c>
      <c r="M249" t="n">
        <v>0</v>
      </c>
      <c r="N249" t="n">
        <v>0</v>
      </c>
      <c r="O249" t="n">
        <v>0</v>
      </c>
      <c r="P249" t="n">
        <v>0</v>
      </c>
      <c r="Q249" t="n">
        <v>0</v>
      </c>
      <c r="R249" s="2" t="inlineStr"/>
    </row>
    <row r="250" ht="15" customHeight="1">
      <c r="A250" t="inlineStr">
        <is>
          <t>A 62501-2023</t>
        </is>
      </c>
      <c r="B250" s="1" t="n">
        <v>45268</v>
      </c>
      <c r="C250" s="1" t="n">
        <v>45985</v>
      </c>
      <c r="D250" t="inlineStr">
        <is>
          <t>ÖSTERGÖTLANDS LÄN</t>
        </is>
      </c>
      <c r="E250" t="inlineStr">
        <is>
          <t>LINKÖPING</t>
        </is>
      </c>
      <c r="G250" t="n">
        <v>7.4</v>
      </c>
      <c r="H250" t="n">
        <v>0</v>
      </c>
      <c r="I250" t="n">
        <v>0</v>
      </c>
      <c r="J250" t="n">
        <v>0</v>
      </c>
      <c r="K250" t="n">
        <v>0</v>
      </c>
      <c r="L250" t="n">
        <v>0</v>
      </c>
      <c r="M250" t="n">
        <v>0</v>
      </c>
      <c r="N250" t="n">
        <v>0</v>
      </c>
      <c r="O250" t="n">
        <v>0</v>
      </c>
      <c r="P250" t="n">
        <v>0</v>
      </c>
      <c r="Q250" t="n">
        <v>0</v>
      </c>
      <c r="R250" s="2" t="inlineStr"/>
    </row>
    <row r="251" ht="15" customHeight="1">
      <c r="A251" t="inlineStr">
        <is>
          <t>A 58947-2022</t>
        </is>
      </c>
      <c r="B251" s="1" t="n">
        <v>44903.64769675926</v>
      </c>
      <c r="C251" s="1" t="n">
        <v>45985</v>
      </c>
      <c r="D251" t="inlineStr">
        <is>
          <t>ÖSTERGÖTLANDS LÄN</t>
        </is>
      </c>
      <c r="E251" t="inlineStr">
        <is>
          <t>LINKÖPING</t>
        </is>
      </c>
      <c r="G251" t="n">
        <v>4</v>
      </c>
      <c r="H251" t="n">
        <v>0</v>
      </c>
      <c r="I251" t="n">
        <v>0</v>
      </c>
      <c r="J251" t="n">
        <v>0</v>
      </c>
      <c r="K251" t="n">
        <v>0</v>
      </c>
      <c r="L251" t="n">
        <v>0</v>
      </c>
      <c r="M251" t="n">
        <v>0</v>
      </c>
      <c r="N251" t="n">
        <v>0</v>
      </c>
      <c r="O251" t="n">
        <v>0</v>
      </c>
      <c r="P251" t="n">
        <v>0</v>
      </c>
      <c r="Q251" t="n">
        <v>0</v>
      </c>
      <c r="R251" s="2" t="inlineStr"/>
    </row>
    <row r="252" ht="15" customHeight="1">
      <c r="A252" t="inlineStr">
        <is>
          <t>A 23120-2025</t>
        </is>
      </c>
      <c r="B252" s="1" t="n">
        <v>45791.37481481482</v>
      </c>
      <c r="C252" s="1" t="n">
        <v>45985</v>
      </c>
      <c r="D252" t="inlineStr">
        <is>
          <t>ÖSTERGÖTLANDS LÄN</t>
        </is>
      </c>
      <c r="E252" t="inlineStr">
        <is>
          <t>LINKÖPING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49979-2022</t>
        </is>
      </c>
      <c r="B253" s="1" t="n">
        <v>44865</v>
      </c>
      <c r="C253" s="1" t="n">
        <v>45985</v>
      </c>
      <c r="D253" t="inlineStr">
        <is>
          <t>ÖSTERGÖTLANDS LÄN</t>
        </is>
      </c>
      <c r="E253" t="inlineStr">
        <is>
          <t>LINKÖPING</t>
        </is>
      </c>
      <c r="F253" t="inlineStr">
        <is>
          <t>Övriga Aktiebolag</t>
        </is>
      </c>
      <c r="G253" t="n">
        <v>11.4</v>
      </c>
      <c r="H253" t="n">
        <v>0</v>
      </c>
      <c r="I253" t="n">
        <v>0</v>
      </c>
      <c r="J253" t="n">
        <v>0</v>
      </c>
      <c r="K253" t="n">
        <v>0</v>
      </c>
      <c r="L253" t="n">
        <v>0</v>
      </c>
      <c r="M253" t="n">
        <v>0</v>
      </c>
      <c r="N253" t="n">
        <v>0</v>
      </c>
      <c r="O253" t="n">
        <v>0</v>
      </c>
      <c r="P253" t="n">
        <v>0</v>
      </c>
      <c r="Q253" t="n">
        <v>0</v>
      </c>
      <c r="R253" s="2" t="inlineStr"/>
    </row>
    <row r="254" ht="15" customHeight="1">
      <c r="A254" t="inlineStr">
        <is>
          <t>A 53827-2023</t>
        </is>
      </c>
      <c r="B254" s="1" t="n">
        <v>45230</v>
      </c>
      <c r="C254" s="1" t="n">
        <v>45985</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38971-2025</t>
        </is>
      </c>
      <c r="B255" s="1" t="n">
        <v>45887.71827546296</v>
      </c>
      <c r="C255" s="1" t="n">
        <v>45985</v>
      </c>
      <c r="D255" t="inlineStr">
        <is>
          <t>ÖSTERGÖTLANDS LÄN</t>
        </is>
      </c>
      <c r="E255" t="inlineStr">
        <is>
          <t>LINKÖPING</t>
        </is>
      </c>
      <c r="G255" t="n">
        <v>3.9</v>
      </c>
      <c r="H255" t="n">
        <v>0</v>
      </c>
      <c r="I255" t="n">
        <v>0</v>
      </c>
      <c r="J255" t="n">
        <v>0</v>
      </c>
      <c r="K255" t="n">
        <v>0</v>
      </c>
      <c r="L255" t="n">
        <v>0</v>
      </c>
      <c r="M255" t="n">
        <v>0</v>
      </c>
      <c r="N255" t="n">
        <v>0</v>
      </c>
      <c r="O255" t="n">
        <v>0</v>
      </c>
      <c r="P255" t="n">
        <v>0</v>
      </c>
      <c r="Q255" t="n">
        <v>0</v>
      </c>
      <c r="R255" s="2" t="inlineStr"/>
    </row>
    <row r="256" ht="15" customHeight="1">
      <c r="A256" t="inlineStr">
        <is>
          <t>A 72567-2021</t>
        </is>
      </c>
      <c r="B256" s="1" t="n">
        <v>44546.45023148148</v>
      </c>
      <c r="C256" s="1" t="n">
        <v>45985</v>
      </c>
      <c r="D256" t="inlineStr">
        <is>
          <t>ÖSTERGÖTLANDS LÄN</t>
        </is>
      </c>
      <c r="E256" t="inlineStr">
        <is>
          <t>LINKÖPING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940-2023</t>
        </is>
      </c>
      <c r="B257" s="1" t="n">
        <v>44933</v>
      </c>
      <c r="C257" s="1" t="n">
        <v>45985</v>
      </c>
      <c r="D257" t="inlineStr">
        <is>
          <t>ÖSTERGÖTLANDS LÄN</t>
        </is>
      </c>
      <c r="E257" t="inlineStr">
        <is>
          <t>LINKÖPING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48699-2024</t>
        </is>
      </c>
      <c r="B258" s="1" t="n">
        <v>45593.52091435185</v>
      </c>
      <c r="C258" s="1" t="n">
        <v>45985</v>
      </c>
      <c r="D258" t="inlineStr">
        <is>
          <t>ÖSTERGÖTLANDS LÄN</t>
        </is>
      </c>
      <c r="E258" t="inlineStr">
        <is>
          <t>LINKÖPING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27264-2025</t>
        </is>
      </c>
      <c r="B259" s="1" t="n">
        <v>45812.4794212963</v>
      </c>
      <c r="C259" s="1" t="n">
        <v>45985</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7992-2023</t>
        </is>
      </c>
      <c r="B260" s="1" t="n">
        <v>44970</v>
      </c>
      <c r="C260" s="1" t="n">
        <v>45985</v>
      </c>
      <c r="D260" t="inlineStr">
        <is>
          <t>ÖSTERGÖTLANDS LÄN</t>
        </is>
      </c>
      <c r="E260" t="inlineStr">
        <is>
          <t>LINKÖPING</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45819-2024</t>
        </is>
      </c>
      <c r="B261" s="1" t="n">
        <v>45579.7454050926</v>
      </c>
      <c r="C261" s="1" t="n">
        <v>45985</v>
      </c>
      <c r="D261" t="inlineStr">
        <is>
          <t>ÖSTERGÖTLANDS LÄN</t>
        </is>
      </c>
      <c r="E261" t="inlineStr">
        <is>
          <t>LINKÖPING</t>
        </is>
      </c>
      <c r="G261" t="n">
        <v>5</v>
      </c>
      <c r="H261" t="n">
        <v>0</v>
      </c>
      <c r="I261" t="n">
        <v>0</v>
      </c>
      <c r="J261" t="n">
        <v>0</v>
      </c>
      <c r="K261" t="n">
        <v>0</v>
      </c>
      <c r="L261" t="n">
        <v>0</v>
      </c>
      <c r="M261" t="n">
        <v>0</v>
      </c>
      <c r="N261" t="n">
        <v>0</v>
      </c>
      <c r="O261" t="n">
        <v>0</v>
      </c>
      <c r="P261" t="n">
        <v>0</v>
      </c>
      <c r="Q261" t="n">
        <v>0</v>
      </c>
      <c r="R261" s="2" t="inlineStr"/>
    </row>
    <row r="262" ht="15" customHeight="1">
      <c r="A262" t="inlineStr">
        <is>
          <t>A 3041-2024</t>
        </is>
      </c>
      <c r="B262" s="1" t="n">
        <v>45316.34875</v>
      </c>
      <c r="C262" s="1" t="n">
        <v>45985</v>
      </c>
      <c r="D262" t="inlineStr">
        <is>
          <t>ÖSTERGÖTLANDS LÄN</t>
        </is>
      </c>
      <c r="E262" t="inlineStr">
        <is>
          <t>LINKÖPING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39438-2025</t>
        </is>
      </c>
      <c r="B263" s="1" t="n">
        <v>45889.68641203704</v>
      </c>
      <c r="C263" s="1" t="n">
        <v>45985</v>
      </c>
      <c r="D263" t="inlineStr">
        <is>
          <t>ÖSTERGÖTLANDS LÄN</t>
        </is>
      </c>
      <c r="E263" t="inlineStr">
        <is>
          <t>LINKÖPING</t>
        </is>
      </c>
      <c r="G263" t="n">
        <v>2.4</v>
      </c>
      <c r="H263" t="n">
        <v>0</v>
      </c>
      <c r="I263" t="n">
        <v>0</v>
      </c>
      <c r="J263" t="n">
        <v>0</v>
      </c>
      <c r="K263" t="n">
        <v>0</v>
      </c>
      <c r="L263" t="n">
        <v>0</v>
      </c>
      <c r="M263" t="n">
        <v>0</v>
      </c>
      <c r="N263" t="n">
        <v>0</v>
      </c>
      <c r="O263" t="n">
        <v>0</v>
      </c>
      <c r="P263" t="n">
        <v>0</v>
      </c>
      <c r="Q263" t="n">
        <v>0</v>
      </c>
      <c r="R263" s="2" t="inlineStr"/>
    </row>
    <row r="264" ht="15" customHeight="1">
      <c r="A264" t="inlineStr">
        <is>
          <t>A 13911-2025</t>
        </is>
      </c>
      <c r="B264" s="1" t="n">
        <v>45737.64784722222</v>
      </c>
      <c r="C264" s="1" t="n">
        <v>45985</v>
      </c>
      <c r="D264" t="inlineStr">
        <is>
          <t>ÖSTERGÖTLANDS LÄN</t>
        </is>
      </c>
      <c r="E264" t="inlineStr">
        <is>
          <t>LINKÖPING</t>
        </is>
      </c>
      <c r="G264" t="n">
        <v>1.5</v>
      </c>
      <c r="H264" t="n">
        <v>0</v>
      </c>
      <c r="I264" t="n">
        <v>0</v>
      </c>
      <c r="J264" t="n">
        <v>0</v>
      </c>
      <c r="K264" t="n">
        <v>0</v>
      </c>
      <c r="L264" t="n">
        <v>0</v>
      </c>
      <c r="M264" t="n">
        <v>0</v>
      </c>
      <c r="N264" t="n">
        <v>0</v>
      </c>
      <c r="O264" t="n">
        <v>0</v>
      </c>
      <c r="P264" t="n">
        <v>0</v>
      </c>
      <c r="Q264" t="n">
        <v>0</v>
      </c>
      <c r="R264" s="2" t="inlineStr"/>
    </row>
    <row r="265" ht="15" customHeight="1">
      <c r="A265" t="inlineStr">
        <is>
          <t>A 23768-2025</t>
        </is>
      </c>
      <c r="B265" s="1" t="n">
        <v>45793.47493055555</v>
      </c>
      <c r="C265" s="1" t="n">
        <v>45985</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3530-2024</t>
        </is>
      </c>
      <c r="B266" s="1" t="n">
        <v>45320.54717592592</v>
      </c>
      <c r="C266" s="1" t="n">
        <v>45985</v>
      </c>
      <c r="D266" t="inlineStr">
        <is>
          <t>ÖSTERGÖTLANDS LÄN</t>
        </is>
      </c>
      <c r="E266" t="inlineStr">
        <is>
          <t>LINKÖPING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40169-2025</t>
        </is>
      </c>
      <c r="B267" s="1" t="n">
        <v>45894.62824074074</v>
      </c>
      <c r="C267" s="1" t="n">
        <v>45985</v>
      </c>
      <c r="D267" t="inlineStr">
        <is>
          <t>ÖSTERGÖTLANDS LÄN</t>
        </is>
      </c>
      <c r="E267" t="inlineStr">
        <is>
          <t>LINKÖPING</t>
        </is>
      </c>
      <c r="G267" t="n">
        <v>2.8</v>
      </c>
      <c r="H267" t="n">
        <v>0</v>
      </c>
      <c r="I267" t="n">
        <v>0</v>
      </c>
      <c r="J267" t="n">
        <v>0</v>
      </c>
      <c r="K267" t="n">
        <v>0</v>
      </c>
      <c r="L267" t="n">
        <v>0</v>
      </c>
      <c r="M267" t="n">
        <v>0</v>
      </c>
      <c r="N267" t="n">
        <v>0</v>
      </c>
      <c r="O267" t="n">
        <v>0</v>
      </c>
      <c r="P267" t="n">
        <v>0</v>
      </c>
      <c r="Q267" t="n">
        <v>0</v>
      </c>
      <c r="R267" s="2" t="inlineStr"/>
    </row>
    <row r="268" ht="15" customHeight="1">
      <c r="A268" t="inlineStr">
        <is>
          <t>A 62686-2023</t>
        </is>
      </c>
      <c r="B268" s="1" t="n">
        <v>45271</v>
      </c>
      <c r="C268" s="1" t="n">
        <v>45985</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55345-2021</t>
        </is>
      </c>
      <c r="B269" s="1" t="n">
        <v>44475</v>
      </c>
      <c r="C269" s="1" t="n">
        <v>45985</v>
      </c>
      <c r="D269" t="inlineStr">
        <is>
          <t>ÖSTERGÖTLANDS LÄN</t>
        </is>
      </c>
      <c r="E269" t="inlineStr">
        <is>
          <t>LINKÖPING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63489-2023</t>
        </is>
      </c>
      <c r="B270" s="1" t="n">
        <v>45274.66761574074</v>
      </c>
      <c r="C270" s="1" t="n">
        <v>45985</v>
      </c>
      <c r="D270" t="inlineStr">
        <is>
          <t>ÖSTERGÖTLANDS LÄN</t>
        </is>
      </c>
      <c r="E270" t="inlineStr">
        <is>
          <t>LINKÖPING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70-2024</t>
        </is>
      </c>
      <c r="B271" s="1" t="n">
        <v>45293</v>
      </c>
      <c r="C271" s="1" t="n">
        <v>45985</v>
      </c>
      <c r="D271" t="inlineStr">
        <is>
          <t>ÖSTERGÖTLANDS LÄN</t>
        </is>
      </c>
      <c r="E271" t="inlineStr">
        <is>
          <t>LINKÖPING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6782-2024</t>
        </is>
      </c>
      <c r="B272" s="1" t="n">
        <v>45342</v>
      </c>
      <c r="C272" s="1" t="n">
        <v>45985</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617-2024</t>
        </is>
      </c>
      <c r="B273" s="1" t="n">
        <v>45299.66028935185</v>
      </c>
      <c r="C273" s="1" t="n">
        <v>45985</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670-2024</t>
        </is>
      </c>
      <c r="B274" s="1" t="n">
        <v>45300.3408912037</v>
      </c>
      <c r="C274" s="1" t="n">
        <v>45985</v>
      </c>
      <c r="D274" t="inlineStr">
        <is>
          <t>ÖSTERGÖTLANDS LÄN</t>
        </is>
      </c>
      <c r="E274" t="inlineStr">
        <is>
          <t>LINKÖPING</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52125-2022</t>
        </is>
      </c>
      <c r="B275" s="1" t="n">
        <v>44873</v>
      </c>
      <c r="C275" s="1" t="n">
        <v>45985</v>
      </c>
      <c r="D275" t="inlineStr">
        <is>
          <t>ÖSTERGÖTLANDS LÄN</t>
        </is>
      </c>
      <c r="E275" t="inlineStr">
        <is>
          <t>LINKÖPING</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44280-2024</t>
        </is>
      </c>
      <c r="B276" s="1" t="n">
        <v>45573.49461805556</v>
      </c>
      <c r="C276" s="1" t="n">
        <v>45985</v>
      </c>
      <c r="D276" t="inlineStr">
        <is>
          <t>ÖSTERGÖTLANDS LÄN</t>
        </is>
      </c>
      <c r="E276" t="inlineStr">
        <is>
          <t>LINKÖPING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1084-2023</t>
        </is>
      </c>
      <c r="B277" s="1" t="n">
        <v>44929</v>
      </c>
      <c r="C277" s="1" t="n">
        <v>45985</v>
      </c>
      <c r="D277" t="inlineStr">
        <is>
          <t>ÖSTERGÖTLANDS LÄN</t>
        </is>
      </c>
      <c r="E277" t="inlineStr">
        <is>
          <t>LINKÖPING</t>
        </is>
      </c>
      <c r="G277" t="n">
        <v>10.4</v>
      </c>
      <c r="H277" t="n">
        <v>0</v>
      </c>
      <c r="I277" t="n">
        <v>0</v>
      </c>
      <c r="J277" t="n">
        <v>0</v>
      </c>
      <c r="K277" t="n">
        <v>0</v>
      </c>
      <c r="L277" t="n">
        <v>0</v>
      </c>
      <c r="M277" t="n">
        <v>0</v>
      </c>
      <c r="N277" t="n">
        <v>0</v>
      </c>
      <c r="O277" t="n">
        <v>0</v>
      </c>
      <c r="P277" t="n">
        <v>0</v>
      </c>
      <c r="Q277" t="n">
        <v>0</v>
      </c>
      <c r="R277" s="2" t="inlineStr"/>
    </row>
    <row r="278" ht="15" customHeight="1">
      <c r="A278" t="inlineStr">
        <is>
          <t>A 29859-2024</t>
        </is>
      </c>
      <c r="B278" s="1" t="n">
        <v>45485.6846412037</v>
      </c>
      <c r="C278" s="1" t="n">
        <v>45985</v>
      </c>
      <c r="D278" t="inlineStr">
        <is>
          <t>ÖSTERGÖTLANDS LÄN</t>
        </is>
      </c>
      <c r="E278" t="inlineStr">
        <is>
          <t>LINKÖPING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51571-2024</t>
        </is>
      </c>
      <c r="B279" s="1" t="n">
        <v>45604</v>
      </c>
      <c r="C279" s="1" t="n">
        <v>45985</v>
      </c>
      <c r="D279" t="inlineStr">
        <is>
          <t>ÖSTERGÖTLANDS LÄN</t>
        </is>
      </c>
      <c r="E279" t="inlineStr">
        <is>
          <t>LINKÖPING</t>
        </is>
      </c>
      <c r="F279" t="inlineStr">
        <is>
          <t>Övriga Aktiebolag</t>
        </is>
      </c>
      <c r="G279" t="n">
        <v>1.4</v>
      </c>
      <c r="H279" t="n">
        <v>0</v>
      </c>
      <c r="I279" t="n">
        <v>0</v>
      </c>
      <c r="J279" t="n">
        <v>0</v>
      </c>
      <c r="K279" t="n">
        <v>0</v>
      </c>
      <c r="L279" t="n">
        <v>0</v>
      </c>
      <c r="M279" t="n">
        <v>0</v>
      </c>
      <c r="N279" t="n">
        <v>0</v>
      </c>
      <c r="O279" t="n">
        <v>0</v>
      </c>
      <c r="P279" t="n">
        <v>0</v>
      </c>
      <c r="Q279" t="n">
        <v>0</v>
      </c>
      <c r="R279" s="2" t="inlineStr"/>
    </row>
    <row r="280" ht="15" customHeight="1">
      <c r="A280" t="inlineStr">
        <is>
          <t>A 223-2024</t>
        </is>
      </c>
      <c r="B280" s="1" t="n">
        <v>45294.72739583333</v>
      </c>
      <c r="C280" s="1" t="n">
        <v>45985</v>
      </c>
      <c r="D280" t="inlineStr">
        <is>
          <t>ÖSTERGÖTLANDS LÄN</t>
        </is>
      </c>
      <c r="E280" t="inlineStr">
        <is>
          <t>LINKÖPING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227-2024</t>
        </is>
      </c>
      <c r="B281" s="1" t="n">
        <v>45294.73603009259</v>
      </c>
      <c r="C281" s="1" t="n">
        <v>45985</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40983-2025</t>
        </is>
      </c>
      <c r="B282" s="1" t="n">
        <v>45898</v>
      </c>
      <c r="C282" s="1" t="n">
        <v>45985</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41706-2025</t>
        </is>
      </c>
      <c r="B283" s="1" t="n">
        <v>45902.42209490741</v>
      </c>
      <c r="C283" s="1" t="n">
        <v>45985</v>
      </c>
      <c r="D283" t="inlineStr">
        <is>
          <t>ÖSTERGÖTLANDS LÄN</t>
        </is>
      </c>
      <c r="E283" t="inlineStr">
        <is>
          <t>LINKÖPING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25996-2025</t>
        </is>
      </c>
      <c r="B284" s="1" t="n">
        <v>45804.65851851852</v>
      </c>
      <c r="C284" s="1" t="n">
        <v>45985</v>
      </c>
      <c r="D284" t="inlineStr">
        <is>
          <t>ÖSTERGÖTLANDS LÄN</t>
        </is>
      </c>
      <c r="E284" t="inlineStr">
        <is>
          <t>LINKÖPING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56917-2022</t>
        </is>
      </c>
      <c r="B285" s="1" t="n">
        <v>44894</v>
      </c>
      <c r="C285" s="1" t="n">
        <v>45985</v>
      </c>
      <c r="D285" t="inlineStr">
        <is>
          <t>ÖSTERGÖTLANDS LÄN</t>
        </is>
      </c>
      <c r="E285" t="inlineStr">
        <is>
          <t>LINKÖPING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26002-2025</t>
        </is>
      </c>
      <c r="B286" s="1" t="n">
        <v>45804.66534722222</v>
      </c>
      <c r="C286" s="1" t="n">
        <v>45985</v>
      </c>
      <c r="D286" t="inlineStr">
        <is>
          <t>ÖSTERGÖTLANDS LÄN</t>
        </is>
      </c>
      <c r="E286" t="inlineStr">
        <is>
          <t>LINKÖPING</t>
        </is>
      </c>
      <c r="G286" t="n">
        <v>2.5</v>
      </c>
      <c r="H286" t="n">
        <v>0</v>
      </c>
      <c r="I286" t="n">
        <v>0</v>
      </c>
      <c r="J286" t="n">
        <v>0</v>
      </c>
      <c r="K286" t="n">
        <v>0</v>
      </c>
      <c r="L286" t="n">
        <v>0</v>
      </c>
      <c r="M286" t="n">
        <v>0</v>
      </c>
      <c r="N286" t="n">
        <v>0</v>
      </c>
      <c r="O286" t="n">
        <v>0</v>
      </c>
      <c r="P286" t="n">
        <v>0</v>
      </c>
      <c r="Q286" t="n">
        <v>0</v>
      </c>
      <c r="R286" s="2" t="inlineStr"/>
    </row>
    <row r="287" ht="15" customHeight="1">
      <c r="A287" t="inlineStr">
        <is>
          <t>A 1265-2023</t>
        </is>
      </c>
      <c r="B287" s="1" t="n">
        <v>44936</v>
      </c>
      <c r="C287" s="1" t="n">
        <v>45985</v>
      </c>
      <c r="D287" t="inlineStr">
        <is>
          <t>ÖSTERGÖTLANDS LÄN</t>
        </is>
      </c>
      <c r="E287" t="inlineStr">
        <is>
          <t>LINKÖPING</t>
        </is>
      </c>
      <c r="G287" t="n">
        <v>2.3</v>
      </c>
      <c r="H287" t="n">
        <v>0</v>
      </c>
      <c r="I287" t="n">
        <v>0</v>
      </c>
      <c r="J287" t="n">
        <v>0</v>
      </c>
      <c r="K287" t="n">
        <v>0</v>
      </c>
      <c r="L287" t="n">
        <v>0</v>
      </c>
      <c r="M287" t="n">
        <v>0</v>
      </c>
      <c r="N287" t="n">
        <v>0</v>
      </c>
      <c r="O287" t="n">
        <v>0</v>
      </c>
      <c r="P287" t="n">
        <v>0</v>
      </c>
      <c r="Q287" t="n">
        <v>0</v>
      </c>
      <c r="R287" s="2" t="inlineStr"/>
    </row>
    <row r="288" ht="15" customHeight="1">
      <c r="A288" t="inlineStr">
        <is>
          <t>A 1362-2023</t>
        </is>
      </c>
      <c r="B288" s="1" t="n">
        <v>44931</v>
      </c>
      <c r="C288" s="1" t="n">
        <v>45985</v>
      </c>
      <c r="D288" t="inlineStr">
        <is>
          <t>ÖSTERGÖTLANDS LÄN</t>
        </is>
      </c>
      <c r="E288" t="inlineStr">
        <is>
          <t>LINKÖPING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54034-2022</t>
        </is>
      </c>
      <c r="B289" s="1" t="n">
        <v>44881</v>
      </c>
      <c r="C289" s="1" t="n">
        <v>45985</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55493-2021</t>
        </is>
      </c>
      <c r="B290" s="1" t="n">
        <v>44475.61988425926</v>
      </c>
      <c r="C290" s="1" t="n">
        <v>45985</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41511-2025</t>
        </is>
      </c>
      <c r="B291" s="1" t="n">
        <v>45901.53839120371</v>
      </c>
      <c r="C291" s="1" t="n">
        <v>45985</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6054-2022</t>
        </is>
      </c>
      <c r="B292" s="1" t="n">
        <v>44599.53623842593</v>
      </c>
      <c r="C292" s="1" t="n">
        <v>45985</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25119-2023</t>
        </is>
      </c>
      <c r="B293" s="1" t="n">
        <v>45086.42326388889</v>
      </c>
      <c r="C293" s="1" t="n">
        <v>45985</v>
      </c>
      <c r="D293" t="inlineStr">
        <is>
          <t>ÖSTERGÖTLANDS LÄN</t>
        </is>
      </c>
      <c r="E293" t="inlineStr">
        <is>
          <t>LINKÖPING</t>
        </is>
      </c>
      <c r="G293" t="n">
        <v>3.2</v>
      </c>
      <c r="H293" t="n">
        <v>0</v>
      </c>
      <c r="I293" t="n">
        <v>0</v>
      </c>
      <c r="J293" t="n">
        <v>0</v>
      </c>
      <c r="K293" t="n">
        <v>0</v>
      </c>
      <c r="L293" t="n">
        <v>0</v>
      </c>
      <c r="M293" t="n">
        <v>0</v>
      </c>
      <c r="N293" t="n">
        <v>0</v>
      </c>
      <c r="O293" t="n">
        <v>0</v>
      </c>
      <c r="P293" t="n">
        <v>0</v>
      </c>
      <c r="Q293" t="n">
        <v>0</v>
      </c>
      <c r="R293" s="2" t="inlineStr"/>
    </row>
    <row r="294" ht="15" customHeight="1">
      <c r="A294" t="inlineStr">
        <is>
          <t>A 3042-2024</t>
        </is>
      </c>
      <c r="B294" s="1" t="n">
        <v>45316.35028935185</v>
      </c>
      <c r="C294" s="1" t="n">
        <v>45985</v>
      </c>
      <c r="D294" t="inlineStr">
        <is>
          <t>ÖSTERGÖTLANDS LÄN</t>
        </is>
      </c>
      <c r="E294" t="inlineStr">
        <is>
          <t>LINKÖPING</t>
        </is>
      </c>
      <c r="G294" t="n">
        <v>3.1</v>
      </c>
      <c r="H294" t="n">
        <v>0</v>
      </c>
      <c r="I294" t="n">
        <v>0</v>
      </c>
      <c r="J294" t="n">
        <v>0</v>
      </c>
      <c r="K294" t="n">
        <v>0</v>
      </c>
      <c r="L294" t="n">
        <v>0</v>
      </c>
      <c r="M294" t="n">
        <v>0</v>
      </c>
      <c r="N294" t="n">
        <v>0</v>
      </c>
      <c r="O294" t="n">
        <v>0</v>
      </c>
      <c r="P294" t="n">
        <v>0</v>
      </c>
      <c r="Q294" t="n">
        <v>0</v>
      </c>
      <c r="R294" s="2" t="inlineStr"/>
    </row>
    <row r="295" ht="15" customHeight="1">
      <c r="A295" t="inlineStr">
        <is>
          <t>A 4456-2024</t>
        </is>
      </c>
      <c r="B295" s="1" t="n">
        <v>45327.52847222222</v>
      </c>
      <c r="C295" s="1" t="n">
        <v>45985</v>
      </c>
      <c r="D295" t="inlineStr">
        <is>
          <t>ÖSTERGÖTLANDS LÄN</t>
        </is>
      </c>
      <c r="E295" t="inlineStr">
        <is>
          <t>LINKÖPING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29293-2025</t>
        </is>
      </c>
      <c r="B296" s="1" t="n">
        <v>45824</v>
      </c>
      <c r="C296" s="1" t="n">
        <v>45985</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58114-2021</t>
        </is>
      </c>
      <c r="B297" s="1" t="n">
        <v>44487</v>
      </c>
      <c r="C297" s="1" t="n">
        <v>45985</v>
      </c>
      <c r="D297" t="inlineStr">
        <is>
          <t>ÖSTERGÖTLANDS LÄN</t>
        </is>
      </c>
      <c r="E297" t="inlineStr">
        <is>
          <t>LINKÖPING</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52892-2024</t>
        </is>
      </c>
      <c r="B298" s="1" t="n">
        <v>45610</v>
      </c>
      <c r="C298" s="1" t="n">
        <v>45985</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50667-2025</t>
        </is>
      </c>
      <c r="B299" s="1" t="n">
        <v>45945</v>
      </c>
      <c r="C299" s="1" t="n">
        <v>45985</v>
      </c>
      <c r="D299" t="inlineStr">
        <is>
          <t>ÖSTERGÖTLANDS LÄN</t>
        </is>
      </c>
      <c r="E299" t="inlineStr">
        <is>
          <t>LINKÖPING</t>
        </is>
      </c>
      <c r="G299" t="n">
        <v>3.3</v>
      </c>
      <c r="H299" t="n">
        <v>0</v>
      </c>
      <c r="I299" t="n">
        <v>0</v>
      </c>
      <c r="J299" t="n">
        <v>0</v>
      </c>
      <c r="K299" t="n">
        <v>0</v>
      </c>
      <c r="L299" t="n">
        <v>0</v>
      </c>
      <c r="M299" t="n">
        <v>0</v>
      </c>
      <c r="N299" t="n">
        <v>0</v>
      </c>
      <c r="O299" t="n">
        <v>0</v>
      </c>
      <c r="P299" t="n">
        <v>0</v>
      </c>
      <c r="Q299" t="n">
        <v>0</v>
      </c>
      <c r="R299" s="2" t="inlineStr"/>
    </row>
    <row r="300" ht="15" customHeight="1">
      <c r="A300" t="inlineStr">
        <is>
          <t>A 3008-2023</t>
        </is>
      </c>
      <c r="B300" s="1" t="n">
        <v>44945.79784722222</v>
      </c>
      <c r="C300" s="1" t="n">
        <v>45985</v>
      </c>
      <c r="D300" t="inlineStr">
        <is>
          <t>ÖSTERGÖTLANDS LÄN</t>
        </is>
      </c>
      <c r="E300" t="inlineStr">
        <is>
          <t>LINKÖPING</t>
        </is>
      </c>
      <c r="G300" t="n">
        <v>19.3</v>
      </c>
      <c r="H300" t="n">
        <v>0</v>
      </c>
      <c r="I300" t="n">
        <v>0</v>
      </c>
      <c r="J300" t="n">
        <v>0</v>
      </c>
      <c r="K300" t="n">
        <v>0</v>
      </c>
      <c r="L300" t="n">
        <v>0</v>
      </c>
      <c r="M300" t="n">
        <v>0</v>
      </c>
      <c r="N300" t="n">
        <v>0</v>
      </c>
      <c r="O300" t="n">
        <v>0</v>
      </c>
      <c r="P300" t="n">
        <v>0</v>
      </c>
      <c r="Q300" t="n">
        <v>0</v>
      </c>
      <c r="R300" s="2" t="inlineStr"/>
    </row>
    <row r="301" ht="15" customHeight="1">
      <c r="A301" t="inlineStr">
        <is>
          <t>A 55736-2022</t>
        </is>
      </c>
      <c r="B301" s="1" t="n">
        <v>44888</v>
      </c>
      <c r="C301" s="1" t="n">
        <v>45985</v>
      </c>
      <c r="D301" t="inlineStr">
        <is>
          <t>ÖSTERGÖTLANDS LÄN</t>
        </is>
      </c>
      <c r="E301" t="inlineStr">
        <is>
          <t>LINKÖPING</t>
        </is>
      </c>
      <c r="G301" t="n">
        <v>5.5</v>
      </c>
      <c r="H301" t="n">
        <v>0</v>
      </c>
      <c r="I301" t="n">
        <v>0</v>
      </c>
      <c r="J301" t="n">
        <v>0</v>
      </c>
      <c r="K301" t="n">
        <v>0</v>
      </c>
      <c r="L301" t="n">
        <v>0</v>
      </c>
      <c r="M301" t="n">
        <v>0</v>
      </c>
      <c r="N301" t="n">
        <v>0</v>
      </c>
      <c r="O301" t="n">
        <v>0</v>
      </c>
      <c r="P301" t="n">
        <v>0</v>
      </c>
      <c r="Q301" t="n">
        <v>0</v>
      </c>
      <c r="R301" s="2" t="inlineStr"/>
    </row>
    <row r="302" ht="15" customHeight="1">
      <c r="A302" t="inlineStr">
        <is>
          <t>A 42623-2025</t>
        </is>
      </c>
      <c r="B302" s="1" t="n">
        <v>45905</v>
      </c>
      <c r="C302" s="1" t="n">
        <v>45985</v>
      </c>
      <c r="D302" t="inlineStr">
        <is>
          <t>ÖSTERGÖTLANDS LÄN</t>
        </is>
      </c>
      <c r="E302" t="inlineStr">
        <is>
          <t>LINKÖPING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30434-2024</t>
        </is>
      </c>
      <c r="B303" s="1" t="n">
        <v>45491.69811342593</v>
      </c>
      <c r="C303" s="1" t="n">
        <v>45985</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42624-2025</t>
        </is>
      </c>
      <c r="B304" s="1" t="n">
        <v>45905</v>
      </c>
      <c r="C304" s="1" t="n">
        <v>45985</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42626-2025</t>
        </is>
      </c>
      <c r="B305" s="1" t="n">
        <v>45905</v>
      </c>
      <c r="C305" s="1" t="n">
        <v>45985</v>
      </c>
      <c r="D305" t="inlineStr">
        <is>
          <t>ÖSTERGÖTLANDS LÄN</t>
        </is>
      </c>
      <c r="E305" t="inlineStr">
        <is>
          <t>LINKÖPING</t>
        </is>
      </c>
      <c r="G305" t="n">
        <v>3.6</v>
      </c>
      <c r="H305" t="n">
        <v>0</v>
      </c>
      <c r="I305" t="n">
        <v>0</v>
      </c>
      <c r="J305" t="n">
        <v>0</v>
      </c>
      <c r="K305" t="n">
        <v>0</v>
      </c>
      <c r="L305" t="n">
        <v>0</v>
      </c>
      <c r="M305" t="n">
        <v>0</v>
      </c>
      <c r="N305" t="n">
        <v>0</v>
      </c>
      <c r="O305" t="n">
        <v>0</v>
      </c>
      <c r="P305" t="n">
        <v>0</v>
      </c>
      <c r="Q305" t="n">
        <v>0</v>
      </c>
      <c r="R305" s="2" t="inlineStr"/>
    </row>
    <row r="306" ht="15" customHeight="1">
      <c r="A306" t="inlineStr">
        <is>
          <t>A 28200-2025</t>
        </is>
      </c>
      <c r="B306" s="1" t="n">
        <v>45818.4428125</v>
      </c>
      <c r="C306" s="1" t="n">
        <v>45985</v>
      </c>
      <c r="D306" t="inlineStr">
        <is>
          <t>ÖSTERGÖTLANDS LÄN</t>
        </is>
      </c>
      <c r="E306" t="inlineStr">
        <is>
          <t>LINKÖPING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11084-2022</t>
        </is>
      </c>
      <c r="B307" s="1" t="n">
        <v>44628</v>
      </c>
      <c r="C307" s="1" t="n">
        <v>45985</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10253-2022</t>
        </is>
      </c>
      <c r="B308" s="1" t="n">
        <v>44622</v>
      </c>
      <c r="C308" s="1" t="n">
        <v>45985</v>
      </c>
      <c r="D308" t="inlineStr">
        <is>
          <t>ÖSTERGÖTLANDS LÄN</t>
        </is>
      </c>
      <c r="E308" t="inlineStr">
        <is>
          <t>LINKÖPING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57745-2022</t>
        </is>
      </c>
      <c r="B309" s="1" t="n">
        <v>44897.58119212963</v>
      </c>
      <c r="C309" s="1" t="n">
        <v>45985</v>
      </c>
      <c r="D309" t="inlineStr">
        <is>
          <t>ÖSTERGÖTLANDS LÄN</t>
        </is>
      </c>
      <c r="E309" t="inlineStr">
        <is>
          <t>LINKÖPING</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27950-2025</t>
        </is>
      </c>
      <c r="B310" s="1" t="n">
        <v>45817.52960648148</v>
      </c>
      <c r="C310" s="1" t="n">
        <v>45985</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27797-2025</t>
        </is>
      </c>
      <c r="B311" s="1" t="n">
        <v>45816.80521990741</v>
      </c>
      <c r="C311" s="1" t="n">
        <v>45985</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27798-2025</t>
        </is>
      </c>
      <c r="B312" s="1" t="n">
        <v>45816.81532407407</v>
      </c>
      <c r="C312" s="1" t="n">
        <v>45985</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14520-2025</t>
        </is>
      </c>
      <c r="B313" s="1" t="n">
        <v>45741</v>
      </c>
      <c r="C313" s="1" t="n">
        <v>45985</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28209-2025</t>
        </is>
      </c>
      <c r="B314" s="1" t="n">
        <v>45818.45112268518</v>
      </c>
      <c r="C314" s="1" t="n">
        <v>45985</v>
      </c>
      <c r="D314" t="inlineStr">
        <is>
          <t>ÖSTERGÖTLANDS LÄN</t>
        </is>
      </c>
      <c r="E314" t="inlineStr">
        <is>
          <t>LINKÖPING</t>
        </is>
      </c>
      <c r="G314" t="n">
        <v>4.2</v>
      </c>
      <c r="H314" t="n">
        <v>0</v>
      </c>
      <c r="I314" t="n">
        <v>0</v>
      </c>
      <c r="J314" t="n">
        <v>0</v>
      </c>
      <c r="K314" t="n">
        <v>0</v>
      </c>
      <c r="L314" t="n">
        <v>0</v>
      </c>
      <c r="M314" t="n">
        <v>0</v>
      </c>
      <c r="N314" t="n">
        <v>0</v>
      </c>
      <c r="O314" t="n">
        <v>0</v>
      </c>
      <c r="P314" t="n">
        <v>0</v>
      </c>
      <c r="Q314" t="n">
        <v>0</v>
      </c>
      <c r="R314" s="2" t="inlineStr"/>
    </row>
    <row r="315" ht="15" customHeight="1">
      <c r="A315" t="inlineStr">
        <is>
          <t>A 28204-2025</t>
        </is>
      </c>
      <c r="B315" s="1" t="n">
        <v>45818.4477662037</v>
      </c>
      <c r="C315" s="1" t="n">
        <v>45985</v>
      </c>
      <c r="D315" t="inlineStr">
        <is>
          <t>ÖSTERGÖTLANDS LÄN</t>
        </is>
      </c>
      <c r="E315" t="inlineStr">
        <is>
          <t>LINKÖPING</t>
        </is>
      </c>
      <c r="G315" t="n">
        <v>2.9</v>
      </c>
      <c r="H315" t="n">
        <v>0</v>
      </c>
      <c r="I315" t="n">
        <v>0</v>
      </c>
      <c r="J315" t="n">
        <v>0</v>
      </c>
      <c r="K315" t="n">
        <v>0</v>
      </c>
      <c r="L315" t="n">
        <v>0</v>
      </c>
      <c r="M315" t="n">
        <v>0</v>
      </c>
      <c r="N315" t="n">
        <v>0</v>
      </c>
      <c r="O315" t="n">
        <v>0</v>
      </c>
      <c r="P315" t="n">
        <v>0</v>
      </c>
      <c r="Q315" t="n">
        <v>0</v>
      </c>
      <c r="R315" s="2" t="inlineStr"/>
    </row>
    <row r="316" ht="15" customHeight="1">
      <c r="A316" t="inlineStr">
        <is>
          <t>A 28398-2025</t>
        </is>
      </c>
      <c r="B316" s="1" t="n">
        <v>45819.34208333334</v>
      </c>
      <c r="C316" s="1" t="n">
        <v>45985</v>
      </c>
      <c r="D316" t="inlineStr">
        <is>
          <t>ÖSTERGÖTLANDS LÄN</t>
        </is>
      </c>
      <c r="E316" t="inlineStr">
        <is>
          <t>LINKÖPING</t>
        </is>
      </c>
      <c r="F316" t="inlineStr">
        <is>
          <t>Sveaskog</t>
        </is>
      </c>
      <c r="G316" t="n">
        <v>7.9</v>
      </c>
      <c r="H316" t="n">
        <v>0</v>
      </c>
      <c r="I316" t="n">
        <v>0</v>
      </c>
      <c r="J316" t="n">
        <v>0</v>
      </c>
      <c r="K316" t="n">
        <v>0</v>
      </c>
      <c r="L316" t="n">
        <v>0</v>
      </c>
      <c r="M316" t="n">
        <v>0</v>
      </c>
      <c r="N316" t="n">
        <v>0</v>
      </c>
      <c r="O316" t="n">
        <v>0</v>
      </c>
      <c r="P316" t="n">
        <v>0</v>
      </c>
      <c r="Q316" t="n">
        <v>0</v>
      </c>
      <c r="R316" s="2" t="inlineStr"/>
    </row>
    <row r="317" ht="15" customHeight="1">
      <c r="A317" t="inlineStr">
        <is>
          <t>A 56064-2022</t>
        </is>
      </c>
      <c r="B317" s="1" t="n">
        <v>44889.59107638889</v>
      </c>
      <c r="C317" s="1" t="n">
        <v>45985</v>
      </c>
      <c r="D317" t="inlineStr">
        <is>
          <t>ÖSTERGÖTLANDS LÄN</t>
        </is>
      </c>
      <c r="E317" t="inlineStr">
        <is>
          <t>LINKÖPING</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51802-2025</t>
        </is>
      </c>
      <c r="B318" s="1" t="n">
        <v>45950</v>
      </c>
      <c r="C318" s="1" t="n">
        <v>45985</v>
      </c>
      <c r="D318" t="inlineStr">
        <is>
          <t>ÖSTERGÖTLANDS LÄN</t>
        </is>
      </c>
      <c r="E318" t="inlineStr">
        <is>
          <t>LINKÖPING</t>
        </is>
      </c>
      <c r="F318" t="inlineStr">
        <is>
          <t>Övriga Aktiebolag</t>
        </is>
      </c>
      <c r="G318" t="n">
        <v>2</v>
      </c>
      <c r="H318" t="n">
        <v>0</v>
      </c>
      <c r="I318" t="n">
        <v>0</v>
      </c>
      <c r="J318" t="n">
        <v>0</v>
      </c>
      <c r="K318" t="n">
        <v>0</v>
      </c>
      <c r="L318" t="n">
        <v>0</v>
      </c>
      <c r="M318" t="n">
        <v>0</v>
      </c>
      <c r="N318" t="n">
        <v>0</v>
      </c>
      <c r="O318" t="n">
        <v>0</v>
      </c>
      <c r="P318" t="n">
        <v>0</v>
      </c>
      <c r="Q318" t="n">
        <v>0</v>
      </c>
      <c r="R318" s="2" t="inlineStr"/>
    </row>
    <row r="319" ht="15" customHeight="1">
      <c r="A319" t="inlineStr">
        <is>
          <t>A 40502-2024</t>
        </is>
      </c>
      <c r="B319" s="1" t="n">
        <v>45555.57263888889</v>
      </c>
      <c r="C319" s="1" t="n">
        <v>45985</v>
      </c>
      <c r="D319" t="inlineStr">
        <is>
          <t>ÖSTERGÖTLANDS LÄN</t>
        </is>
      </c>
      <c r="E319" t="inlineStr">
        <is>
          <t>LINKÖPING</t>
        </is>
      </c>
      <c r="F319" t="inlineStr">
        <is>
          <t>Allmännings- och besparingsskogar</t>
        </is>
      </c>
      <c r="G319" t="n">
        <v>17.5</v>
      </c>
      <c r="H319" t="n">
        <v>0</v>
      </c>
      <c r="I319" t="n">
        <v>0</v>
      </c>
      <c r="J319" t="n">
        <v>0</v>
      </c>
      <c r="K319" t="n">
        <v>0</v>
      </c>
      <c r="L319" t="n">
        <v>0</v>
      </c>
      <c r="M319" t="n">
        <v>0</v>
      </c>
      <c r="N319" t="n">
        <v>0</v>
      </c>
      <c r="O319" t="n">
        <v>0</v>
      </c>
      <c r="P319" t="n">
        <v>0</v>
      </c>
      <c r="Q319" t="n">
        <v>0</v>
      </c>
      <c r="R319" s="2" t="inlineStr"/>
    </row>
    <row r="320" ht="15" customHeight="1">
      <c r="A320" t="inlineStr">
        <is>
          <t>A 28416-2025</t>
        </is>
      </c>
      <c r="B320" s="1" t="n">
        <v>45819.35346064815</v>
      </c>
      <c r="C320" s="1" t="n">
        <v>45985</v>
      </c>
      <c r="D320" t="inlineStr">
        <is>
          <t>ÖSTERGÖTLANDS LÄN</t>
        </is>
      </c>
      <c r="E320" t="inlineStr">
        <is>
          <t>LINKÖPING</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29027-2025</t>
        </is>
      </c>
      <c r="B321" s="1" t="n">
        <v>45821.4375462963</v>
      </c>
      <c r="C321" s="1" t="n">
        <v>45985</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29393-2025</t>
        </is>
      </c>
      <c r="B322" s="1" t="n">
        <v>45824.6057175926</v>
      </c>
      <c r="C322" s="1" t="n">
        <v>45985</v>
      </c>
      <c r="D322" t="inlineStr">
        <is>
          <t>ÖSTERGÖTLANDS LÄN</t>
        </is>
      </c>
      <c r="E322" t="inlineStr">
        <is>
          <t>LINKÖPING</t>
        </is>
      </c>
      <c r="F322" t="inlineStr">
        <is>
          <t>Sveaskog</t>
        </is>
      </c>
      <c r="G322" t="n">
        <v>24.6</v>
      </c>
      <c r="H322" t="n">
        <v>0</v>
      </c>
      <c r="I322" t="n">
        <v>0</v>
      </c>
      <c r="J322" t="n">
        <v>0</v>
      </c>
      <c r="K322" t="n">
        <v>0</v>
      </c>
      <c r="L322" t="n">
        <v>0</v>
      </c>
      <c r="M322" t="n">
        <v>0</v>
      </c>
      <c r="N322" t="n">
        <v>0</v>
      </c>
      <c r="O322" t="n">
        <v>0</v>
      </c>
      <c r="P322" t="n">
        <v>0</v>
      </c>
      <c r="Q322" t="n">
        <v>0</v>
      </c>
      <c r="R322" s="2" t="inlineStr"/>
    </row>
    <row r="323" ht="15" customHeight="1">
      <c r="A323" t="inlineStr">
        <is>
          <t>A 44155-2024</t>
        </is>
      </c>
      <c r="B323" s="1" t="n">
        <v>45572.68226851852</v>
      </c>
      <c r="C323" s="1" t="n">
        <v>45985</v>
      </c>
      <c r="D323" t="inlineStr">
        <is>
          <t>ÖSTERGÖTLANDS LÄN</t>
        </is>
      </c>
      <c r="E323" t="inlineStr">
        <is>
          <t>LINKÖPING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52111-2025</t>
        </is>
      </c>
      <c r="B324" s="1" t="n">
        <v>45952.69527777778</v>
      </c>
      <c r="C324" s="1" t="n">
        <v>45985</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29411-2025</t>
        </is>
      </c>
      <c r="B325" s="1" t="n">
        <v>45824.6219212963</v>
      </c>
      <c r="C325" s="1" t="n">
        <v>45985</v>
      </c>
      <c r="D325" t="inlineStr">
        <is>
          <t>ÖSTERGÖTLANDS LÄN</t>
        </is>
      </c>
      <c r="E325" t="inlineStr">
        <is>
          <t>LINKÖPING</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42997-2021</t>
        </is>
      </c>
      <c r="B326" s="1" t="n">
        <v>44431.45556712963</v>
      </c>
      <c r="C326" s="1" t="n">
        <v>45985</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29599-2025</t>
        </is>
      </c>
      <c r="B327" s="1" t="n">
        <v>45825.41101851852</v>
      </c>
      <c r="C327" s="1" t="n">
        <v>45985</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43755-2025</t>
        </is>
      </c>
      <c r="B328" s="1" t="n">
        <v>45912.47329861111</v>
      </c>
      <c r="C328" s="1" t="n">
        <v>45985</v>
      </c>
      <c r="D328" t="inlineStr">
        <is>
          <t>ÖSTERGÖTLANDS LÄN</t>
        </is>
      </c>
      <c r="E328" t="inlineStr">
        <is>
          <t>LINKÖPING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30355-2025</t>
        </is>
      </c>
      <c r="B329" s="1" t="n">
        <v>45827</v>
      </c>
      <c r="C329" s="1" t="n">
        <v>45985</v>
      </c>
      <c r="D329" t="inlineStr">
        <is>
          <t>ÖSTERGÖTLANDS LÄN</t>
        </is>
      </c>
      <c r="E329" t="inlineStr">
        <is>
          <t>LINKÖPING</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30353-2025</t>
        </is>
      </c>
      <c r="B330" s="1" t="n">
        <v>45827</v>
      </c>
      <c r="C330" s="1" t="n">
        <v>45985</v>
      </c>
      <c r="D330" t="inlineStr">
        <is>
          <t>ÖSTERGÖTLANDS LÄN</t>
        </is>
      </c>
      <c r="E330" t="inlineStr">
        <is>
          <t>LINKÖPING</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43753-2025</t>
        </is>
      </c>
      <c r="B331" s="1" t="n">
        <v>45912.4715625</v>
      </c>
      <c r="C331" s="1" t="n">
        <v>45985</v>
      </c>
      <c r="D331" t="inlineStr">
        <is>
          <t>ÖSTERGÖTLANDS LÄN</t>
        </is>
      </c>
      <c r="E331" t="inlineStr">
        <is>
          <t>LINKÖPING</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43758-2025</t>
        </is>
      </c>
      <c r="B332" s="1" t="n">
        <v>45912.47711805555</v>
      </c>
      <c r="C332" s="1" t="n">
        <v>45985</v>
      </c>
      <c r="D332" t="inlineStr">
        <is>
          <t>ÖSTERGÖTLANDS LÄN</t>
        </is>
      </c>
      <c r="E332" t="inlineStr">
        <is>
          <t>LINKÖPING</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44170-2025</t>
        </is>
      </c>
      <c r="B333" s="1" t="n">
        <v>45915.59864583334</v>
      </c>
      <c r="C333" s="1" t="n">
        <v>45985</v>
      </c>
      <c r="D333" t="inlineStr">
        <is>
          <t>ÖSTERGÖTLANDS LÄN</t>
        </is>
      </c>
      <c r="E333" t="inlineStr">
        <is>
          <t>LINKÖPING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14028-2024</t>
        </is>
      </c>
      <c r="B334" s="1" t="n">
        <v>45392</v>
      </c>
      <c r="C334" s="1" t="n">
        <v>45985</v>
      </c>
      <c r="D334" t="inlineStr">
        <is>
          <t>ÖSTERGÖTLANDS LÄN</t>
        </is>
      </c>
      <c r="E334" t="inlineStr">
        <is>
          <t>LINKÖPING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52743-2025</t>
        </is>
      </c>
      <c r="B335" s="1" t="n">
        <v>45957.38039351852</v>
      </c>
      <c r="C335" s="1" t="n">
        <v>45985</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52807-2025</t>
        </is>
      </c>
      <c r="B336" s="1" t="n">
        <v>45957.44837962963</v>
      </c>
      <c r="C336" s="1" t="n">
        <v>45985</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14667-2024</t>
        </is>
      </c>
      <c r="B337" s="1" t="n">
        <v>45397.42005787037</v>
      </c>
      <c r="C337" s="1" t="n">
        <v>45985</v>
      </c>
      <c r="D337" t="inlineStr">
        <is>
          <t>ÖSTERGÖTLANDS LÄN</t>
        </is>
      </c>
      <c r="E337" t="inlineStr">
        <is>
          <t>LINKÖPING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2697-2023</t>
        </is>
      </c>
      <c r="B338" s="1" t="n">
        <v>44944</v>
      </c>
      <c r="C338" s="1" t="n">
        <v>45985</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52800-2025</t>
        </is>
      </c>
      <c r="B339" s="1" t="n">
        <v>45957.44152777778</v>
      </c>
      <c r="C339" s="1" t="n">
        <v>45985</v>
      </c>
      <c r="D339" t="inlineStr">
        <is>
          <t>ÖSTERGÖTLANDS LÄN</t>
        </is>
      </c>
      <c r="E339" t="inlineStr">
        <is>
          <t>LINKÖPING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31581-2025</t>
        </is>
      </c>
      <c r="B340" s="1" t="n">
        <v>45833.6840162037</v>
      </c>
      <c r="C340" s="1" t="n">
        <v>45985</v>
      </c>
      <c r="D340" t="inlineStr">
        <is>
          <t>ÖSTERGÖTLANDS LÄN</t>
        </is>
      </c>
      <c r="E340" t="inlineStr">
        <is>
          <t>LINKÖPING</t>
        </is>
      </c>
      <c r="G340" t="n">
        <v>2.6</v>
      </c>
      <c r="H340" t="n">
        <v>0</v>
      </c>
      <c r="I340" t="n">
        <v>0</v>
      </c>
      <c r="J340" t="n">
        <v>0</v>
      </c>
      <c r="K340" t="n">
        <v>0</v>
      </c>
      <c r="L340" t="n">
        <v>0</v>
      </c>
      <c r="M340" t="n">
        <v>0</v>
      </c>
      <c r="N340" t="n">
        <v>0</v>
      </c>
      <c r="O340" t="n">
        <v>0</v>
      </c>
      <c r="P340" t="n">
        <v>0</v>
      </c>
      <c r="Q340" t="n">
        <v>0</v>
      </c>
      <c r="R340" s="2" t="inlineStr"/>
    </row>
    <row r="341" ht="15" customHeight="1">
      <c r="A341" t="inlineStr">
        <is>
          <t>A 31585-2025</t>
        </is>
      </c>
      <c r="B341" s="1" t="n">
        <v>45833.68815972222</v>
      </c>
      <c r="C341" s="1" t="n">
        <v>45985</v>
      </c>
      <c r="D341" t="inlineStr">
        <is>
          <t>ÖSTERGÖTLANDS LÄN</t>
        </is>
      </c>
      <c r="E341" t="inlineStr">
        <is>
          <t>LINKÖPING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53641-2023</t>
        </is>
      </c>
      <c r="B342" s="1" t="n">
        <v>45230</v>
      </c>
      <c r="C342" s="1" t="n">
        <v>45985</v>
      </c>
      <c r="D342" t="inlineStr">
        <is>
          <t>ÖSTERGÖTLANDS LÄN</t>
        </is>
      </c>
      <c r="E342" t="inlineStr">
        <is>
          <t>LINKÖPING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48707-2023</t>
        </is>
      </c>
      <c r="B343" s="1" t="n">
        <v>45202</v>
      </c>
      <c r="C343" s="1" t="n">
        <v>45985</v>
      </c>
      <c r="D343" t="inlineStr">
        <is>
          <t>ÖSTERGÖTLANDS LÄN</t>
        </is>
      </c>
      <c r="E343" t="inlineStr">
        <is>
          <t>LINKÖPING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53411-2023</t>
        </is>
      </c>
      <c r="B344" s="1" t="n">
        <v>45229.81049768518</v>
      </c>
      <c r="C344" s="1" t="n">
        <v>45985</v>
      </c>
      <c r="D344" t="inlineStr">
        <is>
          <t>ÖSTERGÖTLANDS LÄN</t>
        </is>
      </c>
      <c r="E344" t="inlineStr">
        <is>
          <t>LINKÖPING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56741-2023</t>
        </is>
      </c>
      <c r="B345" s="1" t="n">
        <v>45244</v>
      </c>
      <c r="C345" s="1" t="n">
        <v>45985</v>
      </c>
      <c r="D345" t="inlineStr">
        <is>
          <t>ÖSTERGÖTLANDS LÄN</t>
        </is>
      </c>
      <c r="E345" t="inlineStr">
        <is>
          <t>LINKÖPING</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56792-2023</t>
        </is>
      </c>
      <c r="B346" s="1" t="n">
        <v>45244</v>
      </c>
      <c r="C346" s="1" t="n">
        <v>45985</v>
      </c>
      <c r="D346" t="inlineStr">
        <is>
          <t>ÖSTERGÖTLANDS LÄN</t>
        </is>
      </c>
      <c r="E346" t="inlineStr">
        <is>
          <t>LINKÖPING</t>
        </is>
      </c>
      <c r="F346" t="inlineStr">
        <is>
          <t>Övriga Aktiebolag</t>
        </is>
      </c>
      <c r="G346" t="n">
        <v>0.9</v>
      </c>
      <c r="H346" t="n">
        <v>0</v>
      </c>
      <c r="I346" t="n">
        <v>0</v>
      </c>
      <c r="J346" t="n">
        <v>0</v>
      </c>
      <c r="K346" t="n">
        <v>0</v>
      </c>
      <c r="L346" t="n">
        <v>0</v>
      </c>
      <c r="M346" t="n">
        <v>0</v>
      </c>
      <c r="N346" t="n">
        <v>0</v>
      </c>
      <c r="O346" t="n">
        <v>0</v>
      </c>
      <c r="P346" t="n">
        <v>0</v>
      </c>
      <c r="Q346" t="n">
        <v>0</v>
      </c>
      <c r="R346" s="2" t="inlineStr"/>
    </row>
    <row r="347" ht="15" customHeight="1">
      <c r="A347" t="inlineStr">
        <is>
          <t>A 52802-2025</t>
        </is>
      </c>
      <c r="B347" s="1" t="n">
        <v>45957.44295138889</v>
      </c>
      <c r="C347" s="1" t="n">
        <v>45985</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32723-2025</t>
        </is>
      </c>
      <c r="B348" s="1" t="n">
        <v>45838</v>
      </c>
      <c r="C348" s="1" t="n">
        <v>45985</v>
      </c>
      <c r="D348" t="inlineStr">
        <is>
          <t>ÖSTERGÖTLANDS LÄN</t>
        </is>
      </c>
      <c r="E348" t="inlineStr">
        <is>
          <t>LINKÖPING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3007-2023</t>
        </is>
      </c>
      <c r="B349" s="1" t="n">
        <v>44945</v>
      </c>
      <c r="C349" s="1" t="n">
        <v>45985</v>
      </c>
      <c r="D349" t="inlineStr">
        <is>
          <t>ÖSTERGÖTLANDS LÄN</t>
        </is>
      </c>
      <c r="E349" t="inlineStr">
        <is>
          <t>LINKÖPING</t>
        </is>
      </c>
      <c r="G349" t="n">
        <v>2.6</v>
      </c>
      <c r="H349" t="n">
        <v>0</v>
      </c>
      <c r="I349" t="n">
        <v>0</v>
      </c>
      <c r="J349" t="n">
        <v>0</v>
      </c>
      <c r="K349" t="n">
        <v>0</v>
      </c>
      <c r="L349" t="n">
        <v>0</v>
      </c>
      <c r="M349" t="n">
        <v>0</v>
      </c>
      <c r="N349" t="n">
        <v>0</v>
      </c>
      <c r="O349" t="n">
        <v>0</v>
      </c>
      <c r="P349" t="n">
        <v>0</v>
      </c>
      <c r="Q349" t="n">
        <v>0</v>
      </c>
      <c r="R349" s="2" t="inlineStr"/>
    </row>
    <row r="350" ht="15" customHeight="1">
      <c r="A350" t="inlineStr">
        <is>
          <t>A 40338-2024</t>
        </is>
      </c>
      <c r="B350" s="1" t="n">
        <v>45555.32940972222</v>
      </c>
      <c r="C350" s="1" t="n">
        <v>45985</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3013-2023</t>
        </is>
      </c>
      <c r="B351" s="1" t="n">
        <v>44945.8092824074</v>
      </c>
      <c r="C351" s="1" t="n">
        <v>45985</v>
      </c>
      <c r="D351" t="inlineStr">
        <is>
          <t>ÖSTERGÖTLANDS LÄN</t>
        </is>
      </c>
      <c r="E351" t="inlineStr">
        <is>
          <t>LINKÖPING</t>
        </is>
      </c>
      <c r="G351" t="n">
        <v>5.2</v>
      </c>
      <c r="H351" t="n">
        <v>0</v>
      </c>
      <c r="I351" t="n">
        <v>0</v>
      </c>
      <c r="J351" t="n">
        <v>0</v>
      </c>
      <c r="K351" t="n">
        <v>0</v>
      </c>
      <c r="L351" t="n">
        <v>0</v>
      </c>
      <c r="M351" t="n">
        <v>0</v>
      </c>
      <c r="N351" t="n">
        <v>0</v>
      </c>
      <c r="O351" t="n">
        <v>0</v>
      </c>
      <c r="P351" t="n">
        <v>0</v>
      </c>
      <c r="Q351" t="n">
        <v>0</v>
      </c>
      <c r="R351" s="2" t="inlineStr"/>
    </row>
    <row r="352" ht="15" customHeight="1">
      <c r="A352" t="inlineStr">
        <is>
          <t>A 55945-2024</t>
        </is>
      </c>
      <c r="B352" s="1" t="n">
        <v>45623.61754629629</v>
      </c>
      <c r="C352" s="1" t="n">
        <v>45985</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1993-2023</t>
        </is>
      </c>
      <c r="B353" s="1" t="n">
        <v>44939</v>
      </c>
      <c r="C353" s="1" t="n">
        <v>45985</v>
      </c>
      <c r="D353" t="inlineStr">
        <is>
          <t>ÖSTERGÖTLANDS LÄN</t>
        </is>
      </c>
      <c r="E353" t="inlineStr">
        <is>
          <t>LINKÖPING</t>
        </is>
      </c>
      <c r="G353" t="n">
        <v>3.7</v>
      </c>
      <c r="H353" t="n">
        <v>0</v>
      </c>
      <c r="I353" t="n">
        <v>0</v>
      </c>
      <c r="J353" t="n">
        <v>0</v>
      </c>
      <c r="K353" t="n">
        <v>0</v>
      </c>
      <c r="L353" t="n">
        <v>0</v>
      </c>
      <c r="M353" t="n">
        <v>0</v>
      </c>
      <c r="N353" t="n">
        <v>0</v>
      </c>
      <c r="O353" t="n">
        <v>0</v>
      </c>
      <c r="P353" t="n">
        <v>0</v>
      </c>
      <c r="Q353" t="n">
        <v>0</v>
      </c>
      <c r="R353" s="2" t="inlineStr"/>
    </row>
    <row r="354" ht="15" customHeight="1">
      <c r="A354" t="inlineStr">
        <is>
          <t>A 2618-2023</t>
        </is>
      </c>
      <c r="B354" s="1" t="n">
        <v>44944.35847222222</v>
      </c>
      <c r="C354" s="1" t="n">
        <v>45985</v>
      </c>
      <c r="D354" t="inlineStr">
        <is>
          <t>ÖSTERGÖTLANDS LÄN</t>
        </is>
      </c>
      <c r="E354" t="inlineStr">
        <is>
          <t>LINKÖPING</t>
        </is>
      </c>
      <c r="G354" t="n">
        <v>4.3</v>
      </c>
      <c r="H354" t="n">
        <v>0</v>
      </c>
      <c r="I354" t="n">
        <v>0</v>
      </c>
      <c r="J354" t="n">
        <v>0</v>
      </c>
      <c r="K354" t="n">
        <v>0</v>
      </c>
      <c r="L354" t="n">
        <v>0</v>
      </c>
      <c r="M354" t="n">
        <v>0</v>
      </c>
      <c r="N354" t="n">
        <v>0</v>
      </c>
      <c r="O354" t="n">
        <v>0</v>
      </c>
      <c r="P354" t="n">
        <v>0</v>
      </c>
      <c r="Q354" t="n">
        <v>0</v>
      </c>
      <c r="R354" s="2" t="inlineStr"/>
    </row>
    <row r="355" ht="15" customHeight="1">
      <c r="A355" t="inlineStr">
        <is>
          <t>A 10203-2023</t>
        </is>
      </c>
      <c r="B355" s="1" t="n">
        <v>44986.55711805556</v>
      </c>
      <c r="C355" s="1" t="n">
        <v>45985</v>
      </c>
      <c r="D355" t="inlineStr">
        <is>
          <t>ÖSTERGÖTLANDS LÄN</t>
        </is>
      </c>
      <c r="E355" t="inlineStr">
        <is>
          <t>LINKÖPING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44759-2025</t>
        </is>
      </c>
      <c r="B356" s="1" t="n">
        <v>45917.7152662037</v>
      </c>
      <c r="C356" s="1" t="n">
        <v>45985</v>
      </c>
      <c r="D356" t="inlineStr">
        <is>
          <t>ÖSTERGÖTLANDS LÄN</t>
        </is>
      </c>
      <c r="E356" t="inlineStr">
        <is>
          <t>LINKÖPING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44764-2025</t>
        </is>
      </c>
      <c r="B357" s="1" t="n">
        <v>45917.72821759259</v>
      </c>
      <c r="C357" s="1" t="n">
        <v>45985</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34889-2023</t>
        </is>
      </c>
      <c r="B358" s="1" t="n">
        <v>45140</v>
      </c>
      <c r="C358" s="1" t="n">
        <v>45985</v>
      </c>
      <c r="D358" t="inlineStr">
        <is>
          <t>ÖSTERGÖTLANDS LÄN</t>
        </is>
      </c>
      <c r="E358" t="inlineStr">
        <is>
          <t>LINKÖPING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34928-2023</t>
        </is>
      </c>
      <c r="B359" s="1" t="n">
        <v>45142</v>
      </c>
      <c r="C359" s="1" t="n">
        <v>45985</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1268-2023</t>
        </is>
      </c>
      <c r="B360" s="1" t="n">
        <v>44936</v>
      </c>
      <c r="C360" s="1" t="n">
        <v>45985</v>
      </c>
      <c r="D360" t="inlineStr">
        <is>
          <t>ÖSTERGÖTLANDS LÄN</t>
        </is>
      </c>
      <c r="E360" t="inlineStr">
        <is>
          <t>LINKÖPING</t>
        </is>
      </c>
      <c r="G360" t="n">
        <v>4.6</v>
      </c>
      <c r="H360" t="n">
        <v>0</v>
      </c>
      <c r="I360" t="n">
        <v>0</v>
      </c>
      <c r="J360" t="n">
        <v>0</v>
      </c>
      <c r="K360" t="n">
        <v>0</v>
      </c>
      <c r="L360" t="n">
        <v>0</v>
      </c>
      <c r="M360" t="n">
        <v>0</v>
      </c>
      <c r="N360" t="n">
        <v>0</v>
      </c>
      <c r="O360" t="n">
        <v>0</v>
      </c>
      <c r="P360" t="n">
        <v>0</v>
      </c>
      <c r="Q360" t="n">
        <v>0</v>
      </c>
      <c r="R360" s="2" t="inlineStr"/>
    </row>
    <row r="361" ht="15" customHeight="1">
      <c r="A361" t="inlineStr">
        <is>
          <t>A 5314-2021</t>
        </is>
      </c>
      <c r="B361" s="1" t="n">
        <v>44229</v>
      </c>
      <c r="C361" s="1" t="n">
        <v>45985</v>
      </c>
      <c r="D361" t="inlineStr">
        <is>
          <t>ÖSTERGÖTLANDS LÄN</t>
        </is>
      </c>
      <c r="E361" t="inlineStr">
        <is>
          <t>LINKÖPING</t>
        </is>
      </c>
      <c r="G361" t="n">
        <v>6.2</v>
      </c>
      <c r="H361" t="n">
        <v>0</v>
      </c>
      <c r="I361" t="n">
        <v>0</v>
      </c>
      <c r="J361" t="n">
        <v>0</v>
      </c>
      <c r="K361" t="n">
        <v>0</v>
      </c>
      <c r="L361" t="n">
        <v>0</v>
      </c>
      <c r="M361" t="n">
        <v>0</v>
      </c>
      <c r="N361" t="n">
        <v>0</v>
      </c>
      <c r="O361" t="n">
        <v>0</v>
      </c>
      <c r="P361" t="n">
        <v>0</v>
      </c>
      <c r="Q361" t="n">
        <v>0</v>
      </c>
      <c r="R361" s="2" t="inlineStr"/>
    </row>
    <row r="362" ht="15" customHeight="1">
      <c r="A362" t="inlineStr">
        <is>
          <t>A 49747-2024</t>
        </is>
      </c>
      <c r="B362" s="1" t="n">
        <v>45596</v>
      </c>
      <c r="C362" s="1" t="n">
        <v>45985</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33947-2025</t>
        </is>
      </c>
      <c r="B363" s="1" t="n">
        <v>45842.65444444444</v>
      </c>
      <c r="C363" s="1" t="n">
        <v>45985</v>
      </c>
      <c r="D363" t="inlineStr">
        <is>
          <t>ÖSTERGÖTLANDS LÄN</t>
        </is>
      </c>
      <c r="E363" t="inlineStr">
        <is>
          <t>LINKÖPING</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31725-2022</t>
        </is>
      </c>
      <c r="B364" s="1" t="n">
        <v>44776.48541666667</v>
      </c>
      <c r="C364" s="1" t="n">
        <v>45985</v>
      </c>
      <c r="D364" t="inlineStr">
        <is>
          <t>ÖSTERGÖTLANDS LÄN</t>
        </is>
      </c>
      <c r="E364" t="inlineStr">
        <is>
          <t>LINKÖPING</t>
        </is>
      </c>
      <c r="G364" t="n">
        <v>2.6</v>
      </c>
      <c r="H364" t="n">
        <v>0</v>
      </c>
      <c r="I364" t="n">
        <v>0</v>
      </c>
      <c r="J364" t="n">
        <v>0</v>
      </c>
      <c r="K364" t="n">
        <v>0</v>
      </c>
      <c r="L364" t="n">
        <v>0</v>
      </c>
      <c r="M364" t="n">
        <v>0</v>
      </c>
      <c r="N364" t="n">
        <v>0</v>
      </c>
      <c r="O364" t="n">
        <v>0</v>
      </c>
      <c r="P364" t="n">
        <v>0</v>
      </c>
      <c r="Q364" t="n">
        <v>0</v>
      </c>
      <c r="R364" s="2" t="inlineStr"/>
    </row>
    <row r="365" ht="15" customHeight="1">
      <c r="A365" t="inlineStr">
        <is>
          <t>A 45112-2025</t>
        </is>
      </c>
      <c r="B365" s="1" t="n">
        <v>45919</v>
      </c>
      <c r="C365" s="1" t="n">
        <v>45985</v>
      </c>
      <c r="D365" t="inlineStr">
        <is>
          <t>ÖSTERGÖTLANDS LÄN</t>
        </is>
      </c>
      <c r="E365" t="inlineStr">
        <is>
          <t>LINKÖPING</t>
        </is>
      </c>
      <c r="G365" t="n">
        <v>3.5</v>
      </c>
      <c r="H365" t="n">
        <v>0</v>
      </c>
      <c r="I365" t="n">
        <v>0</v>
      </c>
      <c r="J365" t="n">
        <v>0</v>
      </c>
      <c r="K365" t="n">
        <v>0</v>
      </c>
      <c r="L365" t="n">
        <v>0</v>
      </c>
      <c r="M365" t="n">
        <v>0</v>
      </c>
      <c r="N365" t="n">
        <v>0</v>
      </c>
      <c r="O365" t="n">
        <v>0</v>
      </c>
      <c r="P365" t="n">
        <v>0</v>
      </c>
      <c r="Q365" t="n">
        <v>0</v>
      </c>
      <c r="R365" s="2" t="inlineStr"/>
    </row>
    <row r="366" ht="15" customHeight="1">
      <c r="A366" t="inlineStr">
        <is>
          <t>A 62012-2024</t>
        </is>
      </c>
      <c r="B366" s="1" t="n">
        <v>45655.79679398148</v>
      </c>
      <c r="C366" s="1" t="n">
        <v>45985</v>
      </c>
      <c r="D366" t="inlineStr">
        <is>
          <t>ÖSTERGÖTLANDS LÄN</t>
        </is>
      </c>
      <c r="E366" t="inlineStr">
        <is>
          <t>LINKÖPING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50056-2025</t>
        </is>
      </c>
      <c r="B367" s="1" t="n">
        <v>45941</v>
      </c>
      <c r="C367" s="1" t="n">
        <v>45985</v>
      </c>
      <c r="D367" t="inlineStr">
        <is>
          <t>ÖSTERGÖTLANDS LÄN</t>
        </is>
      </c>
      <c r="E367" t="inlineStr">
        <is>
          <t>LINKÖPING</t>
        </is>
      </c>
      <c r="G367" t="n">
        <v>0.3</v>
      </c>
      <c r="H367" t="n">
        <v>0</v>
      </c>
      <c r="I367" t="n">
        <v>0</v>
      </c>
      <c r="J367" t="n">
        <v>0</v>
      </c>
      <c r="K367" t="n">
        <v>0</v>
      </c>
      <c r="L367" t="n">
        <v>0</v>
      </c>
      <c r="M367" t="n">
        <v>0</v>
      </c>
      <c r="N367" t="n">
        <v>0</v>
      </c>
      <c r="O367" t="n">
        <v>0</v>
      </c>
      <c r="P367" t="n">
        <v>0</v>
      </c>
      <c r="Q367" t="n">
        <v>0</v>
      </c>
      <c r="R367" s="2" t="inlineStr"/>
    </row>
    <row r="368" ht="15" customHeight="1">
      <c r="A368" t="inlineStr">
        <is>
          <t>A 2389-2023</t>
        </is>
      </c>
      <c r="B368" s="1" t="n">
        <v>44942</v>
      </c>
      <c r="C368" s="1" t="n">
        <v>45985</v>
      </c>
      <c r="D368" t="inlineStr">
        <is>
          <t>ÖSTERGÖTLANDS LÄN</t>
        </is>
      </c>
      <c r="E368" t="inlineStr">
        <is>
          <t>LINKÖPING</t>
        </is>
      </c>
      <c r="G368" t="n">
        <v>3.3</v>
      </c>
      <c r="H368" t="n">
        <v>0</v>
      </c>
      <c r="I368" t="n">
        <v>0</v>
      </c>
      <c r="J368" t="n">
        <v>0</v>
      </c>
      <c r="K368" t="n">
        <v>0</v>
      </c>
      <c r="L368" t="n">
        <v>0</v>
      </c>
      <c r="M368" t="n">
        <v>0</v>
      </c>
      <c r="N368" t="n">
        <v>0</v>
      </c>
      <c r="O368" t="n">
        <v>0</v>
      </c>
      <c r="P368" t="n">
        <v>0</v>
      </c>
      <c r="Q368" t="n">
        <v>0</v>
      </c>
      <c r="R368" s="2" t="inlineStr"/>
    </row>
    <row r="369" ht="15" customHeight="1">
      <c r="A369" t="inlineStr">
        <is>
          <t>A 3627-2023</t>
        </is>
      </c>
      <c r="B369" s="1" t="n">
        <v>44950.64782407408</v>
      </c>
      <c r="C369" s="1" t="n">
        <v>45985</v>
      </c>
      <c r="D369" t="inlineStr">
        <is>
          <t>ÖSTERGÖTLANDS LÄN</t>
        </is>
      </c>
      <c r="E369" t="inlineStr">
        <is>
          <t>LINKÖPING</t>
        </is>
      </c>
      <c r="G369" t="n">
        <v>3.1</v>
      </c>
      <c r="H369" t="n">
        <v>0</v>
      </c>
      <c r="I369" t="n">
        <v>0</v>
      </c>
      <c r="J369" t="n">
        <v>0</v>
      </c>
      <c r="K369" t="n">
        <v>0</v>
      </c>
      <c r="L369" t="n">
        <v>0</v>
      </c>
      <c r="M369" t="n">
        <v>0</v>
      </c>
      <c r="N369" t="n">
        <v>0</v>
      </c>
      <c r="O369" t="n">
        <v>0</v>
      </c>
      <c r="P369" t="n">
        <v>0</v>
      </c>
      <c r="Q369" t="n">
        <v>0</v>
      </c>
      <c r="R369" s="2" t="inlineStr"/>
    </row>
    <row r="370" ht="15" customHeight="1">
      <c r="A370" t="inlineStr">
        <is>
          <t>A 62687-2023</t>
        </is>
      </c>
      <c r="B370" s="1" t="n">
        <v>45271</v>
      </c>
      <c r="C370" s="1" t="n">
        <v>45985</v>
      </c>
      <c r="D370" t="inlineStr">
        <is>
          <t>ÖSTERGÖTLANDS LÄN</t>
        </is>
      </c>
      <c r="E370" t="inlineStr">
        <is>
          <t>LINKÖPING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53529-2024</t>
        </is>
      </c>
      <c r="B371" s="1" t="n">
        <v>45614</v>
      </c>
      <c r="C371" s="1" t="n">
        <v>45985</v>
      </c>
      <c r="D371" t="inlineStr">
        <is>
          <t>ÖSTERGÖTLANDS LÄN</t>
        </is>
      </c>
      <c r="E371" t="inlineStr">
        <is>
          <t>LINKÖPING</t>
        </is>
      </c>
      <c r="G371" t="n">
        <v>6.7</v>
      </c>
      <c r="H371" t="n">
        <v>0</v>
      </c>
      <c r="I371" t="n">
        <v>0</v>
      </c>
      <c r="J371" t="n">
        <v>0</v>
      </c>
      <c r="K371" t="n">
        <v>0</v>
      </c>
      <c r="L371" t="n">
        <v>0</v>
      </c>
      <c r="M371" t="n">
        <v>0</v>
      </c>
      <c r="N371" t="n">
        <v>0</v>
      </c>
      <c r="O371" t="n">
        <v>0</v>
      </c>
      <c r="P371" t="n">
        <v>0</v>
      </c>
      <c r="Q371" t="n">
        <v>0</v>
      </c>
      <c r="R371" s="2" t="inlineStr"/>
    </row>
    <row r="372" ht="15" customHeight="1">
      <c r="A372" t="inlineStr">
        <is>
          <t>A 20469-2025</t>
        </is>
      </c>
      <c r="B372" s="1" t="n">
        <v>45775</v>
      </c>
      <c r="C372" s="1" t="n">
        <v>45985</v>
      </c>
      <c r="D372" t="inlineStr">
        <is>
          <t>ÖSTERGÖTLANDS LÄN</t>
        </is>
      </c>
      <c r="E372" t="inlineStr">
        <is>
          <t>LINKÖPING</t>
        </is>
      </c>
      <c r="F372" t="inlineStr">
        <is>
          <t>Kyrkan</t>
        </is>
      </c>
      <c r="G372" t="n">
        <v>6.1</v>
      </c>
      <c r="H372" t="n">
        <v>0</v>
      </c>
      <c r="I372" t="n">
        <v>0</v>
      </c>
      <c r="J372" t="n">
        <v>0</v>
      </c>
      <c r="K372" t="n">
        <v>0</v>
      </c>
      <c r="L372" t="n">
        <v>0</v>
      </c>
      <c r="M372" t="n">
        <v>0</v>
      </c>
      <c r="N372" t="n">
        <v>0</v>
      </c>
      <c r="O372" t="n">
        <v>0</v>
      </c>
      <c r="P372" t="n">
        <v>0</v>
      </c>
      <c r="Q372" t="n">
        <v>0</v>
      </c>
      <c r="R372" s="2" t="inlineStr"/>
    </row>
    <row r="373" ht="15" customHeight="1">
      <c r="A373" t="inlineStr">
        <is>
          <t>A 18891-2022</t>
        </is>
      </c>
      <c r="B373" s="1" t="n">
        <v>44690</v>
      </c>
      <c r="C373" s="1" t="n">
        <v>45985</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54333-2025</t>
        </is>
      </c>
      <c r="B374" s="1" t="n">
        <v>45965.35090277778</v>
      </c>
      <c r="C374" s="1" t="n">
        <v>45985</v>
      </c>
      <c r="D374" t="inlineStr">
        <is>
          <t>ÖSTERGÖTLANDS LÄN</t>
        </is>
      </c>
      <c r="E374" t="inlineStr">
        <is>
          <t>LINKÖPING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45634-2025</t>
        </is>
      </c>
      <c r="B375" s="1" t="n">
        <v>45922.85089120371</v>
      </c>
      <c r="C375" s="1" t="n">
        <v>45985</v>
      </c>
      <c r="D375" t="inlineStr">
        <is>
          <t>ÖSTERGÖTLANDS LÄN</t>
        </is>
      </c>
      <c r="E375" t="inlineStr">
        <is>
          <t>LINKÖPING</t>
        </is>
      </c>
      <c r="F375" t="inlineStr">
        <is>
          <t>Övriga Aktiebolag</t>
        </is>
      </c>
      <c r="G375" t="n">
        <v>0.3</v>
      </c>
      <c r="H375" t="n">
        <v>0</v>
      </c>
      <c r="I375" t="n">
        <v>0</v>
      </c>
      <c r="J375" t="n">
        <v>0</v>
      </c>
      <c r="K375" t="n">
        <v>0</v>
      </c>
      <c r="L375" t="n">
        <v>0</v>
      </c>
      <c r="M375" t="n">
        <v>0</v>
      </c>
      <c r="N375" t="n">
        <v>0</v>
      </c>
      <c r="O375" t="n">
        <v>0</v>
      </c>
      <c r="P375" t="n">
        <v>0</v>
      </c>
      <c r="Q375" t="n">
        <v>0</v>
      </c>
      <c r="R375" s="2" t="inlineStr"/>
    </row>
    <row r="376" ht="15" customHeight="1">
      <c r="A376" t="inlineStr">
        <is>
          <t>A 45792-2025</t>
        </is>
      </c>
      <c r="B376" s="1" t="n">
        <v>45923.56998842592</v>
      </c>
      <c r="C376" s="1" t="n">
        <v>45985</v>
      </c>
      <c r="D376" t="inlineStr">
        <is>
          <t>ÖSTERGÖTLANDS LÄN</t>
        </is>
      </c>
      <c r="E376" t="inlineStr">
        <is>
          <t>LINKÖPING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26620-2023</t>
        </is>
      </c>
      <c r="B377" s="1" t="n">
        <v>45092.70390046296</v>
      </c>
      <c r="C377" s="1" t="n">
        <v>45985</v>
      </c>
      <c r="D377" t="inlineStr">
        <is>
          <t>ÖSTERGÖTLANDS LÄN</t>
        </is>
      </c>
      <c r="E377" t="inlineStr">
        <is>
          <t>LINKÖPING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45804-2025</t>
        </is>
      </c>
      <c r="B378" s="1" t="n">
        <v>45923.5819675926</v>
      </c>
      <c r="C378" s="1" t="n">
        <v>45985</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33800-2023</t>
        </is>
      </c>
      <c r="B379" s="1" t="n">
        <v>45121</v>
      </c>
      <c r="C379" s="1" t="n">
        <v>45985</v>
      </c>
      <c r="D379" t="inlineStr">
        <is>
          <t>ÖSTERGÖTLANDS LÄN</t>
        </is>
      </c>
      <c r="E379" t="inlineStr">
        <is>
          <t>LINKÖPING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47991-2023</t>
        </is>
      </c>
      <c r="B380" s="1" t="n">
        <v>45204.62655092592</v>
      </c>
      <c r="C380" s="1" t="n">
        <v>45985</v>
      </c>
      <c r="D380" t="inlineStr">
        <is>
          <t>ÖSTERGÖTLANDS LÄN</t>
        </is>
      </c>
      <c r="E380" t="inlineStr">
        <is>
          <t>LINKÖPING</t>
        </is>
      </c>
      <c r="F380" t="inlineStr">
        <is>
          <t>Allmännings- och besparingsskogar</t>
        </is>
      </c>
      <c r="G380" t="n">
        <v>7.3</v>
      </c>
      <c r="H380" t="n">
        <v>0</v>
      </c>
      <c r="I380" t="n">
        <v>0</v>
      </c>
      <c r="J380" t="n">
        <v>0</v>
      </c>
      <c r="K380" t="n">
        <v>0</v>
      </c>
      <c r="L380" t="n">
        <v>0</v>
      </c>
      <c r="M380" t="n">
        <v>0</v>
      </c>
      <c r="N380" t="n">
        <v>0</v>
      </c>
      <c r="O380" t="n">
        <v>0</v>
      </c>
      <c r="P380" t="n">
        <v>0</v>
      </c>
      <c r="Q380" t="n">
        <v>0</v>
      </c>
      <c r="R380" s="2" t="inlineStr"/>
    </row>
    <row r="381" ht="15" customHeight="1">
      <c r="A381" t="inlineStr">
        <is>
          <t>A 56180-2024</t>
        </is>
      </c>
      <c r="B381" s="1" t="n">
        <v>45624.56611111111</v>
      </c>
      <c r="C381" s="1" t="n">
        <v>45985</v>
      </c>
      <c r="D381" t="inlineStr">
        <is>
          <t>ÖSTERGÖTLANDS LÄN</t>
        </is>
      </c>
      <c r="E381" t="inlineStr">
        <is>
          <t>LINKÖPING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35178-2025</t>
        </is>
      </c>
      <c r="B382" s="1" t="n">
        <v>45852.91939814815</v>
      </c>
      <c r="C382" s="1" t="n">
        <v>45985</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35174-2025</t>
        </is>
      </c>
      <c r="B383" s="1" t="n">
        <v>45852.90648148148</v>
      </c>
      <c r="C383" s="1" t="n">
        <v>45985</v>
      </c>
      <c r="D383" t="inlineStr">
        <is>
          <t>ÖSTERGÖTLANDS LÄN</t>
        </is>
      </c>
      <c r="E383" t="inlineStr">
        <is>
          <t>LINKÖPING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938-2023</t>
        </is>
      </c>
      <c r="B384" s="1" t="n">
        <v>44933</v>
      </c>
      <c r="C384" s="1" t="n">
        <v>45985</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55132-2025</t>
        </is>
      </c>
      <c r="B385" s="1" t="n">
        <v>45968.41912037037</v>
      </c>
      <c r="C385" s="1" t="n">
        <v>45985</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25418-2023</t>
        </is>
      </c>
      <c r="B386" s="1" t="n">
        <v>45089</v>
      </c>
      <c r="C386" s="1" t="n">
        <v>45985</v>
      </c>
      <c r="D386" t="inlineStr">
        <is>
          <t>ÖSTERGÖTLANDS LÄN</t>
        </is>
      </c>
      <c r="E386" t="inlineStr">
        <is>
          <t>LINKÖPING</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60007-2022</t>
        </is>
      </c>
      <c r="B387" s="1" t="n">
        <v>44909.47282407407</v>
      </c>
      <c r="C387" s="1" t="n">
        <v>45985</v>
      </c>
      <c r="D387" t="inlineStr">
        <is>
          <t>ÖSTERGÖTLANDS LÄN</t>
        </is>
      </c>
      <c r="E387" t="inlineStr">
        <is>
          <t>LINKÖPING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26007-2025</t>
        </is>
      </c>
      <c r="B388" s="1" t="n">
        <v>45804.67081018518</v>
      </c>
      <c r="C388" s="1" t="n">
        <v>45985</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35179-2025</t>
        </is>
      </c>
      <c r="B389" s="1" t="n">
        <v>45852.93737268518</v>
      </c>
      <c r="C389" s="1" t="n">
        <v>45985</v>
      </c>
      <c r="D389" t="inlineStr">
        <is>
          <t>ÖSTERGÖTLANDS LÄN</t>
        </is>
      </c>
      <c r="E389" t="inlineStr">
        <is>
          <t>LINKÖPING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35180-2025</t>
        </is>
      </c>
      <c r="B390" s="1" t="n">
        <v>45852.9413425926</v>
      </c>
      <c r="C390" s="1" t="n">
        <v>45985</v>
      </c>
      <c r="D390" t="inlineStr">
        <is>
          <t>ÖSTERGÖTLANDS LÄN</t>
        </is>
      </c>
      <c r="E390" t="inlineStr">
        <is>
          <t>LINKÖPING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46428-2025</t>
        </is>
      </c>
      <c r="B391" s="1" t="n">
        <v>45925.60758101852</v>
      </c>
      <c r="C391" s="1" t="n">
        <v>45985</v>
      </c>
      <c r="D391" t="inlineStr">
        <is>
          <t>ÖSTERGÖTLANDS LÄN</t>
        </is>
      </c>
      <c r="E391" t="inlineStr">
        <is>
          <t>LINKÖPING</t>
        </is>
      </c>
      <c r="G391" t="n">
        <v>3</v>
      </c>
      <c r="H391" t="n">
        <v>0</v>
      </c>
      <c r="I391" t="n">
        <v>0</v>
      </c>
      <c r="J391" t="n">
        <v>0</v>
      </c>
      <c r="K391" t="n">
        <v>0</v>
      </c>
      <c r="L391" t="n">
        <v>0</v>
      </c>
      <c r="M391" t="n">
        <v>0</v>
      </c>
      <c r="N391" t="n">
        <v>0</v>
      </c>
      <c r="O391" t="n">
        <v>0</v>
      </c>
      <c r="P391" t="n">
        <v>0</v>
      </c>
      <c r="Q391" t="n">
        <v>0</v>
      </c>
      <c r="R391" s="2" t="inlineStr"/>
    </row>
    <row r="392" ht="15" customHeight="1">
      <c r="A392" t="inlineStr">
        <is>
          <t>A 46426-2025</t>
        </is>
      </c>
      <c r="B392" s="1" t="n">
        <v>45925.6012962963</v>
      </c>
      <c r="C392" s="1" t="n">
        <v>45985</v>
      </c>
      <c r="D392" t="inlineStr">
        <is>
          <t>ÖSTERGÖTLANDS LÄN</t>
        </is>
      </c>
      <c r="E392" t="inlineStr">
        <is>
          <t>LINKÖPING</t>
        </is>
      </c>
      <c r="G392" t="n">
        <v>4.4</v>
      </c>
      <c r="H392" t="n">
        <v>0</v>
      </c>
      <c r="I392" t="n">
        <v>0</v>
      </c>
      <c r="J392" t="n">
        <v>0</v>
      </c>
      <c r="K392" t="n">
        <v>0</v>
      </c>
      <c r="L392" t="n">
        <v>0</v>
      </c>
      <c r="M392" t="n">
        <v>0</v>
      </c>
      <c r="N392" t="n">
        <v>0</v>
      </c>
      <c r="O392" t="n">
        <v>0</v>
      </c>
      <c r="P392" t="n">
        <v>0</v>
      </c>
      <c r="Q392" t="n">
        <v>0</v>
      </c>
      <c r="R392" s="2" t="inlineStr"/>
    </row>
    <row r="393" ht="15" customHeight="1">
      <c r="A393" t="inlineStr">
        <is>
          <t>A 35747-2025</t>
        </is>
      </c>
      <c r="B393" s="1" t="n">
        <v>45860.56385416666</v>
      </c>
      <c r="C393" s="1" t="n">
        <v>45985</v>
      </c>
      <c r="D393" t="inlineStr">
        <is>
          <t>ÖSTERGÖTLANDS LÄN</t>
        </is>
      </c>
      <c r="E393" t="inlineStr">
        <is>
          <t>LINKÖPING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11601-2023</t>
        </is>
      </c>
      <c r="B394" s="1" t="n">
        <v>44994</v>
      </c>
      <c r="C394" s="1" t="n">
        <v>45985</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35745-2025</t>
        </is>
      </c>
      <c r="B395" s="1" t="n">
        <v>45860.54739583333</v>
      </c>
      <c r="C395" s="1" t="n">
        <v>45985</v>
      </c>
      <c r="D395" t="inlineStr">
        <is>
          <t>ÖSTERGÖTLANDS LÄN</t>
        </is>
      </c>
      <c r="E395" t="inlineStr">
        <is>
          <t>LINKÖPING</t>
        </is>
      </c>
      <c r="G395" t="n">
        <v>4.4</v>
      </c>
      <c r="H395" t="n">
        <v>0</v>
      </c>
      <c r="I395" t="n">
        <v>0</v>
      </c>
      <c r="J395" t="n">
        <v>0</v>
      </c>
      <c r="K395" t="n">
        <v>0</v>
      </c>
      <c r="L395" t="n">
        <v>0</v>
      </c>
      <c r="M395" t="n">
        <v>0</v>
      </c>
      <c r="N395" t="n">
        <v>0</v>
      </c>
      <c r="O395" t="n">
        <v>0</v>
      </c>
      <c r="P395" t="n">
        <v>0</v>
      </c>
      <c r="Q395" t="n">
        <v>0</v>
      </c>
      <c r="R395" s="2" t="inlineStr"/>
    </row>
    <row r="396" ht="15" customHeight="1">
      <c r="A396" t="inlineStr">
        <is>
          <t>A 35757-2025</t>
        </is>
      </c>
      <c r="B396" s="1" t="n">
        <v>45860.59876157407</v>
      </c>
      <c r="C396" s="1" t="n">
        <v>45985</v>
      </c>
      <c r="D396" t="inlineStr">
        <is>
          <t>ÖSTERGÖTLANDS LÄN</t>
        </is>
      </c>
      <c r="E396" t="inlineStr">
        <is>
          <t>LINKÖPING</t>
        </is>
      </c>
      <c r="G396" t="n">
        <v>5.7</v>
      </c>
      <c r="H396" t="n">
        <v>0</v>
      </c>
      <c r="I396" t="n">
        <v>0</v>
      </c>
      <c r="J396" t="n">
        <v>0</v>
      </c>
      <c r="K396" t="n">
        <v>0</v>
      </c>
      <c r="L396" t="n">
        <v>0</v>
      </c>
      <c r="M396" t="n">
        <v>0</v>
      </c>
      <c r="N396" t="n">
        <v>0</v>
      </c>
      <c r="O396" t="n">
        <v>0</v>
      </c>
      <c r="P396" t="n">
        <v>0</v>
      </c>
      <c r="Q396" t="n">
        <v>0</v>
      </c>
      <c r="R396" s="2" t="inlineStr"/>
    </row>
    <row r="397" ht="15" customHeight="1">
      <c r="A397" t="inlineStr">
        <is>
          <t>A 35759-2025</t>
        </is>
      </c>
      <c r="B397" s="1" t="n">
        <v>45860</v>
      </c>
      <c r="C397" s="1" t="n">
        <v>45985</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55102-2025</t>
        </is>
      </c>
      <c r="B398" s="1" t="n">
        <v>45968.35410879629</v>
      </c>
      <c r="C398" s="1" t="n">
        <v>45985</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55109-2025</t>
        </is>
      </c>
      <c r="B399" s="1" t="n">
        <v>45968.37731481482</v>
      </c>
      <c r="C399" s="1" t="n">
        <v>45985</v>
      </c>
      <c r="D399" t="inlineStr">
        <is>
          <t>ÖSTERGÖTLANDS LÄN</t>
        </is>
      </c>
      <c r="E399" t="inlineStr">
        <is>
          <t>LINKÖPING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46377-2025</t>
        </is>
      </c>
      <c r="B400" s="1" t="n">
        <v>45925.51773148148</v>
      </c>
      <c r="C400" s="1" t="n">
        <v>45985</v>
      </c>
      <c r="D400" t="inlineStr">
        <is>
          <t>ÖSTERGÖTLANDS LÄN</t>
        </is>
      </c>
      <c r="E400" t="inlineStr">
        <is>
          <t>LINKÖPING</t>
        </is>
      </c>
      <c r="G400" t="n">
        <v>3.1</v>
      </c>
      <c r="H400" t="n">
        <v>0</v>
      </c>
      <c r="I400" t="n">
        <v>0</v>
      </c>
      <c r="J400" t="n">
        <v>0</v>
      </c>
      <c r="K400" t="n">
        <v>0</v>
      </c>
      <c r="L400" t="n">
        <v>0</v>
      </c>
      <c r="M400" t="n">
        <v>0</v>
      </c>
      <c r="N400" t="n">
        <v>0</v>
      </c>
      <c r="O400" t="n">
        <v>0</v>
      </c>
      <c r="P400" t="n">
        <v>0</v>
      </c>
      <c r="Q400" t="n">
        <v>0</v>
      </c>
      <c r="R400" s="2" t="inlineStr"/>
    </row>
    <row r="401" ht="15" customHeight="1">
      <c r="A401" t="inlineStr">
        <is>
          <t>A 55165-2025</t>
        </is>
      </c>
      <c r="B401" s="1" t="n">
        <v>45968.48194444444</v>
      </c>
      <c r="C401" s="1" t="n">
        <v>45985</v>
      </c>
      <c r="D401" t="inlineStr">
        <is>
          <t>ÖSTERGÖTLANDS LÄN</t>
        </is>
      </c>
      <c r="E401" t="inlineStr">
        <is>
          <t>LINKÖPING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1260-2023</t>
        </is>
      </c>
      <c r="B402" s="1" t="n">
        <v>44936</v>
      </c>
      <c r="C402" s="1" t="n">
        <v>45985</v>
      </c>
      <c r="D402" t="inlineStr">
        <is>
          <t>ÖSTERGÖTLANDS LÄN</t>
        </is>
      </c>
      <c r="E402" t="inlineStr">
        <is>
          <t>LINKÖPING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7702-2023</t>
        </is>
      </c>
      <c r="B403" s="1" t="n">
        <v>44967</v>
      </c>
      <c r="C403" s="1" t="n">
        <v>45985</v>
      </c>
      <c r="D403" t="inlineStr">
        <is>
          <t>ÖSTERGÖTLANDS LÄN</t>
        </is>
      </c>
      <c r="E403" t="inlineStr">
        <is>
          <t>LINKÖPING</t>
        </is>
      </c>
      <c r="F403" t="inlineStr">
        <is>
          <t>Övriga statliga verk och myndigheter</t>
        </is>
      </c>
      <c r="G403" t="n">
        <v>8</v>
      </c>
      <c r="H403" t="n">
        <v>0</v>
      </c>
      <c r="I403" t="n">
        <v>0</v>
      </c>
      <c r="J403" t="n">
        <v>0</v>
      </c>
      <c r="K403" t="n">
        <v>0</v>
      </c>
      <c r="L403" t="n">
        <v>0</v>
      </c>
      <c r="M403" t="n">
        <v>0</v>
      </c>
      <c r="N403" t="n">
        <v>0</v>
      </c>
      <c r="O403" t="n">
        <v>0</v>
      </c>
      <c r="P403" t="n">
        <v>0</v>
      </c>
      <c r="Q403" t="n">
        <v>0</v>
      </c>
      <c r="R403" s="2" t="inlineStr"/>
    </row>
    <row r="404" ht="15" customHeight="1">
      <c r="A404" t="inlineStr">
        <is>
          <t>A 674-2024</t>
        </is>
      </c>
      <c r="B404" s="1" t="n">
        <v>45300.34408564815</v>
      </c>
      <c r="C404" s="1" t="n">
        <v>45985</v>
      </c>
      <c r="D404" t="inlineStr">
        <is>
          <t>ÖSTERGÖTLANDS LÄN</t>
        </is>
      </c>
      <c r="E404" t="inlineStr">
        <is>
          <t>LINKÖPING</t>
        </is>
      </c>
      <c r="F404" t="inlineStr">
        <is>
          <t>Sveaskog</t>
        </is>
      </c>
      <c r="G404" t="n">
        <v>2.9</v>
      </c>
      <c r="H404" t="n">
        <v>0</v>
      </c>
      <c r="I404" t="n">
        <v>0</v>
      </c>
      <c r="J404" t="n">
        <v>0</v>
      </c>
      <c r="K404" t="n">
        <v>0</v>
      </c>
      <c r="L404" t="n">
        <v>0</v>
      </c>
      <c r="M404" t="n">
        <v>0</v>
      </c>
      <c r="N404" t="n">
        <v>0</v>
      </c>
      <c r="O404" t="n">
        <v>0</v>
      </c>
      <c r="P404" t="n">
        <v>0</v>
      </c>
      <c r="Q404" t="n">
        <v>0</v>
      </c>
      <c r="R404" s="2" t="inlineStr"/>
    </row>
    <row r="405" ht="15" customHeight="1">
      <c r="A405" t="inlineStr">
        <is>
          <t>A 63684-2023</t>
        </is>
      </c>
      <c r="B405" s="1" t="n">
        <v>45275</v>
      </c>
      <c r="C405" s="1" t="n">
        <v>45985</v>
      </c>
      <c r="D405" t="inlineStr">
        <is>
          <t>ÖSTERGÖTLANDS LÄN</t>
        </is>
      </c>
      <c r="E405" t="inlineStr">
        <is>
          <t>LINKÖPING</t>
        </is>
      </c>
      <c r="G405" t="n">
        <v>0.4</v>
      </c>
      <c r="H405" t="n">
        <v>0</v>
      </c>
      <c r="I405" t="n">
        <v>0</v>
      </c>
      <c r="J405" t="n">
        <v>0</v>
      </c>
      <c r="K405" t="n">
        <v>0</v>
      </c>
      <c r="L405" t="n">
        <v>0</v>
      </c>
      <c r="M405" t="n">
        <v>0</v>
      </c>
      <c r="N405" t="n">
        <v>0</v>
      </c>
      <c r="O405" t="n">
        <v>0</v>
      </c>
      <c r="P405" t="n">
        <v>0</v>
      </c>
      <c r="Q405" t="n">
        <v>0</v>
      </c>
      <c r="R405" s="2" t="inlineStr"/>
    </row>
    <row r="406" ht="15" customHeight="1">
      <c r="A406" t="inlineStr">
        <is>
          <t>A 167-2024</t>
        </is>
      </c>
      <c r="B406" s="1" t="n">
        <v>45294</v>
      </c>
      <c r="C406" s="1" t="n">
        <v>45985</v>
      </c>
      <c r="D406" t="inlineStr">
        <is>
          <t>ÖSTERGÖTLANDS LÄN</t>
        </is>
      </c>
      <c r="E406" t="inlineStr">
        <is>
          <t>LINKÖPING</t>
        </is>
      </c>
      <c r="F406" t="inlineStr">
        <is>
          <t>Allmännings- och besparingsskogar</t>
        </is>
      </c>
      <c r="G406" t="n">
        <v>11.6</v>
      </c>
      <c r="H406" t="n">
        <v>0</v>
      </c>
      <c r="I406" t="n">
        <v>0</v>
      </c>
      <c r="J406" t="n">
        <v>0</v>
      </c>
      <c r="K406" t="n">
        <v>0</v>
      </c>
      <c r="L406" t="n">
        <v>0</v>
      </c>
      <c r="M406" t="n">
        <v>0</v>
      </c>
      <c r="N406" t="n">
        <v>0</v>
      </c>
      <c r="O406" t="n">
        <v>0</v>
      </c>
      <c r="P406" t="n">
        <v>0</v>
      </c>
      <c r="Q406" t="n">
        <v>0</v>
      </c>
      <c r="R406" s="2" t="inlineStr"/>
    </row>
    <row r="407" ht="15" customHeight="1">
      <c r="A407" t="inlineStr">
        <is>
          <t>A 47304-2025</t>
        </is>
      </c>
      <c r="B407" s="1" t="n">
        <v>45930.52037037037</v>
      </c>
      <c r="C407" s="1" t="n">
        <v>45985</v>
      </c>
      <c r="D407" t="inlineStr">
        <is>
          <t>ÖSTERGÖTLANDS LÄN</t>
        </is>
      </c>
      <c r="E407" t="inlineStr">
        <is>
          <t>LINKÖPING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36725-2023</t>
        </is>
      </c>
      <c r="B408" s="1" t="n">
        <v>45153.68471064815</v>
      </c>
      <c r="C408" s="1" t="n">
        <v>45985</v>
      </c>
      <c r="D408" t="inlineStr">
        <is>
          <t>ÖSTERGÖTLANDS LÄN</t>
        </is>
      </c>
      <c r="E408" t="inlineStr">
        <is>
          <t>LINKÖPING</t>
        </is>
      </c>
      <c r="F408" t="inlineStr">
        <is>
          <t>Allmännings- och besparingsskogar</t>
        </is>
      </c>
      <c r="G408" t="n">
        <v>2.6</v>
      </c>
      <c r="H408" t="n">
        <v>0</v>
      </c>
      <c r="I408" t="n">
        <v>0</v>
      </c>
      <c r="J408" t="n">
        <v>0</v>
      </c>
      <c r="K408" t="n">
        <v>0</v>
      </c>
      <c r="L408" t="n">
        <v>0</v>
      </c>
      <c r="M408" t="n">
        <v>0</v>
      </c>
      <c r="N408" t="n">
        <v>0</v>
      </c>
      <c r="O408" t="n">
        <v>0</v>
      </c>
      <c r="P408" t="n">
        <v>0</v>
      </c>
      <c r="Q408" t="n">
        <v>0</v>
      </c>
      <c r="R408" s="2" t="inlineStr"/>
    </row>
    <row r="409" ht="15" customHeight="1">
      <c r="A409" t="inlineStr">
        <is>
          <t>A 47233-2025</t>
        </is>
      </c>
      <c r="B409" s="1" t="n">
        <v>45930.40612268518</v>
      </c>
      <c r="C409" s="1" t="n">
        <v>45985</v>
      </c>
      <c r="D409" t="inlineStr">
        <is>
          <t>ÖSTERGÖTLANDS LÄN</t>
        </is>
      </c>
      <c r="E409" t="inlineStr">
        <is>
          <t>LINKÖPING</t>
        </is>
      </c>
      <c r="G409" t="n">
        <v>4.3</v>
      </c>
      <c r="H409" t="n">
        <v>0</v>
      </c>
      <c r="I409" t="n">
        <v>0</v>
      </c>
      <c r="J409" t="n">
        <v>0</v>
      </c>
      <c r="K409" t="n">
        <v>0</v>
      </c>
      <c r="L409" t="n">
        <v>0</v>
      </c>
      <c r="M409" t="n">
        <v>0</v>
      </c>
      <c r="N409" t="n">
        <v>0</v>
      </c>
      <c r="O409" t="n">
        <v>0</v>
      </c>
      <c r="P409" t="n">
        <v>0</v>
      </c>
      <c r="Q409" t="n">
        <v>0</v>
      </c>
      <c r="R409" s="2" t="inlineStr"/>
    </row>
    <row r="410" ht="15" customHeight="1">
      <c r="A410" t="inlineStr">
        <is>
          <t>A 27343-2023</t>
        </is>
      </c>
      <c r="B410" s="1" t="n">
        <v>45096</v>
      </c>
      <c r="C410" s="1" t="n">
        <v>45985</v>
      </c>
      <c r="D410" t="inlineStr">
        <is>
          <t>ÖSTERGÖTLANDS LÄN</t>
        </is>
      </c>
      <c r="E410" t="inlineStr">
        <is>
          <t>LINKÖPING</t>
        </is>
      </c>
      <c r="F410" t="inlineStr">
        <is>
          <t>Allmännings- och besparingsskogar</t>
        </is>
      </c>
      <c r="G410" t="n">
        <v>6.9</v>
      </c>
      <c r="H410" t="n">
        <v>0</v>
      </c>
      <c r="I410" t="n">
        <v>0</v>
      </c>
      <c r="J410" t="n">
        <v>0</v>
      </c>
      <c r="K410" t="n">
        <v>0</v>
      </c>
      <c r="L410" t="n">
        <v>0</v>
      </c>
      <c r="M410" t="n">
        <v>0</v>
      </c>
      <c r="N410" t="n">
        <v>0</v>
      </c>
      <c r="O410" t="n">
        <v>0</v>
      </c>
      <c r="P410" t="n">
        <v>0</v>
      </c>
      <c r="Q410" t="n">
        <v>0</v>
      </c>
      <c r="R410" s="2" t="inlineStr"/>
    </row>
    <row r="411" ht="15" customHeight="1">
      <c r="A411" t="inlineStr">
        <is>
          <t>A 55683-2025</t>
        </is>
      </c>
      <c r="B411" s="1" t="n">
        <v>45972.4255324074</v>
      </c>
      <c r="C411" s="1" t="n">
        <v>45985</v>
      </c>
      <c r="D411" t="inlineStr">
        <is>
          <t>ÖSTERGÖTLANDS LÄN</t>
        </is>
      </c>
      <c r="E411" t="inlineStr">
        <is>
          <t>LINKÖPING</t>
        </is>
      </c>
      <c r="G411" t="n">
        <v>3.3</v>
      </c>
      <c r="H411" t="n">
        <v>0</v>
      </c>
      <c r="I411" t="n">
        <v>0</v>
      </c>
      <c r="J411" t="n">
        <v>0</v>
      </c>
      <c r="K411" t="n">
        <v>0</v>
      </c>
      <c r="L411" t="n">
        <v>0</v>
      </c>
      <c r="M411" t="n">
        <v>0</v>
      </c>
      <c r="N411" t="n">
        <v>0</v>
      </c>
      <c r="O411" t="n">
        <v>0</v>
      </c>
      <c r="P411" t="n">
        <v>0</v>
      </c>
      <c r="Q411" t="n">
        <v>0</v>
      </c>
      <c r="R411" s="2" t="inlineStr"/>
    </row>
    <row r="412" ht="15" customHeight="1">
      <c r="A412" t="inlineStr">
        <is>
          <t>A 22774-2024</t>
        </is>
      </c>
      <c r="B412" s="1" t="n">
        <v>45448.46924768519</v>
      </c>
      <c r="C412" s="1" t="n">
        <v>45985</v>
      </c>
      <c r="D412" t="inlineStr">
        <is>
          <t>ÖSTERGÖTLANDS LÄN</t>
        </is>
      </c>
      <c r="E412" t="inlineStr">
        <is>
          <t>LINKÖPING</t>
        </is>
      </c>
      <c r="F412" t="inlineStr">
        <is>
          <t>Sveaskog</t>
        </is>
      </c>
      <c r="G412" t="n">
        <v>3.3</v>
      </c>
      <c r="H412" t="n">
        <v>0</v>
      </c>
      <c r="I412" t="n">
        <v>0</v>
      </c>
      <c r="J412" t="n">
        <v>0</v>
      </c>
      <c r="K412" t="n">
        <v>0</v>
      </c>
      <c r="L412" t="n">
        <v>0</v>
      </c>
      <c r="M412" t="n">
        <v>0</v>
      </c>
      <c r="N412" t="n">
        <v>0</v>
      </c>
      <c r="O412" t="n">
        <v>0</v>
      </c>
      <c r="P412" t="n">
        <v>0</v>
      </c>
      <c r="Q412" t="n">
        <v>0</v>
      </c>
      <c r="R412" s="2" t="inlineStr"/>
    </row>
    <row r="413" ht="15" customHeight="1">
      <c r="A413" t="inlineStr">
        <is>
          <t>A 22778-2024</t>
        </is>
      </c>
      <c r="B413" s="1" t="n">
        <v>45448.47233796296</v>
      </c>
      <c r="C413" s="1" t="n">
        <v>45985</v>
      </c>
      <c r="D413" t="inlineStr">
        <is>
          <t>ÖSTERGÖTLANDS LÄN</t>
        </is>
      </c>
      <c r="E413" t="inlineStr">
        <is>
          <t>LINKÖPING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34864-2023</t>
        </is>
      </c>
      <c r="B414" s="1" t="n">
        <v>45141</v>
      </c>
      <c r="C414" s="1" t="n">
        <v>45985</v>
      </c>
      <c r="D414" t="inlineStr">
        <is>
          <t>ÖSTERGÖTLANDS LÄN</t>
        </is>
      </c>
      <c r="E414" t="inlineStr">
        <is>
          <t>LINKÖPING</t>
        </is>
      </c>
      <c r="G414" t="n">
        <v>3.3</v>
      </c>
      <c r="H414" t="n">
        <v>0</v>
      </c>
      <c r="I414" t="n">
        <v>0</v>
      </c>
      <c r="J414" t="n">
        <v>0</v>
      </c>
      <c r="K414" t="n">
        <v>0</v>
      </c>
      <c r="L414" t="n">
        <v>0</v>
      </c>
      <c r="M414" t="n">
        <v>0</v>
      </c>
      <c r="N414" t="n">
        <v>0</v>
      </c>
      <c r="O414" t="n">
        <v>0</v>
      </c>
      <c r="P414" t="n">
        <v>0</v>
      </c>
      <c r="Q414" t="n">
        <v>0</v>
      </c>
      <c r="R414" s="2" t="inlineStr"/>
    </row>
    <row r="415" ht="15" customHeight="1">
      <c r="A415" t="inlineStr">
        <is>
          <t>A 46847-2025</t>
        </is>
      </c>
      <c r="B415" s="1" t="n">
        <v>45928.69971064815</v>
      </c>
      <c r="C415" s="1" t="n">
        <v>45985</v>
      </c>
      <c r="D415" t="inlineStr">
        <is>
          <t>ÖSTERGÖTLANDS LÄN</t>
        </is>
      </c>
      <c r="E415" t="inlineStr">
        <is>
          <t>LINKÖPING</t>
        </is>
      </c>
      <c r="G415" t="n">
        <v>4.6</v>
      </c>
      <c r="H415" t="n">
        <v>0</v>
      </c>
      <c r="I415" t="n">
        <v>0</v>
      </c>
      <c r="J415" t="n">
        <v>0</v>
      </c>
      <c r="K415" t="n">
        <v>0</v>
      </c>
      <c r="L415" t="n">
        <v>0</v>
      </c>
      <c r="M415" t="n">
        <v>0</v>
      </c>
      <c r="N415" t="n">
        <v>0</v>
      </c>
      <c r="O415" t="n">
        <v>0</v>
      </c>
      <c r="P415" t="n">
        <v>0</v>
      </c>
      <c r="Q415" t="n">
        <v>0</v>
      </c>
      <c r="R415" s="2" t="inlineStr"/>
    </row>
    <row r="416" ht="15" customHeight="1">
      <c r="A416" t="inlineStr">
        <is>
          <t>A 52531-2023</t>
        </is>
      </c>
      <c r="B416" s="1" t="n">
        <v>45225</v>
      </c>
      <c r="C416" s="1" t="n">
        <v>45985</v>
      </c>
      <c r="D416" t="inlineStr">
        <is>
          <t>ÖSTERGÖTLANDS LÄN</t>
        </is>
      </c>
      <c r="E416" t="inlineStr">
        <is>
          <t>LINKÖPING</t>
        </is>
      </c>
      <c r="F416" t="inlineStr">
        <is>
          <t>Övriga Aktiebolag</t>
        </is>
      </c>
      <c r="G416" t="n">
        <v>1</v>
      </c>
      <c r="H416" t="n">
        <v>0</v>
      </c>
      <c r="I416" t="n">
        <v>0</v>
      </c>
      <c r="J416" t="n">
        <v>0</v>
      </c>
      <c r="K416" t="n">
        <v>0</v>
      </c>
      <c r="L416" t="n">
        <v>0</v>
      </c>
      <c r="M416" t="n">
        <v>0</v>
      </c>
      <c r="N416" t="n">
        <v>0</v>
      </c>
      <c r="O416" t="n">
        <v>0</v>
      </c>
      <c r="P416" t="n">
        <v>0</v>
      </c>
      <c r="Q416" t="n">
        <v>0</v>
      </c>
      <c r="R416" s="2" t="inlineStr"/>
    </row>
    <row r="417" ht="15" customHeight="1">
      <c r="A417" t="inlineStr">
        <is>
          <t>A 34930-2023</t>
        </is>
      </c>
      <c r="B417" s="1" t="n">
        <v>45142</v>
      </c>
      <c r="C417" s="1" t="n">
        <v>45985</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56113-2025</t>
        </is>
      </c>
      <c r="B418" s="1" t="n">
        <v>45973.73924768518</v>
      </c>
      <c r="C418" s="1" t="n">
        <v>45985</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30985-2022</t>
        </is>
      </c>
      <c r="B419" s="1" t="n">
        <v>44768</v>
      </c>
      <c r="C419" s="1" t="n">
        <v>45985</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48343-2025</t>
        </is>
      </c>
      <c r="B420" s="1" t="n">
        <v>45932</v>
      </c>
      <c r="C420" s="1" t="n">
        <v>45985</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47606-2025</t>
        </is>
      </c>
      <c r="B421" s="1" t="n">
        <v>45931.46402777778</v>
      </c>
      <c r="C421" s="1" t="n">
        <v>45985</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37057-2025</t>
        </is>
      </c>
      <c r="B422" s="1" t="n">
        <v>45875.37489583333</v>
      </c>
      <c r="C422" s="1" t="n">
        <v>45985</v>
      </c>
      <c r="D422" t="inlineStr">
        <is>
          <t>ÖSTERGÖTLANDS LÄN</t>
        </is>
      </c>
      <c r="E422" t="inlineStr">
        <is>
          <t>LINKÖPING</t>
        </is>
      </c>
      <c r="G422" t="n">
        <v>3.3</v>
      </c>
      <c r="H422" t="n">
        <v>0</v>
      </c>
      <c r="I422" t="n">
        <v>0</v>
      </c>
      <c r="J422" t="n">
        <v>0</v>
      </c>
      <c r="K422" t="n">
        <v>0</v>
      </c>
      <c r="L422" t="n">
        <v>0</v>
      </c>
      <c r="M422" t="n">
        <v>0</v>
      </c>
      <c r="N422" t="n">
        <v>0</v>
      </c>
      <c r="O422" t="n">
        <v>0</v>
      </c>
      <c r="P422" t="n">
        <v>0</v>
      </c>
      <c r="Q422" t="n">
        <v>0</v>
      </c>
      <c r="R422" s="2" t="inlineStr"/>
    </row>
    <row r="423" ht="15" customHeight="1">
      <c r="A423" t="inlineStr">
        <is>
          <t>A 48254-2025</t>
        </is>
      </c>
      <c r="B423" s="1" t="n">
        <v>45932</v>
      </c>
      <c r="C423" s="1" t="n">
        <v>45985</v>
      </c>
      <c r="D423" t="inlineStr">
        <is>
          <t>ÖSTERGÖTLANDS LÄN</t>
        </is>
      </c>
      <c r="E423" t="inlineStr">
        <is>
          <t>LINKÖPING</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48266-2025</t>
        </is>
      </c>
      <c r="B424" s="1" t="n">
        <v>45932</v>
      </c>
      <c r="C424" s="1" t="n">
        <v>45985</v>
      </c>
      <c r="D424" t="inlineStr">
        <is>
          <t>ÖSTERGÖTLANDS LÄN</t>
        </is>
      </c>
      <c r="E424" t="inlineStr">
        <is>
          <t>LINKÖPING</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56105-2025</t>
        </is>
      </c>
      <c r="B425" s="1" t="n">
        <v>45973.72855324074</v>
      </c>
      <c r="C425" s="1" t="n">
        <v>45985</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59642-2024</t>
        </is>
      </c>
      <c r="B426" s="1" t="n">
        <v>45639.31511574074</v>
      </c>
      <c r="C426" s="1" t="n">
        <v>45985</v>
      </c>
      <c r="D426" t="inlineStr">
        <is>
          <t>ÖSTERGÖTLANDS LÄN</t>
        </is>
      </c>
      <c r="E426" t="inlineStr">
        <is>
          <t>LINKÖPING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15748-2025</t>
        </is>
      </c>
      <c r="B427" s="1" t="n">
        <v>45748.55282407408</v>
      </c>
      <c r="C427" s="1" t="n">
        <v>45985</v>
      </c>
      <c r="D427" t="inlineStr">
        <is>
          <t>ÖSTERGÖTLANDS LÄN</t>
        </is>
      </c>
      <c r="E427" t="inlineStr">
        <is>
          <t>LINKÖPING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31792-2021</t>
        </is>
      </c>
      <c r="B428" s="1" t="n">
        <v>44369</v>
      </c>
      <c r="C428" s="1" t="n">
        <v>45985</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25097-2023</t>
        </is>
      </c>
      <c r="B429" s="1" t="n">
        <v>45086</v>
      </c>
      <c r="C429" s="1" t="n">
        <v>45985</v>
      </c>
      <c r="D429" t="inlineStr">
        <is>
          <t>ÖSTERGÖTLANDS LÄN</t>
        </is>
      </c>
      <c r="E429" t="inlineStr">
        <is>
          <t>LINKÖPING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35735-2023</t>
        </is>
      </c>
      <c r="B430" s="1" t="n">
        <v>45147</v>
      </c>
      <c r="C430" s="1" t="n">
        <v>45985</v>
      </c>
      <c r="D430" t="inlineStr">
        <is>
          <t>ÖSTERGÖTLANDS LÄN</t>
        </is>
      </c>
      <c r="E430" t="inlineStr">
        <is>
          <t>LINKÖPING</t>
        </is>
      </c>
      <c r="G430" t="n">
        <v>2.8</v>
      </c>
      <c r="H430" t="n">
        <v>0</v>
      </c>
      <c r="I430" t="n">
        <v>0</v>
      </c>
      <c r="J430" t="n">
        <v>0</v>
      </c>
      <c r="K430" t="n">
        <v>0</v>
      </c>
      <c r="L430" t="n">
        <v>0</v>
      </c>
      <c r="M430" t="n">
        <v>0</v>
      </c>
      <c r="N430" t="n">
        <v>0</v>
      </c>
      <c r="O430" t="n">
        <v>0</v>
      </c>
      <c r="P430" t="n">
        <v>0</v>
      </c>
      <c r="Q430" t="n">
        <v>0</v>
      </c>
      <c r="R430" s="2" t="inlineStr"/>
    </row>
    <row r="431" ht="15" customHeight="1">
      <c r="A431" t="inlineStr">
        <is>
          <t>A 16462-2021</t>
        </is>
      </c>
      <c r="B431" s="1" t="n">
        <v>44293</v>
      </c>
      <c r="C431" s="1" t="n">
        <v>45985</v>
      </c>
      <c r="D431" t="inlineStr">
        <is>
          <t>ÖSTERGÖTLANDS LÄN</t>
        </is>
      </c>
      <c r="E431" t="inlineStr">
        <is>
          <t>LINKÖPING</t>
        </is>
      </c>
      <c r="F431" t="inlineStr">
        <is>
          <t>Allmännings- och besparingsskogar</t>
        </is>
      </c>
      <c r="G431" t="n">
        <v>24.7</v>
      </c>
      <c r="H431" t="n">
        <v>0</v>
      </c>
      <c r="I431" t="n">
        <v>0</v>
      </c>
      <c r="J431" t="n">
        <v>0</v>
      </c>
      <c r="K431" t="n">
        <v>0</v>
      </c>
      <c r="L431" t="n">
        <v>0</v>
      </c>
      <c r="M431" t="n">
        <v>0</v>
      </c>
      <c r="N431" t="n">
        <v>0</v>
      </c>
      <c r="O431" t="n">
        <v>0</v>
      </c>
      <c r="P431" t="n">
        <v>0</v>
      </c>
      <c r="Q431" t="n">
        <v>0</v>
      </c>
      <c r="R431" s="2" t="inlineStr"/>
    </row>
    <row r="432" ht="15" customHeight="1">
      <c r="A432" t="inlineStr">
        <is>
          <t>A 25776-2021</t>
        </is>
      </c>
      <c r="B432" s="1" t="n">
        <v>44343</v>
      </c>
      <c r="C432" s="1" t="n">
        <v>45985</v>
      </c>
      <c r="D432" t="inlineStr">
        <is>
          <t>ÖSTERGÖTLANDS LÄN</t>
        </is>
      </c>
      <c r="E432" t="inlineStr">
        <is>
          <t>LINKÖPING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30856-2022</t>
        </is>
      </c>
      <c r="B433" s="1" t="n">
        <v>44767</v>
      </c>
      <c r="C433" s="1" t="n">
        <v>45985</v>
      </c>
      <c r="D433" t="inlineStr">
        <is>
          <t>ÖSTERGÖTLANDS LÄN</t>
        </is>
      </c>
      <c r="E433" t="inlineStr">
        <is>
          <t>LINKÖPING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19187-2021</t>
        </is>
      </c>
      <c r="B434" s="1" t="n">
        <v>44308</v>
      </c>
      <c r="C434" s="1" t="n">
        <v>45985</v>
      </c>
      <c r="D434" t="inlineStr">
        <is>
          <t>ÖSTERGÖTLANDS LÄN</t>
        </is>
      </c>
      <c r="E434" t="inlineStr">
        <is>
          <t>LINKÖPING</t>
        </is>
      </c>
      <c r="F434" t="inlineStr">
        <is>
          <t>Allmännings- och besparingsskogar</t>
        </is>
      </c>
      <c r="G434" t="n">
        <v>20</v>
      </c>
      <c r="H434" t="n">
        <v>0</v>
      </c>
      <c r="I434" t="n">
        <v>0</v>
      </c>
      <c r="J434" t="n">
        <v>0</v>
      </c>
      <c r="K434" t="n">
        <v>0</v>
      </c>
      <c r="L434" t="n">
        <v>0</v>
      </c>
      <c r="M434" t="n">
        <v>0</v>
      </c>
      <c r="N434" t="n">
        <v>0</v>
      </c>
      <c r="O434" t="n">
        <v>0</v>
      </c>
      <c r="P434" t="n">
        <v>0</v>
      </c>
      <c r="Q434" t="n">
        <v>0</v>
      </c>
      <c r="R434" s="2" t="inlineStr"/>
    </row>
    <row r="435" ht="15" customHeight="1">
      <c r="A435" t="inlineStr">
        <is>
          <t>A 54329-2025</t>
        </is>
      </c>
      <c r="B435" s="1" t="n">
        <v>45965.34706018519</v>
      </c>
      <c r="C435" s="1" t="n">
        <v>45985</v>
      </c>
      <c r="D435" t="inlineStr">
        <is>
          <t>ÖSTERGÖTLANDS LÄN</t>
        </is>
      </c>
      <c r="E435" t="inlineStr">
        <is>
          <t>LINKÖPING</t>
        </is>
      </c>
      <c r="F435" t="inlineStr">
        <is>
          <t>Sveaskog</t>
        </is>
      </c>
      <c r="G435" t="n">
        <v>5.1</v>
      </c>
      <c r="H435" t="n">
        <v>0</v>
      </c>
      <c r="I435" t="n">
        <v>0</v>
      </c>
      <c r="J435" t="n">
        <v>0</v>
      </c>
      <c r="K435" t="n">
        <v>0</v>
      </c>
      <c r="L435" t="n">
        <v>0</v>
      </c>
      <c r="M435" t="n">
        <v>0</v>
      </c>
      <c r="N435" t="n">
        <v>0</v>
      </c>
      <c r="O435" t="n">
        <v>0</v>
      </c>
      <c r="P435" t="n">
        <v>0</v>
      </c>
      <c r="Q435" t="n">
        <v>0</v>
      </c>
      <c r="R435" s="2" t="inlineStr"/>
    </row>
    <row r="436" ht="15" customHeight="1">
      <c r="A436" t="inlineStr">
        <is>
          <t>A 25829-2025</t>
        </is>
      </c>
      <c r="B436" s="1" t="n">
        <v>45804.44505787037</v>
      </c>
      <c r="C436" s="1" t="n">
        <v>45985</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52740-2025</t>
        </is>
      </c>
      <c r="B437" s="1" t="n">
        <v>45957.37747685185</v>
      </c>
      <c r="C437" s="1" t="n">
        <v>45985</v>
      </c>
      <c r="D437" t="inlineStr">
        <is>
          <t>ÖSTERGÖTLANDS LÄN</t>
        </is>
      </c>
      <c r="E437" t="inlineStr">
        <is>
          <t>LINKÖPING</t>
        </is>
      </c>
      <c r="G437" t="n">
        <v>3.7</v>
      </c>
      <c r="H437" t="n">
        <v>0</v>
      </c>
      <c r="I437" t="n">
        <v>0</v>
      </c>
      <c r="J437" t="n">
        <v>0</v>
      </c>
      <c r="K437" t="n">
        <v>0</v>
      </c>
      <c r="L437" t="n">
        <v>0</v>
      </c>
      <c r="M437" t="n">
        <v>0</v>
      </c>
      <c r="N437" t="n">
        <v>0</v>
      </c>
      <c r="O437" t="n">
        <v>0</v>
      </c>
      <c r="P437" t="n">
        <v>0</v>
      </c>
      <c r="Q437" t="n">
        <v>0</v>
      </c>
      <c r="R437" s="2" t="inlineStr"/>
    </row>
    <row r="438" ht="15" customHeight="1">
      <c r="A438" t="inlineStr">
        <is>
          <t>A 39219-2021</t>
        </is>
      </c>
      <c r="B438" s="1" t="n">
        <v>44413</v>
      </c>
      <c r="C438" s="1" t="n">
        <v>45985</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39224-2021</t>
        </is>
      </c>
      <c r="B439" s="1" t="n">
        <v>44413</v>
      </c>
      <c r="C439" s="1" t="n">
        <v>45985</v>
      </c>
      <c r="D439" t="inlineStr">
        <is>
          <t>ÖSTERGÖTLANDS LÄN</t>
        </is>
      </c>
      <c r="E439" t="inlineStr">
        <is>
          <t>LINKÖPING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56704-2025</t>
        </is>
      </c>
      <c r="B440" s="1" t="n">
        <v>45977.50608796296</v>
      </c>
      <c r="C440" s="1" t="n">
        <v>45985</v>
      </c>
      <c r="D440" t="inlineStr">
        <is>
          <t>ÖSTERGÖTLANDS LÄN</t>
        </is>
      </c>
      <c r="E440" t="inlineStr">
        <is>
          <t>LINKÖPING</t>
        </is>
      </c>
      <c r="F440" t="inlineStr">
        <is>
          <t>Övriga Aktiebolag</t>
        </is>
      </c>
      <c r="G440" t="n">
        <v>0.6</v>
      </c>
      <c r="H440" t="n">
        <v>0</v>
      </c>
      <c r="I440" t="n">
        <v>0</v>
      </c>
      <c r="J440" t="n">
        <v>0</v>
      </c>
      <c r="K440" t="n">
        <v>0</v>
      </c>
      <c r="L440" t="n">
        <v>0</v>
      </c>
      <c r="M440" t="n">
        <v>0</v>
      </c>
      <c r="N440" t="n">
        <v>0</v>
      </c>
      <c r="O440" t="n">
        <v>0</v>
      </c>
      <c r="P440" t="n">
        <v>0</v>
      </c>
      <c r="Q440" t="n">
        <v>0</v>
      </c>
      <c r="R440" s="2" t="inlineStr"/>
    </row>
    <row r="441" ht="15" customHeight="1">
      <c r="A441" t="inlineStr">
        <is>
          <t>A 54332-2025</t>
        </is>
      </c>
      <c r="B441" s="1" t="n">
        <v>45965.34915509259</v>
      </c>
      <c r="C441" s="1" t="n">
        <v>45985</v>
      </c>
      <c r="D441" t="inlineStr">
        <is>
          <t>ÖSTERGÖTLANDS LÄN</t>
        </is>
      </c>
      <c r="E441" t="inlineStr">
        <is>
          <t>LINKÖPING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43934-2023</t>
        </is>
      </c>
      <c r="B442" s="1" t="n">
        <v>45187</v>
      </c>
      <c r="C442" s="1" t="n">
        <v>45985</v>
      </c>
      <c r="D442" t="inlineStr">
        <is>
          <t>ÖSTERGÖTLANDS LÄN</t>
        </is>
      </c>
      <c r="E442" t="inlineStr">
        <is>
          <t>LINKÖPING</t>
        </is>
      </c>
      <c r="F442" t="inlineStr">
        <is>
          <t>Övriga Aktiebolag</t>
        </is>
      </c>
      <c r="G442" t="n">
        <v>3.8</v>
      </c>
      <c r="H442" t="n">
        <v>0</v>
      </c>
      <c r="I442" t="n">
        <v>0</v>
      </c>
      <c r="J442" t="n">
        <v>0</v>
      </c>
      <c r="K442" t="n">
        <v>0</v>
      </c>
      <c r="L442" t="n">
        <v>0</v>
      </c>
      <c r="M442" t="n">
        <v>0</v>
      </c>
      <c r="N442" t="n">
        <v>0</v>
      </c>
      <c r="O442" t="n">
        <v>0</v>
      </c>
      <c r="P442" t="n">
        <v>0</v>
      </c>
      <c r="Q442" t="n">
        <v>0</v>
      </c>
      <c r="R442" s="2" t="inlineStr"/>
    </row>
    <row r="443" ht="15" customHeight="1">
      <c r="A443" t="inlineStr">
        <is>
          <t>A 56403-2025</t>
        </is>
      </c>
      <c r="B443" s="1" t="n">
        <v>45974</v>
      </c>
      <c r="C443" s="1" t="n">
        <v>45985</v>
      </c>
      <c r="D443" t="inlineStr">
        <is>
          <t>ÖSTERGÖTLANDS LÄN</t>
        </is>
      </c>
      <c r="E443" t="inlineStr">
        <is>
          <t>LINKÖPING</t>
        </is>
      </c>
      <c r="G443" t="n">
        <v>3.3</v>
      </c>
      <c r="H443" t="n">
        <v>0</v>
      </c>
      <c r="I443" t="n">
        <v>0</v>
      </c>
      <c r="J443" t="n">
        <v>0</v>
      </c>
      <c r="K443" t="n">
        <v>0</v>
      </c>
      <c r="L443" t="n">
        <v>0</v>
      </c>
      <c r="M443" t="n">
        <v>0</v>
      </c>
      <c r="N443" t="n">
        <v>0</v>
      </c>
      <c r="O443" t="n">
        <v>0</v>
      </c>
      <c r="P443" t="n">
        <v>0</v>
      </c>
      <c r="Q443" t="n">
        <v>0</v>
      </c>
      <c r="R443" s="2" t="inlineStr"/>
    </row>
    <row r="444" ht="15" customHeight="1">
      <c r="A444" t="inlineStr">
        <is>
          <t>A 49605-2025</t>
        </is>
      </c>
      <c r="B444" s="1" t="n">
        <v>45938</v>
      </c>
      <c r="C444" s="1" t="n">
        <v>45985</v>
      </c>
      <c r="D444" t="inlineStr">
        <is>
          <t>ÖSTERGÖTLANDS LÄN</t>
        </is>
      </c>
      <c r="E444" t="inlineStr">
        <is>
          <t>LINKÖPING</t>
        </is>
      </c>
      <c r="F444" t="inlineStr">
        <is>
          <t>Övriga Aktiebolag</t>
        </is>
      </c>
      <c r="G444" t="n">
        <v>3.3</v>
      </c>
      <c r="H444" t="n">
        <v>0</v>
      </c>
      <c r="I444" t="n">
        <v>0</v>
      </c>
      <c r="J444" t="n">
        <v>0</v>
      </c>
      <c r="K444" t="n">
        <v>0</v>
      </c>
      <c r="L444" t="n">
        <v>0</v>
      </c>
      <c r="M444" t="n">
        <v>0</v>
      </c>
      <c r="N444" t="n">
        <v>0</v>
      </c>
      <c r="O444" t="n">
        <v>0</v>
      </c>
      <c r="P444" t="n">
        <v>0</v>
      </c>
      <c r="Q444" t="n">
        <v>0</v>
      </c>
      <c r="R444" s="2" t="inlineStr"/>
    </row>
    <row r="445" ht="15" customHeight="1">
      <c r="A445" t="inlineStr">
        <is>
          <t>A 49647-2025</t>
        </is>
      </c>
      <c r="B445" s="1" t="n">
        <v>45938</v>
      </c>
      <c r="C445" s="1" t="n">
        <v>45985</v>
      </c>
      <c r="D445" t="inlineStr">
        <is>
          <t>ÖSTERGÖTLANDS LÄN</t>
        </is>
      </c>
      <c r="E445" t="inlineStr">
        <is>
          <t>LINKÖPING</t>
        </is>
      </c>
      <c r="F445" t="inlineStr">
        <is>
          <t>Övriga Aktiebolag</t>
        </is>
      </c>
      <c r="G445" t="n">
        <v>0.6</v>
      </c>
      <c r="H445" t="n">
        <v>0</v>
      </c>
      <c r="I445" t="n">
        <v>0</v>
      </c>
      <c r="J445" t="n">
        <v>0</v>
      </c>
      <c r="K445" t="n">
        <v>0</v>
      </c>
      <c r="L445" t="n">
        <v>0</v>
      </c>
      <c r="M445" t="n">
        <v>0</v>
      </c>
      <c r="N445" t="n">
        <v>0</v>
      </c>
      <c r="O445" t="n">
        <v>0</v>
      </c>
      <c r="P445" t="n">
        <v>0</v>
      </c>
      <c r="Q445" t="n">
        <v>0</v>
      </c>
      <c r="R445" s="2" t="inlineStr"/>
    </row>
    <row r="446" ht="15" customHeight="1">
      <c r="A446" t="inlineStr">
        <is>
          <t>A 38046-2025</t>
        </is>
      </c>
      <c r="B446" s="1" t="n">
        <v>45882.39939814815</v>
      </c>
      <c r="C446" s="1" t="n">
        <v>45985</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7354-2025</t>
        </is>
      </c>
      <c r="B447" s="1" t="n">
        <v>45704.41174768518</v>
      </c>
      <c r="C447" s="1" t="n">
        <v>45985</v>
      </c>
      <c r="D447" t="inlineStr">
        <is>
          <t>ÖSTERGÖTLANDS LÄN</t>
        </is>
      </c>
      <c r="E447" t="inlineStr">
        <is>
          <t>LINKÖPING</t>
        </is>
      </c>
      <c r="G447" t="n">
        <v>4.8</v>
      </c>
      <c r="H447" t="n">
        <v>0</v>
      </c>
      <c r="I447" t="n">
        <v>0</v>
      </c>
      <c r="J447" t="n">
        <v>0</v>
      </c>
      <c r="K447" t="n">
        <v>0</v>
      </c>
      <c r="L447" t="n">
        <v>0</v>
      </c>
      <c r="M447" t="n">
        <v>0</v>
      </c>
      <c r="N447" t="n">
        <v>0</v>
      </c>
      <c r="O447" t="n">
        <v>0</v>
      </c>
      <c r="P447" t="n">
        <v>0</v>
      </c>
      <c r="Q447" t="n">
        <v>0</v>
      </c>
      <c r="R447" s="2" t="inlineStr"/>
    </row>
    <row r="448" ht="15" customHeight="1">
      <c r="A448" t="inlineStr">
        <is>
          <t>A 49633-2025</t>
        </is>
      </c>
      <c r="B448" s="1" t="n">
        <v>45938</v>
      </c>
      <c r="C448" s="1" t="n">
        <v>45985</v>
      </c>
      <c r="D448" t="inlineStr">
        <is>
          <t>ÖSTERGÖTLANDS LÄN</t>
        </is>
      </c>
      <c r="E448" t="inlineStr">
        <is>
          <t>LINKÖPING</t>
        </is>
      </c>
      <c r="F448" t="inlineStr">
        <is>
          <t>Övriga Aktiebolag</t>
        </is>
      </c>
      <c r="G448" t="n">
        <v>0.7</v>
      </c>
      <c r="H448" t="n">
        <v>0</v>
      </c>
      <c r="I448" t="n">
        <v>0</v>
      </c>
      <c r="J448" t="n">
        <v>0</v>
      </c>
      <c r="K448" t="n">
        <v>0</v>
      </c>
      <c r="L448" t="n">
        <v>0</v>
      </c>
      <c r="M448" t="n">
        <v>0</v>
      </c>
      <c r="N448" t="n">
        <v>0</v>
      </c>
      <c r="O448" t="n">
        <v>0</v>
      </c>
      <c r="P448" t="n">
        <v>0</v>
      </c>
      <c r="Q448" t="n">
        <v>0</v>
      </c>
      <c r="R448" s="2" t="inlineStr"/>
    </row>
    <row r="449" ht="15" customHeight="1">
      <c r="A449" t="inlineStr">
        <is>
          <t>A 49663-2025</t>
        </is>
      </c>
      <c r="B449" s="1" t="n">
        <v>45938</v>
      </c>
      <c r="C449" s="1" t="n">
        <v>45985</v>
      </c>
      <c r="D449" t="inlineStr">
        <is>
          <t>ÖSTERGÖTLANDS LÄN</t>
        </is>
      </c>
      <c r="E449" t="inlineStr">
        <is>
          <t>LINKÖPING</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63935-2021</t>
        </is>
      </c>
      <c r="B450" s="1" t="n">
        <v>44509</v>
      </c>
      <c r="C450" s="1" t="n">
        <v>45985</v>
      </c>
      <c r="D450" t="inlineStr">
        <is>
          <t>ÖSTERGÖTLANDS LÄN</t>
        </is>
      </c>
      <c r="E450" t="inlineStr">
        <is>
          <t>LINKÖPING</t>
        </is>
      </c>
      <c r="F450" t="inlineStr">
        <is>
          <t>Övriga statliga verk och myndigheter</t>
        </is>
      </c>
      <c r="G450" t="n">
        <v>2.8</v>
      </c>
      <c r="H450" t="n">
        <v>0</v>
      </c>
      <c r="I450" t="n">
        <v>0</v>
      </c>
      <c r="J450" t="n">
        <v>0</v>
      </c>
      <c r="K450" t="n">
        <v>0</v>
      </c>
      <c r="L450" t="n">
        <v>0</v>
      </c>
      <c r="M450" t="n">
        <v>0</v>
      </c>
      <c r="N450" t="n">
        <v>0</v>
      </c>
      <c r="O450" t="n">
        <v>0</v>
      </c>
      <c r="P450" t="n">
        <v>0</v>
      </c>
      <c r="Q450" t="n">
        <v>0</v>
      </c>
      <c r="R450" s="2" t="inlineStr"/>
    </row>
    <row r="451" ht="15" customHeight="1">
      <c r="A451" t="inlineStr">
        <is>
          <t>A 49455-2025</t>
        </is>
      </c>
      <c r="B451" s="1" t="n">
        <v>45938</v>
      </c>
      <c r="C451" s="1" t="n">
        <v>45985</v>
      </c>
      <c r="D451" t="inlineStr">
        <is>
          <t>ÖSTERGÖTLANDS LÄN</t>
        </is>
      </c>
      <c r="E451" t="inlineStr">
        <is>
          <t>LINKÖPING</t>
        </is>
      </c>
      <c r="F451" t="inlineStr">
        <is>
          <t>Övriga Aktiebolag</t>
        </is>
      </c>
      <c r="G451" t="n">
        <v>5.9</v>
      </c>
      <c r="H451" t="n">
        <v>0</v>
      </c>
      <c r="I451" t="n">
        <v>0</v>
      </c>
      <c r="J451" t="n">
        <v>0</v>
      </c>
      <c r="K451" t="n">
        <v>0</v>
      </c>
      <c r="L451" t="n">
        <v>0</v>
      </c>
      <c r="M451" t="n">
        <v>0</v>
      </c>
      <c r="N451" t="n">
        <v>0</v>
      </c>
      <c r="O451" t="n">
        <v>0</v>
      </c>
      <c r="P451" t="n">
        <v>0</v>
      </c>
      <c r="Q451" t="n">
        <v>0</v>
      </c>
      <c r="R451" s="2" t="inlineStr"/>
    </row>
    <row r="452" ht="15" customHeight="1">
      <c r="A452" t="inlineStr">
        <is>
          <t>A 40810-2022</t>
        </is>
      </c>
      <c r="B452" s="1" t="n">
        <v>44824</v>
      </c>
      <c r="C452" s="1" t="n">
        <v>45985</v>
      </c>
      <c r="D452" t="inlineStr">
        <is>
          <t>ÖSTERGÖTLANDS LÄN</t>
        </is>
      </c>
      <c r="E452" t="inlineStr">
        <is>
          <t>LINKÖPING</t>
        </is>
      </c>
      <c r="G452" t="n">
        <v>2.8</v>
      </c>
      <c r="H452" t="n">
        <v>0</v>
      </c>
      <c r="I452" t="n">
        <v>0</v>
      </c>
      <c r="J452" t="n">
        <v>0</v>
      </c>
      <c r="K452" t="n">
        <v>0</v>
      </c>
      <c r="L452" t="n">
        <v>0</v>
      </c>
      <c r="M452" t="n">
        <v>0</v>
      </c>
      <c r="N452" t="n">
        <v>0</v>
      </c>
      <c r="O452" t="n">
        <v>0</v>
      </c>
      <c r="P452" t="n">
        <v>0</v>
      </c>
      <c r="Q452" t="n">
        <v>0</v>
      </c>
      <c r="R452" s="2" t="inlineStr"/>
    </row>
    <row r="453" ht="15" customHeight="1">
      <c r="A453" t="inlineStr">
        <is>
          <t>A 49652-2025</t>
        </is>
      </c>
      <c r="B453" s="1" t="n">
        <v>45938</v>
      </c>
      <c r="C453" s="1" t="n">
        <v>45985</v>
      </c>
      <c r="D453" t="inlineStr">
        <is>
          <t>ÖSTERGÖTLANDS LÄN</t>
        </is>
      </c>
      <c r="E453" t="inlineStr">
        <is>
          <t>LINKÖPING</t>
        </is>
      </c>
      <c r="F453" t="inlineStr">
        <is>
          <t>Övriga Aktiebolag</t>
        </is>
      </c>
      <c r="G453" t="n">
        <v>1.8</v>
      </c>
      <c r="H453" t="n">
        <v>0</v>
      </c>
      <c r="I453" t="n">
        <v>0</v>
      </c>
      <c r="J453" t="n">
        <v>0</v>
      </c>
      <c r="K453" t="n">
        <v>0</v>
      </c>
      <c r="L453" t="n">
        <v>0</v>
      </c>
      <c r="M453" t="n">
        <v>0</v>
      </c>
      <c r="N453" t="n">
        <v>0</v>
      </c>
      <c r="O453" t="n">
        <v>0</v>
      </c>
      <c r="P453" t="n">
        <v>0</v>
      </c>
      <c r="Q453" t="n">
        <v>0</v>
      </c>
      <c r="R453" s="2" t="inlineStr"/>
    </row>
    <row r="454" ht="15" customHeight="1">
      <c r="A454" t="inlineStr">
        <is>
          <t>A 49654-2025</t>
        </is>
      </c>
      <c r="B454" s="1" t="n">
        <v>45938</v>
      </c>
      <c r="C454" s="1" t="n">
        <v>45985</v>
      </c>
      <c r="D454" t="inlineStr">
        <is>
          <t>ÖSTERGÖTLANDS LÄN</t>
        </is>
      </c>
      <c r="E454" t="inlineStr">
        <is>
          <t>LINKÖPING</t>
        </is>
      </c>
      <c r="F454" t="inlineStr">
        <is>
          <t>Övriga Aktiebolag</t>
        </is>
      </c>
      <c r="G454" t="n">
        <v>3.1</v>
      </c>
      <c r="H454" t="n">
        <v>0</v>
      </c>
      <c r="I454" t="n">
        <v>0</v>
      </c>
      <c r="J454" t="n">
        <v>0</v>
      </c>
      <c r="K454" t="n">
        <v>0</v>
      </c>
      <c r="L454" t="n">
        <v>0</v>
      </c>
      <c r="M454" t="n">
        <v>0</v>
      </c>
      <c r="N454" t="n">
        <v>0</v>
      </c>
      <c r="O454" t="n">
        <v>0</v>
      </c>
      <c r="P454" t="n">
        <v>0</v>
      </c>
      <c r="Q454" t="n">
        <v>0</v>
      </c>
      <c r="R454" s="2" t="inlineStr"/>
    </row>
    <row r="455" ht="15" customHeight="1">
      <c r="A455" t="inlineStr">
        <is>
          <t>A 49619-2025</t>
        </is>
      </c>
      <c r="B455" s="1" t="n">
        <v>45938</v>
      </c>
      <c r="C455" s="1" t="n">
        <v>45985</v>
      </c>
      <c r="D455" t="inlineStr">
        <is>
          <t>ÖSTERGÖTLANDS LÄN</t>
        </is>
      </c>
      <c r="E455" t="inlineStr">
        <is>
          <t>LINKÖPING</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49629-2025</t>
        </is>
      </c>
      <c r="B456" s="1" t="n">
        <v>45938</v>
      </c>
      <c r="C456" s="1" t="n">
        <v>45985</v>
      </c>
      <c r="D456" t="inlineStr">
        <is>
          <t>ÖSTERGÖTLANDS LÄN</t>
        </is>
      </c>
      <c r="E456" t="inlineStr">
        <is>
          <t>LINKÖPING</t>
        </is>
      </c>
      <c r="F456" t="inlineStr">
        <is>
          <t>Övriga Aktiebolag</t>
        </is>
      </c>
      <c r="G456" t="n">
        <v>4.5</v>
      </c>
      <c r="H456" t="n">
        <v>0</v>
      </c>
      <c r="I456" t="n">
        <v>0</v>
      </c>
      <c r="J456" t="n">
        <v>0</v>
      </c>
      <c r="K456" t="n">
        <v>0</v>
      </c>
      <c r="L456" t="n">
        <v>0</v>
      </c>
      <c r="M456" t="n">
        <v>0</v>
      </c>
      <c r="N456" t="n">
        <v>0</v>
      </c>
      <c r="O456" t="n">
        <v>0</v>
      </c>
      <c r="P456" t="n">
        <v>0</v>
      </c>
      <c r="Q456" t="n">
        <v>0</v>
      </c>
      <c r="R456" s="2" t="inlineStr"/>
    </row>
    <row r="457" ht="15" customHeight="1">
      <c r="A457" t="inlineStr">
        <is>
          <t>A 49650-2025</t>
        </is>
      </c>
      <c r="B457" s="1" t="n">
        <v>45938</v>
      </c>
      <c r="C457" s="1" t="n">
        <v>45985</v>
      </c>
      <c r="D457" t="inlineStr">
        <is>
          <t>ÖSTERGÖTLANDS LÄN</t>
        </is>
      </c>
      <c r="E457" t="inlineStr">
        <is>
          <t>LINKÖPING</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49632-2025</t>
        </is>
      </c>
      <c r="B458" s="1" t="n">
        <v>45938</v>
      </c>
      <c r="C458" s="1" t="n">
        <v>45985</v>
      </c>
      <c r="D458" t="inlineStr">
        <is>
          <t>ÖSTERGÖTLANDS LÄN</t>
        </is>
      </c>
      <c r="E458" t="inlineStr">
        <is>
          <t>LINKÖPING</t>
        </is>
      </c>
      <c r="F458" t="inlineStr">
        <is>
          <t>Övriga Aktiebolag</t>
        </is>
      </c>
      <c r="G458" t="n">
        <v>1.6</v>
      </c>
      <c r="H458" t="n">
        <v>0</v>
      </c>
      <c r="I458" t="n">
        <v>0</v>
      </c>
      <c r="J458" t="n">
        <v>0</v>
      </c>
      <c r="K458" t="n">
        <v>0</v>
      </c>
      <c r="L458" t="n">
        <v>0</v>
      </c>
      <c r="M458" t="n">
        <v>0</v>
      </c>
      <c r="N458" t="n">
        <v>0</v>
      </c>
      <c r="O458" t="n">
        <v>0</v>
      </c>
      <c r="P458" t="n">
        <v>0</v>
      </c>
      <c r="Q458" t="n">
        <v>0</v>
      </c>
      <c r="R458" s="2" t="inlineStr"/>
    </row>
    <row r="459" ht="15" customHeight="1">
      <c r="A459" t="inlineStr">
        <is>
          <t>A 49615-2025</t>
        </is>
      </c>
      <c r="B459" s="1" t="n">
        <v>45938</v>
      </c>
      <c r="C459" s="1" t="n">
        <v>45985</v>
      </c>
      <c r="D459" t="inlineStr">
        <is>
          <t>ÖSTERGÖTLANDS LÄN</t>
        </is>
      </c>
      <c r="E459" t="inlineStr">
        <is>
          <t>LINKÖPING</t>
        </is>
      </c>
      <c r="F459" t="inlineStr">
        <is>
          <t>Övriga Aktiebolag</t>
        </is>
      </c>
      <c r="G459" t="n">
        <v>1.6</v>
      </c>
      <c r="H459" t="n">
        <v>0</v>
      </c>
      <c r="I459" t="n">
        <v>0</v>
      </c>
      <c r="J459" t="n">
        <v>0</v>
      </c>
      <c r="K459" t="n">
        <v>0</v>
      </c>
      <c r="L459" t="n">
        <v>0</v>
      </c>
      <c r="M459" t="n">
        <v>0</v>
      </c>
      <c r="N459" t="n">
        <v>0</v>
      </c>
      <c r="O459" t="n">
        <v>0</v>
      </c>
      <c r="P459" t="n">
        <v>0</v>
      </c>
      <c r="Q459" t="n">
        <v>0</v>
      </c>
      <c r="R459" s="2" t="inlineStr"/>
    </row>
    <row r="460" ht="15" customHeight="1">
      <c r="A460" t="inlineStr">
        <is>
          <t>A 20298-2025</t>
        </is>
      </c>
      <c r="B460" s="1" t="n">
        <v>45774.75024305555</v>
      </c>
      <c r="C460" s="1" t="n">
        <v>45985</v>
      </c>
      <c r="D460" t="inlineStr">
        <is>
          <t>ÖSTERGÖTLANDS LÄN</t>
        </is>
      </c>
      <c r="E460" t="inlineStr">
        <is>
          <t>LINKÖPING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14576-2023</t>
        </is>
      </c>
      <c r="B461" s="1" t="n">
        <v>45013</v>
      </c>
      <c r="C461" s="1" t="n">
        <v>45985</v>
      </c>
      <c r="D461" t="inlineStr">
        <is>
          <t>ÖSTERGÖTLANDS LÄN</t>
        </is>
      </c>
      <c r="E461" t="inlineStr">
        <is>
          <t>LINKÖPING</t>
        </is>
      </c>
      <c r="G461" t="n">
        <v>3.2</v>
      </c>
      <c r="H461" t="n">
        <v>0</v>
      </c>
      <c r="I461" t="n">
        <v>0</v>
      </c>
      <c r="J461" t="n">
        <v>0</v>
      </c>
      <c r="K461" t="n">
        <v>0</v>
      </c>
      <c r="L461" t="n">
        <v>0</v>
      </c>
      <c r="M461" t="n">
        <v>0</v>
      </c>
      <c r="N461" t="n">
        <v>0</v>
      </c>
      <c r="O461" t="n">
        <v>0</v>
      </c>
      <c r="P461" t="n">
        <v>0</v>
      </c>
      <c r="Q461" t="n">
        <v>0</v>
      </c>
      <c r="R461" s="2" t="inlineStr"/>
    </row>
    <row r="462" ht="15" customHeight="1">
      <c r="A462" t="inlineStr">
        <is>
          <t>A 12089-2025</t>
        </is>
      </c>
      <c r="B462" s="1" t="n">
        <v>45729</v>
      </c>
      <c r="C462" s="1" t="n">
        <v>45985</v>
      </c>
      <c r="D462" t="inlineStr">
        <is>
          <t>ÖSTERGÖTLANDS LÄN</t>
        </is>
      </c>
      <c r="E462" t="inlineStr">
        <is>
          <t>LINKÖPING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62321-2022</t>
        </is>
      </c>
      <c r="B463" s="1" t="n">
        <v>44916</v>
      </c>
      <c r="C463" s="1" t="n">
        <v>45985</v>
      </c>
      <c r="D463" t="inlineStr">
        <is>
          <t>ÖSTERGÖTLANDS LÄN</t>
        </is>
      </c>
      <c r="E463" t="inlineStr">
        <is>
          <t>LINKÖPING</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43475-2024</t>
        </is>
      </c>
      <c r="B464" s="1" t="n">
        <v>45568</v>
      </c>
      <c r="C464" s="1" t="n">
        <v>45985</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17103-2025</t>
        </is>
      </c>
      <c r="B465" s="1" t="n">
        <v>45755.66143518518</v>
      </c>
      <c r="C465" s="1" t="n">
        <v>45985</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30551-2023</t>
        </is>
      </c>
      <c r="B466" s="1" t="n">
        <v>45111</v>
      </c>
      <c r="C466" s="1" t="n">
        <v>45985</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50784-2022</t>
        </is>
      </c>
      <c r="B467" s="1" t="n">
        <v>44862</v>
      </c>
      <c r="C467" s="1" t="n">
        <v>45985</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22043-2023</t>
        </is>
      </c>
      <c r="B468" s="1" t="n">
        <v>45069.39050925926</v>
      </c>
      <c r="C468" s="1" t="n">
        <v>45985</v>
      </c>
      <c r="D468" t="inlineStr">
        <is>
          <t>ÖSTERGÖTLANDS LÄN</t>
        </is>
      </c>
      <c r="E468" t="inlineStr">
        <is>
          <t>LINKÖPING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49656-2021</t>
        </is>
      </c>
      <c r="B469" s="1" t="n">
        <v>44454</v>
      </c>
      <c r="C469" s="1" t="n">
        <v>45985</v>
      </c>
      <c r="D469" t="inlineStr">
        <is>
          <t>ÖSTERGÖTLANDS LÄN</t>
        </is>
      </c>
      <c r="E469" t="inlineStr">
        <is>
          <t>LINKÖPING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30465-2023</t>
        </is>
      </c>
      <c r="B470" s="1" t="n">
        <v>45111</v>
      </c>
      <c r="C470" s="1" t="n">
        <v>45985</v>
      </c>
      <c r="D470" t="inlineStr">
        <is>
          <t>ÖSTERGÖTLANDS LÄN</t>
        </is>
      </c>
      <c r="E470" t="inlineStr">
        <is>
          <t>LINKÖPING</t>
        </is>
      </c>
      <c r="F470" t="inlineStr">
        <is>
          <t>Övriga Aktiebolag</t>
        </is>
      </c>
      <c r="G470" t="n">
        <v>0.7</v>
      </c>
      <c r="H470" t="n">
        <v>0</v>
      </c>
      <c r="I470" t="n">
        <v>0</v>
      </c>
      <c r="J470" t="n">
        <v>0</v>
      </c>
      <c r="K470" t="n">
        <v>0</v>
      </c>
      <c r="L470" t="n">
        <v>0</v>
      </c>
      <c r="M470" t="n">
        <v>0</v>
      </c>
      <c r="N470" t="n">
        <v>0</v>
      </c>
      <c r="O470" t="n">
        <v>0</v>
      </c>
      <c r="P470" t="n">
        <v>0</v>
      </c>
      <c r="Q470" t="n">
        <v>0</v>
      </c>
      <c r="R470" s="2" t="inlineStr"/>
    </row>
    <row r="471" ht="15" customHeight="1">
      <c r="A471" t="inlineStr">
        <is>
          <t>A 30521-2024</t>
        </is>
      </c>
      <c r="B471" s="1" t="n">
        <v>45492</v>
      </c>
      <c r="C471" s="1" t="n">
        <v>45985</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40618-2021</t>
        </is>
      </c>
      <c r="B472" s="1" t="n">
        <v>44420.49575231481</v>
      </c>
      <c r="C472" s="1" t="n">
        <v>45985</v>
      </c>
      <c r="D472" t="inlineStr">
        <is>
          <t>ÖSTERGÖTLANDS LÄN</t>
        </is>
      </c>
      <c r="E472" t="inlineStr">
        <is>
          <t>LINKÖPING</t>
        </is>
      </c>
      <c r="G472" t="n">
        <v>2.3</v>
      </c>
      <c r="H472" t="n">
        <v>0</v>
      </c>
      <c r="I472" t="n">
        <v>0</v>
      </c>
      <c r="J472" t="n">
        <v>0</v>
      </c>
      <c r="K472" t="n">
        <v>0</v>
      </c>
      <c r="L472" t="n">
        <v>0</v>
      </c>
      <c r="M472" t="n">
        <v>0</v>
      </c>
      <c r="N472" t="n">
        <v>0</v>
      </c>
      <c r="O472" t="n">
        <v>0</v>
      </c>
      <c r="P472" t="n">
        <v>0</v>
      </c>
      <c r="Q472" t="n">
        <v>0</v>
      </c>
      <c r="R472" s="2" t="inlineStr"/>
    </row>
    <row r="473" ht="15" customHeight="1">
      <c r="A473" t="inlineStr">
        <is>
          <t>A 62374-2020</t>
        </is>
      </c>
      <c r="B473" s="1" t="n">
        <v>44159</v>
      </c>
      <c r="C473" s="1" t="n">
        <v>45985</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23735-2023</t>
        </is>
      </c>
      <c r="B474" s="1" t="n">
        <v>45077</v>
      </c>
      <c r="C474" s="1" t="n">
        <v>45985</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350-2022</t>
        </is>
      </c>
      <c r="B475" s="1" t="n">
        <v>44565</v>
      </c>
      <c r="C475" s="1" t="n">
        <v>45985</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4256-2022</t>
        </is>
      </c>
      <c r="B476" s="1" t="n">
        <v>44588</v>
      </c>
      <c r="C476" s="1" t="n">
        <v>45985</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25948-2023</t>
        </is>
      </c>
      <c r="B477" s="1" t="n">
        <v>45090</v>
      </c>
      <c r="C477" s="1" t="n">
        <v>45985</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33867-2023</t>
        </is>
      </c>
      <c r="B478" s="1" t="n">
        <v>45133.94640046296</v>
      </c>
      <c r="C478" s="1" t="n">
        <v>45985</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24462-2023</t>
        </is>
      </c>
      <c r="B479" s="1" t="n">
        <v>45082</v>
      </c>
      <c r="C479" s="1" t="n">
        <v>45985</v>
      </c>
      <c r="D479" t="inlineStr">
        <is>
          <t>ÖSTERGÖTLANDS LÄN</t>
        </is>
      </c>
      <c r="E479" t="inlineStr">
        <is>
          <t>LINKÖPING</t>
        </is>
      </c>
      <c r="G479" t="n">
        <v>3.5</v>
      </c>
      <c r="H479" t="n">
        <v>0</v>
      </c>
      <c r="I479" t="n">
        <v>0</v>
      </c>
      <c r="J479" t="n">
        <v>0</v>
      </c>
      <c r="K479" t="n">
        <v>0</v>
      </c>
      <c r="L479" t="n">
        <v>0</v>
      </c>
      <c r="M479" t="n">
        <v>0</v>
      </c>
      <c r="N479" t="n">
        <v>0</v>
      </c>
      <c r="O479" t="n">
        <v>0</v>
      </c>
      <c r="P479" t="n">
        <v>0</v>
      </c>
      <c r="Q479" t="n">
        <v>0</v>
      </c>
      <c r="R479" s="2" t="inlineStr"/>
    </row>
    <row r="480" ht="15" customHeight="1">
      <c r="A480" t="inlineStr">
        <is>
          <t>A 48829-2023</t>
        </is>
      </c>
      <c r="B480" s="1" t="n">
        <v>45209.38177083333</v>
      </c>
      <c r="C480" s="1" t="n">
        <v>45985</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38231-2022</t>
        </is>
      </c>
      <c r="B481" s="1" t="n">
        <v>44812</v>
      </c>
      <c r="C481" s="1" t="n">
        <v>45985</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50799-2022</t>
        </is>
      </c>
      <c r="B482" s="1" t="n">
        <v>44862</v>
      </c>
      <c r="C482" s="1" t="n">
        <v>45985</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40431-2024</t>
        </is>
      </c>
      <c r="B483" s="1" t="n">
        <v>45555.47070601852</v>
      </c>
      <c r="C483" s="1" t="n">
        <v>45985</v>
      </c>
      <c r="D483" t="inlineStr">
        <is>
          <t>ÖSTERGÖTLANDS LÄN</t>
        </is>
      </c>
      <c r="E483" t="inlineStr">
        <is>
          <t>LINKÖPING</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267-2023</t>
        </is>
      </c>
      <c r="B484" s="1" t="n">
        <v>44928.80907407407</v>
      </c>
      <c r="C484" s="1" t="n">
        <v>45985</v>
      </c>
      <c r="D484" t="inlineStr">
        <is>
          <t>ÖSTERGÖTLANDS LÄN</t>
        </is>
      </c>
      <c r="E484" t="inlineStr">
        <is>
          <t>LINKÖPING</t>
        </is>
      </c>
      <c r="G484" t="n">
        <v>2.7</v>
      </c>
      <c r="H484" t="n">
        <v>0</v>
      </c>
      <c r="I484" t="n">
        <v>0</v>
      </c>
      <c r="J484" t="n">
        <v>0</v>
      </c>
      <c r="K484" t="n">
        <v>0</v>
      </c>
      <c r="L484" t="n">
        <v>0</v>
      </c>
      <c r="M484" t="n">
        <v>0</v>
      </c>
      <c r="N484" t="n">
        <v>0</v>
      </c>
      <c r="O484" t="n">
        <v>0</v>
      </c>
      <c r="P484" t="n">
        <v>0</v>
      </c>
      <c r="Q484" t="n">
        <v>0</v>
      </c>
      <c r="R484" s="2" t="inlineStr"/>
    </row>
    <row r="485" ht="15" customHeight="1">
      <c r="A485" t="inlineStr">
        <is>
          <t>A 26618-2023</t>
        </is>
      </c>
      <c r="B485" s="1" t="n">
        <v>45092.70306712963</v>
      </c>
      <c r="C485" s="1" t="n">
        <v>45985</v>
      </c>
      <c r="D485" t="inlineStr">
        <is>
          <t>ÖSTERGÖTLANDS LÄN</t>
        </is>
      </c>
      <c r="E485" t="inlineStr">
        <is>
          <t>LINKÖPING</t>
        </is>
      </c>
      <c r="G485" t="n">
        <v>6.9</v>
      </c>
      <c r="H485" t="n">
        <v>0</v>
      </c>
      <c r="I485" t="n">
        <v>0</v>
      </c>
      <c r="J485" t="n">
        <v>0</v>
      </c>
      <c r="K485" t="n">
        <v>0</v>
      </c>
      <c r="L485" t="n">
        <v>0</v>
      </c>
      <c r="M485" t="n">
        <v>0</v>
      </c>
      <c r="N485" t="n">
        <v>0</v>
      </c>
      <c r="O485" t="n">
        <v>0</v>
      </c>
      <c r="P485" t="n">
        <v>0</v>
      </c>
      <c r="Q485" t="n">
        <v>0</v>
      </c>
      <c r="R485" s="2" t="inlineStr"/>
    </row>
    <row r="486" ht="15" customHeight="1">
      <c r="A486" t="inlineStr">
        <is>
          <t>A 63665-2023</t>
        </is>
      </c>
      <c r="B486" s="1" t="n">
        <v>45275</v>
      </c>
      <c r="C486" s="1" t="n">
        <v>45985</v>
      </c>
      <c r="D486" t="inlineStr">
        <is>
          <t>ÖSTERGÖTLANDS LÄN</t>
        </is>
      </c>
      <c r="E486" t="inlineStr">
        <is>
          <t>LINKÖPING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67123-2020</t>
        </is>
      </c>
      <c r="B487" s="1" t="n">
        <v>44180</v>
      </c>
      <c r="C487" s="1" t="n">
        <v>45985</v>
      </c>
      <c r="D487" t="inlineStr">
        <is>
          <t>ÖSTERGÖTLANDS LÄN</t>
        </is>
      </c>
      <c r="E487" t="inlineStr">
        <is>
          <t>LINKÖPING</t>
        </is>
      </c>
      <c r="F487" t="inlineStr">
        <is>
          <t>Övriga statliga verk och myndigheter</t>
        </is>
      </c>
      <c r="G487" t="n">
        <v>1.3</v>
      </c>
      <c r="H487" t="n">
        <v>0</v>
      </c>
      <c r="I487" t="n">
        <v>0</v>
      </c>
      <c r="J487" t="n">
        <v>0</v>
      </c>
      <c r="K487" t="n">
        <v>0</v>
      </c>
      <c r="L487" t="n">
        <v>0</v>
      </c>
      <c r="M487" t="n">
        <v>0</v>
      </c>
      <c r="N487" t="n">
        <v>0</v>
      </c>
      <c r="O487" t="n">
        <v>0</v>
      </c>
      <c r="P487" t="n">
        <v>0</v>
      </c>
      <c r="Q487" t="n">
        <v>0</v>
      </c>
      <c r="R487" s="2" t="inlineStr"/>
    </row>
    <row r="488" ht="15" customHeight="1">
      <c r="A488" t="inlineStr">
        <is>
          <t>A 30429-2024</t>
        </is>
      </c>
      <c r="B488" s="1" t="n">
        <v>45491.68972222223</v>
      </c>
      <c r="C488" s="1" t="n">
        <v>45985</v>
      </c>
      <c r="D488" t="inlineStr">
        <is>
          <t>ÖSTERGÖTLANDS LÄN</t>
        </is>
      </c>
      <c r="E488" t="inlineStr">
        <is>
          <t>LINKÖPING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30435-2024</t>
        </is>
      </c>
      <c r="B489" s="1" t="n">
        <v>45491.69962962963</v>
      </c>
      <c r="C489" s="1" t="n">
        <v>45985</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53816-2023</t>
        </is>
      </c>
      <c r="B490" s="1" t="n">
        <v>45231.40012731482</v>
      </c>
      <c r="C490" s="1" t="n">
        <v>45985</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36557-2023</t>
        </is>
      </c>
      <c r="B491" s="1" t="n">
        <v>45153</v>
      </c>
      <c r="C491" s="1" t="n">
        <v>45985</v>
      </c>
      <c r="D491" t="inlineStr">
        <is>
          <t>ÖSTERGÖTLANDS LÄN</t>
        </is>
      </c>
      <c r="E491" t="inlineStr">
        <is>
          <t>LINKÖPING</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6599-2023</t>
        </is>
      </c>
      <c r="B492" s="1" t="n">
        <v>44966.52603009259</v>
      </c>
      <c r="C492" s="1" t="n">
        <v>45985</v>
      </c>
      <c r="D492" t="inlineStr">
        <is>
          <t>ÖSTERGÖTLANDS LÄN</t>
        </is>
      </c>
      <c r="E492" t="inlineStr">
        <is>
          <t>LINKÖPING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43473-2024</t>
        </is>
      </c>
      <c r="B493" s="1" t="n">
        <v>45568</v>
      </c>
      <c r="C493" s="1" t="n">
        <v>45985</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61532-2021</t>
        </is>
      </c>
      <c r="B494" s="1" t="n">
        <v>44501</v>
      </c>
      <c r="C494" s="1" t="n">
        <v>45985</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3374-2023</t>
        </is>
      </c>
      <c r="B495" s="1" t="n">
        <v>44949</v>
      </c>
      <c r="C495" s="1" t="n">
        <v>45985</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224-2024</t>
        </is>
      </c>
      <c r="B496" s="1" t="n">
        <v>45294</v>
      </c>
      <c r="C496" s="1" t="n">
        <v>45985</v>
      </c>
      <c r="D496" t="inlineStr">
        <is>
          <t>ÖSTERGÖTLANDS LÄN</t>
        </is>
      </c>
      <c r="E496" t="inlineStr">
        <is>
          <t>LINKÖPING</t>
        </is>
      </c>
      <c r="G496" t="n">
        <v>2.8</v>
      </c>
      <c r="H496" t="n">
        <v>0</v>
      </c>
      <c r="I496" t="n">
        <v>0</v>
      </c>
      <c r="J496" t="n">
        <v>0</v>
      </c>
      <c r="K496" t="n">
        <v>0</v>
      </c>
      <c r="L496" t="n">
        <v>0</v>
      </c>
      <c r="M496" t="n">
        <v>0</v>
      </c>
      <c r="N496" t="n">
        <v>0</v>
      </c>
      <c r="O496" t="n">
        <v>0</v>
      </c>
      <c r="P496" t="n">
        <v>0</v>
      </c>
      <c r="Q496" t="n">
        <v>0</v>
      </c>
      <c r="R496" s="2" t="inlineStr"/>
    </row>
    <row r="497" ht="15" customHeight="1">
      <c r="A497" t="inlineStr">
        <is>
          <t>A 6726-2024</t>
        </is>
      </c>
      <c r="B497" s="1" t="n">
        <v>45341</v>
      </c>
      <c r="C497" s="1" t="n">
        <v>45985</v>
      </c>
      <c r="D497" t="inlineStr">
        <is>
          <t>ÖSTERGÖTLANDS LÄN</t>
        </is>
      </c>
      <c r="E497" t="inlineStr">
        <is>
          <t>LINKÖPING</t>
        </is>
      </c>
      <c r="G497" t="n">
        <v>2.7</v>
      </c>
      <c r="H497" t="n">
        <v>0</v>
      </c>
      <c r="I497" t="n">
        <v>0</v>
      </c>
      <c r="J497" t="n">
        <v>0</v>
      </c>
      <c r="K497" t="n">
        <v>0</v>
      </c>
      <c r="L497" t="n">
        <v>0</v>
      </c>
      <c r="M497" t="n">
        <v>0</v>
      </c>
      <c r="N497" t="n">
        <v>0</v>
      </c>
      <c r="O497" t="n">
        <v>0</v>
      </c>
      <c r="P497" t="n">
        <v>0</v>
      </c>
      <c r="Q497" t="n">
        <v>0</v>
      </c>
      <c r="R497" s="2" t="inlineStr"/>
    </row>
    <row r="498" ht="15" customHeight="1">
      <c r="A498" t="inlineStr">
        <is>
          <t>A 53814-2023</t>
        </is>
      </c>
      <c r="B498" s="1" t="n">
        <v>45231</v>
      </c>
      <c r="C498" s="1" t="n">
        <v>45985</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60004-2022</t>
        </is>
      </c>
      <c r="B499" s="1" t="n">
        <v>44909.47206018519</v>
      </c>
      <c r="C499" s="1" t="n">
        <v>45985</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52796-2023</t>
        </is>
      </c>
      <c r="B500" s="1" t="n">
        <v>45219</v>
      </c>
      <c r="C500" s="1" t="n">
        <v>45985</v>
      </c>
      <c r="D500" t="inlineStr">
        <is>
          <t>ÖSTERGÖTLANDS LÄN</t>
        </is>
      </c>
      <c r="E500" t="inlineStr">
        <is>
          <t>LINKÖPING</t>
        </is>
      </c>
      <c r="F500" t="inlineStr">
        <is>
          <t>Övriga statliga verk och myndigheter</t>
        </is>
      </c>
      <c r="G500" t="n">
        <v>3.9</v>
      </c>
      <c r="H500" t="n">
        <v>0</v>
      </c>
      <c r="I500" t="n">
        <v>0</v>
      </c>
      <c r="J500" t="n">
        <v>0</v>
      </c>
      <c r="K500" t="n">
        <v>0</v>
      </c>
      <c r="L500" t="n">
        <v>0</v>
      </c>
      <c r="M500" t="n">
        <v>0</v>
      </c>
      <c r="N500" t="n">
        <v>0</v>
      </c>
      <c r="O500" t="n">
        <v>0</v>
      </c>
      <c r="P500" t="n">
        <v>0</v>
      </c>
      <c r="Q500" t="n">
        <v>0</v>
      </c>
      <c r="R500" s="2" t="inlineStr"/>
    </row>
    <row r="501" ht="15" customHeight="1">
      <c r="A501" t="inlineStr">
        <is>
          <t>A 50743-2023</t>
        </is>
      </c>
      <c r="B501" s="1" t="n">
        <v>45217</v>
      </c>
      <c r="C501" s="1" t="n">
        <v>45985</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45771-2023</t>
        </is>
      </c>
      <c r="B502" s="1" t="n">
        <v>45195.4384375</v>
      </c>
      <c r="C502" s="1" t="n">
        <v>45985</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63554-2023</t>
        </is>
      </c>
      <c r="B503" s="1" t="n">
        <v>45275</v>
      </c>
      <c r="C503" s="1" t="n">
        <v>45985</v>
      </c>
      <c r="D503" t="inlineStr">
        <is>
          <t>ÖSTERGÖTLANDS LÄN</t>
        </is>
      </c>
      <c r="E503" t="inlineStr">
        <is>
          <t>LINKÖPING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30111-2024</t>
        </is>
      </c>
      <c r="B504" s="1" t="n">
        <v>45489.46947916667</v>
      </c>
      <c r="C504" s="1" t="n">
        <v>45985</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30119-2024</t>
        </is>
      </c>
      <c r="B505" s="1" t="n">
        <v>45489</v>
      </c>
      <c r="C505" s="1" t="n">
        <v>45985</v>
      </c>
      <c r="D505" t="inlineStr">
        <is>
          <t>ÖSTERGÖTLANDS LÄN</t>
        </is>
      </c>
      <c r="E505" t="inlineStr">
        <is>
          <t>LINKÖPING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6206-2024</t>
        </is>
      </c>
      <c r="B506" s="1" t="n">
        <v>45337.5977662037</v>
      </c>
      <c r="C506" s="1" t="n">
        <v>45985</v>
      </c>
      <c r="D506" t="inlineStr">
        <is>
          <t>ÖSTERGÖTLANDS LÄN</t>
        </is>
      </c>
      <c r="E506" t="inlineStr">
        <is>
          <t>LINKÖPING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15714-2024</t>
        </is>
      </c>
      <c r="B507" s="1" t="n">
        <v>45404.48288194444</v>
      </c>
      <c r="C507" s="1" t="n">
        <v>45985</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30481-2023</t>
        </is>
      </c>
      <c r="B508" s="1" t="n">
        <v>45111</v>
      </c>
      <c r="C508" s="1" t="n">
        <v>45985</v>
      </c>
      <c r="D508" t="inlineStr">
        <is>
          <t>ÖSTERGÖTLANDS LÄN</t>
        </is>
      </c>
      <c r="E508" t="inlineStr">
        <is>
          <t>LINKÖPING</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74160-2021</t>
        </is>
      </c>
      <c r="B509" s="1" t="n">
        <v>44558</v>
      </c>
      <c r="C509" s="1" t="n">
        <v>45985</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63559-2023</t>
        </is>
      </c>
      <c r="B510" s="1" t="n">
        <v>45275.35924768518</v>
      </c>
      <c r="C510" s="1" t="n">
        <v>45985</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23491-2024</t>
        </is>
      </c>
      <c r="B511" s="1" t="n">
        <v>45453</v>
      </c>
      <c r="C511" s="1" t="n">
        <v>45985</v>
      </c>
      <c r="D511" t="inlineStr">
        <is>
          <t>ÖSTERGÖTLANDS LÄN</t>
        </is>
      </c>
      <c r="E511" t="inlineStr">
        <is>
          <t>LINKÖPING</t>
        </is>
      </c>
      <c r="G511" t="n">
        <v>2.2</v>
      </c>
      <c r="H511" t="n">
        <v>0</v>
      </c>
      <c r="I511" t="n">
        <v>0</v>
      </c>
      <c r="J511" t="n">
        <v>0</v>
      </c>
      <c r="K511" t="n">
        <v>0</v>
      </c>
      <c r="L511" t="n">
        <v>0</v>
      </c>
      <c r="M511" t="n">
        <v>0</v>
      </c>
      <c r="N511" t="n">
        <v>0</v>
      </c>
      <c r="O511" t="n">
        <v>0</v>
      </c>
      <c r="P511" t="n">
        <v>0</v>
      </c>
      <c r="Q511" t="n">
        <v>0</v>
      </c>
      <c r="R511" s="2" t="inlineStr"/>
    </row>
    <row r="512" ht="15" customHeight="1">
      <c r="A512" t="inlineStr">
        <is>
          <t>A 29309-2024</t>
        </is>
      </c>
      <c r="B512" s="1" t="n">
        <v>45483</v>
      </c>
      <c r="C512" s="1" t="n">
        <v>45985</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29411-2023</t>
        </is>
      </c>
      <c r="B513" s="1" t="n">
        <v>45106.46225694445</v>
      </c>
      <c r="C513" s="1" t="n">
        <v>45985</v>
      </c>
      <c r="D513" t="inlineStr">
        <is>
          <t>ÖSTERGÖTLANDS LÄN</t>
        </is>
      </c>
      <c r="E513" t="inlineStr">
        <is>
          <t>LINKÖPING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29412-2023</t>
        </is>
      </c>
      <c r="B514" s="1" t="n">
        <v>45106.46359953703</v>
      </c>
      <c r="C514" s="1" t="n">
        <v>45985</v>
      </c>
      <c r="D514" t="inlineStr">
        <is>
          <t>ÖSTERGÖTLANDS LÄN</t>
        </is>
      </c>
      <c r="E514" t="inlineStr">
        <is>
          <t>LINKÖPING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29413-2023</t>
        </is>
      </c>
      <c r="B515" s="1" t="n">
        <v>45106.46465277778</v>
      </c>
      <c r="C515" s="1" t="n">
        <v>45985</v>
      </c>
      <c r="D515" t="inlineStr">
        <is>
          <t>ÖSTERGÖTLANDS LÄN</t>
        </is>
      </c>
      <c r="E515" t="inlineStr">
        <is>
          <t>LINKÖPING</t>
        </is>
      </c>
      <c r="G515" t="n">
        <v>8</v>
      </c>
      <c r="H515" t="n">
        <v>0</v>
      </c>
      <c r="I515" t="n">
        <v>0</v>
      </c>
      <c r="J515" t="n">
        <v>0</v>
      </c>
      <c r="K515" t="n">
        <v>0</v>
      </c>
      <c r="L515" t="n">
        <v>0</v>
      </c>
      <c r="M515" t="n">
        <v>0</v>
      </c>
      <c r="N515" t="n">
        <v>0</v>
      </c>
      <c r="O515" t="n">
        <v>0</v>
      </c>
      <c r="P515" t="n">
        <v>0</v>
      </c>
      <c r="Q515" t="n">
        <v>0</v>
      </c>
      <c r="R515" s="2" t="inlineStr"/>
    </row>
    <row r="516" ht="15" customHeight="1">
      <c r="A516" t="inlineStr">
        <is>
          <t>A 24151-2024</t>
        </is>
      </c>
      <c r="B516" s="1" t="n">
        <v>45456.67717592593</v>
      </c>
      <c r="C516" s="1" t="n">
        <v>45985</v>
      </c>
      <c r="D516" t="inlineStr">
        <is>
          <t>ÖSTERGÖTLANDS LÄN</t>
        </is>
      </c>
      <c r="E516" t="inlineStr">
        <is>
          <t>LINKÖPING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63845-2021</t>
        </is>
      </c>
      <c r="B517" s="1" t="n">
        <v>44509</v>
      </c>
      <c r="C517" s="1" t="n">
        <v>45985</v>
      </c>
      <c r="D517" t="inlineStr">
        <is>
          <t>ÖSTERGÖTLANDS LÄN</t>
        </is>
      </c>
      <c r="E517" t="inlineStr">
        <is>
          <t>LINKÖPING</t>
        </is>
      </c>
      <c r="G517" t="n">
        <v>5</v>
      </c>
      <c r="H517" t="n">
        <v>0</v>
      </c>
      <c r="I517" t="n">
        <v>0</v>
      </c>
      <c r="J517" t="n">
        <v>0</v>
      </c>
      <c r="K517" t="n">
        <v>0</v>
      </c>
      <c r="L517" t="n">
        <v>0</v>
      </c>
      <c r="M517" t="n">
        <v>0</v>
      </c>
      <c r="N517" t="n">
        <v>0</v>
      </c>
      <c r="O517" t="n">
        <v>0</v>
      </c>
      <c r="P517" t="n">
        <v>0</v>
      </c>
      <c r="Q517" t="n">
        <v>0</v>
      </c>
      <c r="R517" s="2" t="inlineStr"/>
    </row>
    <row r="518" ht="15" customHeight="1">
      <c r="A518" t="inlineStr">
        <is>
          <t>A 17785-2023</t>
        </is>
      </c>
      <c r="B518" s="1" t="n">
        <v>45037.55094907407</v>
      </c>
      <c r="C518" s="1" t="n">
        <v>45985</v>
      </c>
      <c r="D518" t="inlineStr">
        <is>
          <t>ÖSTERGÖTLANDS LÄN</t>
        </is>
      </c>
      <c r="E518" t="inlineStr">
        <is>
          <t>LINKÖPING</t>
        </is>
      </c>
      <c r="F518" t="inlineStr">
        <is>
          <t>Allmännings- och besparingsskogar</t>
        </is>
      </c>
      <c r="G518" t="n">
        <v>3.1</v>
      </c>
      <c r="H518" t="n">
        <v>0</v>
      </c>
      <c r="I518" t="n">
        <v>0</v>
      </c>
      <c r="J518" t="n">
        <v>0</v>
      </c>
      <c r="K518" t="n">
        <v>0</v>
      </c>
      <c r="L518" t="n">
        <v>0</v>
      </c>
      <c r="M518" t="n">
        <v>0</v>
      </c>
      <c r="N518" t="n">
        <v>0</v>
      </c>
      <c r="O518" t="n">
        <v>0</v>
      </c>
      <c r="P518" t="n">
        <v>0</v>
      </c>
      <c r="Q518" t="n">
        <v>0</v>
      </c>
      <c r="R518" s="2" t="inlineStr"/>
    </row>
    <row r="519" ht="15" customHeight="1">
      <c r="A519" t="inlineStr">
        <is>
          <t>A 32346-2023</t>
        </is>
      </c>
      <c r="B519" s="1" t="n">
        <v>45120</v>
      </c>
      <c r="C519" s="1" t="n">
        <v>45985</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1627-2023</t>
        </is>
      </c>
      <c r="B520" s="1" t="n">
        <v>44937</v>
      </c>
      <c r="C520" s="1" t="n">
        <v>45985</v>
      </c>
      <c r="D520" t="inlineStr">
        <is>
          <t>ÖSTERGÖTLANDS LÄN</t>
        </is>
      </c>
      <c r="E520" t="inlineStr">
        <is>
          <t>LINKÖPING</t>
        </is>
      </c>
      <c r="G520" t="n">
        <v>10.8</v>
      </c>
      <c r="H520" t="n">
        <v>0</v>
      </c>
      <c r="I520" t="n">
        <v>0</v>
      </c>
      <c r="J520" t="n">
        <v>0</v>
      </c>
      <c r="K520" t="n">
        <v>0</v>
      </c>
      <c r="L520" t="n">
        <v>0</v>
      </c>
      <c r="M520" t="n">
        <v>0</v>
      </c>
      <c r="N520" t="n">
        <v>0</v>
      </c>
      <c r="O520" t="n">
        <v>0</v>
      </c>
      <c r="P520" t="n">
        <v>0</v>
      </c>
      <c r="Q520" t="n">
        <v>0</v>
      </c>
      <c r="R520" s="2" t="inlineStr"/>
    </row>
    <row r="521" ht="15" customHeight="1">
      <c r="A521" t="inlineStr">
        <is>
          <t>A 16665-2023</t>
        </is>
      </c>
      <c r="B521" s="1" t="n">
        <v>45030.5583912037</v>
      </c>
      <c r="C521" s="1" t="n">
        <v>45985</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60860-2024</t>
        </is>
      </c>
      <c r="B522" s="1" t="n">
        <v>45644.6893287037</v>
      </c>
      <c r="C522" s="1" t="n">
        <v>45985</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31640-2023</t>
        </is>
      </c>
      <c r="B523" s="1" t="n">
        <v>45117</v>
      </c>
      <c r="C523" s="1" t="n">
        <v>45985</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16213-2025</t>
        </is>
      </c>
      <c r="B524" s="1" t="n">
        <v>45750.62740740741</v>
      </c>
      <c r="C524" s="1" t="n">
        <v>45985</v>
      </c>
      <c r="D524" t="inlineStr">
        <is>
          <t>ÖSTERGÖTLANDS LÄN</t>
        </is>
      </c>
      <c r="E524" t="inlineStr">
        <is>
          <t>LINKÖPING</t>
        </is>
      </c>
      <c r="G524" t="n">
        <v>3.4</v>
      </c>
      <c r="H524" t="n">
        <v>0</v>
      </c>
      <c r="I524" t="n">
        <v>0</v>
      </c>
      <c r="J524" t="n">
        <v>0</v>
      </c>
      <c r="K524" t="n">
        <v>0</v>
      </c>
      <c r="L524" t="n">
        <v>0</v>
      </c>
      <c r="M524" t="n">
        <v>0</v>
      </c>
      <c r="N524" t="n">
        <v>0</v>
      </c>
      <c r="O524" t="n">
        <v>0</v>
      </c>
      <c r="P524" t="n">
        <v>0</v>
      </c>
      <c r="Q524" t="n">
        <v>0</v>
      </c>
      <c r="R524" s="2" t="inlineStr"/>
    </row>
    <row r="525" ht="15" customHeight="1">
      <c r="A525" t="inlineStr">
        <is>
          <t>A 34872-2023</t>
        </is>
      </c>
      <c r="B525" s="1" t="n">
        <v>45140</v>
      </c>
      <c r="C525" s="1" t="n">
        <v>45985</v>
      </c>
      <c r="D525" t="inlineStr">
        <is>
          <t>ÖSTERGÖTLANDS LÄN</t>
        </is>
      </c>
      <c r="E525" t="inlineStr">
        <is>
          <t>LINKÖPING</t>
        </is>
      </c>
      <c r="G525" t="n">
        <v>4.8</v>
      </c>
      <c r="H525" t="n">
        <v>0</v>
      </c>
      <c r="I525" t="n">
        <v>0</v>
      </c>
      <c r="J525" t="n">
        <v>0</v>
      </c>
      <c r="K525" t="n">
        <v>0</v>
      </c>
      <c r="L525" t="n">
        <v>0</v>
      </c>
      <c r="M525" t="n">
        <v>0</v>
      </c>
      <c r="N525" t="n">
        <v>0</v>
      </c>
      <c r="O525" t="n">
        <v>0</v>
      </c>
      <c r="P525" t="n">
        <v>0</v>
      </c>
      <c r="Q525" t="n">
        <v>0</v>
      </c>
      <c r="R525" s="2" t="inlineStr"/>
    </row>
    <row r="526" ht="15" customHeight="1">
      <c r="A526" t="inlineStr">
        <is>
          <t>A 33000-2023</t>
        </is>
      </c>
      <c r="B526" s="1" t="n">
        <v>45125</v>
      </c>
      <c r="C526" s="1" t="n">
        <v>45985</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2997-2025</t>
        </is>
      </c>
      <c r="B527" s="1" t="n">
        <v>45678.54631944445</v>
      </c>
      <c r="C527" s="1" t="n">
        <v>45985</v>
      </c>
      <c r="D527" t="inlineStr">
        <is>
          <t>ÖSTERGÖTLANDS LÄN</t>
        </is>
      </c>
      <c r="E527" t="inlineStr">
        <is>
          <t>LINKÖPING</t>
        </is>
      </c>
      <c r="G527" t="n">
        <v>2.7</v>
      </c>
      <c r="H527" t="n">
        <v>0</v>
      </c>
      <c r="I527" t="n">
        <v>0</v>
      </c>
      <c r="J527" t="n">
        <v>0</v>
      </c>
      <c r="K527" t="n">
        <v>0</v>
      </c>
      <c r="L527" t="n">
        <v>0</v>
      </c>
      <c r="M527" t="n">
        <v>0</v>
      </c>
      <c r="N527" t="n">
        <v>0</v>
      </c>
      <c r="O527" t="n">
        <v>0</v>
      </c>
      <c r="P527" t="n">
        <v>0</v>
      </c>
      <c r="Q527" t="n">
        <v>0</v>
      </c>
      <c r="R527" s="2" t="inlineStr"/>
    </row>
    <row r="528" ht="15" customHeight="1">
      <c r="A528" t="inlineStr">
        <is>
          <t>A 31534-2023</t>
        </is>
      </c>
      <c r="B528" s="1" t="n">
        <v>45116</v>
      </c>
      <c r="C528" s="1" t="n">
        <v>45985</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26803-2024</t>
        </is>
      </c>
      <c r="B529" s="1" t="n">
        <v>45470</v>
      </c>
      <c r="C529" s="1" t="n">
        <v>45985</v>
      </c>
      <c r="D529" t="inlineStr">
        <is>
          <t>ÖSTERGÖTLANDS LÄN</t>
        </is>
      </c>
      <c r="E529" t="inlineStr">
        <is>
          <t>LINKÖPING</t>
        </is>
      </c>
      <c r="F529" t="inlineStr">
        <is>
          <t>Allmännings- och besparingsskogar</t>
        </is>
      </c>
      <c r="G529" t="n">
        <v>4.5</v>
      </c>
      <c r="H529" t="n">
        <v>0</v>
      </c>
      <c r="I529" t="n">
        <v>0</v>
      </c>
      <c r="J529" t="n">
        <v>0</v>
      </c>
      <c r="K529" t="n">
        <v>0</v>
      </c>
      <c r="L529" t="n">
        <v>0</v>
      </c>
      <c r="M529" t="n">
        <v>0</v>
      </c>
      <c r="N529" t="n">
        <v>0</v>
      </c>
      <c r="O529" t="n">
        <v>0</v>
      </c>
      <c r="P529" t="n">
        <v>0</v>
      </c>
      <c r="Q529" t="n">
        <v>0</v>
      </c>
      <c r="R529" s="2" t="inlineStr"/>
    </row>
    <row r="530" ht="15" customHeight="1">
      <c r="A530" t="inlineStr">
        <is>
          <t>A 45806-2024</t>
        </is>
      </c>
      <c r="B530" s="1" t="n">
        <v>45579.69619212963</v>
      </c>
      <c r="C530" s="1" t="n">
        <v>45985</v>
      </c>
      <c r="D530" t="inlineStr">
        <is>
          <t>ÖSTERGÖTLANDS LÄN</t>
        </is>
      </c>
      <c r="E530" t="inlineStr">
        <is>
          <t>LINKÖPING</t>
        </is>
      </c>
      <c r="G530" t="n">
        <v>1.6</v>
      </c>
      <c r="H530" t="n">
        <v>0</v>
      </c>
      <c r="I530" t="n">
        <v>0</v>
      </c>
      <c r="J530" t="n">
        <v>0</v>
      </c>
      <c r="K530" t="n">
        <v>0</v>
      </c>
      <c r="L530" t="n">
        <v>0</v>
      </c>
      <c r="M530" t="n">
        <v>0</v>
      </c>
      <c r="N530" t="n">
        <v>0</v>
      </c>
      <c r="O530" t="n">
        <v>0</v>
      </c>
      <c r="P530" t="n">
        <v>0</v>
      </c>
      <c r="Q530" t="n">
        <v>0</v>
      </c>
      <c r="R530" s="2" t="inlineStr"/>
    </row>
    <row r="531" ht="15" customHeight="1">
      <c r="A531" t="inlineStr">
        <is>
          <t>A 37154-2023</t>
        </is>
      </c>
      <c r="B531" s="1" t="n">
        <v>45155</v>
      </c>
      <c r="C531" s="1" t="n">
        <v>45985</v>
      </c>
      <c r="D531" t="inlineStr">
        <is>
          <t>ÖSTERGÖTLANDS LÄN</t>
        </is>
      </c>
      <c r="E531" t="inlineStr">
        <is>
          <t>LINKÖPING</t>
        </is>
      </c>
      <c r="G531" t="n">
        <v>1.7</v>
      </c>
      <c r="H531" t="n">
        <v>0</v>
      </c>
      <c r="I531" t="n">
        <v>0</v>
      </c>
      <c r="J531" t="n">
        <v>0</v>
      </c>
      <c r="K531" t="n">
        <v>0</v>
      </c>
      <c r="L531" t="n">
        <v>0</v>
      </c>
      <c r="M531" t="n">
        <v>0</v>
      </c>
      <c r="N531" t="n">
        <v>0</v>
      </c>
      <c r="O531" t="n">
        <v>0</v>
      </c>
      <c r="P531" t="n">
        <v>0</v>
      </c>
      <c r="Q531" t="n">
        <v>0</v>
      </c>
      <c r="R531" s="2" t="inlineStr"/>
    </row>
    <row r="532" ht="15" customHeight="1">
      <c r="A532" t="inlineStr">
        <is>
          <t>A 11330-2023</t>
        </is>
      </c>
      <c r="B532" s="1" t="n">
        <v>44993.24648148148</v>
      </c>
      <c r="C532" s="1" t="n">
        <v>45985</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42000-2023</t>
        </is>
      </c>
      <c r="B533" s="1" t="n">
        <v>45177</v>
      </c>
      <c r="C533" s="1" t="n">
        <v>45985</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32602-2022</t>
        </is>
      </c>
      <c r="B534" s="1" t="n">
        <v>44783.43192129629</v>
      </c>
      <c r="C534" s="1" t="n">
        <v>45985</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13413-2023</t>
        </is>
      </c>
      <c r="B535" s="1" t="n">
        <v>45005.58341435185</v>
      </c>
      <c r="C535" s="1" t="n">
        <v>45985</v>
      </c>
      <c r="D535" t="inlineStr">
        <is>
          <t>ÖSTERGÖTLANDS LÄN</t>
        </is>
      </c>
      <c r="E535" t="inlineStr">
        <is>
          <t>LINKÖPING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63528-2023</t>
        </is>
      </c>
      <c r="B536" s="1" t="n">
        <v>45274.94810185185</v>
      </c>
      <c r="C536" s="1" t="n">
        <v>45985</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63638-2023</t>
        </is>
      </c>
      <c r="B537" s="1" t="n">
        <v>45275</v>
      </c>
      <c r="C537" s="1" t="n">
        <v>45985</v>
      </c>
      <c r="D537" t="inlineStr">
        <is>
          <t>ÖSTERGÖTLANDS LÄN</t>
        </is>
      </c>
      <c r="E537" t="inlineStr">
        <is>
          <t>LINKÖPING</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63658-2023</t>
        </is>
      </c>
      <c r="B538" s="1" t="n">
        <v>45275</v>
      </c>
      <c r="C538" s="1" t="n">
        <v>45985</v>
      </c>
      <c r="D538" t="inlineStr">
        <is>
          <t>ÖSTERGÖTLANDS LÄN</t>
        </is>
      </c>
      <c r="E538" t="inlineStr">
        <is>
          <t>LINKÖPING</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7808-2022</t>
        </is>
      </c>
      <c r="B539" s="1" t="n">
        <v>44608</v>
      </c>
      <c r="C539" s="1" t="n">
        <v>45985</v>
      </c>
      <c r="D539" t="inlineStr">
        <is>
          <t>ÖSTERGÖTLANDS LÄN</t>
        </is>
      </c>
      <c r="E539" t="inlineStr">
        <is>
          <t>LINKÖPING</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36336-2023</t>
        </is>
      </c>
      <c r="B540" s="1" t="n">
        <v>45152.45078703704</v>
      </c>
      <c r="C540" s="1" t="n">
        <v>45985</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56623-2024</t>
        </is>
      </c>
      <c r="B541" s="1" t="n">
        <v>45625</v>
      </c>
      <c r="C541" s="1" t="n">
        <v>45985</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13011-2022</t>
        </is>
      </c>
      <c r="B542" s="1" t="n">
        <v>44643</v>
      </c>
      <c r="C542" s="1" t="n">
        <v>45985</v>
      </c>
      <c r="D542" t="inlineStr">
        <is>
          <t>ÖSTERGÖTLANDS LÄN</t>
        </is>
      </c>
      <c r="E542" t="inlineStr">
        <is>
          <t>LINKÖPING</t>
        </is>
      </c>
      <c r="G542" t="n">
        <v>3.7</v>
      </c>
      <c r="H542" t="n">
        <v>0</v>
      </c>
      <c r="I542" t="n">
        <v>0</v>
      </c>
      <c r="J542" t="n">
        <v>0</v>
      </c>
      <c r="K542" t="n">
        <v>0</v>
      </c>
      <c r="L542" t="n">
        <v>0</v>
      </c>
      <c r="M542" t="n">
        <v>0</v>
      </c>
      <c r="N542" t="n">
        <v>0</v>
      </c>
      <c r="O542" t="n">
        <v>0</v>
      </c>
      <c r="P542" t="n">
        <v>0</v>
      </c>
      <c r="Q542" t="n">
        <v>0</v>
      </c>
      <c r="R542" s="2" t="inlineStr"/>
    </row>
    <row r="543" ht="15" customHeight="1">
      <c r="A543" t="inlineStr">
        <is>
          <t>A 11595-2025</t>
        </is>
      </c>
      <c r="B543" s="1" t="n">
        <v>45727.41893518518</v>
      </c>
      <c r="C543" s="1" t="n">
        <v>45985</v>
      </c>
      <c r="D543" t="inlineStr">
        <is>
          <t>ÖSTERGÖTLANDS LÄN</t>
        </is>
      </c>
      <c r="E543" t="inlineStr">
        <is>
          <t>LINKÖPING</t>
        </is>
      </c>
      <c r="G543" t="n">
        <v>6.6</v>
      </c>
      <c r="H543" t="n">
        <v>0</v>
      </c>
      <c r="I543" t="n">
        <v>0</v>
      </c>
      <c r="J543" t="n">
        <v>0</v>
      </c>
      <c r="K543" t="n">
        <v>0</v>
      </c>
      <c r="L543" t="n">
        <v>0</v>
      </c>
      <c r="M543" t="n">
        <v>0</v>
      </c>
      <c r="N543" t="n">
        <v>0</v>
      </c>
      <c r="O543" t="n">
        <v>0</v>
      </c>
      <c r="P543" t="n">
        <v>0</v>
      </c>
      <c r="Q543" t="n">
        <v>0</v>
      </c>
      <c r="R543" s="2" t="inlineStr"/>
    </row>
    <row r="544" ht="15" customHeight="1">
      <c r="A544" t="inlineStr">
        <is>
          <t>A 50508-2024</t>
        </is>
      </c>
      <c r="B544" s="1" t="n">
        <v>45601.53907407408</v>
      </c>
      <c r="C544" s="1" t="n">
        <v>45985</v>
      </c>
      <c r="D544" t="inlineStr">
        <is>
          <t>ÖSTERGÖTLANDS LÄN</t>
        </is>
      </c>
      <c r="E544" t="inlineStr">
        <is>
          <t>LINKÖPING</t>
        </is>
      </c>
      <c r="F544" t="inlineStr">
        <is>
          <t>Övriga Aktiebolag</t>
        </is>
      </c>
      <c r="G544" t="n">
        <v>2</v>
      </c>
      <c r="H544" t="n">
        <v>0</v>
      </c>
      <c r="I544" t="n">
        <v>0</v>
      </c>
      <c r="J544" t="n">
        <v>0</v>
      </c>
      <c r="K544" t="n">
        <v>0</v>
      </c>
      <c r="L544" t="n">
        <v>0</v>
      </c>
      <c r="M544" t="n">
        <v>0</v>
      </c>
      <c r="N544" t="n">
        <v>0</v>
      </c>
      <c r="O544" t="n">
        <v>0</v>
      </c>
      <c r="P544" t="n">
        <v>0</v>
      </c>
      <c r="Q544" t="n">
        <v>0</v>
      </c>
      <c r="R544" s="2" t="inlineStr"/>
    </row>
    <row r="545" ht="15" customHeight="1">
      <c r="A545" t="inlineStr">
        <is>
          <t>A 36336-2022</t>
        </is>
      </c>
      <c r="B545" s="1" t="n">
        <v>44803</v>
      </c>
      <c r="C545" s="1" t="n">
        <v>45985</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48839-2022</t>
        </is>
      </c>
      <c r="B546" s="1" t="n">
        <v>44859</v>
      </c>
      <c r="C546" s="1" t="n">
        <v>45985</v>
      </c>
      <c r="D546" t="inlineStr">
        <is>
          <t>ÖSTERGÖTLANDS LÄN</t>
        </is>
      </c>
      <c r="E546" t="inlineStr">
        <is>
          <t>LINKÖPING</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6387-2022</t>
        </is>
      </c>
      <c r="B547" s="1" t="n">
        <v>44600</v>
      </c>
      <c r="C547" s="1" t="n">
        <v>45985</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34641-2022</t>
        </is>
      </c>
      <c r="B548" s="1" t="n">
        <v>44795</v>
      </c>
      <c r="C548" s="1" t="n">
        <v>45985</v>
      </c>
      <c r="D548" t="inlineStr">
        <is>
          <t>ÖSTERGÖTLANDS LÄN</t>
        </is>
      </c>
      <c r="E548" t="inlineStr">
        <is>
          <t>LINKÖPING</t>
        </is>
      </c>
      <c r="G548" t="n">
        <v>2.4</v>
      </c>
      <c r="H548" t="n">
        <v>0</v>
      </c>
      <c r="I548" t="n">
        <v>0</v>
      </c>
      <c r="J548" t="n">
        <v>0</v>
      </c>
      <c r="K548" t="n">
        <v>0</v>
      </c>
      <c r="L548" t="n">
        <v>0</v>
      </c>
      <c r="M548" t="n">
        <v>0</v>
      </c>
      <c r="N548" t="n">
        <v>0</v>
      </c>
      <c r="O548" t="n">
        <v>0</v>
      </c>
      <c r="P548" t="n">
        <v>0</v>
      </c>
      <c r="Q548" t="n">
        <v>0</v>
      </c>
      <c r="R548" s="2" t="inlineStr"/>
    </row>
    <row r="549" ht="15" customHeight="1">
      <c r="A549" t="inlineStr">
        <is>
          <t>A 13687-2025</t>
        </is>
      </c>
      <c r="B549" s="1" t="n">
        <v>45737.31425925926</v>
      </c>
      <c r="C549" s="1" t="n">
        <v>45985</v>
      </c>
      <c r="D549" t="inlineStr">
        <is>
          <t>ÖSTERGÖTLANDS LÄN</t>
        </is>
      </c>
      <c r="E549" t="inlineStr">
        <is>
          <t>LINKÖPING</t>
        </is>
      </c>
      <c r="G549" t="n">
        <v>2.7</v>
      </c>
      <c r="H549" t="n">
        <v>0</v>
      </c>
      <c r="I549" t="n">
        <v>0</v>
      </c>
      <c r="J549" t="n">
        <v>0</v>
      </c>
      <c r="K549" t="n">
        <v>0</v>
      </c>
      <c r="L549" t="n">
        <v>0</v>
      </c>
      <c r="M549" t="n">
        <v>0</v>
      </c>
      <c r="N549" t="n">
        <v>0</v>
      </c>
      <c r="O549" t="n">
        <v>0</v>
      </c>
      <c r="P549" t="n">
        <v>0</v>
      </c>
      <c r="Q549" t="n">
        <v>0</v>
      </c>
      <c r="R549" s="2" t="inlineStr"/>
    </row>
    <row r="550" ht="15" customHeight="1">
      <c r="A550" t="inlineStr">
        <is>
          <t>A 13695-2025</t>
        </is>
      </c>
      <c r="B550" s="1" t="n">
        <v>45737.32219907407</v>
      </c>
      <c r="C550" s="1" t="n">
        <v>45985</v>
      </c>
      <c r="D550" t="inlineStr">
        <is>
          <t>ÖSTERGÖTLANDS LÄN</t>
        </is>
      </c>
      <c r="E550" t="inlineStr">
        <is>
          <t>LINKÖPING</t>
        </is>
      </c>
      <c r="G550" t="n">
        <v>5.3</v>
      </c>
      <c r="H550" t="n">
        <v>0</v>
      </c>
      <c r="I550" t="n">
        <v>0</v>
      </c>
      <c r="J550" t="n">
        <v>0</v>
      </c>
      <c r="K550" t="n">
        <v>0</v>
      </c>
      <c r="L550" t="n">
        <v>0</v>
      </c>
      <c r="M550" t="n">
        <v>0</v>
      </c>
      <c r="N550" t="n">
        <v>0</v>
      </c>
      <c r="O550" t="n">
        <v>0</v>
      </c>
      <c r="P550" t="n">
        <v>0</v>
      </c>
      <c r="Q550" t="n">
        <v>0</v>
      </c>
      <c r="R550" s="2" t="inlineStr"/>
    </row>
    <row r="551" ht="15" customHeight="1">
      <c r="A551" t="inlineStr">
        <is>
          <t>A 52413-2023</t>
        </is>
      </c>
      <c r="B551" s="1" t="n">
        <v>45225.27950231481</v>
      </c>
      <c r="C551" s="1" t="n">
        <v>45985</v>
      </c>
      <c r="D551" t="inlineStr">
        <is>
          <t>ÖSTERGÖTLANDS LÄN</t>
        </is>
      </c>
      <c r="E551" t="inlineStr">
        <is>
          <t>LINKÖPING</t>
        </is>
      </c>
      <c r="G551" t="n">
        <v>1</v>
      </c>
      <c r="H551" t="n">
        <v>0</v>
      </c>
      <c r="I551" t="n">
        <v>0</v>
      </c>
      <c r="J551" t="n">
        <v>0</v>
      </c>
      <c r="K551" t="n">
        <v>0</v>
      </c>
      <c r="L551" t="n">
        <v>0</v>
      </c>
      <c r="M551" t="n">
        <v>0</v>
      </c>
      <c r="N551" t="n">
        <v>0</v>
      </c>
      <c r="O551" t="n">
        <v>0</v>
      </c>
      <c r="P551" t="n">
        <v>0</v>
      </c>
      <c r="Q551" t="n">
        <v>0</v>
      </c>
      <c r="R551" s="2" t="inlineStr"/>
    </row>
    <row r="552" ht="15" customHeight="1">
      <c r="A552" t="inlineStr">
        <is>
          <t>A 42054-2022</t>
        </is>
      </c>
      <c r="B552" s="1" t="n">
        <v>44830</v>
      </c>
      <c r="C552" s="1" t="n">
        <v>45985</v>
      </c>
      <c r="D552" t="inlineStr">
        <is>
          <t>ÖSTERGÖTLANDS LÄN</t>
        </is>
      </c>
      <c r="E552" t="inlineStr">
        <is>
          <t>LINKÖPING</t>
        </is>
      </c>
      <c r="G552" t="n">
        <v>1.7</v>
      </c>
      <c r="H552" t="n">
        <v>0</v>
      </c>
      <c r="I552" t="n">
        <v>0</v>
      </c>
      <c r="J552" t="n">
        <v>0</v>
      </c>
      <c r="K552" t="n">
        <v>0</v>
      </c>
      <c r="L552" t="n">
        <v>0</v>
      </c>
      <c r="M552" t="n">
        <v>0</v>
      </c>
      <c r="N552" t="n">
        <v>0</v>
      </c>
      <c r="O552" t="n">
        <v>0</v>
      </c>
      <c r="P552" t="n">
        <v>0</v>
      </c>
      <c r="Q552" t="n">
        <v>0</v>
      </c>
      <c r="R552" s="2" t="inlineStr"/>
    </row>
    <row r="553" ht="15" customHeight="1">
      <c r="A553" t="inlineStr">
        <is>
          <t>A 53797-2023</t>
        </is>
      </c>
      <c r="B553" s="1" t="n">
        <v>45230</v>
      </c>
      <c r="C553" s="1" t="n">
        <v>45985</v>
      </c>
      <c r="D553" t="inlineStr">
        <is>
          <t>ÖSTERGÖTLANDS LÄN</t>
        </is>
      </c>
      <c r="E553" t="inlineStr">
        <is>
          <t>LINKÖPING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22833-2023</t>
        </is>
      </c>
      <c r="B554" s="1" t="n">
        <v>45071</v>
      </c>
      <c r="C554" s="1" t="n">
        <v>45985</v>
      </c>
      <c r="D554" t="inlineStr">
        <is>
          <t>ÖSTERGÖTLANDS LÄN</t>
        </is>
      </c>
      <c r="E554" t="inlineStr">
        <is>
          <t>LINKÖPING</t>
        </is>
      </c>
      <c r="F554" t="inlineStr">
        <is>
          <t>Kommuner</t>
        </is>
      </c>
      <c r="G554" t="n">
        <v>1</v>
      </c>
      <c r="H554" t="n">
        <v>0</v>
      </c>
      <c r="I554" t="n">
        <v>0</v>
      </c>
      <c r="J554" t="n">
        <v>0</v>
      </c>
      <c r="K554" t="n">
        <v>0</v>
      </c>
      <c r="L554" t="n">
        <v>0</v>
      </c>
      <c r="M554" t="n">
        <v>0</v>
      </c>
      <c r="N554" t="n">
        <v>0</v>
      </c>
      <c r="O554" t="n">
        <v>0</v>
      </c>
      <c r="P554" t="n">
        <v>0</v>
      </c>
      <c r="Q554" t="n">
        <v>0</v>
      </c>
      <c r="R554" s="2" t="inlineStr"/>
    </row>
    <row r="555" ht="15" customHeight="1">
      <c r="A555" t="inlineStr">
        <is>
          <t>A 17898-2022</t>
        </is>
      </c>
      <c r="B555" s="1" t="n">
        <v>44683</v>
      </c>
      <c r="C555" s="1" t="n">
        <v>45985</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62017-2024</t>
        </is>
      </c>
      <c r="B556" s="1" t="n">
        <v>45655.81140046296</v>
      </c>
      <c r="C556" s="1" t="n">
        <v>45985</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12411-2022</t>
        </is>
      </c>
      <c r="B557" s="1" t="n">
        <v>44638.21601851852</v>
      </c>
      <c r="C557" s="1" t="n">
        <v>45985</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10492-2022</t>
        </is>
      </c>
      <c r="B558" s="1" t="n">
        <v>44623.6377199074</v>
      </c>
      <c r="C558" s="1" t="n">
        <v>45985</v>
      </c>
      <c r="D558" t="inlineStr">
        <is>
          <t>ÖSTERGÖTLANDS LÄN</t>
        </is>
      </c>
      <c r="E558" t="inlineStr">
        <is>
          <t>LINKÖPING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7343-2025</t>
        </is>
      </c>
      <c r="B559" s="1" t="n">
        <v>45703.67853009259</v>
      </c>
      <c r="C559" s="1" t="n">
        <v>45985</v>
      </c>
      <c r="D559" t="inlineStr">
        <is>
          <t>ÖSTERGÖTLANDS LÄN</t>
        </is>
      </c>
      <c r="E559" t="inlineStr">
        <is>
          <t>LINKÖPING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8967-2025</t>
        </is>
      </c>
      <c r="B560" s="1" t="n">
        <v>45712</v>
      </c>
      <c r="C560" s="1" t="n">
        <v>45985</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35427-2023</t>
        </is>
      </c>
      <c r="B561" s="1" t="n">
        <v>45146</v>
      </c>
      <c r="C561" s="1" t="n">
        <v>45985</v>
      </c>
      <c r="D561" t="inlineStr">
        <is>
          <t>ÖSTERGÖTLANDS LÄN</t>
        </is>
      </c>
      <c r="E561" t="inlineStr">
        <is>
          <t>LINKÖPING</t>
        </is>
      </c>
      <c r="F561" t="inlineStr">
        <is>
          <t>Övriga Aktiebolag</t>
        </is>
      </c>
      <c r="G561" t="n">
        <v>2.5</v>
      </c>
      <c r="H561" t="n">
        <v>0</v>
      </c>
      <c r="I561" t="n">
        <v>0</v>
      </c>
      <c r="J561" t="n">
        <v>0</v>
      </c>
      <c r="K561" t="n">
        <v>0</v>
      </c>
      <c r="L561" t="n">
        <v>0</v>
      </c>
      <c r="M561" t="n">
        <v>0</v>
      </c>
      <c r="N561" t="n">
        <v>0</v>
      </c>
      <c r="O561" t="n">
        <v>0</v>
      </c>
      <c r="P561" t="n">
        <v>0</v>
      </c>
      <c r="Q561" t="n">
        <v>0</v>
      </c>
      <c r="R561" s="2" t="inlineStr"/>
    </row>
    <row r="562" ht="15" customHeight="1">
      <c r="A562" t="inlineStr">
        <is>
          <t>A 30468-2023</t>
        </is>
      </c>
      <c r="B562" s="1" t="n">
        <v>45111.58732638889</v>
      </c>
      <c r="C562" s="1" t="n">
        <v>45985</v>
      </c>
      <c r="D562" t="inlineStr">
        <is>
          <t>ÖSTERGÖTLANDS LÄN</t>
        </is>
      </c>
      <c r="E562" t="inlineStr">
        <is>
          <t>LINKÖPING</t>
        </is>
      </c>
      <c r="G562" t="n">
        <v>10.1</v>
      </c>
      <c r="H562" t="n">
        <v>0</v>
      </c>
      <c r="I562" t="n">
        <v>0</v>
      </c>
      <c r="J562" t="n">
        <v>0</v>
      </c>
      <c r="K562" t="n">
        <v>0</v>
      </c>
      <c r="L562" t="n">
        <v>0</v>
      </c>
      <c r="M562" t="n">
        <v>0</v>
      </c>
      <c r="N562" t="n">
        <v>0</v>
      </c>
      <c r="O562" t="n">
        <v>0</v>
      </c>
      <c r="P562" t="n">
        <v>0</v>
      </c>
      <c r="Q562" t="n">
        <v>0</v>
      </c>
      <c r="R562" s="2" t="inlineStr"/>
    </row>
    <row r="563" ht="15" customHeight="1">
      <c r="A563" t="inlineStr">
        <is>
          <t>A 20296-2025</t>
        </is>
      </c>
      <c r="B563" s="1" t="n">
        <v>45774.74922453704</v>
      </c>
      <c r="C563" s="1" t="n">
        <v>45985</v>
      </c>
      <c r="D563" t="inlineStr">
        <is>
          <t>ÖSTERGÖTLANDS LÄN</t>
        </is>
      </c>
      <c r="E563" t="inlineStr">
        <is>
          <t>LINKÖPING</t>
        </is>
      </c>
      <c r="G563" t="n">
        <v>2.2</v>
      </c>
      <c r="H563" t="n">
        <v>0</v>
      </c>
      <c r="I563" t="n">
        <v>0</v>
      </c>
      <c r="J563" t="n">
        <v>0</v>
      </c>
      <c r="K563" t="n">
        <v>0</v>
      </c>
      <c r="L563" t="n">
        <v>0</v>
      </c>
      <c r="M563" t="n">
        <v>0</v>
      </c>
      <c r="N563" t="n">
        <v>0</v>
      </c>
      <c r="O563" t="n">
        <v>0</v>
      </c>
      <c r="P563" t="n">
        <v>0</v>
      </c>
      <c r="Q563" t="n">
        <v>0</v>
      </c>
      <c r="R563" s="2" t="inlineStr"/>
    </row>
    <row r="564" ht="15" customHeight="1">
      <c r="A564" t="inlineStr">
        <is>
          <t>A 56841-2023</t>
        </is>
      </c>
      <c r="B564" s="1" t="n">
        <v>45244</v>
      </c>
      <c r="C564" s="1" t="n">
        <v>45985</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53812-2023</t>
        </is>
      </c>
      <c r="B565" s="1" t="n">
        <v>45231.39583333334</v>
      </c>
      <c r="C565" s="1" t="n">
        <v>45985</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53830-2023</t>
        </is>
      </c>
      <c r="B566" s="1" t="n">
        <v>45230</v>
      </c>
      <c r="C566" s="1" t="n">
        <v>45985</v>
      </c>
      <c r="D566" t="inlineStr">
        <is>
          <t>ÖSTERGÖTLANDS LÄN</t>
        </is>
      </c>
      <c r="E566" t="inlineStr">
        <is>
          <t>LINKÖPING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38715-2023</t>
        </is>
      </c>
      <c r="B567" s="1" t="n">
        <v>45160</v>
      </c>
      <c r="C567" s="1" t="n">
        <v>45985</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27766-2022</t>
        </is>
      </c>
      <c r="B568" s="1" t="n">
        <v>44743.53112268518</v>
      </c>
      <c r="C568" s="1" t="n">
        <v>45985</v>
      </c>
      <c r="D568" t="inlineStr">
        <is>
          <t>ÖSTERGÖTLANDS LÄN</t>
        </is>
      </c>
      <c r="E568" t="inlineStr">
        <is>
          <t>LINKÖPING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48271-2023</t>
        </is>
      </c>
      <c r="B569" s="1" t="n">
        <v>45205</v>
      </c>
      <c r="C569" s="1" t="n">
        <v>45985</v>
      </c>
      <c r="D569" t="inlineStr">
        <is>
          <t>ÖSTERGÖTLANDS LÄN</t>
        </is>
      </c>
      <c r="E569" t="inlineStr">
        <is>
          <t>LINKÖPING</t>
        </is>
      </c>
      <c r="G569" t="n">
        <v>3</v>
      </c>
      <c r="H569" t="n">
        <v>0</v>
      </c>
      <c r="I569" t="n">
        <v>0</v>
      </c>
      <c r="J569" t="n">
        <v>0</v>
      </c>
      <c r="K569" t="n">
        <v>0</v>
      </c>
      <c r="L569" t="n">
        <v>0</v>
      </c>
      <c r="M569" t="n">
        <v>0</v>
      </c>
      <c r="N569" t="n">
        <v>0</v>
      </c>
      <c r="O569" t="n">
        <v>0</v>
      </c>
      <c r="P569" t="n">
        <v>0</v>
      </c>
      <c r="Q569" t="n">
        <v>0</v>
      </c>
      <c r="R569" s="2" t="inlineStr"/>
    </row>
    <row r="570" ht="15" customHeight="1">
      <c r="A570" t="inlineStr">
        <is>
          <t>A 13266-2025</t>
        </is>
      </c>
      <c r="B570" s="1" t="n">
        <v>45735.53318287037</v>
      </c>
      <c r="C570" s="1" t="n">
        <v>45985</v>
      </c>
      <c r="D570" t="inlineStr">
        <is>
          <t>ÖSTERGÖTLANDS LÄN</t>
        </is>
      </c>
      <c r="E570" t="inlineStr">
        <is>
          <t>LINKÖPING</t>
        </is>
      </c>
      <c r="G570" t="n">
        <v>3.1</v>
      </c>
      <c r="H570" t="n">
        <v>0</v>
      </c>
      <c r="I570" t="n">
        <v>0</v>
      </c>
      <c r="J570" t="n">
        <v>0</v>
      </c>
      <c r="K570" t="n">
        <v>0</v>
      </c>
      <c r="L570" t="n">
        <v>0</v>
      </c>
      <c r="M570" t="n">
        <v>0</v>
      </c>
      <c r="N570" t="n">
        <v>0</v>
      </c>
      <c r="O570" t="n">
        <v>0</v>
      </c>
      <c r="P570" t="n">
        <v>0</v>
      </c>
      <c r="Q570" t="n">
        <v>0</v>
      </c>
      <c r="R570" s="2" t="inlineStr"/>
    </row>
    <row r="571" ht="15" customHeight="1">
      <c r="A571" t="inlineStr">
        <is>
          <t>A 60001-2022</t>
        </is>
      </c>
      <c r="B571" s="1" t="n">
        <v>44909.47087962963</v>
      </c>
      <c r="C571" s="1" t="n">
        <v>45985</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1657-2024</t>
        </is>
      </c>
      <c r="B572" s="1" t="n">
        <v>45306.82501157407</v>
      </c>
      <c r="C572" s="1" t="n">
        <v>45985</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30976-2022</t>
        </is>
      </c>
      <c r="B573" s="1" t="n">
        <v>44768</v>
      </c>
      <c r="C573" s="1" t="n">
        <v>45985</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30860-2022</t>
        </is>
      </c>
      <c r="B574" s="1" t="n">
        <v>44767</v>
      </c>
      <c r="C574" s="1" t="n">
        <v>45985</v>
      </c>
      <c r="D574" t="inlineStr">
        <is>
          <t>ÖSTERGÖTLANDS LÄN</t>
        </is>
      </c>
      <c r="E574" t="inlineStr">
        <is>
          <t>LINKÖPING</t>
        </is>
      </c>
      <c r="G574" t="n">
        <v>0.8</v>
      </c>
      <c r="H574" t="n">
        <v>0</v>
      </c>
      <c r="I574" t="n">
        <v>0</v>
      </c>
      <c r="J574" t="n">
        <v>0</v>
      </c>
      <c r="K574" t="n">
        <v>0</v>
      </c>
      <c r="L574" t="n">
        <v>0</v>
      </c>
      <c r="M574" t="n">
        <v>0</v>
      </c>
      <c r="N574" t="n">
        <v>0</v>
      </c>
      <c r="O574" t="n">
        <v>0</v>
      </c>
      <c r="P574" t="n">
        <v>0</v>
      </c>
      <c r="Q574" t="n">
        <v>0</v>
      </c>
      <c r="R574" s="2" t="inlineStr"/>
    </row>
    <row r="575" ht="15" customHeight="1">
      <c r="A575" t="inlineStr">
        <is>
          <t>A 48186-2022</t>
        </is>
      </c>
      <c r="B575" s="1" t="n">
        <v>44858</v>
      </c>
      <c r="C575" s="1" t="n">
        <v>45985</v>
      </c>
      <c r="D575" t="inlineStr">
        <is>
          <t>ÖSTERGÖTLANDS LÄN</t>
        </is>
      </c>
      <c r="E575" t="inlineStr">
        <is>
          <t>LINKÖPING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28266-2024</t>
        </is>
      </c>
      <c r="B576" s="1" t="n">
        <v>45477.43600694444</v>
      </c>
      <c r="C576" s="1" t="n">
        <v>45985</v>
      </c>
      <c r="D576" t="inlineStr">
        <is>
          <t>ÖSTERGÖTLANDS LÄN</t>
        </is>
      </c>
      <c r="E576" t="inlineStr">
        <is>
          <t>LINKÖPING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31548-2022</t>
        </is>
      </c>
      <c r="B577" s="1" t="n">
        <v>44775.39832175926</v>
      </c>
      <c r="C577" s="1" t="n">
        <v>45985</v>
      </c>
      <c r="D577" t="inlineStr">
        <is>
          <t>ÖSTERGÖTLANDS LÄN</t>
        </is>
      </c>
      <c r="E577" t="inlineStr">
        <is>
          <t>LINKÖPING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1211-2023</t>
        </is>
      </c>
      <c r="B578" s="1" t="n">
        <v>44930</v>
      </c>
      <c r="C578" s="1" t="n">
        <v>45985</v>
      </c>
      <c r="D578" t="inlineStr">
        <is>
          <t>ÖSTERGÖTLANDS LÄN</t>
        </is>
      </c>
      <c r="E578" t="inlineStr">
        <is>
          <t>LINKÖPING</t>
        </is>
      </c>
      <c r="F578" t="inlineStr">
        <is>
          <t>Övriga statliga verk och myndigheter</t>
        </is>
      </c>
      <c r="G578" t="n">
        <v>7.9</v>
      </c>
      <c r="H578" t="n">
        <v>0</v>
      </c>
      <c r="I578" t="n">
        <v>0</v>
      </c>
      <c r="J578" t="n">
        <v>0</v>
      </c>
      <c r="K578" t="n">
        <v>0</v>
      </c>
      <c r="L578" t="n">
        <v>0</v>
      </c>
      <c r="M578" t="n">
        <v>0</v>
      </c>
      <c r="N578" t="n">
        <v>0</v>
      </c>
      <c r="O578" t="n">
        <v>0</v>
      </c>
      <c r="P578" t="n">
        <v>0</v>
      </c>
      <c r="Q578" t="n">
        <v>0</v>
      </c>
      <c r="R578" s="2" t="inlineStr"/>
    </row>
    <row r="579" ht="15" customHeight="1">
      <c r="A579" t="inlineStr">
        <is>
          <t>A 51191-2022</t>
        </is>
      </c>
      <c r="B579" s="1" t="n">
        <v>44865</v>
      </c>
      <c r="C579" s="1" t="n">
        <v>45985</v>
      </c>
      <c r="D579" t="inlineStr">
        <is>
          <t>ÖSTERGÖTLANDS LÄN</t>
        </is>
      </c>
      <c r="E579" t="inlineStr">
        <is>
          <t>LINKÖPING</t>
        </is>
      </c>
      <c r="G579" t="n">
        <v>2.2</v>
      </c>
      <c r="H579" t="n">
        <v>0</v>
      </c>
      <c r="I579" t="n">
        <v>0</v>
      </c>
      <c r="J579" t="n">
        <v>0</v>
      </c>
      <c r="K579" t="n">
        <v>0</v>
      </c>
      <c r="L579" t="n">
        <v>0</v>
      </c>
      <c r="M579" t="n">
        <v>0</v>
      </c>
      <c r="N579" t="n">
        <v>0</v>
      </c>
      <c r="O579" t="n">
        <v>0</v>
      </c>
      <c r="P579" t="n">
        <v>0</v>
      </c>
      <c r="Q579" t="n">
        <v>0</v>
      </c>
      <c r="R579" s="2" t="inlineStr"/>
    </row>
    <row r="580" ht="15" customHeight="1">
      <c r="A580" t="inlineStr">
        <is>
          <t>A 55632-2022</t>
        </is>
      </c>
      <c r="B580" s="1" t="n">
        <v>44888</v>
      </c>
      <c r="C580" s="1" t="n">
        <v>45985</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63669-2023</t>
        </is>
      </c>
      <c r="B581" s="1" t="n">
        <v>45275</v>
      </c>
      <c r="C581" s="1" t="n">
        <v>45985</v>
      </c>
      <c r="D581" t="inlineStr">
        <is>
          <t>ÖSTERGÖTLANDS LÄN</t>
        </is>
      </c>
      <c r="E581" t="inlineStr">
        <is>
          <t>LINKÖPING</t>
        </is>
      </c>
      <c r="F581" t="inlineStr">
        <is>
          <t>Övriga Aktiebolag</t>
        </is>
      </c>
      <c r="G581" t="n">
        <v>3</v>
      </c>
      <c r="H581" t="n">
        <v>0</v>
      </c>
      <c r="I581" t="n">
        <v>0</v>
      </c>
      <c r="J581" t="n">
        <v>0</v>
      </c>
      <c r="K581" t="n">
        <v>0</v>
      </c>
      <c r="L581" t="n">
        <v>0</v>
      </c>
      <c r="M581" t="n">
        <v>0</v>
      </c>
      <c r="N581" t="n">
        <v>0</v>
      </c>
      <c r="O581" t="n">
        <v>0</v>
      </c>
      <c r="P581" t="n">
        <v>0</v>
      </c>
      <c r="Q581" t="n">
        <v>0</v>
      </c>
      <c r="R581" s="2" t="inlineStr"/>
    </row>
    <row r="582" ht="15" customHeight="1">
      <c r="A582" t="inlineStr">
        <is>
          <t>A 12289-2025</t>
        </is>
      </c>
      <c r="B582" s="1" t="n">
        <v>45729</v>
      </c>
      <c r="C582" s="1" t="n">
        <v>45985</v>
      </c>
      <c r="D582" t="inlineStr">
        <is>
          <t>ÖSTERGÖTLANDS LÄN</t>
        </is>
      </c>
      <c r="E582" t="inlineStr">
        <is>
          <t>LINKÖPING</t>
        </is>
      </c>
      <c r="F582" t="inlineStr">
        <is>
          <t>Övriga statliga verk och myndigheter</t>
        </is>
      </c>
      <c r="G582" t="n">
        <v>6.5</v>
      </c>
      <c r="H582" t="n">
        <v>0</v>
      </c>
      <c r="I582" t="n">
        <v>0</v>
      </c>
      <c r="J582" t="n">
        <v>0</v>
      </c>
      <c r="K582" t="n">
        <v>0</v>
      </c>
      <c r="L582" t="n">
        <v>0</v>
      </c>
      <c r="M582" t="n">
        <v>0</v>
      </c>
      <c r="N582" t="n">
        <v>0</v>
      </c>
      <c r="O582" t="n">
        <v>0</v>
      </c>
      <c r="P582" t="n">
        <v>0</v>
      </c>
      <c r="Q582" t="n">
        <v>0</v>
      </c>
      <c r="R582" s="2" t="inlineStr"/>
    </row>
    <row r="583" ht="15" customHeight="1">
      <c r="A583" t="inlineStr">
        <is>
          <t>A 36657-2023</t>
        </is>
      </c>
      <c r="B583" s="1" t="n">
        <v>45153.5702662037</v>
      </c>
      <c r="C583" s="1" t="n">
        <v>45985</v>
      </c>
      <c r="D583" t="inlineStr">
        <is>
          <t>ÖSTERGÖTLANDS LÄN</t>
        </is>
      </c>
      <c r="E583" t="inlineStr">
        <is>
          <t>LINKÖPING</t>
        </is>
      </c>
      <c r="F583" t="inlineStr">
        <is>
          <t>Allmännings- och besparingsskogar</t>
        </is>
      </c>
      <c r="G583" t="n">
        <v>2</v>
      </c>
      <c r="H583" t="n">
        <v>0</v>
      </c>
      <c r="I583" t="n">
        <v>0</v>
      </c>
      <c r="J583" t="n">
        <v>0</v>
      </c>
      <c r="K583" t="n">
        <v>0</v>
      </c>
      <c r="L583" t="n">
        <v>0</v>
      </c>
      <c r="M583" t="n">
        <v>0</v>
      </c>
      <c r="N583" t="n">
        <v>0</v>
      </c>
      <c r="O583" t="n">
        <v>0</v>
      </c>
      <c r="P583" t="n">
        <v>0</v>
      </c>
      <c r="Q583" t="n">
        <v>0</v>
      </c>
      <c r="R583" s="2" t="inlineStr"/>
    </row>
    <row r="584" ht="15" customHeight="1">
      <c r="A584" t="inlineStr">
        <is>
          <t>A 19169-2023</t>
        </is>
      </c>
      <c r="B584" s="1" t="n">
        <v>45044</v>
      </c>
      <c r="C584" s="1" t="n">
        <v>45985</v>
      </c>
      <c r="D584" t="inlineStr">
        <is>
          <t>ÖSTERGÖTLANDS LÄN</t>
        </is>
      </c>
      <c r="E584" t="inlineStr">
        <is>
          <t>LINKÖPING</t>
        </is>
      </c>
      <c r="G584" t="n">
        <v>2.7</v>
      </c>
      <c r="H584" t="n">
        <v>0</v>
      </c>
      <c r="I584" t="n">
        <v>0</v>
      </c>
      <c r="J584" t="n">
        <v>0</v>
      </c>
      <c r="K584" t="n">
        <v>0</v>
      </c>
      <c r="L584" t="n">
        <v>0</v>
      </c>
      <c r="M584" t="n">
        <v>0</v>
      </c>
      <c r="N584" t="n">
        <v>0</v>
      </c>
      <c r="O584" t="n">
        <v>0</v>
      </c>
      <c r="P584" t="n">
        <v>0</v>
      </c>
      <c r="Q584" t="n">
        <v>0</v>
      </c>
      <c r="R584" s="2" t="inlineStr"/>
    </row>
    <row r="585" ht="15" customHeight="1">
      <c r="A585" t="inlineStr">
        <is>
          <t>A 1209-2023</t>
        </is>
      </c>
      <c r="B585" s="1" t="n">
        <v>44930</v>
      </c>
      <c r="C585" s="1" t="n">
        <v>45985</v>
      </c>
      <c r="D585" t="inlineStr">
        <is>
          <t>ÖSTERGÖTLANDS LÄN</t>
        </is>
      </c>
      <c r="E585" t="inlineStr">
        <is>
          <t>LINKÖPING</t>
        </is>
      </c>
      <c r="F585" t="inlineStr">
        <is>
          <t>Övriga statliga verk och myndigheter</t>
        </is>
      </c>
      <c r="G585" t="n">
        <v>25.8</v>
      </c>
      <c r="H585" t="n">
        <v>0</v>
      </c>
      <c r="I585" t="n">
        <v>0</v>
      </c>
      <c r="J585" t="n">
        <v>0</v>
      </c>
      <c r="K585" t="n">
        <v>0</v>
      </c>
      <c r="L585" t="n">
        <v>0</v>
      </c>
      <c r="M585" t="n">
        <v>0</v>
      </c>
      <c r="N585" t="n">
        <v>0</v>
      </c>
      <c r="O585" t="n">
        <v>0</v>
      </c>
      <c r="P585" t="n">
        <v>0</v>
      </c>
      <c r="Q585" t="n">
        <v>0</v>
      </c>
      <c r="R585" s="2" t="inlineStr"/>
    </row>
    <row r="586" ht="15" customHeight="1">
      <c r="A586" t="inlineStr">
        <is>
          <t>A 2085-2024</t>
        </is>
      </c>
      <c r="B586" s="1" t="n">
        <v>45309</v>
      </c>
      <c r="C586" s="1" t="n">
        <v>45985</v>
      </c>
      <c r="D586" t="inlineStr">
        <is>
          <t>ÖSTERGÖTLANDS LÄN</t>
        </is>
      </c>
      <c r="E586" t="inlineStr">
        <is>
          <t>LINKÖPING</t>
        </is>
      </c>
      <c r="G586" t="n">
        <v>4.5</v>
      </c>
      <c r="H586" t="n">
        <v>0</v>
      </c>
      <c r="I586" t="n">
        <v>0</v>
      </c>
      <c r="J586" t="n">
        <v>0</v>
      </c>
      <c r="K586" t="n">
        <v>0</v>
      </c>
      <c r="L586" t="n">
        <v>0</v>
      </c>
      <c r="M586" t="n">
        <v>0</v>
      </c>
      <c r="N586" t="n">
        <v>0</v>
      </c>
      <c r="O586" t="n">
        <v>0</v>
      </c>
      <c r="P586" t="n">
        <v>0</v>
      </c>
      <c r="Q586" t="n">
        <v>0</v>
      </c>
      <c r="R586" s="2" t="inlineStr"/>
    </row>
    <row r="587" ht="15" customHeight="1">
      <c r="A587" t="inlineStr">
        <is>
          <t>A 48-2024</t>
        </is>
      </c>
      <c r="B587" s="1" t="n">
        <v>45293</v>
      </c>
      <c r="C587" s="1" t="n">
        <v>45985</v>
      </c>
      <c r="D587" t="inlineStr">
        <is>
          <t>ÖSTERGÖTLANDS LÄN</t>
        </is>
      </c>
      <c r="E587" t="inlineStr">
        <is>
          <t>LINKÖPING</t>
        </is>
      </c>
      <c r="G587" t="n">
        <v>4.6</v>
      </c>
      <c r="H587" t="n">
        <v>0</v>
      </c>
      <c r="I587" t="n">
        <v>0</v>
      </c>
      <c r="J587" t="n">
        <v>0</v>
      </c>
      <c r="K587" t="n">
        <v>0</v>
      </c>
      <c r="L587" t="n">
        <v>0</v>
      </c>
      <c r="M587" t="n">
        <v>0</v>
      </c>
      <c r="N587" t="n">
        <v>0</v>
      </c>
      <c r="O587" t="n">
        <v>0</v>
      </c>
      <c r="P587" t="n">
        <v>0</v>
      </c>
      <c r="Q587" t="n">
        <v>0</v>
      </c>
      <c r="R587" s="2" t="inlineStr"/>
    </row>
    <row r="588" ht="15" customHeight="1">
      <c r="A588" t="inlineStr">
        <is>
          <t>A 56560-2023</t>
        </is>
      </c>
      <c r="B588" s="1" t="n">
        <v>45238</v>
      </c>
      <c r="C588" s="1" t="n">
        <v>45985</v>
      </c>
      <c r="D588" t="inlineStr">
        <is>
          <t>ÖSTERGÖTLANDS LÄN</t>
        </is>
      </c>
      <c r="E588" t="inlineStr">
        <is>
          <t>LINKÖPING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19132-2023</t>
        </is>
      </c>
      <c r="B589" s="1" t="n">
        <v>45048.54754629629</v>
      </c>
      <c r="C589" s="1" t="n">
        <v>45985</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52412-2023</t>
        </is>
      </c>
      <c r="B590" s="1" t="n">
        <v>45225.27888888889</v>
      </c>
      <c r="C590" s="1" t="n">
        <v>45985</v>
      </c>
      <c r="D590" t="inlineStr">
        <is>
          <t>ÖSTERGÖTLANDS LÄN</t>
        </is>
      </c>
      <c r="E590" t="inlineStr">
        <is>
          <t>LINKÖPING</t>
        </is>
      </c>
      <c r="G590" t="n">
        <v>1.8</v>
      </c>
      <c r="H590" t="n">
        <v>0</v>
      </c>
      <c r="I590" t="n">
        <v>0</v>
      </c>
      <c r="J590" t="n">
        <v>0</v>
      </c>
      <c r="K590" t="n">
        <v>0</v>
      </c>
      <c r="L590" t="n">
        <v>0</v>
      </c>
      <c r="M590" t="n">
        <v>0</v>
      </c>
      <c r="N590" t="n">
        <v>0</v>
      </c>
      <c r="O590" t="n">
        <v>0</v>
      </c>
      <c r="P590" t="n">
        <v>0</v>
      </c>
      <c r="Q590" t="n">
        <v>0</v>
      </c>
      <c r="R590" s="2" t="inlineStr"/>
    </row>
    <row r="591" ht="15" customHeight="1">
      <c r="A591" t="inlineStr">
        <is>
          <t>A 62492-2023</t>
        </is>
      </c>
      <c r="B591" s="1" t="n">
        <v>45268.58987268519</v>
      </c>
      <c r="C591" s="1" t="n">
        <v>45985</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38230-2023</t>
        </is>
      </c>
      <c r="B592" s="1" t="n">
        <v>45161.55373842592</v>
      </c>
      <c r="C592" s="1" t="n">
        <v>45985</v>
      </c>
      <c r="D592" t="inlineStr">
        <is>
          <t>ÖSTERGÖTLANDS LÄN</t>
        </is>
      </c>
      <c r="E592" t="inlineStr">
        <is>
          <t>LINKÖPING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56756-2023</t>
        </is>
      </c>
      <c r="B593" s="1" t="n">
        <v>45244</v>
      </c>
      <c r="C593" s="1" t="n">
        <v>45985</v>
      </c>
      <c r="D593" t="inlineStr">
        <is>
          <t>ÖSTERGÖTLANDS LÄN</t>
        </is>
      </c>
      <c r="E593" t="inlineStr">
        <is>
          <t>LINKÖPING</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38886-2024</t>
        </is>
      </c>
      <c r="B594" s="1" t="n">
        <v>45547.66443287037</v>
      </c>
      <c r="C594" s="1" t="n">
        <v>45985</v>
      </c>
      <c r="D594" t="inlineStr">
        <is>
          <t>ÖSTERGÖTLANDS LÄN</t>
        </is>
      </c>
      <c r="E594" t="inlineStr">
        <is>
          <t>LINKÖPING</t>
        </is>
      </c>
      <c r="G594" t="n">
        <v>5.3</v>
      </c>
      <c r="H594" t="n">
        <v>0</v>
      </c>
      <c r="I594" t="n">
        <v>0</v>
      </c>
      <c r="J594" t="n">
        <v>0</v>
      </c>
      <c r="K594" t="n">
        <v>0</v>
      </c>
      <c r="L594" t="n">
        <v>0</v>
      </c>
      <c r="M594" t="n">
        <v>0</v>
      </c>
      <c r="N594" t="n">
        <v>0</v>
      </c>
      <c r="O594" t="n">
        <v>0</v>
      </c>
      <c r="P594" t="n">
        <v>0</v>
      </c>
      <c r="Q594" t="n">
        <v>0</v>
      </c>
      <c r="R594" s="2" t="inlineStr"/>
    </row>
    <row r="595" ht="15" customHeight="1">
      <c r="A595" t="inlineStr">
        <is>
          <t>A 11590-2023</t>
        </is>
      </c>
      <c r="B595" s="1" t="n">
        <v>44994.36689814815</v>
      </c>
      <c r="C595" s="1" t="n">
        <v>45985</v>
      </c>
      <c r="D595" t="inlineStr">
        <is>
          <t>ÖSTERGÖTLANDS LÄN</t>
        </is>
      </c>
      <c r="E595" t="inlineStr">
        <is>
          <t>LINKÖPING</t>
        </is>
      </c>
      <c r="G595" t="n">
        <v>3.1</v>
      </c>
      <c r="H595" t="n">
        <v>0</v>
      </c>
      <c r="I595" t="n">
        <v>0</v>
      </c>
      <c r="J595" t="n">
        <v>0</v>
      </c>
      <c r="K595" t="n">
        <v>0</v>
      </c>
      <c r="L595" t="n">
        <v>0</v>
      </c>
      <c r="M595" t="n">
        <v>0</v>
      </c>
      <c r="N595" t="n">
        <v>0</v>
      </c>
      <c r="O595" t="n">
        <v>0</v>
      </c>
      <c r="P595" t="n">
        <v>0</v>
      </c>
      <c r="Q595" t="n">
        <v>0</v>
      </c>
      <c r="R595" s="2" t="inlineStr"/>
    </row>
    <row r="596" ht="15" customHeight="1">
      <c r="A596" t="inlineStr">
        <is>
          <t>A 10461-2023</t>
        </is>
      </c>
      <c r="B596" s="1" t="n">
        <v>44987.5969212963</v>
      </c>
      <c r="C596" s="1" t="n">
        <v>45985</v>
      </c>
      <c r="D596" t="inlineStr">
        <is>
          <t>ÖSTERGÖTLANDS LÄN</t>
        </is>
      </c>
      <c r="E596" t="inlineStr">
        <is>
          <t>LINKÖPING</t>
        </is>
      </c>
      <c r="G596" t="n">
        <v>7.8</v>
      </c>
      <c r="H596" t="n">
        <v>0</v>
      </c>
      <c r="I596" t="n">
        <v>0</v>
      </c>
      <c r="J596" t="n">
        <v>0</v>
      </c>
      <c r="K596" t="n">
        <v>0</v>
      </c>
      <c r="L596" t="n">
        <v>0</v>
      </c>
      <c r="M596" t="n">
        <v>0</v>
      </c>
      <c r="N596" t="n">
        <v>0</v>
      </c>
      <c r="O596" t="n">
        <v>0</v>
      </c>
      <c r="P596" t="n">
        <v>0</v>
      </c>
      <c r="Q596" t="n">
        <v>0</v>
      </c>
      <c r="R596" s="2" t="inlineStr"/>
    </row>
    <row r="597" ht="15" customHeight="1">
      <c r="A597" t="inlineStr">
        <is>
          <t>A 41345-2021</t>
        </is>
      </c>
      <c r="B597" s="1" t="n">
        <v>44424.61851851852</v>
      </c>
      <c r="C597" s="1" t="n">
        <v>45985</v>
      </c>
      <c r="D597" t="inlineStr">
        <is>
          <t>ÖSTERGÖTLANDS LÄN</t>
        </is>
      </c>
      <c r="E597" t="inlineStr">
        <is>
          <t>LINKÖPING</t>
        </is>
      </c>
      <c r="F597" t="inlineStr">
        <is>
          <t>Sveaskog</t>
        </is>
      </c>
      <c r="G597" t="n">
        <v>6.3</v>
      </c>
      <c r="H597" t="n">
        <v>0</v>
      </c>
      <c r="I597" t="n">
        <v>0</v>
      </c>
      <c r="J597" t="n">
        <v>0</v>
      </c>
      <c r="K597" t="n">
        <v>0</v>
      </c>
      <c r="L597" t="n">
        <v>0</v>
      </c>
      <c r="M597" t="n">
        <v>0</v>
      </c>
      <c r="N597" t="n">
        <v>0</v>
      </c>
      <c r="O597" t="n">
        <v>0</v>
      </c>
      <c r="P597" t="n">
        <v>0</v>
      </c>
      <c r="Q597" t="n">
        <v>0</v>
      </c>
      <c r="R597" s="2" t="inlineStr"/>
    </row>
    <row r="598" ht="15" customHeight="1">
      <c r="A598" t="inlineStr">
        <is>
          <t>A 67129-2020</t>
        </is>
      </c>
      <c r="B598" s="1" t="n">
        <v>44180</v>
      </c>
      <c r="C598" s="1" t="n">
        <v>45985</v>
      </c>
      <c r="D598" t="inlineStr">
        <is>
          <t>ÖSTERGÖTLANDS LÄN</t>
        </is>
      </c>
      <c r="E598" t="inlineStr">
        <is>
          <t>LINKÖPING</t>
        </is>
      </c>
      <c r="F598" t="inlineStr">
        <is>
          <t>Övriga statliga verk och myndigheter</t>
        </is>
      </c>
      <c r="G598" t="n">
        <v>2.7</v>
      </c>
      <c r="H598" t="n">
        <v>0</v>
      </c>
      <c r="I598" t="n">
        <v>0</v>
      </c>
      <c r="J598" t="n">
        <v>0</v>
      </c>
      <c r="K598" t="n">
        <v>0</v>
      </c>
      <c r="L598" t="n">
        <v>0</v>
      </c>
      <c r="M598" t="n">
        <v>0</v>
      </c>
      <c r="N598" t="n">
        <v>0</v>
      </c>
      <c r="O598" t="n">
        <v>0</v>
      </c>
      <c r="P598" t="n">
        <v>0</v>
      </c>
      <c r="Q598" t="n">
        <v>0</v>
      </c>
      <c r="R598" s="2" t="inlineStr"/>
    </row>
    <row r="599" ht="15" customHeight="1">
      <c r="A599" t="inlineStr">
        <is>
          <t>A 61307-2021</t>
        </is>
      </c>
      <c r="B599" s="1" t="n">
        <v>44498.63928240741</v>
      </c>
      <c r="C599" s="1" t="n">
        <v>45985</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61325-2021</t>
        </is>
      </c>
      <c r="B600" s="1" t="n">
        <v>44498.66814814815</v>
      </c>
      <c r="C600" s="1" t="n">
        <v>45985</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60010-2022</t>
        </is>
      </c>
      <c r="B601" s="1" t="n">
        <v>44909.4740625</v>
      </c>
      <c r="C601" s="1" t="n">
        <v>45985</v>
      </c>
      <c r="D601" t="inlineStr">
        <is>
          <t>ÖSTERGÖTLANDS LÄN</t>
        </is>
      </c>
      <c r="E601" t="inlineStr">
        <is>
          <t>LINKÖPING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30518-2024</t>
        </is>
      </c>
      <c r="B602" s="1" t="n">
        <v>45492</v>
      </c>
      <c r="C602" s="1" t="n">
        <v>45985</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4908-2023</t>
        </is>
      </c>
      <c r="B603" s="1" t="n">
        <v>44958</v>
      </c>
      <c r="C603" s="1" t="n">
        <v>45985</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37715-2022</t>
        </is>
      </c>
      <c r="B604" s="1" t="n">
        <v>44810</v>
      </c>
      <c r="C604" s="1" t="n">
        <v>45985</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3742-2021</t>
        </is>
      </c>
      <c r="B605" s="1" t="n">
        <v>44221</v>
      </c>
      <c r="C605" s="1" t="n">
        <v>45985</v>
      </c>
      <c r="D605" t="inlineStr">
        <is>
          <t>ÖSTERGÖTLANDS LÄN</t>
        </is>
      </c>
      <c r="E605" t="inlineStr">
        <is>
          <t>LINKÖPING</t>
        </is>
      </c>
      <c r="G605" t="n">
        <v>5.5</v>
      </c>
      <c r="H605" t="n">
        <v>0</v>
      </c>
      <c r="I605" t="n">
        <v>0</v>
      </c>
      <c r="J605" t="n">
        <v>0</v>
      </c>
      <c r="K605" t="n">
        <v>0</v>
      </c>
      <c r="L605" t="n">
        <v>0</v>
      </c>
      <c r="M605" t="n">
        <v>0</v>
      </c>
      <c r="N605" t="n">
        <v>0</v>
      </c>
      <c r="O605" t="n">
        <v>0</v>
      </c>
      <c r="P605" t="n">
        <v>0</v>
      </c>
      <c r="Q605" t="n">
        <v>0</v>
      </c>
      <c r="R605" s="2" t="inlineStr"/>
    </row>
    <row r="606" ht="15" customHeight="1">
      <c r="A606" t="inlineStr">
        <is>
          <t>A 3011-2023</t>
        </is>
      </c>
      <c r="B606" s="1" t="n">
        <v>44945</v>
      </c>
      <c r="C606" s="1" t="n">
        <v>45985</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45442-2024</t>
        </is>
      </c>
      <c r="B607" s="1" t="n">
        <v>45576.64189814815</v>
      </c>
      <c r="C607" s="1" t="n">
        <v>45985</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3432-2023</t>
        </is>
      </c>
      <c r="B608" s="1" t="n">
        <v>44949</v>
      </c>
      <c r="C608" s="1" t="n">
        <v>45985</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1440-2021</t>
        </is>
      </c>
      <c r="B609" s="1" t="n">
        <v>44208</v>
      </c>
      <c r="C609" s="1" t="n">
        <v>45985</v>
      </c>
      <c r="D609" t="inlineStr">
        <is>
          <t>ÖSTERGÖTLANDS LÄN</t>
        </is>
      </c>
      <c r="E609" t="inlineStr">
        <is>
          <t>LINKÖPING</t>
        </is>
      </c>
      <c r="G609" t="n">
        <v>8.4</v>
      </c>
      <c r="H609" t="n">
        <v>0</v>
      </c>
      <c r="I609" t="n">
        <v>0</v>
      </c>
      <c r="J609" t="n">
        <v>0</v>
      </c>
      <c r="K609" t="n">
        <v>0</v>
      </c>
      <c r="L609" t="n">
        <v>0</v>
      </c>
      <c r="M609" t="n">
        <v>0</v>
      </c>
      <c r="N609" t="n">
        <v>0</v>
      </c>
      <c r="O609" t="n">
        <v>0</v>
      </c>
      <c r="P609" t="n">
        <v>0</v>
      </c>
      <c r="Q609" t="n">
        <v>0</v>
      </c>
      <c r="R609" s="2" t="inlineStr"/>
    </row>
    <row r="610" ht="15" customHeight="1">
      <c r="A610" t="inlineStr">
        <is>
          <t>A 60472-2022</t>
        </is>
      </c>
      <c r="B610" s="1" t="n">
        <v>44911.41037037037</v>
      </c>
      <c r="C610" s="1" t="n">
        <v>45985</v>
      </c>
      <c r="D610" t="inlineStr">
        <is>
          <t>ÖSTERGÖTLANDS LÄN</t>
        </is>
      </c>
      <c r="E610" t="inlineStr">
        <is>
          <t>LINKÖPING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12720-2022</t>
        </is>
      </c>
      <c r="B611" s="1" t="n">
        <v>44641</v>
      </c>
      <c r="C611" s="1" t="n">
        <v>45985</v>
      </c>
      <c r="D611" t="inlineStr">
        <is>
          <t>ÖSTERGÖTLANDS LÄN</t>
        </is>
      </c>
      <c r="E611" t="inlineStr">
        <is>
          <t>LINKÖPING</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45831-2024</t>
        </is>
      </c>
      <c r="B612" s="1" t="n">
        <v>45579.90508101852</v>
      </c>
      <c r="C612" s="1" t="n">
        <v>45985</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57396-2021</t>
        </is>
      </c>
      <c r="B613" s="1" t="n">
        <v>44483.56151620371</v>
      </c>
      <c r="C613" s="1" t="n">
        <v>45985</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22842-2023</t>
        </is>
      </c>
      <c r="B614" s="1" t="n">
        <v>45071</v>
      </c>
      <c r="C614" s="1" t="n">
        <v>45985</v>
      </c>
      <c r="D614" t="inlineStr">
        <is>
          <t>ÖSTERGÖTLANDS LÄN</t>
        </is>
      </c>
      <c r="E614" t="inlineStr">
        <is>
          <t>LINKÖPING</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50386-2021</t>
        </is>
      </c>
      <c r="B615" s="1" t="n">
        <v>44459</v>
      </c>
      <c r="C615" s="1" t="n">
        <v>45985</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35781-2023</t>
        </is>
      </c>
      <c r="B616" s="1" t="n">
        <v>45147</v>
      </c>
      <c r="C616" s="1" t="n">
        <v>45985</v>
      </c>
      <c r="D616" t="inlineStr">
        <is>
          <t>ÖSTERGÖTLANDS LÄN</t>
        </is>
      </c>
      <c r="E616" t="inlineStr">
        <is>
          <t>LINKÖPING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22770-2024</t>
        </is>
      </c>
      <c r="B617" s="1" t="n">
        <v>45448.4634375</v>
      </c>
      <c r="C617" s="1" t="n">
        <v>45985</v>
      </c>
      <c r="D617" t="inlineStr">
        <is>
          <t>ÖSTERGÖTLANDS LÄN</t>
        </is>
      </c>
      <c r="E617" t="inlineStr">
        <is>
          <t>LINKÖPING</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11671-2023</t>
        </is>
      </c>
      <c r="B618" s="1" t="n">
        <v>44994.48125</v>
      </c>
      <c r="C618" s="1" t="n">
        <v>45985</v>
      </c>
      <c r="D618" t="inlineStr">
        <is>
          <t>ÖSTERGÖTLANDS LÄN</t>
        </is>
      </c>
      <c r="E618" t="inlineStr">
        <is>
          <t>LINKÖPING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54425-2022</t>
        </is>
      </c>
      <c r="B619" s="1" t="n">
        <v>44882.57453703704</v>
      </c>
      <c r="C619" s="1" t="n">
        <v>45985</v>
      </c>
      <c r="D619" t="inlineStr">
        <is>
          <t>ÖSTERGÖTLANDS LÄN</t>
        </is>
      </c>
      <c r="E619" t="inlineStr">
        <is>
          <t>LINKÖPING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4927-2021</t>
        </is>
      </c>
      <c r="B620" s="1" t="n">
        <v>44227.57215277778</v>
      </c>
      <c r="C620" s="1" t="n">
        <v>45985</v>
      </c>
      <c r="D620" t="inlineStr">
        <is>
          <t>ÖSTERGÖTLANDS LÄN</t>
        </is>
      </c>
      <c r="E620" t="inlineStr">
        <is>
          <t>LINKÖPING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30547-2023</t>
        </is>
      </c>
      <c r="B621" s="1" t="n">
        <v>45111.75905092592</v>
      </c>
      <c r="C621" s="1" t="n">
        <v>45985</v>
      </c>
      <c r="D621" t="inlineStr">
        <is>
          <t>ÖSTERGÖTLANDS LÄN</t>
        </is>
      </c>
      <c r="E621" t="inlineStr">
        <is>
          <t>LINKÖPING</t>
        </is>
      </c>
      <c r="G621" t="n">
        <v>0.9</v>
      </c>
      <c r="H621" t="n">
        <v>0</v>
      </c>
      <c r="I621" t="n">
        <v>0</v>
      </c>
      <c r="J621" t="n">
        <v>0</v>
      </c>
      <c r="K621" t="n">
        <v>0</v>
      </c>
      <c r="L621" t="n">
        <v>0</v>
      </c>
      <c r="M621" t="n">
        <v>0</v>
      </c>
      <c r="N621" t="n">
        <v>0</v>
      </c>
      <c r="O621" t="n">
        <v>0</v>
      </c>
      <c r="P621" t="n">
        <v>0</v>
      </c>
      <c r="Q621" t="n">
        <v>0</v>
      </c>
      <c r="R621" s="2" t="inlineStr"/>
    </row>
    <row r="622" ht="15" customHeight="1">
      <c r="A622" t="inlineStr">
        <is>
          <t>A 24904-2024</t>
        </is>
      </c>
      <c r="B622" s="1" t="n">
        <v>45461</v>
      </c>
      <c r="C622" s="1" t="n">
        <v>45985</v>
      </c>
      <c r="D622" t="inlineStr">
        <is>
          <t>ÖSTERGÖTLANDS LÄN</t>
        </is>
      </c>
      <c r="E622" t="inlineStr">
        <is>
          <t>LINKÖPING</t>
        </is>
      </c>
      <c r="G622" t="n">
        <v>3.8</v>
      </c>
      <c r="H622" t="n">
        <v>0</v>
      </c>
      <c r="I622" t="n">
        <v>0</v>
      </c>
      <c r="J622" t="n">
        <v>0</v>
      </c>
      <c r="K622" t="n">
        <v>0</v>
      </c>
      <c r="L622" t="n">
        <v>0</v>
      </c>
      <c r="M622" t="n">
        <v>0</v>
      </c>
      <c r="N622" t="n">
        <v>0</v>
      </c>
      <c r="O622" t="n">
        <v>0</v>
      </c>
      <c r="P622" t="n">
        <v>0</v>
      </c>
      <c r="Q622" t="n">
        <v>0</v>
      </c>
      <c r="R622" s="2" t="inlineStr"/>
    </row>
    <row r="623" ht="15" customHeight="1">
      <c r="A623" t="inlineStr">
        <is>
          <t>A 26788-2022</t>
        </is>
      </c>
      <c r="B623" s="1" t="n">
        <v>44740</v>
      </c>
      <c r="C623" s="1" t="n">
        <v>45985</v>
      </c>
      <c r="D623" t="inlineStr">
        <is>
          <t>ÖSTERGÖTLANDS LÄN</t>
        </is>
      </c>
      <c r="E623" t="inlineStr">
        <is>
          <t>LINKÖPING</t>
        </is>
      </c>
      <c r="G623" t="n">
        <v>3.2</v>
      </c>
      <c r="H623" t="n">
        <v>0</v>
      </c>
      <c r="I623" t="n">
        <v>0</v>
      </c>
      <c r="J623" t="n">
        <v>0</v>
      </c>
      <c r="K623" t="n">
        <v>0</v>
      </c>
      <c r="L623" t="n">
        <v>0</v>
      </c>
      <c r="M623" t="n">
        <v>0</v>
      </c>
      <c r="N623" t="n">
        <v>0</v>
      </c>
      <c r="O623" t="n">
        <v>0</v>
      </c>
      <c r="P623" t="n">
        <v>0</v>
      </c>
      <c r="Q623" t="n">
        <v>0</v>
      </c>
      <c r="R623" s="2" t="inlineStr"/>
    </row>
    <row r="624" ht="15" customHeight="1">
      <c r="A624" t="inlineStr">
        <is>
          <t>A 15121-2022</t>
        </is>
      </c>
      <c r="B624" s="1" t="n">
        <v>44658</v>
      </c>
      <c r="C624" s="1" t="n">
        <v>45985</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51919-2024</t>
        </is>
      </c>
      <c r="B625" s="1" t="n">
        <v>45607.60791666667</v>
      </c>
      <c r="C625" s="1" t="n">
        <v>45985</v>
      </c>
      <c r="D625" t="inlineStr">
        <is>
          <t>ÖSTERGÖTLANDS LÄN</t>
        </is>
      </c>
      <c r="E625" t="inlineStr">
        <is>
          <t>LINKÖPING</t>
        </is>
      </c>
      <c r="G625" t="n">
        <v>2.5</v>
      </c>
      <c r="H625" t="n">
        <v>0</v>
      </c>
      <c r="I625" t="n">
        <v>0</v>
      </c>
      <c r="J625" t="n">
        <v>0</v>
      </c>
      <c r="K625" t="n">
        <v>0</v>
      </c>
      <c r="L625" t="n">
        <v>0</v>
      </c>
      <c r="M625" t="n">
        <v>0</v>
      </c>
      <c r="N625" t="n">
        <v>0</v>
      </c>
      <c r="O625" t="n">
        <v>0</v>
      </c>
      <c r="P625" t="n">
        <v>0</v>
      </c>
      <c r="Q625" t="n">
        <v>0</v>
      </c>
      <c r="R625" s="2" t="inlineStr"/>
    </row>
    <row r="626" ht="15" customHeight="1">
      <c r="A626" t="inlineStr">
        <is>
          <t>A 55009-2023</t>
        </is>
      </c>
      <c r="B626" s="1" t="n">
        <v>45237</v>
      </c>
      <c r="C626" s="1" t="n">
        <v>45985</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20291-2025</t>
        </is>
      </c>
      <c r="B627" s="1" t="n">
        <v>45774.74288194445</v>
      </c>
      <c r="C627" s="1" t="n">
        <v>45985</v>
      </c>
      <c r="D627" t="inlineStr">
        <is>
          <t>ÖSTERGÖTLANDS LÄN</t>
        </is>
      </c>
      <c r="E627" t="inlineStr">
        <is>
          <t>LINKÖPING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20293-2025</t>
        </is>
      </c>
      <c r="B628" s="1" t="n">
        <v>45774.74611111111</v>
      </c>
      <c r="C628" s="1" t="n">
        <v>45985</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660-2023</t>
        </is>
      </c>
      <c r="B629" s="1" t="n">
        <v>44930</v>
      </c>
      <c r="C629" s="1" t="n">
        <v>45985</v>
      </c>
      <c r="D629" t="inlineStr">
        <is>
          <t>ÖSTERGÖTLANDS LÄN</t>
        </is>
      </c>
      <c r="E629" t="inlineStr">
        <is>
          <t>LINKÖPING</t>
        </is>
      </c>
      <c r="F629" t="inlineStr">
        <is>
          <t>Kyrkan</t>
        </is>
      </c>
      <c r="G629" t="n">
        <v>1.6</v>
      </c>
      <c r="H629" t="n">
        <v>0</v>
      </c>
      <c r="I629" t="n">
        <v>0</v>
      </c>
      <c r="J629" t="n">
        <v>0</v>
      </c>
      <c r="K629" t="n">
        <v>0</v>
      </c>
      <c r="L629" t="n">
        <v>0</v>
      </c>
      <c r="M629" t="n">
        <v>0</v>
      </c>
      <c r="N629" t="n">
        <v>0</v>
      </c>
      <c r="O629" t="n">
        <v>0</v>
      </c>
      <c r="P629" t="n">
        <v>0</v>
      </c>
      <c r="Q629" t="n">
        <v>0</v>
      </c>
      <c r="R629" s="2" t="inlineStr"/>
    </row>
    <row r="630" ht="15" customHeight="1">
      <c r="A630" t="inlineStr">
        <is>
          <t>A 64694-2023</t>
        </is>
      </c>
      <c r="B630" s="1" t="n">
        <v>45281</v>
      </c>
      <c r="C630" s="1" t="n">
        <v>45985</v>
      </c>
      <c r="D630" t="inlineStr">
        <is>
          <t>ÖSTERGÖTLANDS LÄN</t>
        </is>
      </c>
      <c r="E630" t="inlineStr">
        <is>
          <t>LINKÖPING</t>
        </is>
      </c>
      <c r="F630" t="inlineStr">
        <is>
          <t>Övriga statliga verk och myndigheter</t>
        </is>
      </c>
      <c r="G630" t="n">
        <v>4.9</v>
      </c>
      <c r="H630" t="n">
        <v>0</v>
      </c>
      <c r="I630" t="n">
        <v>0</v>
      </c>
      <c r="J630" t="n">
        <v>0</v>
      </c>
      <c r="K630" t="n">
        <v>0</v>
      </c>
      <c r="L630" t="n">
        <v>0</v>
      </c>
      <c r="M630" t="n">
        <v>0</v>
      </c>
      <c r="N630" t="n">
        <v>0</v>
      </c>
      <c r="O630" t="n">
        <v>0</v>
      </c>
      <c r="P630" t="n">
        <v>0</v>
      </c>
      <c r="Q630" t="n">
        <v>0</v>
      </c>
      <c r="R630" s="2" t="inlineStr"/>
    </row>
    <row r="631" ht="15" customHeight="1">
      <c r="A631" t="inlineStr">
        <is>
          <t>A 63487-2023</t>
        </is>
      </c>
      <c r="B631" s="1" t="n">
        <v>45274.66712962963</v>
      </c>
      <c r="C631" s="1" t="n">
        <v>45985</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20455-2024</t>
        </is>
      </c>
      <c r="B632" s="1" t="n">
        <v>45435.65314814815</v>
      </c>
      <c r="C632" s="1" t="n">
        <v>45985</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30471-2023</t>
        </is>
      </c>
      <c r="B633" s="1" t="n">
        <v>45111.58931712963</v>
      </c>
      <c r="C633" s="1" t="n">
        <v>45985</v>
      </c>
      <c r="D633" t="inlineStr">
        <is>
          <t>ÖSTERGÖTLANDS LÄN</t>
        </is>
      </c>
      <c r="E633" t="inlineStr">
        <is>
          <t>LINKÖPING</t>
        </is>
      </c>
      <c r="G633" t="n">
        <v>2.9</v>
      </c>
      <c r="H633" t="n">
        <v>0</v>
      </c>
      <c r="I633" t="n">
        <v>0</v>
      </c>
      <c r="J633" t="n">
        <v>0</v>
      </c>
      <c r="K633" t="n">
        <v>0</v>
      </c>
      <c r="L633" t="n">
        <v>0</v>
      </c>
      <c r="M633" t="n">
        <v>0</v>
      </c>
      <c r="N633" t="n">
        <v>0</v>
      </c>
      <c r="O633" t="n">
        <v>0</v>
      </c>
      <c r="P633" t="n">
        <v>0</v>
      </c>
      <c r="Q633" t="n">
        <v>0</v>
      </c>
      <c r="R633" s="2" t="inlineStr"/>
    </row>
    <row r="634" ht="15" customHeight="1">
      <c r="A634" t="inlineStr">
        <is>
          <t>A 14093-2024</t>
        </is>
      </c>
      <c r="B634" s="1" t="n">
        <v>45392.60278935185</v>
      </c>
      <c r="C634" s="1" t="n">
        <v>45985</v>
      </c>
      <c r="D634" t="inlineStr">
        <is>
          <t>ÖSTERGÖTLANDS LÄN</t>
        </is>
      </c>
      <c r="E634" t="inlineStr">
        <is>
          <t>LINKÖPING</t>
        </is>
      </c>
      <c r="F634" t="inlineStr">
        <is>
          <t>Övriga Aktiebolag</t>
        </is>
      </c>
      <c r="G634" t="n">
        <v>0.6</v>
      </c>
      <c r="H634" t="n">
        <v>0</v>
      </c>
      <c r="I634" t="n">
        <v>0</v>
      </c>
      <c r="J634" t="n">
        <v>0</v>
      </c>
      <c r="K634" t="n">
        <v>0</v>
      </c>
      <c r="L634" t="n">
        <v>0</v>
      </c>
      <c r="M634" t="n">
        <v>0</v>
      </c>
      <c r="N634" t="n">
        <v>0</v>
      </c>
      <c r="O634" t="n">
        <v>0</v>
      </c>
      <c r="P634" t="n">
        <v>0</v>
      </c>
      <c r="Q634" t="n">
        <v>0</v>
      </c>
      <c r="R634" s="2" t="inlineStr"/>
    </row>
    <row r="635" ht="15" customHeight="1">
      <c r="A635" t="inlineStr">
        <is>
          <t>A 63304-2021</t>
        </is>
      </c>
      <c r="B635" s="1" t="n">
        <v>44508.4396412037</v>
      </c>
      <c r="C635" s="1" t="n">
        <v>45985</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19362-2023</t>
        </is>
      </c>
      <c r="B636" s="1" t="n">
        <v>45049</v>
      </c>
      <c r="C636" s="1" t="n">
        <v>45985</v>
      </c>
      <c r="D636" t="inlineStr">
        <is>
          <t>ÖSTERGÖTLANDS LÄN</t>
        </is>
      </c>
      <c r="E636" t="inlineStr">
        <is>
          <t>LINKÖPING</t>
        </is>
      </c>
      <c r="G636" t="n">
        <v>0.1</v>
      </c>
      <c r="H636" t="n">
        <v>0</v>
      </c>
      <c r="I636" t="n">
        <v>0</v>
      </c>
      <c r="J636" t="n">
        <v>0</v>
      </c>
      <c r="K636" t="n">
        <v>0</v>
      </c>
      <c r="L636" t="n">
        <v>0</v>
      </c>
      <c r="M636" t="n">
        <v>0</v>
      </c>
      <c r="N636" t="n">
        <v>0</v>
      </c>
      <c r="O636" t="n">
        <v>0</v>
      </c>
      <c r="P636" t="n">
        <v>0</v>
      </c>
      <c r="Q636" t="n">
        <v>0</v>
      </c>
      <c r="R636" s="2" t="inlineStr"/>
    </row>
    <row r="637" ht="15" customHeight="1">
      <c r="A637" t="inlineStr">
        <is>
          <t>A 35463-2023</t>
        </is>
      </c>
      <c r="B637" s="1" t="n">
        <v>45146</v>
      </c>
      <c r="C637" s="1" t="n">
        <v>45985</v>
      </c>
      <c r="D637" t="inlineStr">
        <is>
          <t>ÖSTERGÖTLANDS LÄN</t>
        </is>
      </c>
      <c r="E637" t="inlineStr">
        <is>
          <t>LINKÖPING</t>
        </is>
      </c>
      <c r="F637" t="inlineStr">
        <is>
          <t>Övriga Aktiebolag</t>
        </is>
      </c>
      <c r="G637" t="n">
        <v>1.8</v>
      </c>
      <c r="H637" t="n">
        <v>0</v>
      </c>
      <c r="I637" t="n">
        <v>0</v>
      </c>
      <c r="J637" t="n">
        <v>0</v>
      </c>
      <c r="K637" t="n">
        <v>0</v>
      </c>
      <c r="L637" t="n">
        <v>0</v>
      </c>
      <c r="M637" t="n">
        <v>0</v>
      </c>
      <c r="N637" t="n">
        <v>0</v>
      </c>
      <c r="O637" t="n">
        <v>0</v>
      </c>
      <c r="P637" t="n">
        <v>0</v>
      </c>
      <c r="Q637" t="n">
        <v>0</v>
      </c>
      <c r="R637" s="2" t="inlineStr"/>
    </row>
    <row r="638" ht="15" customHeight="1">
      <c r="A638" t="inlineStr">
        <is>
          <t>A 16111-2022</t>
        </is>
      </c>
      <c r="B638" s="1" t="n">
        <v>44665</v>
      </c>
      <c r="C638" s="1" t="n">
        <v>45985</v>
      </c>
      <c r="D638" t="inlineStr">
        <is>
          <t>ÖSTERGÖTLANDS LÄN</t>
        </is>
      </c>
      <c r="E638" t="inlineStr">
        <is>
          <t>LINKÖPING</t>
        </is>
      </c>
      <c r="F638" t="inlineStr">
        <is>
          <t>Övriga Aktiebolag</t>
        </is>
      </c>
      <c r="G638" t="n">
        <v>2.9</v>
      </c>
      <c r="H638" t="n">
        <v>0</v>
      </c>
      <c r="I638" t="n">
        <v>0</v>
      </c>
      <c r="J638" t="n">
        <v>0</v>
      </c>
      <c r="K638" t="n">
        <v>0</v>
      </c>
      <c r="L638" t="n">
        <v>0</v>
      </c>
      <c r="M638" t="n">
        <v>0</v>
      </c>
      <c r="N638" t="n">
        <v>0</v>
      </c>
      <c r="O638" t="n">
        <v>0</v>
      </c>
      <c r="P638" t="n">
        <v>0</v>
      </c>
      <c r="Q638" t="n">
        <v>0</v>
      </c>
      <c r="R638" s="2" t="inlineStr"/>
    </row>
    <row r="639" ht="15" customHeight="1">
      <c r="A639" t="inlineStr">
        <is>
          <t>A 31635-2023</t>
        </is>
      </c>
      <c r="B639" s="1" t="n">
        <v>45105</v>
      </c>
      <c r="C639" s="1" t="n">
        <v>45985</v>
      </c>
      <c r="D639" t="inlineStr">
        <is>
          <t>ÖSTERGÖTLANDS LÄN</t>
        </is>
      </c>
      <c r="E639" t="inlineStr">
        <is>
          <t>LINKÖPING</t>
        </is>
      </c>
      <c r="F639" t="inlineStr">
        <is>
          <t>Övriga statliga verk och myndigheter</t>
        </is>
      </c>
      <c r="G639" t="n">
        <v>4.6</v>
      </c>
      <c r="H639" t="n">
        <v>0</v>
      </c>
      <c r="I639" t="n">
        <v>0</v>
      </c>
      <c r="J639" t="n">
        <v>0</v>
      </c>
      <c r="K639" t="n">
        <v>0</v>
      </c>
      <c r="L639" t="n">
        <v>0</v>
      </c>
      <c r="M639" t="n">
        <v>0</v>
      </c>
      <c r="N639" t="n">
        <v>0</v>
      </c>
      <c r="O639" t="n">
        <v>0</v>
      </c>
      <c r="P639" t="n">
        <v>0</v>
      </c>
      <c r="Q639" t="n">
        <v>0</v>
      </c>
      <c r="R639" s="2" t="inlineStr"/>
    </row>
    <row r="640" ht="15" customHeight="1">
      <c r="A640" t="inlineStr">
        <is>
          <t>A 49928-2024</t>
        </is>
      </c>
      <c r="B640" s="1" t="n">
        <v>45597.57811342592</v>
      </c>
      <c r="C640" s="1" t="n">
        <v>45985</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54845-2023</t>
        </is>
      </c>
      <c r="B641" s="1" t="n">
        <v>45236</v>
      </c>
      <c r="C641" s="1" t="n">
        <v>45985</v>
      </c>
      <c r="D641" t="inlineStr">
        <is>
          <t>ÖSTERGÖTLANDS LÄN</t>
        </is>
      </c>
      <c r="E641" t="inlineStr">
        <is>
          <t>LINKÖPING</t>
        </is>
      </c>
      <c r="F641" t="inlineStr">
        <is>
          <t>Övriga Aktiebolag</t>
        </is>
      </c>
      <c r="G641" t="n">
        <v>5.7</v>
      </c>
      <c r="H641" t="n">
        <v>0</v>
      </c>
      <c r="I641" t="n">
        <v>0</v>
      </c>
      <c r="J641" t="n">
        <v>0</v>
      </c>
      <c r="K641" t="n">
        <v>0</v>
      </c>
      <c r="L641" t="n">
        <v>0</v>
      </c>
      <c r="M641" t="n">
        <v>0</v>
      </c>
      <c r="N641" t="n">
        <v>0</v>
      </c>
      <c r="O641" t="n">
        <v>0</v>
      </c>
      <c r="P641" t="n">
        <v>0</v>
      </c>
      <c r="Q641" t="n">
        <v>0</v>
      </c>
      <c r="R641" s="2" t="inlineStr"/>
    </row>
    <row r="642" ht="15" customHeight="1">
      <c r="A642" t="inlineStr">
        <is>
          <t>A 46687-2021</t>
        </is>
      </c>
      <c r="B642" s="1" t="n">
        <v>44445</v>
      </c>
      <c r="C642" s="1" t="n">
        <v>45985</v>
      </c>
      <c r="D642" t="inlineStr">
        <is>
          <t>ÖSTERGÖTLANDS LÄN</t>
        </is>
      </c>
      <c r="E642" t="inlineStr">
        <is>
          <t>LINKÖPING</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30855-2022</t>
        </is>
      </c>
      <c r="B643" s="1" t="n">
        <v>44767</v>
      </c>
      <c r="C643" s="1" t="n">
        <v>45985</v>
      </c>
      <c r="D643" t="inlineStr">
        <is>
          <t>ÖSTERGÖTLANDS LÄN</t>
        </is>
      </c>
      <c r="E643" t="inlineStr">
        <is>
          <t>LINKÖPING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1355-2023</t>
        </is>
      </c>
      <c r="B644" s="1" t="n">
        <v>44931</v>
      </c>
      <c r="C644" s="1" t="n">
        <v>45985</v>
      </c>
      <c r="D644" t="inlineStr">
        <is>
          <t>ÖSTERGÖTLANDS LÄN</t>
        </is>
      </c>
      <c r="E644" t="inlineStr">
        <is>
          <t>LINKÖPING</t>
        </is>
      </c>
      <c r="G644" t="n">
        <v>4</v>
      </c>
      <c r="H644" t="n">
        <v>0</v>
      </c>
      <c r="I644" t="n">
        <v>0</v>
      </c>
      <c r="J644" t="n">
        <v>0</v>
      </c>
      <c r="K644" t="n">
        <v>0</v>
      </c>
      <c r="L644" t="n">
        <v>0</v>
      </c>
      <c r="M644" t="n">
        <v>0</v>
      </c>
      <c r="N644" t="n">
        <v>0</v>
      </c>
      <c r="O644" t="n">
        <v>0</v>
      </c>
      <c r="P644" t="n">
        <v>0</v>
      </c>
      <c r="Q644" t="n">
        <v>0</v>
      </c>
      <c r="R644" s="2" t="inlineStr"/>
    </row>
    <row r="645" ht="15" customHeight="1">
      <c r="A645" t="inlineStr">
        <is>
          <t>A 27844-2024</t>
        </is>
      </c>
      <c r="B645" s="1" t="n">
        <v>45475.63047453704</v>
      </c>
      <c r="C645" s="1" t="n">
        <v>45985</v>
      </c>
      <c r="D645" t="inlineStr">
        <is>
          <t>ÖSTERGÖTLANDS LÄN</t>
        </is>
      </c>
      <c r="E645" t="inlineStr">
        <is>
          <t>LINKÖPING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10741-2023</t>
        </is>
      </c>
      <c r="B646" s="1" t="n">
        <v>44988.70084490741</v>
      </c>
      <c r="C646" s="1" t="n">
        <v>45985</v>
      </c>
      <c r="D646" t="inlineStr">
        <is>
          <t>ÖSTERGÖTLANDS LÄN</t>
        </is>
      </c>
      <c r="E646" t="inlineStr">
        <is>
          <t>LINKÖPING</t>
        </is>
      </c>
      <c r="F646" t="inlineStr">
        <is>
          <t>Allmännings- och besparingsskogar</t>
        </is>
      </c>
      <c r="G646" t="n">
        <v>11.2</v>
      </c>
      <c r="H646" t="n">
        <v>0</v>
      </c>
      <c r="I646" t="n">
        <v>0</v>
      </c>
      <c r="J646" t="n">
        <v>0</v>
      </c>
      <c r="K646" t="n">
        <v>0</v>
      </c>
      <c r="L646" t="n">
        <v>0</v>
      </c>
      <c r="M646" t="n">
        <v>0</v>
      </c>
      <c r="N646" t="n">
        <v>0</v>
      </c>
      <c r="O646" t="n">
        <v>0</v>
      </c>
      <c r="P646" t="n">
        <v>0</v>
      </c>
      <c r="Q646" t="n">
        <v>0</v>
      </c>
      <c r="R646" s="2" t="inlineStr"/>
    </row>
    <row r="647" ht="15" customHeight="1">
      <c r="A647" t="inlineStr">
        <is>
          <t>A 50963-2021</t>
        </is>
      </c>
      <c r="B647" s="1" t="n">
        <v>44460</v>
      </c>
      <c r="C647" s="1" t="n">
        <v>45985</v>
      </c>
      <c r="D647" t="inlineStr">
        <is>
          <t>ÖSTERGÖTLANDS LÄN</t>
        </is>
      </c>
      <c r="E647" t="inlineStr">
        <is>
          <t>LINKÖPING</t>
        </is>
      </c>
      <c r="G647" t="n">
        <v>4.4</v>
      </c>
      <c r="H647" t="n">
        <v>0</v>
      </c>
      <c r="I647" t="n">
        <v>0</v>
      </c>
      <c r="J647" t="n">
        <v>0</v>
      </c>
      <c r="K647" t="n">
        <v>0</v>
      </c>
      <c r="L647" t="n">
        <v>0</v>
      </c>
      <c r="M647" t="n">
        <v>0</v>
      </c>
      <c r="N647" t="n">
        <v>0</v>
      </c>
      <c r="O647" t="n">
        <v>0</v>
      </c>
      <c r="P647" t="n">
        <v>0</v>
      </c>
      <c r="Q647" t="n">
        <v>0</v>
      </c>
      <c r="R647" s="2" t="inlineStr"/>
    </row>
    <row r="648" ht="15" customHeight="1">
      <c r="A648" t="inlineStr">
        <is>
          <t>A 45821-2024</t>
        </is>
      </c>
      <c r="B648" s="1" t="n">
        <v>45579.75803240741</v>
      </c>
      <c r="C648" s="1" t="n">
        <v>45985</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61936-2023</t>
        </is>
      </c>
      <c r="B649" s="1" t="n">
        <v>45266.54534722222</v>
      </c>
      <c r="C649" s="1" t="n">
        <v>45985</v>
      </c>
      <c r="D649" t="inlineStr">
        <is>
          <t>ÖSTERGÖTLANDS LÄN</t>
        </is>
      </c>
      <c r="E649" t="inlineStr">
        <is>
          <t>LINKÖPING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1263-2024</t>
        </is>
      </c>
      <c r="B650" s="1" t="n">
        <v>45302</v>
      </c>
      <c r="C650" s="1" t="n">
        <v>45985</v>
      </c>
      <c r="D650" t="inlineStr">
        <is>
          <t>ÖSTERGÖTLANDS LÄN</t>
        </is>
      </c>
      <c r="E650" t="inlineStr">
        <is>
          <t>LINKÖPING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24464-2023</t>
        </is>
      </c>
      <c r="B651" s="1" t="n">
        <v>45082.58068287037</v>
      </c>
      <c r="C651" s="1" t="n">
        <v>45985</v>
      </c>
      <c r="D651" t="inlineStr">
        <is>
          <t>ÖSTERGÖTLANDS LÄN</t>
        </is>
      </c>
      <c r="E651" t="inlineStr">
        <is>
          <t>LINKÖPING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48389-2024</t>
        </is>
      </c>
      <c r="B652" s="1" t="n">
        <v>45590.59991898148</v>
      </c>
      <c r="C652" s="1" t="n">
        <v>45985</v>
      </c>
      <c r="D652" t="inlineStr">
        <is>
          <t>ÖSTERGÖTLANDS LÄN</t>
        </is>
      </c>
      <c r="E652" t="inlineStr">
        <is>
          <t>LINKÖPING</t>
        </is>
      </c>
      <c r="G652" t="n">
        <v>2.6</v>
      </c>
      <c r="H652" t="n">
        <v>0</v>
      </c>
      <c r="I652" t="n">
        <v>0</v>
      </c>
      <c r="J652" t="n">
        <v>0</v>
      </c>
      <c r="K652" t="n">
        <v>0</v>
      </c>
      <c r="L652" t="n">
        <v>0</v>
      </c>
      <c r="M652" t="n">
        <v>0</v>
      </c>
      <c r="N652" t="n">
        <v>0</v>
      </c>
      <c r="O652" t="n">
        <v>0</v>
      </c>
      <c r="P652" t="n">
        <v>0</v>
      </c>
      <c r="Q652" t="n">
        <v>0</v>
      </c>
      <c r="R652" s="2" t="inlineStr"/>
    </row>
    <row r="653" ht="15" customHeight="1">
      <c r="A653" t="inlineStr">
        <is>
          <t>A 61281-2021</t>
        </is>
      </c>
      <c r="B653" s="1" t="n">
        <v>44498.60736111111</v>
      </c>
      <c r="C653" s="1" t="n">
        <v>45985</v>
      </c>
      <c r="D653" t="inlineStr">
        <is>
          <t>ÖSTERGÖTLANDS LÄN</t>
        </is>
      </c>
      <c r="E653" t="inlineStr">
        <is>
          <t>LINKÖPING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6369-2023</t>
        </is>
      </c>
      <c r="B654" s="1" t="n">
        <v>44965.61106481482</v>
      </c>
      <c r="C654" s="1" t="n">
        <v>45985</v>
      </c>
      <c r="D654" t="inlineStr">
        <is>
          <t>ÖSTERGÖTLANDS LÄN</t>
        </is>
      </c>
      <c r="E654" t="inlineStr">
        <is>
          <t>LINKÖPING</t>
        </is>
      </c>
      <c r="G654" t="n">
        <v>4</v>
      </c>
      <c r="H654" t="n">
        <v>0</v>
      </c>
      <c r="I654" t="n">
        <v>0</v>
      </c>
      <c r="J654" t="n">
        <v>0</v>
      </c>
      <c r="K654" t="n">
        <v>0</v>
      </c>
      <c r="L654" t="n">
        <v>0</v>
      </c>
      <c r="M654" t="n">
        <v>0</v>
      </c>
      <c r="N654" t="n">
        <v>0</v>
      </c>
      <c r="O654" t="n">
        <v>0</v>
      </c>
      <c r="P654" t="n">
        <v>0</v>
      </c>
      <c r="Q654" t="n">
        <v>0</v>
      </c>
      <c r="R654" s="2" t="inlineStr"/>
    </row>
    <row r="655" ht="15" customHeight="1">
      <c r="A655" t="inlineStr">
        <is>
          <t>A 10094-2024</t>
        </is>
      </c>
      <c r="B655" s="1" t="n">
        <v>45364</v>
      </c>
      <c r="C655" s="1" t="n">
        <v>45985</v>
      </c>
      <c r="D655" t="inlineStr">
        <is>
          <t>ÖSTERGÖTLANDS LÄN</t>
        </is>
      </c>
      <c r="E655" t="inlineStr">
        <is>
          <t>LINKÖPING</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1207-2023</t>
        </is>
      </c>
      <c r="B656" s="1" t="n">
        <v>44930</v>
      </c>
      <c r="C656" s="1" t="n">
        <v>45985</v>
      </c>
      <c r="D656" t="inlineStr">
        <is>
          <t>ÖSTERGÖTLANDS LÄN</t>
        </is>
      </c>
      <c r="E656" t="inlineStr">
        <is>
          <t>LINKÖPING</t>
        </is>
      </c>
      <c r="F656" t="inlineStr">
        <is>
          <t>Övriga statliga verk och myndigheter</t>
        </is>
      </c>
      <c r="G656" t="n">
        <v>32.8</v>
      </c>
      <c r="H656" t="n">
        <v>0</v>
      </c>
      <c r="I656" t="n">
        <v>0</v>
      </c>
      <c r="J656" t="n">
        <v>0</v>
      </c>
      <c r="K656" t="n">
        <v>0</v>
      </c>
      <c r="L656" t="n">
        <v>0</v>
      </c>
      <c r="M656" t="n">
        <v>0</v>
      </c>
      <c r="N656" t="n">
        <v>0</v>
      </c>
      <c r="O656" t="n">
        <v>0</v>
      </c>
      <c r="P656" t="n">
        <v>0</v>
      </c>
      <c r="Q656" t="n">
        <v>0</v>
      </c>
      <c r="R656" s="2" t="inlineStr"/>
    </row>
    <row r="657" ht="15" customHeight="1">
      <c r="A657" t="inlineStr">
        <is>
          <t>A 62015-2024</t>
        </is>
      </c>
      <c r="B657" s="1" t="n">
        <v>45655.80457175926</v>
      </c>
      <c r="C657" s="1" t="n">
        <v>45985</v>
      </c>
      <c r="D657" t="inlineStr">
        <is>
          <t>ÖSTERGÖTLANDS LÄN</t>
        </is>
      </c>
      <c r="E657" t="inlineStr">
        <is>
          <t>LINKÖPING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62020-2024</t>
        </is>
      </c>
      <c r="B658" s="1" t="n">
        <v>45655.83563657408</v>
      </c>
      <c r="C658" s="1" t="n">
        <v>45985</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62021-2024</t>
        </is>
      </c>
      <c r="B659" s="1" t="n">
        <v>45655.84232638889</v>
      </c>
      <c r="C659" s="1" t="n">
        <v>45985</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27891-2021</t>
        </is>
      </c>
      <c r="B660" s="1" t="n">
        <v>44354.65108796296</v>
      </c>
      <c r="C660" s="1" t="n">
        <v>45985</v>
      </c>
      <c r="D660" t="inlineStr">
        <is>
          <t>ÖSTERGÖTLANDS LÄN</t>
        </is>
      </c>
      <c r="E660" t="inlineStr">
        <is>
          <t>LINKÖPING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57391-2023</t>
        </is>
      </c>
      <c r="B661" s="1" t="n">
        <v>45245</v>
      </c>
      <c r="C661" s="1" t="n">
        <v>45985</v>
      </c>
      <c r="D661" t="inlineStr">
        <is>
          <t>ÖSTERGÖTLANDS LÄN</t>
        </is>
      </c>
      <c r="E661" t="inlineStr">
        <is>
          <t>LINKÖPING</t>
        </is>
      </c>
      <c r="F661" t="inlineStr">
        <is>
          <t>Övriga Aktiebolag</t>
        </is>
      </c>
      <c r="G661" t="n">
        <v>1.7</v>
      </c>
      <c r="H661" t="n">
        <v>0</v>
      </c>
      <c r="I661" t="n">
        <v>0</v>
      </c>
      <c r="J661" t="n">
        <v>0</v>
      </c>
      <c r="K661" t="n">
        <v>0</v>
      </c>
      <c r="L661" t="n">
        <v>0</v>
      </c>
      <c r="M661" t="n">
        <v>0</v>
      </c>
      <c r="N661" t="n">
        <v>0</v>
      </c>
      <c r="O661" t="n">
        <v>0</v>
      </c>
      <c r="P661" t="n">
        <v>0</v>
      </c>
      <c r="Q661" t="n">
        <v>0</v>
      </c>
      <c r="R661" s="2" t="inlineStr"/>
    </row>
    <row r="662" ht="15" customHeight="1">
      <c r="A662" t="inlineStr">
        <is>
          <t>A 20294-2025</t>
        </is>
      </c>
      <c r="B662" s="1" t="n">
        <v>45774.74667824074</v>
      </c>
      <c r="C662" s="1" t="n">
        <v>45985</v>
      </c>
      <c r="D662" t="inlineStr">
        <is>
          <t>ÖSTERGÖTLANDS LÄN</t>
        </is>
      </c>
      <c r="E662" t="inlineStr">
        <is>
          <t>LINKÖPING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60013-2022</t>
        </is>
      </c>
      <c r="B663" s="1" t="n">
        <v>44909.47482638889</v>
      </c>
      <c r="C663" s="1" t="n">
        <v>45985</v>
      </c>
      <c r="D663" t="inlineStr">
        <is>
          <t>ÖSTERGÖTLANDS LÄN</t>
        </is>
      </c>
      <c r="E663" t="inlineStr">
        <is>
          <t>LINKÖPING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3007-2025</t>
        </is>
      </c>
      <c r="B664" s="1" t="n">
        <v>45678.56328703704</v>
      </c>
      <c r="C664" s="1" t="n">
        <v>45985</v>
      </c>
      <c r="D664" t="inlineStr">
        <is>
          <t>ÖSTERGÖTLANDS LÄN</t>
        </is>
      </c>
      <c r="E664" t="inlineStr">
        <is>
          <t>LINKÖPING</t>
        </is>
      </c>
      <c r="G664" t="n">
        <v>3.1</v>
      </c>
      <c r="H664" t="n">
        <v>0</v>
      </c>
      <c r="I664" t="n">
        <v>0</v>
      </c>
      <c r="J664" t="n">
        <v>0</v>
      </c>
      <c r="K664" t="n">
        <v>0</v>
      </c>
      <c r="L664" t="n">
        <v>0</v>
      </c>
      <c r="M664" t="n">
        <v>0</v>
      </c>
      <c r="N664" t="n">
        <v>0</v>
      </c>
      <c r="O664" t="n">
        <v>0</v>
      </c>
      <c r="P664" t="n">
        <v>0</v>
      </c>
      <c r="Q664" t="n">
        <v>0</v>
      </c>
      <c r="R664" s="2" t="inlineStr"/>
    </row>
    <row r="665" ht="15" customHeight="1">
      <c r="A665" t="inlineStr">
        <is>
          <t>A 34877-2023</t>
        </is>
      </c>
      <c r="B665" s="1" t="n">
        <v>45140</v>
      </c>
      <c r="C665" s="1" t="n">
        <v>45985</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1924-2024</t>
        </is>
      </c>
      <c r="B666" s="1" t="n">
        <v>45308</v>
      </c>
      <c r="C666" s="1" t="n">
        <v>45985</v>
      </c>
      <c r="D666" t="inlineStr">
        <is>
          <t>ÖSTERGÖTLANDS LÄN</t>
        </is>
      </c>
      <c r="E666" t="inlineStr">
        <is>
          <t>LINKÖPING</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34558-2022</t>
        </is>
      </c>
      <c r="B667" s="1" t="n">
        <v>44794.57594907407</v>
      </c>
      <c r="C667" s="1" t="n">
        <v>45985</v>
      </c>
      <c r="D667" t="inlineStr">
        <is>
          <t>ÖSTERGÖTLANDS LÄN</t>
        </is>
      </c>
      <c r="E667" t="inlineStr">
        <is>
          <t>LINKÖPING</t>
        </is>
      </c>
      <c r="G667" t="n">
        <v>2.2</v>
      </c>
      <c r="H667" t="n">
        <v>0</v>
      </c>
      <c r="I667" t="n">
        <v>0</v>
      </c>
      <c r="J667" t="n">
        <v>0</v>
      </c>
      <c r="K667" t="n">
        <v>0</v>
      </c>
      <c r="L667" t="n">
        <v>0</v>
      </c>
      <c r="M667" t="n">
        <v>0</v>
      </c>
      <c r="N667" t="n">
        <v>0</v>
      </c>
      <c r="O667" t="n">
        <v>0</v>
      </c>
      <c r="P667" t="n">
        <v>0</v>
      </c>
      <c r="Q667" t="n">
        <v>0</v>
      </c>
      <c r="R667" s="2" t="inlineStr"/>
    </row>
    <row r="668" ht="15" customHeight="1">
      <c r="A668" t="inlineStr">
        <is>
          <t>A 168-2024</t>
        </is>
      </c>
      <c r="B668" s="1" t="n">
        <v>45294</v>
      </c>
      <c r="C668" s="1" t="n">
        <v>45985</v>
      </c>
      <c r="D668" t="inlineStr">
        <is>
          <t>ÖSTERGÖTLANDS LÄN</t>
        </is>
      </c>
      <c r="E668" t="inlineStr">
        <is>
          <t>LINKÖPING</t>
        </is>
      </c>
      <c r="F668" t="inlineStr">
        <is>
          <t>Allmännings- och besparingsskogar</t>
        </is>
      </c>
      <c r="G668" t="n">
        <v>8.9</v>
      </c>
      <c r="H668" t="n">
        <v>0</v>
      </c>
      <c r="I668" t="n">
        <v>0</v>
      </c>
      <c r="J668" t="n">
        <v>0</v>
      </c>
      <c r="K668" t="n">
        <v>0</v>
      </c>
      <c r="L668" t="n">
        <v>0</v>
      </c>
      <c r="M668" t="n">
        <v>0</v>
      </c>
      <c r="N668" t="n">
        <v>0</v>
      </c>
      <c r="O668" t="n">
        <v>0</v>
      </c>
      <c r="P668" t="n">
        <v>0</v>
      </c>
      <c r="Q668" t="n">
        <v>0</v>
      </c>
      <c r="R668" s="2" t="inlineStr"/>
    </row>
    <row r="669" ht="15" customHeight="1">
      <c r="A669" t="inlineStr">
        <is>
          <t>A 15658-2023</t>
        </is>
      </c>
      <c r="B669" s="1" t="n">
        <v>45021.41194444444</v>
      </c>
      <c r="C669" s="1" t="n">
        <v>45985</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30433-2024</t>
        </is>
      </c>
      <c r="B670" s="1" t="n">
        <v>45491.69741898148</v>
      </c>
      <c r="C670" s="1" t="n">
        <v>45985</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52220-2023</t>
        </is>
      </c>
      <c r="B671" s="1" t="n">
        <v>45217</v>
      </c>
      <c r="C671" s="1" t="n">
        <v>45985</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52225-2023</t>
        </is>
      </c>
      <c r="B672" s="1" t="n">
        <v>45217</v>
      </c>
      <c r="C672" s="1" t="n">
        <v>45985</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19464-2024</t>
        </is>
      </c>
      <c r="B673" s="1" t="n">
        <v>45429</v>
      </c>
      <c r="C673" s="1" t="n">
        <v>45985</v>
      </c>
      <c r="D673" t="inlineStr">
        <is>
          <t>ÖSTERGÖTLANDS LÄN</t>
        </is>
      </c>
      <c r="E673" t="inlineStr">
        <is>
          <t>LINKÖPING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42044-2023</t>
        </is>
      </c>
      <c r="B674" s="1" t="n">
        <v>45177</v>
      </c>
      <c r="C674" s="1" t="n">
        <v>45985</v>
      </c>
      <c r="D674" t="inlineStr">
        <is>
          <t>ÖSTERGÖTLANDS LÄN</t>
        </is>
      </c>
      <c r="E674" t="inlineStr">
        <is>
          <t>LINKÖPING</t>
        </is>
      </c>
      <c r="G674" t="n">
        <v>3.9</v>
      </c>
      <c r="H674" t="n">
        <v>0</v>
      </c>
      <c r="I674" t="n">
        <v>0</v>
      </c>
      <c r="J674" t="n">
        <v>0</v>
      </c>
      <c r="K674" t="n">
        <v>0</v>
      </c>
      <c r="L674" t="n">
        <v>0</v>
      </c>
      <c r="M674" t="n">
        <v>0</v>
      </c>
      <c r="N674" t="n">
        <v>0</v>
      </c>
      <c r="O674" t="n">
        <v>0</v>
      </c>
      <c r="P674" t="n">
        <v>0</v>
      </c>
      <c r="Q674" t="n">
        <v>0</v>
      </c>
      <c r="R674" s="2" t="inlineStr"/>
    </row>
    <row r="675" ht="15" customHeight="1">
      <c r="A675" t="inlineStr">
        <is>
          <t>A 630-2024</t>
        </is>
      </c>
      <c r="B675" s="1" t="n">
        <v>45299.67736111111</v>
      </c>
      <c r="C675" s="1" t="n">
        <v>45985</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21782-2024</t>
        </is>
      </c>
      <c r="B676" s="1" t="n">
        <v>45442.63368055555</v>
      </c>
      <c r="C676" s="1" t="n">
        <v>45985</v>
      </c>
      <c r="D676" t="inlineStr">
        <is>
          <t>ÖSTERGÖTLANDS LÄN</t>
        </is>
      </c>
      <c r="E676" t="inlineStr">
        <is>
          <t>LINKÖPING</t>
        </is>
      </c>
      <c r="G676" t="n">
        <v>1.4</v>
      </c>
      <c r="H676" t="n">
        <v>0</v>
      </c>
      <c r="I676" t="n">
        <v>0</v>
      </c>
      <c r="J676" t="n">
        <v>0</v>
      </c>
      <c r="K676" t="n">
        <v>0</v>
      </c>
      <c r="L676" t="n">
        <v>0</v>
      </c>
      <c r="M676" t="n">
        <v>0</v>
      </c>
      <c r="N676" t="n">
        <v>0</v>
      </c>
      <c r="O676" t="n">
        <v>0</v>
      </c>
      <c r="P676" t="n">
        <v>0</v>
      </c>
      <c r="Q676" t="n">
        <v>0</v>
      </c>
      <c r="R676" s="2" t="inlineStr"/>
    </row>
    <row r="677" ht="15" customHeight="1">
      <c r="A677" t="inlineStr">
        <is>
          <t>A 57766-2023</t>
        </is>
      </c>
      <c r="B677" s="1" t="n">
        <v>45246</v>
      </c>
      <c r="C677" s="1" t="n">
        <v>45985</v>
      </c>
      <c r="D677" t="inlineStr">
        <is>
          <t>ÖSTERGÖTLANDS LÄN</t>
        </is>
      </c>
      <c r="E677" t="inlineStr">
        <is>
          <t>LINKÖPING</t>
        </is>
      </c>
      <c r="F677" t="inlineStr">
        <is>
          <t>Allmännings- och besparingsskogar</t>
        </is>
      </c>
      <c r="G677" t="n">
        <v>12.8</v>
      </c>
      <c r="H677" t="n">
        <v>0</v>
      </c>
      <c r="I677" t="n">
        <v>0</v>
      </c>
      <c r="J677" t="n">
        <v>0</v>
      </c>
      <c r="K677" t="n">
        <v>0</v>
      </c>
      <c r="L677" t="n">
        <v>0</v>
      </c>
      <c r="M677" t="n">
        <v>0</v>
      </c>
      <c r="N677" t="n">
        <v>0</v>
      </c>
      <c r="O677" t="n">
        <v>0</v>
      </c>
      <c r="P677" t="n">
        <v>0</v>
      </c>
      <c r="Q677" t="n">
        <v>0</v>
      </c>
      <c r="R677" s="2" t="inlineStr"/>
    </row>
    <row r="678" ht="15" customHeight="1">
      <c r="A678" t="inlineStr">
        <is>
          <t>A 27186-2021</t>
        </is>
      </c>
      <c r="B678" s="1" t="n">
        <v>44350.67715277777</v>
      </c>
      <c r="C678" s="1" t="n">
        <v>45985</v>
      </c>
      <c r="D678" t="inlineStr">
        <is>
          <t>ÖSTERGÖTLANDS LÄN</t>
        </is>
      </c>
      <c r="E678" t="inlineStr">
        <is>
          <t>LINKÖPING</t>
        </is>
      </c>
      <c r="F678" t="inlineStr">
        <is>
          <t>Allmännings- och besparingsskogar</t>
        </is>
      </c>
      <c r="G678" t="n">
        <v>1.4</v>
      </c>
      <c r="H678" t="n">
        <v>0</v>
      </c>
      <c r="I678" t="n">
        <v>0</v>
      </c>
      <c r="J678" t="n">
        <v>0</v>
      </c>
      <c r="K678" t="n">
        <v>0</v>
      </c>
      <c r="L678" t="n">
        <v>0</v>
      </c>
      <c r="M678" t="n">
        <v>0</v>
      </c>
      <c r="N678" t="n">
        <v>0</v>
      </c>
      <c r="O678" t="n">
        <v>0</v>
      </c>
      <c r="P678" t="n">
        <v>0</v>
      </c>
      <c r="Q678" t="n">
        <v>0</v>
      </c>
      <c r="R678" s="2" t="inlineStr"/>
    </row>
    <row r="679" ht="15" customHeight="1">
      <c r="A679" t="inlineStr">
        <is>
          <t>A 10194-2023</t>
        </is>
      </c>
      <c r="B679" s="1" t="n">
        <v>44986.52277777778</v>
      </c>
      <c r="C679" s="1" t="n">
        <v>45985</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55944-2024</t>
        </is>
      </c>
      <c r="B680" s="1" t="n">
        <v>45623.61640046296</v>
      </c>
      <c r="C680" s="1" t="n">
        <v>45985</v>
      </c>
      <c r="D680" t="inlineStr">
        <is>
          <t>ÖSTERGÖTLANDS LÄN</t>
        </is>
      </c>
      <c r="E680" t="inlineStr">
        <is>
          <t>LINKÖPING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55947-2024</t>
        </is>
      </c>
      <c r="B681" s="1" t="n">
        <v>45623</v>
      </c>
      <c r="C681" s="1" t="n">
        <v>45985</v>
      </c>
      <c r="D681" t="inlineStr">
        <is>
          <t>ÖSTERGÖTLANDS LÄN</t>
        </is>
      </c>
      <c r="E681" t="inlineStr">
        <is>
          <t>LINKÖPING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47703-2023</t>
        </is>
      </c>
      <c r="B682" s="1" t="n">
        <v>45203</v>
      </c>
      <c r="C682" s="1" t="n">
        <v>45985</v>
      </c>
      <c r="D682" t="inlineStr">
        <is>
          <t>ÖSTERGÖTLANDS LÄN</t>
        </is>
      </c>
      <c r="E682" t="inlineStr">
        <is>
          <t>LINKÖPING</t>
        </is>
      </c>
      <c r="G682" t="n">
        <v>4.1</v>
      </c>
      <c r="H682" t="n">
        <v>0</v>
      </c>
      <c r="I682" t="n">
        <v>0</v>
      </c>
      <c r="J682" t="n">
        <v>0</v>
      </c>
      <c r="K682" t="n">
        <v>0</v>
      </c>
      <c r="L682" t="n">
        <v>0</v>
      </c>
      <c r="M682" t="n">
        <v>0</v>
      </c>
      <c r="N682" t="n">
        <v>0</v>
      </c>
      <c r="O682" t="n">
        <v>0</v>
      </c>
      <c r="P682" t="n">
        <v>0</v>
      </c>
      <c r="Q682" t="n">
        <v>0</v>
      </c>
      <c r="R682" s="2" t="inlineStr"/>
    </row>
    <row r="683" ht="15" customHeight="1">
      <c r="A683" t="inlineStr">
        <is>
          <t>A 51559-2024</t>
        </is>
      </c>
      <c r="B683" s="1" t="n">
        <v>45604.61431712963</v>
      </c>
      <c r="C683" s="1" t="n">
        <v>45985</v>
      </c>
      <c r="D683" t="inlineStr">
        <is>
          <t>ÖSTERGÖTLANDS LÄN</t>
        </is>
      </c>
      <c r="E683" t="inlineStr">
        <is>
          <t>LINKÖPING</t>
        </is>
      </c>
      <c r="F683" t="inlineStr">
        <is>
          <t>Övriga Aktiebolag</t>
        </is>
      </c>
      <c r="G683" t="n">
        <v>2.4</v>
      </c>
      <c r="H683" t="n">
        <v>0</v>
      </c>
      <c r="I683" t="n">
        <v>0</v>
      </c>
      <c r="J683" t="n">
        <v>0</v>
      </c>
      <c r="K683" t="n">
        <v>0</v>
      </c>
      <c r="L683" t="n">
        <v>0</v>
      </c>
      <c r="M683" t="n">
        <v>0</v>
      </c>
      <c r="N683" t="n">
        <v>0</v>
      </c>
      <c r="O683" t="n">
        <v>0</v>
      </c>
      <c r="P683" t="n">
        <v>0</v>
      </c>
      <c r="Q683" t="n">
        <v>0</v>
      </c>
      <c r="R683" s="2" t="inlineStr"/>
    </row>
    <row r="684" ht="15" customHeight="1">
      <c r="A684" t="inlineStr">
        <is>
          <t>A 62353-2022</t>
        </is>
      </c>
      <c r="B684" s="1" t="n">
        <v>44923</v>
      </c>
      <c r="C684" s="1" t="n">
        <v>45985</v>
      </c>
      <c r="D684" t="inlineStr">
        <is>
          <t>ÖSTERGÖTLANDS LÄN</t>
        </is>
      </c>
      <c r="E684" t="inlineStr">
        <is>
          <t>LINKÖPING</t>
        </is>
      </c>
      <c r="F684" t="inlineStr">
        <is>
          <t>Allmännings- och besparingsskogar</t>
        </is>
      </c>
      <c r="G684" t="n">
        <v>1.7</v>
      </c>
      <c r="H684" t="n">
        <v>0</v>
      </c>
      <c r="I684" t="n">
        <v>0</v>
      </c>
      <c r="J684" t="n">
        <v>0</v>
      </c>
      <c r="K684" t="n">
        <v>0</v>
      </c>
      <c r="L684" t="n">
        <v>0</v>
      </c>
      <c r="M684" t="n">
        <v>0</v>
      </c>
      <c r="N684" t="n">
        <v>0</v>
      </c>
      <c r="O684" t="n">
        <v>0</v>
      </c>
      <c r="P684" t="n">
        <v>0</v>
      </c>
      <c r="Q684" t="n">
        <v>0</v>
      </c>
      <c r="R684" s="2" t="inlineStr"/>
    </row>
    <row r="685" ht="15" customHeight="1">
      <c r="A685" t="inlineStr">
        <is>
          <t>A 15754-2025</t>
        </is>
      </c>
      <c r="B685" s="1" t="n">
        <v>45748.56105324074</v>
      </c>
      <c r="C685" s="1" t="n">
        <v>45985</v>
      </c>
      <c r="D685" t="inlineStr">
        <is>
          <t>ÖSTERGÖTLANDS LÄN</t>
        </is>
      </c>
      <c r="E685" t="inlineStr">
        <is>
          <t>LINKÖPING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4298-2023</t>
        </is>
      </c>
      <c r="B686" s="1" t="n">
        <v>44953</v>
      </c>
      <c r="C686" s="1" t="n">
        <v>45985</v>
      </c>
      <c r="D686" t="inlineStr">
        <is>
          <t>ÖSTERGÖTLANDS LÄN</t>
        </is>
      </c>
      <c r="E686" t="inlineStr">
        <is>
          <t>LINKÖPING</t>
        </is>
      </c>
      <c r="G686" t="n">
        <v>2.8</v>
      </c>
      <c r="H686" t="n">
        <v>0</v>
      </c>
      <c r="I686" t="n">
        <v>0</v>
      </c>
      <c r="J686" t="n">
        <v>0</v>
      </c>
      <c r="K686" t="n">
        <v>0</v>
      </c>
      <c r="L686" t="n">
        <v>0</v>
      </c>
      <c r="M686" t="n">
        <v>0</v>
      </c>
      <c r="N686" t="n">
        <v>0</v>
      </c>
      <c r="O686" t="n">
        <v>0</v>
      </c>
      <c r="P686" t="n">
        <v>0</v>
      </c>
      <c r="Q686" t="n">
        <v>0</v>
      </c>
      <c r="R686" s="2" t="inlineStr"/>
    </row>
    <row r="687" ht="15" customHeight="1">
      <c r="A687" t="inlineStr">
        <is>
          <t>A 18145-2021</t>
        </is>
      </c>
      <c r="B687" s="1" t="n">
        <v>44302</v>
      </c>
      <c r="C687" s="1" t="n">
        <v>45985</v>
      </c>
      <c r="D687" t="inlineStr">
        <is>
          <t>ÖSTERGÖTLANDS LÄN</t>
        </is>
      </c>
      <c r="E687" t="inlineStr">
        <is>
          <t>LINKÖPING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25568-2024</t>
        </is>
      </c>
      <c r="B688" s="1" t="n">
        <v>45463.58699074074</v>
      </c>
      <c r="C688" s="1" t="n">
        <v>45985</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38136-2023</t>
        </is>
      </c>
      <c r="B689" s="1" t="n">
        <v>45161.37310185185</v>
      </c>
      <c r="C689" s="1" t="n">
        <v>45985</v>
      </c>
      <c r="D689" t="inlineStr">
        <is>
          <t>ÖSTERGÖTLANDS LÄN</t>
        </is>
      </c>
      <c r="E689" t="inlineStr">
        <is>
          <t>LINKÖPING</t>
        </is>
      </c>
      <c r="G689" t="n">
        <v>5.6</v>
      </c>
      <c r="H689" t="n">
        <v>0</v>
      </c>
      <c r="I689" t="n">
        <v>0</v>
      </c>
      <c r="J689" t="n">
        <v>0</v>
      </c>
      <c r="K689" t="n">
        <v>0</v>
      </c>
      <c r="L689" t="n">
        <v>0</v>
      </c>
      <c r="M689" t="n">
        <v>0</v>
      </c>
      <c r="N689" t="n">
        <v>0</v>
      </c>
      <c r="O689" t="n">
        <v>0</v>
      </c>
      <c r="P689" t="n">
        <v>0</v>
      </c>
      <c r="Q689" t="n">
        <v>0</v>
      </c>
      <c r="R689" s="2" t="inlineStr"/>
    </row>
    <row r="690" ht="15" customHeight="1">
      <c r="A690" t="inlineStr">
        <is>
          <t>A 12317-2025</t>
        </is>
      </c>
      <c r="B690" s="1" t="n">
        <v>45729.8487037037</v>
      </c>
      <c r="C690" s="1" t="n">
        <v>45985</v>
      </c>
      <c r="D690" t="inlineStr">
        <is>
          <t>ÖSTERGÖTLANDS LÄN</t>
        </is>
      </c>
      <c r="E690" t="inlineStr">
        <is>
          <t>LINKÖPING</t>
        </is>
      </c>
      <c r="G690" t="n">
        <v>8</v>
      </c>
      <c r="H690" t="n">
        <v>0</v>
      </c>
      <c r="I690" t="n">
        <v>0</v>
      </c>
      <c r="J690" t="n">
        <v>0</v>
      </c>
      <c r="K690" t="n">
        <v>0</v>
      </c>
      <c r="L690" t="n">
        <v>0</v>
      </c>
      <c r="M690" t="n">
        <v>0</v>
      </c>
      <c r="N690" t="n">
        <v>0</v>
      </c>
      <c r="O690" t="n">
        <v>0</v>
      </c>
      <c r="P690" t="n">
        <v>0</v>
      </c>
      <c r="Q690" t="n">
        <v>0</v>
      </c>
      <c r="R690" s="2" t="inlineStr"/>
    </row>
    <row r="691" ht="15" customHeight="1">
      <c r="A691" t="inlineStr">
        <is>
          <t>A 14528-2025</t>
        </is>
      </c>
      <c r="B691" s="1" t="n">
        <v>45741</v>
      </c>
      <c r="C691" s="1" t="n">
        <v>45985</v>
      </c>
      <c r="D691" t="inlineStr">
        <is>
          <t>ÖSTERGÖTLANDS LÄN</t>
        </is>
      </c>
      <c r="E691" t="inlineStr">
        <is>
          <t>LINKÖPING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61649-2023</t>
        </is>
      </c>
      <c r="B692" s="1" t="n">
        <v>45265</v>
      </c>
      <c r="C692" s="1" t="n">
        <v>45985</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60985-2023</t>
        </is>
      </c>
      <c r="B693" s="1" t="n">
        <v>45261.48429398148</v>
      </c>
      <c r="C693" s="1" t="n">
        <v>45985</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421-2024</t>
        </is>
      </c>
      <c r="B694" s="1" t="n">
        <v>45296.51877314815</v>
      </c>
      <c r="C694" s="1" t="n">
        <v>45985</v>
      </c>
      <c r="D694" t="inlineStr">
        <is>
          <t>ÖSTERGÖTLANDS LÄN</t>
        </is>
      </c>
      <c r="E694" t="inlineStr">
        <is>
          <t>LINKÖPING</t>
        </is>
      </c>
      <c r="G694" t="n">
        <v>3.7</v>
      </c>
      <c r="H694" t="n">
        <v>0</v>
      </c>
      <c r="I694" t="n">
        <v>0</v>
      </c>
      <c r="J694" t="n">
        <v>0</v>
      </c>
      <c r="K694" t="n">
        <v>0</v>
      </c>
      <c r="L694" t="n">
        <v>0</v>
      </c>
      <c r="M694" t="n">
        <v>0</v>
      </c>
      <c r="N694" t="n">
        <v>0</v>
      </c>
      <c r="O694" t="n">
        <v>0</v>
      </c>
      <c r="P694" t="n">
        <v>0</v>
      </c>
      <c r="Q694" t="n">
        <v>0</v>
      </c>
      <c r="R694" s="2" t="inlineStr"/>
    </row>
    <row r="695" ht="15" customHeight="1">
      <c r="A695" t="inlineStr">
        <is>
          <t>A 51405-2023</t>
        </is>
      </c>
      <c r="B695" s="1" t="n">
        <v>45219</v>
      </c>
      <c r="C695" s="1" t="n">
        <v>45985</v>
      </c>
      <c r="D695" t="inlineStr">
        <is>
          <t>ÖSTERGÖTLANDS LÄN</t>
        </is>
      </c>
      <c r="E695" t="inlineStr">
        <is>
          <t>LINKÖPING</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53639-2023</t>
        </is>
      </c>
      <c r="B696" s="1" t="n">
        <v>45230.59686342593</v>
      </c>
      <c r="C696" s="1" t="n">
        <v>45985</v>
      </c>
      <c r="D696" t="inlineStr">
        <is>
          <t>ÖSTERGÖTLANDS LÄN</t>
        </is>
      </c>
      <c r="E696" t="inlineStr">
        <is>
          <t>LINKÖPING</t>
        </is>
      </c>
      <c r="G696" t="n">
        <v>2.3</v>
      </c>
      <c r="H696" t="n">
        <v>0</v>
      </c>
      <c r="I696" t="n">
        <v>0</v>
      </c>
      <c r="J696" t="n">
        <v>0</v>
      </c>
      <c r="K696" t="n">
        <v>0</v>
      </c>
      <c r="L696" t="n">
        <v>0</v>
      </c>
      <c r="M696" t="n">
        <v>0</v>
      </c>
      <c r="N696" t="n">
        <v>0</v>
      </c>
      <c r="O696" t="n">
        <v>0</v>
      </c>
      <c r="P696" t="n">
        <v>0</v>
      </c>
      <c r="Q696" t="n">
        <v>0</v>
      </c>
      <c r="R696" s="2" t="inlineStr"/>
    </row>
    <row r="697" ht="15" customHeight="1">
      <c r="A697" t="inlineStr">
        <is>
          <t>A 24467-2023</t>
        </is>
      </c>
      <c r="B697" s="1" t="n">
        <v>45082</v>
      </c>
      <c r="C697" s="1" t="n">
        <v>45985</v>
      </c>
      <c r="D697" t="inlineStr">
        <is>
          <t>ÖSTERGÖTLANDS LÄN</t>
        </is>
      </c>
      <c r="E697" t="inlineStr">
        <is>
          <t>LINKÖPING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62488-2023</t>
        </is>
      </c>
      <c r="B698" s="1" t="n">
        <v>45268.5847337963</v>
      </c>
      <c r="C698" s="1" t="n">
        <v>45985</v>
      </c>
      <c r="D698" t="inlineStr">
        <is>
          <t>ÖSTERGÖTLANDS LÄN</t>
        </is>
      </c>
      <c r="E698" t="inlineStr">
        <is>
          <t>LINKÖPING</t>
        </is>
      </c>
      <c r="G698" t="n">
        <v>4.1</v>
      </c>
      <c r="H698" t="n">
        <v>0</v>
      </c>
      <c r="I698" t="n">
        <v>0</v>
      </c>
      <c r="J698" t="n">
        <v>0</v>
      </c>
      <c r="K698" t="n">
        <v>0</v>
      </c>
      <c r="L698" t="n">
        <v>0</v>
      </c>
      <c r="M698" t="n">
        <v>0</v>
      </c>
      <c r="N698" t="n">
        <v>0</v>
      </c>
      <c r="O698" t="n">
        <v>0</v>
      </c>
      <c r="P698" t="n">
        <v>0</v>
      </c>
      <c r="Q698" t="n">
        <v>0</v>
      </c>
      <c r="R698" s="2" t="inlineStr"/>
    </row>
    <row r="699" ht="15" customHeight="1">
      <c r="A699" t="inlineStr">
        <is>
          <t>A 62495-2023</t>
        </is>
      </c>
      <c r="B699" s="1" t="n">
        <v>45268.59717592593</v>
      </c>
      <c r="C699" s="1" t="n">
        <v>45985</v>
      </c>
      <c r="D699" t="inlineStr">
        <is>
          <t>ÖSTERGÖTLANDS LÄN</t>
        </is>
      </c>
      <c r="E699" t="inlineStr">
        <is>
          <t>LINKÖPING</t>
        </is>
      </c>
      <c r="G699" t="n">
        <v>4.1</v>
      </c>
      <c r="H699" t="n">
        <v>0</v>
      </c>
      <c r="I699" t="n">
        <v>0</v>
      </c>
      <c r="J699" t="n">
        <v>0</v>
      </c>
      <c r="K699" t="n">
        <v>0</v>
      </c>
      <c r="L699" t="n">
        <v>0</v>
      </c>
      <c r="M699" t="n">
        <v>0</v>
      </c>
      <c r="N699" t="n">
        <v>0</v>
      </c>
      <c r="O699" t="n">
        <v>0</v>
      </c>
      <c r="P699" t="n">
        <v>0</v>
      </c>
      <c r="Q699" t="n">
        <v>0</v>
      </c>
      <c r="R699" s="2" t="inlineStr"/>
    </row>
    <row r="700" ht="15" customHeight="1">
      <c r="A700" t="inlineStr">
        <is>
          <t>A 10198-2023</t>
        </is>
      </c>
      <c r="B700" s="1" t="n">
        <v>44986.54665509259</v>
      </c>
      <c r="C700" s="1" t="n">
        <v>45985</v>
      </c>
      <c r="D700" t="inlineStr">
        <is>
          <t>ÖSTERGÖTLANDS LÄN</t>
        </is>
      </c>
      <c r="E700" t="inlineStr">
        <is>
          <t>LINKÖPING</t>
        </is>
      </c>
      <c r="G700" t="n">
        <v>4.6</v>
      </c>
      <c r="H700" t="n">
        <v>0</v>
      </c>
      <c r="I700" t="n">
        <v>0</v>
      </c>
      <c r="J700" t="n">
        <v>0</v>
      </c>
      <c r="K700" t="n">
        <v>0</v>
      </c>
      <c r="L700" t="n">
        <v>0</v>
      </c>
      <c r="M700" t="n">
        <v>0</v>
      </c>
      <c r="N700" t="n">
        <v>0</v>
      </c>
      <c r="O700" t="n">
        <v>0</v>
      </c>
      <c r="P700" t="n">
        <v>0</v>
      </c>
      <c r="Q700" t="n">
        <v>0</v>
      </c>
      <c r="R700" s="2" t="inlineStr"/>
    </row>
    <row r="701" ht="15" customHeight="1">
      <c r="A701" t="inlineStr">
        <is>
          <t>A 22771-2024</t>
        </is>
      </c>
      <c r="B701" s="1" t="n">
        <v>45448.46574074074</v>
      </c>
      <c r="C701" s="1" t="n">
        <v>45985</v>
      </c>
      <c r="D701" t="inlineStr">
        <is>
          <t>ÖSTERGÖTLANDS LÄN</t>
        </is>
      </c>
      <c r="E701" t="inlineStr">
        <is>
          <t>LINKÖPING</t>
        </is>
      </c>
      <c r="F701" t="inlineStr">
        <is>
          <t>Sveaskog</t>
        </is>
      </c>
      <c r="G701" t="n">
        <v>2.7</v>
      </c>
      <c r="H701" t="n">
        <v>0</v>
      </c>
      <c r="I701" t="n">
        <v>0</v>
      </c>
      <c r="J701" t="n">
        <v>0</v>
      </c>
      <c r="K701" t="n">
        <v>0</v>
      </c>
      <c r="L701" t="n">
        <v>0</v>
      </c>
      <c r="M701" t="n">
        <v>0</v>
      </c>
      <c r="N701" t="n">
        <v>0</v>
      </c>
      <c r="O701" t="n">
        <v>0</v>
      </c>
      <c r="P701" t="n">
        <v>0</v>
      </c>
      <c r="Q701" t="n">
        <v>0</v>
      </c>
      <c r="R701" s="2" t="inlineStr"/>
    </row>
    <row r="702" ht="15" customHeight="1">
      <c r="A702" t="inlineStr">
        <is>
          <t>A 17128-2025</t>
        </is>
      </c>
      <c r="B702" s="1" t="n">
        <v>45755.72622685185</v>
      </c>
      <c r="C702" s="1" t="n">
        <v>45985</v>
      </c>
      <c r="D702" t="inlineStr">
        <is>
          <t>ÖSTERGÖTLANDS LÄN</t>
        </is>
      </c>
      <c r="E702" t="inlineStr">
        <is>
          <t>LINKÖPING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62018-2024</t>
        </is>
      </c>
      <c r="B703" s="1" t="n">
        <v>45655.81387731482</v>
      </c>
      <c r="C703" s="1" t="n">
        <v>45985</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62073-2023</t>
        </is>
      </c>
      <c r="B704" s="1" t="n">
        <v>45266.73844907407</v>
      </c>
      <c r="C704" s="1" t="n">
        <v>45985</v>
      </c>
      <c r="D704" t="inlineStr">
        <is>
          <t>ÖSTERGÖTLANDS LÄN</t>
        </is>
      </c>
      <c r="E704" t="inlineStr">
        <is>
          <t>LINKÖPING</t>
        </is>
      </c>
      <c r="F704" t="inlineStr">
        <is>
          <t>Allmännings- och besparingsskogar</t>
        </is>
      </c>
      <c r="G704" t="n">
        <v>1.8</v>
      </c>
      <c r="H704" t="n">
        <v>0</v>
      </c>
      <c r="I704" t="n">
        <v>0</v>
      </c>
      <c r="J704" t="n">
        <v>0</v>
      </c>
      <c r="K704" t="n">
        <v>0</v>
      </c>
      <c r="L704" t="n">
        <v>0</v>
      </c>
      <c r="M704" t="n">
        <v>0</v>
      </c>
      <c r="N704" t="n">
        <v>0</v>
      </c>
      <c r="O704" t="n">
        <v>0</v>
      </c>
      <c r="P704" t="n">
        <v>0</v>
      </c>
      <c r="Q704" t="n">
        <v>0</v>
      </c>
      <c r="R704" s="2" t="inlineStr"/>
    </row>
    <row r="705" ht="15" customHeight="1">
      <c r="A705" t="inlineStr">
        <is>
          <t>A 672-2024</t>
        </is>
      </c>
      <c r="B705" s="1" t="n">
        <v>45300</v>
      </c>
      <c r="C705" s="1" t="n">
        <v>45985</v>
      </c>
      <c r="D705" t="inlineStr">
        <is>
          <t>ÖSTERGÖTLANDS LÄN</t>
        </is>
      </c>
      <c r="E705" t="inlineStr">
        <is>
          <t>LINKÖPING</t>
        </is>
      </c>
      <c r="F705" t="inlineStr">
        <is>
          <t>Sveaskog</t>
        </is>
      </c>
      <c r="G705" t="n">
        <v>4.5</v>
      </c>
      <c r="H705" t="n">
        <v>0</v>
      </c>
      <c r="I705" t="n">
        <v>0</v>
      </c>
      <c r="J705" t="n">
        <v>0</v>
      </c>
      <c r="K705" t="n">
        <v>0</v>
      </c>
      <c r="L705" t="n">
        <v>0</v>
      </c>
      <c r="M705" t="n">
        <v>0</v>
      </c>
      <c r="N705" t="n">
        <v>0</v>
      </c>
      <c r="O705" t="n">
        <v>0</v>
      </c>
      <c r="P705" t="n">
        <v>0</v>
      </c>
      <c r="Q705" t="n">
        <v>0</v>
      </c>
      <c r="R705" s="2" t="inlineStr"/>
    </row>
    <row r="706" ht="15" customHeight="1">
      <c r="A706" t="inlineStr">
        <is>
          <t>A 42832-2023</t>
        </is>
      </c>
      <c r="B706" s="1" t="n">
        <v>45182.38091435185</v>
      </c>
      <c r="C706" s="1" t="n">
        <v>45985</v>
      </c>
      <c r="D706" t="inlineStr">
        <is>
          <t>ÖSTERGÖTLANDS LÄN</t>
        </is>
      </c>
      <c r="E706" t="inlineStr">
        <is>
          <t>LINKÖPING</t>
        </is>
      </c>
      <c r="G706" t="n">
        <v>2.5</v>
      </c>
      <c r="H706" t="n">
        <v>0</v>
      </c>
      <c r="I706" t="n">
        <v>0</v>
      </c>
      <c r="J706" t="n">
        <v>0</v>
      </c>
      <c r="K706" t="n">
        <v>0</v>
      </c>
      <c r="L706" t="n">
        <v>0</v>
      </c>
      <c r="M706" t="n">
        <v>0</v>
      </c>
      <c r="N706" t="n">
        <v>0</v>
      </c>
      <c r="O706" t="n">
        <v>0</v>
      </c>
      <c r="P706" t="n">
        <v>0</v>
      </c>
      <c r="Q706" t="n">
        <v>0</v>
      </c>
      <c r="R706" s="2" t="inlineStr"/>
    </row>
    <row r="707" ht="15" customHeight="1">
      <c r="A707" t="inlineStr">
        <is>
          <t>A 5872-2025</t>
        </is>
      </c>
      <c r="B707" s="1" t="n">
        <v>45695.36659722222</v>
      </c>
      <c r="C707" s="1" t="n">
        <v>45985</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59674-2024</t>
        </is>
      </c>
      <c r="B708" s="1" t="n">
        <v>45639</v>
      </c>
      <c r="C708" s="1" t="n">
        <v>45985</v>
      </c>
      <c r="D708" t="inlineStr">
        <is>
          <t>ÖSTERGÖTLANDS LÄN</t>
        </is>
      </c>
      <c r="E708" t="inlineStr">
        <is>
          <t>LINKÖPING</t>
        </is>
      </c>
      <c r="G708" t="n">
        <v>6.3</v>
      </c>
      <c r="H708" t="n">
        <v>0</v>
      </c>
      <c r="I708" t="n">
        <v>0</v>
      </c>
      <c r="J708" t="n">
        <v>0</v>
      </c>
      <c r="K708" t="n">
        <v>0</v>
      </c>
      <c r="L708" t="n">
        <v>0</v>
      </c>
      <c r="M708" t="n">
        <v>0</v>
      </c>
      <c r="N708" t="n">
        <v>0</v>
      </c>
      <c r="O708" t="n">
        <v>0</v>
      </c>
      <c r="P708" t="n">
        <v>0</v>
      </c>
      <c r="Q708" t="n">
        <v>0</v>
      </c>
      <c r="R708" s="2" t="inlineStr"/>
    </row>
    <row r="709" ht="15" customHeight="1">
      <c r="A709" t="inlineStr">
        <is>
          <t>A 59576-2024</t>
        </is>
      </c>
      <c r="B709" s="1" t="n">
        <v>45638.66378472222</v>
      </c>
      <c r="C709" s="1" t="n">
        <v>45985</v>
      </c>
      <c r="D709" t="inlineStr">
        <is>
          <t>ÖSTERGÖTLANDS LÄN</t>
        </is>
      </c>
      <c r="E709" t="inlineStr">
        <is>
          <t>LINKÖPING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51583-2024</t>
        </is>
      </c>
      <c r="B710" s="1" t="n">
        <v>45604.6397337963</v>
      </c>
      <c r="C710" s="1" t="n">
        <v>45985</v>
      </c>
      <c r="D710" t="inlineStr">
        <is>
          <t>ÖSTERGÖTLANDS LÄN</t>
        </is>
      </c>
      <c r="E710" t="inlineStr">
        <is>
          <t>LINKÖPING</t>
        </is>
      </c>
      <c r="F710" t="inlineStr">
        <is>
          <t>Övriga Aktiebolag</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62019-2024</t>
        </is>
      </c>
      <c r="B711" s="1" t="n">
        <v>45655.82</v>
      </c>
      <c r="C711" s="1" t="n">
        <v>45985</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38317-2024</t>
        </is>
      </c>
      <c r="B712" s="1" t="n">
        <v>45545.65766203704</v>
      </c>
      <c r="C712" s="1" t="n">
        <v>45985</v>
      </c>
      <c r="D712" t="inlineStr">
        <is>
          <t>ÖSTERGÖTLANDS LÄN</t>
        </is>
      </c>
      <c r="E712" t="inlineStr">
        <is>
          <t>LINKÖPING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50182-2023</t>
        </is>
      </c>
      <c r="B713" s="1" t="n">
        <v>45208</v>
      </c>
      <c r="C713" s="1" t="n">
        <v>45985</v>
      </c>
      <c r="D713" t="inlineStr">
        <is>
          <t>ÖSTERGÖTLANDS LÄN</t>
        </is>
      </c>
      <c r="E713" t="inlineStr">
        <is>
          <t>LINKÖPING</t>
        </is>
      </c>
      <c r="G713" t="n">
        <v>2.5</v>
      </c>
      <c r="H713" t="n">
        <v>0</v>
      </c>
      <c r="I713" t="n">
        <v>0</v>
      </c>
      <c r="J713" t="n">
        <v>0</v>
      </c>
      <c r="K713" t="n">
        <v>0</v>
      </c>
      <c r="L713" t="n">
        <v>0</v>
      </c>
      <c r="M713" t="n">
        <v>0</v>
      </c>
      <c r="N713" t="n">
        <v>0</v>
      </c>
      <c r="O713" t="n">
        <v>0</v>
      </c>
      <c r="P713" t="n">
        <v>0</v>
      </c>
      <c r="Q713" t="n">
        <v>0</v>
      </c>
      <c r="R713" s="2" t="inlineStr"/>
    </row>
    <row r="714" ht="15" customHeight="1">
      <c r="A714" t="inlineStr">
        <is>
          <t>A 1844-2025</t>
        </is>
      </c>
      <c r="B714" s="1" t="n">
        <v>45671.57730324074</v>
      </c>
      <c r="C714" s="1" t="n">
        <v>45985</v>
      </c>
      <c r="D714" t="inlineStr">
        <is>
          <t>ÖSTERGÖTLANDS LÄN</t>
        </is>
      </c>
      <c r="E714" t="inlineStr">
        <is>
          <t>LINKÖPING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21155-2025</t>
        </is>
      </c>
      <c r="B715" s="1" t="n">
        <v>45779.37586805555</v>
      </c>
      <c r="C715" s="1" t="n">
        <v>45985</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c r="A716" t="inlineStr">
        <is>
          <t>A 21165-2025</t>
        </is>
      </c>
      <c r="B716" s="1" t="n">
        <v>45779.39417824074</v>
      </c>
      <c r="C716" s="1" t="n">
        <v>45985</v>
      </c>
      <c r="D716" t="inlineStr">
        <is>
          <t>ÖSTERGÖTLANDS LÄN</t>
        </is>
      </c>
      <c r="E716" t="inlineStr">
        <is>
          <t>LINKÖPING</t>
        </is>
      </c>
      <c r="G716" t="n">
        <v>1.2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2025-11-24T10:21:37Z</dcterms:created>
  <dcterms:modified xmlns:dcterms="http://purl.org/dc/terms/" xmlns:xsi="http://www.w3.org/2001/XMLSchema-instance" xsi:type="dcterms:W3CDTF">2025-11-24T10:21:37Z</dcterms:modified>
</cp:coreProperties>
</file>