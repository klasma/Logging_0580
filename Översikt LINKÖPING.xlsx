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45895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45895</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45895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45895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45895</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45895</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45895</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45895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45895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45895</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45895</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45895</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9192-2025</t>
        </is>
      </c>
      <c r="B15" s="1" t="n">
        <v>45714.45943287037</v>
      </c>
      <c r="C15" s="1" t="n">
        <v>45895</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577-2025</t>
        </is>
      </c>
      <c r="B16" s="1" t="n">
        <v>45664.56525462963</v>
      </c>
      <c r="C16" s="1" t="n">
        <v>45895</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45895</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44668-2020</t>
        </is>
      </c>
      <c r="B18" s="1" t="n">
        <v>44085</v>
      </c>
      <c r="C18" s="1" t="n">
        <v>45895</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45895</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45895</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45895</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45895</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49188-2024</t>
        </is>
      </c>
      <c r="B23" s="1" t="n">
        <v>45595</v>
      </c>
      <c r="C23" s="1" t="n">
        <v>45895</v>
      </c>
      <c r="D23" t="inlineStr">
        <is>
          <t>ÖSTERGÖTLANDS LÄN</t>
        </is>
      </c>
      <c r="E23" t="inlineStr">
        <is>
          <t>LINKÖPING</t>
        </is>
      </c>
      <c r="G23" t="n">
        <v>3.1</v>
      </c>
      <c r="H23" t="n">
        <v>0</v>
      </c>
      <c r="I23" t="n">
        <v>0</v>
      </c>
      <c r="J23" t="n">
        <v>0</v>
      </c>
      <c r="K23" t="n">
        <v>0</v>
      </c>
      <c r="L23" t="n">
        <v>1</v>
      </c>
      <c r="M23" t="n">
        <v>1</v>
      </c>
      <c r="N23" t="n">
        <v>0</v>
      </c>
      <c r="O23" t="n">
        <v>2</v>
      </c>
      <c r="P23" t="n">
        <v>2</v>
      </c>
      <c r="Q23" t="n">
        <v>2</v>
      </c>
      <c r="R23" s="2" t="inlineStr">
        <is>
          <t>Skogsalm
Ask</t>
        </is>
      </c>
      <c r="S23">
        <f>HYPERLINK("https://klasma.github.io/Logging_0580/artfynd/A 49188-2024 artfynd.xlsx", "A 49188-2024")</f>
        <v/>
      </c>
      <c r="T23">
        <f>HYPERLINK("https://klasma.github.io/Logging_0580/kartor/A 49188-2024 karta.png", "A 49188-2024")</f>
        <v/>
      </c>
      <c r="V23">
        <f>HYPERLINK("https://klasma.github.io/Logging_0580/klagomål/A 49188-2024 FSC-klagomål.docx", "A 49188-2024")</f>
        <v/>
      </c>
      <c r="W23">
        <f>HYPERLINK("https://klasma.github.io/Logging_0580/klagomålsmail/A 49188-2024 FSC-klagomål mail.docx", "A 49188-2024")</f>
        <v/>
      </c>
      <c r="X23">
        <f>HYPERLINK("https://klasma.github.io/Logging_0580/tillsyn/A 49188-2024 tillsynsbegäran.docx", "A 49188-2024")</f>
        <v/>
      </c>
      <c r="Y23">
        <f>HYPERLINK("https://klasma.github.io/Logging_0580/tillsynsmail/A 49188-2024 tillsynsbegäran mail.docx", "A 49188-2024")</f>
        <v/>
      </c>
    </row>
    <row r="24" ht="15" customHeight="1">
      <c r="A24" t="inlineStr">
        <is>
          <t>A 50404-2023</t>
        </is>
      </c>
      <c r="B24" s="1" t="n">
        <v>45216</v>
      </c>
      <c r="C24" s="1" t="n">
        <v>45895</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21326-2025</t>
        </is>
      </c>
      <c r="B25" s="1" t="n">
        <v>45782.35407407407</v>
      </c>
      <c r="C25" s="1" t="n">
        <v>45895</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38913-2023</t>
        </is>
      </c>
      <c r="B26" s="1" t="n">
        <v>45163</v>
      </c>
      <c r="C26" s="1" t="n">
        <v>45895</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58068-2021</t>
        </is>
      </c>
      <c r="B27" s="1" t="n">
        <v>44487</v>
      </c>
      <c r="C27" s="1" t="n">
        <v>45895</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25985-2025</t>
        </is>
      </c>
      <c r="B28" s="1" t="n">
        <v>45804.64479166667</v>
      </c>
      <c r="C28" s="1" t="n">
        <v>45895</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27981-2022</t>
        </is>
      </c>
      <c r="B29" s="1" t="n">
        <v>44745</v>
      </c>
      <c r="C29" s="1" t="n">
        <v>45895</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42858-2023</t>
        </is>
      </c>
      <c r="B30" s="1" t="n">
        <v>45177</v>
      </c>
      <c r="C30" s="1" t="n">
        <v>45895</v>
      </c>
      <c r="D30" t="inlineStr">
        <is>
          <t>ÖSTERGÖTLANDS LÄN</t>
        </is>
      </c>
      <c r="E30" t="inlineStr">
        <is>
          <t>LINKÖPING</t>
        </is>
      </c>
      <c r="G30" t="n">
        <v>5.3</v>
      </c>
      <c r="H30" t="n">
        <v>1</v>
      </c>
      <c r="I30" t="n">
        <v>0</v>
      </c>
      <c r="J30" t="n">
        <v>1</v>
      </c>
      <c r="K30" t="n">
        <v>0</v>
      </c>
      <c r="L30" t="n">
        <v>0</v>
      </c>
      <c r="M30" t="n">
        <v>0</v>
      </c>
      <c r="N30" t="n">
        <v>0</v>
      </c>
      <c r="O30" t="n">
        <v>1</v>
      </c>
      <c r="P30" t="n">
        <v>0</v>
      </c>
      <c r="Q30" t="n">
        <v>2</v>
      </c>
      <c r="R30" s="2" t="inlineStr">
        <is>
          <t>Svinrot
Skogsödla</t>
        </is>
      </c>
      <c r="S30">
        <f>HYPERLINK("https://klasma.github.io/Logging_0580/artfynd/A 42858-2023 artfynd.xlsx", "A 42858-2023")</f>
        <v/>
      </c>
      <c r="T30">
        <f>HYPERLINK("https://klasma.github.io/Logging_0580/kartor/A 42858-2023 karta.png", "A 42858-2023")</f>
        <v/>
      </c>
      <c r="V30">
        <f>HYPERLINK("https://klasma.github.io/Logging_0580/klagomål/A 42858-2023 FSC-klagomål.docx", "A 42858-2023")</f>
        <v/>
      </c>
      <c r="W30">
        <f>HYPERLINK("https://klasma.github.io/Logging_0580/klagomålsmail/A 42858-2023 FSC-klagomål mail.docx", "A 42858-2023")</f>
        <v/>
      </c>
      <c r="X30">
        <f>HYPERLINK("https://klasma.github.io/Logging_0580/tillsyn/A 42858-2023 tillsynsbegäran.docx", "A 42858-2023")</f>
        <v/>
      </c>
      <c r="Y30">
        <f>HYPERLINK("https://klasma.github.io/Logging_0580/tillsynsmail/A 42858-2023 tillsynsbegäran mail.docx", "A 42858-2023")</f>
        <v/>
      </c>
    </row>
    <row r="31" ht="15" customHeight="1">
      <c r="A31" t="inlineStr">
        <is>
          <t>A 11613-2025</t>
        </is>
      </c>
      <c r="B31" s="1" t="n">
        <v>45727.44623842592</v>
      </c>
      <c r="C31" s="1" t="n">
        <v>45895</v>
      </c>
      <c r="D31" t="inlineStr">
        <is>
          <t>ÖSTERGÖTLANDS LÄN</t>
        </is>
      </c>
      <c r="E31" t="inlineStr">
        <is>
          <t>LINKÖPING</t>
        </is>
      </c>
      <c r="G31" t="n">
        <v>5.7</v>
      </c>
      <c r="H31" t="n">
        <v>1</v>
      </c>
      <c r="I31" t="n">
        <v>1</v>
      </c>
      <c r="J31" t="n">
        <v>0</v>
      </c>
      <c r="K31" t="n">
        <v>1</v>
      </c>
      <c r="L31" t="n">
        <v>0</v>
      </c>
      <c r="M31" t="n">
        <v>0</v>
      </c>
      <c r="N31" t="n">
        <v>0</v>
      </c>
      <c r="O31" t="n">
        <v>1</v>
      </c>
      <c r="P31" t="n">
        <v>1</v>
      </c>
      <c r="Q31" t="n">
        <v>2</v>
      </c>
      <c r="R31" s="2" t="inlineStr">
        <is>
          <t>Knärot
Grönpyrola</t>
        </is>
      </c>
      <c r="S31">
        <f>HYPERLINK("https://klasma.github.io/Logging_0580/artfynd/A 11613-2025 artfynd.xlsx", "A 11613-2025")</f>
        <v/>
      </c>
      <c r="T31">
        <f>HYPERLINK("https://klasma.github.io/Logging_0580/kartor/A 11613-2025 karta.png", "A 11613-2025")</f>
        <v/>
      </c>
      <c r="U31">
        <f>HYPERLINK("https://klasma.github.io/Logging_0580/knärot/A 11613-2025 karta knärot.png", "A 11613-2025")</f>
        <v/>
      </c>
      <c r="V31">
        <f>HYPERLINK("https://klasma.github.io/Logging_0580/klagomål/A 11613-2025 FSC-klagomål.docx", "A 11613-2025")</f>
        <v/>
      </c>
      <c r="W31">
        <f>HYPERLINK("https://klasma.github.io/Logging_0580/klagomålsmail/A 11613-2025 FSC-klagomål mail.docx", "A 11613-2025")</f>
        <v/>
      </c>
      <c r="X31">
        <f>HYPERLINK("https://klasma.github.io/Logging_0580/tillsyn/A 11613-2025 tillsynsbegäran.docx", "A 11613-2025")</f>
        <v/>
      </c>
      <c r="Y31">
        <f>HYPERLINK("https://klasma.github.io/Logging_0580/tillsynsmail/A 11613-2025 tillsynsbegäran mail.docx", "A 11613-2025")</f>
        <v/>
      </c>
    </row>
    <row r="32" ht="15" customHeight="1">
      <c r="A32" t="inlineStr">
        <is>
          <t>A 27795-2025</t>
        </is>
      </c>
      <c r="B32" s="1" t="n">
        <v>45816.7908912037</v>
      </c>
      <c r="C32" s="1" t="n">
        <v>45895</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41751-2023</t>
        </is>
      </c>
      <c r="B33" s="1" t="n">
        <v>45176</v>
      </c>
      <c r="C33" s="1" t="n">
        <v>45895</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8818-2025</t>
        </is>
      </c>
      <c r="B34" s="1" t="n">
        <v>45712</v>
      </c>
      <c r="C34" s="1" t="n">
        <v>45895</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45895</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55344-2024</t>
        </is>
      </c>
      <c r="B36" s="1" t="n">
        <v>45621.7202662037</v>
      </c>
      <c r="C36" s="1" t="n">
        <v>45895</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20292-2025</t>
        </is>
      </c>
      <c r="B37" s="1" t="n">
        <v>45774.7449537037</v>
      </c>
      <c r="C37" s="1" t="n">
        <v>45895</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38129-2021</t>
        </is>
      </c>
      <c r="B38" s="1" t="n">
        <v>44405.37199074074</v>
      </c>
      <c r="C38" s="1" t="n">
        <v>45895</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56250-2021</t>
        </is>
      </c>
      <c r="B39" s="1" t="n">
        <v>44479</v>
      </c>
      <c r="C39" s="1" t="n">
        <v>45895</v>
      </c>
      <c r="D39" t="inlineStr">
        <is>
          <t>ÖSTERGÖTLANDS LÄN</t>
        </is>
      </c>
      <c r="E39" t="inlineStr">
        <is>
          <t>LINKÖPING</t>
        </is>
      </c>
      <c r="F39" t="inlineStr">
        <is>
          <t>Övriga Aktiebolag</t>
        </is>
      </c>
      <c r="G39" t="n">
        <v>3.2</v>
      </c>
      <c r="H39" t="n">
        <v>0</v>
      </c>
      <c r="I39" t="n">
        <v>1</v>
      </c>
      <c r="J39" t="n">
        <v>0</v>
      </c>
      <c r="K39" t="n">
        <v>0</v>
      </c>
      <c r="L39" t="n">
        <v>0</v>
      </c>
      <c r="M39" t="n">
        <v>0</v>
      </c>
      <c r="N39" t="n">
        <v>0</v>
      </c>
      <c r="O39" t="n">
        <v>0</v>
      </c>
      <c r="P39" t="n">
        <v>0</v>
      </c>
      <c r="Q39" t="n">
        <v>1</v>
      </c>
      <c r="R39" s="2" t="inlineStr">
        <is>
          <t>Strutbräken</t>
        </is>
      </c>
      <c r="S39">
        <f>HYPERLINK("https://klasma.github.io/Logging_0580/artfynd/A 56250-2021 artfynd.xlsx", "A 56250-2021")</f>
        <v/>
      </c>
      <c r="T39">
        <f>HYPERLINK("https://klasma.github.io/Logging_0580/kartor/A 56250-2021 karta.png", "A 56250-2021")</f>
        <v/>
      </c>
      <c r="V39">
        <f>HYPERLINK("https://klasma.github.io/Logging_0580/klagomål/A 56250-2021 FSC-klagomål.docx", "A 56250-2021")</f>
        <v/>
      </c>
      <c r="W39">
        <f>HYPERLINK("https://klasma.github.io/Logging_0580/klagomålsmail/A 56250-2021 FSC-klagomål mail.docx", "A 56250-2021")</f>
        <v/>
      </c>
      <c r="X39">
        <f>HYPERLINK("https://klasma.github.io/Logging_0580/tillsyn/A 56250-2021 tillsynsbegäran.docx", "A 56250-2021")</f>
        <v/>
      </c>
      <c r="Y39">
        <f>HYPERLINK("https://klasma.github.io/Logging_0580/tillsynsmail/A 56250-2021 tillsynsbegäran mail.docx", "A 56250-2021")</f>
        <v/>
      </c>
    </row>
    <row r="40" ht="15" customHeight="1">
      <c r="A40" t="inlineStr">
        <is>
          <t>A 43017-2021</t>
        </is>
      </c>
      <c r="B40" s="1" t="n">
        <v>44431</v>
      </c>
      <c r="C40" s="1" t="n">
        <v>45895</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46496-2022</t>
        </is>
      </c>
      <c r="B41" s="1" t="n">
        <v>44848</v>
      </c>
      <c r="C41" s="1" t="n">
        <v>45895</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71127-2021</t>
        </is>
      </c>
      <c r="B42" s="1" t="n">
        <v>44537</v>
      </c>
      <c r="C42" s="1" t="n">
        <v>45895</v>
      </c>
      <c r="D42" t="inlineStr">
        <is>
          <t>ÖSTERGÖTLANDS LÄN</t>
        </is>
      </c>
      <c r="E42" t="inlineStr">
        <is>
          <t>LINKÖPING</t>
        </is>
      </c>
      <c r="F42" t="inlineStr">
        <is>
          <t>Kommuner</t>
        </is>
      </c>
      <c r="G42" t="n">
        <v>7.2</v>
      </c>
      <c r="H42" t="n">
        <v>0</v>
      </c>
      <c r="I42" t="n">
        <v>0</v>
      </c>
      <c r="J42" t="n">
        <v>1</v>
      </c>
      <c r="K42" t="n">
        <v>0</v>
      </c>
      <c r="L42" t="n">
        <v>0</v>
      </c>
      <c r="M42" t="n">
        <v>0</v>
      </c>
      <c r="N42" t="n">
        <v>0</v>
      </c>
      <c r="O42" t="n">
        <v>1</v>
      </c>
      <c r="P42" t="n">
        <v>0</v>
      </c>
      <c r="Q42" t="n">
        <v>1</v>
      </c>
      <c r="R42" s="2" t="inlineStr">
        <is>
          <t>Svinrot</t>
        </is>
      </c>
      <c r="S42">
        <f>HYPERLINK("https://klasma.github.io/Logging_0580/artfynd/A 71127-2021 artfynd.xlsx", "A 71127-2021")</f>
        <v/>
      </c>
      <c r="T42">
        <f>HYPERLINK("https://klasma.github.io/Logging_0580/kartor/A 71127-2021 karta.png", "A 71127-2021")</f>
        <v/>
      </c>
      <c r="V42">
        <f>HYPERLINK("https://klasma.github.io/Logging_0580/klagomål/A 71127-2021 FSC-klagomål.docx", "A 71127-2021")</f>
        <v/>
      </c>
      <c r="W42">
        <f>HYPERLINK("https://klasma.github.io/Logging_0580/klagomålsmail/A 71127-2021 FSC-klagomål mail.docx", "A 71127-2021")</f>
        <v/>
      </c>
      <c r="X42">
        <f>HYPERLINK("https://klasma.github.io/Logging_0580/tillsyn/A 71127-2021 tillsynsbegäran.docx", "A 71127-2021")</f>
        <v/>
      </c>
      <c r="Y42">
        <f>HYPERLINK("https://klasma.github.io/Logging_0580/tillsynsmail/A 71127-2021 tillsynsbegäran mail.docx", "A 71127-2021")</f>
        <v/>
      </c>
    </row>
    <row r="43" ht="15" customHeight="1">
      <c r="A43" t="inlineStr">
        <is>
          <t>A 14096-2021</t>
        </is>
      </c>
      <c r="B43" s="1" t="n">
        <v>44278</v>
      </c>
      <c r="C43" s="1" t="n">
        <v>45895</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45895</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17389-2021</t>
        </is>
      </c>
      <c r="B45" s="1" t="n">
        <v>44298.96792824074</v>
      </c>
      <c r="C45" s="1" t="n">
        <v>45895</v>
      </c>
      <c r="D45" t="inlineStr">
        <is>
          <t>ÖSTERGÖTLANDS LÄN</t>
        </is>
      </c>
      <c r="E45" t="inlineStr">
        <is>
          <t>LINKÖPING</t>
        </is>
      </c>
      <c r="G45" t="n">
        <v>5.1</v>
      </c>
      <c r="H45" t="n">
        <v>0</v>
      </c>
      <c r="I45" t="n">
        <v>1</v>
      </c>
      <c r="J45" t="n">
        <v>0</v>
      </c>
      <c r="K45" t="n">
        <v>0</v>
      </c>
      <c r="L45" t="n">
        <v>0</v>
      </c>
      <c r="M45" t="n">
        <v>0</v>
      </c>
      <c r="N45" t="n">
        <v>0</v>
      </c>
      <c r="O45" t="n">
        <v>0</v>
      </c>
      <c r="P45" t="n">
        <v>0</v>
      </c>
      <c r="Q45" t="n">
        <v>1</v>
      </c>
      <c r="R45" s="2" t="inlineStr">
        <is>
          <t>Blomkålssvamp</t>
        </is>
      </c>
      <c r="S45">
        <f>HYPERLINK("https://klasma.github.io/Logging_0580/artfynd/A 17389-2021 artfynd.xlsx", "A 17389-2021")</f>
        <v/>
      </c>
      <c r="T45">
        <f>HYPERLINK("https://klasma.github.io/Logging_0580/kartor/A 17389-2021 karta.png", "A 17389-2021")</f>
        <v/>
      </c>
      <c r="V45">
        <f>HYPERLINK("https://klasma.github.io/Logging_0580/klagomål/A 17389-2021 FSC-klagomål.docx", "A 17389-2021")</f>
        <v/>
      </c>
      <c r="W45">
        <f>HYPERLINK("https://klasma.github.io/Logging_0580/klagomålsmail/A 17389-2021 FSC-klagomål mail.docx", "A 17389-2021")</f>
        <v/>
      </c>
      <c r="X45">
        <f>HYPERLINK("https://klasma.github.io/Logging_0580/tillsyn/A 17389-2021 tillsynsbegäran.docx", "A 17389-2021")</f>
        <v/>
      </c>
      <c r="Y45">
        <f>HYPERLINK("https://klasma.github.io/Logging_0580/tillsynsmail/A 17389-2021 tillsynsbegäran mail.docx", "A 17389-2021")</f>
        <v/>
      </c>
    </row>
    <row r="46" ht="15" customHeight="1">
      <c r="A46" t="inlineStr">
        <is>
          <t>A 40315-2024</t>
        </is>
      </c>
      <c r="B46" s="1" t="n">
        <v>45554.7571875</v>
      </c>
      <c r="C46" s="1" t="n">
        <v>45895</v>
      </c>
      <c r="D46" t="inlineStr">
        <is>
          <t>ÖSTERGÖTLANDS LÄN</t>
        </is>
      </c>
      <c r="E46" t="inlineStr">
        <is>
          <t>LINKÖPING</t>
        </is>
      </c>
      <c r="F46" t="inlineStr">
        <is>
          <t>Allmännings- och besparingsskogar</t>
        </is>
      </c>
      <c r="G46" t="n">
        <v>15.8</v>
      </c>
      <c r="H46" t="n">
        <v>0</v>
      </c>
      <c r="I46" t="n">
        <v>0</v>
      </c>
      <c r="J46" t="n">
        <v>0</v>
      </c>
      <c r="K46" t="n">
        <v>0</v>
      </c>
      <c r="L46" t="n">
        <v>0</v>
      </c>
      <c r="M46" t="n">
        <v>1</v>
      </c>
      <c r="N46" t="n">
        <v>0</v>
      </c>
      <c r="O46" t="n">
        <v>1</v>
      </c>
      <c r="P46" t="n">
        <v>1</v>
      </c>
      <c r="Q46" t="n">
        <v>1</v>
      </c>
      <c r="R46" s="2" t="inlineStr">
        <is>
          <t>Skogsalm</t>
        </is>
      </c>
      <c r="S46">
        <f>HYPERLINK("https://klasma.github.io/Logging_0580/artfynd/A 40315-2024 artfynd.xlsx", "A 40315-2024")</f>
        <v/>
      </c>
      <c r="T46">
        <f>HYPERLINK("https://klasma.github.io/Logging_0580/kartor/A 40315-2024 karta.png", "A 40315-2024")</f>
        <v/>
      </c>
      <c r="V46">
        <f>HYPERLINK("https://klasma.github.io/Logging_0580/klagomål/A 40315-2024 FSC-klagomål.docx", "A 40315-2024")</f>
        <v/>
      </c>
      <c r="W46">
        <f>HYPERLINK("https://klasma.github.io/Logging_0580/klagomålsmail/A 40315-2024 FSC-klagomål mail.docx", "A 40315-2024")</f>
        <v/>
      </c>
      <c r="X46">
        <f>HYPERLINK("https://klasma.github.io/Logging_0580/tillsyn/A 40315-2024 tillsynsbegäran.docx", "A 40315-2024")</f>
        <v/>
      </c>
      <c r="Y46">
        <f>HYPERLINK("https://klasma.github.io/Logging_0580/tillsynsmail/A 40315-2024 tillsynsbegäran mail.docx", "A 40315-2024")</f>
        <v/>
      </c>
    </row>
    <row r="47" ht="15" customHeight="1">
      <c r="A47" t="inlineStr">
        <is>
          <t>A 54835-2023</t>
        </is>
      </c>
      <c r="B47" s="1" t="n">
        <v>45236</v>
      </c>
      <c r="C47" s="1" t="n">
        <v>45895</v>
      </c>
      <c r="D47" t="inlineStr">
        <is>
          <t>ÖSTERGÖTLANDS LÄN</t>
        </is>
      </c>
      <c r="E47" t="inlineStr">
        <is>
          <t>LINKÖPING</t>
        </is>
      </c>
      <c r="G47" t="n">
        <v>2</v>
      </c>
      <c r="H47" t="n">
        <v>1</v>
      </c>
      <c r="I47" t="n">
        <v>0</v>
      </c>
      <c r="J47" t="n">
        <v>0</v>
      </c>
      <c r="K47" t="n">
        <v>0</v>
      </c>
      <c r="L47" t="n">
        <v>0</v>
      </c>
      <c r="M47" t="n">
        <v>0</v>
      </c>
      <c r="N47" t="n">
        <v>0</v>
      </c>
      <c r="O47" t="n">
        <v>0</v>
      </c>
      <c r="P47" t="n">
        <v>0</v>
      </c>
      <c r="Q47" t="n">
        <v>1</v>
      </c>
      <c r="R47" s="2" t="inlineStr">
        <is>
          <t>Sparvuggla</t>
        </is>
      </c>
      <c r="S47">
        <f>HYPERLINK("https://klasma.github.io/Logging_0580/artfynd/A 54835-2023 artfynd.xlsx", "A 54835-2023")</f>
        <v/>
      </c>
      <c r="T47">
        <f>HYPERLINK("https://klasma.github.io/Logging_0580/kartor/A 54835-2023 karta.png", "A 54835-2023")</f>
        <v/>
      </c>
      <c r="V47">
        <f>HYPERLINK("https://klasma.github.io/Logging_0580/klagomål/A 54835-2023 FSC-klagomål.docx", "A 54835-2023")</f>
        <v/>
      </c>
      <c r="W47">
        <f>HYPERLINK("https://klasma.github.io/Logging_0580/klagomålsmail/A 54835-2023 FSC-klagomål mail.docx", "A 54835-2023")</f>
        <v/>
      </c>
      <c r="X47">
        <f>HYPERLINK("https://klasma.github.io/Logging_0580/tillsyn/A 54835-2023 tillsynsbegäran.docx", "A 54835-2023")</f>
        <v/>
      </c>
      <c r="Y47">
        <f>HYPERLINK("https://klasma.github.io/Logging_0580/tillsynsmail/A 54835-2023 tillsynsbegäran mail.docx", "A 54835-2023")</f>
        <v/>
      </c>
      <c r="Z47">
        <f>HYPERLINK("https://klasma.github.io/Logging_0580/fåglar/A 54835-2023 prioriterade fågelarter.docx", "A 54835-2023")</f>
        <v/>
      </c>
    </row>
    <row r="48" ht="15" customHeight="1">
      <c r="A48" t="inlineStr">
        <is>
          <t>A 34881-2023</t>
        </is>
      </c>
      <c r="B48" s="1" t="n">
        <v>45140</v>
      </c>
      <c r="C48" s="1" t="n">
        <v>45895</v>
      </c>
      <c r="D48" t="inlineStr">
        <is>
          <t>ÖSTERGÖTLANDS LÄN</t>
        </is>
      </c>
      <c r="E48" t="inlineStr">
        <is>
          <t>LINKÖPING</t>
        </is>
      </c>
      <c r="G48" t="n">
        <v>1.9</v>
      </c>
      <c r="H48" t="n">
        <v>0</v>
      </c>
      <c r="I48" t="n">
        <v>0</v>
      </c>
      <c r="J48" t="n">
        <v>1</v>
      </c>
      <c r="K48" t="n">
        <v>0</v>
      </c>
      <c r="L48" t="n">
        <v>0</v>
      </c>
      <c r="M48" t="n">
        <v>0</v>
      </c>
      <c r="N48" t="n">
        <v>0</v>
      </c>
      <c r="O48" t="n">
        <v>1</v>
      </c>
      <c r="P48" t="n">
        <v>0</v>
      </c>
      <c r="Q48" t="n">
        <v>1</v>
      </c>
      <c r="R48" s="2" t="inlineStr">
        <is>
          <t>Tallticka</t>
        </is>
      </c>
      <c r="S48">
        <f>HYPERLINK("https://klasma.github.io/Logging_0580/artfynd/A 34881-2023 artfynd.xlsx", "A 34881-2023")</f>
        <v/>
      </c>
      <c r="T48">
        <f>HYPERLINK("https://klasma.github.io/Logging_0580/kartor/A 34881-2023 karta.png", "A 34881-2023")</f>
        <v/>
      </c>
      <c r="U48">
        <f>HYPERLINK("https://klasma.github.io/Logging_0580/knärot/A 34881-2023 karta knärot.png", "A 34881-2023")</f>
        <v/>
      </c>
      <c r="V48">
        <f>HYPERLINK("https://klasma.github.io/Logging_0580/klagomål/A 34881-2023 FSC-klagomål.docx", "A 34881-2023")</f>
        <v/>
      </c>
      <c r="W48">
        <f>HYPERLINK("https://klasma.github.io/Logging_0580/klagomålsmail/A 34881-2023 FSC-klagomål mail.docx", "A 34881-2023")</f>
        <v/>
      </c>
      <c r="X48">
        <f>HYPERLINK("https://klasma.github.io/Logging_0580/tillsyn/A 34881-2023 tillsynsbegäran.docx", "A 34881-2023")</f>
        <v/>
      </c>
      <c r="Y48">
        <f>HYPERLINK("https://klasma.github.io/Logging_0580/tillsynsmail/A 34881-2023 tillsynsbegäran mail.docx", "A 34881-2023")</f>
        <v/>
      </c>
    </row>
    <row r="49" ht="15" customHeight="1">
      <c r="A49" t="inlineStr">
        <is>
          <t>A 22526-2025</t>
        </is>
      </c>
      <c r="B49" s="1" t="n">
        <v>45786.78096064815</v>
      </c>
      <c r="C49" s="1" t="n">
        <v>45895</v>
      </c>
      <c r="D49" t="inlineStr">
        <is>
          <t>ÖSTERGÖTLANDS LÄN</t>
        </is>
      </c>
      <c r="E49" t="inlineStr">
        <is>
          <t>LINKÖPING</t>
        </is>
      </c>
      <c r="G49" t="n">
        <v>1.8</v>
      </c>
      <c r="H49" t="n">
        <v>1</v>
      </c>
      <c r="I49" t="n">
        <v>0</v>
      </c>
      <c r="J49" t="n">
        <v>1</v>
      </c>
      <c r="K49" t="n">
        <v>0</v>
      </c>
      <c r="L49" t="n">
        <v>0</v>
      </c>
      <c r="M49" t="n">
        <v>0</v>
      </c>
      <c r="N49" t="n">
        <v>0</v>
      </c>
      <c r="O49" t="n">
        <v>1</v>
      </c>
      <c r="P49" t="n">
        <v>0</v>
      </c>
      <c r="Q49" t="n">
        <v>1</v>
      </c>
      <c r="R49" s="2" t="inlineStr">
        <is>
          <t>Röd skogslilja</t>
        </is>
      </c>
      <c r="S49">
        <f>HYPERLINK("https://klasma.github.io/Logging_0580/artfynd/A 22526-2025 artfynd.xlsx", "A 22526-2025")</f>
        <v/>
      </c>
      <c r="T49">
        <f>HYPERLINK("https://klasma.github.io/Logging_0580/kartor/A 22526-2025 karta.png", "A 22526-2025")</f>
        <v/>
      </c>
      <c r="V49">
        <f>HYPERLINK("https://klasma.github.io/Logging_0580/klagomål/A 22526-2025 FSC-klagomål.docx", "A 22526-2025")</f>
        <v/>
      </c>
      <c r="W49">
        <f>HYPERLINK("https://klasma.github.io/Logging_0580/klagomålsmail/A 22526-2025 FSC-klagomål mail.docx", "A 22526-2025")</f>
        <v/>
      </c>
      <c r="X49">
        <f>HYPERLINK("https://klasma.github.io/Logging_0580/tillsyn/A 22526-2025 tillsynsbegäran.docx", "A 22526-2025")</f>
        <v/>
      </c>
      <c r="Y49">
        <f>HYPERLINK("https://klasma.github.io/Logging_0580/tillsynsmail/A 22526-2025 tillsynsbegäran mail.docx", "A 22526-2025")</f>
        <v/>
      </c>
    </row>
    <row r="50" ht="15" customHeight="1">
      <c r="A50" t="inlineStr">
        <is>
          <t>A 41749-2023</t>
        </is>
      </c>
      <c r="B50" s="1" t="n">
        <v>45176</v>
      </c>
      <c r="C50" s="1" t="n">
        <v>45895</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41749-2023 artfynd.xlsx", "A 41749-2023")</f>
        <v/>
      </c>
      <c r="T50">
        <f>HYPERLINK("https://klasma.github.io/Logging_0580/kartor/A 41749-2023 karta.png", "A 41749-2023")</f>
        <v/>
      </c>
      <c r="V50">
        <f>HYPERLINK("https://klasma.github.io/Logging_0580/klagomål/A 41749-2023 FSC-klagomål.docx", "A 41749-2023")</f>
        <v/>
      </c>
      <c r="W50">
        <f>HYPERLINK("https://klasma.github.io/Logging_0580/klagomålsmail/A 41749-2023 FSC-klagomål mail.docx", "A 41749-2023")</f>
        <v/>
      </c>
      <c r="X50">
        <f>HYPERLINK("https://klasma.github.io/Logging_0580/tillsyn/A 41749-2023 tillsynsbegäran.docx", "A 41749-2023")</f>
        <v/>
      </c>
      <c r="Y50">
        <f>HYPERLINK("https://klasma.github.io/Logging_0580/tillsynsmail/A 41749-2023 tillsynsbegäran mail.docx", "A 41749-2023")</f>
        <v/>
      </c>
    </row>
    <row r="51" ht="15" customHeight="1">
      <c r="A51" t="inlineStr">
        <is>
          <t>A 19103-2021</t>
        </is>
      </c>
      <c r="B51" s="1" t="n">
        <v>44308</v>
      </c>
      <c r="C51" s="1" t="n">
        <v>45895</v>
      </c>
      <c r="D51" t="inlineStr">
        <is>
          <t>ÖSTERGÖTLANDS LÄN</t>
        </is>
      </c>
      <c r="E51" t="inlineStr">
        <is>
          <t>LINKÖPING</t>
        </is>
      </c>
      <c r="G51" t="n">
        <v>4.7</v>
      </c>
      <c r="H51" t="n">
        <v>0</v>
      </c>
      <c r="I51" t="n">
        <v>0</v>
      </c>
      <c r="J51" t="n">
        <v>1</v>
      </c>
      <c r="K51" t="n">
        <v>0</v>
      </c>
      <c r="L51" t="n">
        <v>0</v>
      </c>
      <c r="M51" t="n">
        <v>0</v>
      </c>
      <c r="N51" t="n">
        <v>0</v>
      </c>
      <c r="O51" t="n">
        <v>1</v>
      </c>
      <c r="P51" t="n">
        <v>0</v>
      </c>
      <c r="Q51" t="n">
        <v>1</v>
      </c>
      <c r="R51" s="2" t="inlineStr">
        <is>
          <t>Tallticka</t>
        </is>
      </c>
      <c r="S51">
        <f>HYPERLINK("https://klasma.github.io/Logging_0580/artfynd/A 19103-2021 artfynd.xlsx", "A 19103-2021")</f>
        <v/>
      </c>
      <c r="T51">
        <f>HYPERLINK("https://klasma.github.io/Logging_0580/kartor/A 19103-2021 karta.png", "A 19103-2021")</f>
        <v/>
      </c>
      <c r="V51">
        <f>HYPERLINK("https://klasma.github.io/Logging_0580/klagomål/A 19103-2021 FSC-klagomål.docx", "A 19103-2021")</f>
        <v/>
      </c>
      <c r="W51">
        <f>HYPERLINK("https://klasma.github.io/Logging_0580/klagomålsmail/A 19103-2021 FSC-klagomål mail.docx", "A 19103-2021")</f>
        <v/>
      </c>
      <c r="X51">
        <f>HYPERLINK("https://klasma.github.io/Logging_0580/tillsyn/A 19103-2021 tillsynsbegäran.docx", "A 19103-2021")</f>
        <v/>
      </c>
      <c r="Y51">
        <f>HYPERLINK("https://klasma.github.io/Logging_0580/tillsynsmail/A 19103-2021 tillsynsbegäran mail.docx", "A 19103-2021")</f>
        <v/>
      </c>
    </row>
    <row r="52" ht="15" customHeight="1">
      <c r="A52" t="inlineStr">
        <is>
          <t>A 45317-2023</t>
        </is>
      </c>
      <c r="B52" s="1" t="n">
        <v>45191.74868055555</v>
      </c>
      <c r="C52" s="1" t="n">
        <v>45895</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20295-2025</t>
        </is>
      </c>
      <c r="B53" s="1" t="n">
        <v>45774.74846064814</v>
      </c>
      <c r="C53" s="1" t="n">
        <v>45895</v>
      </c>
      <c r="D53" t="inlineStr">
        <is>
          <t>ÖSTERGÖTLANDS LÄN</t>
        </is>
      </c>
      <c r="E53" t="inlineStr">
        <is>
          <t>LINKÖPING</t>
        </is>
      </c>
      <c r="G53" t="n">
        <v>3</v>
      </c>
      <c r="H53" t="n">
        <v>0</v>
      </c>
      <c r="I53" t="n">
        <v>0</v>
      </c>
      <c r="J53" t="n">
        <v>1</v>
      </c>
      <c r="K53" t="n">
        <v>0</v>
      </c>
      <c r="L53" t="n">
        <v>0</v>
      </c>
      <c r="M53" t="n">
        <v>0</v>
      </c>
      <c r="N53" t="n">
        <v>0</v>
      </c>
      <c r="O53" t="n">
        <v>1</v>
      </c>
      <c r="P53" t="n">
        <v>0</v>
      </c>
      <c r="Q53" t="n">
        <v>1</v>
      </c>
      <c r="R53" s="2" t="inlineStr">
        <is>
          <t>Tallticka</t>
        </is>
      </c>
      <c r="S53">
        <f>HYPERLINK("https://klasma.github.io/Logging_0580/artfynd/A 20295-2025 artfynd.xlsx", "A 20295-2025")</f>
        <v/>
      </c>
      <c r="T53">
        <f>HYPERLINK("https://klasma.github.io/Logging_0580/kartor/A 20295-2025 karta.png", "A 20295-2025")</f>
        <v/>
      </c>
      <c r="V53">
        <f>HYPERLINK("https://klasma.github.io/Logging_0580/klagomål/A 20295-2025 FSC-klagomål.docx", "A 20295-2025")</f>
        <v/>
      </c>
      <c r="W53">
        <f>HYPERLINK("https://klasma.github.io/Logging_0580/klagomålsmail/A 20295-2025 FSC-klagomål mail.docx", "A 20295-2025")</f>
        <v/>
      </c>
      <c r="X53">
        <f>HYPERLINK("https://klasma.github.io/Logging_0580/tillsyn/A 20295-2025 tillsynsbegäran.docx", "A 20295-2025")</f>
        <v/>
      </c>
      <c r="Y53">
        <f>HYPERLINK("https://klasma.github.io/Logging_0580/tillsynsmail/A 20295-2025 tillsynsbegäran mail.docx", "A 20295-2025")</f>
        <v/>
      </c>
    </row>
    <row r="54" ht="15" customHeight="1">
      <c r="A54" t="inlineStr">
        <is>
          <t>A 35948-2023</t>
        </is>
      </c>
      <c r="B54" s="1" t="n">
        <v>45148</v>
      </c>
      <c r="C54" s="1" t="n">
        <v>45895</v>
      </c>
      <c r="D54" t="inlineStr">
        <is>
          <t>ÖSTERGÖTLANDS LÄN</t>
        </is>
      </c>
      <c r="E54" t="inlineStr">
        <is>
          <t>LINKÖPING</t>
        </is>
      </c>
      <c r="G54" t="n">
        <v>1.9</v>
      </c>
      <c r="H54" t="n">
        <v>0</v>
      </c>
      <c r="I54" t="n">
        <v>1</v>
      </c>
      <c r="J54" t="n">
        <v>0</v>
      </c>
      <c r="K54" t="n">
        <v>0</v>
      </c>
      <c r="L54" t="n">
        <v>0</v>
      </c>
      <c r="M54" t="n">
        <v>0</v>
      </c>
      <c r="N54" t="n">
        <v>0</v>
      </c>
      <c r="O54" t="n">
        <v>0</v>
      </c>
      <c r="P54" t="n">
        <v>0</v>
      </c>
      <c r="Q54" t="n">
        <v>1</v>
      </c>
      <c r="R54" s="2" t="inlineStr">
        <is>
          <t>Brun nållav</t>
        </is>
      </c>
      <c r="S54">
        <f>HYPERLINK("https://klasma.github.io/Logging_0580/artfynd/A 35948-2023 artfynd.xlsx", "A 35948-2023")</f>
        <v/>
      </c>
      <c r="T54">
        <f>HYPERLINK("https://klasma.github.io/Logging_0580/kartor/A 35948-2023 karta.png", "A 35948-2023")</f>
        <v/>
      </c>
      <c r="V54">
        <f>HYPERLINK("https://klasma.github.io/Logging_0580/klagomål/A 35948-2023 FSC-klagomål.docx", "A 35948-2023")</f>
        <v/>
      </c>
      <c r="W54">
        <f>HYPERLINK("https://klasma.github.io/Logging_0580/klagomålsmail/A 35948-2023 FSC-klagomål mail.docx", "A 35948-2023")</f>
        <v/>
      </c>
      <c r="X54">
        <f>HYPERLINK("https://klasma.github.io/Logging_0580/tillsyn/A 35948-2023 tillsynsbegäran.docx", "A 35948-2023")</f>
        <v/>
      </c>
      <c r="Y54">
        <f>HYPERLINK("https://klasma.github.io/Logging_0580/tillsynsmail/A 35948-2023 tillsynsbegäran mail.docx", "A 35948-2023")</f>
        <v/>
      </c>
    </row>
    <row r="55" ht="15" customHeight="1">
      <c r="A55" t="inlineStr">
        <is>
          <t>A 13694-2025</t>
        </is>
      </c>
      <c r="B55" s="1" t="n">
        <v>45737.32148148148</v>
      </c>
      <c r="C55" s="1" t="n">
        <v>45895</v>
      </c>
      <c r="D55" t="inlineStr">
        <is>
          <t>ÖSTERGÖTLANDS LÄN</t>
        </is>
      </c>
      <c r="E55" t="inlineStr">
        <is>
          <t>LINKÖPING</t>
        </is>
      </c>
      <c r="G55" t="n">
        <v>9.300000000000001</v>
      </c>
      <c r="H55" t="n">
        <v>1</v>
      </c>
      <c r="I55" t="n">
        <v>0</v>
      </c>
      <c r="J55" t="n">
        <v>0</v>
      </c>
      <c r="K55" t="n">
        <v>0</v>
      </c>
      <c r="L55" t="n">
        <v>0</v>
      </c>
      <c r="M55" t="n">
        <v>0</v>
      </c>
      <c r="N55" t="n">
        <v>0</v>
      </c>
      <c r="O55" t="n">
        <v>0</v>
      </c>
      <c r="P55" t="n">
        <v>0</v>
      </c>
      <c r="Q55" t="n">
        <v>1</v>
      </c>
      <c r="R55" s="2" t="inlineStr">
        <is>
          <t>Mattlummer</t>
        </is>
      </c>
      <c r="S55">
        <f>HYPERLINK("https://klasma.github.io/Logging_0580/artfynd/A 13694-2025 artfynd.xlsx", "A 13694-2025")</f>
        <v/>
      </c>
      <c r="T55">
        <f>HYPERLINK("https://klasma.github.io/Logging_0580/kartor/A 13694-2025 karta.png", "A 13694-2025")</f>
        <v/>
      </c>
      <c r="V55">
        <f>HYPERLINK("https://klasma.github.io/Logging_0580/klagomål/A 13694-2025 FSC-klagomål.docx", "A 13694-2025")</f>
        <v/>
      </c>
      <c r="W55">
        <f>HYPERLINK("https://klasma.github.io/Logging_0580/klagomålsmail/A 13694-2025 FSC-klagomål mail.docx", "A 13694-2025")</f>
        <v/>
      </c>
      <c r="X55">
        <f>HYPERLINK("https://klasma.github.io/Logging_0580/tillsyn/A 13694-2025 tillsynsbegäran.docx", "A 13694-2025")</f>
        <v/>
      </c>
      <c r="Y55">
        <f>HYPERLINK("https://klasma.github.io/Logging_0580/tillsynsmail/A 13694-2025 tillsynsbegäran mail.docx", "A 13694-2025")</f>
        <v/>
      </c>
    </row>
    <row r="56" ht="15" customHeight="1">
      <c r="A56" t="inlineStr">
        <is>
          <t>A 1213-2023</t>
        </is>
      </c>
      <c r="B56" s="1" t="n">
        <v>44930</v>
      </c>
      <c r="C56" s="1" t="n">
        <v>45895</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56651-2023</t>
        </is>
      </c>
      <c r="B57" s="1" t="n">
        <v>45243</v>
      </c>
      <c r="C57" s="1" t="n">
        <v>45895</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48984-2020</t>
        </is>
      </c>
      <c r="B58" s="1" t="n">
        <v>44104</v>
      </c>
      <c r="C58" s="1" t="n">
        <v>45895</v>
      </c>
      <c r="D58" t="inlineStr">
        <is>
          <t>ÖSTERGÖTLANDS LÄN</t>
        </is>
      </c>
      <c r="E58" t="inlineStr">
        <is>
          <t>LINKÖPING</t>
        </is>
      </c>
      <c r="G58" t="n">
        <v>2.8</v>
      </c>
      <c r="H58" t="n">
        <v>0</v>
      </c>
      <c r="I58" t="n">
        <v>0</v>
      </c>
      <c r="J58" t="n">
        <v>1</v>
      </c>
      <c r="K58" t="n">
        <v>0</v>
      </c>
      <c r="L58" t="n">
        <v>0</v>
      </c>
      <c r="M58" t="n">
        <v>0</v>
      </c>
      <c r="N58" t="n">
        <v>0</v>
      </c>
      <c r="O58" t="n">
        <v>1</v>
      </c>
      <c r="P58" t="n">
        <v>0</v>
      </c>
      <c r="Q58" t="n">
        <v>1</v>
      </c>
      <c r="R58" s="2" t="inlineStr">
        <is>
          <t>Vårstarr</t>
        </is>
      </c>
      <c r="S58">
        <f>HYPERLINK("https://klasma.github.io/Logging_0580/artfynd/A 48984-2020 artfynd.xlsx", "A 48984-2020")</f>
        <v/>
      </c>
      <c r="T58">
        <f>HYPERLINK("https://klasma.github.io/Logging_0580/kartor/A 48984-2020 karta.png", "A 48984-2020")</f>
        <v/>
      </c>
      <c r="V58">
        <f>HYPERLINK("https://klasma.github.io/Logging_0580/klagomål/A 48984-2020 FSC-klagomål.docx", "A 48984-2020")</f>
        <v/>
      </c>
      <c r="W58">
        <f>HYPERLINK("https://klasma.github.io/Logging_0580/klagomålsmail/A 48984-2020 FSC-klagomål mail.docx", "A 48984-2020")</f>
        <v/>
      </c>
      <c r="X58">
        <f>HYPERLINK("https://klasma.github.io/Logging_0580/tillsyn/A 48984-2020 tillsynsbegäran.docx", "A 48984-2020")</f>
        <v/>
      </c>
      <c r="Y58">
        <f>HYPERLINK("https://klasma.github.io/Logging_0580/tillsynsmail/A 48984-2020 tillsynsbegäran mail.docx", "A 48984-2020")</f>
        <v/>
      </c>
    </row>
    <row r="59" ht="15" customHeight="1">
      <c r="A59" t="inlineStr">
        <is>
          <t>A 27403-2025</t>
        </is>
      </c>
      <c r="B59" s="1" t="n">
        <v>45812.72518518518</v>
      </c>
      <c r="C59" s="1" t="n">
        <v>45895</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50806-2023</t>
        </is>
      </c>
      <c r="B60" s="1" t="n">
        <v>45217</v>
      </c>
      <c r="C60" s="1" t="n">
        <v>45895</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62071-2023</t>
        </is>
      </c>
      <c r="B61" s="1" t="n">
        <v>45266.73542824074</v>
      </c>
      <c r="C61" s="1" t="n">
        <v>45895</v>
      </c>
      <c r="D61" t="inlineStr">
        <is>
          <t>ÖSTERGÖTLANDS LÄN</t>
        </is>
      </c>
      <c r="E61" t="inlineStr">
        <is>
          <t>LINKÖPING</t>
        </is>
      </c>
      <c r="G61" t="n">
        <v>6.5</v>
      </c>
      <c r="H61" t="n">
        <v>0</v>
      </c>
      <c r="I61" t="n">
        <v>0</v>
      </c>
      <c r="J61" t="n">
        <v>1</v>
      </c>
      <c r="K61" t="n">
        <v>0</v>
      </c>
      <c r="L61" t="n">
        <v>0</v>
      </c>
      <c r="M61" t="n">
        <v>0</v>
      </c>
      <c r="N61" t="n">
        <v>0</v>
      </c>
      <c r="O61" t="n">
        <v>1</v>
      </c>
      <c r="P61" t="n">
        <v>0</v>
      </c>
      <c r="Q61" t="n">
        <v>1</v>
      </c>
      <c r="R61" s="2" t="inlineStr">
        <is>
          <t>Svinrot</t>
        </is>
      </c>
      <c r="S61">
        <f>HYPERLINK("https://klasma.github.io/Logging_0580/artfynd/A 62071-2023 artfynd.xlsx", "A 62071-2023")</f>
        <v/>
      </c>
      <c r="T61">
        <f>HYPERLINK("https://klasma.github.io/Logging_0580/kartor/A 62071-2023 karta.png", "A 62071-2023")</f>
        <v/>
      </c>
      <c r="V61">
        <f>HYPERLINK("https://klasma.github.io/Logging_0580/klagomål/A 62071-2023 FSC-klagomål.docx", "A 62071-2023")</f>
        <v/>
      </c>
      <c r="W61">
        <f>HYPERLINK("https://klasma.github.io/Logging_0580/klagomålsmail/A 62071-2023 FSC-klagomål mail.docx", "A 62071-2023")</f>
        <v/>
      </c>
      <c r="X61">
        <f>HYPERLINK("https://klasma.github.io/Logging_0580/tillsyn/A 62071-2023 tillsynsbegäran.docx", "A 62071-2023")</f>
        <v/>
      </c>
      <c r="Y61">
        <f>HYPERLINK("https://klasma.github.io/Logging_0580/tillsynsmail/A 62071-2023 tillsynsbegäran mail.docx", "A 62071-2023")</f>
        <v/>
      </c>
    </row>
    <row r="62" ht="15" customHeight="1">
      <c r="A62" t="inlineStr">
        <is>
          <t>A 90-2024</t>
        </is>
      </c>
      <c r="B62" s="1" t="n">
        <v>45293</v>
      </c>
      <c r="C62" s="1" t="n">
        <v>45895</v>
      </c>
      <c r="D62" t="inlineStr">
        <is>
          <t>ÖSTERGÖTLANDS LÄN</t>
        </is>
      </c>
      <c r="E62" t="inlineStr">
        <is>
          <t>LINKÖPING</t>
        </is>
      </c>
      <c r="G62" t="n">
        <v>1.8</v>
      </c>
      <c r="H62" t="n">
        <v>0</v>
      </c>
      <c r="I62" t="n">
        <v>1</v>
      </c>
      <c r="J62" t="n">
        <v>0</v>
      </c>
      <c r="K62" t="n">
        <v>0</v>
      </c>
      <c r="L62" t="n">
        <v>0</v>
      </c>
      <c r="M62" t="n">
        <v>0</v>
      </c>
      <c r="N62" t="n">
        <v>0</v>
      </c>
      <c r="O62" t="n">
        <v>0</v>
      </c>
      <c r="P62" t="n">
        <v>0</v>
      </c>
      <c r="Q62" t="n">
        <v>1</v>
      </c>
      <c r="R62" s="2" t="inlineStr">
        <is>
          <t>Grov fjädermossa</t>
        </is>
      </c>
      <c r="S62">
        <f>HYPERLINK("https://klasma.github.io/Logging_0580/artfynd/A 90-2024 artfynd.xlsx", "A 90-2024")</f>
        <v/>
      </c>
      <c r="T62">
        <f>HYPERLINK("https://klasma.github.io/Logging_0580/kartor/A 90-2024 karta.png", "A 90-2024")</f>
        <v/>
      </c>
      <c r="V62">
        <f>HYPERLINK("https://klasma.github.io/Logging_0580/klagomål/A 90-2024 FSC-klagomål.docx", "A 90-2024")</f>
        <v/>
      </c>
      <c r="W62">
        <f>HYPERLINK("https://klasma.github.io/Logging_0580/klagomålsmail/A 90-2024 FSC-klagomål mail.docx", "A 90-2024")</f>
        <v/>
      </c>
      <c r="X62">
        <f>HYPERLINK("https://klasma.github.io/Logging_0580/tillsyn/A 90-2024 tillsynsbegäran.docx", "A 90-2024")</f>
        <v/>
      </c>
      <c r="Y62">
        <f>HYPERLINK("https://klasma.github.io/Logging_0580/tillsynsmail/A 90-2024 tillsynsbegäran mail.docx", "A 90-2024")</f>
        <v/>
      </c>
    </row>
    <row r="63" ht="15" customHeight="1">
      <c r="A63" t="inlineStr">
        <is>
          <t>A 60573-2021</t>
        </is>
      </c>
      <c r="B63" s="1" t="n">
        <v>44496</v>
      </c>
      <c r="C63" s="1" t="n">
        <v>45895</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17444-2025</t>
        </is>
      </c>
      <c r="B64" s="1" t="n">
        <v>45757.43452546297</v>
      </c>
      <c r="C64" s="1" t="n">
        <v>45895</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5984-2025</t>
        </is>
      </c>
      <c r="B65" s="1" t="n">
        <v>45695.55173611111</v>
      </c>
      <c r="C65" s="1" t="n">
        <v>45895</v>
      </c>
      <c r="D65" t="inlineStr">
        <is>
          <t>ÖSTERGÖTLANDS LÄN</t>
        </is>
      </c>
      <c r="E65" t="inlineStr">
        <is>
          <t>LINKÖPING</t>
        </is>
      </c>
      <c r="F65" t="inlineStr">
        <is>
          <t>Allmännings- och besparingsskogar</t>
        </is>
      </c>
      <c r="G65" t="n">
        <v>5.5</v>
      </c>
      <c r="H65" t="n">
        <v>0</v>
      </c>
      <c r="I65" t="n">
        <v>0</v>
      </c>
      <c r="J65" t="n">
        <v>1</v>
      </c>
      <c r="K65" t="n">
        <v>0</v>
      </c>
      <c r="L65" t="n">
        <v>0</v>
      </c>
      <c r="M65" t="n">
        <v>0</v>
      </c>
      <c r="N65" t="n">
        <v>0</v>
      </c>
      <c r="O65" t="n">
        <v>1</v>
      </c>
      <c r="P65" t="n">
        <v>0</v>
      </c>
      <c r="Q65" t="n">
        <v>1</v>
      </c>
      <c r="R65" s="2" t="inlineStr">
        <is>
          <t>Vanlig backsmörblomma</t>
        </is>
      </c>
      <c r="S65">
        <f>HYPERLINK("https://klasma.github.io/Logging_0580/artfynd/A 5984-2025 artfynd.xlsx", "A 5984-2025")</f>
        <v/>
      </c>
      <c r="T65">
        <f>HYPERLINK("https://klasma.github.io/Logging_0580/kartor/A 5984-2025 karta.png", "A 5984-2025")</f>
        <v/>
      </c>
      <c r="V65">
        <f>HYPERLINK("https://klasma.github.io/Logging_0580/klagomål/A 5984-2025 FSC-klagomål.docx", "A 5984-2025")</f>
        <v/>
      </c>
      <c r="W65">
        <f>HYPERLINK("https://klasma.github.io/Logging_0580/klagomålsmail/A 5984-2025 FSC-klagomål mail.docx", "A 5984-2025")</f>
        <v/>
      </c>
      <c r="X65">
        <f>HYPERLINK("https://klasma.github.io/Logging_0580/tillsyn/A 5984-2025 tillsynsbegäran.docx", "A 5984-2025")</f>
        <v/>
      </c>
      <c r="Y65">
        <f>HYPERLINK("https://klasma.github.io/Logging_0580/tillsynsmail/A 5984-2025 tillsynsbegäran mail.docx", "A 5984-2025")</f>
        <v/>
      </c>
    </row>
    <row r="66" ht="15" customHeight="1">
      <c r="A66" t="inlineStr">
        <is>
          <t>A 44930-2020</t>
        </is>
      </c>
      <c r="B66" s="1" t="n">
        <v>44088</v>
      </c>
      <c r="C66" s="1" t="n">
        <v>45895</v>
      </c>
      <c r="D66" t="inlineStr">
        <is>
          <t>ÖSTERGÖTLANDS LÄN</t>
        </is>
      </c>
      <c r="E66" t="inlineStr">
        <is>
          <t>LINKÖPING</t>
        </is>
      </c>
      <c r="G66" t="n">
        <v>2.6</v>
      </c>
      <c r="H66" t="n">
        <v>1</v>
      </c>
      <c r="I66" t="n">
        <v>0</v>
      </c>
      <c r="J66" t="n">
        <v>0</v>
      </c>
      <c r="K66" t="n">
        <v>1</v>
      </c>
      <c r="L66" t="n">
        <v>0</v>
      </c>
      <c r="M66" t="n">
        <v>0</v>
      </c>
      <c r="N66" t="n">
        <v>0</v>
      </c>
      <c r="O66" t="n">
        <v>1</v>
      </c>
      <c r="P66" t="n">
        <v>1</v>
      </c>
      <c r="Q66" t="n">
        <v>1</v>
      </c>
      <c r="R66" s="2" t="inlineStr">
        <is>
          <t>Knärot</t>
        </is>
      </c>
      <c r="S66">
        <f>HYPERLINK("https://klasma.github.io/Logging_0580/artfynd/A 44930-2020 artfynd.xlsx", "A 44930-2020")</f>
        <v/>
      </c>
      <c r="T66">
        <f>HYPERLINK("https://klasma.github.io/Logging_0580/kartor/A 44930-2020 karta.png", "A 44930-2020")</f>
        <v/>
      </c>
      <c r="U66">
        <f>HYPERLINK("https://klasma.github.io/Logging_0580/knärot/A 44930-2020 karta knärot.png", "A 44930-2020")</f>
        <v/>
      </c>
      <c r="V66">
        <f>HYPERLINK("https://klasma.github.io/Logging_0580/klagomål/A 44930-2020 FSC-klagomål.docx", "A 44930-2020")</f>
        <v/>
      </c>
      <c r="W66">
        <f>HYPERLINK("https://klasma.github.io/Logging_0580/klagomålsmail/A 44930-2020 FSC-klagomål mail.docx", "A 44930-2020")</f>
        <v/>
      </c>
      <c r="X66">
        <f>HYPERLINK("https://klasma.github.io/Logging_0580/tillsyn/A 44930-2020 tillsynsbegäran.docx", "A 44930-2020")</f>
        <v/>
      </c>
      <c r="Y66">
        <f>HYPERLINK("https://klasma.github.io/Logging_0580/tillsynsmail/A 44930-2020 tillsynsbegäran mail.docx", "A 44930-2020")</f>
        <v/>
      </c>
    </row>
    <row r="67" ht="15" customHeight="1">
      <c r="A67" t="inlineStr">
        <is>
          <t>A 40309-2024</t>
        </is>
      </c>
      <c r="B67" s="1" t="n">
        <v>45554.724375</v>
      </c>
      <c r="C67" s="1" t="n">
        <v>45895</v>
      </c>
      <c r="D67" t="inlineStr">
        <is>
          <t>ÖSTERGÖTLANDS LÄN</t>
        </is>
      </c>
      <c r="E67" t="inlineStr">
        <is>
          <t>LINKÖPING</t>
        </is>
      </c>
      <c r="F67" t="inlineStr">
        <is>
          <t>Allmännings- och besparingsskogar</t>
        </is>
      </c>
      <c r="G67" t="n">
        <v>6</v>
      </c>
      <c r="H67" t="n">
        <v>0</v>
      </c>
      <c r="I67" t="n">
        <v>0</v>
      </c>
      <c r="J67" t="n">
        <v>1</v>
      </c>
      <c r="K67" t="n">
        <v>0</v>
      </c>
      <c r="L67" t="n">
        <v>0</v>
      </c>
      <c r="M67" t="n">
        <v>0</v>
      </c>
      <c r="N67" t="n">
        <v>0</v>
      </c>
      <c r="O67" t="n">
        <v>1</v>
      </c>
      <c r="P67" t="n">
        <v>0</v>
      </c>
      <c r="Q67" t="n">
        <v>1</v>
      </c>
      <c r="R67" s="2" t="inlineStr">
        <is>
          <t>Garnlav</t>
        </is>
      </c>
      <c r="S67">
        <f>HYPERLINK("https://klasma.github.io/Logging_0580/artfynd/A 40309-2024 artfynd.xlsx", "A 40309-2024")</f>
        <v/>
      </c>
      <c r="T67">
        <f>HYPERLINK("https://klasma.github.io/Logging_0580/kartor/A 40309-2024 karta.png", "A 40309-2024")</f>
        <v/>
      </c>
      <c r="V67">
        <f>HYPERLINK("https://klasma.github.io/Logging_0580/klagomål/A 40309-2024 FSC-klagomål.docx", "A 40309-2024")</f>
        <v/>
      </c>
      <c r="W67">
        <f>HYPERLINK("https://klasma.github.io/Logging_0580/klagomålsmail/A 40309-2024 FSC-klagomål mail.docx", "A 40309-2024")</f>
        <v/>
      </c>
      <c r="X67">
        <f>HYPERLINK("https://klasma.github.io/Logging_0580/tillsyn/A 40309-2024 tillsynsbegäran.docx", "A 40309-2024")</f>
        <v/>
      </c>
      <c r="Y67">
        <f>HYPERLINK("https://klasma.github.io/Logging_0580/tillsynsmail/A 40309-2024 tillsynsbegäran mail.docx", "A 40309-2024")</f>
        <v/>
      </c>
    </row>
    <row r="68" ht="15" customHeight="1">
      <c r="A68" t="inlineStr">
        <is>
          <t>A 69211-2021</t>
        </is>
      </c>
      <c r="B68" s="1" t="n">
        <v>44531</v>
      </c>
      <c r="C68" s="1" t="n">
        <v>45895</v>
      </c>
      <c r="D68" t="inlineStr">
        <is>
          <t>ÖSTERGÖTLANDS LÄN</t>
        </is>
      </c>
      <c r="E68" t="inlineStr">
        <is>
          <t>LINKÖPING</t>
        </is>
      </c>
      <c r="F68" t="inlineStr">
        <is>
          <t>Övriga statliga verk och myndigheter</t>
        </is>
      </c>
      <c r="G68" t="n">
        <v>3.8</v>
      </c>
      <c r="H68" t="n">
        <v>0</v>
      </c>
      <c r="I68" t="n">
        <v>1</v>
      </c>
      <c r="J68" t="n">
        <v>0</v>
      </c>
      <c r="K68" t="n">
        <v>0</v>
      </c>
      <c r="L68" t="n">
        <v>0</v>
      </c>
      <c r="M68" t="n">
        <v>0</v>
      </c>
      <c r="N68" t="n">
        <v>0</v>
      </c>
      <c r="O68" t="n">
        <v>0</v>
      </c>
      <c r="P68" t="n">
        <v>0</v>
      </c>
      <c r="Q68" t="n">
        <v>1</v>
      </c>
      <c r="R68" s="2" t="inlineStr">
        <is>
          <t>Bronshjon</t>
        </is>
      </c>
      <c r="S68">
        <f>HYPERLINK("https://klasma.github.io/Logging_0580/artfynd/A 69211-2021 artfynd.xlsx", "A 69211-2021")</f>
        <v/>
      </c>
      <c r="T68">
        <f>HYPERLINK("https://klasma.github.io/Logging_0580/kartor/A 69211-2021 karta.png", "A 69211-2021")</f>
        <v/>
      </c>
      <c r="V68">
        <f>HYPERLINK("https://klasma.github.io/Logging_0580/klagomål/A 69211-2021 FSC-klagomål.docx", "A 69211-2021")</f>
        <v/>
      </c>
      <c r="W68">
        <f>HYPERLINK("https://klasma.github.io/Logging_0580/klagomålsmail/A 69211-2021 FSC-klagomål mail.docx", "A 69211-2021")</f>
        <v/>
      </c>
      <c r="X68">
        <f>HYPERLINK("https://klasma.github.io/Logging_0580/tillsyn/A 69211-2021 tillsynsbegäran.docx", "A 69211-2021")</f>
        <v/>
      </c>
      <c r="Y68">
        <f>HYPERLINK("https://klasma.github.io/Logging_0580/tillsynsmail/A 69211-2021 tillsynsbegäran mail.docx", "A 69211-2021")</f>
        <v/>
      </c>
    </row>
    <row r="69" ht="15" customHeight="1">
      <c r="A69" t="inlineStr">
        <is>
          <t>A 5911-2022</t>
        </is>
      </c>
      <c r="B69" s="1" t="n">
        <v>44597</v>
      </c>
      <c r="C69" s="1" t="n">
        <v>45895</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15290-2025</t>
        </is>
      </c>
      <c r="B70" s="1" t="n">
        <v>45745.45288194445</v>
      </c>
      <c r="C70" s="1" t="n">
        <v>45895</v>
      </c>
      <c r="D70" t="inlineStr">
        <is>
          <t>ÖSTERGÖTLANDS LÄN</t>
        </is>
      </c>
      <c r="E70" t="inlineStr">
        <is>
          <t>LINKÖPING</t>
        </is>
      </c>
      <c r="G70" t="n">
        <v>18.4</v>
      </c>
      <c r="H70" t="n">
        <v>1</v>
      </c>
      <c r="I70" t="n">
        <v>0</v>
      </c>
      <c r="J70" t="n">
        <v>1</v>
      </c>
      <c r="K70" t="n">
        <v>0</v>
      </c>
      <c r="L70" t="n">
        <v>0</v>
      </c>
      <c r="M70" t="n">
        <v>0</v>
      </c>
      <c r="N70" t="n">
        <v>0</v>
      </c>
      <c r="O70" t="n">
        <v>1</v>
      </c>
      <c r="P70" t="n">
        <v>0</v>
      </c>
      <c r="Q70" t="n">
        <v>1</v>
      </c>
      <c r="R70" s="2" t="inlineStr">
        <is>
          <t>Havsörn</t>
        </is>
      </c>
      <c r="S70">
        <f>HYPERLINK("https://klasma.github.io/Logging_0580/artfynd/A 15290-2025 artfynd.xlsx", "A 15290-2025")</f>
        <v/>
      </c>
      <c r="T70">
        <f>HYPERLINK("https://klasma.github.io/Logging_0580/kartor/A 15290-2025 karta.png", "A 15290-2025")</f>
        <v/>
      </c>
      <c r="V70">
        <f>HYPERLINK("https://klasma.github.io/Logging_0580/klagomål/A 15290-2025 FSC-klagomål.docx", "A 15290-2025")</f>
        <v/>
      </c>
      <c r="W70">
        <f>HYPERLINK("https://klasma.github.io/Logging_0580/klagomålsmail/A 15290-2025 FSC-klagomål mail.docx", "A 15290-2025")</f>
        <v/>
      </c>
      <c r="X70">
        <f>HYPERLINK("https://klasma.github.io/Logging_0580/tillsyn/A 15290-2025 tillsynsbegäran.docx", "A 15290-2025")</f>
        <v/>
      </c>
      <c r="Y70">
        <f>HYPERLINK("https://klasma.github.io/Logging_0580/tillsynsmail/A 15290-2025 tillsynsbegäran mail.docx", "A 15290-2025")</f>
        <v/>
      </c>
      <c r="Z70">
        <f>HYPERLINK("https://klasma.github.io/Logging_0580/fåglar/A 15290-2025 prioriterade fågelarter.docx", "A 15290-2025")</f>
        <v/>
      </c>
    </row>
    <row r="71" ht="15" customHeight="1">
      <c r="A71" t="inlineStr">
        <is>
          <t>A 36723-2023</t>
        </is>
      </c>
      <c r="B71" s="1" t="n">
        <v>45153</v>
      </c>
      <c r="C71" s="1" t="n">
        <v>45895</v>
      </c>
      <c r="D71" t="inlineStr">
        <is>
          <t>ÖSTERGÖTLANDS LÄN</t>
        </is>
      </c>
      <c r="E71" t="inlineStr">
        <is>
          <t>LINKÖPING</t>
        </is>
      </c>
      <c r="F71" t="inlineStr">
        <is>
          <t>Allmännings- och besparingsskogar</t>
        </is>
      </c>
      <c r="G71" t="n">
        <v>9.9</v>
      </c>
      <c r="H71" t="n">
        <v>0</v>
      </c>
      <c r="I71" t="n">
        <v>0</v>
      </c>
      <c r="J71" t="n">
        <v>0</v>
      </c>
      <c r="K71" t="n">
        <v>1</v>
      </c>
      <c r="L71" t="n">
        <v>0</v>
      </c>
      <c r="M71" t="n">
        <v>0</v>
      </c>
      <c r="N71" t="n">
        <v>0</v>
      </c>
      <c r="O71" t="n">
        <v>1</v>
      </c>
      <c r="P71" t="n">
        <v>1</v>
      </c>
      <c r="Q71" t="n">
        <v>1</v>
      </c>
      <c r="R71" s="2" t="inlineStr">
        <is>
          <t>Bitter taggsvamp</t>
        </is>
      </c>
      <c r="S71">
        <f>HYPERLINK("https://klasma.github.io/Logging_0580/artfynd/A 36723-2023 artfynd.xlsx", "A 36723-2023")</f>
        <v/>
      </c>
      <c r="T71">
        <f>HYPERLINK("https://klasma.github.io/Logging_0580/kartor/A 36723-2023 karta.png", "A 36723-2023")</f>
        <v/>
      </c>
      <c r="V71">
        <f>HYPERLINK("https://klasma.github.io/Logging_0580/klagomål/A 36723-2023 FSC-klagomål.docx", "A 36723-2023")</f>
        <v/>
      </c>
      <c r="W71">
        <f>HYPERLINK("https://klasma.github.io/Logging_0580/klagomålsmail/A 36723-2023 FSC-klagomål mail.docx", "A 36723-2023")</f>
        <v/>
      </c>
      <c r="X71">
        <f>HYPERLINK("https://klasma.github.io/Logging_0580/tillsyn/A 36723-2023 tillsynsbegäran.docx", "A 36723-2023")</f>
        <v/>
      </c>
      <c r="Y71">
        <f>HYPERLINK("https://klasma.github.io/Logging_0580/tillsynsmail/A 36723-2023 tillsynsbegäran mail.docx", "A 36723-2023")</f>
        <v/>
      </c>
    </row>
    <row r="72" ht="15" customHeight="1">
      <c r="A72" t="inlineStr">
        <is>
          <t>A 56128-2022</t>
        </is>
      </c>
      <c r="B72" s="1" t="n">
        <v>44889</v>
      </c>
      <c r="C72" s="1" t="n">
        <v>45895</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1716-2023</t>
        </is>
      </c>
      <c r="B73" s="1" t="n">
        <v>44938</v>
      </c>
      <c r="C73" s="1" t="n">
        <v>45895</v>
      </c>
      <c r="D73" t="inlineStr">
        <is>
          <t>ÖSTERGÖTLANDS LÄN</t>
        </is>
      </c>
      <c r="E73" t="inlineStr">
        <is>
          <t>LINKÖPING</t>
        </is>
      </c>
      <c r="G73" t="n">
        <v>3.6</v>
      </c>
      <c r="H73" t="n">
        <v>0</v>
      </c>
      <c r="I73" t="n">
        <v>0</v>
      </c>
      <c r="J73" t="n">
        <v>1</v>
      </c>
      <c r="K73" t="n">
        <v>0</v>
      </c>
      <c r="L73" t="n">
        <v>0</v>
      </c>
      <c r="M73" t="n">
        <v>0</v>
      </c>
      <c r="N73" t="n">
        <v>0</v>
      </c>
      <c r="O73" t="n">
        <v>1</v>
      </c>
      <c r="P73" t="n">
        <v>0</v>
      </c>
      <c r="Q73" t="n">
        <v>1</v>
      </c>
      <c r="R73" s="2" t="inlineStr">
        <is>
          <t>Svinrot</t>
        </is>
      </c>
      <c r="S73">
        <f>HYPERLINK("https://klasma.github.io/Logging_0580/artfynd/A 1716-2023 artfynd.xlsx", "A 1716-2023")</f>
        <v/>
      </c>
      <c r="T73">
        <f>HYPERLINK("https://klasma.github.io/Logging_0580/kartor/A 1716-2023 karta.png", "A 1716-2023")</f>
        <v/>
      </c>
      <c r="V73">
        <f>HYPERLINK("https://klasma.github.io/Logging_0580/klagomål/A 1716-2023 FSC-klagomål.docx", "A 1716-2023")</f>
        <v/>
      </c>
      <c r="W73">
        <f>HYPERLINK("https://klasma.github.io/Logging_0580/klagomålsmail/A 1716-2023 FSC-klagomål mail.docx", "A 1716-2023")</f>
        <v/>
      </c>
      <c r="X73">
        <f>HYPERLINK("https://klasma.github.io/Logging_0580/tillsyn/A 1716-2023 tillsynsbegäran.docx", "A 1716-2023")</f>
        <v/>
      </c>
      <c r="Y73">
        <f>HYPERLINK("https://klasma.github.io/Logging_0580/tillsynsmail/A 1716-2023 tillsynsbegäran mail.docx", "A 1716-2023")</f>
        <v/>
      </c>
    </row>
    <row r="74" ht="15" customHeight="1">
      <c r="A74" t="inlineStr">
        <is>
          <t>A 931-2025</t>
        </is>
      </c>
      <c r="B74" s="1" t="n">
        <v>45665.88498842593</v>
      </c>
      <c r="C74" s="1" t="n">
        <v>45895</v>
      </c>
      <c r="D74" t="inlineStr">
        <is>
          <t>ÖSTERGÖTLANDS LÄN</t>
        </is>
      </c>
      <c r="E74" t="inlineStr">
        <is>
          <t>LINKÖPING</t>
        </is>
      </c>
      <c r="F74" t="inlineStr">
        <is>
          <t>Övriga Aktiebolag</t>
        </is>
      </c>
      <c r="G74" t="n">
        <v>0.8</v>
      </c>
      <c r="H74" t="n">
        <v>0</v>
      </c>
      <c r="I74" t="n">
        <v>0</v>
      </c>
      <c r="J74" t="n">
        <v>1</v>
      </c>
      <c r="K74" t="n">
        <v>0</v>
      </c>
      <c r="L74" t="n">
        <v>0</v>
      </c>
      <c r="M74" t="n">
        <v>0</v>
      </c>
      <c r="N74" t="n">
        <v>0</v>
      </c>
      <c r="O74" t="n">
        <v>1</v>
      </c>
      <c r="P74" t="n">
        <v>0</v>
      </c>
      <c r="Q74" t="n">
        <v>1</v>
      </c>
      <c r="R74" s="2" t="inlineStr">
        <is>
          <t>Tallticka</t>
        </is>
      </c>
      <c r="S74">
        <f>HYPERLINK("https://klasma.github.io/Logging_0580/artfynd/A 931-2025 artfynd.xlsx", "A 931-2025")</f>
        <v/>
      </c>
      <c r="T74">
        <f>HYPERLINK("https://klasma.github.io/Logging_0580/kartor/A 931-2025 karta.png", "A 931-2025")</f>
        <v/>
      </c>
      <c r="V74">
        <f>HYPERLINK("https://klasma.github.io/Logging_0580/klagomål/A 931-2025 FSC-klagomål.docx", "A 931-2025")</f>
        <v/>
      </c>
      <c r="W74">
        <f>HYPERLINK("https://klasma.github.io/Logging_0580/klagomålsmail/A 931-2025 FSC-klagomål mail.docx", "A 931-2025")</f>
        <v/>
      </c>
      <c r="X74">
        <f>HYPERLINK("https://klasma.github.io/Logging_0580/tillsyn/A 931-2025 tillsynsbegäran.docx", "A 931-2025")</f>
        <v/>
      </c>
      <c r="Y74">
        <f>HYPERLINK("https://klasma.github.io/Logging_0580/tillsynsmail/A 931-2025 tillsynsbegäran mail.docx", "A 931-2025")</f>
        <v/>
      </c>
    </row>
    <row r="75" ht="15" customHeight="1">
      <c r="A75" t="inlineStr">
        <is>
          <t>A 126-2024</t>
        </is>
      </c>
      <c r="B75" s="1" t="n">
        <v>45294</v>
      </c>
      <c r="C75" s="1" t="n">
        <v>45895</v>
      </c>
      <c r="D75" t="inlineStr">
        <is>
          <t>ÖSTERGÖTLANDS LÄN</t>
        </is>
      </c>
      <c r="E75" t="inlineStr">
        <is>
          <t>LINKÖPING</t>
        </is>
      </c>
      <c r="G75" t="n">
        <v>1</v>
      </c>
      <c r="H75" t="n">
        <v>0</v>
      </c>
      <c r="I75" t="n">
        <v>1</v>
      </c>
      <c r="J75" t="n">
        <v>0</v>
      </c>
      <c r="K75" t="n">
        <v>0</v>
      </c>
      <c r="L75" t="n">
        <v>0</v>
      </c>
      <c r="M75" t="n">
        <v>0</v>
      </c>
      <c r="N75" t="n">
        <v>0</v>
      </c>
      <c r="O75" t="n">
        <v>0</v>
      </c>
      <c r="P75" t="n">
        <v>0</v>
      </c>
      <c r="Q75" t="n">
        <v>1</v>
      </c>
      <c r="R75" s="2" t="inlineStr">
        <is>
          <t>Blåmossa</t>
        </is>
      </c>
      <c r="S75">
        <f>HYPERLINK("https://klasma.github.io/Logging_0580/artfynd/A 126-2024 artfynd.xlsx", "A 126-2024")</f>
        <v/>
      </c>
      <c r="T75">
        <f>HYPERLINK("https://klasma.github.io/Logging_0580/kartor/A 126-2024 karta.png", "A 126-2024")</f>
        <v/>
      </c>
      <c r="V75">
        <f>HYPERLINK("https://klasma.github.io/Logging_0580/klagomål/A 126-2024 FSC-klagomål.docx", "A 126-2024")</f>
        <v/>
      </c>
      <c r="W75">
        <f>HYPERLINK("https://klasma.github.io/Logging_0580/klagomålsmail/A 126-2024 FSC-klagomål mail.docx", "A 126-2024")</f>
        <v/>
      </c>
      <c r="X75">
        <f>HYPERLINK("https://klasma.github.io/Logging_0580/tillsyn/A 126-2024 tillsynsbegäran.docx", "A 126-2024")</f>
        <v/>
      </c>
      <c r="Y75">
        <f>HYPERLINK("https://klasma.github.io/Logging_0580/tillsynsmail/A 126-2024 tillsynsbegäran mail.docx", "A 126-2024")</f>
        <v/>
      </c>
    </row>
    <row r="76" ht="15" customHeight="1">
      <c r="A76" t="inlineStr">
        <is>
          <t>A 3395-2023</t>
        </is>
      </c>
      <c r="B76" s="1" t="n">
        <v>44949</v>
      </c>
      <c r="C76" s="1" t="n">
        <v>45895</v>
      </c>
      <c r="D76" t="inlineStr">
        <is>
          <t>ÖSTERGÖTLANDS LÄN</t>
        </is>
      </c>
      <c r="E76" t="inlineStr">
        <is>
          <t>LINKÖPING</t>
        </is>
      </c>
      <c r="G76" t="n">
        <v>2</v>
      </c>
      <c r="H76" t="n">
        <v>0</v>
      </c>
      <c r="I76" t="n">
        <v>0</v>
      </c>
      <c r="J76" t="n">
        <v>1</v>
      </c>
      <c r="K76" t="n">
        <v>0</v>
      </c>
      <c r="L76" t="n">
        <v>0</v>
      </c>
      <c r="M76" t="n">
        <v>0</v>
      </c>
      <c r="N76" t="n">
        <v>0</v>
      </c>
      <c r="O76" t="n">
        <v>1</v>
      </c>
      <c r="P76" t="n">
        <v>0</v>
      </c>
      <c r="Q76" t="n">
        <v>1</v>
      </c>
      <c r="R76" s="2" t="inlineStr">
        <is>
          <t>Sommarfibbla</t>
        </is>
      </c>
      <c r="S76">
        <f>HYPERLINK("https://klasma.github.io/Logging_0580/artfynd/A 3395-2023 artfynd.xlsx", "A 3395-2023")</f>
        <v/>
      </c>
      <c r="T76">
        <f>HYPERLINK("https://klasma.github.io/Logging_0580/kartor/A 3395-2023 karta.png", "A 3395-2023")</f>
        <v/>
      </c>
      <c r="V76">
        <f>HYPERLINK("https://klasma.github.io/Logging_0580/klagomål/A 3395-2023 FSC-klagomål.docx", "A 3395-2023")</f>
        <v/>
      </c>
      <c r="W76">
        <f>HYPERLINK("https://klasma.github.io/Logging_0580/klagomålsmail/A 3395-2023 FSC-klagomål mail.docx", "A 3395-2023")</f>
        <v/>
      </c>
      <c r="X76">
        <f>HYPERLINK("https://klasma.github.io/Logging_0580/tillsyn/A 3395-2023 tillsynsbegäran.docx", "A 3395-2023")</f>
        <v/>
      </c>
      <c r="Y76">
        <f>HYPERLINK("https://klasma.github.io/Logging_0580/tillsynsmail/A 3395-2023 tillsynsbegäran mail.docx", "A 3395-2023")</f>
        <v/>
      </c>
    </row>
    <row r="77" ht="15" customHeight="1">
      <c r="A77" t="inlineStr">
        <is>
          <t>A 3397-2023</t>
        </is>
      </c>
      <c r="B77" s="1" t="n">
        <v>44949</v>
      </c>
      <c r="C77" s="1" t="n">
        <v>45895</v>
      </c>
      <c r="D77" t="inlineStr">
        <is>
          <t>ÖSTERGÖTLANDS LÄN</t>
        </is>
      </c>
      <c r="E77" t="inlineStr">
        <is>
          <t>LINKÖPING</t>
        </is>
      </c>
      <c r="G77" t="n">
        <v>4.1</v>
      </c>
      <c r="H77" t="n">
        <v>0</v>
      </c>
      <c r="I77" t="n">
        <v>0</v>
      </c>
      <c r="J77" t="n">
        <v>1</v>
      </c>
      <c r="K77" t="n">
        <v>0</v>
      </c>
      <c r="L77" t="n">
        <v>0</v>
      </c>
      <c r="M77" t="n">
        <v>0</v>
      </c>
      <c r="N77" t="n">
        <v>0</v>
      </c>
      <c r="O77" t="n">
        <v>1</v>
      </c>
      <c r="P77" t="n">
        <v>0</v>
      </c>
      <c r="Q77" t="n">
        <v>1</v>
      </c>
      <c r="R77" s="2" t="inlineStr">
        <is>
          <t>Svinrot</t>
        </is>
      </c>
      <c r="S77">
        <f>HYPERLINK("https://klasma.github.io/Logging_0580/artfynd/A 3397-2023 artfynd.xlsx", "A 3397-2023")</f>
        <v/>
      </c>
      <c r="T77">
        <f>HYPERLINK("https://klasma.github.io/Logging_0580/kartor/A 3397-2023 karta.png", "A 3397-2023")</f>
        <v/>
      </c>
      <c r="V77">
        <f>HYPERLINK("https://klasma.github.io/Logging_0580/klagomål/A 3397-2023 FSC-klagomål.docx", "A 3397-2023")</f>
        <v/>
      </c>
      <c r="W77">
        <f>HYPERLINK("https://klasma.github.io/Logging_0580/klagomålsmail/A 3397-2023 FSC-klagomål mail.docx", "A 3397-2023")</f>
        <v/>
      </c>
      <c r="X77">
        <f>HYPERLINK("https://klasma.github.io/Logging_0580/tillsyn/A 3397-2023 tillsynsbegäran.docx", "A 3397-2023")</f>
        <v/>
      </c>
      <c r="Y77">
        <f>HYPERLINK("https://klasma.github.io/Logging_0580/tillsynsmail/A 3397-2023 tillsynsbegäran mail.docx", "A 3397-2023")</f>
        <v/>
      </c>
    </row>
    <row r="78" ht="15" customHeight="1">
      <c r="A78" t="inlineStr">
        <is>
          <t>A 22040-2023</t>
        </is>
      </c>
      <c r="B78" s="1" t="n">
        <v>45068</v>
      </c>
      <c r="C78" s="1" t="n">
        <v>45895</v>
      </c>
      <c r="D78" t="inlineStr">
        <is>
          <t>ÖSTERGÖTLANDS LÄN</t>
        </is>
      </c>
      <c r="E78" t="inlineStr">
        <is>
          <t>LINKÖPING</t>
        </is>
      </c>
      <c r="F78" t="inlineStr">
        <is>
          <t>Kommuner</t>
        </is>
      </c>
      <c r="G78" t="n">
        <v>1</v>
      </c>
      <c r="H78" t="n">
        <v>1</v>
      </c>
      <c r="I78" t="n">
        <v>0</v>
      </c>
      <c r="J78" t="n">
        <v>0</v>
      </c>
      <c r="K78" t="n">
        <v>1</v>
      </c>
      <c r="L78" t="n">
        <v>0</v>
      </c>
      <c r="M78" t="n">
        <v>0</v>
      </c>
      <c r="N78" t="n">
        <v>0</v>
      </c>
      <c r="O78" t="n">
        <v>1</v>
      </c>
      <c r="P78" t="n">
        <v>1</v>
      </c>
      <c r="Q78" t="n">
        <v>1</v>
      </c>
      <c r="R78" s="2" t="inlineStr">
        <is>
          <t>Bombmurkla</t>
        </is>
      </c>
      <c r="S78">
        <f>HYPERLINK("https://klasma.github.io/Logging_0580/artfynd/A 22040-2023 artfynd.xlsx", "A 22040-2023")</f>
        <v/>
      </c>
      <c r="T78">
        <f>HYPERLINK("https://klasma.github.io/Logging_0580/kartor/A 22040-2023 karta.png", "A 22040-2023")</f>
        <v/>
      </c>
      <c r="V78">
        <f>HYPERLINK("https://klasma.github.io/Logging_0580/klagomål/A 22040-2023 FSC-klagomål.docx", "A 22040-2023")</f>
        <v/>
      </c>
      <c r="W78">
        <f>HYPERLINK("https://klasma.github.io/Logging_0580/klagomålsmail/A 22040-2023 FSC-klagomål mail.docx", "A 22040-2023")</f>
        <v/>
      </c>
      <c r="X78">
        <f>HYPERLINK("https://klasma.github.io/Logging_0580/tillsyn/A 22040-2023 tillsynsbegäran.docx", "A 22040-2023")</f>
        <v/>
      </c>
      <c r="Y78">
        <f>HYPERLINK("https://klasma.github.io/Logging_0580/tillsynsmail/A 22040-2023 tillsynsbegäran mail.docx", "A 22040-2023")</f>
        <v/>
      </c>
    </row>
    <row r="79" ht="15" customHeight="1">
      <c r="A79" t="inlineStr">
        <is>
          <t>A 43726-2020</t>
        </is>
      </c>
      <c r="B79" s="1" t="n">
        <v>44082</v>
      </c>
      <c r="C79" s="1" t="n">
        <v>45895</v>
      </c>
      <c r="D79" t="inlineStr">
        <is>
          <t>ÖSTERGÖTLANDS LÄN</t>
        </is>
      </c>
      <c r="E79" t="inlineStr">
        <is>
          <t>LINKÖPING</t>
        </is>
      </c>
      <c r="G79" t="n">
        <v>1.4</v>
      </c>
      <c r="H79" t="n">
        <v>0</v>
      </c>
      <c r="I79" t="n">
        <v>0</v>
      </c>
      <c r="J79" t="n">
        <v>0</v>
      </c>
      <c r="K79" t="n">
        <v>0</v>
      </c>
      <c r="L79" t="n">
        <v>0</v>
      </c>
      <c r="M79" t="n">
        <v>0</v>
      </c>
      <c r="N79" t="n">
        <v>0</v>
      </c>
      <c r="O79" t="n">
        <v>0</v>
      </c>
      <c r="P79" t="n">
        <v>0</v>
      </c>
      <c r="Q79" t="n">
        <v>0</v>
      </c>
      <c r="R79" s="2" t="inlineStr"/>
    </row>
    <row r="80" ht="15" customHeight="1">
      <c r="A80" t="inlineStr">
        <is>
          <t>A 38881-2021</t>
        </is>
      </c>
      <c r="B80" s="1" t="n">
        <v>44411.46893518518</v>
      </c>
      <c r="C80" s="1" t="n">
        <v>45895</v>
      </c>
      <c r="D80" t="inlineStr">
        <is>
          <t>ÖSTERGÖTLANDS LÄN</t>
        </is>
      </c>
      <c r="E80" t="inlineStr">
        <is>
          <t>LINKÖPING</t>
        </is>
      </c>
      <c r="G80" t="n">
        <v>2.2</v>
      </c>
      <c r="H80" t="n">
        <v>0</v>
      </c>
      <c r="I80" t="n">
        <v>0</v>
      </c>
      <c r="J80" t="n">
        <v>0</v>
      </c>
      <c r="K80" t="n">
        <v>0</v>
      </c>
      <c r="L80" t="n">
        <v>0</v>
      </c>
      <c r="M80" t="n">
        <v>0</v>
      </c>
      <c r="N80" t="n">
        <v>0</v>
      </c>
      <c r="O80" t="n">
        <v>0</v>
      </c>
      <c r="P80" t="n">
        <v>0</v>
      </c>
      <c r="Q80" t="n">
        <v>0</v>
      </c>
      <c r="R80" s="2" t="inlineStr"/>
    </row>
    <row r="81" ht="15" customHeight="1">
      <c r="A81" t="inlineStr">
        <is>
          <t>A 38887-2021</t>
        </is>
      </c>
      <c r="B81" s="1" t="n">
        <v>44411</v>
      </c>
      <c r="C81" s="1" t="n">
        <v>45895</v>
      </c>
      <c r="D81" t="inlineStr">
        <is>
          <t>ÖSTERGÖTLANDS LÄN</t>
        </is>
      </c>
      <c r="E81" t="inlineStr">
        <is>
          <t>LINKÖPING</t>
        </is>
      </c>
      <c r="G81" t="n">
        <v>1.6</v>
      </c>
      <c r="H81" t="n">
        <v>0</v>
      </c>
      <c r="I81" t="n">
        <v>0</v>
      </c>
      <c r="J81" t="n">
        <v>0</v>
      </c>
      <c r="K81" t="n">
        <v>0</v>
      </c>
      <c r="L81" t="n">
        <v>0</v>
      </c>
      <c r="M81" t="n">
        <v>0</v>
      </c>
      <c r="N81" t="n">
        <v>0</v>
      </c>
      <c r="O81" t="n">
        <v>0</v>
      </c>
      <c r="P81" t="n">
        <v>0</v>
      </c>
      <c r="Q81" t="n">
        <v>0</v>
      </c>
      <c r="R81" s="2" t="inlineStr"/>
    </row>
    <row r="82" ht="15" customHeight="1">
      <c r="A82" t="inlineStr">
        <is>
          <t>A 43339-2020</t>
        </is>
      </c>
      <c r="B82" s="1" t="n">
        <v>44077</v>
      </c>
      <c r="C82" s="1" t="n">
        <v>45895</v>
      </c>
      <c r="D82" t="inlineStr">
        <is>
          <t>ÖSTERGÖTLANDS LÄN</t>
        </is>
      </c>
      <c r="E82" t="inlineStr">
        <is>
          <t>LINKÖPING</t>
        </is>
      </c>
      <c r="G82" t="n">
        <v>4.2</v>
      </c>
      <c r="H82" t="n">
        <v>0</v>
      </c>
      <c r="I82" t="n">
        <v>0</v>
      </c>
      <c r="J82" t="n">
        <v>0</v>
      </c>
      <c r="K82" t="n">
        <v>0</v>
      </c>
      <c r="L82" t="n">
        <v>0</v>
      </c>
      <c r="M82" t="n">
        <v>0</v>
      </c>
      <c r="N82" t="n">
        <v>0</v>
      </c>
      <c r="O82" t="n">
        <v>0</v>
      </c>
      <c r="P82" t="n">
        <v>0</v>
      </c>
      <c r="Q82" t="n">
        <v>0</v>
      </c>
      <c r="R82" s="2" t="inlineStr"/>
    </row>
    <row r="83" ht="15" customHeight="1">
      <c r="A83" t="inlineStr">
        <is>
          <t>A 5008-2021</t>
        </is>
      </c>
      <c r="B83" s="1" t="n">
        <v>44228</v>
      </c>
      <c r="C83" s="1" t="n">
        <v>45895</v>
      </c>
      <c r="D83" t="inlineStr">
        <is>
          <t>ÖSTERGÖTLANDS LÄN</t>
        </is>
      </c>
      <c r="E83" t="inlineStr">
        <is>
          <t>LINKÖPING</t>
        </is>
      </c>
      <c r="F83" t="inlineStr">
        <is>
          <t>Övriga Aktiebolag</t>
        </is>
      </c>
      <c r="G83" t="n">
        <v>0.3</v>
      </c>
      <c r="H83" t="n">
        <v>0</v>
      </c>
      <c r="I83" t="n">
        <v>0</v>
      </c>
      <c r="J83" t="n">
        <v>0</v>
      </c>
      <c r="K83" t="n">
        <v>0</v>
      </c>
      <c r="L83" t="n">
        <v>0</v>
      </c>
      <c r="M83" t="n">
        <v>0</v>
      </c>
      <c r="N83" t="n">
        <v>0</v>
      </c>
      <c r="O83" t="n">
        <v>0</v>
      </c>
      <c r="P83" t="n">
        <v>0</v>
      </c>
      <c r="Q83" t="n">
        <v>0</v>
      </c>
      <c r="R83" s="2" t="inlineStr"/>
    </row>
    <row r="84" ht="15" customHeight="1">
      <c r="A84" t="inlineStr">
        <is>
          <t>A 56239-2021</t>
        </is>
      </c>
      <c r="B84" s="1" t="n">
        <v>44478</v>
      </c>
      <c r="C84" s="1" t="n">
        <v>45895</v>
      </c>
      <c r="D84" t="inlineStr">
        <is>
          <t>ÖSTERGÖTLANDS LÄN</t>
        </is>
      </c>
      <c r="E84" t="inlineStr">
        <is>
          <t>LINKÖPING</t>
        </is>
      </c>
      <c r="F84" t="inlineStr">
        <is>
          <t>Övriga Aktiebolag</t>
        </is>
      </c>
      <c r="G84" t="n">
        <v>3</v>
      </c>
      <c r="H84" t="n">
        <v>0</v>
      </c>
      <c r="I84" t="n">
        <v>0</v>
      </c>
      <c r="J84" t="n">
        <v>0</v>
      </c>
      <c r="K84" t="n">
        <v>0</v>
      </c>
      <c r="L84" t="n">
        <v>0</v>
      </c>
      <c r="M84" t="n">
        <v>0</v>
      </c>
      <c r="N84" t="n">
        <v>0</v>
      </c>
      <c r="O84" t="n">
        <v>0</v>
      </c>
      <c r="P84" t="n">
        <v>0</v>
      </c>
      <c r="Q84" t="n">
        <v>0</v>
      </c>
      <c r="R84" s="2" t="inlineStr"/>
    </row>
    <row r="85" ht="15" customHeight="1">
      <c r="A85" t="inlineStr">
        <is>
          <t>A 6958-2021</t>
        </is>
      </c>
      <c r="B85" s="1" t="n">
        <v>44237</v>
      </c>
      <c r="C85" s="1" t="n">
        <v>45895</v>
      </c>
      <c r="D85" t="inlineStr">
        <is>
          <t>ÖSTERGÖTLANDS LÄN</t>
        </is>
      </c>
      <c r="E85" t="inlineStr">
        <is>
          <t>LINKÖPING</t>
        </is>
      </c>
      <c r="G85" t="n">
        <v>0.6</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45895</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398-2021</t>
        </is>
      </c>
      <c r="B87" s="1" t="n">
        <v>44201</v>
      </c>
      <c r="C87" s="1" t="n">
        <v>45895</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67322-2021</t>
        </is>
      </c>
      <c r="B88" s="1" t="n">
        <v>44523</v>
      </c>
      <c r="C88" s="1" t="n">
        <v>45895</v>
      </c>
      <c r="D88" t="inlineStr">
        <is>
          <t>ÖSTERGÖTLANDS LÄN</t>
        </is>
      </c>
      <c r="E88" t="inlineStr">
        <is>
          <t>LINKÖPING</t>
        </is>
      </c>
      <c r="G88" t="n">
        <v>0.8</v>
      </c>
      <c r="H88" t="n">
        <v>0</v>
      </c>
      <c r="I88" t="n">
        <v>0</v>
      </c>
      <c r="J88" t="n">
        <v>0</v>
      </c>
      <c r="K88" t="n">
        <v>0</v>
      </c>
      <c r="L88" t="n">
        <v>0</v>
      </c>
      <c r="M88" t="n">
        <v>0</v>
      </c>
      <c r="N88" t="n">
        <v>0</v>
      </c>
      <c r="O88" t="n">
        <v>0</v>
      </c>
      <c r="P88" t="n">
        <v>0</v>
      </c>
      <c r="Q88" t="n">
        <v>0</v>
      </c>
      <c r="R88" s="2" t="inlineStr"/>
    </row>
    <row r="89" ht="15" customHeight="1">
      <c r="A89" t="inlineStr">
        <is>
          <t>A 42557-2020</t>
        </is>
      </c>
      <c r="B89" s="1" t="n">
        <v>44077</v>
      </c>
      <c r="C89" s="1" t="n">
        <v>45895</v>
      </c>
      <c r="D89" t="inlineStr">
        <is>
          <t>ÖSTERGÖTLANDS LÄN</t>
        </is>
      </c>
      <c r="E89" t="inlineStr">
        <is>
          <t>LINKÖPING</t>
        </is>
      </c>
      <c r="G89" t="n">
        <v>0.2</v>
      </c>
      <c r="H89" t="n">
        <v>0</v>
      </c>
      <c r="I89" t="n">
        <v>0</v>
      </c>
      <c r="J89" t="n">
        <v>0</v>
      </c>
      <c r="K89" t="n">
        <v>0</v>
      </c>
      <c r="L89" t="n">
        <v>0</v>
      </c>
      <c r="M89" t="n">
        <v>0</v>
      </c>
      <c r="N89" t="n">
        <v>0</v>
      </c>
      <c r="O89" t="n">
        <v>0</v>
      </c>
      <c r="P89" t="n">
        <v>0</v>
      </c>
      <c r="Q89" t="n">
        <v>0</v>
      </c>
      <c r="R89" s="2" t="inlineStr"/>
    </row>
    <row r="90" ht="15" customHeight="1">
      <c r="A90" t="inlineStr">
        <is>
          <t>A 7840-2022</t>
        </is>
      </c>
      <c r="B90" s="1" t="n">
        <v>44608</v>
      </c>
      <c r="C90" s="1" t="n">
        <v>45895</v>
      </c>
      <c r="D90" t="inlineStr">
        <is>
          <t>ÖSTERGÖTLANDS LÄN</t>
        </is>
      </c>
      <c r="E90" t="inlineStr">
        <is>
          <t>LINKÖPING</t>
        </is>
      </c>
      <c r="G90" t="n">
        <v>1</v>
      </c>
      <c r="H90" t="n">
        <v>0</v>
      </c>
      <c r="I90" t="n">
        <v>0</v>
      </c>
      <c r="J90" t="n">
        <v>0</v>
      </c>
      <c r="K90" t="n">
        <v>0</v>
      </c>
      <c r="L90" t="n">
        <v>0</v>
      </c>
      <c r="M90" t="n">
        <v>0</v>
      </c>
      <c r="N90" t="n">
        <v>0</v>
      </c>
      <c r="O90" t="n">
        <v>0</v>
      </c>
      <c r="P90" t="n">
        <v>0</v>
      </c>
      <c r="Q90" t="n">
        <v>0</v>
      </c>
      <c r="R90" s="2" t="inlineStr"/>
    </row>
    <row r="91" ht="15" customHeight="1">
      <c r="A91" t="inlineStr">
        <is>
          <t>A 40506-2021</t>
        </is>
      </c>
      <c r="B91" s="1" t="n">
        <v>44420</v>
      </c>
      <c r="C91" s="1" t="n">
        <v>45895</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64269-2021</t>
        </is>
      </c>
      <c r="B92" s="1" t="n">
        <v>44510</v>
      </c>
      <c r="C92" s="1" t="n">
        <v>45895</v>
      </c>
      <c r="D92" t="inlineStr">
        <is>
          <t>ÖSTERGÖTLANDS LÄN</t>
        </is>
      </c>
      <c r="E92" t="inlineStr">
        <is>
          <t>LINKÖPING</t>
        </is>
      </c>
      <c r="G92" t="n">
        <v>1.9</v>
      </c>
      <c r="H92" t="n">
        <v>0</v>
      </c>
      <c r="I92" t="n">
        <v>0</v>
      </c>
      <c r="J92" t="n">
        <v>0</v>
      </c>
      <c r="K92" t="n">
        <v>0</v>
      </c>
      <c r="L92" t="n">
        <v>0</v>
      </c>
      <c r="M92" t="n">
        <v>0</v>
      </c>
      <c r="N92" t="n">
        <v>0</v>
      </c>
      <c r="O92" t="n">
        <v>0</v>
      </c>
      <c r="P92" t="n">
        <v>0</v>
      </c>
      <c r="Q92" t="n">
        <v>0</v>
      </c>
      <c r="R92" s="2" t="inlineStr"/>
    </row>
    <row r="93" ht="15" customHeight="1">
      <c r="A93" t="inlineStr">
        <is>
          <t>A 58407-2021</t>
        </is>
      </c>
      <c r="B93" s="1" t="n">
        <v>44488</v>
      </c>
      <c r="C93" s="1" t="n">
        <v>45895</v>
      </c>
      <c r="D93" t="inlineStr">
        <is>
          <t>ÖSTERGÖTLANDS LÄN</t>
        </is>
      </c>
      <c r="E93" t="inlineStr">
        <is>
          <t>LINKÖPING</t>
        </is>
      </c>
      <c r="G93" t="n">
        <v>1.1</v>
      </c>
      <c r="H93" t="n">
        <v>0</v>
      </c>
      <c r="I93" t="n">
        <v>0</v>
      </c>
      <c r="J93" t="n">
        <v>0</v>
      </c>
      <c r="K93" t="n">
        <v>0</v>
      </c>
      <c r="L93" t="n">
        <v>0</v>
      </c>
      <c r="M93" t="n">
        <v>0</v>
      </c>
      <c r="N93" t="n">
        <v>0</v>
      </c>
      <c r="O93" t="n">
        <v>0</v>
      </c>
      <c r="P93" t="n">
        <v>0</v>
      </c>
      <c r="Q93" t="n">
        <v>0</v>
      </c>
      <c r="R93" s="2" t="inlineStr"/>
    </row>
    <row r="94" ht="15" customHeight="1">
      <c r="A94" t="inlineStr">
        <is>
          <t>A 30800-2022</t>
        </is>
      </c>
      <c r="B94" s="1" t="n">
        <v>44764.75119212963</v>
      </c>
      <c r="C94" s="1" t="n">
        <v>45895</v>
      </c>
      <c r="D94" t="inlineStr">
        <is>
          <t>ÖSTERGÖTLANDS LÄN</t>
        </is>
      </c>
      <c r="E94" t="inlineStr">
        <is>
          <t>LINKÖPING</t>
        </is>
      </c>
      <c r="G94" t="n">
        <v>0.9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45895</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45895</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47319-2020</t>
        </is>
      </c>
      <c r="B97" s="1" t="n">
        <v>44095</v>
      </c>
      <c r="C97" s="1" t="n">
        <v>45895</v>
      </c>
      <c r="D97" t="inlineStr">
        <is>
          <t>ÖSTERGÖTLANDS LÄN</t>
        </is>
      </c>
      <c r="E97" t="inlineStr">
        <is>
          <t>LINKÖPING</t>
        </is>
      </c>
      <c r="F97" t="inlineStr">
        <is>
          <t>Kommuner</t>
        </is>
      </c>
      <c r="G97" t="n">
        <v>1.3</v>
      </c>
      <c r="H97" t="n">
        <v>0</v>
      </c>
      <c r="I97" t="n">
        <v>0</v>
      </c>
      <c r="J97" t="n">
        <v>0</v>
      </c>
      <c r="K97" t="n">
        <v>0</v>
      </c>
      <c r="L97" t="n">
        <v>0</v>
      </c>
      <c r="M97" t="n">
        <v>0</v>
      </c>
      <c r="N97" t="n">
        <v>0</v>
      </c>
      <c r="O97" t="n">
        <v>0</v>
      </c>
      <c r="P97" t="n">
        <v>0</v>
      </c>
      <c r="Q97" t="n">
        <v>0</v>
      </c>
      <c r="R97" s="2" t="inlineStr"/>
    </row>
    <row r="98" ht="15" customHeight="1">
      <c r="A98" t="inlineStr">
        <is>
          <t>A 1581-2022</t>
        </is>
      </c>
      <c r="B98" s="1" t="n">
        <v>44573</v>
      </c>
      <c r="C98" s="1" t="n">
        <v>45895</v>
      </c>
      <c r="D98" t="inlineStr">
        <is>
          <t>ÖSTERGÖTLANDS LÄN</t>
        </is>
      </c>
      <c r="E98" t="inlineStr">
        <is>
          <t>LINKÖPING</t>
        </is>
      </c>
      <c r="G98" t="n">
        <v>1.3</v>
      </c>
      <c r="H98" t="n">
        <v>0</v>
      </c>
      <c r="I98" t="n">
        <v>0</v>
      </c>
      <c r="J98" t="n">
        <v>0</v>
      </c>
      <c r="K98" t="n">
        <v>0</v>
      </c>
      <c r="L98" t="n">
        <v>0</v>
      </c>
      <c r="M98" t="n">
        <v>0</v>
      </c>
      <c r="N98" t="n">
        <v>0</v>
      </c>
      <c r="O98" t="n">
        <v>0</v>
      </c>
      <c r="P98" t="n">
        <v>0</v>
      </c>
      <c r="Q98" t="n">
        <v>0</v>
      </c>
      <c r="R98" s="2" t="inlineStr"/>
    </row>
    <row r="99" ht="15" customHeight="1">
      <c r="A99" t="inlineStr">
        <is>
          <t>A 46234-2022</t>
        </is>
      </c>
      <c r="B99" s="1" t="n">
        <v>44846</v>
      </c>
      <c r="C99" s="1" t="n">
        <v>45895</v>
      </c>
      <c r="D99" t="inlineStr">
        <is>
          <t>ÖSTERGÖTLANDS LÄN</t>
        </is>
      </c>
      <c r="E99" t="inlineStr">
        <is>
          <t>LINKÖPING</t>
        </is>
      </c>
      <c r="G99" t="n">
        <v>3.3</v>
      </c>
      <c r="H99" t="n">
        <v>0</v>
      </c>
      <c r="I99" t="n">
        <v>0</v>
      </c>
      <c r="J99" t="n">
        <v>0</v>
      </c>
      <c r="K99" t="n">
        <v>0</v>
      </c>
      <c r="L99" t="n">
        <v>0</v>
      </c>
      <c r="M99" t="n">
        <v>0</v>
      </c>
      <c r="N99" t="n">
        <v>0</v>
      </c>
      <c r="O99" t="n">
        <v>0</v>
      </c>
      <c r="P99" t="n">
        <v>0</v>
      </c>
      <c r="Q99" t="n">
        <v>0</v>
      </c>
      <c r="R99" s="2" t="inlineStr"/>
    </row>
    <row r="100" ht="15" customHeight="1">
      <c r="A100" t="inlineStr">
        <is>
          <t>A 38961-2021</t>
        </is>
      </c>
      <c r="B100" s="1" t="n">
        <v>44411</v>
      </c>
      <c r="C100" s="1" t="n">
        <v>45895</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45895</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45895</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16715-2021</t>
        </is>
      </c>
      <c r="B103" s="1" t="n">
        <v>44294</v>
      </c>
      <c r="C103" s="1" t="n">
        <v>45895</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32433-2022</t>
        </is>
      </c>
      <c r="B104" s="1" t="n">
        <v>44782.48431712963</v>
      </c>
      <c r="C104" s="1" t="n">
        <v>45895</v>
      </c>
      <c r="D104" t="inlineStr">
        <is>
          <t>ÖSTERGÖTLANDS LÄN</t>
        </is>
      </c>
      <c r="E104" t="inlineStr">
        <is>
          <t>LINKÖPING</t>
        </is>
      </c>
      <c r="G104" t="n">
        <v>11.3</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45895</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38143-2021</t>
        </is>
      </c>
      <c r="B106" s="1" t="n">
        <v>44405</v>
      </c>
      <c r="C106" s="1" t="n">
        <v>45895</v>
      </c>
      <c r="D106" t="inlineStr">
        <is>
          <t>ÖSTERGÖTLANDS LÄN</t>
        </is>
      </c>
      <c r="E106" t="inlineStr">
        <is>
          <t>LINKÖPING</t>
        </is>
      </c>
      <c r="G106" t="n">
        <v>4.1</v>
      </c>
      <c r="H106" t="n">
        <v>0</v>
      </c>
      <c r="I106" t="n">
        <v>0</v>
      </c>
      <c r="J106" t="n">
        <v>0</v>
      </c>
      <c r="K106" t="n">
        <v>0</v>
      </c>
      <c r="L106" t="n">
        <v>0</v>
      </c>
      <c r="M106" t="n">
        <v>0</v>
      </c>
      <c r="N106" t="n">
        <v>0</v>
      </c>
      <c r="O106" t="n">
        <v>0</v>
      </c>
      <c r="P106" t="n">
        <v>0</v>
      </c>
      <c r="Q106" t="n">
        <v>0</v>
      </c>
      <c r="R106" s="2" t="inlineStr"/>
    </row>
    <row r="107" ht="15" customHeight="1">
      <c r="A107" t="inlineStr">
        <is>
          <t>A 38254-2021</t>
        </is>
      </c>
      <c r="B107" s="1" t="n">
        <v>44405</v>
      </c>
      <c r="C107" s="1" t="n">
        <v>45895</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261-2021</t>
        </is>
      </c>
      <c r="B108" s="1" t="n">
        <v>44200</v>
      </c>
      <c r="C108" s="1" t="n">
        <v>45895</v>
      </c>
      <c r="D108" t="inlineStr">
        <is>
          <t>ÖSTERGÖTLANDS LÄN</t>
        </is>
      </c>
      <c r="E108" t="inlineStr">
        <is>
          <t>LINKÖPING</t>
        </is>
      </c>
      <c r="G108" t="n">
        <v>3.1</v>
      </c>
      <c r="H108" t="n">
        <v>0</v>
      </c>
      <c r="I108" t="n">
        <v>0</v>
      </c>
      <c r="J108" t="n">
        <v>0</v>
      </c>
      <c r="K108" t="n">
        <v>0</v>
      </c>
      <c r="L108" t="n">
        <v>0</v>
      </c>
      <c r="M108" t="n">
        <v>0</v>
      </c>
      <c r="N108" t="n">
        <v>0</v>
      </c>
      <c r="O108" t="n">
        <v>0</v>
      </c>
      <c r="P108" t="n">
        <v>0</v>
      </c>
      <c r="Q108" t="n">
        <v>0</v>
      </c>
      <c r="R108" s="2" t="inlineStr"/>
    </row>
    <row r="109" ht="15" customHeight="1">
      <c r="A109" t="inlineStr">
        <is>
          <t>A 31703-2022</t>
        </is>
      </c>
      <c r="B109" s="1" t="n">
        <v>44776</v>
      </c>
      <c r="C109" s="1" t="n">
        <v>45895</v>
      </c>
      <c r="D109" t="inlineStr">
        <is>
          <t>ÖSTERGÖTLANDS LÄN</t>
        </is>
      </c>
      <c r="E109" t="inlineStr">
        <is>
          <t>LINKÖPING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67120-2020</t>
        </is>
      </c>
      <c r="B110" s="1" t="n">
        <v>44180</v>
      </c>
      <c r="C110" s="1" t="n">
        <v>45895</v>
      </c>
      <c r="D110" t="inlineStr">
        <is>
          <t>ÖSTERGÖTLANDS LÄN</t>
        </is>
      </c>
      <c r="E110" t="inlineStr">
        <is>
          <t>LINKÖPING</t>
        </is>
      </c>
      <c r="F110" t="inlineStr">
        <is>
          <t>Övriga statliga verk och myndigheter</t>
        </is>
      </c>
      <c r="G110" t="n">
        <v>1.4</v>
      </c>
      <c r="H110" t="n">
        <v>0</v>
      </c>
      <c r="I110" t="n">
        <v>0</v>
      </c>
      <c r="J110" t="n">
        <v>0</v>
      </c>
      <c r="K110" t="n">
        <v>0</v>
      </c>
      <c r="L110" t="n">
        <v>0</v>
      </c>
      <c r="M110" t="n">
        <v>0</v>
      </c>
      <c r="N110" t="n">
        <v>0</v>
      </c>
      <c r="O110" t="n">
        <v>0</v>
      </c>
      <c r="P110" t="n">
        <v>0</v>
      </c>
      <c r="Q110" t="n">
        <v>0</v>
      </c>
      <c r="R110" s="2" t="inlineStr"/>
    </row>
    <row r="111" ht="15" customHeight="1">
      <c r="A111" t="inlineStr">
        <is>
          <t>A 53146-2021</t>
        </is>
      </c>
      <c r="B111" s="1" t="n">
        <v>44466</v>
      </c>
      <c r="C111" s="1" t="n">
        <v>45895</v>
      </c>
      <c r="D111" t="inlineStr">
        <is>
          <t>ÖSTERGÖTLANDS LÄN</t>
        </is>
      </c>
      <c r="E111" t="inlineStr">
        <is>
          <t>LINKÖPING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45895</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3679-2021</t>
        </is>
      </c>
      <c r="B113" s="1" t="n">
        <v>44221</v>
      </c>
      <c r="C113" s="1" t="n">
        <v>45895</v>
      </c>
      <c r="D113" t="inlineStr">
        <is>
          <t>ÖSTERGÖTLANDS LÄN</t>
        </is>
      </c>
      <c r="E113" t="inlineStr">
        <is>
          <t>LINKÖPING</t>
        </is>
      </c>
      <c r="F113" t="inlineStr">
        <is>
          <t>Övriga Aktiebolag</t>
        </is>
      </c>
      <c r="G113" t="n">
        <v>1</v>
      </c>
      <c r="H113" t="n">
        <v>0</v>
      </c>
      <c r="I113" t="n">
        <v>0</v>
      </c>
      <c r="J113" t="n">
        <v>0</v>
      </c>
      <c r="K113" t="n">
        <v>0</v>
      </c>
      <c r="L113" t="n">
        <v>0</v>
      </c>
      <c r="M113" t="n">
        <v>0</v>
      </c>
      <c r="N113" t="n">
        <v>0</v>
      </c>
      <c r="O113" t="n">
        <v>0</v>
      </c>
      <c r="P113" t="n">
        <v>0</v>
      </c>
      <c r="Q113" t="n">
        <v>0</v>
      </c>
      <c r="R113" s="2" t="inlineStr"/>
    </row>
    <row r="114" ht="15" customHeight="1">
      <c r="A114" t="inlineStr">
        <is>
          <t>A 44674-2020</t>
        </is>
      </c>
      <c r="B114" s="1" t="n">
        <v>44085</v>
      </c>
      <c r="C114" s="1" t="n">
        <v>45895</v>
      </c>
      <c r="D114" t="inlineStr">
        <is>
          <t>ÖSTERGÖTLANDS LÄN</t>
        </is>
      </c>
      <c r="E114" t="inlineStr">
        <is>
          <t>LINKÖPING</t>
        </is>
      </c>
      <c r="G114" t="n">
        <v>3.6</v>
      </c>
      <c r="H114" t="n">
        <v>0</v>
      </c>
      <c r="I114" t="n">
        <v>0</v>
      </c>
      <c r="J114" t="n">
        <v>0</v>
      </c>
      <c r="K114" t="n">
        <v>0</v>
      </c>
      <c r="L114" t="n">
        <v>0</v>
      </c>
      <c r="M114" t="n">
        <v>0</v>
      </c>
      <c r="N114" t="n">
        <v>0</v>
      </c>
      <c r="O114" t="n">
        <v>0</v>
      </c>
      <c r="P114" t="n">
        <v>0</v>
      </c>
      <c r="Q114" t="n">
        <v>0</v>
      </c>
      <c r="R114" s="2" t="inlineStr"/>
    </row>
    <row r="115" ht="15" customHeight="1">
      <c r="A115" t="inlineStr">
        <is>
          <t>A 40437-2021</t>
        </is>
      </c>
      <c r="B115" s="1" t="n">
        <v>44419</v>
      </c>
      <c r="C115" s="1" t="n">
        <v>45895</v>
      </c>
      <c r="D115" t="inlineStr">
        <is>
          <t>ÖSTERGÖTLANDS LÄN</t>
        </is>
      </c>
      <c r="E115" t="inlineStr">
        <is>
          <t>LINKÖPING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17497-2022</t>
        </is>
      </c>
      <c r="B116" s="1" t="n">
        <v>44679</v>
      </c>
      <c r="C116" s="1" t="n">
        <v>45895</v>
      </c>
      <c r="D116" t="inlineStr">
        <is>
          <t>ÖSTERGÖTLANDS LÄN</t>
        </is>
      </c>
      <c r="E116" t="inlineStr">
        <is>
          <t>LINKÖPING</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17500-2022</t>
        </is>
      </c>
      <c r="B117" s="1" t="n">
        <v>44679</v>
      </c>
      <c r="C117" s="1" t="n">
        <v>45895</v>
      </c>
      <c r="D117" t="inlineStr">
        <is>
          <t>ÖSTERGÖTLANDS LÄN</t>
        </is>
      </c>
      <c r="E117" t="inlineStr">
        <is>
          <t>LINKÖPING</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32000-2022</t>
        </is>
      </c>
      <c r="B118" s="1" t="n">
        <v>44777</v>
      </c>
      <c r="C118" s="1" t="n">
        <v>45895</v>
      </c>
      <c r="D118" t="inlineStr">
        <is>
          <t>ÖSTERGÖTLANDS LÄN</t>
        </is>
      </c>
      <c r="E118" t="inlineStr">
        <is>
          <t>LINKÖPING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50971-2020</t>
        </is>
      </c>
      <c r="B119" s="1" t="n">
        <v>44111</v>
      </c>
      <c r="C119" s="1" t="n">
        <v>45895</v>
      </c>
      <c r="D119" t="inlineStr">
        <is>
          <t>ÖSTERGÖTLANDS LÄN</t>
        </is>
      </c>
      <c r="E119" t="inlineStr">
        <is>
          <t>LINKÖPING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33876-2021</t>
        </is>
      </c>
      <c r="B120" s="1" t="n">
        <v>44378</v>
      </c>
      <c r="C120" s="1" t="n">
        <v>45895</v>
      </c>
      <c r="D120" t="inlineStr">
        <is>
          <t>ÖSTERGÖTLANDS LÄN</t>
        </is>
      </c>
      <c r="E120" t="inlineStr">
        <is>
          <t>LINKÖPING</t>
        </is>
      </c>
      <c r="G120" t="n">
        <v>6.3</v>
      </c>
      <c r="H120" t="n">
        <v>0</v>
      </c>
      <c r="I120" t="n">
        <v>0</v>
      </c>
      <c r="J120" t="n">
        <v>0</v>
      </c>
      <c r="K120" t="n">
        <v>0</v>
      </c>
      <c r="L120" t="n">
        <v>0</v>
      </c>
      <c r="M120" t="n">
        <v>0</v>
      </c>
      <c r="N120" t="n">
        <v>0</v>
      </c>
      <c r="O120" t="n">
        <v>0</v>
      </c>
      <c r="P120" t="n">
        <v>0</v>
      </c>
      <c r="Q120" t="n">
        <v>0</v>
      </c>
      <c r="R120" s="2" t="inlineStr"/>
    </row>
    <row r="121" ht="15" customHeight="1">
      <c r="A121" t="inlineStr">
        <is>
          <t>A 10123-2021</t>
        </is>
      </c>
      <c r="B121" s="1" t="n">
        <v>44256</v>
      </c>
      <c r="C121" s="1" t="n">
        <v>45895</v>
      </c>
      <c r="D121" t="inlineStr">
        <is>
          <t>ÖSTERGÖTLANDS LÄN</t>
        </is>
      </c>
      <c r="E121" t="inlineStr">
        <is>
          <t>LINKÖPING</t>
        </is>
      </c>
      <c r="F121" t="inlineStr">
        <is>
          <t>Allmännings- och besparingsskogar</t>
        </is>
      </c>
      <c r="G121" t="n">
        <v>1.7</v>
      </c>
      <c r="H121" t="n">
        <v>0</v>
      </c>
      <c r="I121" t="n">
        <v>0</v>
      </c>
      <c r="J121" t="n">
        <v>0</v>
      </c>
      <c r="K121" t="n">
        <v>0</v>
      </c>
      <c r="L121" t="n">
        <v>0</v>
      </c>
      <c r="M121" t="n">
        <v>0</v>
      </c>
      <c r="N121" t="n">
        <v>0</v>
      </c>
      <c r="O121" t="n">
        <v>0</v>
      </c>
      <c r="P121" t="n">
        <v>0</v>
      </c>
      <c r="Q121" t="n">
        <v>0</v>
      </c>
      <c r="R121" s="2" t="inlineStr"/>
    </row>
    <row r="122" ht="15" customHeight="1">
      <c r="A122" t="inlineStr">
        <is>
          <t>A 3862-2021</t>
        </is>
      </c>
      <c r="B122" s="1" t="n">
        <v>44221</v>
      </c>
      <c r="C122" s="1" t="n">
        <v>45895</v>
      </c>
      <c r="D122" t="inlineStr">
        <is>
          <t>ÖSTERGÖTLANDS LÄN</t>
        </is>
      </c>
      <c r="E122" t="inlineStr">
        <is>
          <t>LINKÖPING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3961-2021</t>
        </is>
      </c>
      <c r="B123" s="1" t="n">
        <v>44222</v>
      </c>
      <c r="C123" s="1" t="n">
        <v>45895</v>
      </c>
      <c r="D123" t="inlineStr">
        <is>
          <t>ÖSTERGÖTLANDS LÄN</t>
        </is>
      </c>
      <c r="E123" t="inlineStr">
        <is>
          <t>LINKÖPING</t>
        </is>
      </c>
      <c r="G123" t="n">
        <v>3.9</v>
      </c>
      <c r="H123" t="n">
        <v>0</v>
      </c>
      <c r="I123" t="n">
        <v>0</v>
      </c>
      <c r="J123" t="n">
        <v>0</v>
      </c>
      <c r="K123" t="n">
        <v>0</v>
      </c>
      <c r="L123" t="n">
        <v>0</v>
      </c>
      <c r="M123" t="n">
        <v>0</v>
      </c>
      <c r="N123" t="n">
        <v>0</v>
      </c>
      <c r="O123" t="n">
        <v>0</v>
      </c>
      <c r="P123" t="n">
        <v>0</v>
      </c>
      <c r="Q123" t="n">
        <v>0</v>
      </c>
      <c r="R123" s="2" t="inlineStr"/>
    </row>
    <row r="124" ht="15" customHeight="1">
      <c r="A124" t="inlineStr">
        <is>
          <t>A 49791-2021</t>
        </is>
      </c>
      <c r="B124" s="1" t="n">
        <v>44455.59368055555</v>
      </c>
      <c r="C124" s="1" t="n">
        <v>45895</v>
      </c>
      <c r="D124" t="inlineStr">
        <is>
          <t>ÖSTERGÖTLANDS LÄN</t>
        </is>
      </c>
      <c r="E124" t="inlineStr">
        <is>
          <t>LINKÖPING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45895</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45895</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45895</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45895</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45895</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45895</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45895</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45895</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45895</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4382-2021</t>
        </is>
      </c>
      <c r="B134" s="1" t="n">
        <v>44223</v>
      </c>
      <c r="C134" s="1" t="n">
        <v>45895</v>
      </c>
      <c r="D134" t="inlineStr">
        <is>
          <t>ÖSTERGÖTLANDS LÄN</t>
        </is>
      </c>
      <c r="E134" t="inlineStr">
        <is>
          <t>LINKÖPING</t>
        </is>
      </c>
      <c r="G134" t="n">
        <v>4.2</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45895</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58287-2021</t>
        </is>
      </c>
      <c r="B136" s="1" t="n">
        <v>44487</v>
      </c>
      <c r="C136" s="1" t="n">
        <v>45895</v>
      </c>
      <c r="D136" t="inlineStr">
        <is>
          <t>ÖSTERGÖTLANDS LÄN</t>
        </is>
      </c>
      <c r="E136" t="inlineStr">
        <is>
          <t>LINKÖPING</t>
        </is>
      </c>
      <c r="F136" t="inlineStr">
        <is>
          <t>Övriga Aktiebolag</t>
        </is>
      </c>
      <c r="G136" t="n">
        <v>1.5</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45895</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45895</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45895</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45895</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384-2021</t>
        </is>
      </c>
      <c r="B141" s="1" t="n">
        <v>44201.57689814815</v>
      </c>
      <c r="C141" s="1" t="n">
        <v>45895</v>
      </c>
      <c r="D141" t="inlineStr">
        <is>
          <t>ÖSTERGÖTLANDS LÄN</t>
        </is>
      </c>
      <c r="E141" t="inlineStr">
        <is>
          <t>LINKÖPING</t>
        </is>
      </c>
      <c r="G141" t="n">
        <v>0.2</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45895</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45895</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45895</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45895</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45895</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45895</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45895</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54854-2022</t>
        </is>
      </c>
      <c r="B149" s="1" t="n">
        <v>44884</v>
      </c>
      <c r="C149" s="1" t="n">
        <v>45895</v>
      </c>
      <c r="D149" t="inlineStr">
        <is>
          <t>ÖSTERGÖTLANDS LÄN</t>
        </is>
      </c>
      <c r="E149" t="inlineStr">
        <is>
          <t>LINKÖPING</t>
        </is>
      </c>
      <c r="G149" t="n">
        <v>1.8</v>
      </c>
      <c r="H149" t="n">
        <v>0</v>
      </c>
      <c r="I149" t="n">
        <v>0</v>
      </c>
      <c r="J149" t="n">
        <v>0</v>
      </c>
      <c r="K149" t="n">
        <v>0</v>
      </c>
      <c r="L149" t="n">
        <v>0</v>
      </c>
      <c r="M149" t="n">
        <v>0</v>
      </c>
      <c r="N149" t="n">
        <v>0</v>
      </c>
      <c r="O149" t="n">
        <v>0</v>
      </c>
      <c r="P149" t="n">
        <v>0</v>
      </c>
      <c r="Q149" t="n">
        <v>0</v>
      </c>
      <c r="R149" s="2" t="inlineStr"/>
    </row>
    <row r="150" ht="15" customHeight="1">
      <c r="A150" t="inlineStr">
        <is>
          <t>A 54855-2022</t>
        </is>
      </c>
      <c r="B150" s="1" t="n">
        <v>44884.59502314815</v>
      </c>
      <c r="C150" s="1" t="n">
        <v>45895</v>
      </c>
      <c r="D150" t="inlineStr">
        <is>
          <t>ÖSTERGÖTLANDS LÄN</t>
        </is>
      </c>
      <c r="E150" t="inlineStr">
        <is>
          <t>LINKÖPING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33891-2021</t>
        </is>
      </c>
      <c r="B151" s="1" t="n">
        <v>44378</v>
      </c>
      <c r="C151" s="1" t="n">
        <v>45895</v>
      </c>
      <c r="D151" t="inlineStr">
        <is>
          <t>ÖSTERGÖTLANDS LÄN</t>
        </is>
      </c>
      <c r="E151" t="inlineStr">
        <is>
          <t>LINKÖPING</t>
        </is>
      </c>
      <c r="G151" t="n">
        <v>5.1</v>
      </c>
      <c r="H151" t="n">
        <v>0</v>
      </c>
      <c r="I151" t="n">
        <v>0</v>
      </c>
      <c r="J151" t="n">
        <v>0</v>
      </c>
      <c r="K151" t="n">
        <v>0</v>
      </c>
      <c r="L151" t="n">
        <v>0</v>
      </c>
      <c r="M151" t="n">
        <v>0</v>
      </c>
      <c r="N151" t="n">
        <v>0</v>
      </c>
      <c r="O151" t="n">
        <v>0</v>
      </c>
      <c r="P151" t="n">
        <v>0</v>
      </c>
      <c r="Q151" t="n">
        <v>0</v>
      </c>
      <c r="R151" s="2" t="inlineStr"/>
    </row>
    <row r="152" ht="15" customHeight="1">
      <c r="A152" t="inlineStr">
        <is>
          <t>A 46969-2020</t>
        </is>
      </c>
      <c r="B152" s="1" t="n">
        <v>44090</v>
      </c>
      <c r="C152" s="1" t="n">
        <v>45895</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46975-2020</t>
        </is>
      </c>
      <c r="B153" s="1" t="n">
        <v>44090</v>
      </c>
      <c r="C153" s="1" t="n">
        <v>45895</v>
      </c>
      <c r="D153" t="inlineStr">
        <is>
          <t>ÖSTERGÖTLANDS LÄN</t>
        </is>
      </c>
      <c r="E153" t="inlineStr">
        <is>
          <t>LINKÖPING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19254-2021</t>
        </is>
      </c>
      <c r="B154" s="1" t="n">
        <v>44309.38962962963</v>
      </c>
      <c r="C154" s="1" t="n">
        <v>45895</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11079-2022</t>
        </is>
      </c>
      <c r="B155" s="1" t="n">
        <v>44628</v>
      </c>
      <c r="C155" s="1" t="n">
        <v>45895</v>
      </c>
      <c r="D155" t="inlineStr">
        <is>
          <t>ÖSTERGÖTLANDS LÄN</t>
        </is>
      </c>
      <c r="E155" t="inlineStr">
        <is>
          <t>LINKÖPING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58266-2021</t>
        </is>
      </c>
      <c r="B156" s="1" t="n">
        <v>44487</v>
      </c>
      <c r="C156" s="1" t="n">
        <v>45895</v>
      </c>
      <c r="D156" t="inlineStr">
        <is>
          <t>ÖSTERGÖTLANDS LÄN</t>
        </is>
      </c>
      <c r="E156" t="inlineStr">
        <is>
          <t>LINKÖPING</t>
        </is>
      </c>
      <c r="F156" t="inlineStr">
        <is>
          <t>Övriga Aktiebolag</t>
        </is>
      </c>
      <c r="G156" t="n">
        <v>3.2</v>
      </c>
      <c r="H156" t="n">
        <v>0</v>
      </c>
      <c r="I156" t="n">
        <v>0</v>
      </c>
      <c r="J156" t="n">
        <v>0</v>
      </c>
      <c r="K156" t="n">
        <v>0</v>
      </c>
      <c r="L156" t="n">
        <v>0</v>
      </c>
      <c r="M156" t="n">
        <v>0</v>
      </c>
      <c r="N156" t="n">
        <v>0</v>
      </c>
      <c r="O156" t="n">
        <v>0</v>
      </c>
      <c r="P156" t="n">
        <v>0</v>
      </c>
      <c r="Q156" t="n">
        <v>0</v>
      </c>
      <c r="R156" s="2" t="inlineStr"/>
    </row>
    <row r="157" ht="15" customHeight="1">
      <c r="A157" t="inlineStr">
        <is>
          <t>A 60129-2020</t>
        </is>
      </c>
      <c r="B157" s="1" t="n">
        <v>44152</v>
      </c>
      <c r="C157" s="1" t="n">
        <v>45895</v>
      </c>
      <c r="D157" t="inlineStr">
        <is>
          <t>ÖSTERGÖTLANDS LÄN</t>
        </is>
      </c>
      <c r="E157" t="inlineStr">
        <is>
          <t>LINKÖPING</t>
        </is>
      </c>
      <c r="F157" t="inlineStr">
        <is>
          <t>Övriga statliga verk och myndigheter</t>
        </is>
      </c>
      <c r="G157" t="n">
        <v>2.5</v>
      </c>
      <c r="H157" t="n">
        <v>0</v>
      </c>
      <c r="I157" t="n">
        <v>0</v>
      </c>
      <c r="J157" t="n">
        <v>0</v>
      </c>
      <c r="K157" t="n">
        <v>0</v>
      </c>
      <c r="L157" t="n">
        <v>0</v>
      </c>
      <c r="M157" t="n">
        <v>0</v>
      </c>
      <c r="N157" t="n">
        <v>0</v>
      </c>
      <c r="O157" t="n">
        <v>0</v>
      </c>
      <c r="P157" t="n">
        <v>0</v>
      </c>
      <c r="Q157" t="n">
        <v>0</v>
      </c>
      <c r="R157" s="2" t="inlineStr"/>
    </row>
    <row r="158" ht="15" customHeight="1">
      <c r="A158" t="inlineStr">
        <is>
          <t>A 20901-2021</t>
        </is>
      </c>
      <c r="B158" s="1" t="n">
        <v>44319</v>
      </c>
      <c r="C158" s="1" t="n">
        <v>45895</v>
      </c>
      <c r="D158" t="inlineStr">
        <is>
          <t>ÖSTERGÖTLANDS LÄN</t>
        </is>
      </c>
      <c r="E158" t="inlineStr">
        <is>
          <t>LINKÖPING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28447-2021</t>
        </is>
      </c>
      <c r="B159" s="1" t="n">
        <v>44356</v>
      </c>
      <c r="C159" s="1" t="n">
        <v>45895</v>
      </c>
      <c r="D159" t="inlineStr">
        <is>
          <t>ÖSTERGÖTLANDS LÄN</t>
        </is>
      </c>
      <c r="E159" t="inlineStr">
        <is>
          <t>LINKÖPING</t>
        </is>
      </c>
      <c r="G159" t="n">
        <v>2</v>
      </c>
      <c r="H159" t="n">
        <v>0</v>
      </c>
      <c r="I159" t="n">
        <v>0</v>
      </c>
      <c r="J159" t="n">
        <v>0</v>
      </c>
      <c r="K159" t="n">
        <v>0</v>
      </c>
      <c r="L159" t="n">
        <v>0</v>
      </c>
      <c r="M159" t="n">
        <v>0</v>
      </c>
      <c r="N159" t="n">
        <v>0</v>
      </c>
      <c r="O159" t="n">
        <v>0</v>
      </c>
      <c r="P159" t="n">
        <v>0</v>
      </c>
      <c r="Q159" t="n">
        <v>0</v>
      </c>
      <c r="R159" s="2" t="inlineStr"/>
    </row>
    <row r="160" ht="15" customHeight="1">
      <c r="A160" t="inlineStr">
        <is>
          <t>A 4377-2021</t>
        </is>
      </c>
      <c r="B160" s="1" t="n">
        <v>44223</v>
      </c>
      <c r="C160" s="1" t="n">
        <v>45895</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61302-2021</t>
        </is>
      </c>
      <c r="B161" s="1" t="n">
        <v>44498.63189814815</v>
      </c>
      <c r="C161" s="1" t="n">
        <v>45895</v>
      </c>
      <c r="D161" t="inlineStr">
        <is>
          <t>ÖSTERGÖTLANDS LÄN</t>
        </is>
      </c>
      <c r="E161" t="inlineStr">
        <is>
          <t>LINKÖPING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9935-2021</t>
        </is>
      </c>
      <c r="B162" s="1" t="n">
        <v>44253</v>
      </c>
      <c r="C162" s="1" t="n">
        <v>45895</v>
      </c>
      <c r="D162" t="inlineStr">
        <is>
          <t>ÖSTERGÖTLANDS LÄN</t>
        </is>
      </c>
      <c r="E162" t="inlineStr">
        <is>
          <t>LINKÖPING</t>
        </is>
      </c>
      <c r="G162" t="n">
        <v>4.5</v>
      </c>
      <c r="H162" t="n">
        <v>0</v>
      </c>
      <c r="I162" t="n">
        <v>0</v>
      </c>
      <c r="J162" t="n">
        <v>0</v>
      </c>
      <c r="K162" t="n">
        <v>0</v>
      </c>
      <c r="L162" t="n">
        <v>0</v>
      </c>
      <c r="M162" t="n">
        <v>0</v>
      </c>
      <c r="N162" t="n">
        <v>0</v>
      </c>
      <c r="O162" t="n">
        <v>0</v>
      </c>
      <c r="P162" t="n">
        <v>0</v>
      </c>
      <c r="Q162" t="n">
        <v>0</v>
      </c>
      <c r="R162" s="2" t="inlineStr"/>
    </row>
    <row r="163" ht="15" customHeight="1">
      <c r="A163" t="inlineStr">
        <is>
          <t>A 31705-2022</t>
        </is>
      </c>
      <c r="B163" s="1" t="n">
        <v>44776.43607638889</v>
      </c>
      <c r="C163" s="1" t="n">
        <v>45895</v>
      </c>
      <c r="D163" t="inlineStr">
        <is>
          <t>ÖSTERGÖTLANDS LÄN</t>
        </is>
      </c>
      <c r="E163" t="inlineStr">
        <is>
          <t>LINKÖPING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61153-2021</t>
        </is>
      </c>
      <c r="B164" s="1" t="n">
        <v>44497</v>
      </c>
      <c r="C164" s="1" t="n">
        <v>45895</v>
      </c>
      <c r="D164" t="inlineStr">
        <is>
          <t>ÖSTERGÖTLANDS LÄN</t>
        </is>
      </c>
      <c r="E164" t="inlineStr">
        <is>
          <t>LINKÖPING</t>
        </is>
      </c>
      <c r="G164" t="n">
        <v>1.7</v>
      </c>
      <c r="H164" t="n">
        <v>0</v>
      </c>
      <c r="I164" t="n">
        <v>0</v>
      </c>
      <c r="J164" t="n">
        <v>0</v>
      </c>
      <c r="K164" t="n">
        <v>0</v>
      </c>
      <c r="L164" t="n">
        <v>0</v>
      </c>
      <c r="M164" t="n">
        <v>0</v>
      </c>
      <c r="N164" t="n">
        <v>0</v>
      </c>
      <c r="O164" t="n">
        <v>0</v>
      </c>
      <c r="P164" t="n">
        <v>0</v>
      </c>
      <c r="Q164" t="n">
        <v>0</v>
      </c>
      <c r="R164" s="2" t="inlineStr"/>
    </row>
    <row r="165" ht="15" customHeight="1">
      <c r="A165" t="inlineStr">
        <is>
          <t>A 65398-2021</t>
        </is>
      </c>
      <c r="B165" s="1" t="n">
        <v>44515</v>
      </c>
      <c r="C165" s="1" t="n">
        <v>45895</v>
      </c>
      <c r="D165" t="inlineStr">
        <is>
          <t>ÖSTERGÖTLANDS LÄN</t>
        </is>
      </c>
      <c r="E165" t="inlineStr">
        <is>
          <t>LINKÖPING</t>
        </is>
      </c>
      <c r="F165" t="inlineStr">
        <is>
          <t>Övriga statliga verk och myndigheter</t>
        </is>
      </c>
      <c r="G165" t="n">
        <v>2.4</v>
      </c>
      <c r="H165" t="n">
        <v>0</v>
      </c>
      <c r="I165" t="n">
        <v>0</v>
      </c>
      <c r="J165" t="n">
        <v>0</v>
      </c>
      <c r="K165" t="n">
        <v>0</v>
      </c>
      <c r="L165" t="n">
        <v>0</v>
      </c>
      <c r="M165" t="n">
        <v>0</v>
      </c>
      <c r="N165" t="n">
        <v>0</v>
      </c>
      <c r="O165" t="n">
        <v>0</v>
      </c>
      <c r="P165" t="n">
        <v>0</v>
      </c>
      <c r="Q165" t="n">
        <v>0</v>
      </c>
      <c r="R165" s="2" t="inlineStr"/>
    </row>
    <row r="166" ht="15" customHeight="1">
      <c r="A166" t="inlineStr">
        <is>
          <t>A 33885-2021</t>
        </is>
      </c>
      <c r="B166" s="1" t="n">
        <v>44378</v>
      </c>
      <c r="C166" s="1" t="n">
        <v>45895</v>
      </c>
      <c r="D166" t="inlineStr">
        <is>
          <t>ÖSTERGÖTLANDS LÄN</t>
        </is>
      </c>
      <c r="E166" t="inlineStr">
        <is>
          <t>LINKÖPING</t>
        </is>
      </c>
      <c r="G166" t="n">
        <v>3.5</v>
      </c>
      <c r="H166" t="n">
        <v>0</v>
      </c>
      <c r="I166" t="n">
        <v>0</v>
      </c>
      <c r="J166" t="n">
        <v>0</v>
      </c>
      <c r="K166" t="n">
        <v>0</v>
      </c>
      <c r="L166" t="n">
        <v>0</v>
      </c>
      <c r="M166" t="n">
        <v>0</v>
      </c>
      <c r="N166" t="n">
        <v>0</v>
      </c>
      <c r="O166" t="n">
        <v>0</v>
      </c>
      <c r="P166" t="n">
        <v>0</v>
      </c>
      <c r="Q166" t="n">
        <v>0</v>
      </c>
      <c r="R166" s="2" t="inlineStr"/>
    </row>
    <row r="167" ht="15" customHeight="1">
      <c r="A167" t="inlineStr">
        <is>
          <t>A 19318-2022</t>
        </is>
      </c>
      <c r="B167" s="1" t="n">
        <v>44692.5827662037</v>
      </c>
      <c r="C167" s="1" t="n">
        <v>45895</v>
      </c>
      <c r="D167" t="inlineStr">
        <is>
          <t>ÖSTERGÖTLANDS LÄN</t>
        </is>
      </c>
      <c r="E167" t="inlineStr">
        <is>
          <t>LINKÖPING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12413-2022</t>
        </is>
      </c>
      <c r="B168" s="1" t="n">
        <v>44638</v>
      </c>
      <c r="C168" s="1" t="n">
        <v>45895</v>
      </c>
      <c r="D168" t="inlineStr">
        <is>
          <t>ÖSTERGÖTLANDS LÄN</t>
        </is>
      </c>
      <c r="E168" t="inlineStr">
        <is>
          <t>LINKÖPING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67912-2021</t>
        </is>
      </c>
      <c r="B169" s="1" t="n">
        <v>44525</v>
      </c>
      <c r="C169" s="1" t="n">
        <v>45895</v>
      </c>
      <c r="D169" t="inlineStr">
        <is>
          <t>ÖSTERGÖTLANDS LÄN</t>
        </is>
      </c>
      <c r="E169" t="inlineStr">
        <is>
          <t>LINKÖPING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67940-2021</t>
        </is>
      </c>
      <c r="B170" s="1" t="n">
        <v>44525.62849537037</v>
      </c>
      <c r="C170" s="1" t="n">
        <v>45895</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41426-2022</t>
        </is>
      </c>
      <c r="B171" s="1" t="n">
        <v>44826</v>
      </c>
      <c r="C171" s="1" t="n">
        <v>45895</v>
      </c>
      <c r="D171" t="inlineStr">
        <is>
          <t>ÖSTERGÖTLANDS LÄN</t>
        </is>
      </c>
      <c r="E171" t="inlineStr">
        <is>
          <t>LINKÖPING</t>
        </is>
      </c>
      <c r="G171" t="n">
        <v>3</v>
      </c>
      <c r="H171" t="n">
        <v>0</v>
      </c>
      <c r="I171" t="n">
        <v>0</v>
      </c>
      <c r="J171" t="n">
        <v>0</v>
      </c>
      <c r="K171" t="n">
        <v>0</v>
      </c>
      <c r="L171" t="n">
        <v>0</v>
      </c>
      <c r="M171" t="n">
        <v>0</v>
      </c>
      <c r="N171" t="n">
        <v>0</v>
      </c>
      <c r="O171" t="n">
        <v>0</v>
      </c>
      <c r="P171" t="n">
        <v>0</v>
      </c>
      <c r="Q171" t="n">
        <v>0</v>
      </c>
      <c r="R171" s="2" t="inlineStr"/>
    </row>
    <row r="172" ht="15" customHeight="1">
      <c r="A172" t="inlineStr">
        <is>
          <t>A 46490-2022</t>
        </is>
      </c>
      <c r="B172" s="1" t="n">
        <v>44848</v>
      </c>
      <c r="C172" s="1" t="n">
        <v>45895</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34162-2022</t>
        </is>
      </c>
      <c r="B173" s="1" t="n">
        <v>44791</v>
      </c>
      <c r="C173" s="1" t="n">
        <v>45895</v>
      </c>
      <c r="D173" t="inlineStr">
        <is>
          <t>ÖSTERGÖTLANDS LÄN</t>
        </is>
      </c>
      <c r="E173" t="inlineStr">
        <is>
          <t>LINKÖPING</t>
        </is>
      </c>
      <c r="G173" t="n">
        <v>3</v>
      </c>
      <c r="H173" t="n">
        <v>0</v>
      </c>
      <c r="I173" t="n">
        <v>0</v>
      </c>
      <c r="J173" t="n">
        <v>0</v>
      </c>
      <c r="K173" t="n">
        <v>0</v>
      </c>
      <c r="L173" t="n">
        <v>0</v>
      </c>
      <c r="M173" t="n">
        <v>0</v>
      </c>
      <c r="N173" t="n">
        <v>0</v>
      </c>
      <c r="O173" t="n">
        <v>0</v>
      </c>
      <c r="P173" t="n">
        <v>0</v>
      </c>
      <c r="Q173" t="n">
        <v>0</v>
      </c>
      <c r="R173" s="2" t="inlineStr"/>
    </row>
    <row r="174" ht="15" customHeight="1">
      <c r="A174" t="inlineStr">
        <is>
          <t>A 54467-2022</t>
        </is>
      </c>
      <c r="B174" s="1" t="n">
        <v>44882</v>
      </c>
      <c r="C174" s="1" t="n">
        <v>45895</v>
      </c>
      <c r="D174" t="inlineStr">
        <is>
          <t>ÖSTERGÖTLANDS LÄN</t>
        </is>
      </c>
      <c r="E174" t="inlineStr">
        <is>
          <t>LINKÖPING</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41650-2020</t>
        </is>
      </c>
      <c r="B175" s="1" t="n">
        <v>44074</v>
      </c>
      <c r="C175" s="1" t="n">
        <v>45895</v>
      </c>
      <c r="D175" t="inlineStr">
        <is>
          <t>ÖSTERGÖTLANDS LÄN</t>
        </is>
      </c>
      <c r="E175" t="inlineStr">
        <is>
          <t>LINKÖPING</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36341-2022</t>
        </is>
      </c>
      <c r="B176" s="1" t="n">
        <v>44803</v>
      </c>
      <c r="C176" s="1" t="n">
        <v>45895</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61298-2021</t>
        </is>
      </c>
      <c r="B177" s="1" t="n">
        <v>44498.62533564815</v>
      </c>
      <c r="C177" s="1" t="n">
        <v>45895</v>
      </c>
      <c r="D177" t="inlineStr">
        <is>
          <t>ÖSTERGÖTLANDS LÄN</t>
        </is>
      </c>
      <c r="E177" t="inlineStr">
        <is>
          <t>LINKÖPING</t>
        </is>
      </c>
      <c r="G177" t="n">
        <v>4.3</v>
      </c>
      <c r="H177" t="n">
        <v>0</v>
      </c>
      <c r="I177" t="n">
        <v>0</v>
      </c>
      <c r="J177" t="n">
        <v>0</v>
      </c>
      <c r="K177" t="n">
        <v>0</v>
      </c>
      <c r="L177" t="n">
        <v>0</v>
      </c>
      <c r="M177" t="n">
        <v>0</v>
      </c>
      <c r="N177" t="n">
        <v>0</v>
      </c>
      <c r="O177" t="n">
        <v>0</v>
      </c>
      <c r="P177" t="n">
        <v>0</v>
      </c>
      <c r="Q177" t="n">
        <v>0</v>
      </c>
      <c r="R177" s="2" t="inlineStr"/>
    </row>
    <row r="178" ht="15" customHeight="1">
      <c r="A178" t="inlineStr">
        <is>
          <t>A 61333-2021</t>
        </is>
      </c>
      <c r="B178" s="1" t="n">
        <v>44498.6764699074</v>
      </c>
      <c r="C178" s="1" t="n">
        <v>45895</v>
      </c>
      <c r="D178" t="inlineStr">
        <is>
          <t>ÖSTERGÖTLANDS LÄN</t>
        </is>
      </c>
      <c r="E178" t="inlineStr">
        <is>
          <t>LINKÖPING</t>
        </is>
      </c>
      <c r="G178" t="n">
        <v>7.5</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45895</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12412-2022</t>
        </is>
      </c>
      <c r="B180" s="1" t="n">
        <v>44638</v>
      </c>
      <c r="C180" s="1" t="n">
        <v>45895</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4240-2022</t>
        </is>
      </c>
      <c r="B181" s="1" t="n">
        <v>44588</v>
      </c>
      <c r="C181" s="1" t="n">
        <v>45895</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33134-2022</t>
        </is>
      </c>
      <c r="B182" s="1" t="n">
        <v>44785</v>
      </c>
      <c r="C182" s="1" t="n">
        <v>45895</v>
      </c>
      <c r="D182" t="inlineStr">
        <is>
          <t>ÖSTERGÖTLANDS LÄN</t>
        </is>
      </c>
      <c r="E182" t="inlineStr">
        <is>
          <t>LINKÖPING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46803-2020</t>
        </is>
      </c>
      <c r="B183" s="1" t="n">
        <v>44089</v>
      </c>
      <c r="C183" s="1" t="n">
        <v>45895</v>
      </c>
      <c r="D183" t="inlineStr">
        <is>
          <t>ÖSTERGÖTLANDS LÄN</t>
        </is>
      </c>
      <c r="E183" t="inlineStr">
        <is>
          <t>LINKÖPING</t>
        </is>
      </c>
      <c r="G183" t="n">
        <v>3</v>
      </c>
      <c r="H183" t="n">
        <v>0</v>
      </c>
      <c r="I183" t="n">
        <v>0</v>
      </c>
      <c r="J183" t="n">
        <v>0</v>
      </c>
      <c r="K183" t="n">
        <v>0</v>
      </c>
      <c r="L183" t="n">
        <v>0</v>
      </c>
      <c r="M183" t="n">
        <v>0</v>
      </c>
      <c r="N183" t="n">
        <v>0</v>
      </c>
      <c r="O183" t="n">
        <v>0</v>
      </c>
      <c r="P183" t="n">
        <v>0</v>
      </c>
      <c r="Q183" t="n">
        <v>0</v>
      </c>
      <c r="R183" s="2" t="inlineStr"/>
    </row>
    <row r="184" ht="15" customHeight="1">
      <c r="A184" t="inlineStr">
        <is>
          <t>A 13075-2022</t>
        </is>
      </c>
      <c r="B184" s="1" t="n">
        <v>44643</v>
      </c>
      <c r="C184" s="1" t="n">
        <v>45895</v>
      </c>
      <c r="D184" t="inlineStr">
        <is>
          <t>ÖSTERGÖTLANDS LÄN</t>
        </is>
      </c>
      <c r="E184" t="inlineStr">
        <is>
          <t>LINKÖPING</t>
        </is>
      </c>
      <c r="G184" t="n">
        <v>2.2</v>
      </c>
      <c r="H184" t="n">
        <v>0</v>
      </c>
      <c r="I184" t="n">
        <v>0</v>
      </c>
      <c r="J184" t="n">
        <v>0</v>
      </c>
      <c r="K184" t="n">
        <v>0</v>
      </c>
      <c r="L184" t="n">
        <v>0</v>
      </c>
      <c r="M184" t="n">
        <v>0</v>
      </c>
      <c r="N184" t="n">
        <v>0</v>
      </c>
      <c r="O184" t="n">
        <v>0</v>
      </c>
      <c r="P184" t="n">
        <v>0</v>
      </c>
      <c r="Q184" t="n">
        <v>0</v>
      </c>
      <c r="R184" s="2" t="inlineStr"/>
    </row>
    <row r="185" ht="15" customHeight="1">
      <c r="A185" t="inlineStr">
        <is>
          <t>A 46891-2021</t>
        </is>
      </c>
      <c r="B185" s="1" t="n">
        <v>44446.44587962963</v>
      </c>
      <c r="C185" s="1" t="n">
        <v>45895</v>
      </c>
      <c r="D185" t="inlineStr">
        <is>
          <t>ÖSTERGÖTLANDS LÄN</t>
        </is>
      </c>
      <c r="E185" t="inlineStr">
        <is>
          <t>LINKÖPING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23416-2022</t>
        </is>
      </c>
      <c r="B186" s="1" t="n">
        <v>44720.78243055556</v>
      </c>
      <c r="C186" s="1" t="n">
        <v>45895</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51912-2020</t>
        </is>
      </c>
      <c r="B187" s="1" t="n">
        <v>44116</v>
      </c>
      <c r="C187" s="1" t="n">
        <v>45895</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5605-2022</t>
        </is>
      </c>
      <c r="B188" s="1" t="n">
        <v>44595</v>
      </c>
      <c r="C188" s="1" t="n">
        <v>45895</v>
      </c>
      <c r="D188" t="inlineStr">
        <is>
          <t>ÖSTERGÖTLANDS LÄN</t>
        </is>
      </c>
      <c r="E188" t="inlineStr">
        <is>
          <t>LINKÖPING</t>
        </is>
      </c>
      <c r="F188" t="inlineStr">
        <is>
          <t>Övriga statliga verk och myndigheter</t>
        </is>
      </c>
      <c r="G188" t="n">
        <v>3</v>
      </c>
      <c r="H188" t="n">
        <v>0</v>
      </c>
      <c r="I188" t="n">
        <v>0</v>
      </c>
      <c r="J188" t="n">
        <v>0</v>
      </c>
      <c r="K188" t="n">
        <v>0</v>
      </c>
      <c r="L188" t="n">
        <v>0</v>
      </c>
      <c r="M188" t="n">
        <v>0</v>
      </c>
      <c r="N188" t="n">
        <v>0</v>
      </c>
      <c r="O188" t="n">
        <v>0</v>
      </c>
      <c r="P188" t="n">
        <v>0</v>
      </c>
      <c r="Q188" t="n">
        <v>0</v>
      </c>
      <c r="R188" s="2" t="inlineStr"/>
    </row>
    <row r="189" ht="15" customHeight="1">
      <c r="A189" t="inlineStr">
        <is>
          <t>A 27666-2022</t>
        </is>
      </c>
      <c r="B189" s="1" t="n">
        <v>44743.39017361111</v>
      </c>
      <c r="C189" s="1" t="n">
        <v>45895</v>
      </c>
      <c r="D189" t="inlineStr">
        <is>
          <t>ÖSTERGÖTLANDS LÄN</t>
        </is>
      </c>
      <c r="E189" t="inlineStr">
        <is>
          <t>LINKÖPING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19183-2021</t>
        </is>
      </c>
      <c r="B190" s="1" t="n">
        <v>44308.73248842593</v>
      </c>
      <c r="C190" s="1" t="n">
        <v>45895</v>
      </c>
      <c r="D190" t="inlineStr">
        <is>
          <t>ÖSTERGÖTLANDS LÄN</t>
        </is>
      </c>
      <c r="E190" t="inlineStr">
        <is>
          <t>LINKÖPING</t>
        </is>
      </c>
      <c r="F190" t="inlineStr">
        <is>
          <t>Allmännings- och besparingsskogar</t>
        </is>
      </c>
      <c r="G190" t="n">
        <v>4.6</v>
      </c>
      <c r="H190" t="n">
        <v>0</v>
      </c>
      <c r="I190" t="n">
        <v>0</v>
      </c>
      <c r="J190" t="n">
        <v>0</v>
      </c>
      <c r="K190" t="n">
        <v>0</v>
      </c>
      <c r="L190" t="n">
        <v>0</v>
      </c>
      <c r="M190" t="n">
        <v>0</v>
      </c>
      <c r="N190" t="n">
        <v>0</v>
      </c>
      <c r="O190" t="n">
        <v>0</v>
      </c>
      <c r="P190" t="n">
        <v>0</v>
      </c>
      <c r="Q190" t="n">
        <v>0</v>
      </c>
      <c r="R190" s="2" t="inlineStr"/>
    </row>
    <row r="191" ht="15" customHeight="1">
      <c r="A191" t="inlineStr">
        <is>
          <t>A 56688-2021</t>
        </is>
      </c>
      <c r="B191" s="1" t="n">
        <v>44481</v>
      </c>
      <c r="C191" s="1" t="n">
        <v>45895</v>
      </c>
      <c r="D191" t="inlineStr">
        <is>
          <t>ÖSTERGÖTLANDS LÄN</t>
        </is>
      </c>
      <c r="E191" t="inlineStr">
        <is>
          <t>LINKÖPING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44879-2020</t>
        </is>
      </c>
      <c r="B192" s="1" t="n">
        <v>44087</v>
      </c>
      <c r="C192" s="1" t="n">
        <v>45895</v>
      </c>
      <c r="D192" t="inlineStr">
        <is>
          <t>ÖSTERGÖTLANDS LÄN</t>
        </is>
      </c>
      <c r="E192" t="inlineStr">
        <is>
          <t>LINKÖPING</t>
        </is>
      </c>
      <c r="F192" t="inlineStr">
        <is>
          <t>Övriga Aktiebolag</t>
        </is>
      </c>
      <c r="G192" t="n">
        <v>2.9</v>
      </c>
      <c r="H192" t="n">
        <v>0</v>
      </c>
      <c r="I192" t="n">
        <v>0</v>
      </c>
      <c r="J192" t="n">
        <v>0</v>
      </c>
      <c r="K192" t="n">
        <v>0</v>
      </c>
      <c r="L192" t="n">
        <v>0</v>
      </c>
      <c r="M192" t="n">
        <v>0</v>
      </c>
      <c r="N192" t="n">
        <v>0</v>
      </c>
      <c r="O192" t="n">
        <v>0</v>
      </c>
      <c r="P192" t="n">
        <v>0</v>
      </c>
      <c r="Q192" t="n">
        <v>0</v>
      </c>
      <c r="R192" s="2" t="inlineStr"/>
    </row>
    <row r="193" ht="15" customHeight="1">
      <c r="A193" t="inlineStr">
        <is>
          <t>A 50035-2020</t>
        </is>
      </c>
      <c r="B193" s="1" t="n">
        <v>44109</v>
      </c>
      <c r="C193" s="1" t="n">
        <v>45895</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59288-2020</t>
        </is>
      </c>
      <c r="B194" s="1" t="n">
        <v>44147</v>
      </c>
      <c r="C194" s="1" t="n">
        <v>45895</v>
      </c>
      <c r="D194" t="inlineStr">
        <is>
          <t>ÖSTERGÖTLANDS LÄN</t>
        </is>
      </c>
      <c r="E194" t="inlineStr">
        <is>
          <t>LINKÖPING</t>
        </is>
      </c>
      <c r="G194" t="n">
        <v>2.8</v>
      </c>
      <c r="H194" t="n">
        <v>0</v>
      </c>
      <c r="I194" t="n">
        <v>0</v>
      </c>
      <c r="J194" t="n">
        <v>0</v>
      </c>
      <c r="K194" t="n">
        <v>0</v>
      </c>
      <c r="L194" t="n">
        <v>0</v>
      </c>
      <c r="M194" t="n">
        <v>0</v>
      </c>
      <c r="N194" t="n">
        <v>0</v>
      </c>
      <c r="O194" t="n">
        <v>0</v>
      </c>
      <c r="P194" t="n">
        <v>0</v>
      </c>
      <c r="Q194" t="n">
        <v>0</v>
      </c>
      <c r="R194" s="2" t="inlineStr"/>
    </row>
    <row r="195" ht="15" customHeight="1">
      <c r="A195" t="inlineStr">
        <is>
          <t>A 27769-2022</t>
        </is>
      </c>
      <c r="B195" s="1" t="n">
        <v>44743.53200231482</v>
      </c>
      <c r="C195" s="1" t="n">
        <v>45895</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13922-2021</t>
        </is>
      </c>
      <c r="B196" s="1" t="n">
        <v>44277.45946759259</v>
      </c>
      <c r="C196" s="1" t="n">
        <v>45895</v>
      </c>
      <c r="D196" t="inlineStr">
        <is>
          <t>ÖSTERGÖTLANDS LÄN</t>
        </is>
      </c>
      <c r="E196" t="inlineStr">
        <is>
          <t>LINKÖPING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32255-2021</t>
        </is>
      </c>
      <c r="B197" s="1" t="n">
        <v>44371.45949074074</v>
      </c>
      <c r="C197" s="1" t="n">
        <v>45895</v>
      </c>
      <c r="D197" t="inlineStr">
        <is>
          <t>ÖSTERGÖTLANDS LÄN</t>
        </is>
      </c>
      <c r="E197" t="inlineStr">
        <is>
          <t>LINKÖPING</t>
        </is>
      </c>
      <c r="F197" t="inlineStr">
        <is>
          <t>Övriga Aktiebolag</t>
        </is>
      </c>
      <c r="G197" t="n">
        <v>1.1</v>
      </c>
      <c r="H197" t="n">
        <v>0</v>
      </c>
      <c r="I197" t="n">
        <v>0</v>
      </c>
      <c r="J197" t="n">
        <v>0</v>
      </c>
      <c r="K197" t="n">
        <v>0</v>
      </c>
      <c r="L197" t="n">
        <v>0</v>
      </c>
      <c r="M197" t="n">
        <v>0</v>
      </c>
      <c r="N197" t="n">
        <v>0</v>
      </c>
      <c r="O197" t="n">
        <v>0</v>
      </c>
      <c r="P197" t="n">
        <v>0</v>
      </c>
      <c r="Q197" t="n">
        <v>0</v>
      </c>
      <c r="R197" s="2" t="inlineStr"/>
    </row>
    <row r="198" ht="15" customHeight="1">
      <c r="A198" t="inlineStr">
        <is>
          <t>A 34486-2021</t>
        </is>
      </c>
      <c r="B198" s="1" t="n">
        <v>44382.29295138889</v>
      </c>
      <c r="C198" s="1" t="n">
        <v>45895</v>
      </c>
      <c r="D198" t="inlineStr">
        <is>
          <t>ÖSTERGÖTLANDS LÄN</t>
        </is>
      </c>
      <c r="E198" t="inlineStr">
        <is>
          <t>LINKÖPING</t>
        </is>
      </c>
      <c r="G198" t="n">
        <v>4.4</v>
      </c>
      <c r="H198" t="n">
        <v>0</v>
      </c>
      <c r="I198" t="n">
        <v>0</v>
      </c>
      <c r="J198" t="n">
        <v>0</v>
      </c>
      <c r="K198" t="n">
        <v>0</v>
      </c>
      <c r="L198" t="n">
        <v>0</v>
      </c>
      <c r="M198" t="n">
        <v>0</v>
      </c>
      <c r="N198" t="n">
        <v>0</v>
      </c>
      <c r="O198" t="n">
        <v>0</v>
      </c>
      <c r="P198" t="n">
        <v>0</v>
      </c>
      <c r="Q198" t="n">
        <v>0</v>
      </c>
      <c r="R198" s="2" t="inlineStr"/>
    </row>
    <row r="199" ht="15" customHeight="1">
      <c r="A199" t="inlineStr">
        <is>
          <t>A 41514-2020</t>
        </is>
      </c>
      <c r="B199" s="1" t="n">
        <v>44074</v>
      </c>
      <c r="C199" s="1" t="n">
        <v>45895</v>
      </c>
      <c r="D199" t="inlineStr">
        <is>
          <t>ÖSTERGÖTLANDS LÄN</t>
        </is>
      </c>
      <c r="E199" t="inlineStr">
        <is>
          <t>LINKÖPING</t>
        </is>
      </c>
      <c r="F199" t="inlineStr">
        <is>
          <t>Allmännings- och besparingsskogar</t>
        </is>
      </c>
      <c r="G199" t="n">
        <v>5.2</v>
      </c>
      <c r="H199" t="n">
        <v>0</v>
      </c>
      <c r="I199" t="n">
        <v>0</v>
      </c>
      <c r="J199" t="n">
        <v>0</v>
      </c>
      <c r="K199" t="n">
        <v>0</v>
      </c>
      <c r="L199" t="n">
        <v>0</v>
      </c>
      <c r="M199" t="n">
        <v>0</v>
      </c>
      <c r="N199" t="n">
        <v>0</v>
      </c>
      <c r="O199" t="n">
        <v>0</v>
      </c>
      <c r="P199" t="n">
        <v>0</v>
      </c>
      <c r="Q199" t="n">
        <v>0</v>
      </c>
      <c r="R199" s="2" t="inlineStr"/>
    </row>
    <row r="200" ht="15" customHeight="1">
      <c r="A200" t="inlineStr">
        <is>
          <t>A 38235-2022</t>
        </is>
      </c>
      <c r="B200" s="1" t="n">
        <v>44812</v>
      </c>
      <c r="C200" s="1" t="n">
        <v>45895</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1787-2022</t>
        </is>
      </c>
      <c r="B201" s="1" t="n">
        <v>44574</v>
      </c>
      <c r="C201" s="1" t="n">
        <v>45895</v>
      </c>
      <c r="D201" t="inlineStr">
        <is>
          <t>ÖSTERGÖTLANDS LÄN</t>
        </is>
      </c>
      <c r="E201" t="inlineStr">
        <is>
          <t>LINKÖPING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948-2022</t>
        </is>
      </c>
      <c r="B202" s="1" t="n">
        <v>44571</v>
      </c>
      <c r="C202" s="1" t="n">
        <v>45895</v>
      </c>
      <c r="D202" t="inlineStr">
        <is>
          <t>ÖSTERGÖTLANDS LÄN</t>
        </is>
      </c>
      <c r="E202" t="inlineStr">
        <is>
          <t>LINKÖPING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4929-2021</t>
        </is>
      </c>
      <c r="B203" s="1" t="n">
        <v>44227.57533564815</v>
      </c>
      <c r="C203" s="1" t="n">
        <v>45895</v>
      </c>
      <c r="D203" t="inlineStr">
        <is>
          <t>ÖSTERGÖTLANDS LÄN</t>
        </is>
      </c>
      <c r="E203" t="inlineStr">
        <is>
          <t>LINKÖPING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45895</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45895</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37014-2021</t>
        </is>
      </c>
      <c r="B206" s="1" t="n">
        <v>44393</v>
      </c>
      <c r="C206" s="1" t="n">
        <v>45895</v>
      </c>
      <c r="D206" t="inlineStr">
        <is>
          <t>ÖSTERGÖTLANDS LÄN</t>
        </is>
      </c>
      <c r="E206" t="inlineStr">
        <is>
          <t>LINKÖPING</t>
        </is>
      </c>
      <c r="F206" t="inlineStr">
        <is>
          <t>Allmännings- och besparingsskogar</t>
        </is>
      </c>
      <c r="G206" t="n">
        <v>7.7</v>
      </c>
      <c r="H206" t="n">
        <v>0</v>
      </c>
      <c r="I206" t="n">
        <v>0</v>
      </c>
      <c r="J206" t="n">
        <v>0</v>
      </c>
      <c r="K206" t="n">
        <v>0</v>
      </c>
      <c r="L206" t="n">
        <v>0</v>
      </c>
      <c r="M206" t="n">
        <v>0</v>
      </c>
      <c r="N206" t="n">
        <v>0</v>
      </c>
      <c r="O206" t="n">
        <v>0</v>
      </c>
      <c r="P206" t="n">
        <v>0</v>
      </c>
      <c r="Q206" t="n">
        <v>0</v>
      </c>
      <c r="R206" s="2" t="inlineStr"/>
    </row>
    <row r="207" ht="15" customHeight="1">
      <c r="A207" t="inlineStr">
        <is>
          <t>A 51484-2023</t>
        </is>
      </c>
      <c r="B207" s="1" t="n">
        <v>45222</v>
      </c>
      <c r="C207" s="1" t="n">
        <v>45895</v>
      </c>
      <c r="D207" t="inlineStr">
        <is>
          <t>ÖSTERGÖTLANDS LÄN</t>
        </is>
      </c>
      <c r="E207" t="inlineStr">
        <is>
          <t>LINKÖPING</t>
        </is>
      </c>
      <c r="F207" t="inlineStr">
        <is>
          <t>Övriga Aktiebolag</t>
        </is>
      </c>
      <c r="G207" t="n">
        <v>7.7</v>
      </c>
      <c r="H207" t="n">
        <v>0</v>
      </c>
      <c r="I207" t="n">
        <v>0</v>
      </c>
      <c r="J207" t="n">
        <v>0</v>
      </c>
      <c r="K207" t="n">
        <v>0</v>
      </c>
      <c r="L207" t="n">
        <v>0</v>
      </c>
      <c r="M207" t="n">
        <v>0</v>
      </c>
      <c r="N207" t="n">
        <v>0</v>
      </c>
      <c r="O207" t="n">
        <v>0</v>
      </c>
      <c r="P207" t="n">
        <v>0</v>
      </c>
      <c r="Q207" t="n">
        <v>0</v>
      </c>
      <c r="R207" s="2" t="inlineStr"/>
    </row>
    <row r="208" ht="15" customHeight="1">
      <c r="A208" t="inlineStr">
        <is>
          <t>A 50401-2020</t>
        </is>
      </c>
      <c r="B208" s="1" t="n">
        <v>44110</v>
      </c>
      <c r="C208" s="1" t="n">
        <v>45895</v>
      </c>
      <c r="D208" t="inlineStr">
        <is>
          <t>ÖSTERGÖTLANDS LÄN</t>
        </is>
      </c>
      <c r="E208" t="inlineStr">
        <is>
          <t>LINKÖPING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31732-2022</t>
        </is>
      </c>
      <c r="B209" s="1" t="n">
        <v>44776.49267361111</v>
      </c>
      <c r="C209" s="1" t="n">
        <v>45895</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38134-2021</t>
        </is>
      </c>
      <c r="B210" s="1" t="n">
        <v>44405.3794212963</v>
      </c>
      <c r="C210" s="1" t="n">
        <v>45895</v>
      </c>
      <c r="D210" t="inlineStr">
        <is>
          <t>ÖSTERGÖTLANDS LÄN</t>
        </is>
      </c>
      <c r="E210" t="inlineStr">
        <is>
          <t>LINKÖPING</t>
        </is>
      </c>
      <c r="G210" t="n">
        <v>5.1</v>
      </c>
      <c r="H210" t="n">
        <v>0</v>
      </c>
      <c r="I210" t="n">
        <v>0</v>
      </c>
      <c r="J210" t="n">
        <v>0</v>
      </c>
      <c r="K210" t="n">
        <v>0</v>
      </c>
      <c r="L210" t="n">
        <v>0</v>
      </c>
      <c r="M210" t="n">
        <v>0</v>
      </c>
      <c r="N210" t="n">
        <v>0</v>
      </c>
      <c r="O210" t="n">
        <v>0</v>
      </c>
      <c r="P210" t="n">
        <v>0</v>
      </c>
      <c r="Q210" t="n">
        <v>0</v>
      </c>
      <c r="R210" s="2" t="inlineStr"/>
    </row>
    <row r="211" ht="15" customHeight="1">
      <c r="A211" t="inlineStr">
        <is>
          <t>A 10407-2025</t>
        </is>
      </c>
      <c r="B211" s="1" t="n">
        <v>45720.62863425926</v>
      </c>
      <c r="C211" s="1" t="n">
        <v>45895</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46980-2020</t>
        </is>
      </c>
      <c r="B212" s="1" t="n">
        <v>44090</v>
      </c>
      <c r="C212" s="1" t="n">
        <v>45895</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9434-2024</t>
        </is>
      </c>
      <c r="B213" s="1" t="n">
        <v>45359</v>
      </c>
      <c r="C213" s="1" t="n">
        <v>45895</v>
      </c>
      <c r="D213" t="inlineStr">
        <is>
          <t>ÖSTERGÖTLANDS LÄN</t>
        </is>
      </c>
      <c r="E213" t="inlineStr">
        <is>
          <t>LINKÖPING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39021-2021</t>
        </is>
      </c>
      <c r="B214" s="1" t="n">
        <v>44412</v>
      </c>
      <c r="C214" s="1" t="n">
        <v>45895</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63678-2023</t>
        </is>
      </c>
      <c r="B215" s="1" t="n">
        <v>45275.64769675926</v>
      </c>
      <c r="C215" s="1" t="n">
        <v>45895</v>
      </c>
      <c r="D215" t="inlineStr">
        <is>
          <t>ÖSTERGÖTLANDS LÄN</t>
        </is>
      </c>
      <c r="E215" t="inlineStr">
        <is>
          <t>LINKÖPING</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63688-2023</t>
        </is>
      </c>
      <c r="B216" s="1" t="n">
        <v>45275</v>
      </c>
      <c r="C216" s="1" t="n">
        <v>45895</v>
      </c>
      <c r="D216" t="inlineStr">
        <is>
          <t>ÖSTERGÖTLANDS LÄN</t>
        </is>
      </c>
      <c r="E216" t="inlineStr">
        <is>
          <t>LINKÖPING</t>
        </is>
      </c>
      <c r="F216" t="inlineStr">
        <is>
          <t>Övriga Aktiebolag</t>
        </is>
      </c>
      <c r="G216" t="n">
        <v>2.4</v>
      </c>
      <c r="H216" t="n">
        <v>0</v>
      </c>
      <c r="I216" t="n">
        <v>0</v>
      </c>
      <c r="J216" t="n">
        <v>0</v>
      </c>
      <c r="K216" t="n">
        <v>0</v>
      </c>
      <c r="L216" t="n">
        <v>0</v>
      </c>
      <c r="M216" t="n">
        <v>0</v>
      </c>
      <c r="N216" t="n">
        <v>0</v>
      </c>
      <c r="O216" t="n">
        <v>0</v>
      </c>
      <c r="P216" t="n">
        <v>0</v>
      </c>
      <c r="Q216" t="n">
        <v>0</v>
      </c>
      <c r="R216" s="2" t="inlineStr"/>
    </row>
    <row r="217" ht="15" customHeight="1">
      <c r="A217" t="inlineStr">
        <is>
          <t>A 63691-2023</t>
        </is>
      </c>
      <c r="B217" s="1" t="n">
        <v>45275</v>
      </c>
      <c r="C217" s="1" t="n">
        <v>45895</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34557-2022</t>
        </is>
      </c>
      <c r="B218" s="1" t="n">
        <v>44794.57074074074</v>
      </c>
      <c r="C218" s="1" t="n">
        <v>45895</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61532-2021</t>
        </is>
      </c>
      <c r="B219" s="1" t="n">
        <v>44501</v>
      </c>
      <c r="C219" s="1" t="n">
        <v>45895</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44849-2022</t>
        </is>
      </c>
      <c r="B220" s="1" t="n">
        <v>44841</v>
      </c>
      <c r="C220" s="1" t="n">
        <v>45895</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70835-2021</t>
        </is>
      </c>
      <c r="B221" s="1" t="n">
        <v>44537</v>
      </c>
      <c r="C221" s="1" t="n">
        <v>45895</v>
      </c>
      <c r="D221" t="inlineStr">
        <is>
          <t>ÖSTERGÖTLANDS LÄN</t>
        </is>
      </c>
      <c r="E221" t="inlineStr">
        <is>
          <t>LINKÖPING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3374-2023</t>
        </is>
      </c>
      <c r="B222" s="1" t="n">
        <v>44949</v>
      </c>
      <c r="C222" s="1" t="n">
        <v>45895</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224-2024</t>
        </is>
      </c>
      <c r="B223" s="1" t="n">
        <v>45294</v>
      </c>
      <c r="C223" s="1" t="n">
        <v>45895</v>
      </c>
      <c r="D223" t="inlineStr">
        <is>
          <t>ÖSTERGÖTLANDS LÄN</t>
        </is>
      </c>
      <c r="E223" t="inlineStr">
        <is>
          <t>LINKÖPING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6726-2024</t>
        </is>
      </c>
      <c r="B224" s="1" t="n">
        <v>45341</v>
      </c>
      <c r="C224" s="1" t="n">
        <v>45895</v>
      </c>
      <c r="D224" t="inlineStr">
        <is>
          <t>ÖSTERGÖTLANDS LÄN</t>
        </is>
      </c>
      <c r="E224" t="inlineStr">
        <is>
          <t>LINKÖPING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37934-2022</t>
        </is>
      </c>
      <c r="B225" s="1" t="n">
        <v>44809</v>
      </c>
      <c r="C225" s="1" t="n">
        <v>45895</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17157-2024</t>
        </is>
      </c>
      <c r="B226" s="1" t="n">
        <v>45412.70567129629</v>
      </c>
      <c r="C226" s="1" t="n">
        <v>45895</v>
      </c>
      <c r="D226" t="inlineStr">
        <is>
          <t>ÖSTERGÖTLANDS LÄN</t>
        </is>
      </c>
      <c r="E226" t="inlineStr">
        <is>
          <t>LINKÖPING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12035-2025</t>
        </is>
      </c>
      <c r="B227" s="1" t="n">
        <v>45728.64946759259</v>
      </c>
      <c r="C227" s="1" t="n">
        <v>45895</v>
      </c>
      <c r="D227" t="inlineStr">
        <is>
          <t>ÖSTERGÖTLANDS LÄN</t>
        </is>
      </c>
      <c r="E227" t="inlineStr">
        <is>
          <t>LINKÖPING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72567-2021</t>
        </is>
      </c>
      <c r="B228" s="1" t="n">
        <v>44546.45023148148</v>
      </c>
      <c r="C228" s="1" t="n">
        <v>45895</v>
      </c>
      <c r="D228" t="inlineStr">
        <is>
          <t>ÖSTERGÖTLANDS LÄN</t>
        </is>
      </c>
      <c r="E228" t="inlineStr">
        <is>
          <t>LINKÖPING</t>
        </is>
      </c>
      <c r="G228" t="n">
        <v>1.6</v>
      </c>
      <c r="H228" t="n">
        <v>0</v>
      </c>
      <c r="I228" t="n">
        <v>0</v>
      </c>
      <c r="J228" t="n">
        <v>0</v>
      </c>
      <c r="K228" t="n">
        <v>0</v>
      </c>
      <c r="L228" t="n">
        <v>0</v>
      </c>
      <c r="M228" t="n">
        <v>0</v>
      </c>
      <c r="N228" t="n">
        <v>0</v>
      </c>
      <c r="O228" t="n">
        <v>0</v>
      </c>
      <c r="P228" t="n">
        <v>0</v>
      </c>
      <c r="Q228" t="n">
        <v>0</v>
      </c>
      <c r="R228" s="2" t="inlineStr"/>
    </row>
    <row r="229" ht="15" customHeight="1">
      <c r="A229" t="inlineStr">
        <is>
          <t>A 13689-2025</t>
        </is>
      </c>
      <c r="B229" s="1" t="n">
        <v>45737.31590277778</v>
      </c>
      <c r="C229" s="1" t="n">
        <v>45895</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13696-2025</t>
        </is>
      </c>
      <c r="B230" s="1" t="n">
        <v>45737.32273148148</v>
      </c>
      <c r="C230" s="1" t="n">
        <v>45895</v>
      </c>
      <c r="D230" t="inlineStr">
        <is>
          <t>ÖSTERGÖTLANDS LÄN</t>
        </is>
      </c>
      <c r="E230" t="inlineStr">
        <is>
          <t>LINKÖPING</t>
        </is>
      </c>
      <c r="G230" t="n">
        <v>3.5</v>
      </c>
      <c r="H230" t="n">
        <v>0</v>
      </c>
      <c r="I230" t="n">
        <v>0</v>
      </c>
      <c r="J230" t="n">
        <v>0</v>
      </c>
      <c r="K230" t="n">
        <v>0</v>
      </c>
      <c r="L230" t="n">
        <v>0</v>
      </c>
      <c r="M230" t="n">
        <v>0</v>
      </c>
      <c r="N230" t="n">
        <v>0</v>
      </c>
      <c r="O230" t="n">
        <v>0</v>
      </c>
      <c r="P230" t="n">
        <v>0</v>
      </c>
      <c r="Q230" t="n">
        <v>0</v>
      </c>
      <c r="R230" s="2" t="inlineStr"/>
    </row>
    <row r="231" ht="15" customHeight="1">
      <c r="A231" t="inlineStr">
        <is>
          <t>A 53814-2023</t>
        </is>
      </c>
      <c r="B231" s="1" t="n">
        <v>45231</v>
      </c>
      <c r="C231" s="1" t="n">
        <v>45895</v>
      </c>
      <c r="D231" t="inlineStr">
        <is>
          <t>ÖSTERGÖTLANDS LÄN</t>
        </is>
      </c>
      <c r="E231" t="inlineStr">
        <is>
          <t>LINKÖPING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12428-2024</t>
        </is>
      </c>
      <c r="B232" s="1" t="n">
        <v>45379</v>
      </c>
      <c r="C232" s="1" t="n">
        <v>45895</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5872-2025</t>
        </is>
      </c>
      <c r="B233" s="1" t="n">
        <v>45695.36659722222</v>
      </c>
      <c r="C233" s="1" t="n">
        <v>45895</v>
      </c>
      <c r="D233" t="inlineStr">
        <is>
          <t>ÖSTERGÖTLANDS LÄN</t>
        </is>
      </c>
      <c r="E233" t="inlineStr">
        <is>
          <t>LINKÖPING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59674-2024</t>
        </is>
      </c>
      <c r="B234" s="1" t="n">
        <v>45639</v>
      </c>
      <c r="C234" s="1" t="n">
        <v>45895</v>
      </c>
      <c r="D234" t="inlineStr">
        <is>
          <t>ÖSTERGÖTLANDS LÄN</t>
        </is>
      </c>
      <c r="E234" t="inlineStr">
        <is>
          <t>LINKÖPING</t>
        </is>
      </c>
      <c r="G234" t="n">
        <v>6.3</v>
      </c>
      <c r="H234" t="n">
        <v>0</v>
      </c>
      <c r="I234" t="n">
        <v>0</v>
      </c>
      <c r="J234" t="n">
        <v>0</v>
      </c>
      <c r="K234" t="n">
        <v>0</v>
      </c>
      <c r="L234" t="n">
        <v>0</v>
      </c>
      <c r="M234" t="n">
        <v>0</v>
      </c>
      <c r="N234" t="n">
        <v>0</v>
      </c>
      <c r="O234" t="n">
        <v>0</v>
      </c>
      <c r="P234" t="n">
        <v>0</v>
      </c>
      <c r="Q234" t="n">
        <v>0</v>
      </c>
      <c r="R234" s="2" t="inlineStr"/>
    </row>
    <row r="235" ht="15" customHeight="1">
      <c r="A235" t="inlineStr">
        <is>
          <t>A 60004-2022</t>
        </is>
      </c>
      <c r="B235" s="1" t="n">
        <v>44909.47206018519</v>
      </c>
      <c r="C235" s="1" t="n">
        <v>45895</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52796-2023</t>
        </is>
      </c>
      <c r="B236" s="1" t="n">
        <v>45219</v>
      </c>
      <c r="C236" s="1" t="n">
        <v>45895</v>
      </c>
      <c r="D236" t="inlineStr">
        <is>
          <t>ÖSTERGÖTLANDS LÄN</t>
        </is>
      </c>
      <c r="E236" t="inlineStr">
        <is>
          <t>LINKÖPING</t>
        </is>
      </c>
      <c r="F236" t="inlineStr">
        <is>
          <t>Övriga statliga verk och myndigheter</t>
        </is>
      </c>
      <c r="G236" t="n">
        <v>3.9</v>
      </c>
      <c r="H236" t="n">
        <v>0</v>
      </c>
      <c r="I236" t="n">
        <v>0</v>
      </c>
      <c r="J236" t="n">
        <v>0</v>
      </c>
      <c r="K236" t="n">
        <v>0</v>
      </c>
      <c r="L236" t="n">
        <v>0</v>
      </c>
      <c r="M236" t="n">
        <v>0</v>
      </c>
      <c r="N236" t="n">
        <v>0</v>
      </c>
      <c r="O236" t="n">
        <v>0</v>
      </c>
      <c r="P236" t="n">
        <v>0</v>
      </c>
      <c r="Q236" t="n">
        <v>0</v>
      </c>
      <c r="R236" s="2" t="inlineStr"/>
    </row>
    <row r="237" ht="15" customHeight="1">
      <c r="A237" t="inlineStr">
        <is>
          <t>A 50743-2023</t>
        </is>
      </c>
      <c r="B237" s="1" t="n">
        <v>45217</v>
      </c>
      <c r="C237" s="1" t="n">
        <v>45895</v>
      </c>
      <c r="D237" t="inlineStr">
        <is>
          <t>ÖSTERGÖTLANDS LÄN</t>
        </is>
      </c>
      <c r="E237" t="inlineStr">
        <is>
          <t>LINKÖPING</t>
        </is>
      </c>
      <c r="G237" t="n">
        <v>2.7</v>
      </c>
      <c r="H237" t="n">
        <v>0</v>
      </c>
      <c r="I237" t="n">
        <v>0</v>
      </c>
      <c r="J237" t="n">
        <v>0</v>
      </c>
      <c r="K237" t="n">
        <v>0</v>
      </c>
      <c r="L237" t="n">
        <v>0</v>
      </c>
      <c r="M237" t="n">
        <v>0</v>
      </c>
      <c r="N237" t="n">
        <v>0</v>
      </c>
      <c r="O237" t="n">
        <v>0</v>
      </c>
      <c r="P237" t="n">
        <v>0</v>
      </c>
      <c r="Q237" t="n">
        <v>0</v>
      </c>
      <c r="R237" s="2" t="inlineStr"/>
    </row>
    <row r="238" ht="15" customHeight="1">
      <c r="A238" t="inlineStr">
        <is>
          <t>A 45771-2023</t>
        </is>
      </c>
      <c r="B238" s="1" t="n">
        <v>45195.4384375</v>
      </c>
      <c r="C238" s="1" t="n">
        <v>45895</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46225-2021</t>
        </is>
      </c>
      <c r="B239" s="1" t="n">
        <v>44442</v>
      </c>
      <c r="C239" s="1" t="n">
        <v>45895</v>
      </c>
      <c r="D239" t="inlineStr">
        <is>
          <t>ÖSTERGÖTLANDS LÄN</t>
        </is>
      </c>
      <c r="E239" t="inlineStr">
        <is>
          <t>LINKÖPING</t>
        </is>
      </c>
      <c r="G239" t="n">
        <v>2.9</v>
      </c>
      <c r="H239" t="n">
        <v>0</v>
      </c>
      <c r="I239" t="n">
        <v>0</v>
      </c>
      <c r="J239" t="n">
        <v>0</v>
      </c>
      <c r="K239" t="n">
        <v>0</v>
      </c>
      <c r="L239" t="n">
        <v>0</v>
      </c>
      <c r="M239" t="n">
        <v>0</v>
      </c>
      <c r="N239" t="n">
        <v>0</v>
      </c>
      <c r="O239" t="n">
        <v>0</v>
      </c>
      <c r="P239" t="n">
        <v>0</v>
      </c>
      <c r="Q239" t="n">
        <v>0</v>
      </c>
      <c r="R239" s="2" t="inlineStr"/>
    </row>
    <row r="240" ht="15" customHeight="1">
      <c r="A240" t="inlineStr">
        <is>
          <t>A 59576-2024</t>
        </is>
      </c>
      <c r="B240" s="1" t="n">
        <v>45638.66378472222</v>
      </c>
      <c r="C240" s="1" t="n">
        <v>45895</v>
      </c>
      <c r="D240" t="inlineStr">
        <is>
          <t>ÖSTERGÖTLANDS LÄN</t>
        </is>
      </c>
      <c r="E240" t="inlineStr">
        <is>
          <t>LINKÖPING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54428-2022</t>
        </is>
      </c>
      <c r="B241" s="1" t="n">
        <v>44882.57643518518</v>
      </c>
      <c r="C241" s="1" t="n">
        <v>45895</v>
      </c>
      <c r="D241" t="inlineStr">
        <is>
          <t>ÖSTERGÖTLANDS LÄN</t>
        </is>
      </c>
      <c r="E241" t="inlineStr">
        <is>
          <t>LINKÖPING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63554-2023</t>
        </is>
      </c>
      <c r="B242" s="1" t="n">
        <v>45275</v>
      </c>
      <c r="C242" s="1" t="n">
        <v>45895</v>
      </c>
      <c r="D242" t="inlineStr">
        <is>
          <t>ÖSTERGÖTLANDS LÄN</t>
        </is>
      </c>
      <c r="E242" t="inlineStr">
        <is>
          <t>LINKÖPING</t>
        </is>
      </c>
      <c r="G242" t="n">
        <v>4.3</v>
      </c>
      <c r="H242" t="n">
        <v>0</v>
      </c>
      <c r="I242" t="n">
        <v>0</v>
      </c>
      <c r="J242" t="n">
        <v>0</v>
      </c>
      <c r="K242" t="n">
        <v>0</v>
      </c>
      <c r="L242" t="n">
        <v>0</v>
      </c>
      <c r="M242" t="n">
        <v>0</v>
      </c>
      <c r="N242" t="n">
        <v>0</v>
      </c>
      <c r="O242" t="n">
        <v>0</v>
      </c>
      <c r="P242" t="n">
        <v>0</v>
      </c>
      <c r="Q242" t="n">
        <v>0</v>
      </c>
      <c r="R242" s="2" t="inlineStr"/>
    </row>
    <row r="243" ht="15" customHeight="1">
      <c r="A243" t="inlineStr">
        <is>
          <t>A 51583-2024</t>
        </is>
      </c>
      <c r="B243" s="1" t="n">
        <v>45604.6397337963</v>
      </c>
      <c r="C243" s="1" t="n">
        <v>45895</v>
      </c>
      <c r="D243" t="inlineStr">
        <is>
          <t>ÖSTERGÖTLANDS LÄN</t>
        </is>
      </c>
      <c r="E243" t="inlineStr">
        <is>
          <t>LINKÖPING</t>
        </is>
      </c>
      <c r="F243" t="inlineStr">
        <is>
          <t>Övriga Aktiebolag</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30111-2024</t>
        </is>
      </c>
      <c r="B244" s="1" t="n">
        <v>45489.46947916667</v>
      </c>
      <c r="C244" s="1" t="n">
        <v>45895</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30119-2024</t>
        </is>
      </c>
      <c r="B245" s="1" t="n">
        <v>45489</v>
      </c>
      <c r="C245" s="1" t="n">
        <v>45895</v>
      </c>
      <c r="D245" t="inlineStr">
        <is>
          <t>ÖSTERGÖTLANDS LÄN</t>
        </is>
      </c>
      <c r="E245" t="inlineStr">
        <is>
          <t>LINKÖPING</t>
        </is>
      </c>
      <c r="G245" t="n">
        <v>1.7</v>
      </c>
      <c r="H245" t="n">
        <v>0</v>
      </c>
      <c r="I245" t="n">
        <v>0</v>
      </c>
      <c r="J245" t="n">
        <v>0</v>
      </c>
      <c r="K245" t="n">
        <v>0</v>
      </c>
      <c r="L245" t="n">
        <v>0</v>
      </c>
      <c r="M245" t="n">
        <v>0</v>
      </c>
      <c r="N245" t="n">
        <v>0</v>
      </c>
      <c r="O245" t="n">
        <v>0</v>
      </c>
      <c r="P245" t="n">
        <v>0</v>
      </c>
      <c r="Q245" t="n">
        <v>0</v>
      </c>
      <c r="R245" s="2" t="inlineStr"/>
    </row>
    <row r="246" ht="15" customHeight="1">
      <c r="A246" t="inlineStr">
        <is>
          <t>A 6206-2024</t>
        </is>
      </c>
      <c r="B246" s="1" t="n">
        <v>45337.5977662037</v>
      </c>
      <c r="C246" s="1" t="n">
        <v>45895</v>
      </c>
      <c r="D246" t="inlineStr">
        <is>
          <t>ÖSTERGÖTLANDS LÄN</t>
        </is>
      </c>
      <c r="E246" t="inlineStr">
        <is>
          <t>LINKÖPING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62019-2024</t>
        </is>
      </c>
      <c r="B247" s="1" t="n">
        <v>45655.82</v>
      </c>
      <c r="C247" s="1" t="n">
        <v>45895</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38317-2024</t>
        </is>
      </c>
      <c r="B248" s="1" t="n">
        <v>45545.65766203704</v>
      </c>
      <c r="C248" s="1" t="n">
        <v>45895</v>
      </c>
      <c r="D248" t="inlineStr">
        <is>
          <t>ÖSTERGÖTLANDS LÄN</t>
        </is>
      </c>
      <c r="E248" t="inlineStr">
        <is>
          <t>LINKÖPING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11790-2024</t>
        </is>
      </c>
      <c r="B249" s="1" t="n">
        <v>45374</v>
      </c>
      <c r="C249" s="1" t="n">
        <v>45895</v>
      </c>
      <c r="D249" t="inlineStr">
        <is>
          <t>ÖSTERGÖTLANDS LÄN</t>
        </is>
      </c>
      <c r="E249" t="inlineStr">
        <is>
          <t>LINKÖPING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48962-2022</t>
        </is>
      </c>
      <c r="B250" s="1" t="n">
        <v>44860.31635416667</v>
      </c>
      <c r="C250" s="1" t="n">
        <v>45895</v>
      </c>
      <c r="D250" t="inlineStr">
        <is>
          <t>ÖSTERGÖTLANDS LÄN</t>
        </is>
      </c>
      <c r="E250" t="inlineStr">
        <is>
          <t>LINKÖPING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50182-2023</t>
        </is>
      </c>
      <c r="B251" s="1" t="n">
        <v>45208</v>
      </c>
      <c r="C251" s="1" t="n">
        <v>45895</v>
      </c>
      <c r="D251" t="inlineStr">
        <is>
          <t>ÖSTERGÖTLANDS LÄN</t>
        </is>
      </c>
      <c r="E251" t="inlineStr">
        <is>
          <t>LINKÖPING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15714-2024</t>
        </is>
      </c>
      <c r="B252" s="1" t="n">
        <v>45404.48288194444</v>
      </c>
      <c r="C252" s="1" t="n">
        <v>45895</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53647-2021</t>
        </is>
      </c>
      <c r="B253" s="1" t="n">
        <v>44469</v>
      </c>
      <c r="C253" s="1" t="n">
        <v>45895</v>
      </c>
      <c r="D253" t="inlineStr">
        <is>
          <t>ÖSTERGÖTLANDS LÄN</t>
        </is>
      </c>
      <c r="E253" t="inlineStr">
        <is>
          <t>LINKÖPING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22772-2024</t>
        </is>
      </c>
      <c r="B254" s="1" t="n">
        <v>45448.46712962963</v>
      </c>
      <c r="C254" s="1" t="n">
        <v>45895</v>
      </c>
      <c r="D254" t="inlineStr">
        <is>
          <t>ÖSTERGÖTLANDS LÄN</t>
        </is>
      </c>
      <c r="E254" t="inlineStr">
        <is>
          <t>LINKÖPING</t>
        </is>
      </c>
      <c r="F254" t="inlineStr">
        <is>
          <t>Sveaskog</t>
        </is>
      </c>
      <c r="G254" t="n">
        <v>3</v>
      </c>
      <c r="H254" t="n">
        <v>0</v>
      </c>
      <c r="I254" t="n">
        <v>0</v>
      </c>
      <c r="J254" t="n">
        <v>0</v>
      </c>
      <c r="K254" t="n">
        <v>0</v>
      </c>
      <c r="L254" t="n">
        <v>0</v>
      </c>
      <c r="M254" t="n">
        <v>0</v>
      </c>
      <c r="N254" t="n">
        <v>0</v>
      </c>
      <c r="O254" t="n">
        <v>0</v>
      </c>
      <c r="P254" t="n">
        <v>0</v>
      </c>
      <c r="Q254" t="n">
        <v>0</v>
      </c>
      <c r="R254" s="2" t="inlineStr"/>
    </row>
    <row r="255" ht="15" customHeight="1">
      <c r="A255" t="inlineStr">
        <is>
          <t>A 18916-2024</t>
        </is>
      </c>
      <c r="B255" s="1" t="n">
        <v>45427.39541666667</v>
      </c>
      <c r="C255" s="1" t="n">
        <v>45895</v>
      </c>
      <c r="D255" t="inlineStr">
        <is>
          <t>ÖSTERGÖTLANDS LÄN</t>
        </is>
      </c>
      <c r="E255" t="inlineStr">
        <is>
          <t>LINKÖPING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30481-2023</t>
        </is>
      </c>
      <c r="B256" s="1" t="n">
        <v>45111</v>
      </c>
      <c r="C256" s="1" t="n">
        <v>45895</v>
      </c>
      <c r="D256" t="inlineStr">
        <is>
          <t>ÖSTERGÖTLANDS LÄN</t>
        </is>
      </c>
      <c r="E256" t="inlineStr">
        <is>
          <t>LINKÖPING</t>
        </is>
      </c>
      <c r="F256" t="inlineStr">
        <is>
          <t>Övriga Aktiebolag</t>
        </is>
      </c>
      <c r="G256" t="n">
        <v>2</v>
      </c>
      <c r="H256" t="n">
        <v>0</v>
      </c>
      <c r="I256" t="n">
        <v>0</v>
      </c>
      <c r="J256" t="n">
        <v>0</v>
      </c>
      <c r="K256" t="n">
        <v>0</v>
      </c>
      <c r="L256" t="n">
        <v>0</v>
      </c>
      <c r="M256" t="n">
        <v>0</v>
      </c>
      <c r="N256" t="n">
        <v>0</v>
      </c>
      <c r="O256" t="n">
        <v>0</v>
      </c>
      <c r="P256" t="n">
        <v>0</v>
      </c>
      <c r="Q256" t="n">
        <v>0</v>
      </c>
      <c r="R256" s="2" t="inlineStr"/>
    </row>
    <row r="257" ht="15" customHeight="1">
      <c r="A257" t="inlineStr">
        <is>
          <t>A 74160-2021</t>
        </is>
      </c>
      <c r="B257" s="1" t="n">
        <v>44558</v>
      </c>
      <c r="C257" s="1" t="n">
        <v>45895</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24586-2024</t>
        </is>
      </c>
      <c r="B258" s="1" t="n">
        <v>45460.46664351852</v>
      </c>
      <c r="C258" s="1" t="n">
        <v>45895</v>
      </c>
      <c r="D258" t="inlineStr">
        <is>
          <t>ÖSTERGÖTLANDS LÄN</t>
        </is>
      </c>
      <c r="E258" t="inlineStr">
        <is>
          <t>LINKÖPING</t>
        </is>
      </c>
      <c r="G258" t="n">
        <v>4</v>
      </c>
      <c r="H258" t="n">
        <v>0</v>
      </c>
      <c r="I258" t="n">
        <v>0</v>
      </c>
      <c r="J258" t="n">
        <v>0</v>
      </c>
      <c r="K258" t="n">
        <v>0</v>
      </c>
      <c r="L258" t="n">
        <v>0</v>
      </c>
      <c r="M258" t="n">
        <v>0</v>
      </c>
      <c r="N258" t="n">
        <v>0</v>
      </c>
      <c r="O258" t="n">
        <v>0</v>
      </c>
      <c r="P258" t="n">
        <v>0</v>
      </c>
      <c r="Q258" t="n">
        <v>0</v>
      </c>
      <c r="R258" s="2" t="inlineStr"/>
    </row>
    <row r="259" ht="15" customHeight="1">
      <c r="A259" t="inlineStr">
        <is>
          <t>A 17124-2025</t>
        </is>
      </c>
      <c r="B259" s="1" t="n">
        <v>45755.69678240741</v>
      </c>
      <c r="C259" s="1" t="n">
        <v>45895</v>
      </c>
      <c r="D259" t="inlineStr">
        <is>
          <t>ÖSTERGÖTLANDS LÄN</t>
        </is>
      </c>
      <c r="E259" t="inlineStr">
        <is>
          <t>LINKÖPING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17126-2025</t>
        </is>
      </c>
      <c r="B260" s="1" t="n">
        <v>45755.70814814815</v>
      </c>
      <c r="C260" s="1" t="n">
        <v>45895</v>
      </c>
      <c r="D260" t="inlineStr">
        <is>
          <t>ÖSTERGÖTLANDS LÄN</t>
        </is>
      </c>
      <c r="E260" t="inlineStr">
        <is>
          <t>LINKÖPING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17143-2025</t>
        </is>
      </c>
      <c r="B261" s="1" t="n">
        <v>45755.92731481481</v>
      </c>
      <c r="C261" s="1" t="n">
        <v>45895</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1844-2025</t>
        </is>
      </c>
      <c r="B262" s="1" t="n">
        <v>45671.57730324074</v>
      </c>
      <c r="C262" s="1" t="n">
        <v>45895</v>
      </c>
      <c r="D262" t="inlineStr">
        <is>
          <t>ÖSTERGÖTLANDS LÄN</t>
        </is>
      </c>
      <c r="E262" t="inlineStr">
        <is>
          <t>LINKÖPING</t>
        </is>
      </c>
      <c r="G262" t="n">
        <v>2</v>
      </c>
      <c r="H262" t="n">
        <v>0</v>
      </c>
      <c r="I262" t="n">
        <v>0</v>
      </c>
      <c r="J262" t="n">
        <v>0</v>
      </c>
      <c r="K262" t="n">
        <v>0</v>
      </c>
      <c r="L262" t="n">
        <v>0</v>
      </c>
      <c r="M262" t="n">
        <v>0</v>
      </c>
      <c r="N262" t="n">
        <v>0</v>
      </c>
      <c r="O262" t="n">
        <v>0</v>
      </c>
      <c r="P262" t="n">
        <v>0</v>
      </c>
      <c r="Q262" t="n">
        <v>0</v>
      </c>
      <c r="R262" s="2" t="inlineStr"/>
    </row>
    <row r="263" ht="15" customHeight="1">
      <c r="A263" t="inlineStr">
        <is>
          <t>A 63559-2023</t>
        </is>
      </c>
      <c r="B263" s="1" t="n">
        <v>45275.35924768518</v>
      </c>
      <c r="C263" s="1" t="n">
        <v>45895</v>
      </c>
      <c r="D263" t="inlineStr">
        <is>
          <t>ÖSTERGÖTLANDS LÄN</t>
        </is>
      </c>
      <c r="E263" t="inlineStr">
        <is>
          <t>LINKÖPING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39017-2021</t>
        </is>
      </c>
      <c r="B264" s="1" t="n">
        <v>44412</v>
      </c>
      <c r="C264" s="1" t="n">
        <v>45895</v>
      </c>
      <c r="D264" t="inlineStr">
        <is>
          <t>ÖSTERGÖTLANDS LÄN</t>
        </is>
      </c>
      <c r="E264" t="inlineStr">
        <is>
          <t>LINKÖPING</t>
        </is>
      </c>
      <c r="F264" t="inlineStr">
        <is>
          <t>Övriga statliga verk och myndigheter</t>
        </is>
      </c>
      <c r="G264" t="n">
        <v>0.8</v>
      </c>
      <c r="H264" t="n">
        <v>0</v>
      </c>
      <c r="I264" t="n">
        <v>0</v>
      </c>
      <c r="J264" t="n">
        <v>0</v>
      </c>
      <c r="K264" t="n">
        <v>0</v>
      </c>
      <c r="L264" t="n">
        <v>0</v>
      </c>
      <c r="M264" t="n">
        <v>0</v>
      </c>
      <c r="N264" t="n">
        <v>0</v>
      </c>
      <c r="O264" t="n">
        <v>0</v>
      </c>
      <c r="P264" t="n">
        <v>0</v>
      </c>
      <c r="Q264" t="n">
        <v>0</v>
      </c>
      <c r="R264" s="2" t="inlineStr"/>
    </row>
    <row r="265" ht="15" customHeight="1">
      <c r="A265" t="inlineStr">
        <is>
          <t>A 23491-2024</t>
        </is>
      </c>
      <c r="B265" s="1" t="n">
        <v>45453</v>
      </c>
      <c r="C265" s="1" t="n">
        <v>45895</v>
      </c>
      <c r="D265" t="inlineStr">
        <is>
          <t>ÖSTERGÖTLANDS LÄN</t>
        </is>
      </c>
      <c r="E265" t="inlineStr">
        <is>
          <t>LINKÖPING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29309-2024</t>
        </is>
      </c>
      <c r="B266" s="1" t="n">
        <v>45483</v>
      </c>
      <c r="C266" s="1" t="n">
        <v>45895</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29411-2023</t>
        </is>
      </c>
      <c r="B267" s="1" t="n">
        <v>45106.46225694445</v>
      </c>
      <c r="C267" s="1" t="n">
        <v>45895</v>
      </c>
      <c r="D267" t="inlineStr">
        <is>
          <t>ÖSTERGÖTLANDS LÄN</t>
        </is>
      </c>
      <c r="E267" t="inlineStr">
        <is>
          <t>LINKÖPING</t>
        </is>
      </c>
      <c r="G267" t="n">
        <v>2.5</v>
      </c>
      <c r="H267" t="n">
        <v>0</v>
      </c>
      <c r="I267" t="n">
        <v>0</v>
      </c>
      <c r="J267" t="n">
        <v>0</v>
      </c>
      <c r="K267" t="n">
        <v>0</v>
      </c>
      <c r="L267" t="n">
        <v>0</v>
      </c>
      <c r="M267" t="n">
        <v>0</v>
      </c>
      <c r="N267" t="n">
        <v>0</v>
      </c>
      <c r="O267" t="n">
        <v>0</v>
      </c>
      <c r="P267" t="n">
        <v>0</v>
      </c>
      <c r="Q267" t="n">
        <v>0</v>
      </c>
      <c r="R267" s="2" t="inlineStr"/>
    </row>
    <row r="268" ht="15" customHeight="1">
      <c r="A268" t="inlineStr">
        <is>
          <t>A 29412-2023</t>
        </is>
      </c>
      <c r="B268" s="1" t="n">
        <v>45106.46359953703</v>
      </c>
      <c r="C268" s="1" t="n">
        <v>45895</v>
      </c>
      <c r="D268" t="inlineStr">
        <is>
          <t>ÖSTERGÖTLANDS LÄN</t>
        </is>
      </c>
      <c r="E268" t="inlineStr">
        <is>
          <t>LINKÖPING</t>
        </is>
      </c>
      <c r="G268" t="n">
        <v>1</v>
      </c>
      <c r="H268" t="n">
        <v>0</v>
      </c>
      <c r="I268" t="n">
        <v>0</v>
      </c>
      <c r="J268" t="n">
        <v>0</v>
      </c>
      <c r="K268" t="n">
        <v>0</v>
      </c>
      <c r="L268" t="n">
        <v>0</v>
      </c>
      <c r="M268" t="n">
        <v>0</v>
      </c>
      <c r="N268" t="n">
        <v>0</v>
      </c>
      <c r="O268" t="n">
        <v>0</v>
      </c>
      <c r="P268" t="n">
        <v>0</v>
      </c>
      <c r="Q268" t="n">
        <v>0</v>
      </c>
      <c r="R268" s="2" t="inlineStr"/>
    </row>
    <row r="269" ht="15" customHeight="1">
      <c r="A269" t="inlineStr">
        <is>
          <t>A 29413-2023</t>
        </is>
      </c>
      <c r="B269" s="1" t="n">
        <v>45106.46465277778</v>
      </c>
      <c r="C269" s="1" t="n">
        <v>45895</v>
      </c>
      <c r="D269" t="inlineStr">
        <is>
          <t>ÖSTERGÖTLANDS LÄN</t>
        </is>
      </c>
      <c r="E269" t="inlineStr">
        <is>
          <t>LINKÖPING</t>
        </is>
      </c>
      <c r="G269" t="n">
        <v>8</v>
      </c>
      <c r="H269" t="n">
        <v>0</v>
      </c>
      <c r="I269" t="n">
        <v>0</v>
      </c>
      <c r="J269" t="n">
        <v>0</v>
      </c>
      <c r="K269" t="n">
        <v>0</v>
      </c>
      <c r="L269" t="n">
        <v>0</v>
      </c>
      <c r="M269" t="n">
        <v>0</v>
      </c>
      <c r="N269" t="n">
        <v>0</v>
      </c>
      <c r="O269" t="n">
        <v>0</v>
      </c>
      <c r="P269" t="n">
        <v>0</v>
      </c>
      <c r="Q269" t="n">
        <v>0</v>
      </c>
      <c r="R269" s="2" t="inlineStr"/>
    </row>
    <row r="270" ht="15" customHeight="1">
      <c r="A270" t="inlineStr">
        <is>
          <t>A 16820-2024</t>
        </is>
      </c>
      <c r="B270" s="1" t="n">
        <v>45411.46809027778</v>
      </c>
      <c r="C270" s="1" t="n">
        <v>45895</v>
      </c>
      <c r="D270" t="inlineStr">
        <is>
          <t>ÖSTERGÖTLANDS LÄN</t>
        </is>
      </c>
      <c r="E270" t="inlineStr">
        <is>
          <t>LINKÖPING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24151-2024</t>
        </is>
      </c>
      <c r="B271" s="1" t="n">
        <v>45456.67717592593</v>
      </c>
      <c r="C271" s="1" t="n">
        <v>45895</v>
      </c>
      <c r="D271" t="inlineStr">
        <is>
          <t>ÖSTERGÖTLANDS LÄN</t>
        </is>
      </c>
      <c r="E271" t="inlineStr">
        <is>
          <t>LINKÖPING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21154-2025</t>
        </is>
      </c>
      <c r="B272" s="1" t="n">
        <v>45779.36340277778</v>
      </c>
      <c r="C272" s="1" t="n">
        <v>45895</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21155-2025</t>
        </is>
      </c>
      <c r="B273" s="1" t="n">
        <v>45779.37586805555</v>
      </c>
      <c r="C273" s="1" t="n">
        <v>45895</v>
      </c>
      <c r="D273" t="inlineStr">
        <is>
          <t>ÖSTERGÖTLANDS LÄN</t>
        </is>
      </c>
      <c r="E273" t="inlineStr">
        <is>
          <t>LINKÖPING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30980-2022</t>
        </is>
      </c>
      <c r="B274" s="1" t="n">
        <v>44768</v>
      </c>
      <c r="C274" s="1" t="n">
        <v>45895</v>
      </c>
      <c r="D274" t="inlineStr">
        <is>
          <t>ÖSTERGÖTLANDS LÄN</t>
        </is>
      </c>
      <c r="E274" t="inlineStr">
        <is>
          <t>LINKÖPING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21165-2025</t>
        </is>
      </c>
      <c r="B275" s="1" t="n">
        <v>45779.39417824074</v>
      </c>
      <c r="C275" s="1" t="n">
        <v>45895</v>
      </c>
      <c r="D275" t="inlineStr">
        <is>
          <t>ÖSTERGÖTLANDS LÄN</t>
        </is>
      </c>
      <c r="E275" t="inlineStr">
        <is>
          <t>LINKÖPING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63845-2021</t>
        </is>
      </c>
      <c r="B276" s="1" t="n">
        <v>44509</v>
      </c>
      <c r="C276" s="1" t="n">
        <v>45895</v>
      </c>
      <c r="D276" t="inlineStr">
        <is>
          <t>ÖSTERGÖTLANDS LÄN</t>
        </is>
      </c>
      <c r="E276" t="inlineStr">
        <is>
          <t>LINKÖPING</t>
        </is>
      </c>
      <c r="G276" t="n">
        <v>5</v>
      </c>
      <c r="H276" t="n">
        <v>0</v>
      </c>
      <c r="I276" t="n">
        <v>0</v>
      </c>
      <c r="J276" t="n">
        <v>0</v>
      </c>
      <c r="K276" t="n">
        <v>0</v>
      </c>
      <c r="L276" t="n">
        <v>0</v>
      </c>
      <c r="M276" t="n">
        <v>0</v>
      </c>
      <c r="N276" t="n">
        <v>0</v>
      </c>
      <c r="O276" t="n">
        <v>0</v>
      </c>
      <c r="P276" t="n">
        <v>0</v>
      </c>
      <c r="Q276" t="n">
        <v>0</v>
      </c>
      <c r="R276" s="2" t="inlineStr"/>
    </row>
    <row r="277" ht="15" customHeight="1">
      <c r="A277" t="inlineStr">
        <is>
          <t>A 17785-2023</t>
        </is>
      </c>
      <c r="B277" s="1" t="n">
        <v>45037.55094907407</v>
      </c>
      <c r="C277" s="1" t="n">
        <v>45895</v>
      </c>
      <c r="D277" t="inlineStr">
        <is>
          <t>ÖSTERGÖTLANDS LÄN</t>
        </is>
      </c>
      <c r="E277" t="inlineStr">
        <is>
          <t>LINKÖPING</t>
        </is>
      </c>
      <c r="F277" t="inlineStr">
        <is>
          <t>Allmännings- och besparingsskogar</t>
        </is>
      </c>
      <c r="G277" t="n">
        <v>3.1</v>
      </c>
      <c r="H277" t="n">
        <v>0</v>
      </c>
      <c r="I277" t="n">
        <v>0</v>
      </c>
      <c r="J277" t="n">
        <v>0</v>
      </c>
      <c r="K277" t="n">
        <v>0</v>
      </c>
      <c r="L277" t="n">
        <v>0</v>
      </c>
      <c r="M277" t="n">
        <v>0</v>
      </c>
      <c r="N277" t="n">
        <v>0</v>
      </c>
      <c r="O277" t="n">
        <v>0</v>
      </c>
      <c r="P277" t="n">
        <v>0</v>
      </c>
      <c r="Q277" t="n">
        <v>0</v>
      </c>
      <c r="R277" s="2" t="inlineStr"/>
    </row>
    <row r="278" ht="15" customHeight="1">
      <c r="A278" t="inlineStr">
        <is>
          <t>A 32346-2023</t>
        </is>
      </c>
      <c r="B278" s="1" t="n">
        <v>45120</v>
      </c>
      <c r="C278" s="1" t="n">
        <v>45895</v>
      </c>
      <c r="D278" t="inlineStr">
        <is>
          <t>ÖSTERGÖTLANDS LÄN</t>
        </is>
      </c>
      <c r="E278" t="inlineStr">
        <is>
          <t>LINKÖPING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24351-2024</t>
        </is>
      </c>
      <c r="B279" s="1" t="n">
        <v>45457.59011574074</v>
      </c>
      <c r="C279" s="1" t="n">
        <v>45895</v>
      </c>
      <c r="D279" t="inlineStr">
        <is>
          <t>ÖSTERGÖTLANDS LÄN</t>
        </is>
      </c>
      <c r="E279" t="inlineStr">
        <is>
          <t>LINKÖPING</t>
        </is>
      </c>
      <c r="G279" t="n">
        <v>11.9</v>
      </c>
      <c r="H279" t="n">
        <v>0</v>
      </c>
      <c r="I279" t="n">
        <v>0</v>
      </c>
      <c r="J279" t="n">
        <v>0</v>
      </c>
      <c r="K279" t="n">
        <v>0</v>
      </c>
      <c r="L279" t="n">
        <v>0</v>
      </c>
      <c r="M279" t="n">
        <v>0</v>
      </c>
      <c r="N279" t="n">
        <v>0</v>
      </c>
      <c r="O279" t="n">
        <v>0</v>
      </c>
      <c r="P279" t="n">
        <v>0</v>
      </c>
      <c r="Q279" t="n">
        <v>0</v>
      </c>
      <c r="R279" s="2" t="inlineStr"/>
    </row>
    <row r="280" ht="15" customHeight="1">
      <c r="A280" t="inlineStr">
        <is>
          <t>A 1627-2023</t>
        </is>
      </c>
      <c r="B280" s="1" t="n">
        <v>44937</v>
      </c>
      <c r="C280" s="1" t="n">
        <v>45895</v>
      </c>
      <c r="D280" t="inlineStr">
        <is>
          <t>ÖSTERGÖTLANDS LÄN</t>
        </is>
      </c>
      <c r="E280" t="inlineStr">
        <is>
          <t>LINKÖPING</t>
        </is>
      </c>
      <c r="G280" t="n">
        <v>10.8</v>
      </c>
      <c r="H280" t="n">
        <v>0</v>
      </c>
      <c r="I280" t="n">
        <v>0</v>
      </c>
      <c r="J280" t="n">
        <v>0</v>
      </c>
      <c r="K280" t="n">
        <v>0</v>
      </c>
      <c r="L280" t="n">
        <v>0</v>
      </c>
      <c r="M280" t="n">
        <v>0</v>
      </c>
      <c r="N280" t="n">
        <v>0</v>
      </c>
      <c r="O280" t="n">
        <v>0</v>
      </c>
      <c r="P280" t="n">
        <v>0</v>
      </c>
      <c r="Q280" t="n">
        <v>0</v>
      </c>
      <c r="R280" s="2" t="inlineStr"/>
    </row>
    <row r="281" ht="15" customHeight="1">
      <c r="A281" t="inlineStr">
        <is>
          <t>A 62501-2023</t>
        </is>
      </c>
      <c r="B281" s="1" t="n">
        <v>45268</v>
      </c>
      <c r="C281" s="1" t="n">
        <v>45895</v>
      </c>
      <c r="D281" t="inlineStr">
        <is>
          <t>ÖSTERGÖTLANDS LÄN</t>
        </is>
      </c>
      <c r="E281" t="inlineStr">
        <is>
          <t>LINKÖPING</t>
        </is>
      </c>
      <c r="G281" t="n">
        <v>7.4</v>
      </c>
      <c r="H281" t="n">
        <v>0</v>
      </c>
      <c r="I281" t="n">
        <v>0</v>
      </c>
      <c r="J281" t="n">
        <v>0</v>
      </c>
      <c r="K281" t="n">
        <v>0</v>
      </c>
      <c r="L281" t="n">
        <v>0</v>
      </c>
      <c r="M281" t="n">
        <v>0</v>
      </c>
      <c r="N281" t="n">
        <v>0</v>
      </c>
      <c r="O281" t="n">
        <v>0</v>
      </c>
      <c r="P281" t="n">
        <v>0</v>
      </c>
      <c r="Q281" t="n">
        <v>0</v>
      </c>
      <c r="R281" s="2" t="inlineStr"/>
    </row>
    <row r="282" ht="15" customHeight="1">
      <c r="A282" t="inlineStr">
        <is>
          <t>A 58947-2022</t>
        </is>
      </c>
      <c r="B282" s="1" t="n">
        <v>44903.64769675926</v>
      </c>
      <c r="C282" s="1" t="n">
        <v>45895</v>
      </c>
      <c r="D282" t="inlineStr">
        <is>
          <t>ÖSTERGÖTLANDS LÄN</t>
        </is>
      </c>
      <c r="E282" t="inlineStr">
        <is>
          <t>LINKÖPING</t>
        </is>
      </c>
      <c r="G282" t="n">
        <v>4</v>
      </c>
      <c r="H282" t="n">
        <v>0</v>
      </c>
      <c r="I282" t="n">
        <v>0</v>
      </c>
      <c r="J282" t="n">
        <v>0</v>
      </c>
      <c r="K282" t="n">
        <v>0</v>
      </c>
      <c r="L282" t="n">
        <v>0</v>
      </c>
      <c r="M282" t="n">
        <v>0</v>
      </c>
      <c r="N282" t="n">
        <v>0</v>
      </c>
      <c r="O282" t="n">
        <v>0</v>
      </c>
      <c r="P282" t="n">
        <v>0</v>
      </c>
      <c r="Q282" t="n">
        <v>0</v>
      </c>
      <c r="R282" s="2" t="inlineStr"/>
    </row>
    <row r="283" ht="15" customHeight="1">
      <c r="A283" t="inlineStr">
        <is>
          <t>A 49979-2022</t>
        </is>
      </c>
      <c r="B283" s="1" t="n">
        <v>44865</v>
      </c>
      <c r="C283" s="1" t="n">
        <v>45895</v>
      </c>
      <c r="D283" t="inlineStr">
        <is>
          <t>ÖSTERGÖTLANDS LÄN</t>
        </is>
      </c>
      <c r="E283" t="inlineStr">
        <is>
          <t>LINKÖPING</t>
        </is>
      </c>
      <c r="F283" t="inlineStr">
        <is>
          <t>Övriga Aktiebolag</t>
        </is>
      </c>
      <c r="G283" t="n">
        <v>11.4</v>
      </c>
      <c r="H283" t="n">
        <v>0</v>
      </c>
      <c r="I283" t="n">
        <v>0</v>
      </c>
      <c r="J283" t="n">
        <v>0</v>
      </c>
      <c r="K283" t="n">
        <v>0</v>
      </c>
      <c r="L283" t="n">
        <v>0</v>
      </c>
      <c r="M283" t="n">
        <v>0</v>
      </c>
      <c r="N283" t="n">
        <v>0</v>
      </c>
      <c r="O283" t="n">
        <v>0</v>
      </c>
      <c r="P283" t="n">
        <v>0</v>
      </c>
      <c r="Q283" t="n">
        <v>0</v>
      </c>
      <c r="R283" s="2" t="inlineStr"/>
    </row>
    <row r="284" ht="15" customHeight="1">
      <c r="A284" t="inlineStr">
        <is>
          <t>A 53827-2023</t>
        </is>
      </c>
      <c r="B284" s="1" t="n">
        <v>45230</v>
      </c>
      <c r="C284" s="1" t="n">
        <v>45895</v>
      </c>
      <c r="D284" t="inlineStr">
        <is>
          <t>ÖSTERGÖTLANDS LÄN</t>
        </is>
      </c>
      <c r="E284" t="inlineStr">
        <is>
          <t>LINKÖPING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16665-2023</t>
        </is>
      </c>
      <c r="B285" s="1" t="n">
        <v>45030.5583912037</v>
      </c>
      <c r="C285" s="1" t="n">
        <v>45895</v>
      </c>
      <c r="D285" t="inlineStr">
        <is>
          <t>ÖSTERGÖTLANDS LÄN</t>
        </is>
      </c>
      <c r="E285" t="inlineStr">
        <is>
          <t>LINKÖPING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60860-2024</t>
        </is>
      </c>
      <c r="B286" s="1" t="n">
        <v>45644.6893287037</v>
      </c>
      <c r="C286" s="1" t="n">
        <v>45895</v>
      </c>
      <c r="D286" t="inlineStr">
        <is>
          <t>ÖSTERGÖTLANDS LÄN</t>
        </is>
      </c>
      <c r="E286" t="inlineStr">
        <is>
          <t>LINKÖPING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940-2023</t>
        </is>
      </c>
      <c r="B287" s="1" t="n">
        <v>44933</v>
      </c>
      <c r="C287" s="1" t="n">
        <v>45895</v>
      </c>
      <c r="D287" t="inlineStr">
        <is>
          <t>ÖSTERGÖTLANDS LÄN</t>
        </is>
      </c>
      <c r="E287" t="inlineStr">
        <is>
          <t>LINKÖPING</t>
        </is>
      </c>
      <c r="G287" t="n">
        <v>1.5</v>
      </c>
      <c r="H287" t="n">
        <v>0</v>
      </c>
      <c r="I287" t="n">
        <v>0</v>
      </c>
      <c r="J287" t="n">
        <v>0</v>
      </c>
      <c r="K287" t="n">
        <v>0</v>
      </c>
      <c r="L287" t="n">
        <v>0</v>
      </c>
      <c r="M287" t="n">
        <v>0</v>
      </c>
      <c r="N287" t="n">
        <v>0</v>
      </c>
      <c r="O287" t="n">
        <v>0</v>
      </c>
      <c r="P287" t="n">
        <v>0</v>
      </c>
      <c r="Q287" t="n">
        <v>0</v>
      </c>
      <c r="R287" s="2" t="inlineStr"/>
    </row>
    <row r="288" ht="15" customHeight="1">
      <c r="A288" t="inlineStr">
        <is>
          <t>A 31640-2023</t>
        </is>
      </c>
      <c r="B288" s="1" t="n">
        <v>45117</v>
      </c>
      <c r="C288" s="1" t="n">
        <v>45895</v>
      </c>
      <c r="D288" t="inlineStr">
        <is>
          <t>ÖSTERGÖTLANDS LÄN</t>
        </is>
      </c>
      <c r="E288" t="inlineStr">
        <is>
          <t>LINKÖPING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16213-2025</t>
        </is>
      </c>
      <c r="B289" s="1" t="n">
        <v>45750.62740740741</v>
      </c>
      <c r="C289" s="1" t="n">
        <v>45895</v>
      </c>
      <c r="D289" t="inlineStr">
        <is>
          <t>ÖSTERGÖTLANDS LÄN</t>
        </is>
      </c>
      <c r="E289" t="inlineStr">
        <is>
          <t>LINKÖPING</t>
        </is>
      </c>
      <c r="G289" t="n">
        <v>3.4</v>
      </c>
      <c r="H289" t="n">
        <v>0</v>
      </c>
      <c r="I289" t="n">
        <v>0</v>
      </c>
      <c r="J289" t="n">
        <v>0</v>
      </c>
      <c r="K289" t="n">
        <v>0</v>
      </c>
      <c r="L289" t="n">
        <v>0</v>
      </c>
      <c r="M289" t="n">
        <v>0</v>
      </c>
      <c r="N289" t="n">
        <v>0</v>
      </c>
      <c r="O289" t="n">
        <v>0</v>
      </c>
      <c r="P289" t="n">
        <v>0</v>
      </c>
      <c r="Q289" t="n">
        <v>0</v>
      </c>
      <c r="R289" s="2" t="inlineStr"/>
    </row>
    <row r="290" ht="15" customHeight="1">
      <c r="A290" t="inlineStr">
        <is>
          <t>A 7992-2023</t>
        </is>
      </c>
      <c r="B290" s="1" t="n">
        <v>44970</v>
      </c>
      <c r="C290" s="1" t="n">
        <v>45895</v>
      </c>
      <c r="D290" t="inlineStr">
        <is>
          <t>ÖSTERGÖTLANDS LÄN</t>
        </is>
      </c>
      <c r="E290" t="inlineStr">
        <is>
          <t>LINKÖPING</t>
        </is>
      </c>
      <c r="F290" t="inlineStr">
        <is>
          <t>Kommuner</t>
        </is>
      </c>
      <c r="G290" t="n">
        <v>1</v>
      </c>
      <c r="H290" t="n">
        <v>0</v>
      </c>
      <c r="I290" t="n">
        <v>0</v>
      </c>
      <c r="J290" t="n">
        <v>0</v>
      </c>
      <c r="K290" t="n">
        <v>0</v>
      </c>
      <c r="L290" t="n">
        <v>0</v>
      </c>
      <c r="M290" t="n">
        <v>0</v>
      </c>
      <c r="N290" t="n">
        <v>0</v>
      </c>
      <c r="O290" t="n">
        <v>0</v>
      </c>
      <c r="P290" t="n">
        <v>0</v>
      </c>
      <c r="Q290" t="n">
        <v>0</v>
      </c>
      <c r="R290" s="2" t="inlineStr"/>
    </row>
    <row r="291" ht="15" customHeight="1">
      <c r="A291" t="inlineStr">
        <is>
          <t>A 45819-2024</t>
        </is>
      </c>
      <c r="B291" s="1" t="n">
        <v>45579.7454050926</v>
      </c>
      <c r="C291" s="1" t="n">
        <v>45895</v>
      </c>
      <c r="D291" t="inlineStr">
        <is>
          <t>ÖSTERGÖTLANDS LÄN</t>
        </is>
      </c>
      <c r="E291" t="inlineStr">
        <is>
          <t>LINKÖPING</t>
        </is>
      </c>
      <c r="G291" t="n">
        <v>5</v>
      </c>
      <c r="H291" t="n">
        <v>0</v>
      </c>
      <c r="I291" t="n">
        <v>0</v>
      </c>
      <c r="J291" t="n">
        <v>0</v>
      </c>
      <c r="K291" t="n">
        <v>0</v>
      </c>
      <c r="L291" t="n">
        <v>0</v>
      </c>
      <c r="M291" t="n">
        <v>0</v>
      </c>
      <c r="N291" t="n">
        <v>0</v>
      </c>
      <c r="O291" t="n">
        <v>0</v>
      </c>
      <c r="P291" t="n">
        <v>0</v>
      </c>
      <c r="Q291" t="n">
        <v>0</v>
      </c>
      <c r="R291" s="2" t="inlineStr"/>
    </row>
    <row r="292" ht="15" customHeight="1">
      <c r="A292" t="inlineStr">
        <is>
          <t>A 3041-2024</t>
        </is>
      </c>
      <c r="B292" s="1" t="n">
        <v>45316.34875</v>
      </c>
      <c r="C292" s="1" t="n">
        <v>45895</v>
      </c>
      <c r="D292" t="inlineStr">
        <is>
          <t>ÖSTERGÖTLANDS LÄN</t>
        </is>
      </c>
      <c r="E292" t="inlineStr">
        <is>
          <t>LINKÖPING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3043-2024</t>
        </is>
      </c>
      <c r="B293" s="1" t="n">
        <v>45316</v>
      </c>
      <c r="C293" s="1" t="n">
        <v>45895</v>
      </c>
      <c r="D293" t="inlineStr">
        <is>
          <t>ÖSTERGÖTLANDS LÄN</t>
        </is>
      </c>
      <c r="E293" t="inlineStr">
        <is>
          <t>LINKÖPING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34872-2023</t>
        </is>
      </c>
      <c r="B294" s="1" t="n">
        <v>45140</v>
      </c>
      <c r="C294" s="1" t="n">
        <v>45895</v>
      </c>
      <c r="D294" t="inlineStr">
        <is>
          <t>ÖSTERGÖTLANDS LÄN</t>
        </is>
      </c>
      <c r="E294" t="inlineStr">
        <is>
          <t>LINKÖPING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33000-2023</t>
        </is>
      </c>
      <c r="B295" s="1" t="n">
        <v>45125</v>
      </c>
      <c r="C295" s="1" t="n">
        <v>45895</v>
      </c>
      <c r="D295" t="inlineStr">
        <is>
          <t>ÖSTERGÖTLANDS LÄN</t>
        </is>
      </c>
      <c r="E295" t="inlineStr">
        <is>
          <t>LINKÖPING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42413-2020</t>
        </is>
      </c>
      <c r="B296" s="1" t="n">
        <v>44076</v>
      </c>
      <c r="C296" s="1" t="n">
        <v>45895</v>
      </c>
      <c r="D296" t="inlineStr">
        <is>
          <t>ÖSTERGÖTLANDS LÄN</t>
        </is>
      </c>
      <c r="E296" t="inlineStr">
        <is>
          <t>LINKÖPING</t>
        </is>
      </c>
      <c r="G296" t="n">
        <v>2.1</v>
      </c>
      <c r="H296" t="n">
        <v>0</v>
      </c>
      <c r="I296" t="n">
        <v>0</v>
      </c>
      <c r="J296" t="n">
        <v>0</v>
      </c>
      <c r="K296" t="n">
        <v>0</v>
      </c>
      <c r="L296" t="n">
        <v>0</v>
      </c>
      <c r="M296" t="n">
        <v>0</v>
      </c>
      <c r="N296" t="n">
        <v>0</v>
      </c>
      <c r="O296" t="n">
        <v>0</v>
      </c>
      <c r="P296" t="n">
        <v>0</v>
      </c>
      <c r="Q296" t="n">
        <v>0</v>
      </c>
      <c r="R296" s="2" t="inlineStr"/>
    </row>
    <row r="297" ht="15" customHeight="1">
      <c r="A297" t="inlineStr">
        <is>
          <t>A 3042-2024</t>
        </is>
      </c>
      <c r="B297" s="1" t="n">
        <v>45316.35028935185</v>
      </c>
      <c r="C297" s="1" t="n">
        <v>45895</v>
      </c>
      <c r="D297" t="inlineStr">
        <is>
          <t>ÖSTERGÖTLANDS LÄN</t>
        </is>
      </c>
      <c r="E297" t="inlineStr">
        <is>
          <t>LINKÖPING</t>
        </is>
      </c>
      <c r="G297" t="n">
        <v>3.1</v>
      </c>
      <c r="H297" t="n">
        <v>0</v>
      </c>
      <c r="I297" t="n">
        <v>0</v>
      </c>
      <c r="J297" t="n">
        <v>0</v>
      </c>
      <c r="K297" t="n">
        <v>0</v>
      </c>
      <c r="L297" t="n">
        <v>0</v>
      </c>
      <c r="M297" t="n">
        <v>0</v>
      </c>
      <c r="N297" t="n">
        <v>0</v>
      </c>
      <c r="O297" t="n">
        <v>0</v>
      </c>
      <c r="P297" t="n">
        <v>0</v>
      </c>
      <c r="Q297" t="n">
        <v>0</v>
      </c>
      <c r="R297" s="2" t="inlineStr"/>
    </row>
    <row r="298" ht="15" customHeight="1">
      <c r="A298" t="inlineStr">
        <is>
          <t>A 3530-2024</t>
        </is>
      </c>
      <c r="B298" s="1" t="n">
        <v>45320.54717592592</v>
      </c>
      <c r="C298" s="1" t="n">
        <v>45895</v>
      </c>
      <c r="D298" t="inlineStr">
        <is>
          <t>ÖSTERGÖTLANDS LÄN</t>
        </is>
      </c>
      <c r="E298" t="inlineStr">
        <is>
          <t>LINKÖPING</t>
        </is>
      </c>
      <c r="G298" t="n">
        <v>1.5</v>
      </c>
      <c r="H298" t="n">
        <v>0</v>
      </c>
      <c r="I298" t="n">
        <v>0</v>
      </c>
      <c r="J298" t="n">
        <v>0</v>
      </c>
      <c r="K298" t="n">
        <v>0</v>
      </c>
      <c r="L298" t="n">
        <v>0</v>
      </c>
      <c r="M298" t="n">
        <v>0</v>
      </c>
      <c r="N298" t="n">
        <v>0</v>
      </c>
      <c r="O298" t="n">
        <v>0</v>
      </c>
      <c r="P298" t="n">
        <v>0</v>
      </c>
      <c r="Q298" t="n">
        <v>0</v>
      </c>
      <c r="R298" s="2" t="inlineStr"/>
    </row>
    <row r="299" ht="15" customHeight="1">
      <c r="A299" t="inlineStr">
        <is>
          <t>A 57752-2023</t>
        </is>
      </c>
      <c r="B299" s="1" t="n">
        <v>45246.78474537037</v>
      </c>
      <c r="C299" s="1" t="n">
        <v>45895</v>
      </c>
      <c r="D299" t="inlineStr">
        <is>
          <t>ÖSTERGÖTLANDS LÄN</t>
        </is>
      </c>
      <c r="E299" t="inlineStr">
        <is>
          <t>LINKÖPING</t>
        </is>
      </c>
      <c r="G299" t="n">
        <v>1.1</v>
      </c>
      <c r="H299" t="n">
        <v>0</v>
      </c>
      <c r="I299" t="n">
        <v>0</v>
      </c>
      <c r="J299" t="n">
        <v>0</v>
      </c>
      <c r="K299" t="n">
        <v>0</v>
      </c>
      <c r="L299" t="n">
        <v>0</v>
      </c>
      <c r="M299" t="n">
        <v>0</v>
      </c>
      <c r="N299" t="n">
        <v>0</v>
      </c>
      <c r="O299" t="n">
        <v>0</v>
      </c>
      <c r="P299" t="n">
        <v>0</v>
      </c>
      <c r="Q299" t="n">
        <v>0</v>
      </c>
      <c r="R299" s="2" t="inlineStr"/>
    </row>
    <row r="300" ht="15" customHeight="1">
      <c r="A300" t="inlineStr">
        <is>
          <t>A 2997-2025</t>
        </is>
      </c>
      <c r="B300" s="1" t="n">
        <v>45678.54631944445</v>
      </c>
      <c r="C300" s="1" t="n">
        <v>45895</v>
      </c>
      <c r="D300" t="inlineStr">
        <is>
          <t>ÖSTERGÖTLANDS LÄN</t>
        </is>
      </c>
      <c r="E300" t="inlineStr">
        <is>
          <t>LINKÖPING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31534-2023</t>
        </is>
      </c>
      <c r="B301" s="1" t="n">
        <v>45116</v>
      </c>
      <c r="C301" s="1" t="n">
        <v>45895</v>
      </c>
      <c r="D301" t="inlineStr">
        <is>
          <t>ÖSTERGÖTLANDS LÄN</t>
        </is>
      </c>
      <c r="E301" t="inlineStr">
        <is>
          <t>LINKÖPING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26803-2024</t>
        </is>
      </c>
      <c r="B302" s="1" t="n">
        <v>45470</v>
      </c>
      <c r="C302" s="1" t="n">
        <v>45895</v>
      </c>
      <c r="D302" t="inlineStr">
        <is>
          <t>ÖSTERGÖTLANDS LÄN</t>
        </is>
      </c>
      <c r="E302" t="inlineStr">
        <is>
          <t>LINKÖPING</t>
        </is>
      </c>
      <c r="F302" t="inlineStr">
        <is>
          <t>Allmännings- och besparingsskogar</t>
        </is>
      </c>
      <c r="G302" t="n">
        <v>4.5</v>
      </c>
      <c r="H302" t="n">
        <v>0</v>
      </c>
      <c r="I302" t="n">
        <v>0</v>
      </c>
      <c r="J302" t="n">
        <v>0</v>
      </c>
      <c r="K302" t="n">
        <v>0</v>
      </c>
      <c r="L302" t="n">
        <v>0</v>
      </c>
      <c r="M302" t="n">
        <v>0</v>
      </c>
      <c r="N302" t="n">
        <v>0</v>
      </c>
      <c r="O302" t="n">
        <v>0</v>
      </c>
      <c r="P302" t="n">
        <v>0</v>
      </c>
      <c r="Q302" t="n">
        <v>0</v>
      </c>
      <c r="R302" s="2" t="inlineStr"/>
    </row>
    <row r="303" ht="15" customHeight="1">
      <c r="A303" t="inlineStr">
        <is>
          <t>A 44535-2020</t>
        </is>
      </c>
      <c r="B303" s="1" t="n">
        <v>44085</v>
      </c>
      <c r="C303" s="1" t="n">
        <v>45895</v>
      </c>
      <c r="D303" t="inlineStr">
        <is>
          <t>ÖSTERGÖTLANDS LÄN</t>
        </is>
      </c>
      <c r="E303" t="inlineStr">
        <is>
          <t>LINKÖPING</t>
        </is>
      </c>
      <c r="F303" t="inlineStr">
        <is>
          <t>Övriga Aktiebolag</t>
        </is>
      </c>
      <c r="G303" t="n">
        <v>1.1</v>
      </c>
      <c r="H303" t="n">
        <v>0</v>
      </c>
      <c r="I303" t="n">
        <v>0</v>
      </c>
      <c r="J303" t="n">
        <v>0</v>
      </c>
      <c r="K303" t="n">
        <v>0</v>
      </c>
      <c r="L303" t="n">
        <v>0</v>
      </c>
      <c r="M303" t="n">
        <v>0</v>
      </c>
      <c r="N303" t="n">
        <v>0</v>
      </c>
      <c r="O303" t="n">
        <v>0</v>
      </c>
      <c r="P303" t="n">
        <v>0</v>
      </c>
      <c r="Q303" t="n">
        <v>0</v>
      </c>
      <c r="R303" s="2" t="inlineStr"/>
    </row>
    <row r="304" ht="15" customHeight="1">
      <c r="A304" t="inlineStr">
        <is>
          <t>A 45806-2024</t>
        </is>
      </c>
      <c r="B304" s="1" t="n">
        <v>45579.69619212963</v>
      </c>
      <c r="C304" s="1" t="n">
        <v>45895</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10253-2022</t>
        </is>
      </c>
      <c r="B305" s="1" t="n">
        <v>44622</v>
      </c>
      <c r="C305" s="1" t="n">
        <v>45895</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62686-2023</t>
        </is>
      </c>
      <c r="B306" s="1" t="n">
        <v>45271</v>
      </c>
      <c r="C306" s="1" t="n">
        <v>45895</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55345-2021</t>
        </is>
      </c>
      <c r="B307" s="1" t="n">
        <v>44475</v>
      </c>
      <c r="C307" s="1" t="n">
        <v>45895</v>
      </c>
      <c r="D307" t="inlineStr">
        <is>
          <t>ÖSTERGÖTLANDS LÄN</t>
        </is>
      </c>
      <c r="E307" t="inlineStr">
        <is>
          <t>LINKÖPING</t>
        </is>
      </c>
      <c r="G307" t="n">
        <v>5.7</v>
      </c>
      <c r="H307" t="n">
        <v>0</v>
      </c>
      <c r="I307" t="n">
        <v>0</v>
      </c>
      <c r="J307" t="n">
        <v>0</v>
      </c>
      <c r="K307" t="n">
        <v>0</v>
      </c>
      <c r="L307" t="n">
        <v>0</v>
      </c>
      <c r="M307" t="n">
        <v>0</v>
      </c>
      <c r="N307" t="n">
        <v>0</v>
      </c>
      <c r="O307" t="n">
        <v>0</v>
      </c>
      <c r="P307" t="n">
        <v>0</v>
      </c>
      <c r="Q307" t="n">
        <v>0</v>
      </c>
      <c r="R307" s="2" t="inlineStr"/>
    </row>
    <row r="308" ht="15" customHeight="1">
      <c r="A308" t="inlineStr">
        <is>
          <t>A 9473-2024</t>
        </is>
      </c>
      <c r="B308" s="1" t="n">
        <v>45359.55474537037</v>
      </c>
      <c r="C308" s="1" t="n">
        <v>45895</v>
      </c>
      <c r="D308" t="inlineStr">
        <is>
          <t>ÖSTERGÖTLANDS LÄN</t>
        </is>
      </c>
      <c r="E308" t="inlineStr">
        <is>
          <t>LINKÖPING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63489-2023</t>
        </is>
      </c>
      <c r="B309" s="1" t="n">
        <v>45274.66761574074</v>
      </c>
      <c r="C309" s="1" t="n">
        <v>45895</v>
      </c>
      <c r="D309" t="inlineStr">
        <is>
          <t>ÖSTERGÖTLANDS LÄN</t>
        </is>
      </c>
      <c r="E309" t="inlineStr">
        <is>
          <t>LINKÖPING</t>
        </is>
      </c>
      <c r="G309" t="n">
        <v>2.3</v>
      </c>
      <c r="H309" t="n">
        <v>0</v>
      </c>
      <c r="I309" t="n">
        <v>0</v>
      </c>
      <c r="J309" t="n">
        <v>0</v>
      </c>
      <c r="K309" t="n">
        <v>0</v>
      </c>
      <c r="L309" t="n">
        <v>0</v>
      </c>
      <c r="M309" t="n">
        <v>0</v>
      </c>
      <c r="N309" t="n">
        <v>0</v>
      </c>
      <c r="O309" t="n">
        <v>0</v>
      </c>
      <c r="P309" t="n">
        <v>0</v>
      </c>
      <c r="Q309" t="n">
        <v>0</v>
      </c>
      <c r="R309" s="2" t="inlineStr"/>
    </row>
    <row r="310" ht="15" customHeight="1">
      <c r="A310" t="inlineStr">
        <is>
          <t>A 37154-2023</t>
        </is>
      </c>
      <c r="B310" s="1" t="n">
        <v>45155</v>
      </c>
      <c r="C310" s="1" t="n">
        <v>45895</v>
      </c>
      <c r="D310" t="inlineStr">
        <is>
          <t>ÖSTERGÖTLANDS LÄN</t>
        </is>
      </c>
      <c r="E310" t="inlineStr">
        <is>
          <t>LINKÖPING</t>
        </is>
      </c>
      <c r="G310" t="n">
        <v>1.7</v>
      </c>
      <c r="H310" t="n">
        <v>0</v>
      </c>
      <c r="I310" t="n">
        <v>0</v>
      </c>
      <c r="J310" t="n">
        <v>0</v>
      </c>
      <c r="K310" t="n">
        <v>0</v>
      </c>
      <c r="L310" t="n">
        <v>0</v>
      </c>
      <c r="M310" t="n">
        <v>0</v>
      </c>
      <c r="N310" t="n">
        <v>0</v>
      </c>
      <c r="O310" t="n">
        <v>0</v>
      </c>
      <c r="P310" t="n">
        <v>0</v>
      </c>
      <c r="Q310" t="n">
        <v>0</v>
      </c>
      <c r="R310" s="2" t="inlineStr"/>
    </row>
    <row r="311" ht="15" customHeight="1">
      <c r="A311" t="inlineStr">
        <is>
          <t>A 10797-2024</t>
        </is>
      </c>
      <c r="B311" s="1" t="n">
        <v>45369.6190162037</v>
      </c>
      <c r="C311" s="1" t="n">
        <v>45895</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11330-2023</t>
        </is>
      </c>
      <c r="B312" s="1" t="n">
        <v>44993.24648148148</v>
      </c>
      <c r="C312" s="1" t="n">
        <v>45895</v>
      </c>
      <c r="D312" t="inlineStr">
        <is>
          <t>ÖSTERGÖTLANDS LÄN</t>
        </is>
      </c>
      <c r="E312" t="inlineStr">
        <is>
          <t>LINKÖPING</t>
        </is>
      </c>
      <c r="G312" t="n">
        <v>1.1</v>
      </c>
      <c r="H312" t="n">
        <v>0</v>
      </c>
      <c r="I312" t="n">
        <v>0</v>
      </c>
      <c r="J312" t="n">
        <v>0</v>
      </c>
      <c r="K312" t="n">
        <v>0</v>
      </c>
      <c r="L312" t="n">
        <v>0</v>
      </c>
      <c r="M312" t="n">
        <v>0</v>
      </c>
      <c r="N312" t="n">
        <v>0</v>
      </c>
      <c r="O312" t="n">
        <v>0</v>
      </c>
      <c r="P312" t="n">
        <v>0</v>
      </c>
      <c r="Q312" t="n">
        <v>0</v>
      </c>
      <c r="R312" s="2" t="inlineStr"/>
    </row>
    <row r="313" ht="15" customHeight="1">
      <c r="A313" t="inlineStr">
        <is>
          <t>A 22264-2025</t>
        </is>
      </c>
      <c r="B313" s="1" t="n">
        <v>45785</v>
      </c>
      <c r="C313" s="1" t="n">
        <v>45895</v>
      </c>
      <c r="D313" t="inlineStr">
        <is>
          <t>ÖSTERGÖTLANDS LÄN</t>
        </is>
      </c>
      <c r="E313" t="inlineStr">
        <is>
          <t>LINKÖPING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42000-2023</t>
        </is>
      </c>
      <c r="B314" s="1" t="n">
        <v>45177</v>
      </c>
      <c r="C314" s="1" t="n">
        <v>45895</v>
      </c>
      <c r="D314" t="inlineStr">
        <is>
          <t>ÖSTERGÖTLANDS LÄN</t>
        </is>
      </c>
      <c r="E314" t="inlineStr">
        <is>
          <t>LINKÖPING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32602-2022</t>
        </is>
      </c>
      <c r="B315" s="1" t="n">
        <v>44783.43192129629</v>
      </c>
      <c r="C315" s="1" t="n">
        <v>45895</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47876-2020</t>
        </is>
      </c>
      <c r="B316" s="1" t="n">
        <v>44099</v>
      </c>
      <c r="C316" s="1" t="n">
        <v>45895</v>
      </c>
      <c r="D316" t="inlineStr">
        <is>
          <t>ÖSTERGÖTLANDS LÄN</t>
        </is>
      </c>
      <c r="E316" t="inlineStr">
        <is>
          <t>LINKÖPING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6859-2024</t>
        </is>
      </c>
      <c r="B317" s="1" t="n">
        <v>45342</v>
      </c>
      <c r="C317" s="1" t="n">
        <v>45895</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70-2024</t>
        </is>
      </c>
      <c r="B318" s="1" t="n">
        <v>45293</v>
      </c>
      <c r="C318" s="1" t="n">
        <v>45895</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38580-2024</t>
        </is>
      </c>
      <c r="B319" s="1" t="n">
        <v>45546.64825231482</v>
      </c>
      <c r="C319" s="1" t="n">
        <v>45895</v>
      </c>
      <c r="D319" t="inlineStr">
        <is>
          <t>ÖSTERGÖTLANDS LÄN</t>
        </is>
      </c>
      <c r="E319" t="inlineStr">
        <is>
          <t>LINKÖPING</t>
        </is>
      </c>
      <c r="G319" t="n">
        <v>4.8</v>
      </c>
      <c r="H319" t="n">
        <v>0</v>
      </c>
      <c r="I319" t="n">
        <v>0</v>
      </c>
      <c r="J319" t="n">
        <v>0</v>
      </c>
      <c r="K319" t="n">
        <v>0</v>
      </c>
      <c r="L319" t="n">
        <v>0</v>
      </c>
      <c r="M319" t="n">
        <v>0</v>
      </c>
      <c r="N319" t="n">
        <v>0</v>
      </c>
      <c r="O319" t="n">
        <v>0</v>
      </c>
      <c r="P319" t="n">
        <v>0</v>
      </c>
      <c r="Q319" t="n">
        <v>0</v>
      </c>
      <c r="R319" s="2" t="inlineStr"/>
    </row>
    <row r="320" ht="15" customHeight="1">
      <c r="A320" t="inlineStr">
        <is>
          <t>A 572-2025</t>
        </is>
      </c>
      <c r="B320" s="1" t="n">
        <v>45664.56349537037</v>
      </c>
      <c r="C320" s="1" t="n">
        <v>45895</v>
      </c>
      <c r="D320" t="inlineStr">
        <is>
          <t>ÖSTERGÖTLANDS LÄN</t>
        </is>
      </c>
      <c r="E320" t="inlineStr">
        <is>
          <t>LINKÖPING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22364-2025</t>
        </is>
      </c>
      <c r="B321" s="1" t="n">
        <v>45786.46930555555</v>
      </c>
      <c r="C321" s="1" t="n">
        <v>45895</v>
      </c>
      <c r="D321" t="inlineStr">
        <is>
          <t>ÖSTERGÖTLANDS LÄN</t>
        </is>
      </c>
      <c r="E321" t="inlineStr">
        <is>
          <t>LINKÖPING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44287-2024</t>
        </is>
      </c>
      <c r="B322" s="1" t="n">
        <v>45573.50582175926</v>
      </c>
      <c r="C322" s="1" t="n">
        <v>45895</v>
      </c>
      <c r="D322" t="inlineStr">
        <is>
          <t>ÖSTERGÖTLANDS LÄN</t>
        </is>
      </c>
      <c r="E322" t="inlineStr">
        <is>
          <t>LINKÖPING</t>
        </is>
      </c>
      <c r="G322" t="n">
        <v>12.7</v>
      </c>
      <c r="H322" t="n">
        <v>0</v>
      </c>
      <c r="I322" t="n">
        <v>0</v>
      </c>
      <c r="J322" t="n">
        <v>0</v>
      </c>
      <c r="K322" t="n">
        <v>0</v>
      </c>
      <c r="L322" t="n">
        <v>0</v>
      </c>
      <c r="M322" t="n">
        <v>0</v>
      </c>
      <c r="N322" t="n">
        <v>0</v>
      </c>
      <c r="O322" t="n">
        <v>0</v>
      </c>
      <c r="P322" t="n">
        <v>0</v>
      </c>
      <c r="Q322" t="n">
        <v>0</v>
      </c>
      <c r="R322" s="2" t="inlineStr"/>
    </row>
    <row r="323" ht="15" customHeight="1">
      <c r="A323" t="inlineStr">
        <is>
          <t>A 6782-2024</t>
        </is>
      </c>
      <c r="B323" s="1" t="n">
        <v>45342</v>
      </c>
      <c r="C323" s="1" t="n">
        <v>45895</v>
      </c>
      <c r="D323" t="inlineStr">
        <is>
          <t>ÖSTERGÖTLANDS LÄN</t>
        </is>
      </c>
      <c r="E323" t="inlineStr">
        <is>
          <t>LINKÖPING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617-2024</t>
        </is>
      </c>
      <c r="B324" s="1" t="n">
        <v>45299.66028935185</v>
      </c>
      <c r="C324" s="1" t="n">
        <v>45895</v>
      </c>
      <c r="D324" t="inlineStr">
        <is>
          <t>ÖSTERGÖTLANDS LÄN</t>
        </is>
      </c>
      <c r="E324" t="inlineStr">
        <is>
          <t>LINKÖPING</t>
        </is>
      </c>
      <c r="G324" t="n">
        <v>1.4</v>
      </c>
      <c r="H324" t="n">
        <v>0</v>
      </c>
      <c r="I324" t="n">
        <v>0</v>
      </c>
      <c r="J324" t="n">
        <v>0</v>
      </c>
      <c r="K324" t="n">
        <v>0</v>
      </c>
      <c r="L324" t="n">
        <v>0</v>
      </c>
      <c r="M324" t="n">
        <v>0</v>
      </c>
      <c r="N324" t="n">
        <v>0</v>
      </c>
      <c r="O324" t="n">
        <v>0</v>
      </c>
      <c r="P324" t="n">
        <v>0</v>
      </c>
      <c r="Q324" t="n">
        <v>0</v>
      </c>
      <c r="R324" s="2" t="inlineStr"/>
    </row>
    <row r="325" ht="15" customHeight="1">
      <c r="A325" t="inlineStr">
        <is>
          <t>A 670-2024</t>
        </is>
      </c>
      <c r="B325" s="1" t="n">
        <v>45300.3408912037</v>
      </c>
      <c r="C325" s="1" t="n">
        <v>45895</v>
      </c>
      <c r="D325" t="inlineStr">
        <is>
          <t>ÖSTERGÖTLANDS LÄN</t>
        </is>
      </c>
      <c r="E325" t="inlineStr">
        <is>
          <t>LINKÖPING</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52125-2022</t>
        </is>
      </c>
      <c r="B326" s="1" t="n">
        <v>44873</v>
      </c>
      <c r="C326" s="1" t="n">
        <v>45895</v>
      </c>
      <c r="D326" t="inlineStr">
        <is>
          <t>ÖSTERGÖTLANDS LÄN</t>
        </is>
      </c>
      <c r="E326" t="inlineStr">
        <is>
          <t>LINKÖPING</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13413-2023</t>
        </is>
      </c>
      <c r="B327" s="1" t="n">
        <v>45005.58341435185</v>
      </c>
      <c r="C327" s="1" t="n">
        <v>45895</v>
      </c>
      <c r="D327" t="inlineStr">
        <is>
          <t>ÖSTERGÖTLANDS LÄN</t>
        </is>
      </c>
      <c r="E327" t="inlineStr">
        <is>
          <t>LINKÖPING</t>
        </is>
      </c>
      <c r="G327" t="n">
        <v>2.4</v>
      </c>
      <c r="H327" t="n">
        <v>0</v>
      </c>
      <c r="I327" t="n">
        <v>0</v>
      </c>
      <c r="J327" t="n">
        <v>0</v>
      </c>
      <c r="K327" t="n">
        <v>0</v>
      </c>
      <c r="L327" t="n">
        <v>0</v>
      </c>
      <c r="M327" t="n">
        <v>0</v>
      </c>
      <c r="N327" t="n">
        <v>0</v>
      </c>
      <c r="O327" t="n">
        <v>0</v>
      </c>
      <c r="P327" t="n">
        <v>0</v>
      </c>
      <c r="Q327" t="n">
        <v>0</v>
      </c>
      <c r="R327" s="2" t="inlineStr"/>
    </row>
    <row r="328" ht="15" customHeight="1">
      <c r="A328" t="inlineStr">
        <is>
          <t>A 29312-2024</t>
        </is>
      </c>
      <c r="B328" s="1" t="n">
        <v>45483</v>
      </c>
      <c r="C328" s="1" t="n">
        <v>45895</v>
      </c>
      <c r="D328" t="inlineStr">
        <is>
          <t>ÖSTERGÖTLANDS LÄN</t>
        </is>
      </c>
      <c r="E328" t="inlineStr">
        <is>
          <t>LINKÖPING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1084-2023</t>
        </is>
      </c>
      <c r="B329" s="1" t="n">
        <v>44929</v>
      </c>
      <c r="C329" s="1" t="n">
        <v>45895</v>
      </c>
      <c r="D329" t="inlineStr">
        <is>
          <t>ÖSTERGÖTLANDS LÄN</t>
        </is>
      </c>
      <c r="E329" t="inlineStr">
        <is>
          <t>LINKÖPING</t>
        </is>
      </c>
      <c r="G329" t="n">
        <v>10.4</v>
      </c>
      <c r="H329" t="n">
        <v>0</v>
      </c>
      <c r="I329" t="n">
        <v>0</v>
      </c>
      <c r="J329" t="n">
        <v>0</v>
      </c>
      <c r="K329" t="n">
        <v>0</v>
      </c>
      <c r="L329" t="n">
        <v>0</v>
      </c>
      <c r="M329" t="n">
        <v>0</v>
      </c>
      <c r="N329" t="n">
        <v>0</v>
      </c>
      <c r="O329" t="n">
        <v>0</v>
      </c>
      <c r="P329" t="n">
        <v>0</v>
      </c>
      <c r="Q329" t="n">
        <v>0</v>
      </c>
      <c r="R329" s="2" t="inlineStr"/>
    </row>
    <row r="330" ht="15" customHeight="1">
      <c r="A330" t="inlineStr">
        <is>
          <t>A 63528-2023</t>
        </is>
      </c>
      <c r="B330" s="1" t="n">
        <v>45274.94810185185</v>
      </c>
      <c r="C330" s="1" t="n">
        <v>45895</v>
      </c>
      <c r="D330" t="inlineStr">
        <is>
          <t>ÖSTERGÖTLANDS LÄN</t>
        </is>
      </c>
      <c r="E330" t="inlineStr">
        <is>
          <t>LINKÖPING</t>
        </is>
      </c>
      <c r="G330" t="n">
        <v>1.6</v>
      </c>
      <c r="H330" t="n">
        <v>0</v>
      </c>
      <c r="I330" t="n">
        <v>0</v>
      </c>
      <c r="J330" t="n">
        <v>0</v>
      </c>
      <c r="K330" t="n">
        <v>0</v>
      </c>
      <c r="L330" t="n">
        <v>0</v>
      </c>
      <c r="M330" t="n">
        <v>0</v>
      </c>
      <c r="N330" t="n">
        <v>0</v>
      </c>
      <c r="O330" t="n">
        <v>0</v>
      </c>
      <c r="P330" t="n">
        <v>0</v>
      </c>
      <c r="Q330" t="n">
        <v>0</v>
      </c>
      <c r="R330" s="2" t="inlineStr"/>
    </row>
    <row r="331" ht="15" customHeight="1">
      <c r="A331" t="inlineStr">
        <is>
          <t>A 63638-2023</t>
        </is>
      </c>
      <c r="B331" s="1" t="n">
        <v>45275</v>
      </c>
      <c r="C331" s="1" t="n">
        <v>45895</v>
      </c>
      <c r="D331" t="inlineStr">
        <is>
          <t>ÖSTERGÖTLANDS LÄN</t>
        </is>
      </c>
      <c r="E331" t="inlineStr">
        <is>
          <t>LINKÖPING</t>
        </is>
      </c>
      <c r="F331" t="inlineStr">
        <is>
          <t>Övriga Aktiebolag</t>
        </is>
      </c>
      <c r="G331" t="n">
        <v>2.4</v>
      </c>
      <c r="H331" t="n">
        <v>0</v>
      </c>
      <c r="I331" t="n">
        <v>0</v>
      </c>
      <c r="J331" t="n">
        <v>0</v>
      </c>
      <c r="K331" t="n">
        <v>0</v>
      </c>
      <c r="L331" t="n">
        <v>0</v>
      </c>
      <c r="M331" t="n">
        <v>0</v>
      </c>
      <c r="N331" t="n">
        <v>0</v>
      </c>
      <c r="O331" t="n">
        <v>0</v>
      </c>
      <c r="P331" t="n">
        <v>0</v>
      </c>
      <c r="Q331" t="n">
        <v>0</v>
      </c>
      <c r="R331" s="2" t="inlineStr"/>
    </row>
    <row r="332" ht="15" customHeight="1">
      <c r="A332" t="inlineStr">
        <is>
          <t>A 63658-2023</t>
        </is>
      </c>
      <c r="B332" s="1" t="n">
        <v>45275</v>
      </c>
      <c r="C332" s="1" t="n">
        <v>45895</v>
      </c>
      <c r="D332" t="inlineStr">
        <is>
          <t>ÖSTERGÖTLANDS LÄN</t>
        </is>
      </c>
      <c r="E332" t="inlineStr">
        <is>
          <t>LINKÖPING</t>
        </is>
      </c>
      <c r="F332" t="inlineStr">
        <is>
          <t>Övriga Aktiebolag</t>
        </is>
      </c>
      <c r="G332" t="n">
        <v>1.5</v>
      </c>
      <c r="H332" t="n">
        <v>0</v>
      </c>
      <c r="I332" t="n">
        <v>0</v>
      </c>
      <c r="J332" t="n">
        <v>0</v>
      </c>
      <c r="K332" t="n">
        <v>0</v>
      </c>
      <c r="L332" t="n">
        <v>0</v>
      </c>
      <c r="M332" t="n">
        <v>0</v>
      </c>
      <c r="N332" t="n">
        <v>0</v>
      </c>
      <c r="O332" t="n">
        <v>0</v>
      </c>
      <c r="P332" t="n">
        <v>0</v>
      </c>
      <c r="Q332" t="n">
        <v>0</v>
      </c>
      <c r="R332" s="2" t="inlineStr"/>
    </row>
    <row r="333" ht="15" customHeight="1">
      <c r="A333" t="inlineStr">
        <is>
          <t>A 37683-2024</t>
        </is>
      </c>
      <c r="B333" s="1" t="n">
        <v>45541.59120370371</v>
      </c>
      <c r="C333" s="1" t="n">
        <v>45895</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7808-2022</t>
        </is>
      </c>
      <c r="B334" s="1" t="n">
        <v>44608</v>
      </c>
      <c r="C334" s="1" t="n">
        <v>45895</v>
      </c>
      <c r="D334" t="inlineStr">
        <is>
          <t>ÖSTERGÖTLANDS LÄN</t>
        </is>
      </c>
      <c r="E334" t="inlineStr">
        <is>
          <t>LINKÖPING</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29859-2024</t>
        </is>
      </c>
      <c r="B335" s="1" t="n">
        <v>45485.6846412037</v>
      </c>
      <c r="C335" s="1" t="n">
        <v>45895</v>
      </c>
      <c r="D335" t="inlineStr">
        <is>
          <t>ÖSTERGÖTLANDS LÄN</t>
        </is>
      </c>
      <c r="E335" t="inlineStr">
        <is>
          <t>LINKÖPING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36336-2023</t>
        </is>
      </c>
      <c r="B336" s="1" t="n">
        <v>45152.45078703704</v>
      </c>
      <c r="C336" s="1" t="n">
        <v>45895</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51571-2024</t>
        </is>
      </c>
      <c r="B337" s="1" t="n">
        <v>45604</v>
      </c>
      <c r="C337" s="1" t="n">
        <v>45895</v>
      </c>
      <c r="D337" t="inlineStr">
        <is>
          <t>ÖSTERGÖTLANDS LÄN</t>
        </is>
      </c>
      <c r="E337" t="inlineStr">
        <is>
          <t>LINKÖPING</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223-2024</t>
        </is>
      </c>
      <c r="B338" s="1" t="n">
        <v>45294.72739583333</v>
      </c>
      <c r="C338" s="1" t="n">
        <v>45895</v>
      </c>
      <c r="D338" t="inlineStr">
        <is>
          <t>ÖSTERGÖTLANDS LÄN</t>
        </is>
      </c>
      <c r="E338" t="inlineStr">
        <is>
          <t>LINKÖPING</t>
        </is>
      </c>
      <c r="G338" t="n">
        <v>2.2</v>
      </c>
      <c r="H338" t="n">
        <v>0</v>
      </c>
      <c r="I338" t="n">
        <v>0</v>
      </c>
      <c r="J338" t="n">
        <v>0</v>
      </c>
      <c r="K338" t="n">
        <v>0</v>
      </c>
      <c r="L338" t="n">
        <v>0</v>
      </c>
      <c r="M338" t="n">
        <v>0</v>
      </c>
      <c r="N338" t="n">
        <v>0</v>
      </c>
      <c r="O338" t="n">
        <v>0</v>
      </c>
      <c r="P338" t="n">
        <v>0</v>
      </c>
      <c r="Q338" t="n">
        <v>0</v>
      </c>
      <c r="R338" s="2" t="inlineStr"/>
    </row>
    <row r="339" ht="15" customHeight="1">
      <c r="A339" t="inlineStr">
        <is>
          <t>A 227-2024</t>
        </is>
      </c>
      <c r="B339" s="1" t="n">
        <v>45294.73603009259</v>
      </c>
      <c r="C339" s="1" t="n">
        <v>45895</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56623-2024</t>
        </is>
      </c>
      <c r="B340" s="1" t="n">
        <v>45625</v>
      </c>
      <c r="C340" s="1" t="n">
        <v>45895</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23120-2025</t>
        </is>
      </c>
      <c r="B341" s="1" t="n">
        <v>45791.37481481482</v>
      </c>
      <c r="C341" s="1" t="n">
        <v>45895</v>
      </c>
      <c r="D341" t="inlineStr">
        <is>
          <t>ÖSTERGÖTLANDS LÄN</t>
        </is>
      </c>
      <c r="E341" t="inlineStr">
        <is>
          <t>LINKÖPING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56917-2022</t>
        </is>
      </c>
      <c r="B342" s="1" t="n">
        <v>44894</v>
      </c>
      <c r="C342" s="1" t="n">
        <v>45895</v>
      </c>
      <c r="D342" t="inlineStr">
        <is>
          <t>ÖSTERGÖTLANDS LÄN</t>
        </is>
      </c>
      <c r="E342" t="inlineStr">
        <is>
          <t>LINKÖPING</t>
        </is>
      </c>
      <c r="G342" t="n">
        <v>2.2</v>
      </c>
      <c r="H342" t="n">
        <v>0</v>
      </c>
      <c r="I342" t="n">
        <v>0</v>
      </c>
      <c r="J342" t="n">
        <v>0</v>
      </c>
      <c r="K342" t="n">
        <v>0</v>
      </c>
      <c r="L342" t="n">
        <v>0</v>
      </c>
      <c r="M342" t="n">
        <v>0</v>
      </c>
      <c r="N342" t="n">
        <v>0</v>
      </c>
      <c r="O342" t="n">
        <v>0</v>
      </c>
      <c r="P342" t="n">
        <v>0</v>
      </c>
      <c r="Q342" t="n">
        <v>0</v>
      </c>
      <c r="R342" s="2" t="inlineStr"/>
    </row>
    <row r="343" ht="15" customHeight="1">
      <c r="A343" t="inlineStr">
        <is>
          <t>A 13011-2022</t>
        </is>
      </c>
      <c r="B343" s="1" t="n">
        <v>44643</v>
      </c>
      <c r="C343" s="1" t="n">
        <v>45895</v>
      </c>
      <c r="D343" t="inlineStr">
        <is>
          <t>ÖSTERGÖTLANDS LÄN</t>
        </is>
      </c>
      <c r="E343" t="inlineStr">
        <is>
          <t>LINKÖPING</t>
        </is>
      </c>
      <c r="G343" t="n">
        <v>3.7</v>
      </c>
      <c r="H343" t="n">
        <v>0</v>
      </c>
      <c r="I343" t="n">
        <v>0</v>
      </c>
      <c r="J343" t="n">
        <v>0</v>
      </c>
      <c r="K343" t="n">
        <v>0</v>
      </c>
      <c r="L343" t="n">
        <v>0</v>
      </c>
      <c r="M343" t="n">
        <v>0</v>
      </c>
      <c r="N343" t="n">
        <v>0</v>
      </c>
      <c r="O343" t="n">
        <v>0</v>
      </c>
      <c r="P343" t="n">
        <v>0</v>
      </c>
      <c r="Q343" t="n">
        <v>0</v>
      </c>
      <c r="R343" s="2" t="inlineStr"/>
    </row>
    <row r="344" ht="15" customHeight="1">
      <c r="A344" t="inlineStr">
        <is>
          <t>A 1265-2023</t>
        </is>
      </c>
      <c r="B344" s="1" t="n">
        <v>44936</v>
      </c>
      <c r="C344" s="1" t="n">
        <v>45895</v>
      </c>
      <c r="D344" t="inlineStr">
        <is>
          <t>ÖSTERGÖTLANDS LÄN</t>
        </is>
      </c>
      <c r="E344" t="inlineStr">
        <is>
          <t>LINKÖPING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1362-2023</t>
        </is>
      </c>
      <c r="B345" s="1" t="n">
        <v>44931</v>
      </c>
      <c r="C345" s="1" t="n">
        <v>45895</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42093-2020</t>
        </is>
      </c>
      <c r="B346" s="1" t="n">
        <v>44075</v>
      </c>
      <c r="C346" s="1" t="n">
        <v>45895</v>
      </c>
      <c r="D346" t="inlineStr">
        <is>
          <t>ÖSTERGÖTLANDS LÄN</t>
        </is>
      </c>
      <c r="E346" t="inlineStr">
        <is>
          <t>LINKÖPING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54034-2022</t>
        </is>
      </c>
      <c r="B347" s="1" t="n">
        <v>44881</v>
      </c>
      <c r="C347" s="1" t="n">
        <v>45895</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11595-2025</t>
        </is>
      </c>
      <c r="B348" s="1" t="n">
        <v>45727.41893518518</v>
      </c>
      <c r="C348" s="1" t="n">
        <v>45895</v>
      </c>
      <c r="D348" t="inlineStr">
        <is>
          <t>ÖSTERGÖTLANDS LÄN</t>
        </is>
      </c>
      <c r="E348" t="inlineStr">
        <is>
          <t>LINKÖPING</t>
        </is>
      </c>
      <c r="G348" t="n">
        <v>6.6</v>
      </c>
      <c r="H348" t="n">
        <v>0</v>
      </c>
      <c r="I348" t="n">
        <v>0</v>
      </c>
      <c r="J348" t="n">
        <v>0</v>
      </c>
      <c r="K348" t="n">
        <v>0</v>
      </c>
      <c r="L348" t="n">
        <v>0</v>
      </c>
      <c r="M348" t="n">
        <v>0</v>
      </c>
      <c r="N348" t="n">
        <v>0</v>
      </c>
      <c r="O348" t="n">
        <v>0</v>
      </c>
      <c r="P348" t="n">
        <v>0</v>
      </c>
      <c r="Q348" t="n">
        <v>0</v>
      </c>
      <c r="R348" s="2" t="inlineStr"/>
    </row>
    <row r="349" ht="15" customHeight="1">
      <c r="A349" t="inlineStr">
        <is>
          <t>A 55493-2021</t>
        </is>
      </c>
      <c r="B349" s="1" t="n">
        <v>44475.61988425926</v>
      </c>
      <c r="C349" s="1" t="n">
        <v>45895</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54846-2024</t>
        </is>
      </c>
      <c r="B350" s="1" t="n">
        <v>45618</v>
      </c>
      <c r="C350" s="1" t="n">
        <v>45895</v>
      </c>
      <c r="D350" t="inlineStr">
        <is>
          <t>ÖSTERGÖTLANDS LÄN</t>
        </is>
      </c>
      <c r="E350" t="inlineStr">
        <is>
          <t>LINKÖPING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6054-2022</t>
        </is>
      </c>
      <c r="B351" s="1" t="n">
        <v>44599.53623842593</v>
      </c>
      <c r="C351" s="1" t="n">
        <v>45895</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50508-2024</t>
        </is>
      </c>
      <c r="B352" s="1" t="n">
        <v>45601.53907407408</v>
      </c>
      <c r="C352" s="1" t="n">
        <v>45895</v>
      </c>
      <c r="D352" t="inlineStr">
        <is>
          <t>ÖSTERGÖTLANDS LÄN</t>
        </is>
      </c>
      <c r="E352" t="inlineStr">
        <is>
          <t>LINKÖPING</t>
        </is>
      </c>
      <c r="F352" t="inlineStr">
        <is>
          <t>Övriga Aktiebolag</t>
        </is>
      </c>
      <c r="G352" t="n">
        <v>2</v>
      </c>
      <c r="H352" t="n">
        <v>0</v>
      </c>
      <c r="I352" t="n">
        <v>0</v>
      </c>
      <c r="J352" t="n">
        <v>0</v>
      </c>
      <c r="K352" t="n">
        <v>0</v>
      </c>
      <c r="L352" t="n">
        <v>0</v>
      </c>
      <c r="M352" t="n">
        <v>0</v>
      </c>
      <c r="N352" t="n">
        <v>0</v>
      </c>
      <c r="O352" t="n">
        <v>0</v>
      </c>
      <c r="P352" t="n">
        <v>0</v>
      </c>
      <c r="Q352" t="n">
        <v>0</v>
      </c>
      <c r="R352" s="2" t="inlineStr"/>
    </row>
    <row r="353" ht="15" customHeight="1">
      <c r="A353" t="inlineStr">
        <is>
          <t>A 25119-2023</t>
        </is>
      </c>
      <c r="B353" s="1" t="n">
        <v>45086.42326388889</v>
      </c>
      <c r="C353" s="1" t="n">
        <v>45895</v>
      </c>
      <c r="D353" t="inlineStr">
        <is>
          <t>ÖSTERGÖTLANDS LÄN</t>
        </is>
      </c>
      <c r="E353" t="inlineStr">
        <is>
          <t>LINKÖPING</t>
        </is>
      </c>
      <c r="G353" t="n">
        <v>3.2</v>
      </c>
      <c r="H353" t="n">
        <v>0</v>
      </c>
      <c r="I353" t="n">
        <v>0</v>
      </c>
      <c r="J353" t="n">
        <v>0</v>
      </c>
      <c r="K353" t="n">
        <v>0</v>
      </c>
      <c r="L353" t="n">
        <v>0</v>
      </c>
      <c r="M353" t="n">
        <v>0</v>
      </c>
      <c r="N353" t="n">
        <v>0</v>
      </c>
      <c r="O353" t="n">
        <v>0</v>
      </c>
      <c r="P353" t="n">
        <v>0</v>
      </c>
      <c r="Q353" t="n">
        <v>0</v>
      </c>
      <c r="R353" s="2" t="inlineStr"/>
    </row>
    <row r="354" ht="15" customHeight="1">
      <c r="A354" t="inlineStr">
        <is>
          <t>A 55265-2020</t>
        </is>
      </c>
      <c r="B354" s="1" t="n">
        <v>44130</v>
      </c>
      <c r="C354" s="1" t="n">
        <v>45895</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48699-2024</t>
        </is>
      </c>
      <c r="B355" s="1" t="n">
        <v>45593.52091435185</v>
      </c>
      <c r="C355" s="1" t="n">
        <v>45895</v>
      </c>
      <c r="D355" t="inlineStr">
        <is>
          <t>ÖSTERGÖTLANDS LÄN</t>
        </is>
      </c>
      <c r="E355" t="inlineStr">
        <is>
          <t>LINKÖPING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4456-2024</t>
        </is>
      </c>
      <c r="B356" s="1" t="n">
        <v>45327.52847222222</v>
      </c>
      <c r="C356" s="1" t="n">
        <v>45895</v>
      </c>
      <c r="D356" t="inlineStr">
        <is>
          <t>ÖSTERGÖTLANDS LÄN</t>
        </is>
      </c>
      <c r="E356" t="inlineStr">
        <is>
          <t>LINKÖPING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36336-2022</t>
        </is>
      </c>
      <c r="B357" s="1" t="n">
        <v>44803</v>
      </c>
      <c r="C357" s="1" t="n">
        <v>45895</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58114-2021</t>
        </is>
      </c>
      <c r="B358" s="1" t="n">
        <v>44487</v>
      </c>
      <c r="C358" s="1" t="n">
        <v>45895</v>
      </c>
      <c r="D358" t="inlineStr">
        <is>
          <t>ÖSTERGÖTLANDS LÄN</t>
        </is>
      </c>
      <c r="E358" t="inlineStr">
        <is>
          <t>LINKÖPING</t>
        </is>
      </c>
      <c r="F358" t="inlineStr">
        <is>
          <t>Övriga Aktiebolag</t>
        </is>
      </c>
      <c r="G358" t="n">
        <v>0.8</v>
      </c>
      <c r="H358" t="n">
        <v>0</v>
      </c>
      <c r="I358" t="n">
        <v>0</v>
      </c>
      <c r="J358" t="n">
        <v>0</v>
      </c>
      <c r="K358" t="n">
        <v>0</v>
      </c>
      <c r="L358" t="n">
        <v>0</v>
      </c>
      <c r="M358" t="n">
        <v>0</v>
      </c>
      <c r="N358" t="n">
        <v>0</v>
      </c>
      <c r="O358" t="n">
        <v>0</v>
      </c>
      <c r="P358" t="n">
        <v>0</v>
      </c>
      <c r="Q358" t="n">
        <v>0</v>
      </c>
      <c r="R358" s="2" t="inlineStr"/>
    </row>
    <row r="359" ht="15" customHeight="1">
      <c r="A359" t="inlineStr">
        <is>
          <t>A 48839-2022</t>
        </is>
      </c>
      <c r="B359" s="1" t="n">
        <v>44859</v>
      </c>
      <c r="C359" s="1" t="n">
        <v>45895</v>
      </c>
      <c r="D359" t="inlineStr">
        <is>
          <t>ÖSTERGÖTLANDS LÄN</t>
        </is>
      </c>
      <c r="E359" t="inlineStr">
        <is>
          <t>LINKÖPING</t>
        </is>
      </c>
      <c r="F359" t="inlineStr">
        <is>
          <t>Övriga Aktiebolag</t>
        </is>
      </c>
      <c r="G359" t="n">
        <v>0.6</v>
      </c>
      <c r="H359" t="n">
        <v>0</v>
      </c>
      <c r="I359" t="n">
        <v>0</v>
      </c>
      <c r="J359" t="n">
        <v>0</v>
      </c>
      <c r="K359" t="n">
        <v>0</v>
      </c>
      <c r="L359" t="n">
        <v>0</v>
      </c>
      <c r="M359" t="n">
        <v>0</v>
      </c>
      <c r="N359" t="n">
        <v>0</v>
      </c>
      <c r="O359" t="n">
        <v>0</v>
      </c>
      <c r="P359" t="n">
        <v>0</v>
      </c>
      <c r="Q359" t="n">
        <v>0</v>
      </c>
      <c r="R359" s="2" t="inlineStr"/>
    </row>
    <row r="360" ht="15" customHeight="1">
      <c r="A360" t="inlineStr">
        <is>
          <t>A 52892-2024</t>
        </is>
      </c>
      <c r="B360" s="1" t="n">
        <v>45610</v>
      </c>
      <c r="C360" s="1" t="n">
        <v>45895</v>
      </c>
      <c r="D360" t="inlineStr">
        <is>
          <t>ÖSTERGÖTLANDS LÄN</t>
        </is>
      </c>
      <c r="E360" t="inlineStr">
        <is>
          <t>LINKÖPING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13911-2025</t>
        </is>
      </c>
      <c r="B361" s="1" t="n">
        <v>45737.64784722222</v>
      </c>
      <c r="C361" s="1" t="n">
        <v>45895</v>
      </c>
      <c r="D361" t="inlineStr">
        <is>
          <t>ÖSTERGÖTLANDS LÄN</t>
        </is>
      </c>
      <c r="E361" t="inlineStr">
        <is>
          <t>LINKÖPING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6387-2022</t>
        </is>
      </c>
      <c r="B362" s="1" t="n">
        <v>44600</v>
      </c>
      <c r="C362" s="1" t="n">
        <v>45895</v>
      </c>
      <c r="D362" t="inlineStr">
        <is>
          <t>ÖSTERGÖTLANDS LÄN</t>
        </is>
      </c>
      <c r="E362" t="inlineStr">
        <is>
          <t>LINKÖPING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34641-2022</t>
        </is>
      </c>
      <c r="B363" s="1" t="n">
        <v>44795</v>
      </c>
      <c r="C363" s="1" t="n">
        <v>45895</v>
      </c>
      <c r="D363" t="inlineStr">
        <is>
          <t>ÖSTERGÖTLANDS LÄN</t>
        </is>
      </c>
      <c r="E363" t="inlineStr">
        <is>
          <t>LINKÖPING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13687-2025</t>
        </is>
      </c>
      <c r="B364" s="1" t="n">
        <v>45737.31425925926</v>
      </c>
      <c r="C364" s="1" t="n">
        <v>45895</v>
      </c>
      <c r="D364" t="inlineStr">
        <is>
          <t>ÖSTERGÖTLANDS LÄN</t>
        </is>
      </c>
      <c r="E364" t="inlineStr">
        <is>
          <t>LINKÖPING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13688-2025</t>
        </is>
      </c>
      <c r="B365" s="1" t="n">
        <v>45737.3153125</v>
      </c>
      <c r="C365" s="1" t="n">
        <v>45895</v>
      </c>
      <c r="D365" t="inlineStr">
        <is>
          <t>ÖSTERGÖTLANDS LÄN</t>
        </is>
      </c>
      <c r="E365" t="inlineStr">
        <is>
          <t>LINKÖPING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13695-2025</t>
        </is>
      </c>
      <c r="B366" s="1" t="n">
        <v>45737.32219907407</v>
      </c>
      <c r="C366" s="1" t="n">
        <v>45895</v>
      </c>
      <c r="D366" t="inlineStr">
        <is>
          <t>ÖSTERGÖTLANDS LÄN</t>
        </is>
      </c>
      <c r="E366" t="inlineStr">
        <is>
          <t>LINKÖPING</t>
        </is>
      </c>
      <c r="G366" t="n">
        <v>5.3</v>
      </c>
      <c r="H366" t="n">
        <v>0</v>
      </c>
      <c r="I366" t="n">
        <v>0</v>
      </c>
      <c r="J366" t="n">
        <v>0</v>
      </c>
      <c r="K366" t="n">
        <v>0</v>
      </c>
      <c r="L366" t="n">
        <v>0</v>
      </c>
      <c r="M366" t="n">
        <v>0</v>
      </c>
      <c r="N366" t="n">
        <v>0</v>
      </c>
      <c r="O366" t="n">
        <v>0</v>
      </c>
      <c r="P366" t="n">
        <v>0</v>
      </c>
      <c r="Q366" t="n">
        <v>0</v>
      </c>
      <c r="R366" s="2" t="inlineStr"/>
    </row>
    <row r="367" ht="15" customHeight="1">
      <c r="A367" t="inlineStr">
        <is>
          <t>A 23768-2025</t>
        </is>
      </c>
      <c r="B367" s="1" t="n">
        <v>45793.47493055555</v>
      </c>
      <c r="C367" s="1" t="n">
        <v>45895</v>
      </c>
      <c r="D367" t="inlineStr">
        <is>
          <t>ÖSTERGÖTLANDS LÄN</t>
        </is>
      </c>
      <c r="E367" t="inlineStr">
        <is>
          <t>LINKÖPING</t>
        </is>
      </c>
      <c r="G367" t="n">
        <v>3.4</v>
      </c>
      <c r="H367" t="n">
        <v>0</v>
      </c>
      <c r="I367" t="n">
        <v>0</v>
      </c>
      <c r="J367" t="n">
        <v>0</v>
      </c>
      <c r="K367" t="n">
        <v>0</v>
      </c>
      <c r="L367" t="n">
        <v>0</v>
      </c>
      <c r="M367" t="n">
        <v>0</v>
      </c>
      <c r="N367" t="n">
        <v>0</v>
      </c>
      <c r="O367" t="n">
        <v>0</v>
      </c>
      <c r="P367" t="n">
        <v>0</v>
      </c>
      <c r="Q367" t="n">
        <v>0</v>
      </c>
      <c r="R367" s="2" t="inlineStr"/>
    </row>
    <row r="368" ht="15" customHeight="1">
      <c r="A368" t="inlineStr">
        <is>
          <t>A 3008-2023</t>
        </is>
      </c>
      <c r="B368" s="1" t="n">
        <v>44945.79784722222</v>
      </c>
      <c r="C368" s="1" t="n">
        <v>45895</v>
      </c>
      <c r="D368" t="inlineStr">
        <is>
          <t>ÖSTERGÖTLANDS LÄN</t>
        </is>
      </c>
      <c r="E368" t="inlineStr">
        <is>
          <t>LINKÖPING</t>
        </is>
      </c>
      <c r="G368" t="n">
        <v>19.3</v>
      </c>
      <c r="H368" t="n">
        <v>0</v>
      </c>
      <c r="I368" t="n">
        <v>0</v>
      </c>
      <c r="J368" t="n">
        <v>0</v>
      </c>
      <c r="K368" t="n">
        <v>0</v>
      </c>
      <c r="L368" t="n">
        <v>0</v>
      </c>
      <c r="M368" t="n">
        <v>0</v>
      </c>
      <c r="N368" t="n">
        <v>0</v>
      </c>
      <c r="O368" t="n">
        <v>0</v>
      </c>
      <c r="P368" t="n">
        <v>0</v>
      </c>
      <c r="Q368" t="n">
        <v>0</v>
      </c>
      <c r="R368" s="2" t="inlineStr"/>
    </row>
    <row r="369" ht="15" customHeight="1">
      <c r="A369" t="inlineStr">
        <is>
          <t>A 54491-2020</t>
        </is>
      </c>
      <c r="B369" s="1" t="n">
        <v>44126.64</v>
      </c>
      <c r="C369" s="1" t="n">
        <v>45895</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55736-2022</t>
        </is>
      </c>
      <c r="B370" s="1" t="n">
        <v>44888</v>
      </c>
      <c r="C370" s="1" t="n">
        <v>45895</v>
      </c>
      <c r="D370" t="inlineStr">
        <is>
          <t>ÖSTERGÖTLANDS LÄN</t>
        </is>
      </c>
      <c r="E370" t="inlineStr">
        <is>
          <t>LINKÖPING</t>
        </is>
      </c>
      <c r="G370" t="n">
        <v>5.5</v>
      </c>
      <c r="H370" t="n">
        <v>0</v>
      </c>
      <c r="I370" t="n">
        <v>0</v>
      </c>
      <c r="J370" t="n">
        <v>0</v>
      </c>
      <c r="K370" t="n">
        <v>0</v>
      </c>
      <c r="L370" t="n">
        <v>0</v>
      </c>
      <c r="M370" t="n">
        <v>0</v>
      </c>
      <c r="N370" t="n">
        <v>0</v>
      </c>
      <c r="O370" t="n">
        <v>0</v>
      </c>
      <c r="P370" t="n">
        <v>0</v>
      </c>
      <c r="Q370" t="n">
        <v>0</v>
      </c>
      <c r="R370" s="2" t="inlineStr"/>
    </row>
    <row r="371" ht="15" customHeight="1">
      <c r="A371" t="inlineStr">
        <is>
          <t>A 44389-2020</t>
        </is>
      </c>
      <c r="B371" s="1" t="n">
        <v>44084</v>
      </c>
      <c r="C371" s="1" t="n">
        <v>45895</v>
      </c>
      <c r="D371" t="inlineStr">
        <is>
          <t>ÖSTERGÖTLANDS LÄN</t>
        </is>
      </c>
      <c r="E371" t="inlineStr">
        <is>
          <t>LINKÖPING</t>
        </is>
      </c>
      <c r="G371" t="n">
        <v>4.7</v>
      </c>
      <c r="H371" t="n">
        <v>0</v>
      </c>
      <c r="I371" t="n">
        <v>0</v>
      </c>
      <c r="J371" t="n">
        <v>0</v>
      </c>
      <c r="K371" t="n">
        <v>0</v>
      </c>
      <c r="L371" t="n">
        <v>0</v>
      </c>
      <c r="M371" t="n">
        <v>0</v>
      </c>
      <c r="N371" t="n">
        <v>0</v>
      </c>
      <c r="O371" t="n">
        <v>0</v>
      </c>
      <c r="P371" t="n">
        <v>0</v>
      </c>
      <c r="Q371" t="n">
        <v>0</v>
      </c>
      <c r="R371" s="2" t="inlineStr"/>
    </row>
    <row r="372" ht="15" customHeight="1">
      <c r="A372" t="inlineStr">
        <is>
          <t>A 52413-2023</t>
        </is>
      </c>
      <c r="B372" s="1" t="n">
        <v>45225.27950231481</v>
      </c>
      <c r="C372" s="1" t="n">
        <v>45895</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30434-2024</t>
        </is>
      </c>
      <c r="B373" s="1" t="n">
        <v>45491.69811342593</v>
      </c>
      <c r="C373" s="1" t="n">
        <v>45895</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42054-2022</t>
        </is>
      </c>
      <c r="B374" s="1" t="n">
        <v>44830</v>
      </c>
      <c r="C374" s="1" t="n">
        <v>45895</v>
      </c>
      <c r="D374" t="inlineStr">
        <is>
          <t>ÖSTERGÖTLANDS LÄN</t>
        </is>
      </c>
      <c r="E374" t="inlineStr">
        <is>
          <t>LINKÖPING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53797-2023</t>
        </is>
      </c>
      <c r="B375" s="1" t="n">
        <v>45230</v>
      </c>
      <c r="C375" s="1" t="n">
        <v>45895</v>
      </c>
      <c r="D375" t="inlineStr">
        <is>
          <t>ÖSTERGÖTLANDS LÄN</t>
        </is>
      </c>
      <c r="E375" t="inlineStr">
        <is>
          <t>LINKÖPING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11084-2022</t>
        </is>
      </c>
      <c r="B376" s="1" t="n">
        <v>44628</v>
      </c>
      <c r="C376" s="1" t="n">
        <v>45895</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57745-2022</t>
        </is>
      </c>
      <c r="B377" s="1" t="n">
        <v>44897.58119212963</v>
      </c>
      <c r="C377" s="1" t="n">
        <v>45895</v>
      </c>
      <c r="D377" t="inlineStr">
        <is>
          <t>ÖSTERGÖTLANDS LÄN</t>
        </is>
      </c>
      <c r="E377" t="inlineStr">
        <is>
          <t>LINKÖPING</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22833-2023</t>
        </is>
      </c>
      <c r="B378" s="1" t="n">
        <v>45071</v>
      </c>
      <c r="C378" s="1" t="n">
        <v>45895</v>
      </c>
      <c r="D378" t="inlineStr">
        <is>
          <t>ÖSTERGÖTLANDS LÄN</t>
        </is>
      </c>
      <c r="E378" t="inlineStr">
        <is>
          <t>LINKÖPING</t>
        </is>
      </c>
      <c r="F378" t="inlineStr">
        <is>
          <t>Kommuner</t>
        </is>
      </c>
      <c r="G378" t="n">
        <v>1</v>
      </c>
      <c r="H378" t="n">
        <v>0</v>
      </c>
      <c r="I378" t="n">
        <v>0</v>
      </c>
      <c r="J378" t="n">
        <v>0</v>
      </c>
      <c r="K378" t="n">
        <v>0</v>
      </c>
      <c r="L378" t="n">
        <v>0</v>
      </c>
      <c r="M378" t="n">
        <v>0</v>
      </c>
      <c r="N378" t="n">
        <v>0</v>
      </c>
      <c r="O378" t="n">
        <v>0</v>
      </c>
      <c r="P378" t="n">
        <v>0</v>
      </c>
      <c r="Q378" t="n">
        <v>0</v>
      </c>
      <c r="R378" s="2" t="inlineStr"/>
    </row>
    <row r="379" ht="15" customHeight="1">
      <c r="A379" t="inlineStr">
        <is>
          <t>A 14520-2025</t>
        </is>
      </c>
      <c r="B379" s="1" t="n">
        <v>45741</v>
      </c>
      <c r="C379" s="1" t="n">
        <v>45895</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58714-2020</t>
        </is>
      </c>
      <c r="B380" s="1" t="n">
        <v>44146</v>
      </c>
      <c r="C380" s="1" t="n">
        <v>45895</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17898-2022</t>
        </is>
      </c>
      <c r="B381" s="1" t="n">
        <v>44683</v>
      </c>
      <c r="C381" s="1" t="n">
        <v>45895</v>
      </c>
      <c r="D381" t="inlineStr">
        <is>
          <t>ÖSTERGÖTLANDS LÄN</t>
        </is>
      </c>
      <c r="E381" t="inlineStr">
        <is>
          <t>LINKÖPING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62017-2024</t>
        </is>
      </c>
      <c r="B382" s="1" t="n">
        <v>45655.81140046296</v>
      </c>
      <c r="C382" s="1" t="n">
        <v>45895</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44280-2024</t>
        </is>
      </c>
      <c r="B383" s="1" t="n">
        <v>45573.49461805556</v>
      </c>
      <c r="C383" s="1" t="n">
        <v>45895</v>
      </c>
      <c r="D383" t="inlineStr">
        <is>
          <t>ÖSTERGÖTLANDS LÄN</t>
        </is>
      </c>
      <c r="E383" t="inlineStr">
        <is>
          <t>LINKÖPING</t>
        </is>
      </c>
      <c r="G383" t="n">
        <v>5.3</v>
      </c>
      <c r="H383" t="n">
        <v>0</v>
      </c>
      <c r="I383" t="n">
        <v>0</v>
      </c>
      <c r="J383" t="n">
        <v>0</v>
      </c>
      <c r="K383" t="n">
        <v>0</v>
      </c>
      <c r="L383" t="n">
        <v>0</v>
      </c>
      <c r="M383" t="n">
        <v>0</v>
      </c>
      <c r="N383" t="n">
        <v>0</v>
      </c>
      <c r="O383" t="n">
        <v>0</v>
      </c>
      <c r="P383" t="n">
        <v>0</v>
      </c>
      <c r="Q383" t="n">
        <v>0</v>
      </c>
      <c r="R383" s="2" t="inlineStr"/>
    </row>
    <row r="384" ht="15" customHeight="1">
      <c r="A384" t="inlineStr">
        <is>
          <t>A 56064-2022</t>
        </is>
      </c>
      <c r="B384" s="1" t="n">
        <v>44889.59107638889</v>
      </c>
      <c r="C384" s="1" t="n">
        <v>45895</v>
      </c>
      <c r="D384" t="inlineStr">
        <is>
          <t>ÖSTERGÖTLANDS LÄN</t>
        </is>
      </c>
      <c r="E384" t="inlineStr">
        <is>
          <t>LINKÖPING</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12411-2022</t>
        </is>
      </c>
      <c r="B385" s="1" t="n">
        <v>44638.21601851852</v>
      </c>
      <c r="C385" s="1" t="n">
        <v>45895</v>
      </c>
      <c r="D385" t="inlineStr">
        <is>
          <t>ÖSTERGÖTLANDS LÄN</t>
        </is>
      </c>
      <c r="E385" t="inlineStr">
        <is>
          <t>LINKÖPING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40502-2024</t>
        </is>
      </c>
      <c r="B386" s="1" t="n">
        <v>45555.57263888889</v>
      </c>
      <c r="C386" s="1" t="n">
        <v>45895</v>
      </c>
      <c r="D386" t="inlineStr">
        <is>
          <t>ÖSTERGÖTLANDS LÄN</t>
        </is>
      </c>
      <c r="E386" t="inlineStr">
        <is>
          <t>LINKÖPING</t>
        </is>
      </c>
      <c r="F386" t="inlineStr">
        <is>
          <t>Allmännings- och besparingsskogar</t>
        </is>
      </c>
      <c r="G386" t="n">
        <v>17.5</v>
      </c>
      <c r="H386" t="n">
        <v>0</v>
      </c>
      <c r="I386" t="n">
        <v>0</v>
      </c>
      <c r="J386" t="n">
        <v>0</v>
      </c>
      <c r="K386" t="n">
        <v>0</v>
      </c>
      <c r="L386" t="n">
        <v>0</v>
      </c>
      <c r="M386" t="n">
        <v>0</v>
      </c>
      <c r="N386" t="n">
        <v>0</v>
      </c>
      <c r="O386" t="n">
        <v>0</v>
      </c>
      <c r="P386" t="n">
        <v>0</v>
      </c>
      <c r="Q386" t="n">
        <v>0</v>
      </c>
      <c r="R386" s="2" t="inlineStr"/>
    </row>
    <row r="387" ht="15" customHeight="1">
      <c r="A387" t="inlineStr">
        <is>
          <t>A 10492-2022</t>
        </is>
      </c>
      <c r="B387" s="1" t="n">
        <v>44623.6377199074</v>
      </c>
      <c r="C387" s="1" t="n">
        <v>45895</v>
      </c>
      <c r="D387" t="inlineStr">
        <is>
          <t>ÖSTERGÖTLANDS LÄN</t>
        </is>
      </c>
      <c r="E387" t="inlineStr">
        <is>
          <t>LINKÖPING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16200-2025</t>
        </is>
      </c>
      <c r="B388" s="1" t="n">
        <v>45750.61050925926</v>
      </c>
      <c r="C388" s="1" t="n">
        <v>45895</v>
      </c>
      <c r="D388" t="inlineStr">
        <is>
          <t>ÖSTERGÖTLANDS LÄN</t>
        </is>
      </c>
      <c r="E388" t="inlineStr">
        <is>
          <t>LINKÖPING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44155-2024</t>
        </is>
      </c>
      <c r="B389" s="1" t="n">
        <v>45572.68226851852</v>
      </c>
      <c r="C389" s="1" t="n">
        <v>45895</v>
      </c>
      <c r="D389" t="inlineStr">
        <is>
          <t>ÖSTERGÖTLANDS LÄN</t>
        </is>
      </c>
      <c r="E389" t="inlineStr">
        <is>
          <t>LINKÖPING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7343-2025</t>
        </is>
      </c>
      <c r="B390" s="1" t="n">
        <v>45703.67853009259</v>
      </c>
      <c r="C390" s="1" t="n">
        <v>45895</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25996-2025</t>
        </is>
      </c>
      <c r="B391" s="1" t="n">
        <v>45804.65851851852</v>
      </c>
      <c r="C391" s="1" t="n">
        <v>45895</v>
      </c>
      <c r="D391" t="inlineStr">
        <is>
          <t>ÖSTERGÖTLANDS LÄN</t>
        </is>
      </c>
      <c r="E391" t="inlineStr">
        <is>
          <t>LINKÖPING</t>
        </is>
      </c>
      <c r="G391" t="n">
        <v>3.2</v>
      </c>
      <c r="H391" t="n">
        <v>0</v>
      </c>
      <c r="I391" t="n">
        <v>0</v>
      </c>
      <c r="J391" t="n">
        <v>0</v>
      </c>
      <c r="K391" t="n">
        <v>0</v>
      </c>
      <c r="L391" t="n">
        <v>0</v>
      </c>
      <c r="M391" t="n">
        <v>0</v>
      </c>
      <c r="N391" t="n">
        <v>0</v>
      </c>
      <c r="O391" t="n">
        <v>0</v>
      </c>
      <c r="P391" t="n">
        <v>0</v>
      </c>
      <c r="Q391" t="n">
        <v>0</v>
      </c>
      <c r="R391" s="2" t="inlineStr"/>
    </row>
    <row r="392" ht="15" customHeight="1">
      <c r="A392" t="inlineStr">
        <is>
          <t>A 8967-2025</t>
        </is>
      </c>
      <c r="B392" s="1" t="n">
        <v>45712</v>
      </c>
      <c r="C392" s="1" t="n">
        <v>45895</v>
      </c>
      <c r="D392" t="inlineStr">
        <is>
          <t>ÖSTERGÖTLANDS LÄN</t>
        </is>
      </c>
      <c r="E392" t="inlineStr">
        <is>
          <t>LINKÖPING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25829-2025</t>
        </is>
      </c>
      <c r="B393" s="1" t="n">
        <v>45804.44505787037</v>
      </c>
      <c r="C393" s="1" t="n">
        <v>45895</v>
      </c>
      <c r="D393" t="inlineStr">
        <is>
          <t>ÖSTERGÖTLANDS LÄN</t>
        </is>
      </c>
      <c r="E393" t="inlineStr">
        <is>
          <t>LINKÖPING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35427-2023</t>
        </is>
      </c>
      <c r="B394" s="1" t="n">
        <v>45146</v>
      </c>
      <c r="C394" s="1" t="n">
        <v>45895</v>
      </c>
      <c r="D394" t="inlineStr">
        <is>
          <t>ÖSTERGÖTLANDS LÄN</t>
        </is>
      </c>
      <c r="E394" t="inlineStr">
        <is>
          <t>LINKÖPING</t>
        </is>
      </c>
      <c r="F394" t="inlineStr">
        <is>
          <t>Övriga Aktiebolag</t>
        </is>
      </c>
      <c r="G394" t="n">
        <v>2.5</v>
      </c>
      <c r="H394" t="n">
        <v>0</v>
      </c>
      <c r="I394" t="n">
        <v>0</v>
      </c>
      <c r="J394" t="n">
        <v>0</v>
      </c>
      <c r="K394" t="n">
        <v>0</v>
      </c>
      <c r="L394" t="n">
        <v>0</v>
      </c>
      <c r="M394" t="n">
        <v>0</v>
      </c>
      <c r="N394" t="n">
        <v>0</v>
      </c>
      <c r="O394" t="n">
        <v>0</v>
      </c>
      <c r="P394" t="n">
        <v>0</v>
      </c>
      <c r="Q394" t="n">
        <v>0</v>
      </c>
      <c r="R394" s="2" t="inlineStr"/>
    </row>
    <row r="395" ht="15" customHeight="1">
      <c r="A395" t="inlineStr">
        <is>
          <t>A 30468-2023</t>
        </is>
      </c>
      <c r="B395" s="1" t="n">
        <v>45111.58732638889</v>
      </c>
      <c r="C395" s="1" t="n">
        <v>45895</v>
      </c>
      <c r="D395" t="inlineStr">
        <is>
          <t>ÖSTERGÖTLANDS LÄN</t>
        </is>
      </c>
      <c r="E395" t="inlineStr">
        <is>
          <t>LINKÖPING</t>
        </is>
      </c>
      <c r="G395" t="n">
        <v>10.1</v>
      </c>
      <c r="H395" t="n">
        <v>0</v>
      </c>
      <c r="I395" t="n">
        <v>0</v>
      </c>
      <c r="J395" t="n">
        <v>0</v>
      </c>
      <c r="K395" t="n">
        <v>0</v>
      </c>
      <c r="L395" t="n">
        <v>0</v>
      </c>
      <c r="M395" t="n">
        <v>0</v>
      </c>
      <c r="N395" t="n">
        <v>0</v>
      </c>
      <c r="O395" t="n">
        <v>0</v>
      </c>
      <c r="P395" t="n">
        <v>0</v>
      </c>
      <c r="Q395" t="n">
        <v>0</v>
      </c>
      <c r="R395" s="2" t="inlineStr"/>
    </row>
    <row r="396" ht="15" customHeight="1">
      <c r="A396" t="inlineStr">
        <is>
          <t>A 25831-2025</t>
        </is>
      </c>
      <c r="B396" s="1" t="n">
        <v>45804.44638888889</v>
      </c>
      <c r="C396" s="1" t="n">
        <v>45895</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42997-2021</t>
        </is>
      </c>
      <c r="B397" s="1" t="n">
        <v>44431.45556712963</v>
      </c>
      <c r="C397" s="1" t="n">
        <v>45895</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26002-2025</t>
        </is>
      </c>
      <c r="B398" s="1" t="n">
        <v>45804.66534722222</v>
      </c>
      <c r="C398" s="1" t="n">
        <v>45895</v>
      </c>
      <c r="D398" t="inlineStr">
        <is>
          <t>ÖSTERGÖTLANDS LÄN</t>
        </is>
      </c>
      <c r="E398" t="inlineStr">
        <is>
          <t>LINKÖPING</t>
        </is>
      </c>
      <c r="G398" t="n">
        <v>2.5</v>
      </c>
      <c r="H398" t="n">
        <v>0</v>
      </c>
      <c r="I398" t="n">
        <v>0</v>
      </c>
      <c r="J398" t="n">
        <v>0</v>
      </c>
      <c r="K398" t="n">
        <v>0</v>
      </c>
      <c r="L398" t="n">
        <v>0</v>
      </c>
      <c r="M398" t="n">
        <v>0</v>
      </c>
      <c r="N398" t="n">
        <v>0</v>
      </c>
      <c r="O398" t="n">
        <v>0</v>
      </c>
      <c r="P398" t="n">
        <v>0</v>
      </c>
      <c r="Q398" t="n">
        <v>0</v>
      </c>
      <c r="R398" s="2" t="inlineStr"/>
    </row>
    <row r="399" ht="15" customHeight="1">
      <c r="A399" t="inlineStr">
        <is>
          <t>A 20296-2025</t>
        </is>
      </c>
      <c r="B399" s="1" t="n">
        <v>45774.74922453704</v>
      </c>
      <c r="C399" s="1" t="n">
        <v>45895</v>
      </c>
      <c r="D399" t="inlineStr">
        <is>
          <t>ÖSTERGÖTLANDS LÄN</t>
        </is>
      </c>
      <c r="E399" t="inlineStr">
        <is>
          <t>LINKÖPING</t>
        </is>
      </c>
      <c r="G399" t="n">
        <v>2.2</v>
      </c>
      <c r="H399" t="n">
        <v>0</v>
      </c>
      <c r="I399" t="n">
        <v>0</v>
      </c>
      <c r="J399" t="n">
        <v>0</v>
      </c>
      <c r="K399" t="n">
        <v>0</v>
      </c>
      <c r="L399" t="n">
        <v>0</v>
      </c>
      <c r="M399" t="n">
        <v>0</v>
      </c>
      <c r="N399" t="n">
        <v>0</v>
      </c>
      <c r="O399" t="n">
        <v>0</v>
      </c>
      <c r="P399" t="n">
        <v>0</v>
      </c>
      <c r="Q399" t="n">
        <v>0</v>
      </c>
      <c r="R399" s="2" t="inlineStr"/>
    </row>
    <row r="400" ht="15" customHeight="1">
      <c r="A400" t="inlineStr">
        <is>
          <t>A 56841-2023</t>
        </is>
      </c>
      <c r="B400" s="1" t="n">
        <v>45244</v>
      </c>
      <c r="C400" s="1" t="n">
        <v>45895</v>
      </c>
      <c r="D400" t="inlineStr">
        <is>
          <t>ÖSTERGÖTLANDS LÄN</t>
        </is>
      </c>
      <c r="E400" t="inlineStr">
        <is>
          <t>LINKÖPING</t>
        </is>
      </c>
      <c r="F400" t="inlineStr">
        <is>
          <t>Övriga Aktiebolag</t>
        </is>
      </c>
      <c r="G400" t="n">
        <v>0.5</v>
      </c>
      <c r="H400" t="n">
        <v>0</v>
      </c>
      <c r="I400" t="n">
        <v>0</v>
      </c>
      <c r="J400" t="n">
        <v>0</v>
      </c>
      <c r="K400" t="n">
        <v>0</v>
      </c>
      <c r="L400" t="n">
        <v>0</v>
      </c>
      <c r="M400" t="n">
        <v>0</v>
      </c>
      <c r="N400" t="n">
        <v>0</v>
      </c>
      <c r="O400" t="n">
        <v>0</v>
      </c>
      <c r="P400" t="n">
        <v>0</v>
      </c>
      <c r="Q400" t="n">
        <v>0</v>
      </c>
      <c r="R400" s="2" t="inlineStr"/>
    </row>
    <row r="401" ht="15" customHeight="1">
      <c r="A401" t="inlineStr">
        <is>
          <t>A 53812-2023</t>
        </is>
      </c>
      <c r="B401" s="1" t="n">
        <v>45231.39583333334</v>
      </c>
      <c r="C401" s="1" t="n">
        <v>45895</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53830-2023</t>
        </is>
      </c>
      <c r="B402" s="1" t="n">
        <v>45230</v>
      </c>
      <c r="C402" s="1" t="n">
        <v>45895</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14028-2024</t>
        </is>
      </c>
      <c r="B403" s="1" t="n">
        <v>45392</v>
      </c>
      <c r="C403" s="1" t="n">
        <v>45895</v>
      </c>
      <c r="D403" t="inlineStr">
        <is>
          <t>ÖSTERGÖTLANDS LÄN</t>
        </is>
      </c>
      <c r="E403" t="inlineStr">
        <is>
          <t>LINKÖPING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35174-2025</t>
        </is>
      </c>
      <c r="B404" s="1" t="n">
        <v>45852.90648148148</v>
      </c>
      <c r="C404" s="1" t="n">
        <v>45895</v>
      </c>
      <c r="D404" t="inlineStr">
        <is>
          <t>ÖSTERGÖTLANDS LÄN</t>
        </is>
      </c>
      <c r="E404" t="inlineStr">
        <is>
          <t>LINKÖPING</t>
        </is>
      </c>
      <c r="G404" t="n">
        <v>1.3</v>
      </c>
      <c r="H404" t="n">
        <v>0</v>
      </c>
      <c r="I404" t="n">
        <v>0</v>
      </c>
      <c r="J404" t="n">
        <v>0</v>
      </c>
      <c r="K404" t="n">
        <v>0</v>
      </c>
      <c r="L404" t="n">
        <v>0</v>
      </c>
      <c r="M404" t="n">
        <v>0</v>
      </c>
      <c r="N404" t="n">
        <v>0</v>
      </c>
      <c r="O404" t="n">
        <v>0</v>
      </c>
      <c r="P404" t="n">
        <v>0</v>
      </c>
      <c r="Q404" t="n">
        <v>0</v>
      </c>
      <c r="R404" s="2" t="inlineStr"/>
    </row>
    <row r="405" ht="15" customHeight="1">
      <c r="A405" t="inlineStr">
        <is>
          <t>A 38715-2023</t>
        </is>
      </c>
      <c r="B405" s="1" t="n">
        <v>45160</v>
      </c>
      <c r="C405" s="1" t="n">
        <v>45895</v>
      </c>
      <c r="D405" t="inlineStr">
        <is>
          <t>ÖSTERGÖTLANDS LÄN</t>
        </is>
      </c>
      <c r="E405" t="inlineStr">
        <is>
          <t>LINKÖPING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14667-2024</t>
        </is>
      </c>
      <c r="B406" s="1" t="n">
        <v>45397.42005787037</v>
      </c>
      <c r="C406" s="1" t="n">
        <v>45895</v>
      </c>
      <c r="D406" t="inlineStr">
        <is>
          <t>ÖSTERGÖTLANDS LÄN</t>
        </is>
      </c>
      <c r="E406" t="inlineStr">
        <is>
          <t>LINKÖPING</t>
        </is>
      </c>
      <c r="G406" t="n">
        <v>2.3</v>
      </c>
      <c r="H406" t="n">
        <v>0</v>
      </c>
      <c r="I406" t="n">
        <v>0</v>
      </c>
      <c r="J406" t="n">
        <v>0</v>
      </c>
      <c r="K406" t="n">
        <v>0</v>
      </c>
      <c r="L406" t="n">
        <v>0</v>
      </c>
      <c r="M406" t="n">
        <v>0</v>
      </c>
      <c r="N406" t="n">
        <v>0</v>
      </c>
      <c r="O406" t="n">
        <v>0</v>
      </c>
      <c r="P406" t="n">
        <v>0</v>
      </c>
      <c r="Q406" t="n">
        <v>0</v>
      </c>
      <c r="R406" s="2" t="inlineStr"/>
    </row>
    <row r="407" ht="15" customHeight="1">
      <c r="A407" t="inlineStr">
        <is>
          <t>A 2697-2023</t>
        </is>
      </c>
      <c r="B407" s="1" t="n">
        <v>44944</v>
      </c>
      <c r="C407" s="1" t="n">
        <v>45895</v>
      </c>
      <c r="D407" t="inlineStr">
        <is>
          <t>ÖSTERGÖTLANDS LÄN</t>
        </is>
      </c>
      <c r="E407" t="inlineStr">
        <is>
          <t>LINKÖPING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53641-2023</t>
        </is>
      </c>
      <c r="B408" s="1" t="n">
        <v>45230</v>
      </c>
      <c r="C408" s="1" t="n">
        <v>45895</v>
      </c>
      <c r="D408" t="inlineStr">
        <is>
          <t>ÖSTERGÖTLANDS LÄN</t>
        </is>
      </c>
      <c r="E408" t="inlineStr">
        <is>
          <t>LINKÖPING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48707-2023</t>
        </is>
      </c>
      <c r="B409" s="1" t="n">
        <v>45202</v>
      </c>
      <c r="C409" s="1" t="n">
        <v>45895</v>
      </c>
      <c r="D409" t="inlineStr">
        <is>
          <t>ÖSTERGÖTLANDS LÄN</t>
        </is>
      </c>
      <c r="E409" t="inlineStr">
        <is>
          <t>LINKÖPING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59948-2022</t>
        </is>
      </c>
      <c r="B410" s="1" t="n">
        <v>44909</v>
      </c>
      <c r="C410" s="1" t="n">
        <v>45895</v>
      </c>
      <c r="D410" t="inlineStr">
        <is>
          <t>ÖSTERGÖTLANDS LÄN</t>
        </is>
      </c>
      <c r="E410" t="inlineStr">
        <is>
          <t>LINKÖPING</t>
        </is>
      </c>
      <c r="G410" t="n">
        <v>6.7</v>
      </c>
      <c r="H410" t="n">
        <v>0</v>
      </c>
      <c r="I410" t="n">
        <v>0</v>
      </c>
      <c r="J410" t="n">
        <v>0</v>
      </c>
      <c r="K410" t="n">
        <v>0</v>
      </c>
      <c r="L410" t="n">
        <v>0</v>
      </c>
      <c r="M410" t="n">
        <v>0</v>
      </c>
      <c r="N410" t="n">
        <v>0</v>
      </c>
      <c r="O410" t="n">
        <v>0</v>
      </c>
      <c r="P410" t="n">
        <v>0</v>
      </c>
      <c r="Q410" t="n">
        <v>0</v>
      </c>
      <c r="R410" s="2" t="inlineStr"/>
    </row>
    <row r="411" ht="15" customHeight="1">
      <c r="A411" t="inlineStr">
        <is>
          <t>A 53411-2023</t>
        </is>
      </c>
      <c r="B411" s="1" t="n">
        <v>45229.81049768518</v>
      </c>
      <c r="C411" s="1" t="n">
        <v>45895</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56741-2023</t>
        </is>
      </c>
      <c r="B412" s="1" t="n">
        <v>45244</v>
      </c>
      <c r="C412" s="1" t="n">
        <v>45895</v>
      </c>
      <c r="D412" t="inlineStr">
        <is>
          <t>ÖSTERGÖTLANDS LÄN</t>
        </is>
      </c>
      <c r="E412" t="inlineStr">
        <is>
          <t>LINKÖPING</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56792-2023</t>
        </is>
      </c>
      <c r="B413" s="1" t="n">
        <v>45244</v>
      </c>
      <c r="C413" s="1" t="n">
        <v>45895</v>
      </c>
      <c r="D413" t="inlineStr">
        <is>
          <t>ÖSTERGÖTLANDS LÄN</t>
        </is>
      </c>
      <c r="E413" t="inlineStr">
        <is>
          <t>LINKÖPING</t>
        </is>
      </c>
      <c r="F413" t="inlineStr">
        <is>
          <t>Övriga Aktiebolag</t>
        </is>
      </c>
      <c r="G413" t="n">
        <v>0.9</v>
      </c>
      <c r="H413" t="n">
        <v>0</v>
      </c>
      <c r="I413" t="n">
        <v>0</v>
      </c>
      <c r="J413" t="n">
        <v>0</v>
      </c>
      <c r="K413" t="n">
        <v>0</v>
      </c>
      <c r="L413" t="n">
        <v>0</v>
      </c>
      <c r="M413" t="n">
        <v>0</v>
      </c>
      <c r="N413" t="n">
        <v>0</v>
      </c>
      <c r="O413" t="n">
        <v>0</v>
      </c>
      <c r="P413" t="n">
        <v>0</v>
      </c>
      <c r="Q413" t="n">
        <v>0</v>
      </c>
      <c r="R413" s="2" t="inlineStr"/>
    </row>
    <row r="414" ht="15" customHeight="1">
      <c r="A414" t="inlineStr">
        <is>
          <t>A 27766-2022</t>
        </is>
      </c>
      <c r="B414" s="1" t="n">
        <v>44743.53112268518</v>
      </c>
      <c r="C414" s="1" t="n">
        <v>45895</v>
      </c>
      <c r="D414" t="inlineStr">
        <is>
          <t>ÖSTERGÖTLANDS LÄN</t>
        </is>
      </c>
      <c r="E414" t="inlineStr">
        <is>
          <t>LINKÖPING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50471-2024</t>
        </is>
      </c>
      <c r="B415" s="1" t="n">
        <v>45601.47166666666</v>
      </c>
      <c r="C415" s="1" t="n">
        <v>45895</v>
      </c>
      <c r="D415" t="inlineStr">
        <is>
          <t>ÖSTERGÖTLANDS LÄN</t>
        </is>
      </c>
      <c r="E415" t="inlineStr">
        <is>
          <t>LINKÖPING</t>
        </is>
      </c>
      <c r="F415" t="inlineStr">
        <is>
          <t>Övriga Aktiebolag</t>
        </is>
      </c>
      <c r="G415" t="n">
        <v>2</v>
      </c>
      <c r="H415" t="n">
        <v>0</v>
      </c>
      <c r="I415" t="n">
        <v>0</v>
      </c>
      <c r="J415" t="n">
        <v>0</v>
      </c>
      <c r="K415" t="n">
        <v>0</v>
      </c>
      <c r="L415" t="n">
        <v>0</v>
      </c>
      <c r="M415" t="n">
        <v>0</v>
      </c>
      <c r="N415" t="n">
        <v>0</v>
      </c>
      <c r="O415" t="n">
        <v>0</v>
      </c>
      <c r="P415" t="n">
        <v>0</v>
      </c>
      <c r="Q415" t="n">
        <v>0</v>
      </c>
      <c r="R415" s="2" t="inlineStr"/>
    </row>
    <row r="416" ht="15" customHeight="1">
      <c r="A416" t="inlineStr">
        <is>
          <t>A 3007-2023</t>
        </is>
      </c>
      <c r="B416" s="1" t="n">
        <v>44945</v>
      </c>
      <c r="C416" s="1" t="n">
        <v>45895</v>
      </c>
      <c r="D416" t="inlineStr">
        <is>
          <t>ÖSTERGÖTLANDS LÄN</t>
        </is>
      </c>
      <c r="E416" t="inlineStr">
        <is>
          <t>LINKÖPING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40338-2024</t>
        </is>
      </c>
      <c r="B417" s="1" t="n">
        <v>45555.32940972222</v>
      </c>
      <c r="C417" s="1" t="n">
        <v>45895</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3013-2023</t>
        </is>
      </c>
      <c r="B418" s="1" t="n">
        <v>44945.8092824074</v>
      </c>
      <c r="C418" s="1" t="n">
        <v>45895</v>
      </c>
      <c r="D418" t="inlineStr">
        <is>
          <t>ÖSTERGÖTLANDS LÄN</t>
        </is>
      </c>
      <c r="E418" t="inlineStr">
        <is>
          <t>LINKÖPING</t>
        </is>
      </c>
      <c r="G418" t="n">
        <v>5.2</v>
      </c>
      <c r="H418" t="n">
        <v>0</v>
      </c>
      <c r="I418" t="n">
        <v>0</v>
      </c>
      <c r="J418" t="n">
        <v>0</v>
      </c>
      <c r="K418" t="n">
        <v>0</v>
      </c>
      <c r="L418" t="n">
        <v>0</v>
      </c>
      <c r="M418" t="n">
        <v>0</v>
      </c>
      <c r="N418" t="n">
        <v>0</v>
      </c>
      <c r="O418" t="n">
        <v>0</v>
      </c>
      <c r="P418" t="n">
        <v>0</v>
      </c>
      <c r="Q418" t="n">
        <v>0</v>
      </c>
      <c r="R418" s="2" t="inlineStr"/>
    </row>
    <row r="419" ht="15" customHeight="1">
      <c r="A419" t="inlineStr">
        <is>
          <t>A 55945-2024</t>
        </is>
      </c>
      <c r="B419" s="1" t="n">
        <v>45623.61754629629</v>
      </c>
      <c r="C419" s="1" t="n">
        <v>45895</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1993-2023</t>
        </is>
      </c>
      <c r="B420" s="1" t="n">
        <v>44939</v>
      </c>
      <c r="C420" s="1" t="n">
        <v>45895</v>
      </c>
      <c r="D420" t="inlineStr">
        <is>
          <t>ÖSTERGÖTLANDS LÄN</t>
        </is>
      </c>
      <c r="E420" t="inlineStr">
        <is>
          <t>LINKÖPING</t>
        </is>
      </c>
      <c r="G420" t="n">
        <v>3.7</v>
      </c>
      <c r="H420" t="n">
        <v>0</v>
      </c>
      <c r="I420" t="n">
        <v>0</v>
      </c>
      <c r="J420" t="n">
        <v>0</v>
      </c>
      <c r="K420" t="n">
        <v>0</v>
      </c>
      <c r="L420" t="n">
        <v>0</v>
      </c>
      <c r="M420" t="n">
        <v>0</v>
      </c>
      <c r="N420" t="n">
        <v>0</v>
      </c>
      <c r="O420" t="n">
        <v>0</v>
      </c>
      <c r="P420" t="n">
        <v>0</v>
      </c>
      <c r="Q420" t="n">
        <v>0</v>
      </c>
      <c r="R420" s="2" t="inlineStr"/>
    </row>
    <row r="421" ht="15" customHeight="1">
      <c r="A421" t="inlineStr">
        <is>
          <t>A 2618-2023</t>
        </is>
      </c>
      <c r="B421" s="1" t="n">
        <v>44944.35847222222</v>
      </c>
      <c r="C421" s="1" t="n">
        <v>45895</v>
      </c>
      <c r="D421" t="inlineStr">
        <is>
          <t>ÖSTERGÖTLANDS LÄN</t>
        </is>
      </c>
      <c r="E421" t="inlineStr">
        <is>
          <t>LINKÖPING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10203-2023</t>
        </is>
      </c>
      <c r="B422" s="1" t="n">
        <v>44986.55711805556</v>
      </c>
      <c r="C422" s="1" t="n">
        <v>45895</v>
      </c>
      <c r="D422" t="inlineStr">
        <is>
          <t>ÖSTERGÖTLANDS LÄN</t>
        </is>
      </c>
      <c r="E422" t="inlineStr">
        <is>
          <t>LINKÖPING</t>
        </is>
      </c>
      <c r="G422" t="n">
        <v>3.3</v>
      </c>
      <c r="H422" t="n">
        <v>0</v>
      </c>
      <c r="I422" t="n">
        <v>0</v>
      </c>
      <c r="J422" t="n">
        <v>0</v>
      </c>
      <c r="K422" t="n">
        <v>0</v>
      </c>
      <c r="L422" t="n">
        <v>0</v>
      </c>
      <c r="M422" t="n">
        <v>0</v>
      </c>
      <c r="N422" t="n">
        <v>0</v>
      </c>
      <c r="O422" t="n">
        <v>0</v>
      </c>
      <c r="P422" t="n">
        <v>0</v>
      </c>
      <c r="Q422" t="n">
        <v>0</v>
      </c>
      <c r="R422" s="2" t="inlineStr"/>
    </row>
    <row r="423" ht="15" customHeight="1">
      <c r="A423" t="inlineStr">
        <is>
          <t>A 34889-2023</t>
        </is>
      </c>
      <c r="B423" s="1" t="n">
        <v>45140</v>
      </c>
      <c r="C423" s="1" t="n">
        <v>45895</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34928-2023</t>
        </is>
      </c>
      <c r="B424" s="1" t="n">
        <v>45142</v>
      </c>
      <c r="C424" s="1" t="n">
        <v>45895</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35178-2025</t>
        </is>
      </c>
      <c r="B425" s="1" t="n">
        <v>45852.91939814815</v>
      </c>
      <c r="C425" s="1" t="n">
        <v>45895</v>
      </c>
      <c r="D425" t="inlineStr">
        <is>
          <t>ÖSTERGÖTLANDS LÄN</t>
        </is>
      </c>
      <c r="E425" t="inlineStr">
        <is>
          <t>LINKÖPING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35180-2025</t>
        </is>
      </c>
      <c r="B426" s="1" t="n">
        <v>45852.9413425926</v>
      </c>
      <c r="C426" s="1" t="n">
        <v>45895</v>
      </c>
      <c r="D426" t="inlineStr">
        <is>
          <t>ÖSTERGÖTLANDS LÄN</t>
        </is>
      </c>
      <c r="E426" t="inlineStr">
        <is>
          <t>LINKÖPING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48271-2023</t>
        </is>
      </c>
      <c r="B427" s="1" t="n">
        <v>45205</v>
      </c>
      <c r="C427" s="1" t="n">
        <v>45895</v>
      </c>
      <c r="D427" t="inlineStr">
        <is>
          <t>ÖSTERGÖTLANDS LÄN</t>
        </is>
      </c>
      <c r="E427" t="inlineStr">
        <is>
          <t>LINKÖPING</t>
        </is>
      </c>
      <c r="G427" t="n">
        <v>3</v>
      </c>
      <c r="H427" t="n">
        <v>0</v>
      </c>
      <c r="I427" t="n">
        <v>0</v>
      </c>
      <c r="J427" t="n">
        <v>0</v>
      </c>
      <c r="K427" t="n">
        <v>0</v>
      </c>
      <c r="L427" t="n">
        <v>0</v>
      </c>
      <c r="M427" t="n">
        <v>0</v>
      </c>
      <c r="N427" t="n">
        <v>0</v>
      </c>
      <c r="O427" t="n">
        <v>0</v>
      </c>
      <c r="P427" t="n">
        <v>0</v>
      </c>
      <c r="Q427" t="n">
        <v>0</v>
      </c>
      <c r="R427" s="2" t="inlineStr"/>
    </row>
    <row r="428" ht="15" customHeight="1">
      <c r="A428" t="inlineStr">
        <is>
          <t>A 1268-2023</t>
        </is>
      </c>
      <c r="B428" s="1" t="n">
        <v>44936</v>
      </c>
      <c r="C428" s="1" t="n">
        <v>45895</v>
      </c>
      <c r="D428" t="inlineStr">
        <is>
          <t>ÖSTERGÖTLANDS LÄN</t>
        </is>
      </c>
      <c r="E428" t="inlineStr">
        <is>
          <t>LINKÖPING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27264-2025</t>
        </is>
      </c>
      <c r="B429" s="1" t="n">
        <v>45812.4794212963</v>
      </c>
      <c r="C429" s="1" t="n">
        <v>45895</v>
      </c>
      <c r="D429" t="inlineStr">
        <is>
          <t>ÖSTERGÖTLANDS LÄN</t>
        </is>
      </c>
      <c r="E429" t="inlineStr">
        <is>
          <t>LINKÖPING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5314-2021</t>
        </is>
      </c>
      <c r="B430" s="1" t="n">
        <v>44229</v>
      </c>
      <c r="C430" s="1" t="n">
        <v>45895</v>
      </c>
      <c r="D430" t="inlineStr">
        <is>
          <t>ÖSTERGÖTLANDS LÄN</t>
        </is>
      </c>
      <c r="E430" t="inlineStr">
        <is>
          <t>LINKÖPING</t>
        </is>
      </c>
      <c r="G430" t="n">
        <v>6.2</v>
      </c>
      <c r="H430" t="n">
        <v>0</v>
      </c>
      <c r="I430" t="n">
        <v>0</v>
      </c>
      <c r="J430" t="n">
        <v>0</v>
      </c>
      <c r="K430" t="n">
        <v>0</v>
      </c>
      <c r="L430" t="n">
        <v>0</v>
      </c>
      <c r="M430" t="n">
        <v>0</v>
      </c>
      <c r="N430" t="n">
        <v>0</v>
      </c>
      <c r="O430" t="n">
        <v>0</v>
      </c>
      <c r="P430" t="n">
        <v>0</v>
      </c>
      <c r="Q430" t="n">
        <v>0</v>
      </c>
      <c r="R430" s="2" t="inlineStr"/>
    </row>
    <row r="431" ht="15" customHeight="1">
      <c r="A431" t="inlineStr">
        <is>
          <t>A 35179-2025</t>
        </is>
      </c>
      <c r="B431" s="1" t="n">
        <v>45852.93737268518</v>
      </c>
      <c r="C431" s="1" t="n">
        <v>45895</v>
      </c>
      <c r="D431" t="inlineStr">
        <is>
          <t>ÖSTERGÖTLANDS LÄN</t>
        </is>
      </c>
      <c r="E431" t="inlineStr">
        <is>
          <t>LINKÖPING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13266-2025</t>
        </is>
      </c>
      <c r="B432" s="1" t="n">
        <v>45735.53318287037</v>
      </c>
      <c r="C432" s="1" t="n">
        <v>45895</v>
      </c>
      <c r="D432" t="inlineStr">
        <is>
          <t>ÖSTERGÖTLANDS LÄN</t>
        </is>
      </c>
      <c r="E432" t="inlineStr">
        <is>
          <t>LINKÖPING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49747-2024</t>
        </is>
      </c>
      <c r="B433" s="1" t="n">
        <v>45596</v>
      </c>
      <c r="C433" s="1" t="n">
        <v>45895</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31725-2022</t>
        </is>
      </c>
      <c r="B434" s="1" t="n">
        <v>44776.48541666667</v>
      </c>
      <c r="C434" s="1" t="n">
        <v>45895</v>
      </c>
      <c r="D434" t="inlineStr">
        <is>
          <t>ÖSTERGÖTLANDS LÄN</t>
        </is>
      </c>
      <c r="E434" t="inlineStr">
        <is>
          <t>LINKÖPING</t>
        </is>
      </c>
      <c r="G434" t="n">
        <v>2.6</v>
      </c>
      <c r="H434" t="n">
        <v>0</v>
      </c>
      <c r="I434" t="n">
        <v>0</v>
      </c>
      <c r="J434" t="n">
        <v>0</v>
      </c>
      <c r="K434" t="n">
        <v>0</v>
      </c>
      <c r="L434" t="n">
        <v>0</v>
      </c>
      <c r="M434" t="n">
        <v>0</v>
      </c>
      <c r="N434" t="n">
        <v>0</v>
      </c>
      <c r="O434" t="n">
        <v>0</v>
      </c>
      <c r="P434" t="n">
        <v>0</v>
      </c>
      <c r="Q434" t="n">
        <v>0</v>
      </c>
      <c r="R434" s="2" t="inlineStr"/>
    </row>
    <row r="435" ht="15" customHeight="1">
      <c r="A435" t="inlineStr">
        <is>
          <t>A 60001-2022</t>
        </is>
      </c>
      <c r="B435" s="1" t="n">
        <v>44909.47087962963</v>
      </c>
      <c r="C435" s="1" t="n">
        <v>45895</v>
      </c>
      <c r="D435" t="inlineStr">
        <is>
          <t>ÖSTERGÖTLANDS LÄN</t>
        </is>
      </c>
      <c r="E435" t="inlineStr">
        <is>
          <t>LINKÖPING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39457-2023</t>
        </is>
      </c>
      <c r="B436" s="1" t="n">
        <v>45166</v>
      </c>
      <c r="C436" s="1" t="n">
        <v>45895</v>
      </c>
      <c r="D436" t="inlineStr">
        <is>
          <t>ÖSTERGÖTLANDS LÄN</t>
        </is>
      </c>
      <c r="E436" t="inlineStr">
        <is>
          <t>LINKÖPING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1657-2024</t>
        </is>
      </c>
      <c r="B437" s="1" t="n">
        <v>45306.82501157407</v>
      </c>
      <c r="C437" s="1" t="n">
        <v>45895</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2389-2023</t>
        </is>
      </c>
      <c r="B438" s="1" t="n">
        <v>44942</v>
      </c>
      <c r="C438" s="1" t="n">
        <v>45895</v>
      </c>
      <c r="D438" t="inlineStr">
        <is>
          <t>ÖSTERGÖTLANDS LÄN</t>
        </is>
      </c>
      <c r="E438" t="inlineStr">
        <is>
          <t>LINKÖPING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3627-2023</t>
        </is>
      </c>
      <c r="B439" s="1" t="n">
        <v>44950.64782407408</v>
      </c>
      <c r="C439" s="1" t="n">
        <v>45895</v>
      </c>
      <c r="D439" t="inlineStr">
        <is>
          <t>ÖSTERGÖTLANDS LÄN</t>
        </is>
      </c>
      <c r="E439" t="inlineStr">
        <is>
          <t>LINKÖPING</t>
        </is>
      </c>
      <c r="G439" t="n">
        <v>3.1</v>
      </c>
      <c r="H439" t="n">
        <v>0</v>
      </c>
      <c r="I439" t="n">
        <v>0</v>
      </c>
      <c r="J439" t="n">
        <v>0</v>
      </c>
      <c r="K439" t="n">
        <v>0</v>
      </c>
      <c r="L439" t="n">
        <v>0</v>
      </c>
      <c r="M439" t="n">
        <v>0</v>
      </c>
      <c r="N439" t="n">
        <v>0</v>
      </c>
      <c r="O439" t="n">
        <v>0</v>
      </c>
      <c r="P439" t="n">
        <v>0</v>
      </c>
      <c r="Q439" t="n">
        <v>0</v>
      </c>
      <c r="R439" s="2" t="inlineStr"/>
    </row>
    <row r="440" ht="15" customHeight="1">
      <c r="A440" t="inlineStr">
        <is>
          <t>A 62687-2023</t>
        </is>
      </c>
      <c r="B440" s="1" t="n">
        <v>45271</v>
      </c>
      <c r="C440" s="1" t="n">
        <v>45895</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30976-2022</t>
        </is>
      </c>
      <c r="B441" s="1" t="n">
        <v>44768</v>
      </c>
      <c r="C441" s="1" t="n">
        <v>45895</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28200-2025</t>
        </is>
      </c>
      <c r="B442" s="1" t="n">
        <v>45818.4428125</v>
      </c>
      <c r="C442" s="1" t="n">
        <v>45895</v>
      </c>
      <c r="D442" t="inlineStr">
        <is>
          <t>ÖSTERGÖTLANDS LÄN</t>
        </is>
      </c>
      <c r="E442" t="inlineStr">
        <is>
          <t>LINKÖPING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30860-2022</t>
        </is>
      </c>
      <c r="B443" s="1" t="n">
        <v>44767</v>
      </c>
      <c r="C443" s="1" t="n">
        <v>45895</v>
      </c>
      <c r="D443" t="inlineStr">
        <is>
          <t>ÖSTERGÖTLANDS LÄN</t>
        </is>
      </c>
      <c r="E443" t="inlineStr">
        <is>
          <t>LINKÖPING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18891-2022</t>
        </is>
      </c>
      <c r="B444" s="1" t="n">
        <v>44690</v>
      </c>
      <c r="C444" s="1" t="n">
        <v>45895</v>
      </c>
      <c r="D444" t="inlineStr">
        <is>
          <t>ÖSTERGÖTLANDS LÄN</t>
        </is>
      </c>
      <c r="E444" t="inlineStr">
        <is>
          <t>LINKÖPING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48186-2022</t>
        </is>
      </c>
      <c r="B445" s="1" t="n">
        <v>44858</v>
      </c>
      <c r="C445" s="1" t="n">
        <v>45895</v>
      </c>
      <c r="D445" t="inlineStr">
        <is>
          <t>ÖSTERGÖTLANDS LÄN</t>
        </is>
      </c>
      <c r="E445" t="inlineStr">
        <is>
          <t>LINKÖPING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28266-2024</t>
        </is>
      </c>
      <c r="B446" s="1" t="n">
        <v>45477.43600694444</v>
      </c>
      <c r="C446" s="1" t="n">
        <v>45895</v>
      </c>
      <c r="D446" t="inlineStr">
        <is>
          <t>ÖSTERGÖTLANDS LÄN</t>
        </is>
      </c>
      <c r="E446" t="inlineStr">
        <is>
          <t>LINKÖPING</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35757-2025</t>
        </is>
      </c>
      <c r="B447" s="1" t="n">
        <v>45860.59876157407</v>
      </c>
      <c r="C447" s="1" t="n">
        <v>45895</v>
      </c>
      <c r="D447" t="inlineStr">
        <is>
          <t>ÖSTERGÖTLANDS LÄN</t>
        </is>
      </c>
      <c r="E447" t="inlineStr">
        <is>
          <t>LINKÖPING</t>
        </is>
      </c>
      <c r="G447" t="n">
        <v>5.7</v>
      </c>
      <c r="H447" t="n">
        <v>0</v>
      </c>
      <c r="I447" t="n">
        <v>0</v>
      </c>
      <c r="J447" t="n">
        <v>0</v>
      </c>
      <c r="K447" t="n">
        <v>0</v>
      </c>
      <c r="L447" t="n">
        <v>0</v>
      </c>
      <c r="M447" t="n">
        <v>0</v>
      </c>
      <c r="N447" t="n">
        <v>0</v>
      </c>
      <c r="O447" t="n">
        <v>0</v>
      </c>
      <c r="P447" t="n">
        <v>0</v>
      </c>
      <c r="Q447" t="n">
        <v>0</v>
      </c>
      <c r="R447" s="2" t="inlineStr"/>
    </row>
    <row r="448" ht="15" customHeight="1">
      <c r="A448" t="inlineStr">
        <is>
          <t>A 31548-2022</t>
        </is>
      </c>
      <c r="B448" s="1" t="n">
        <v>44775.39832175926</v>
      </c>
      <c r="C448" s="1" t="n">
        <v>45895</v>
      </c>
      <c r="D448" t="inlineStr">
        <is>
          <t>ÖSTERGÖTLANDS LÄN</t>
        </is>
      </c>
      <c r="E448" t="inlineStr">
        <is>
          <t>LINKÖPING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26620-2023</t>
        </is>
      </c>
      <c r="B449" s="1" t="n">
        <v>45092.70390046296</v>
      </c>
      <c r="C449" s="1" t="n">
        <v>45895</v>
      </c>
      <c r="D449" t="inlineStr">
        <is>
          <t>ÖSTERGÖTLANDS LÄN</t>
        </is>
      </c>
      <c r="E449" t="inlineStr">
        <is>
          <t>LINKÖPING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27950-2025</t>
        </is>
      </c>
      <c r="B450" s="1" t="n">
        <v>45817.52960648148</v>
      </c>
      <c r="C450" s="1" t="n">
        <v>45895</v>
      </c>
      <c r="D450" t="inlineStr">
        <is>
          <t>ÖSTERGÖTLANDS LÄN</t>
        </is>
      </c>
      <c r="E450" t="inlineStr">
        <is>
          <t>LINKÖPING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45506-2020</t>
        </is>
      </c>
      <c r="B451" s="1" t="n">
        <v>44089</v>
      </c>
      <c r="C451" s="1" t="n">
        <v>45895</v>
      </c>
      <c r="D451" t="inlineStr">
        <is>
          <t>ÖSTERGÖTLANDS LÄN</t>
        </is>
      </c>
      <c r="E451" t="inlineStr">
        <is>
          <t>LINKÖPING</t>
        </is>
      </c>
      <c r="G451" t="n">
        <v>1.1</v>
      </c>
      <c r="H451" t="n">
        <v>0</v>
      </c>
      <c r="I451" t="n">
        <v>0</v>
      </c>
      <c r="J451" t="n">
        <v>0</v>
      </c>
      <c r="K451" t="n">
        <v>0</v>
      </c>
      <c r="L451" t="n">
        <v>0</v>
      </c>
      <c r="M451" t="n">
        <v>0</v>
      </c>
      <c r="N451" t="n">
        <v>0</v>
      </c>
      <c r="O451" t="n">
        <v>0</v>
      </c>
      <c r="P451" t="n">
        <v>0</v>
      </c>
      <c r="Q451" t="n">
        <v>0</v>
      </c>
      <c r="R451" s="2" t="inlineStr"/>
    </row>
    <row r="452" ht="15" customHeight="1">
      <c r="A452" t="inlineStr">
        <is>
          <t>A 1211-2023</t>
        </is>
      </c>
      <c r="B452" s="1" t="n">
        <v>44930</v>
      </c>
      <c r="C452" s="1" t="n">
        <v>45895</v>
      </c>
      <c r="D452" t="inlineStr">
        <is>
          <t>ÖSTERGÖTLANDS LÄN</t>
        </is>
      </c>
      <c r="E452" t="inlineStr">
        <is>
          <t>LINKÖPING</t>
        </is>
      </c>
      <c r="F452" t="inlineStr">
        <is>
          <t>Övriga statliga verk och myndigheter</t>
        </is>
      </c>
      <c r="G452" t="n">
        <v>7.9</v>
      </c>
      <c r="H452" t="n">
        <v>0</v>
      </c>
      <c r="I452" t="n">
        <v>0</v>
      </c>
      <c r="J452" t="n">
        <v>0</v>
      </c>
      <c r="K452" t="n">
        <v>0</v>
      </c>
      <c r="L452" t="n">
        <v>0</v>
      </c>
      <c r="M452" t="n">
        <v>0</v>
      </c>
      <c r="N452" t="n">
        <v>0</v>
      </c>
      <c r="O452" t="n">
        <v>0</v>
      </c>
      <c r="P452" t="n">
        <v>0</v>
      </c>
      <c r="Q452" t="n">
        <v>0</v>
      </c>
      <c r="R452" s="2" t="inlineStr"/>
    </row>
    <row r="453" ht="15" customHeight="1">
      <c r="A453" t="inlineStr">
        <is>
          <t>A 51191-2022</t>
        </is>
      </c>
      <c r="B453" s="1" t="n">
        <v>44865</v>
      </c>
      <c r="C453" s="1" t="n">
        <v>45895</v>
      </c>
      <c r="D453" t="inlineStr">
        <is>
          <t>ÖSTERGÖTLANDS LÄN</t>
        </is>
      </c>
      <c r="E453" t="inlineStr">
        <is>
          <t>LINKÖPING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27797-2025</t>
        </is>
      </c>
      <c r="B454" s="1" t="n">
        <v>45816.80521990741</v>
      </c>
      <c r="C454" s="1" t="n">
        <v>45895</v>
      </c>
      <c r="D454" t="inlineStr">
        <is>
          <t>ÖSTERGÖTLANDS LÄN</t>
        </is>
      </c>
      <c r="E454" t="inlineStr">
        <is>
          <t>LINKÖPING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27798-2025</t>
        </is>
      </c>
      <c r="B455" s="1" t="n">
        <v>45816.81532407407</v>
      </c>
      <c r="C455" s="1" t="n">
        <v>45895</v>
      </c>
      <c r="D455" t="inlineStr">
        <is>
          <t>ÖSTERGÖTLANDS LÄN</t>
        </is>
      </c>
      <c r="E455" t="inlineStr">
        <is>
          <t>LINKÖPING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35747-2025</t>
        </is>
      </c>
      <c r="B456" s="1" t="n">
        <v>45860.56385416666</v>
      </c>
      <c r="C456" s="1" t="n">
        <v>45895</v>
      </c>
      <c r="D456" t="inlineStr">
        <is>
          <t>ÖSTERGÖTLANDS LÄN</t>
        </is>
      </c>
      <c r="E456" t="inlineStr">
        <is>
          <t>LINKÖPING</t>
        </is>
      </c>
      <c r="G456" t="n">
        <v>2.4</v>
      </c>
      <c r="H456" t="n">
        <v>0</v>
      </c>
      <c r="I456" t="n">
        <v>0</v>
      </c>
      <c r="J456" t="n">
        <v>0</v>
      </c>
      <c r="K456" t="n">
        <v>0</v>
      </c>
      <c r="L456" t="n">
        <v>0</v>
      </c>
      <c r="M456" t="n">
        <v>0</v>
      </c>
      <c r="N456" t="n">
        <v>0</v>
      </c>
      <c r="O456" t="n">
        <v>0</v>
      </c>
      <c r="P456" t="n">
        <v>0</v>
      </c>
      <c r="Q456" t="n">
        <v>0</v>
      </c>
      <c r="R456" s="2" t="inlineStr"/>
    </row>
    <row r="457" ht="15" customHeight="1">
      <c r="A457" t="inlineStr">
        <is>
          <t>A 56180-2024</t>
        </is>
      </c>
      <c r="B457" s="1" t="n">
        <v>45624.56611111111</v>
      </c>
      <c r="C457" s="1" t="n">
        <v>45895</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938-2023</t>
        </is>
      </c>
      <c r="B458" s="1" t="n">
        <v>44933</v>
      </c>
      <c r="C458" s="1" t="n">
        <v>45895</v>
      </c>
      <c r="D458" t="inlineStr">
        <is>
          <t>ÖSTERGÖTLANDS LÄN</t>
        </is>
      </c>
      <c r="E458" t="inlineStr">
        <is>
          <t>LINKÖPING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28209-2025</t>
        </is>
      </c>
      <c r="B459" s="1" t="n">
        <v>45818.45112268518</v>
      </c>
      <c r="C459" s="1" t="n">
        <v>45895</v>
      </c>
      <c r="D459" t="inlineStr">
        <is>
          <t>ÖSTERGÖTLANDS LÄN</t>
        </is>
      </c>
      <c r="E459" t="inlineStr">
        <is>
          <t>LINKÖPING</t>
        </is>
      </c>
      <c r="G459" t="n">
        <v>4.2</v>
      </c>
      <c r="H459" t="n">
        <v>0</v>
      </c>
      <c r="I459" t="n">
        <v>0</v>
      </c>
      <c r="J459" t="n">
        <v>0</v>
      </c>
      <c r="K459" t="n">
        <v>0</v>
      </c>
      <c r="L459" t="n">
        <v>0</v>
      </c>
      <c r="M459" t="n">
        <v>0</v>
      </c>
      <c r="N459" t="n">
        <v>0</v>
      </c>
      <c r="O459" t="n">
        <v>0</v>
      </c>
      <c r="P459" t="n">
        <v>0</v>
      </c>
      <c r="Q459" t="n">
        <v>0</v>
      </c>
      <c r="R459" s="2" t="inlineStr"/>
    </row>
    <row r="460" ht="15" customHeight="1">
      <c r="A460" t="inlineStr">
        <is>
          <t>A 55632-2022</t>
        </is>
      </c>
      <c r="B460" s="1" t="n">
        <v>44888</v>
      </c>
      <c r="C460" s="1" t="n">
        <v>45895</v>
      </c>
      <c r="D460" t="inlineStr">
        <is>
          <t>ÖSTERGÖTLANDS LÄN</t>
        </is>
      </c>
      <c r="E460" t="inlineStr">
        <is>
          <t>LINKÖPING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35745-2025</t>
        </is>
      </c>
      <c r="B461" s="1" t="n">
        <v>45860.54739583333</v>
      </c>
      <c r="C461" s="1" t="n">
        <v>45895</v>
      </c>
      <c r="D461" t="inlineStr">
        <is>
          <t>ÖSTERGÖTLANDS LÄN</t>
        </is>
      </c>
      <c r="E461" t="inlineStr">
        <is>
          <t>LINKÖPING</t>
        </is>
      </c>
      <c r="G461" t="n">
        <v>4.4</v>
      </c>
      <c r="H461" t="n">
        <v>0</v>
      </c>
      <c r="I461" t="n">
        <v>0</v>
      </c>
      <c r="J461" t="n">
        <v>0</v>
      </c>
      <c r="K461" t="n">
        <v>0</v>
      </c>
      <c r="L461" t="n">
        <v>0</v>
      </c>
      <c r="M461" t="n">
        <v>0</v>
      </c>
      <c r="N461" t="n">
        <v>0</v>
      </c>
      <c r="O461" t="n">
        <v>0</v>
      </c>
      <c r="P461" t="n">
        <v>0</v>
      </c>
      <c r="Q461" t="n">
        <v>0</v>
      </c>
      <c r="R461" s="2" t="inlineStr"/>
    </row>
    <row r="462" ht="15" customHeight="1">
      <c r="A462" t="inlineStr">
        <is>
          <t>A 28204-2025</t>
        </is>
      </c>
      <c r="B462" s="1" t="n">
        <v>45818.4477662037</v>
      </c>
      <c r="C462" s="1" t="n">
        <v>45895</v>
      </c>
      <c r="D462" t="inlineStr">
        <is>
          <t>ÖSTERGÖTLANDS LÄN</t>
        </is>
      </c>
      <c r="E462" t="inlineStr">
        <is>
          <t>LINKÖPING</t>
        </is>
      </c>
      <c r="G462" t="n">
        <v>2.9</v>
      </c>
      <c r="H462" t="n">
        <v>0</v>
      </c>
      <c r="I462" t="n">
        <v>0</v>
      </c>
      <c r="J462" t="n">
        <v>0</v>
      </c>
      <c r="K462" t="n">
        <v>0</v>
      </c>
      <c r="L462" t="n">
        <v>0</v>
      </c>
      <c r="M462" t="n">
        <v>0</v>
      </c>
      <c r="N462" t="n">
        <v>0</v>
      </c>
      <c r="O462" t="n">
        <v>0</v>
      </c>
      <c r="P462" t="n">
        <v>0</v>
      </c>
      <c r="Q462" t="n">
        <v>0</v>
      </c>
      <c r="R462" s="2" t="inlineStr"/>
    </row>
    <row r="463" ht="15" customHeight="1">
      <c r="A463" t="inlineStr">
        <is>
          <t>A 42697-2020</t>
        </is>
      </c>
      <c r="B463" s="1" t="n">
        <v>44077</v>
      </c>
      <c r="C463" s="1" t="n">
        <v>45895</v>
      </c>
      <c r="D463" t="inlineStr">
        <is>
          <t>ÖSTERGÖTLANDS LÄN</t>
        </is>
      </c>
      <c r="E463" t="inlineStr">
        <is>
          <t>LINKÖPING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25418-2023</t>
        </is>
      </c>
      <c r="B464" s="1" t="n">
        <v>45089</v>
      </c>
      <c r="C464" s="1" t="n">
        <v>45895</v>
      </c>
      <c r="D464" t="inlineStr">
        <is>
          <t>ÖSTERGÖTLANDS LÄN</t>
        </is>
      </c>
      <c r="E464" t="inlineStr">
        <is>
          <t>LINKÖPING</t>
        </is>
      </c>
      <c r="F464" t="inlineStr">
        <is>
          <t>Övriga Aktiebolag</t>
        </is>
      </c>
      <c r="G464" t="n">
        <v>2.4</v>
      </c>
      <c r="H464" t="n">
        <v>0</v>
      </c>
      <c r="I464" t="n">
        <v>0</v>
      </c>
      <c r="J464" t="n">
        <v>0</v>
      </c>
      <c r="K464" t="n">
        <v>0</v>
      </c>
      <c r="L464" t="n">
        <v>0</v>
      </c>
      <c r="M464" t="n">
        <v>0</v>
      </c>
      <c r="N464" t="n">
        <v>0</v>
      </c>
      <c r="O464" t="n">
        <v>0</v>
      </c>
      <c r="P464" t="n">
        <v>0</v>
      </c>
      <c r="Q464" t="n">
        <v>0</v>
      </c>
      <c r="R464" s="2" t="inlineStr"/>
    </row>
    <row r="465" ht="15" customHeight="1">
      <c r="A465" t="inlineStr">
        <is>
          <t>A 60007-2022</t>
        </is>
      </c>
      <c r="B465" s="1" t="n">
        <v>44909.47282407407</v>
      </c>
      <c r="C465" s="1" t="n">
        <v>45895</v>
      </c>
      <c r="D465" t="inlineStr">
        <is>
          <t>ÖSTERGÖTLANDS LÄN</t>
        </is>
      </c>
      <c r="E465" t="inlineStr">
        <is>
          <t>LINKÖPING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28398-2025</t>
        </is>
      </c>
      <c r="B466" s="1" t="n">
        <v>45819.34208333334</v>
      </c>
      <c r="C466" s="1" t="n">
        <v>45895</v>
      </c>
      <c r="D466" t="inlineStr">
        <is>
          <t>ÖSTERGÖTLANDS LÄN</t>
        </is>
      </c>
      <c r="E466" t="inlineStr">
        <is>
          <t>LINKÖPING</t>
        </is>
      </c>
      <c r="F466" t="inlineStr">
        <is>
          <t>Sveaskog</t>
        </is>
      </c>
      <c r="G466" t="n">
        <v>7.9</v>
      </c>
      <c r="H466" t="n">
        <v>0</v>
      </c>
      <c r="I466" t="n">
        <v>0</v>
      </c>
      <c r="J466" t="n">
        <v>0</v>
      </c>
      <c r="K466" t="n">
        <v>0</v>
      </c>
      <c r="L466" t="n">
        <v>0</v>
      </c>
      <c r="M466" t="n">
        <v>0</v>
      </c>
      <c r="N466" t="n">
        <v>0</v>
      </c>
      <c r="O466" t="n">
        <v>0</v>
      </c>
      <c r="P466" t="n">
        <v>0</v>
      </c>
      <c r="Q466" t="n">
        <v>0</v>
      </c>
      <c r="R466" s="2" t="inlineStr"/>
    </row>
    <row r="467" ht="15" customHeight="1">
      <c r="A467" t="inlineStr">
        <is>
          <t>A 63669-2023</t>
        </is>
      </c>
      <c r="B467" s="1" t="n">
        <v>45275</v>
      </c>
      <c r="C467" s="1" t="n">
        <v>45895</v>
      </c>
      <c r="D467" t="inlineStr">
        <is>
          <t>ÖSTERGÖTLANDS LÄN</t>
        </is>
      </c>
      <c r="E467" t="inlineStr">
        <is>
          <t>LINKÖPING</t>
        </is>
      </c>
      <c r="F467" t="inlineStr">
        <is>
          <t>Övriga Aktiebolag</t>
        </is>
      </c>
      <c r="G467" t="n">
        <v>3</v>
      </c>
      <c r="H467" t="n">
        <v>0</v>
      </c>
      <c r="I467" t="n">
        <v>0</v>
      </c>
      <c r="J467" t="n">
        <v>0</v>
      </c>
      <c r="K467" t="n">
        <v>0</v>
      </c>
      <c r="L467" t="n">
        <v>0</v>
      </c>
      <c r="M467" t="n">
        <v>0</v>
      </c>
      <c r="N467" t="n">
        <v>0</v>
      </c>
      <c r="O467" t="n">
        <v>0</v>
      </c>
      <c r="P467" t="n">
        <v>0</v>
      </c>
      <c r="Q467" t="n">
        <v>0</v>
      </c>
      <c r="R467" s="2" t="inlineStr"/>
    </row>
    <row r="468" ht="15" customHeight="1">
      <c r="A468" t="inlineStr">
        <is>
          <t>A 12289-2025</t>
        </is>
      </c>
      <c r="B468" s="1" t="n">
        <v>45729</v>
      </c>
      <c r="C468" s="1" t="n">
        <v>45895</v>
      </c>
      <c r="D468" t="inlineStr">
        <is>
          <t>ÖSTERGÖTLANDS LÄN</t>
        </is>
      </c>
      <c r="E468" t="inlineStr">
        <is>
          <t>LINKÖPING</t>
        </is>
      </c>
      <c r="F468" t="inlineStr">
        <is>
          <t>Övriga statliga verk och myndigheter</t>
        </is>
      </c>
      <c r="G468" t="n">
        <v>6.5</v>
      </c>
      <c r="H468" t="n">
        <v>0</v>
      </c>
      <c r="I468" t="n">
        <v>0</v>
      </c>
      <c r="J468" t="n">
        <v>0</v>
      </c>
      <c r="K468" t="n">
        <v>0</v>
      </c>
      <c r="L468" t="n">
        <v>0</v>
      </c>
      <c r="M468" t="n">
        <v>0</v>
      </c>
      <c r="N468" t="n">
        <v>0</v>
      </c>
      <c r="O468" t="n">
        <v>0</v>
      </c>
      <c r="P468" t="n">
        <v>0</v>
      </c>
      <c r="Q468" t="n">
        <v>0</v>
      </c>
      <c r="R468" s="2" t="inlineStr"/>
    </row>
    <row r="469" ht="15" customHeight="1">
      <c r="A469" t="inlineStr">
        <is>
          <t>A 36657-2023</t>
        </is>
      </c>
      <c r="B469" s="1" t="n">
        <v>45153.5702662037</v>
      </c>
      <c r="C469" s="1" t="n">
        <v>45895</v>
      </c>
      <c r="D469" t="inlineStr">
        <is>
          <t>ÖSTERGÖTLANDS LÄN</t>
        </is>
      </c>
      <c r="E469" t="inlineStr">
        <is>
          <t>LINKÖPING</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19169-2023</t>
        </is>
      </c>
      <c r="B470" s="1" t="n">
        <v>45044</v>
      </c>
      <c r="C470" s="1" t="n">
        <v>45895</v>
      </c>
      <c r="D470" t="inlineStr">
        <is>
          <t>ÖSTERGÖTLANDS LÄN</t>
        </is>
      </c>
      <c r="E470" t="inlineStr">
        <is>
          <t>LINKÖPING</t>
        </is>
      </c>
      <c r="G470" t="n">
        <v>2.7</v>
      </c>
      <c r="H470" t="n">
        <v>0</v>
      </c>
      <c r="I470" t="n">
        <v>0</v>
      </c>
      <c r="J470" t="n">
        <v>0</v>
      </c>
      <c r="K470" t="n">
        <v>0</v>
      </c>
      <c r="L470" t="n">
        <v>0</v>
      </c>
      <c r="M470" t="n">
        <v>0</v>
      </c>
      <c r="N470" t="n">
        <v>0</v>
      </c>
      <c r="O470" t="n">
        <v>0</v>
      </c>
      <c r="P470" t="n">
        <v>0</v>
      </c>
      <c r="Q470" t="n">
        <v>0</v>
      </c>
      <c r="R470" s="2" t="inlineStr"/>
    </row>
    <row r="471" ht="15" customHeight="1">
      <c r="A471" t="inlineStr">
        <is>
          <t>A 1209-2023</t>
        </is>
      </c>
      <c r="B471" s="1" t="n">
        <v>44930</v>
      </c>
      <c r="C471" s="1" t="n">
        <v>45895</v>
      </c>
      <c r="D471" t="inlineStr">
        <is>
          <t>ÖSTERGÖTLANDS LÄN</t>
        </is>
      </c>
      <c r="E471" t="inlineStr">
        <is>
          <t>LINKÖPING</t>
        </is>
      </c>
      <c r="F471" t="inlineStr">
        <is>
          <t>Övriga statliga verk och myndigheter</t>
        </is>
      </c>
      <c r="G471" t="n">
        <v>25.8</v>
      </c>
      <c r="H471" t="n">
        <v>0</v>
      </c>
      <c r="I471" t="n">
        <v>0</v>
      </c>
      <c r="J471" t="n">
        <v>0</v>
      </c>
      <c r="K471" t="n">
        <v>0</v>
      </c>
      <c r="L471" t="n">
        <v>0</v>
      </c>
      <c r="M471" t="n">
        <v>0</v>
      </c>
      <c r="N471" t="n">
        <v>0</v>
      </c>
      <c r="O471" t="n">
        <v>0</v>
      </c>
      <c r="P471" t="n">
        <v>0</v>
      </c>
      <c r="Q471" t="n">
        <v>0</v>
      </c>
      <c r="R471" s="2" t="inlineStr"/>
    </row>
    <row r="472" ht="15" customHeight="1">
      <c r="A472" t="inlineStr">
        <is>
          <t>A 11601-2023</t>
        </is>
      </c>
      <c r="B472" s="1" t="n">
        <v>44994</v>
      </c>
      <c r="C472" s="1" t="n">
        <v>45895</v>
      </c>
      <c r="D472" t="inlineStr">
        <is>
          <t>ÖSTERGÖTLANDS LÄN</t>
        </is>
      </c>
      <c r="E472" t="inlineStr">
        <is>
          <t>LINKÖPING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28416-2025</t>
        </is>
      </c>
      <c r="B473" s="1" t="n">
        <v>45819.35346064815</v>
      </c>
      <c r="C473" s="1" t="n">
        <v>45895</v>
      </c>
      <c r="D473" t="inlineStr">
        <is>
          <t>ÖSTERGÖTLANDS LÄN</t>
        </is>
      </c>
      <c r="E473" t="inlineStr">
        <is>
          <t>LINKÖPING</t>
        </is>
      </c>
      <c r="F473" t="inlineStr">
        <is>
          <t>Sveaskog</t>
        </is>
      </c>
      <c r="G473" t="n">
        <v>3.7</v>
      </c>
      <c r="H473" t="n">
        <v>0</v>
      </c>
      <c r="I473" t="n">
        <v>0</v>
      </c>
      <c r="J473" t="n">
        <v>0</v>
      </c>
      <c r="K473" t="n">
        <v>0</v>
      </c>
      <c r="L473" t="n">
        <v>0</v>
      </c>
      <c r="M473" t="n">
        <v>0</v>
      </c>
      <c r="N473" t="n">
        <v>0</v>
      </c>
      <c r="O473" t="n">
        <v>0</v>
      </c>
      <c r="P473" t="n">
        <v>0</v>
      </c>
      <c r="Q473" t="n">
        <v>0</v>
      </c>
      <c r="R473" s="2" t="inlineStr"/>
    </row>
    <row r="474" ht="15" customHeight="1">
      <c r="A474" t="inlineStr">
        <is>
          <t>A 2085-2024</t>
        </is>
      </c>
      <c r="B474" s="1" t="n">
        <v>45309</v>
      </c>
      <c r="C474" s="1" t="n">
        <v>45895</v>
      </c>
      <c r="D474" t="inlineStr">
        <is>
          <t>ÖSTERGÖTLANDS LÄN</t>
        </is>
      </c>
      <c r="E474" t="inlineStr">
        <is>
          <t>LINKÖPING</t>
        </is>
      </c>
      <c r="G474" t="n">
        <v>4.5</v>
      </c>
      <c r="H474" t="n">
        <v>0</v>
      </c>
      <c r="I474" t="n">
        <v>0</v>
      </c>
      <c r="J474" t="n">
        <v>0</v>
      </c>
      <c r="K474" t="n">
        <v>0</v>
      </c>
      <c r="L474" t="n">
        <v>0</v>
      </c>
      <c r="M474" t="n">
        <v>0</v>
      </c>
      <c r="N474" t="n">
        <v>0</v>
      </c>
      <c r="O474" t="n">
        <v>0</v>
      </c>
      <c r="P474" t="n">
        <v>0</v>
      </c>
      <c r="Q474" t="n">
        <v>0</v>
      </c>
      <c r="R474" s="2" t="inlineStr"/>
    </row>
    <row r="475" ht="15" customHeight="1">
      <c r="A475" t="inlineStr">
        <is>
          <t>A 35759-2025</t>
        </is>
      </c>
      <c r="B475" s="1" t="n">
        <v>45860</v>
      </c>
      <c r="C475" s="1" t="n">
        <v>45895</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29027-2025</t>
        </is>
      </c>
      <c r="B476" s="1" t="n">
        <v>45821.4375462963</v>
      </c>
      <c r="C476" s="1" t="n">
        <v>45895</v>
      </c>
      <c r="D476" t="inlineStr">
        <is>
          <t>ÖSTERGÖTLANDS LÄN</t>
        </is>
      </c>
      <c r="E476" t="inlineStr">
        <is>
          <t>LINKÖPING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29393-2025</t>
        </is>
      </c>
      <c r="B477" s="1" t="n">
        <v>45824.6057175926</v>
      </c>
      <c r="C477" s="1" t="n">
        <v>45895</v>
      </c>
      <c r="D477" t="inlineStr">
        <is>
          <t>ÖSTERGÖTLANDS LÄN</t>
        </is>
      </c>
      <c r="E477" t="inlineStr">
        <is>
          <t>LINKÖPING</t>
        </is>
      </c>
      <c r="F477" t="inlineStr">
        <is>
          <t>Sveaskog</t>
        </is>
      </c>
      <c r="G477" t="n">
        <v>24.6</v>
      </c>
      <c r="H477" t="n">
        <v>0</v>
      </c>
      <c r="I477" t="n">
        <v>0</v>
      </c>
      <c r="J477" t="n">
        <v>0</v>
      </c>
      <c r="K477" t="n">
        <v>0</v>
      </c>
      <c r="L477" t="n">
        <v>0</v>
      </c>
      <c r="M477" t="n">
        <v>0</v>
      </c>
      <c r="N477" t="n">
        <v>0</v>
      </c>
      <c r="O477" t="n">
        <v>0</v>
      </c>
      <c r="P477" t="n">
        <v>0</v>
      </c>
      <c r="Q477" t="n">
        <v>0</v>
      </c>
      <c r="R477" s="2" t="inlineStr"/>
    </row>
    <row r="478" ht="15" customHeight="1">
      <c r="A478" t="inlineStr">
        <is>
          <t>A 61227-2024</t>
        </is>
      </c>
      <c r="B478" s="1" t="n">
        <v>45645.66853009259</v>
      </c>
      <c r="C478" s="1" t="n">
        <v>45895</v>
      </c>
      <c r="D478" t="inlineStr">
        <is>
          <t>ÖSTERGÖTLANDS LÄN</t>
        </is>
      </c>
      <c r="E478" t="inlineStr">
        <is>
          <t>LINKÖPING</t>
        </is>
      </c>
      <c r="G478" t="n">
        <v>6</v>
      </c>
      <c r="H478" t="n">
        <v>0</v>
      </c>
      <c r="I478" t="n">
        <v>0</v>
      </c>
      <c r="J478" t="n">
        <v>0</v>
      </c>
      <c r="K478" t="n">
        <v>0</v>
      </c>
      <c r="L478" t="n">
        <v>0</v>
      </c>
      <c r="M478" t="n">
        <v>0</v>
      </c>
      <c r="N478" t="n">
        <v>0</v>
      </c>
      <c r="O478" t="n">
        <v>0</v>
      </c>
      <c r="P478" t="n">
        <v>0</v>
      </c>
      <c r="Q478" t="n">
        <v>0</v>
      </c>
      <c r="R478" s="2" t="inlineStr"/>
    </row>
    <row r="479" ht="15" customHeight="1">
      <c r="A479" t="inlineStr">
        <is>
          <t>A 48-2024</t>
        </is>
      </c>
      <c r="B479" s="1" t="n">
        <v>45293</v>
      </c>
      <c r="C479" s="1" t="n">
        <v>45895</v>
      </c>
      <c r="D479" t="inlineStr">
        <is>
          <t>ÖSTERGÖTLANDS LÄN</t>
        </is>
      </c>
      <c r="E479" t="inlineStr">
        <is>
          <t>LINKÖPING</t>
        </is>
      </c>
      <c r="G479" t="n">
        <v>4.6</v>
      </c>
      <c r="H479" t="n">
        <v>0</v>
      </c>
      <c r="I479" t="n">
        <v>0</v>
      </c>
      <c r="J479" t="n">
        <v>0</v>
      </c>
      <c r="K479" t="n">
        <v>0</v>
      </c>
      <c r="L479" t="n">
        <v>0</v>
      </c>
      <c r="M479" t="n">
        <v>0</v>
      </c>
      <c r="N479" t="n">
        <v>0</v>
      </c>
      <c r="O479" t="n">
        <v>0</v>
      </c>
      <c r="P479" t="n">
        <v>0</v>
      </c>
      <c r="Q479" t="n">
        <v>0</v>
      </c>
      <c r="R479" s="2" t="inlineStr"/>
    </row>
    <row r="480" ht="15" customHeight="1">
      <c r="A480" t="inlineStr">
        <is>
          <t>A 1260-2023</t>
        </is>
      </c>
      <c r="B480" s="1" t="n">
        <v>44936</v>
      </c>
      <c r="C480" s="1" t="n">
        <v>45895</v>
      </c>
      <c r="D480" t="inlineStr">
        <is>
          <t>ÖSTERGÖTLANDS LÄN</t>
        </is>
      </c>
      <c r="E480" t="inlineStr">
        <is>
          <t>LINKÖPING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7702-2023</t>
        </is>
      </c>
      <c r="B481" s="1" t="n">
        <v>44967</v>
      </c>
      <c r="C481" s="1" t="n">
        <v>45895</v>
      </c>
      <c r="D481" t="inlineStr">
        <is>
          <t>ÖSTERGÖTLANDS LÄN</t>
        </is>
      </c>
      <c r="E481" t="inlineStr">
        <is>
          <t>LINKÖPING</t>
        </is>
      </c>
      <c r="F481" t="inlineStr">
        <is>
          <t>Övriga statliga verk och myndigheter</t>
        </is>
      </c>
      <c r="G481" t="n">
        <v>8</v>
      </c>
      <c r="H481" t="n">
        <v>0</v>
      </c>
      <c r="I481" t="n">
        <v>0</v>
      </c>
      <c r="J481" t="n">
        <v>0</v>
      </c>
      <c r="K481" t="n">
        <v>0</v>
      </c>
      <c r="L481" t="n">
        <v>0</v>
      </c>
      <c r="M481" t="n">
        <v>0</v>
      </c>
      <c r="N481" t="n">
        <v>0</v>
      </c>
      <c r="O481" t="n">
        <v>0</v>
      </c>
      <c r="P481" t="n">
        <v>0</v>
      </c>
      <c r="Q481" t="n">
        <v>0</v>
      </c>
      <c r="R481" s="2" t="inlineStr"/>
    </row>
    <row r="482" ht="15" customHeight="1">
      <c r="A482" t="inlineStr">
        <is>
          <t>A 29411-2025</t>
        </is>
      </c>
      <c r="B482" s="1" t="n">
        <v>45824.6219212963</v>
      </c>
      <c r="C482" s="1" t="n">
        <v>45895</v>
      </c>
      <c r="D482" t="inlineStr">
        <is>
          <t>ÖSTERGÖTLANDS LÄN</t>
        </is>
      </c>
      <c r="E482" t="inlineStr">
        <is>
          <t>LINKÖPING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674-2024</t>
        </is>
      </c>
      <c r="B483" s="1" t="n">
        <v>45300.34408564815</v>
      </c>
      <c r="C483" s="1" t="n">
        <v>45895</v>
      </c>
      <c r="D483" t="inlineStr">
        <is>
          <t>ÖSTERGÖTLANDS LÄN</t>
        </is>
      </c>
      <c r="E483" t="inlineStr">
        <is>
          <t>LINKÖPING</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63684-2023</t>
        </is>
      </c>
      <c r="B484" s="1" t="n">
        <v>45275</v>
      </c>
      <c r="C484" s="1" t="n">
        <v>45895</v>
      </c>
      <c r="D484" t="inlineStr">
        <is>
          <t>ÖSTERGÖTLANDS LÄN</t>
        </is>
      </c>
      <c r="E484" t="inlineStr">
        <is>
          <t>LINKÖPING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167-2024</t>
        </is>
      </c>
      <c r="B485" s="1" t="n">
        <v>45294</v>
      </c>
      <c r="C485" s="1" t="n">
        <v>45895</v>
      </c>
      <c r="D485" t="inlineStr">
        <is>
          <t>ÖSTERGÖTLANDS LÄN</t>
        </is>
      </c>
      <c r="E485" t="inlineStr">
        <is>
          <t>LINKÖPING</t>
        </is>
      </c>
      <c r="F485" t="inlineStr">
        <is>
          <t>Allmännings- och besparingsskogar</t>
        </is>
      </c>
      <c r="G485" t="n">
        <v>11.6</v>
      </c>
      <c r="H485" t="n">
        <v>0</v>
      </c>
      <c r="I485" t="n">
        <v>0</v>
      </c>
      <c r="J485" t="n">
        <v>0</v>
      </c>
      <c r="K485" t="n">
        <v>0</v>
      </c>
      <c r="L485" t="n">
        <v>0</v>
      </c>
      <c r="M485" t="n">
        <v>0</v>
      </c>
      <c r="N485" t="n">
        <v>0</v>
      </c>
      <c r="O485" t="n">
        <v>0</v>
      </c>
      <c r="P485" t="n">
        <v>0</v>
      </c>
      <c r="Q485" t="n">
        <v>0</v>
      </c>
      <c r="R485" s="2" t="inlineStr"/>
    </row>
    <row r="486" ht="15" customHeight="1">
      <c r="A486" t="inlineStr">
        <is>
          <t>A 56560-2023</t>
        </is>
      </c>
      <c r="B486" s="1" t="n">
        <v>45238</v>
      </c>
      <c r="C486" s="1" t="n">
        <v>45895</v>
      </c>
      <c r="D486" t="inlineStr">
        <is>
          <t>ÖSTERGÖTLANDS LÄN</t>
        </is>
      </c>
      <c r="E486" t="inlineStr">
        <is>
          <t>LINKÖPING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36725-2023</t>
        </is>
      </c>
      <c r="B487" s="1" t="n">
        <v>45153.68471064815</v>
      </c>
      <c r="C487" s="1" t="n">
        <v>45895</v>
      </c>
      <c r="D487" t="inlineStr">
        <is>
          <t>ÖSTERGÖTLANDS LÄN</t>
        </is>
      </c>
      <c r="E487" t="inlineStr">
        <is>
          <t>LINKÖPING</t>
        </is>
      </c>
      <c r="F487" t="inlineStr">
        <is>
          <t>Allmännings- och besparingsskogar</t>
        </is>
      </c>
      <c r="G487" t="n">
        <v>2.6</v>
      </c>
      <c r="H487" t="n">
        <v>0</v>
      </c>
      <c r="I487" t="n">
        <v>0</v>
      </c>
      <c r="J487" t="n">
        <v>0</v>
      </c>
      <c r="K487" t="n">
        <v>0</v>
      </c>
      <c r="L487" t="n">
        <v>0</v>
      </c>
      <c r="M487" t="n">
        <v>0</v>
      </c>
      <c r="N487" t="n">
        <v>0</v>
      </c>
      <c r="O487" t="n">
        <v>0</v>
      </c>
      <c r="P487" t="n">
        <v>0</v>
      </c>
      <c r="Q487" t="n">
        <v>0</v>
      </c>
      <c r="R487" s="2" t="inlineStr"/>
    </row>
    <row r="488" ht="15" customHeight="1">
      <c r="A488" t="inlineStr">
        <is>
          <t>A 19132-2023</t>
        </is>
      </c>
      <c r="B488" s="1" t="n">
        <v>45048.54754629629</v>
      </c>
      <c r="C488" s="1" t="n">
        <v>45895</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27343-2023</t>
        </is>
      </c>
      <c r="B489" s="1" t="n">
        <v>45096</v>
      </c>
      <c r="C489" s="1" t="n">
        <v>45895</v>
      </c>
      <c r="D489" t="inlineStr">
        <is>
          <t>ÖSTERGÖTLANDS LÄN</t>
        </is>
      </c>
      <c r="E489" t="inlineStr">
        <is>
          <t>LINKÖPING</t>
        </is>
      </c>
      <c r="F489" t="inlineStr">
        <is>
          <t>Allmännings- och besparingsskogar</t>
        </is>
      </c>
      <c r="G489" t="n">
        <v>6.9</v>
      </c>
      <c r="H489" t="n">
        <v>0</v>
      </c>
      <c r="I489" t="n">
        <v>0</v>
      </c>
      <c r="J489" t="n">
        <v>0</v>
      </c>
      <c r="K489" t="n">
        <v>0</v>
      </c>
      <c r="L489" t="n">
        <v>0</v>
      </c>
      <c r="M489" t="n">
        <v>0</v>
      </c>
      <c r="N489" t="n">
        <v>0</v>
      </c>
      <c r="O489" t="n">
        <v>0</v>
      </c>
      <c r="P489" t="n">
        <v>0</v>
      </c>
      <c r="Q489" t="n">
        <v>0</v>
      </c>
      <c r="R489" s="2" t="inlineStr"/>
    </row>
    <row r="490" ht="15" customHeight="1">
      <c r="A490" t="inlineStr">
        <is>
          <t>A 29599-2025</t>
        </is>
      </c>
      <c r="B490" s="1" t="n">
        <v>45825.41101851852</v>
      </c>
      <c r="C490" s="1" t="n">
        <v>45895</v>
      </c>
      <c r="D490" t="inlineStr">
        <is>
          <t>ÖSTERGÖTLANDS LÄN</t>
        </is>
      </c>
      <c r="E490" t="inlineStr">
        <is>
          <t>LINKÖPING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52412-2023</t>
        </is>
      </c>
      <c r="B491" s="1" t="n">
        <v>45225.27888888889</v>
      </c>
      <c r="C491" s="1" t="n">
        <v>45895</v>
      </c>
      <c r="D491" t="inlineStr">
        <is>
          <t>ÖSTERGÖTLANDS LÄN</t>
        </is>
      </c>
      <c r="E491" t="inlineStr">
        <is>
          <t>LINKÖPING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22774-2024</t>
        </is>
      </c>
      <c r="B492" s="1" t="n">
        <v>45448.46924768519</v>
      </c>
      <c r="C492" s="1" t="n">
        <v>45895</v>
      </c>
      <c r="D492" t="inlineStr">
        <is>
          <t>ÖSTERGÖTLANDS LÄN</t>
        </is>
      </c>
      <c r="E492" t="inlineStr">
        <is>
          <t>LINKÖPING</t>
        </is>
      </c>
      <c r="F492" t="inlineStr">
        <is>
          <t>Sveaskog</t>
        </is>
      </c>
      <c r="G492" t="n">
        <v>3.3</v>
      </c>
      <c r="H492" t="n">
        <v>0</v>
      </c>
      <c r="I492" t="n">
        <v>0</v>
      </c>
      <c r="J492" t="n">
        <v>0</v>
      </c>
      <c r="K492" t="n">
        <v>0</v>
      </c>
      <c r="L492" t="n">
        <v>0</v>
      </c>
      <c r="M492" t="n">
        <v>0</v>
      </c>
      <c r="N492" t="n">
        <v>0</v>
      </c>
      <c r="O492" t="n">
        <v>0</v>
      </c>
      <c r="P492" t="n">
        <v>0</v>
      </c>
      <c r="Q492" t="n">
        <v>0</v>
      </c>
      <c r="R492" s="2" t="inlineStr"/>
    </row>
    <row r="493" ht="15" customHeight="1">
      <c r="A493" t="inlineStr">
        <is>
          <t>A 22778-2024</t>
        </is>
      </c>
      <c r="B493" s="1" t="n">
        <v>45448.47233796296</v>
      </c>
      <c r="C493" s="1" t="n">
        <v>45895</v>
      </c>
      <c r="D493" t="inlineStr">
        <is>
          <t>ÖSTERGÖTLANDS LÄN</t>
        </is>
      </c>
      <c r="E493" t="inlineStr">
        <is>
          <t>LINKÖPING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24765-2025</t>
        </is>
      </c>
      <c r="B494" s="1" t="n">
        <v>45799</v>
      </c>
      <c r="C494" s="1" t="n">
        <v>45895</v>
      </c>
      <c r="D494" t="inlineStr">
        <is>
          <t>ÖSTERGÖTLANDS LÄN</t>
        </is>
      </c>
      <c r="E494" t="inlineStr">
        <is>
          <t>LINKÖPING</t>
        </is>
      </c>
      <c r="G494" t="n">
        <v>4.9</v>
      </c>
      <c r="H494" t="n">
        <v>0</v>
      </c>
      <c r="I494" t="n">
        <v>0</v>
      </c>
      <c r="J494" t="n">
        <v>0</v>
      </c>
      <c r="K494" t="n">
        <v>0</v>
      </c>
      <c r="L494" t="n">
        <v>0</v>
      </c>
      <c r="M494" t="n">
        <v>0</v>
      </c>
      <c r="N494" t="n">
        <v>0</v>
      </c>
      <c r="O494" t="n">
        <v>0</v>
      </c>
      <c r="P494" t="n">
        <v>0</v>
      </c>
      <c r="Q494" t="n">
        <v>0</v>
      </c>
      <c r="R494" s="2" t="inlineStr"/>
    </row>
    <row r="495" ht="15" customHeight="1">
      <c r="A495" t="inlineStr">
        <is>
          <t>A 62492-2023</t>
        </is>
      </c>
      <c r="B495" s="1" t="n">
        <v>45268.58987268519</v>
      </c>
      <c r="C495" s="1" t="n">
        <v>45895</v>
      </c>
      <c r="D495" t="inlineStr">
        <is>
          <t>ÖSTERGÖTLANDS LÄN</t>
        </is>
      </c>
      <c r="E495" t="inlineStr">
        <is>
          <t>LINKÖPING</t>
        </is>
      </c>
      <c r="G495" t="n">
        <v>1.8</v>
      </c>
      <c r="H495" t="n">
        <v>0</v>
      </c>
      <c r="I495" t="n">
        <v>0</v>
      </c>
      <c r="J495" t="n">
        <v>0</v>
      </c>
      <c r="K495" t="n">
        <v>0</v>
      </c>
      <c r="L495" t="n">
        <v>0</v>
      </c>
      <c r="M495" t="n">
        <v>0</v>
      </c>
      <c r="N495" t="n">
        <v>0</v>
      </c>
      <c r="O495" t="n">
        <v>0</v>
      </c>
      <c r="P495" t="n">
        <v>0</v>
      </c>
      <c r="Q495" t="n">
        <v>0</v>
      </c>
      <c r="R495" s="2" t="inlineStr"/>
    </row>
    <row r="496" ht="15" customHeight="1">
      <c r="A496" t="inlineStr">
        <is>
          <t>A 34864-2023</t>
        </is>
      </c>
      <c r="B496" s="1" t="n">
        <v>45141</v>
      </c>
      <c r="C496" s="1" t="n">
        <v>45895</v>
      </c>
      <c r="D496" t="inlineStr">
        <is>
          <t>ÖSTERGÖTLANDS LÄN</t>
        </is>
      </c>
      <c r="E496" t="inlineStr">
        <is>
          <t>LINKÖPING</t>
        </is>
      </c>
      <c r="G496" t="n">
        <v>3.3</v>
      </c>
      <c r="H496" t="n">
        <v>0</v>
      </c>
      <c r="I496" t="n">
        <v>0</v>
      </c>
      <c r="J496" t="n">
        <v>0</v>
      </c>
      <c r="K496" t="n">
        <v>0</v>
      </c>
      <c r="L496" t="n">
        <v>0</v>
      </c>
      <c r="M496" t="n">
        <v>0</v>
      </c>
      <c r="N496" t="n">
        <v>0</v>
      </c>
      <c r="O496" t="n">
        <v>0</v>
      </c>
      <c r="P496" t="n">
        <v>0</v>
      </c>
      <c r="Q496" t="n">
        <v>0</v>
      </c>
      <c r="R496" s="2" t="inlineStr"/>
    </row>
    <row r="497" ht="15" customHeight="1">
      <c r="A497" t="inlineStr">
        <is>
          <t>A 52531-2023</t>
        </is>
      </c>
      <c r="B497" s="1" t="n">
        <v>45225</v>
      </c>
      <c r="C497" s="1" t="n">
        <v>45895</v>
      </c>
      <c r="D497" t="inlineStr">
        <is>
          <t>ÖSTERGÖTLANDS LÄN</t>
        </is>
      </c>
      <c r="E497" t="inlineStr">
        <is>
          <t>LINKÖPING</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34930-2023</t>
        </is>
      </c>
      <c r="B498" s="1" t="n">
        <v>45142</v>
      </c>
      <c r="C498" s="1" t="n">
        <v>45895</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30985-2022</t>
        </is>
      </c>
      <c r="B499" s="1" t="n">
        <v>44768</v>
      </c>
      <c r="C499" s="1" t="n">
        <v>45895</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38230-2023</t>
        </is>
      </c>
      <c r="B500" s="1" t="n">
        <v>45161.55373842592</v>
      </c>
      <c r="C500" s="1" t="n">
        <v>45895</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56756-2023</t>
        </is>
      </c>
      <c r="B501" s="1" t="n">
        <v>45244</v>
      </c>
      <c r="C501" s="1" t="n">
        <v>45895</v>
      </c>
      <c r="D501" t="inlineStr">
        <is>
          <t>ÖSTERGÖTLANDS LÄN</t>
        </is>
      </c>
      <c r="E501" t="inlineStr">
        <is>
          <t>LINKÖPING</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38886-2024</t>
        </is>
      </c>
      <c r="B502" s="1" t="n">
        <v>45547.66443287037</v>
      </c>
      <c r="C502" s="1" t="n">
        <v>45895</v>
      </c>
      <c r="D502" t="inlineStr">
        <is>
          <t>ÖSTERGÖTLANDS LÄN</t>
        </is>
      </c>
      <c r="E502" t="inlineStr">
        <is>
          <t>LINKÖPING</t>
        </is>
      </c>
      <c r="G502" t="n">
        <v>5.3</v>
      </c>
      <c r="H502" t="n">
        <v>0</v>
      </c>
      <c r="I502" t="n">
        <v>0</v>
      </c>
      <c r="J502" t="n">
        <v>0</v>
      </c>
      <c r="K502" t="n">
        <v>0</v>
      </c>
      <c r="L502" t="n">
        <v>0</v>
      </c>
      <c r="M502" t="n">
        <v>0</v>
      </c>
      <c r="N502" t="n">
        <v>0</v>
      </c>
      <c r="O502" t="n">
        <v>0</v>
      </c>
      <c r="P502" t="n">
        <v>0</v>
      </c>
      <c r="Q502" t="n">
        <v>0</v>
      </c>
      <c r="R502" s="2" t="inlineStr"/>
    </row>
    <row r="503" ht="15" customHeight="1">
      <c r="A503" t="inlineStr">
        <is>
          <t>A 11590-2023</t>
        </is>
      </c>
      <c r="B503" s="1" t="n">
        <v>44994.36689814815</v>
      </c>
      <c r="C503" s="1" t="n">
        <v>45895</v>
      </c>
      <c r="D503" t="inlineStr">
        <is>
          <t>ÖSTERGÖTLANDS LÄN</t>
        </is>
      </c>
      <c r="E503" t="inlineStr">
        <is>
          <t>LINKÖPING</t>
        </is>
      </c>
      <c r="G503" t="n">
        <v>3.1</v>
      </c>
      <c r="H503" t="n">
        <v>0</v>
      </c>
      <c r="I503" t="n">
        <v>0</v>
      </c>
      <c r="J503" t="n">
        <v>0</v>
      </c>
      <c r="K503" t="n">
        <v>0</v>
      </c>
      <c r="L503" t="n">
        <v>0</v>
      </c>
      <c r="M503" t="n">
        <v>0</v>
      </c>
      <c r="N503" t="n">
        <v>0</v>
      </c>
      <c r="O503" t="n">
        <v>0</v>
      </c>
      <c r="P503" t="n">
        <v>0</v>
      </c>
      <c r="Q503" t="n">
        <v>0</v>
      </c>
      <c r="R503" s="2" t="inlineStr"/>
    </row>
    <row r="504" ht="15" customHeight="1">
      <c r="A504" t="inlineStr">
        <is>
          <t>A 30355-2025</t>
        </is>
      </c>
      <c r="B504" s="1" t="n">
        <v>45827</v>
      </c>
      <c r="C504" s="1" t="n">
        <v>45895</v>
      </c>
      <c r="D504" t="inlineStr">
        <is>
          <t>ÖSTERGÖTLANDS LÄN</t>
        </is>
      </c>
      <c r="E504" t="inlineStr">
        <is>
          <t>LINKÖPING</t>
        </is>
      </c>
      <c r="F504" t="inlineStr">
        <is>
          <t>Sveaskog</t>
        </is>
      </c>
      <c r="G504" t="n">
        <v>3.1</v>
      </c>
      <c r="H504" t="n">
        <v>0</v>
      </c>
      <c r="I504" t="n">
        <v>0</v>
      </c>
      <c r="J504" t="n">
        <v>0</v>
      </c>
      <c r="K504" t="n">
        <v>0</v>
      </c>
      <c r="L504" t="n">
        <v>0</v>
      </c>
      <c r="M504" t="n">
        <v>0</v>
      </c>
      <c r="N504" t="n">
        <v>0</v>
      </c>
      <c r="O504" t="n">
        <v>0</v>
      </c>
      <c r="P504" t="n">
        <v>0</v>
      </c>
      <c r="Q504" t="n">
        <v>0</v>
      </c>
      <c r="R504" s="2" t="inlineStr"/>
    </row>
    <row r="505" ht="15" customHeight="1">
      <c r="A505" t="inlineStr">
        <is>
          <t>A 30353-2025</t>
        </is>
      </c>
      <c r="B505" s="1" t="n">
        <v>45827</v>
      </c>
      <c r="C505" s="1" t="n">
        <v>45895</v>
      </c>
      <c r="D505" t="inlineStr">
        <is>
          <t>ÖSTERGÖTLANDS LÄN</t>
        </is>
      </c>
      <c r="E505" t="inlineStr">
        <is>
          <t>LINKÖPING</t>
        </is>
      </c>
      <c r="F505" t="inlineStr">
        <is>
          <t>Sveaskog</t>
        </is>
      </c>
      <c r="G505" t="n">
        <v>2</v>
      </c>
      <c r="H505" t="n">
        <v>0</v>
      </c>
      <c r="I505" t="n">
        <v>0</v>
      </c>
      <c r="J505" t="n">
        <v>0</v>
      </c>
      <c r="K505" t="n">
        <v>0</v>
      </c>
      <c r="L505" t="n">
        <v>0</v>
      </c>
      <c r="M505" t="n">
        <v>0</v>
      </c>
      <c r="N505" t="n">
        <v>0</v>
      </c>
      <c r="O505" t="n">
        <v>0</v>
      </c>
      <c r="P505" t="n">
        <v>0</v>
      </c>
      <c r="Q505" t="n">
        <v>0</v>
      </c>
      <c r="R505" s="2" t="inlineStr"/>
    </row>
    <row r="506" ht="15" customHeight="1">
      <c r="A506" t="inlineStr">
        <is>
          <t>A 25292-2021</t>
        </is>
      </c>
      <c r="B506" s="1" t="n">
        <v>44342</v>
      </c>
      <c r="C506" s="1" t="n">
        <v>45895</v>
      </c>
      <c r="D506" t="inlineStr">
        <is>
          <t>ÖSTERGÖTLANDS LÄN</t>
        </is>
      </c>
      <c r="E506" t="inlineStr">
        <is>
          <t>LINKÖPING</t>
        </is>
      </c>
      <c r="F506" t="inlineStr">
        <is>
          <t>Övriga Aktiebolag</t>
        </is>
      </c>
      <c r="G506" t="n">
        <v>12.8</v>
      </c>
      <c r="H506" t="n">
        <v>0</v>
      </c>
      <c r="I506" t="n">
        <v>0</v>
      </c>
      <c r="J506" t="n">
        <v>0</v>
      </c>
      <c r="K506" t="n">
        <v>0</v>
      </c>
      <c r="L506" t="n">
        <v>0</v>
      </c>
      <c r="M506" t="n">
        <v>0</v>
      </c>
      <c r="N506" t="n">
        <v>0</v>
      </c>
      <c r="O506" t="n">
        <v>0</v>
      </c>
      <c r="P506" t="n">
        <v>0</v>
      </c>
      <c r="Q506" t="n">
        <v>0</v>
      </c>
      <c r="R506" s="2" t="inlineStr"/>
    </row>
    <row r="507" ht="15" customHeight="1">
      <c r="A507" t="inlineStr">
        <is>
          <t>A 10461-2023</t>
        </is>
      </c>
      <c r="B507" s="1" t="n">
        <v>44987.5969212963</v>
      </c>
      <c r="C507" s="1" t="n">
        <v>45895</v>
      </c>
      <c r="D507" t="inlineStr">
        <is>
          <t>ÖSTERGÖTLANDS LÄN</t>
        </is>
      </c>
      <c r="E507" t="inlineStr">
        <is>
          <t>LINKÖPING</t>
        </is>
      </c>
      <c r="G507" t="n">
        <v>7.8</v>
      </c>
      <c r="H507" t="n">
        <v>0</v>
      </c>
      <c r="I507" t="n">
        <v>0</v>
      </c>
      <c r="J507" t="n">
        <v>0</v>
      </c>
      <c r="K507" t="n">
        <v>0</v>
      </c>
      <c r="L507" t="n">
        <v>0</v>
      </c>
      <c r="M507" t="n">
        <v>0</v>
      </c>
      <c r="N507" t="n">
        <v>0</v>
      </c>
      <c r="O507" t="n">
        <v>0</v>
      </c>
      <c r="P507" t="n">
        <v>0</v>
      </c>
      <c r="Q507" t="n">
        <v>0</v>
      </c>
      <c r="R507" s="2" t="inlineStr"/>
    </row>
    <row r="508" ht="15" customHeight="1">
      <c r="A508" t="inlineStr">
        <is>
          <t>A 41345-2021</t>
        </is>
      </c>
      <c r="B508" s="1" t="n">
        <v>44424.61851851852</v>
      </c>
      <c r="C508" s="1" t="n">
        <v>45895</v>
      </c>
      <c r="D508" t="inlineStr">
        <is>
          <t>ÖSTERGÖTLANDS LÄN</t>
        </is>
      </c>
      <c r="E508" t="inlineStr">
        <is>
          <t>LINKÖPING</t>
        </is>
      </c>
      <c r="F508" t="inlineStr">
        <is>
          <t>Sveaskog</t>
        </is>
      </c>
      <c r="G508" t="n">
        <v>6.3</v>
      </c>
      <c r="H508" t="n">
        <v>0</v>
      </c>
      <c r="I508" t="n">
        <v>0</v>
      </c>
      <c r="J508" t="n">
        <v>0</v>
      </c>
      <c r="K508" t="n">
        <v>0</v>
      </c>
      <c r="L508" t="n">
        <v>0</v>
      </c>
      <c r="M508" t="n">
        <v>0</v>
      </c>
      <c r="N508" t="n">
        <v>0</v>
      </c>
      <c r="O508" t="n">
        <v>0</v>
      </c>
      <c r="P508" t="n">
        <v>0</v>
      </c>
      <c r="Q508" t="n">
        <v>0</v>
      </c>
      <c r="R508" s="2" t="inlineStr"/>
    </row>
    <row r="509" ht="15" customHeight="1">
      <c r="A509" t="inlineStr">
        <is>
          <t>A 59642-2024</t>
        </is>
      </c>
      <c r="B509" s="1" t="n">
        <v>45639.31511574074</v>
      </c>
      <c r="C509" s="1" t="n">
        <v>45895</v>
      </c>
      <c r="D509" t="inlineStr">
        <is>
          <t>ÖSTERGÖTLANDS LÄN</t>
        </is>
      </c>
      <c r="E509" t="inlineStr">
        <is>
          <t>LINKÖPING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15748-2025</t>
        </is>
      </c>
      <c r="B510" s="1" t="n">
        <v>45748.55282407408</v>
      </c>
      <c r="C510" s="1" t="n">
        <v>45895</v>
      </c>
      <c r="D510" t="inlineStr">
        <is>
          <t>ÖSTERGÖTLANDS LÄN</t>
        </is>
      </c>
      <c r="E510" t="inlineStr">
        <is>
          <t>LINKÖPING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31792-2021</t>
        </is>
      </c>
      <c r="B511" s="1" t="n">
        <v>44369</v>
      </c>
      <c r="C511" s="1" t="n">
        <v>45895</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25097-2023</t>
        </is>
      </c>
      <c r="B512" s="1" t="n">
        <v>45086</v>
      </c>
      <c r="C512" s="1" t="n">
        <v>45895</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35735-2023</t>
        </is>
      </c>
      <c r="B513" s="1" t="n">
        <v>45147</v>
      </c>
      <c r="C513" s="1" t="n">
        <v>45895</v>
      </c>
      <c r="D513" t="inlineStr">
        <is>
          <t>ÖSTERGÖTLANDS LÄN</t>
        </is>
      </c>
      <c r="E513" t="inlineStr">
        <is>
          <t>LINKÖPING</t>
        </is>
      </c>
      <c r="G513" t="n">
        <v>2.8</v>
      </c>
      <c r="H513" t="n">
        <v>0</v>
      </c>
      <c r="I513" t="n">
        <v>0</v>
      </c>
      <c r="J513" t="n">
        <v>0</v>
      </c>
      <c r="K513" t="n">
        <v>0</v>
      </c>
      <c r="L513" t="n">
        <v>0</v>
      </c>
      <c r="M513" t="n">
        <v>0</v>
      </c>
      <c r="N513" t="n">
        <v>0</v>
      </c>
      <c r="O513" t="n">
        <v>0</v>
      </c>
      <c r="P513" t="n">
        <v>0</v>
      </c>
      <c r="Q513" t="n">
        <v>0</v>
      </c>
      <c r="R513" s="2" t="inlineStr"/>
    </row>
    <row r="514" ht="15" customHeight="1">
      <c r="A514" t="inlineStr">
        <is>
          <t>A 16462-2021</t>
        </is>
      </c>
      <c r="B514" s="1" t="n">
        <v>44293</v>
      </c>
      <c r="C514" s="1" t="n">
        <v>45895</v>
      </c>
      <c r="D514" t="inlineStr">
        <is>
          <t>ÖSTERGÖTLANDS LÄN</t>
        </is>
      </c>
      <c r="E514" t="inlineStr">
        <is>
          <t>LINKÖPING</t>
        </is>
      </c>
      <c r="F514" t="inlineStr">
        <is>
          <t>Allmännings- och besparingsskogar</t>
        </is>
      </c>
      <c r="G514" t="n">
        <v>24.7</v>
      </c>
      <c r="H514" t="n">
        <v>0</v>
      </c>
      <c r="I514" t="n">
        <v>0</v>
      </c>
      <c r="J514" t="n">
        <v>0</v>
      </c>
      <c r="K514" t="n">
        <v>0</v>
      </c>
      <c r="L514" t="n">
        <v>0</v>
      </c>
      <c r="M514" t="n">
        <v>0</v>
      </c>
      <c r="N514" t="n">
        <v>0</v>
      </c>
      <c r="O514" t="n">
        <v>0</v>
      </c>
      <c r="P514" t="n">
        <v>0</v>
      </c>
      <c r="Q514" t="n">
        <v>0</v>
      </c>
      <c r="R514" s="2" t="inlineStr"/>
    </row>
    <row r="515" ht="15" customHeight="1">
      <c r="A515" t="inlineStr">
        <is>
          <t>A 25776-2021</t>
        </is>
      </c>
      <c r="B515" s="1" t="n">
        <v>44343</v>
      </c>
      <c r="C515" s="1" t="n">
        <v>45895</v>
      </c>
      <c r="D515" t="inlineStr">
        <is>
          <t>ÖSTERGÖTLANDS LÄN</t>
        </is>
      </c>
      <c r="E515" t="inlineStr">
        <is>
          <t>LINKÖPING</t>
        </is>
      </c>
      <c r="G515" t="n">
        <v>2.6</v>
      </c>
      <c r="H515" t="n">
        <v>0</v>
      </c>
      <c r="I515" t="n">
        <v>0</v>
      </c>
      <c r="J515" t="n">
        <v>0</v>
      </c>
      <c r="K515" t="n">
        <v>0</v>
      </c>
      <c r="L515" t="n">
        <v>0</v>
      </c>
      <c r="M515" t="n">
        <v>0</v>
      </c>
      <c r="N515" t="n">
        <v>0</v>
      </c>
      <c r="O515" t="n">
        <v>0</v>
      </c>
      <c r="P515" t="n">
        <v>0</v>
      </c>
      <c r="Q515" t="n">
        <v>0</v>
      </c>
      <c r="R515" s="2" t="inlineStr"/>
    </row>
    <row r="516" ht="15" customHeight="1">
      <c r="A516" t="inlineStr">
        <is>
          <t>A 30856-2022</t>
        </is>
      </c>
      <c r="B516" s="1" t="n">
        <v>44767</v>
      </c>
      <c r="C516" s="1" t="n">
        <v>45895</v>
      </c>
      <c r="D516" t="inlineStr">
        <is>
          <t>ÖSTERGÖTLANDS LÄN</t>
        </is>
      </c>
      <c r="E516" t="inlineStr">
        <is>
          <t>LINKÖPING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67129-2020</t>
        </is>
      </c>
      <c r="B517" s="1" t="n">
        <v>44180</v>
      </c>
      <c r="C517" s="1" t="n">
        <v>45895</v>
      </c>
      <c r="D517" t="inlineStr">
        <is>
          <t>ÖSTERGÖTLANDS LÄN</t>
        </is>
      </c>
      <c r="E517" t="inlineStr">
        <is>
          <t>LINKÖPING</t>
        </is>
      </c>
      <c r="F517" t="inlineStr">
        <is>
          <t>Övriga statliga verk och myndigheter</t>
        </is>
      </c>
      <c r="G517" t="n">
        <v>2.7</v>
      </c>
      <c r="H517" t="n">
        <v>0</v>
      </c>
      <c r="I517" t="n">
        <v>0</v>
      </c>
      <c r="J517" t="n">
        <v>0</v>
      </c>
      <c r="K517" t="n">
        <v>0</v>
      </c>
      <c r="L517" t="n">
        <v>0</v>
      </c>
      <c r="M517" t="n">
        <v>0</v>
      </c>
      <c r="N517" t="n">
        <v>0</v>
      </c>
      <c r="O517" t="n">
        <v>0</v>
      </c>
      <c r="P517" t="n">
        <v>0</v>
      </c>
      <c r="Q517" t="n">
        <v>0</v>
      </c>
      <c r="R517" s="2" t="inlineStr"/>
    </row>
    <row r="518" ht="15" customHeight="1">
      <c r="A518" t="inlineStr">
        <is>
          <t>A 19187-2021</t>
        </is>
      </c>
      <c r="B518" s="1" t="n">
        <v>44308</v>
      </c>
      <c r="C518" s="1" t="n">
        <v>45895</v>
      </c>
      <c r="D518" t="inlineStr">
        <is>
          <t>ÖSTERGÖTLANDS LÄN</t>
        </is>
      </c>
      <c r="E518" t="inlineStr">
        <is>
          <t>LINKÖPING</t>
        </is>
      </c>
      <c r="F518" t="inlineStr">
        <is>
          <t>Allmännings- och besparingsskogar</t>
        </is>
      </c>
      <c r="G518" t="n">
        <v>20</v>
      </c>
      <c r="H518" t="n">
        <v>0</v>
      </c>
      <c r="I518" t="n">
        <v>0</v>
      </c>
      <c r="J518" t="n">
        <v>0</v>
      </c>
      <c r="K518" t="n">
        <v>0</v>
      </c>
      <c r="L518" t="n">
        <v>0</v>
      </c>
      <c r="M518" t="n">
        <v>0</v>
      </c>
      <c r="N518" t="n">
        <v>0</v>
      </c>
      <c r="O518" t="n">
        <v>0</v>
      </c>
      <c r="P518" t="n">
        <v>0</v>
      </c>
      <c r="Q518" t="n">
        <v>0</v>
      </c>
      <c r="R518" s="2" t="inlineStr"/>
    </row>
    <row r="519" ht="15" customHeight="1">
      <c r="A519" t="inlineStr">
        <is>
          <t>A 37057-2025</t>
        </is>
      </c>
      <c r="B519" s="1" t="n">
        <v>45875.37489583333</v>
      </c>
      <c r="C519" s="1" t="n">
        <v>45895</v>
      </c>
      <c r="D519" t="inlineStr">
        <is>
          <t>ÖSTERGÖTLANDS LÄN</t>
        </is>
      </c>
      <c r="E519" t="inlineStr">
        <is>
          <t>LINKÖPING</t>
        </is>
      </c>
      <c r="G519" t="n">
        <v>3.3</v>
      </c>
      <c r="H519" t="n">
        <v>0</v>
      </c>
      <c r="I519" t="n">
        <v>0</v>
      </c>
      <c r="J519" t="n">
        <v>0</v>
      </c>
      <c r="K519" t="n">
        <v>0</v>
      </c>
      <c r="L519" t="n">
        <v>0</v>
      </c>
      <c r="M519" t="n">
        <v>0</v>
      </c>
      <c r="N519" t="n">
        <v>0</v>
      </c>
      <c r="O519" t="n">
        <v>0</v>
      </c>
      <c r="P519" t="n">
        <v>0</v>
      </c>
      <c r="Q519" t="n">
        <v>0</v>
      </c>
      <c r="R519" s="2" t="inlineStr"/>
    </row>
    <row r="520" ht="15" customHeight="1">
      <c r="A520" t="inlineStr">
        <is>
          <t>A 61307-2021</t>
        </is>
      </c>
      <c r="B520" s="1" t="n">
        <v>44498.63928240741</v>
      </c>
      <c r="C520" s="1" t="n">
        <v>45895</v>
      </c>
      <c r="D520" t="inlineStr">
        <is>
          <t>ÖSTERGÖTLANDS LÄN</t>
        </is>
      </c>
      <c r="E520" t="inlineStr">
        <is>
          <t>LINKÖPING</t>
        </is>
      </c>
      <c r="G520" t="n">
        <v>1.8</v>
      </c>
      <c r="H520" t="n">
        <v>0</v>
      </c>
      <c r="I520" t="n">
        <v>0</v>
      </c>
      <c r="J520" t="n">
        <v>0</v>
      </c>
      <c r="K520" t="n">
        <v>0</v>
      </c>
      <c r="L520" t="n">
        <v>0</v>
      </c>
      <c r="M520" t="n">
        <v>0</v>
      </c>
      <c r="N520" t="n">
        <v>0</v>
      </c>
      <c r="O520" t="n">
        <v>0</v>
      </c>
      <c r="P520" t="n">
        <v>0</v>
      </c>
      <c r="Q520" t="n">
        <v>0</v>
      </c>
      <c r="R520" s="2" t="inlineStr"/>
    </row>
    <row r="521" ht="15" customHeight="1">
      <c r="A521" t="inlineStr">
        <is>
          <t>A 61325-2021</t>
        </is>
      </c>
      <c r="B521" s="1" t="n">
        <v>44498.66814814815</v>
      </c>
      <c r="C521" s="1" t="n">
        <v>45895</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60010-2022</t>
        </is>
      </c>
      <c r="B522" s="1" t="n">
        <v>44909.4740625</v>
      </c>
      <c r="C522" s="1" t="n">
        <v>45895</v>
      </c>
      <c r="D522" t="inlineStr">
        <is>
          <t>ÖSTERGÖTLANDS LÄN</t>
        </is>
      </c>
      <c r="E522" t="inlineStr">
        <is>
          <t>LINKÖPING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39219-2021</t>
        </is>
      </c>
      <c r="B523" s="1" t="n">
        <v>44413</v>
      </c>
      <c r="C523" s="1" t="n">
        <v>45895</v>
      </c>
      <c r="D523" t="inlineStr">
        <is>
          <t>ÖSTERGÖTLANDS LÄN</t>
        </is>
      </c>
      <c r="E523" t="inlineStr">
        <is>
          <t>LINKÖPING</t>
        </is>
      </c>
      <c r="G523" t="n">
        <v>1.4</v>
      </c>
      <c r="H523" t="n">
        <v>0</v>
      </c>
      <c r="I523" t="n">
        <v>0</v>
      </c>
      <c r="J523" t="n">
        <v>0</v>
      </c>
      <c r="K523" t="n">
        <v>0</v>
      </c>
      <c r="L523" t="n">
        <v>0</v>
      </c>
      <c r="M523" t="n">
        <v>0</v>
      </c>
      <c r="N523" t="n">
        <v>0</v>
      </c>
      <c r="O523" t="n">
        <v>0</v>
      </c>
      <c r="P523" t="n">
        <v>0</v>
      </c>
      <c r="Q523" t="n">
        <v>0</v>
      </c>
      <c r="R523" s="2" t="inlineStr"/>
    </row>
    <row r="524" ht="15" customHeight="1">
      <c r="A524" t="inlineStr">
        <is>
          <t>A 39224-2021</t>
        </is>
      </c>
      <c r="B524" s="1" t="n">
        <v>44413</v>
      </c>
      <c r="C524" s="1" t="n">
        <v>45895</v>
      </c>
      <c r="D524" t="inlineStr">
        <is>
          <t>ÖSTERGÖTLANDS LÄN</t>
        </is>
      </c>
      <c r="E524" t="inlineStr">
        <is>
          <t>LINKÖPING</t>
        </is>
      </c>
      <c r="G524" t="n">
        <v>2.1</v>
      </c>
      <c r="H524" t="n">
        <v>0</v>
      </c>
      <c r="I524" t="n">
        <v>0</v>
      </c>
      <c r="J524" t="n">
        <v>0</v>
      </c>
      <c r="K524" t="n">
        <v>0</v>
      </c>
      <c r="L524" t="n">
        <v>0</v>
      </c>
      <c r="M524" t="n">
        <v>0</v>
      </c>
      <c r="N524" t="n">
        <v>0</v>
      </c>
      <c r="O524" t="n">
        <v>0</v>
      </c>
      <c r="P524" t="n">
        <v>0</v>
      </c>
      <c r="Q524" t="n">
        <v>0</v>
      </c>
      <c r="R524" s="2" t="inlineStr"/>
    </row>
    <row r="525" ht="15" customHeight="1">
      <c r="A525" t="inlineStr">
        <is>
          <t>A 55305-2020</t>
        </is>
      </c>
      <c r="B525" s="1" t="n">
        <v>44130</v>
      </c>
      <c r="C525" s="1" t="n">
        <v>45895</v>
      </c>
      <c r="D525" t="inlineStr">
        <is>
          <t>ÖSTERGÖTLANDS LÄN</t>
        </is>
      </c>
      <c r="E525" t="inlineStr">
        <is>
          <t>LINKÖPING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31581-2025</t>
        </is>
      </c>
      <c r="B526" s="1" t="n">
        <v>45833.6840162037</v>
      </c>
      <c r="C526" s="1" t="n">
        <v>45895</v>
      </c>
      <c r="D526" t="inlineStr">
        <is>
          <t>ÖSTERGÖTLANDS LÄN</t>
        </is>
      </c>
      <c r="E526" t="inlineStr">
        <is>
          <t>LINKÖPING</t>
        </is>
      </c>
      <c r="G526" t="n">
        <v>2.6</v>
      </c>
      <c r="H526" t="n">
        <v>0</v>
      </c>
      <c r="I526" t="n">
        <v>0</v>
      </c>
      <c r="J526" t="n">
        <v>0</v>
      </c>
      <c r="K526" t="n">
        <v>0</v>
      </c>
      <c r="L526" t="n">
        <v>0</v>
      </c>
      <c r="M526" t="n">
        <v>0</v>
      </c>
      <c r="N526" t="n">
        <v>0</v>
      </c>
      <c r="O526" t="n">
        <v>0</v>
      </c>
      <c r="P526" t="n">
        <v>0</v>
      </c>
      <c r="Q526" t="n">
        <v>0</v>
      </c>
      <c r="R526" s="2" t="inlineStr"/>
    </row>
    <row r="527" ht="15" customHeight="1">
      <c r="A527" t="inlineStr">
        <is>
          <t>A 31585-2025</t>
        </is>
      </c>
      <c r="B527" s="1" t="n">
        <v>45833.68815972222</v>
      </c>
      <c r="C527" s="1" t="n">
        <v>45895</v>
      </c>
      <c r="D527" t="inlineStr">
        <is>
          <t>ÖSTERGÖTLANDS LÄN</t>
        </is>
      </c>
      <c r="E527" t="inlineStr">
        <is>
          <t>LINKÖPING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30518-2024</t>
        </is>
      </c>
      <c r="B528" s="1" t="n">
        <v>45492</v>
      </c>
      <c r="C528" s="1" t="n">
        <v>45895</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4908-2023</t>
        </is>
      </c>
      <c r="B529" s="1" t="n">
        <v>44958</v>
      </c>
      <c r="C529" s="1" t="n">
        <v>45895</v>
      </c>
      <c r="D529" t="inlineStr">
        <is>
          <t>ÖSTERGÖTLANDS LÄN</t>
        </is>
      </c>
      <c r="E529" t="inlineStr">
        <is>
          <t>LINKÖPING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37715-2022</t>
        </is>
      </c>
      <c r="B530" s="1" t="n">
        <v>44810</v>
      </c>
      <c r="C530" s="1" t="n">
        <v>45895</v>
      </c>
      <c r="D530" t="inlineStr">
        <is>
          <t>ÖSTERGÖTLANDS LÄN</t>
        </is>
      </c>
      <c r="E530" t="inlineStr">
        <is>
          <t>LINKÖPING</t>
        </is>
      </c>
      <c r="G530" t="n">
        <v>0.7</v>
      </c>
      <c r="H530" t="n">
        <v>0</v>
      </c>
      <c r="I530" t="n">
        <v>0</v>
      </c>
      <c r="J530" t="n">
        <v>0</v>
      </c>
      <c r="K530" t="n">
        <v>0</v>
      </c>
      <c r="L530" t="n">
        <v>0</v>
      </c>
      <c r="M530" t="n">
        <v>0</v>
      </c>
      <c r="N530" t="n">
        <v>0</v>
      </c>
      <c r="O530" t="n">
        <v>0</v>
      </c>
      <c r="P530" t="n">
        <v>0</v>
      </c>
      <c r="Q530" t="n">
        <v>0</v>
      </c>
      <c r="R530" s="2" t="inlineStr"/>
    </row>
    <row r="531" ht="15" customHeight="1">
      <c r="A531" t="inlineStr">
        <is>
          <t>A 43934-2023</t>
        </is>
      </c>
      <c r="B531" s="1" t="n">
        <v>45187</v>
      </c>
      <c r="C531" s="1" t="n">
        <v>45895</v>
      </c>
      <c r="D531" t="inlineStr">
        <is>
          <t>ÖSTERGÖTLANDS LÄN</t>
        </is>
      </c>
      <c r="E531" t="inlineStr">
        <is>
          <t>LINKÖPING</t>
        </is>
      </c>
      <c r="F531" t="inlineStr">
        <is>
          <t>Övriga Aktiebolag</t>
        </is>
      </c>
      <c r="G531" t="n">
        <v>3.8</v>
      </c>
      <c r="H531" t="n">
        <v>0</v>
      </c>
      <c r="I531" t="n">
        <v>0</v>
      </c>
      <c r="J531" t="n">
        <v>0</v>
      </c>
      <c r="K531" t="n">
        <v>0</v>
      </c>
      <c r="L531" t="n">
        <v>0</v>
      </c>
      <c r="M531" t="n">
        <v>0</v>
      </c>
      <c r="N531" t="n">
        <v>0</v>
      </c>
      <c r="O531" t="n">
        <v>0</v>
      </c>
      <c r="P531" t="n">
        <v>0</v>
      </c>
      <c r="Q531" t="n">
        <v>0</v>
      </c>
      <c r="R531" s="2" t="inlineStr"/>
    </row>
    <row r="532" ht="15" customHeight="1">
      <c r="A532" t="inlineStr">
        <is>
          <t>A 25825-2025</t>
        </is>
      </c>
      <c r="B532" s="1" t="n">
        <v>45804</v>
      </c>
      <c r="C532" s="1" t="n">
        <v>45895</v>
      </c>
      <c r="D532" t="inlineStr">
        <is>
          <t>ÖSTERGÖTLANDS LÄN</t>
        </is>
      </c>
      <c r="E532" t="inlineStr">
        <is>
          <t>LINKÖPING</t>
        </is>
      </c>
      <c r="G532" t="n">
        <v>1.7</v>
      </c>
      <c r="H532" t="n">
        <v>0</v>
      </c>
      <c r="I532" t="n">
        <v>0</v>
      </c>
      <c r="J532" t="n">
        <v>0</v>
      </c>
      <c r="K532" t="n">
        <v>0</v>
      </c>
      <c r="L532" t="n">
        <v>0</v>
      </c>
      <c r="M532" t="n">
        <v>0</v>
      </c>
      <c r="N532" t="n">
        <v>0</v>
      </c>
      <c r="O532" t="n">
        <v>0</v>
      </c>
      <c r="P532" t="n">
        <v>0</v>
      </c>
      <c r="Q532" t="n">
        <v>0</v>
      </c>
      <c r="R532" s="2" t="inlineStr"/>
    </row>
    <row r="533" ht="15" customHeight="1">
      <c r="A533" t="inlineStr">
        <is>
          <t>A 3742-2021</t>
        </is>
      </c>
      <c r="B533" s="1" t="n">
        <v>44221</v>
      </c>
      <c r="C533" s="1" t="n">
        <v>45895</v>
      </c>
      <c r="D533" t="inlineStr">
        <is>
          <t>ÖSTERGÖTLANDS LÄN</t>
        </is>
      </c>
      <c r="E533" t="inlineStr">
        <is>
          <t>LINKÖPING</t>
        </is>
      </c>
      <c r="G533" t="n">
        <v>5.5</v>
      </c>
      <c r="H533" t="n">
        <v>0</v>
      </c>
      <c r="I533" t="n">
        <v>0</v>
      </c>
      <c r="J533" t="n">
        <v>0</v>
      </c>
      <c r="K533" t="n">
        <v>0</v>
      </c>
      <c r="L533" t="n">
        <v>0</v>
      </c>
      <c r="M533" t="n">
        <v>0</v>
      </c>
      <c r="N533" t="n">
        <v>0</v>
      </c>
      <c r="O533" t="n">
        <v>0</v>
      </c>
      <c r="P533" t="n">
        <v>0</v>
      </c>
      <c r="Q533" t="n">
        <v>0</v>
      </c>
      <c r="R533" s="2" t="inlineStr"/>
    </row>
    <row r="534" ht="15" customHeight="1">
      <c r="A534" t="inlineStr">
        <is>
          <t>A 32723-2025</t>
        </is>
      </c>
      <c r="B534" s="1" t="n">
        <v>45838</v>
      </c>
      <c r="C534" s="1" t="n">
        <v>45895</v>
      </c>
      <c r="D534" t="inlineStr">
        <is>
          <t>ÖSTERGÖTLANDS LÄN</t>
        </is>
      </c>
      <c r="E534" t="inlineStr">
        <is>
          <t>LINKÖPING</t>
        </is>
      </c>
      <c r="G534" t="n">
        <v>2.1</v>
      </c>
      <c r="H534" t="n">
        <v>0</v>
      </c>
      <c r="I534" t="n">
        <v>0</v>
      </c>
      <c r="J534" t="n">
        <v>0</v>
      </c>
      <c r="K534" t="n">
        <v>0</v>
      </c>
      <c r="L534" t="n">
        <v>0</v>
      </c>
      <c r="M534" t="n">
        <v>0</v>
      </c>
      <c r="N534" t="n">
        <v>0</v>
      </c>
      <c r="O534" t="n">
        <v>0</v>
      </c>
      <c r="P534" t="n">
        <v>0</v>
      </c>
      <c r="Q534" t="n">
        <v>0</v>
      </c>
      <c r="R534" s="2" t="inlineStr"/>
    </row>
    <row r="535" ht="15" customHeight="1">
      <c r="A535" t="inlineStr">
        <is>
          <t>A 3011-2023</t>
        </is>
      </c>
      <c r="B535" s="1" t="n">
        <v>44945</v>
      </c>
      <c r="C535" s="1" t="n">
        <v>45895</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45442-2024</t>
        </is>
      </c>
      <c r="B536" s="1" t="n">
        <v>45576.64189814815</v>
      </c>
      <c r="C536" s="1" t="n">
        <v>45895</v>
      </c>
      <c r="D536" t="inlineStr">
        <is>
          <t>ÖSTERGÖTLANDS LÄN</t>
        </is>
      </c>
      <c r="E536" t="inlineStr">
        <is>
          <t>LINKÖPING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3432-2023</t>
        </is>
      </c>
      <c r="B537" s="1" t="n">
        <v>44949</v>
      </c>
      <c r="C537" s="1" t="n">
        <v>45895</v>
      </c>
      <c r="D537" t="inlineStr">
        <is>
          <t>ÖSTERGÖTLANDS LÄN</t>
        </is>
      </c>
      <c r="E537" t="inlineStr">
        <is>
          <t>LINKÖPING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1440-2021</t>
        </is>
      </c>
      <c r="B538" s="1" t="n">
        <v>44208</v>
      </c>
      <c r="C538" s="1" t="n">
        <v>45895</v>
      </c>
      <c r="D538" t="inlineStr">
        <is>
          <t>ÖSTERGÖTLANDS LÄN</t>
        </is>
      </c>
      <c r="E538" t="inlineStr">
        <is>
          <t>LINKÖPING</t>
        </is>
      </c>
      <c r="G538" t="n">
        <v>8.4</v>
      </c>
      <c r="H538" t="n">
        <v>0</v>
      </c>
      <c r="I538" t="n">
        <v>0</v>
      </c>
      <c r="J538" t="n">
        <v>0</v>
      </c>
      <c r="K538" t="n">
        <v>0</v>
      </c>
      <c r="L538" t="n">
        <v>0</v>
      </c>
      <c r="M538" t="n">
        <v>0</v>
      </c>
      <c r="N538" t="n">
        <v>0</v>
      </c>
      <c r="O538" t="n">
        <v>0</v>
      </c>
      <c r="P538" t="n">
        <v>0</v>
      </c>
      <c r="Q538" t="n">
        <v>0</v>
      </c>
      <c r="R538" s="2" t="inlineStr"/>
    </row>
    <row r="539" ht="15" customHeight="1">
      <c r="A539" t="inlineStr">
        <is>
          <t>A 60472-2022</t>
        </is>
      </c>
      <c r="B539" s="1" t="n">
        <v>44911.41037037037</v>
      </c>
      <c r="C539" s="1" t="n">
        <v>45895</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12720-2022</t>
        </is>
      </c>
      <c r="B540" s="1" t="n">
        <v>44641</v>
      </c>
      <c r="C540" s="1" t="n">
        <v>45895</v>
      </c>
      <c r="D540" t="inlineStr">
        <is>
          <t>ÖSTERGÖTLANDS LÄN</t>
        </is>
      </c>
      <c r="E540" t="inlineStr">
        <is>
          <t>LINKÖPING</t>
        </is>
      </c>
      <c r="F540" t="inlineStr">
        <is>
          <t>Övriga Aktiebolag</t>
        </is>
      </c>
      <c r="G540" t="n">
        <v>2</v>
      </c>
      <c r="H540" t="n">
        <v>0</v>
      </c>
      <c r="I540" t="n">
        <v>0</v>
      </c>
      <c r="J540" t="n">
        <v>0</v>
      </c>
      <c r="K540" t="n">
        <v>0</v>
      </c>
      <c r="L540" t="n">
        <v>0</v>
      </c>
      <c r="M540" t="n">
        <v>0</v>
      </c>
      <c r="N540" t="n">
        <v>0</v>
      </c>
      <c r="O540" t="n">
        <v>0</v>
      </c>
      <c r="P540" t="n">
        <v>0</v>
      </c>
      <c r="Q540" t="n">
        <v>0</v>
      </c>
      <c r="R540" s="2" t="inlineStr"/>
    </row>
    <row r="541" ht="15" customHeight="1">
      <c r="A541" t="inlineStr">
        <is>
          <t>A 7354-2025</t>
        </is>
      </c>
      <c r="B541" s="1" t="n">
        <v>45704.41174768518</v>
      </c>
      <c r="C541" s="1" t="n">
        <v>45895</v>
      </c>
      <c r="D541" t="inlineStr">
        <is>
          <t>ÖSTERGÖTLANDS LÄN</t>
        </is>
      </c>
      <c r="E541" t="inlineStr">
        <is>
          <t>LINKÖPING</t>
        </is>
      </c>
      <c r="G541" t="n">
        <v>4.8</v>
      </c>
      <c r="H541" t="n">
        <v>0</v>
      </c>
      <c r="I541" t="n">
        <v>0</v>
      </c>
      <c r="J541" t="n">
        <v>0</v>
      </c>
      <c r="K541" t="n">
        <v>0</v>
      </c>
      <c r="L541" t="n">
        <v>0</v>
      </c>
      <c r="M541" t="n">
        <v>0</v>
      </c>
      <c r="N541" t="n">
        <v>0</v>
      </c>
      <c r="O541" t="n">
        <v>0</v>
      </c>
      <c r="P541" t="n">
        <v>0</v>
      </c>
      <c r="Q541" t="n">
        <v>0</v>
      </c>
      <c r="R541" s="2" t="inlineStr"/>
    </row>
    <row r="542" ht="15" customHeight="1">
      <c r="A542" t="inlineStr">
        <is>
          <t>A 44739-2020</t>
        </is>
      </c>
      <c r="B542" s="1" t="n">
        <v>44085</v>
      </c>
      <c r="C542" s="1" t="n">
        <v>45895</v>
      </c>
      <c r="D542" t="inlineStr">
        <is>
          <t>ÖSTERGÖTLANDS LÄN</t>
        </is>
      </c>
      <c r="E542" t="inlineStr">
        <is>
          <t>LINKÖPING</t>
        </is>
      </c>
      <c r="G542" t="n">
        <v>5</v>
      </c>
      <c r="H542" t="n">
        <v>0</v>
      </c>
      <c r="I542" t="n">
        <v>0</v>
      </c>
      <c r="J542" t="n">
        <v>0</v>
      </c>
      <c r="K542" t="n">
        <v>0</v>
      </c>
      <c r="L542" t="n">
        <v>0</v>
      </c>
      <c r="M542" t="n">
        <v>0</v>
      </c>
      <c r="N542" t="n">
        <v>0</v>
      </c>
      <c r="O542" t="n">
        <v>0</v>
      </c>
      <c r="P542" t="n">
        <v>0</v>
      </c>
      <c r="Q542" t="n">
        <v>0</v>
      </c>
      <c r="R542" s="2" t="inlineStr"/>
    </row>
    <row r="543" ht="15" customHeight="1">
      <c r="A543" t="inlineStr">
        <is>
          <t>A 63935-2021</t>
        </is>
      </c>
      <c r="B543" s="1" t="n">
        <v>44509</v>
      </c>
      <c r="C543" s="1" t="n">
        <v>45895</v>
      </c>
      <c r="D543" t="inlineStr">
        <is>
          <t>ÖSTERGÖTLANDS LÄN</t>
        </is>
      </c>
      <c r="E543" t="inlineStr">
        <is>
          <t>LINKÖPING</t>
        </is>
      </c>
      <c r="F543" t="inlineStr">
        <is>
          <t>Övriga statliga verk och myndigheter</t>
        </is>
      </c>
      <c r="G543" t="n">
        <v>2.8</v>
      </c>
      <c r="H543" t="n">
        <v>0</v>
      </c>
      <c r="I543" t="n">
        <v>0</v>
      </c>
      <c r="J543" t="n">
        <v>0</v>
      </c>
      <c r="K543" t="n">
        <v>0</v>
      </c>
      <c r="L543" t="n">
        <v>0</v>
      </c>
      <c r="M543" t="n">
        <v>0</v>
      </c>
      <c r="N543" t="n">
        <v>0</v>
      </c>
      <c r="O543" t="n">
        <v>0</v>
      </c>
      <c r="P543" t="n">
        <v>0</v>
      </c>
      <c r="Q543" t="n">
        <v>0</v>
      </c>
      <c r="R543" s="2" t="inlineStr"/>
    </row>
    <row r="544" ht="15" customHeight="1">
      <c r="A544" t="inlineStr">
        <is>
          <t>A 47364-2020</t>
        </is>
      </c>
      <c r="B544" s="1" t="n">
        <v>44097</v>
      </c>
      <c r="C544" s="1" t="n">
        <v>45895</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38046-2025</t>
        </is>
      </c>
      <c r="B545" s="1" t="n">
        <v>45882.39939814815</v>
      </c>
      <c r="C545" s="1" t="n">
        <v>45895</v>
      </c>
      <c r="D545" t="inlineStr">
        <is>
          <t>ÖSTERGÖTLANDS LÄN</t>
        </is>
      </c>
      <c r="E545" t="inlineStr">
        <is>
          <t>LINKÖPING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40810-2022</t>
        </is>
      </c>
      <c r="B546" s="1" t="n">
        <v>44824</v>
      </c>
      <c r="C546" s="1" t="n">
        <v>45895</v>
      </c>
      <c r="D546" t="inlineStr">
        <is>
          <t>ÖSTERGÖTLANDS LÄN</t>
        </is>
      </c>
      <c r="E546" t="inlineStr">
        <is>
          <t>LINKÖPING</t>
        </is>
      </c>
      <c r="G546" t="n">
        <v>2.8</v>
      </c>
      <c r="H546" t="n">
        <v>0</v>
      </c>
      <c r="I546" t="n">
        <v>0</v>
      </c>
      <c r="J546" t="n">
        <v>0</v>
      </c>
      <c r="K546" t="n">
        <v>0</v>
      </c>
      <c r="L546" t="n">
        <v>0</v>
      </c>
      <c r="M546" t="n">
        <v>0</v>
      </c>
      <c r="N546" t="n">
        <v>0</v>
      </c>
      <c r="O546" t="n">
        <v>0</v>
      </c>
      <c r="P546" t="n">
        <v>0</v>
      </c>
      <c r="Q546" t="n">
        <v>0</v>
      </c>
      <c r="R546" s="2" t="inlineStr"/>
    </row>
    <row r="547" ht="15" customHeight="1">
      <c r="A547" t="inlineStr">
        <is>
          <t>A 45831-2024</t>
        </is>
      </c>
      <c r="B547" s="1" t="n">
        <v>45579.90508101852</v>
      </c>
      <c r="C547" s="1" t="n">
        <v>45895</v>
      </c>
      <c r="D547" t="inlineStr">
        <is>
          <t>ÖSTERGÖTLANDS LÄN</t>
        </is>
      </c>
      <c r="E547" t="inlineStr">
        <is>
          <t>LINKÖPING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57396-2021</t>
        </is>
      </c>
      <c r="B548" s="1" t="n">
        <v>44483.56151620371</v>
      </c>
      <c r="C548" s="1" t="n">
        <v>45895</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22842-2023</t>
        </is>
      </c>
      <c r="B549" s="1" t="n">
        <v>45071</v>
      </c>
      <c r="C549" s="1" t="n">
        <v>45895</v>
      </c>
      <c r="D549" t="inlineStr">
        <is>
          <t>ÖSTERGÖTLANDS LÄN</t>
        </is>
      </c>
      <c r="E549" t="inlineStr">
        <is>
          <t>LINKÖPING</t>
        </is>
      </c>
      <c r="F549" t="inlineStr">
        <is>
          <t>Kommuner</t>
        </is>
      </c>
      <c r="G549" t="n">
        <v>1.3</v>
      </c>
      <c r="H549" t="n">
        <v>0</v>
      </c>
      <c r="I549" t="n">
        <v>0</v>
      </c>
      <c r="J549" t="n">
        <v>0</v>
      </c>
      <c r="K549" t="n">
        <v>0</v>
      </c>
      <c r="L549" t="n">
        <v>0</v>
      </c>
      <c r="M549" t="n">
        <v>0</v>
      </c>
      <c r="N549" t="n">
        <v>0</v>
      </c>
      <c r="O549" t="n">
        <v>0</v>
      </c>
      <c r="P549" t="n">
        <v>0</v>
      </c>
      <c r="Q549" t="n">
        <v>0</v>
      </c>
      <c r="R549" s="2" t="inlineStr"/>
    </row>
    <row r="550" ht="15" customHeight="1">
      <c r="A550" t="inlineStr">
        <is>
          <t>A 50386-2021</t>
        </is>
      </c>
      <c r="B550" s="1" t="n">
        <v>44459</v>
      </c>
      <c r="C550" s="1" t="n">
        <v>45895</v>
      </c>
      <c r="D550" t="inlineStr">
        <is>
          <t>ÖSTERGÖTLANDS LÄN</t>
        </is>
      </c>
      <c r="E550" t="inlineStr">
        <is>
          <t>LINKÖPING</t>
        </is>
      </c>
      <c r="G550" t="n">
        <v>2.3</v>
      </c>
      <c r="H550" t="n">
        <v>0</v>
      </c>
      <c r="I550" t="n">
        <v>0</v>
      </c>
      <c r="J550" t="n">
        <v>0</v>
      </c>
      <c r="K550" t="n">
        <v>0</v>
      </c>
      <c r="L550" t="n">
        <v>0</v>
      </c>
      <c r="M550" t="n">
        <v>0</v>
      </c>
      <c r="N550" t="n">
        <v>0</v>
      </c>
      <c r="O550" t="n">
        <v>0</v>
      </c>
      <c r="P550" t="n">
        <v>0</v>
      </c>
      <c r="Q550" t="n">
        <v>0</v>
      </c>
      <c r="R550" s="2" t="inlineStr"/>
    </row>
    <row r="551" ht="15" customHeight="1">
      <c r="A551" t="inlineStr">
        <is>
          <t>A 35781-2023</t>
        </is>
      </c>
      <c r="B551" s="1" t="n">
        <v>45147</v>
      </c>
      <c r="C551" s="1" t="n">
        <v>45895</v>
      </c>
      <c r="D551" t="inlineStr">
        <is>
          <t>ÖSTERGÖTLANDS LÄN</t>
        </is>
      </c>
      <c r="E551" t="inlineStr">
        <is>
          <t>LINKÖPING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22770-2024</t>
        </is>
      </c>
      <c r="B552" s="1" t="n">
        <v>45448.4634375</v>
      </c>
      <c r="C552" s="1" t="n">
        <v>45895</v>
      </c>
      <c r="D552" t="inlineStr">
        <is>
          <t>ÖSTERGÖTLANDS LÄN</t>
        </is>
      </c>
      <c r="E552" t="inlineStr">
        <is>
          <t>LINKÖPING</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11671-2023</t>
        </is>
      </c>
      <c r="B553" s="1" t="n">
        <v>44994.48125</v>
      </c>
      <c r="C553" s="1" t="n">
        <v>45895</v>
      </c>
      <c r="D553" t="inlineStr">
        <is>
          <t>ÖSTERGÖTLANDS LÄN</t>
        </is>
      </c>
      <c r="E553" t="inlineStr">
        <is>
          <t>LINKÖPING</t>
        </is>
      </c>
      <c r="G553" t="n">
        <v>2.6</v>
      </c>
      <c r="H553" t="n">
        <v>0</v>
      </c>
      <c r="I553" t="n">
        <v>0</v>
      </c>
      <c r="J553" t="n">
        <v>0</v>
      </c>
      <c r="K553" t="n">
        <v>0</v>
      </c>
      <c r="L553" t="n">
        <v>0</v>
      </c>
      <c r="M553" t="n">
        <v>0</v>
      </c>
      <c r="N553" t="n">
        <v>0</v>
      </c>
      <c r="O553" t="n">
        <v>0</v>
      </c>
      <c r="P553" t="n">
        <v>0</v>
      </c>
      <c r="Q553" t="n">
        <v>0</v>
      </c>
      <c r="R553" s="2" t="inlineStr"/>
    </row>
    <row r="554" ht="15" customHeight="1">
      <c r="A554" t="inlineStr">
        <is>
          <t>A 20298-2025</t>
        </is>
      </c>
      <c r="B554" s="1" t="n">
        <v>45774.75024305555</v>
      </c>
      <c r="C554" s="1" t="n">
        <v>45895</v>
      </c>
      <c r="D554" t="inlineStr">
        <is>
          <t>ÖSTERGÖTLANDS LÄN</t>
        </is>
      </c>
      <c r="E554" t="inlineStr">
        <is>
          <t>LINKÖPING</t>
        </is>
      </c>
      <c r="G554" t="n">
        <v>1.3</v>
      </c>
      <c r="H554" t="n">
        <v>0</v>
      </c>
      <c r="I554" t="n">
        <v>0</v>
      </c>
      <c r="J554" t="n">
        <v>0</v>
      </c>
      <c r="K554" t="n">
        <v>0</v>
      </c>
      <c r="L554" t="n">
        <v>0</v>
      </c>
      <c r="M554" t="n">
        <v>0</v>
      </c>
      <c r="N554" t="n">
        <v>0</v>
      </c>
      <c r="O554" t="n">
        <v>0</v>
      </c>
      <c r="P554" t="n">
        <v>0</v>
      </c>
      <c r="Q554" t="n">
        <v>0</v>
      </c>
      <c r="R554" s="2" t="inlineStr"/>
    </row>
    <row r="555" ht="15" customHeight="1">
      <c r="A555" t="inlineStr">
        <is>
          <t>A 54425-2022</t>
        </is>
      </c>
      <c r="B555" s="1" t="n">
        <v>44882.57453703704</v>
      </c>
      <c r="C555" s="1" t="n">
        <v>45895</v>
      </c>
      <c r="D555" t="inlineStr">
        <is>
          <t>ÖSTERGÖTLANDS LÄN</t>
        </is>
      </c>
      <c r="E555" t="inlineStr">
        <is>
          <t>LINKÖPING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14576-2023</t>
        </is>
      </c>
      <c r="B556" s="1" t="n">
        <v>45013</v>
      </c>
      <c r="C556" s="1" t="n">
        <v>45895</v>
      </c>
      <c r="D556" t="inlineStr">
        <is>
          <t>ÖSTERGÖTLANDS LÄN</t>
        </is>
      </c>
      <c r="E556" t="inlineStr">
        <is>
          <t>LINKÖPING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12089-2025</t>
        </is>
      </c>
      <c r="B557" s="1" t="n">
        <v>45729</v>
      </c>
      <c r="C557" s="1" t="n">
        <v>45895</v>
      </c>
      <c r="D557" t="inlineStr">
        <is>
          <t>ÖSTERGÖTLANDS LÄN</t>
        </is>
      </c>
      <c r="E557" t="inlineStr">
        <is>
          <t>LINKÖPING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33947-2025</t>
        </is>
      </c>
      <c r="B558" s="1" t="n">
        <v>45842.65444444444</v>
      </c>
      <c r="C558" s="1" t="n">
        <v>45895</v>
      </c>
      <c r="D558" t="inlineStr">
        <is>
          <t>ÖSTERGÖTLANDS LÄN</t>
        </is>
      </c>
      <c r="E558" t="inlineStr">
        <is>
          <t>LINKÖPING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4927-2021</t>
        </is>
      </c>
      <c r="B559" s="1" t="n">
        <v>44227.57215277778</v>
      </c>
      <c r="C559" s="1" t="n">
        <v>45895</v>
      </c>
      <c r="D559" t="inlineStr">
        <is>
          <t>ÖSTERGÖTLANDS LÄN</t>
        </is>
      </c>
      <c r="E559" t="inlineStr">
        <is>
          <t>LINKÖPING</t>
        </is>
      </c>
      <c r="G559" t="n">
        <v>0.3</v>
      </c>
      <c r="H559" t="n">
        <v>0</v>
      </c>
      <c r="I559" t="n">
        <v>0</v>
      </c>
      <c r="J559" t="n">
        <v>0</v>
      </c>
      <c r="K559" t="n">
        <v>0</v>
      </c>
      <c r="L559" t="n">
        <v>0</v>
      </c>
      <c r="M559" t="n">
        <v>0</v>
      </c>
      <c r="N559" t="n">
        <v>0</v>
      </c>
      <c r="O559" t="n">
        <v>0</v>
      </c>
      <c r="P559" t="n">
        <v>0</v>
      </c>
      <c r="Q559" t="n">
        <v>0</v>
      </c>
      <c r="R559" s="2" t="inlineStr"/>
    </row>
    <row r="560" ht="15" customHeight="1">
      <c r="A560" t="inlineStr">
        <is>
          <t>A 30547-2023</t>
        </is>
      </c>
      <c r="B560" s="1" t="n">
        <v>45111.75905092592</v>
      </c>
      <c r="C560" s="1" t="n">
        <v>45895</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24904-2024</t>
        </is>
      </c>
      <c r="B561" s="1" t="n">
        <v>45461</v>
      </c>
      <c r="C561" s="1" t="n">
        <v>45895</v>
      </c>
      <c r="D561" t="inlineStr">
        <is>
          <t>ÖSTERGÖTLANDS LÄN</t>
        </is>
      </c>
      <c r="E561" t="inlineStr">
        <is>
          <t>LINKÖPING</t>
        </is>
      </c>
      <c r="G561" t="n">
        <v>3.8</v>
      </c>
      <c r="H561" t="n">
        <v>0</v>
      </c>
      <c r="I561" t="n">
        <v>0</v>
      </c>
      <c r="J561" t="n">
        <v>0</v>
      </c>
      <c r="K561" t="n">
        <v>0</v>
      </c>
      <c r="L561" t="n">
        <v>0</v>
      </c>
      <c r="M561" t="n">
        <v>0</v>
      </c>
      <c r="N561" t="n">
        <v>0</v>
      </c>
      <c r="O561" t="n">
        <v>0</v>
      </c>
      <c r="P561" t="n">
        <v>0</v>
      </c>
      <c r="Q561" t="n">
        <v>0</v>
      </c>
      <c r="R561" s="2" t="inlineStr"/>
    </row>
    <row r="562" ht="15" customHeight="1">
      <c r="A562" t="inlineStr">
        <is>
          <t>A 26788-2022</t>
        </is>
      </c>
      <c r="B562" s="1" t="n">
        <v>44740</v>
      </c>
      <c r="C562" s="1" t="n">
        <v>45895</v>
      </c>
      <c r="D562" t="inlineStr">
        <is>
          <t>ÖSTERGÖTLANDS LÄN</t>
        </is>
      </c>
      <c r="E562" t="inlineStr">
        <is>
          <t>LINKÖPING</t>
        </is>
      </c>
      <c r="G562" t="n">
        <v>3.2</v>
      </c>
      <c r="H562" t="n">
        <v>0</v>
      </c>
      <c r="I562" t="n">
        <v>0</v>
      </c>
      <c r="J562" t="n">
        <v>0</v>
      </c>
      <c r="K562" t="n">
        <v>0</v>
      </c>
      <c r="L562" t="n">
        <v>0</v>
      </c>
      <c r="M562" t="n">
        <v>0</v>
      </c>
      <c r="N562" t="n">
        <v>0</v>
      </c>
      <c r="O562" t="n">
        <v>0</v>
      </c>
      <c r="P562" t="n">
        <v>0</v>
      </c>
      <c r="Q562" t="n">
        <v>0</v>
      </c>
      <c r="R562" s="2" t="inlineStr"/>
    </row>
    <row r="563" ht="15" customHeight="1">
      <c r="A563" t="inlineStr">
        <is>
          <t>A 15307-2025</t>
        </is>
      </c>
      <c r="B563" s="1" t="n">
        <v>45746.70038194444</v>
      </c>
      <c r="C563" s="1" t="n">
        <v>45895</v>
      </c>
      <c r="D563" t="inlineStr">
        <is>
          <t>ÖSTERGÖTLANDS LÄN</t>
        </is>
      </c>
      <c r="E563" t="inlineStr">
        <is>
          <t>LINKÖPING</t>
        </is>
      </c>
      <c r="G563" t="n">
        <v>3.3</v>
      </c>
      <c r="H563" t="n">
        <v>0</v>
      </c>
      <c r="I563" t="n">
        <v>0</v>
      </c>
      <c r="J563" t="n">
        <v>0</v>
      </c>
      <c r="K563" t="n">
        <v>0</v>
      </c>
      <c r="L563" t="n">
        <v>0</v>
      </c>
      <c r="M563" t="n">
        <v>0</v>
      </c>
      <c r="N563" t="n">
        <v>0</v>
      </c>
      <c r="O563" t="n">
        <v>0</v>
      </c>
      <c r="P563" t="n">
        <v>0</v>
      </c>
      <c r="Q563" t="n">
        <v>0</v>
      </c>
      <c r="R563" s="2" t="inlineStr"/>
    </row>
    <row r="564" ht="15" customHeight="1">
      <c r="A564" t="inlineStr">
        <is>
          <t>A 15121-2022</t>
        </is>
      </c>
      <c r="B564" s="1" t="n">
        <v>44658</v>
      </c>
      <c r="C564" s="1" t="n">
        <v>45895</v>
      </c>
      <c r="D564" t="inlineStr">
        <is>
          <t>ÖSTERGÖTLANDS LÄN</t>
        </is>
      </c>
      <c r="E564" t="inlineStr">
        <is>
          <t>LINKÖPING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59954-2020</t>
        </is>
      </c>
      <c r="B565" s="1" t="n">
        <v>44151</v>
      </c>
      <c r="C565" s="1" t="n">
        <v>45895</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59969-2020</t>
        </is>
      </c>
      <c r="B566" s="1" t="n">
        <v>44151</v>
      </c>
      <c r="C566" s="1" t="n">
        <v>45895</v>
      </c>
      <c r="D566" t="inlineStr">
        <is>
          <t>ÖSTERGÖTLANDS LÄN</t>
        </is>
      </c>
      <c r="E566" t="inlineStr">
        <is>
          <t>LINKÖPING</t>
        </is>
      </c>
      <c r="G566" t="n">
        <v>2.2</v>
      </c>
      <c r="H566" t="n">
        <v>0</v>
      </c>
      <c r="I566" t="n">
        <v>0</v>
      </c>
      <c r="J566" t="n">
        <v>0</v>
      </c>
      <c r="K566" t="n">
        <v>0</v>
      </c>
      <c r="L566" t="n">
        <v>0</v>
      </c>
      <c r="M566" t="n">
        <v>0</v>
      </c>
      <c r="N566" t="n">
        <v>0</v>
      </c>
      <c r="O566" t="n">
        <v>0</v>
      </c>
      <c r="P566" t="n">
        <v>0</v>
      </c>
      <c r="Q566" t="n">
        <v>0</v>
      </c>
      <c r="R566" s="2" t="inlineStr"/>
    </row>
    <row r="567" ht="15" customHeight="1">
      <c r="A567" t="inlineStr">
        <is>
          <t>A 51919-2024</t>
        </is>
      </c>
      <c r="B567" s="1" t="n">
        <v>45607.60791666667</v>
      </c>
      <c r="C567" s="1" t="n">
        <v>45895</v>
      </c>
      <c r="D567" t="inlineStr">
        <is>
          <t>ÖSTERGÖTLANDS LÄN</t>
        </is>
      </c>
      <c r="E567" t="inlineStr">
        <is>
          <t>LINKÖPING</t>
        </is>
      </c>
      <c r="G567" t="n">
        <v>2.5</v>
      </c>
      <c r="H567" t="n">
        <v>0</v>
      </c>
      <c r="I567" t="n">
        <v>0</v>
      </c>
      <c r="J567" t="n">
        <v>0</v>
      </c>
      <c r="K567" t="n">
        <v>0</v>
      </c>
      <c r="L567" t="n">
        <v>0</v>
      </c>
      <c r="M567" t="n">
        <v>0</v>
      </c>
      <c r="N567" t="n">
        <v>0</v>
      </c>
      <c r="O567" t="n">
        <v>0</v>
      </c>
      <c r="P567" t="n">
        <v>0</v>
      </c>
      <c r="Q567" t="n">
        <v>0</v>
      </c>
      <c r="R567" s="2" t="inlineStr"/>
    </row>
    <row r="568" ht="15" customHeight="1">
      <c r="A568" t="inlineStr">
        <is>
          <t>A 55009-2023</t>
        </is>
      </c>
      <c r="B568" s="1" t="n">
        <v>45237</v>
      </c>
      <c r="C568" s="1" t="n">
        <v>45895</v>
      </c>
      <c r="D568" t="inlineStr">
        <is>
          <t>ÖSTERGÖTLANDS LÄN</t>
        </is>
      </c>
      <c r="E568" t="inlineStr">
        <is>
          <t>LINKÖPING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20291-2025</t>
        </is>
      </c>
      <c r="B569" s="1" t="n">
        <v>45774.74288194445</v>
      </c>
      <c r="C569" s="1" t="n">
        <v>45895</v>
      </c>
      <c r="D569" t="inlineStr">
        <is>
          <t>ÖSTERGÖTLANDS LÄN</t>
        </is>
      </c>
      <c r="E569" t="inlineStr">
        <is>
          <t>LINKÖPING</t>
        </is>
      </c>
      <c r="G569" t="n">
        <v>2.3</v>
      </c>
      <c r="H569" t="n">
        <v>0</v>
      </c>
      <c r="I569" t="n">
        <v>0</v>
      </c>
      <c r="J569" t="n">
        <v>0</v>
      </c>
      <c r="K569" t="n">
        <v>0</v>
      </c>
      <c r="L569" t="n">
        <v>0</v>
      </c>
      <c r="M569" t="n">
        <v>0</v>
      </c>
      <c r="N569" t="n">
        <v>0</v>
      </c>
      <c r="O569" t="n">
        <v>0</v>
      </c>
      <c r="P569" t="n">
        <v>0</v>
      </c>
      <c r="Q569" t="n">
        <v>0</v>
      </c>
      <c r="R569" s="2" t="inlineStr"/>
    </row>
    <row r="570" ht="15" customHeight="1">
      <c r="A570" t="inlineStr">
        <is>
          <t>A 20293-2025</t>
        </is>
      </c>
      <c r="B570" s="1" t="n">
        <v>45774.74611111111</v>
      </c>
      <c r="C570" s="1" t="n">
        <v>45895</v>
      </c>
      <c r="D570" t="inlineStr">
        <is>
          <t>ÖSTERGÖTLANDS LÄN</t>
        </is>
      </c>
      <c r="E570" t="inlineStr">
        <is>
          <t>LINKÖPING</t>
        </is>
      </c>
      <c r="G570" t="n">
        <v>1.8</v>
      </c>
      <c r="H570" t="n">
        <v>0</v>
      </c>
      <c r="I570" t="n">
        <v>0</v>
      </c>
      <c r="J570" t="n">
        <v>0</v>
      </c>
      <c r="K570" t="n">
        <v>0</v>
      </c>
      <c r="L570" t="n">
        <v>0</v>
      </c>
      <c r="M570" t="n">
        <v>0</v>
      </c>
      <c r="N570" t="n">
        <v>0</v>
      </c>
      <c r="O570" t="n">
        <v>0</v>
      </c>
      <c r="P570" t="n">
        <v>0</v>
      </c>
      <c r="Q570" t="n">
        <v>0</v>
      </c>
      <c r="R570" s="2" t="inlineStr"/>
    </row>
    <row r="571" ht="15" customHeight="1">
      <c r="A571" t="inlineStr">
        <is>
          <t>A 660-2023</t>
        </is>
      </c>
      <c r="B571" s="1" t="n">
        <v>44930</v>
      </c>
      <c r="C571" s="1" t="n">
        <v>45895</v>
      </c>
      <c r="D571" t="inlineStr">
        <is>
          <t>ÖSTERGÖTLANDS LÄN</t>
        </is>
      </c>
      <c r="E571" t="inlineStr">
        <is>
          <t>LINKÖPING</t>
        </is>
      </c>
      <c r="F571" t="inlineStr">
        <is>
          <t>Kyrkan</t>
        </is>
      </c>
      <c r="G571" t="n">
        <v>1.6</v>
      </c>
      <c r="H571" t="n">
        <v>0</v>
      </c>
      <c r="I571" t="n">
        <v>0</v>
      </c>
      <c r="J571" t="n">
        <v>0</v>
      </c>
      <c r="K571" t="n">
        <v>0</v>
      </c>
      <c r="L571" t="n">
        <v>0</v>
      </c>
      <c r="M571" t="n">
        <v>0</v>
      </c>
      <c r="N571" t="n">
        <v>0</v>
      </c>
      <c r="O571" t="n">
        <v>0</v>
      </c>
      <c r="P571" t="n">
        <v>0</v>
      </c>
      <c r="Q571" t="n">
        <v>0</v>
      </c>
      <c r="R571" s="2" t="inlineStr"/>
    </row>
    <row r="572" ht="15" customHeight="1">
      <c r="A572" t="inlineStr">
        <is>
          <t>A 64694-2023</t>
        </is>
      </c>
      <c r="B572" s="1" t="n">
        <v>45281</v>
      </c>
      <c r="C572" s="1" t="n">
        <v>45895</v>
      </c>
      <c r="D572" t="inlineStr">
        <is>
          <t>ÖSTERGÖTLANDS LÄN</t>
        </is>
      </c>
      <c r="E572" t="inlineStr">
        <is>
          <t>LINKÖPING</t>
        </is>
      </c>
      <c r="F572" t="inlineStr">
        <is>
          <t>Övriga statliga verk och myndigheter</t>
        </is>
      </c>
      <c r="G572" t="n">
        <v>4.9</v>
      </c>
      <c r="H572" t="n">
        <v>0</v>
      </c>
      <c r="I572" t="n">
        <v>0</v>
      </c>
      <c r="J572" t="n">
        <v>0</v>
      </c>
      <c r="K572" t="n">
        <v>0</v>
      </c>
      <c r="L572" t="n">
        <v>0</v>
      </c>
      <c r="M572" t="n">
        <v>0</v>
      </c>
      <c r="N572" t="n">
        <v>0</v>
      </c>
      <c r="O572" t="n">
        <v>0</v>
      </c>
      <c r="P572" t="n">
        <v>0</v>
      </c>
      <c r="Q572" t="n">
        <v>0</v>
      </c>
      <c r="R572" s="2" t="inlineStr"/>
    </row>
    <row r="573" ht="15" customHeight="1">
      <c r="A573" t="inlineStr">
        <is>
          <t>A 62321-2022</t>
        </is>
      </c>
      <c r="B573" s="1" t="n">
        <v>44916</v>
      </c>
      <c r="C573" s="1" t="n">
        <v>45895</v>
      </c>
      <c r="D573" t="inlineStr">
        <is>
          <t>ÖSTERGÖTLANDS LÄN</t>
        </is>
      </c>
      <c r="E573" t="inlineStr">
        <is>
          <t>LINKÖPING</t>
        </is>
      </c>
      <c r="F573" t="inlineStr">
        <is>
          <t>Kommuner</t>
        </is>
      </c>
      <c r="G573" t="n">
        <v>5.3</v>
      </c>
      <c r="H573" t="n">
        <v>0</v>
      </c>
      <c r="I573" t="n">
        <v>0</v>
      </c>
      <c r="J573" t="n">
        <v>0</v>
      </c>
      <c r="K573" t="n">
        <v>0</v>
      </c>
      <c r="L573" t="n">
        <v>0</v>
      </c>
      <c r="M573" t="n">
        <v>0</v>
      </c>
      <c r="N573" t="n">
        <v>0</v>
      </c>
      <c r="O573" t="n">
        <v>0</v>
      </c>
      <c r="P573" t="n">
        <v>0</v>
      </c>
      <c r="Q573" t="n">
        <v>0</v>
      </c>
      <c r="R573" s="2" t="inlineStr"/>
    </row>
    <row r="574" ht="15" customHeight="1">
      <c r="A574" t="inlineStr">
        <is>
          <t>A 43475-2024</t>
        </is>
      </c>
      <c r="B574" s="1" t="n">
        <v>45568</v>
      </c>
      <c r="C574" s="1" t="n">
        <v>45895</v>
      </c>
      <c r="D574" t="inlineStr">
        <is>
          <t>ÖSTERGÖTLANDS LÄN</t>
        </is>
      </c>
      <c r="E574" t="inlineStr">
        <is>
          <t>LINKÖPING</t>
        </is>
      </c>
      <c r="G574" t="n">
        <v>3.2</v>
      </c>
      <c r="H574" t="n">
        <v>0</v>
      </c>
      <c r="I574" t="n">
        <v>0</v>
      </c>
      <c r="J574" t="n">
        <v>0</v>
      </c>
      <c r="K574" t="n">
        <v>0</v>
      </c>
      <c r="L574" t="n">
        <v>0</v>
      </c>
      <c r="M574" t="n">
        <v>0</v>
      </c>
      <c r="N574" t="n">
        <v>0</v>
      </c>
      <c r="O574" t="n">
        <v>0</v>
      </c>
      <c r="P574" t="n">
        <v>0</v>
      </c>
      <c r="Q574" t="n">
        <v>0</v>
      </c>
      <c r="R574" s="2" t="inlineStr"/>
    </row>
    <row r="575" ht="15" customHeight="1">
      <c r="A575" t="inlineStr">
        <is>
          <t>A 62012-2024</t>
        </is>
      </c>
      <c r="B575" s="1" t="n">
        <v>45655.79679398148</v>
      </c>
      <c r="C575" s="1" t="n">
        <v>45895</v>
      </c>
      <c r="D575" t="inlineStr">
        <is>
          <t>ÖSTERGÖTLANDS LÄN</t>
        </is>
      </c>
      <c r="E575" t="inlineStr">
        <is>
          <t>LINKÖPING</t>
        </is>
      </c>
      <c r="G575" t="n">
        <v>1.5</v>
      </c>
      <c r="H575" t="n">
        <v>0</v>
      </c>
      <c r="I575" t="n">
        <v>0</v>
      </c>
      <c r="J575" t="n">
        <v>0</v>
      </c>
      <c r="K575" t="n">
        <v>0</v>
      </c>
      <c r="L575" t="n">
        <v>0</v>
      </c>
      <c r="M575" t="n">
        <v>0</v>
      </c>
      <c r="N575" t="n">
        <v>0</v>
      </c>
      <c r="O575" t="n">
        <v>0</v>
      </c>
      <c r="P575" t="n">
        <v>0</v>
      </c>
      <c r="Q575" t="n">
        <v>0</v>
      </c>
      <c r="R575" s="2" t="inlineStr"/>
    </row>
    <row r="576" ht="15" customHeight="1">
      <c r="A576" t="inlineStr">
        <is>
          <t>A 17103-2025</t>
        </is>
      </c>
      <c r="B576" s="1" t="n">
        <v>45755.66143518518</v>
      </c>
      <c r="C576" s="1" t="n">
        <v>45895</v>
      </c>
      <c r="D576" t="inlineStr">
        <is>
          <t>ÖSTERGÖTLANDS LÄN</t>
        </is>
      </c>
      <c r="E576" t="inlineStr">
        <is>
          <t>LINKÖPING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30551-2023</t>
        </is>
      </c>
      <c r="B577" s="1" t="n">
        <v>45111</v>
      </c>
      <c r="C577" s="1" t="n">
        <v>45895</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50784-2022</t>
        </is>
      </c>
      <c r="B578" s="1" t="n">
        <v>44862</v>
      </c>
      <c r="C578" s="1" t="n">
        <v>45895</v>
      </c>
      <c r="D578" t="inlineStr">
        <is>
          <t>ÖSTERGÖTLANDS LÄN</t>
        </is>
      </c>
      <c r="E578" t="inlineStr">
        <is>
          <t>LINKÖPING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63487-2023</t>
        </is>
      </c>
      <c r="B579" s="1" t="n">
        <v>45274.66712962963</v>
      </c>
      <c r="C579" s="1" t="n">
        <v>45895</v>
      </c>
      <c r="D579" t="inlineStr">
        <is>
          <t>ÖSTERGÖTLANDS LÄN</t>
        </is>
      </c>
      <c r="E579" t="inlineStr">
        <is>
          <t>LINKÖPING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22043-2023</t>
        </is>
      </c>
      <c r="B580" s="1" t="n">
        <v>45069.39050925926</v>
      </c>
      <c r="C580" s="1" t="n">
        <v>45895</v>
      </c>
      <c r="D580" t="inlineStr">
        <is>
          <t>ÖSTERGÖTLANDS LÄN</t>
        </is>
      </c>
      <c r="E580" t="inlineStr">
        <is>
          <t>LINKÖPING</t>
        </is>
      </c>
      <c r="G580" t="n">
        <v>5.9</v>
      </c>
      <c r="H580" t="n">
        <v>0</v>
      </c>
      <c r="I580" t="n">
        <v>0</v>
      </c>
      <c r="J580" t="n">
        <v>0</v>
      </c>
      <c r="K580" t="n">
        <v>0</v>
      </c>
      <c r="L580" t="n">
        <v>0</v>
      </c>
      <c r="M580" t="n">
        <v>0</v>
      </c>
      <c r="N580" t="n">
        <v>0</v>
      </c>
      <c r="O580" t="n">
        <v>0</v>
      </c>
      <c r="P580" t="n">
        <v>0</v>
      </c>
      <c r="Q580" t="n">
        <v>0</v>
      </c>
      <c r="R580" s="2" t="inlineStr"/>
    </row>
    <row r="581" ht="15" customHeight="1">
      <c r="A581" t="inlineStr">
        <is>
          <t>A 39074-2025</t>
        </is>
      </c>
      <c r="B581" s="1" t="n">
        <v>45888</v>
      </c>
      <c r="C581" s="1" t="n">
        <v>45895</v>
      </c>
      <c r="D581" t="inlineStr">
        <is>
          <t>ÖSTERGÖTLANDS LÄN</t>
        </is>
      </c>
      <c r="E581" t="inlineStr">
        <is>
          <t>LINKÖPING</t>
        </is>
      </c>
      <c r="G581" t="n">
        <v>2.9</v>
      </c>
      <c r="H581" t="n">
        <v>0</v>
      </c>
      <c r="I581" t="n">
        <v>0</v>
      </c>
      <c r="J581" t="n">
        <v>0</v>
      </c>
      <c r="K581" t="n">
        <v>0</v>
      </c>
      <c r="L581" t="n">
        <v>0</v>
      </c>
      <c r="M581" t="n">
        <v>0</v>
      </c>
      <c r="N581" t="n">
        <v>0</v>
      </c>
      <c r="O581" t="n">
        <v>0</v>
      </c>
      <c r="P581" t="n">
        <v>0</v>
      </c>
      <c r="Q581" t="n">
        <v>0</v>
      </c>
      <c r="R581" s="2" t="inlineStr"/>
    </row>
    <row r="582" ht="15" customHeight="1">
      <c r="A582" t="inlineStr">
        <is>
          <t>A 49656-2021</t>
        </is>
      </c>
      <c r="B582" s="1" t="n">
        <v>44454</v>
      </c>
      <c r="C582" s="1" t="n">
        <v>45895</v>
      </c>
      <c r="D582" t="inlineStr">
        <is>
          <t>ÖSTERGÖTLANDS LÄN</t>
        </is>
      </c>
      <c r="E582" t="inlineStr">
        <is>
          <t>LINKÖPING</t>
        </is>
      </c>
      <c r="G582" t="n">
        <v>2.3</v>
      </c>
      <c r="H582" t="n">
        <v>0</v>
      </c>
      <c r="I582" t="n">
        <v>0</v>
      </c>
      <c r="J582" t="n">
        <v>0</v>
      </c>
      <c r="K582" t="n">
        <v>0</v>
      </c>
      <c r="L582" t="n">
        <v>0</v>
      </c>
      <c r="M582" t="n">
        <v>0</v>
      </c>
      <c r="N582" t="n">
        <v>0</v>
      </c>
      <c r="O582" t="n">
        <v>0</v>
      </c>
      <c r="P582" t="n">
        <v>0</v>
      </c>
      <c r="Q582" t="n">
        <v>0</v>
      </c>
      <c r="R582" s="2" t="inlineStr"/>
    </row>
    <row r="583" ht="15" customHeight="1">
      <c r="A583" t="inlineStr">
        <is>
          <t>A 20455-2024</t>
        </is>
      </c>
      <c r="B583" s="1" t="n">
        <v>45435.65314814815</v>
      </c>
      <c r="C583" s="1" t="n">
        <v>45895</v>
      </c>
      <c r="D583" t="inlineStr">
        <is>
          <t>ÖSTERGÖTLANDS LÄN</t>
        </is>
      </c>
      <c r="E583" t="inlineStr">
        <is>
          <t>LINKÖPING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30471-2023</t>
        </is>
      </c>
      <c r="B584" s="1" t="n">
        <v>45111.58931712963</v>
      </c>
      <c r="C584" s="1" t="n">
        <v>45895</v>
      </c>
      <c r="D584" t="inlineStr">
        <is>
          <t>ÖSTERGÖTLANDS LÄN</t>
        </is>
      </c>
      <c r="E584" t="inlineStr">
        <is>
          <t>LINKÖPING</t>
        </is>
      </c>
      <c r="G584" t="n">
        <v>2.9</v>
      </c>
      <c r="H584" t="n">
        <v>0</v>
      </c>
      <c r="I584" t="n">
        <v>0</v>
      </c>
      <c r="J584" t="n">
        <v>0</v>
      </c>
      <c r="K584" t="n">
        <v>0</v>
      </c>
      <c r="L584" t="n">
        <v>0</v>
      </c>
      <c r="M584" t="n">
        <v>0</v>
      </c>
      <c r="N584" t="n">
        <v>0</v>
      </c>
      <c r="O584" t="n">
        <v>0</v>
      </c>
      <c r="P584" t="n">
        <v>0</v>
      </c>
      <c r="Q584" t="n">
        <v>0</v>
      </c>
      <c r="R584" s="2" t="inlineStr"/>
    </row>
    <row r="585" ht="15" customHeight="1">
      <c r="A585" t="inlineStr">
        <is>
          <t>A 53529-2024</t>
        </is>
      </c>
      <c r="B585" s="1" t="n">
        <v>45614</v>
      </c>
      <c r="C585" s="1" t="n">
        <v>45895</v>
      </c>
      <c r="D585" t="inlineStr">
        <is>
          <t>ÖSTERGÖTLANDS LÄN</t>
        </is>
      </c>
      <c r="E585" t="inlineStr">
        <is>
          <t>LINKÖPING</t>
        </is>
      </c>
      <c r="G585" t="n">
        <v>6.7</v>
      </c>
      <c r="H585" t="n">
        <v>0</v>
      </c>
      <c r="I585" t="n">
        <v>0</v>
      </c>
      <c r="J585" t="n">
        <v>0</v>
      </c>
      <c r="K585" t="n">
        <v>0</v>
      </c>
      <c r="L585" t="n">
        <v>0</v>
      </c>
      <c r="M585" t="n">
        <v>0</v>
      </c>
      <c r="N585" t="n">
        <v>0</v>
      </c>
      <c r="O585" t="n">
        <v>0</v>
      </c>
      <c r="P585" t="n">
        <v>0</v>
      </c>
      <c r="Q585" t="n">
        <v>0</v>
      </c>
      <c r="R585" s="2" t="inlineStr"/>
    </row>
    <row r="586" ht="15" customHeight="1">
      <c r="A586" t="inlineStr">
        <is>
          <t>A 30465-2023</t>
        </is>
      </c>
      <c r="B586" s="1" t="n">
        <v>45111</v>
      </c>
      <c r="C586" s="1" t="n">
        <v>45895</v>
      </c>
      <c r="D586" t="inlineStr">
        <is>
          <t>ÖSTERGÖTLANDS LÄN</t>
        </is>
      </c>
      <c r="E586" t="inlineStr">
        <is>
          <t>LINKÖPING</t>
        </is>
      </c>
      <c r="F586" t="inlineStr">
        <is>
          <t>Övriga Aktiebolag</t>
        </is>
      </c>
      <c r="G586" t="n">
        <v>0.7</v>
      </c>
      <c r="H586" t="n">
        <v>0</v>
      </c>
      <c r="I586" t="n">
        <v>0</v>
      </c>
      <c r="J586" t="n">
        <v>0</v>
      </c>
      <c r="K586" t="n">
        <v>0</v>
      </c>
      <c r="L586" t="n">
        <v>0</v>
      </c>
      <c r="M586" t="n">
        <v>0</v>
      </c>
      <c r="N586" t="n">
        <v>0</v>
      </c>
      <c r="O586" t="n">
        <v>0</v>
      </c>
      <c r="P586" t="n">
        <v>0</v>
      </c>
      <c r="Q586" t="n">
        <v>0</v>
      </c>
      <c r="R586" s="2" t="inlineStr"/>
    </row>
    <row r="587" ht="15" customHeight="1">
      <c r="A587" t="inlineStr">
        <is>
          <t>A 30521-2024</t>
        </is>
      </c>
      <c r="B587" s="1" t="n">
        <v>45492</v>
      </c>
      <c r="C587" s="1" t="n">
        <v>45895</v>
      </c>
      <c r="D587" t="inlineStr">
        <is>
          <t>ÖSTERGÖTLANDS LÄN</t>
        </is>
      </c>
      <c r="E587" t="inlineStr">
        <is>
          <t>LINKÖPING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14093-2024</t>
        </is>
      </c>
      <c r="B588" s="1" t="n">
        <v>45392.60278935185</v>
      </c>
      <c r="C588" s="1" t="n">
        <v>45895</v>
      </c>
      <c r="D588" t="inlineStr">
        <is>
          <t>ÖSTERGÖTLANDS LÄN</t>
        </is>
      </c>
      <c r="E588" t="inlineStr">
        <is>
          <t>LINKÖPING</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38971-2025</t>
        </is>
      </c>
      <c r="B589" s="1" t="n">
        <v>45887.71827546296</v>
      </c>
      <c r="C589" s="1" t="n">
        <v>45895</v>
      </c>
      <c r="D589" t="inlineStr">
        <is>
          <t>ÖSTERGÖTLANDS LÄN</t>
        </is>
      </c>
      <c r="E589" t="inlineStr">
        <is>
          <t>LINKÖPING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49088-2020</t>
        </is>
      </c>
      <c r="B590" s="1" t="n">
        <v>44104</v>
      </c>
      <c r="C590" s="1" t="n">
        <v>45895</v>
      </c>
      <c r="D590" t="inlineStr">
        <is>
          <t>ÖSTERGÖTLANDS LÄN</t>
        </is>
      </c>
      <c r="E590" t="inlineStr">
        <is>
          <t>LINKÖPING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63304-2021</t>
        </is>
      </c>
      <c r="B591" s="1" t="n">
        <v>44508.4396412037</v>
      </c>
      <c r="C591" s="1" t="n">
        <v>45895</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19362-2023</t>
        </is>
      </c>
      <c r="B592" s="1" t="n">
        <v>45049</v>
      </c>
      <c r="C592" s="1" t="n">
        <v>45895</v>
      </c>
      <c r="D592" t="inlineStr">
        <is>
          <t>ÖSTERGÖTLANDS LÄN</t>
        </is>
      </c>
      <c r="E592" t="inlineStr">
        <is>
          <t>LINKÖPING</t>
        </is>
      </c>
      <c r="G592" t="n">
        <v>0.1</v>
      </c>
      <c r="H592" t="n">
        <v>0</v>
      </c>
      <c r="I592" t="n">
        <v>0</v>
      </c>
      <c r="J592" t="n">
        <v>0</v>
      </c>
      <c r="K592" t="n">
        <v>0</v>
      </c>
      <c r="L592" t="n">
        <v>0</v>
      </c>
      <c r="M592" t="n">
        <v>0</v>
      </c>
      <c r="N592" t="n">
        <v>0</v>
      </c>
      <c r="O592" t="n">
        <v>0</v>
      </c>
      <c r="P592" t="n">
        <v>0</v>
      </c>
      <c r="Q592" t="n">
        <v>0</v>
      </c>
      <c r="R592" s="2" t="inlineStr"/>
    </row>
    <row r="593" ht="15" customHeight="1">
      <c r="A593" t="inlineStr">
        <is>
          <t>A 20469-2025</t>
        </is>
      </c>
      <c r="B593" s="1" t="n">
        <v>45775</v>
      </c>
      <c r="C593" s="1" t="n">
        <v>45895</v>
      </c>
      <c r="D593" t="inlineStr">
        <is>
          <t>ÖSTERGÖTLANDS LÄN</t>
        </is>
      </c>
      <c r="E593" t="inlineStr">
        <is>
          <t>LINKÖPING</t>
        </is>
      </c>
      <c r="F593" t="inlineStr">
        <is>
          <t>Kyrkan</t>
        </is>
      </c>
      <c r="G593" t="n">
        <v>6.1</v>
      </c>
      <c r="H593" t="n">
        <v>0</v>
      </c>
      <c r="I593" t="n">
        <v>0</v>
      </c>
      <c r="J593" t="n">
        <v>0</v>
      </c>
      <c r="K593" t="n">
        <v>0</v>
      </c>
      <c r="L593" t="n">
        <v>0</v>
      </c>
      <c r="M593" t="n">
        <v>0</v>
      </c>
      <c r="N593" t="n">
        <v>0</v>
      </c>
      <c r="O593" t="n">
        <v>0</v>
      </c>
      <c r="P593" t="n">
        <v>0</v>
      </c>
      <c r="Q593" t="n">
        <v>0</v>
      </c>
      <c r="R593" s="2" t="inlineStr"/>
    </row>
    <row r="594" ht="15" customHeight="1">
      <c r="A594" t="inlineStr">
        <is>
          <t>A 35463-2023</t>
        </is>
      </c>
      <c r="B594" s="1" t="n">
        <v>45146</v>
      </c>
      <c r="C594" s="1" t="n">
        <v>45895</v>
      </c>
      <c r="D594" t="inlineStr">
        <is>
          <t>ÖSTERGÖTLANDS LÄN</t>
        </is>
      </c>
      <c r="E594" t="inlineStr">
        <is>
          <t>LINKÖPING</t>
        </is>
      </c>
      <c r="F594" t="inlineStr">
        <is>
          <t>Övriga Aktiebolag</t>
        </is>
      </c>
      <c r="G594" t="n">
        <v>1.8</v>
      </c>
      <c r="H594" t="n">
        <v>0</v>
      </c>
      <c r="I594" t="n">
        <v>0</v>
      </c>
      <c r="J594" t="n">
        <v>0</v>
      </c>
      <c r="K594" t="n">
        <v>0</v>
      </c>
      <c r="L594" t="n">
        <v>0</v>
      </c>
      <c r="M594" t="n">
        <v>0</v>
      </c>
      <c r="N594" t="n">
        <v>0</v>
      </c>
      <c r="O594" t="n">
        <v>0</v>
      </c>
      <c r="P594" t="n">
        <v>0</v>
      </c>
      <c r="Q594" t="n">
        <v>0</v>
      </c>
      <c r="R594" s="2" t="inlineStr"/>
    </row>
    <row r="595" ht="15" customHeight="1">
      <c r="A595" t="inlineStr">
        <is>
          <t>A 16111-2022</t>
        </is>
      </c>
      <c r="B595" s="1" t="n">
        <v>44665</v>
      </c>
      <c r="C595" s="1" t="n">
        <v>45895</v>
      </c>
      <c r="D595" t="inlineStr">
        <is>
          <t>ÖSTERGÖTLANDS LÄN</t>
        </is>
      </c>
      <c r="E595" t="inlineStr">
        <is>
          <t>LINKÖPING</t>
        </is>
      </c>
      <c r="F595" t="inlineStr">
        <is>
          <t>Övriga Aktiebolag</t>
        </is>
      </c>
      <c r="G595" t="n">
        <v>2.9</v>
      </c>
      <c r="H595" t="n">
        <v>0</v>
      </c>
      <c r="I595" t="n">
        <v>0</v>
      </c>
      <c r="J595" t="n">
        <v>0</v>
      </c>
      <c r="K595" t="n">
        <v>0</v>
      </c>
      <c r="L595" t="n">
        <v>0</v>
      </c>
      <c r="M595" t="n">
        <v>0</v>
      </c>
      <c r="N595" t="n">
        <v>0</v>
      </c>
      <c r="O595" t="n">
        <v>0</v>
      </c>
      <c r="P595" t="n">
        <v>0</v>
      </c>
      <c r="Q595" t="n">
        <v>0</v>
      </c>
      <c r="R595" s="2" t="inlineStr"/>
    </row>
    <row r="596" ht="15" customHeight="1">
      <c r="A596" t="inlineStr">
        <is>
          <t>A 40618-2021</t>
        </is>
      </c>
      <c r="B596" s="1" t="n">
        <v>44420.49575231481</v>
      </c>
      <c r="C596" s="1" t="n">
        <v>45895</v>
      </c>
      <c r="D596" t="inlineStr">
        <is>
          <t>ÖSTERGÖTLANDS LÄN</t>
        </is>
      </c>
      <c r="E596" t="inlineStr">
        <is>
          <t>LINKÖPING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31635-2023</t>
        </is>
      </c>
      <c r="B597" s="1" t="n">
        <v>45105</v>
      </c>
      <c r="C597" s="1" t="n">
        <v>45895</v>
      </c>
      <c r="D597" t="inlineStr">
        <is>
          <t>ÖSTERGÖTLANDS LÄN</t>
        </is>
      </c>
      <c r="E597" t="inlineStr">
        <is>
          <t>LINKÖPING</t>
        </is>
      </c>
      <c r="F597" t="inlineStr">
        <is>
          <t>Övriga statliga verk och myndigheter</t>
        </is>
      </c>
      <c r="G597" t="n">
        <v>4.6</v>
      </c>
      <c r="H597" t="n">
        <v>0</v>
      </c>
      <c r="I597" t="n">
        <v>0</v>
      </c>
      <c r="J597" t="n">
        <v>0</v>
      </c>
      <c r="K597" t="n">
        <v>0</v>
      </c>
      <c r="L597" t="n">
        <v>0</v>
      </c>
      <c r="M597" t="n">
        <v>0</v>
      </c>
      <c r="N597" t="n">
        <v>0</v>
      </c>
      <c r="O597" t="n">
        <v>0</v>
      </c>
      <c r="P597" t="n">
        <v>0</v>
      </c>
      <c r="Q597" t="n">
        <v>0</v>
      </c>
      <c r="R597" s="2" t="inlineStr"/>
    </row>
    <row r="598" ht="15" customHeight="1">
      <c r="A598" t="inlineStr">
        <is>
          <t>A 49928-2024</t>
        </is>
      </c>
      <c r="B598" s="1" t="n">
        <v>45597.57811342592</v>
      </c>
      <c r="C598" s="1" t="n">
        <v>45895</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62374-2020</t>
        </is>
      </c>
      <c r="B599" s="1" t="n">
        <v>44159</v>
      </c>
      <c r="C599" s="1" t="n">
        <v>45895</v>
      </c>
      <c r="D599" t="inlineStr">
        <is>
          <t>ÖSTERGÖTLANDS LÄN</t>
        </is>
      </c>
      <c r="E599" t="inlineStr">
        <is>
          <t>LINKÖPING</t>
        </is>
      </c>
      <c r="G599" t="n">
        <v>1</v>
      </c>
      <c r="H599" t="n">
        <v>0</v>
      </c>
      <c r="I599" t="n">
        <v>0</v>
      </c>
      <c r="J599" t="n">
        <v>0</v>
      </c>
      <c r="K599" t="n">
        <v>0</v>
      </c>
      <c r="L599" t="n">
        <v>0</v>
      </c>
      <c r="M599" t="n">
        <v>0</v>
      </c>
      <c r="N599" t="n">
        <v>0</v>
      </c>
      <c r="O599" t="n">
        <v>0</v>
      </c>
      <c r="P599" t="n">
        <v>0</v>
      </c>
      <c r="Q599" t="n">
        <v>0</v>
      </c>
      <c r="R599" s="2" t="inlineStr"/>
    </row>
    <row r="600" ht="15" customHeight="1">
      <c r="A600" t="inlineStr">
        <is>
          <t>A 23735-2023</t>
        </is>
      </c>
      <c r="B600" s="1" t="n">
        <v>45077</v>
      </c>
      <c r="C600" s="1" t="n">
        <v>45895</v>
      </c>
      <c r="D600" t="inlineStr">
        <is>
          <t>ÖSTERGÖTLANDS LÄN</t>
        </is>
      </c>
      <c r="E600" t="inlineStr">
        <is>
          <t>LINKÖPING</t>
        </is>
      </c>
      <c r="G600" t="n">
        <v>1.7</v>
      </c>
      <c r="H600" t="n">
        <v>0</v>
      </c>
      <c r="I600" t="n">
        <v>0</v>
      </c>
      <c r="J600" t="n">
        <v>0</v>
      </c>
      <c r="K600" t="n">
        <v>0</v>
      </c>
      <c r="L600" t="n">
        <v>0</v>
      </c>
      <c r="M600" t="n">
        <v>0</v>
      </c>
      <c r="N600" t="n">
        <v>0</v>
      </c>
      <c r="O600" t="n">
        <v>0</v>
      </c>
      <c r="P600" t="n">
        <v>0</v>
      </c>
      <c r="Q600" t="n">
        <v>0</v>
      </c>
      <c r="R600" s="2" t="inlineStr"/>
    </row>
    <row r="601" ht="15" customHeight="1">
      <c r="A601" t="inlineStr">
        <is>
          <t>A 350-2022</t>
        </is>
      </c>
      <c r="B601" s="1" t="n">
        <v>44565</v>
      </c>
      <c r="C601" s="1" t="n">
        <v>45895</v>
      </c>
      <c r="D601" t="inlineStr">
        <is>
          <t>ÖSTERGÖTLANDS LÄN</t>
        </is>
      </c>
      <c r="E601" t="inlineStr">
        <is>
          <t>LINKÖPING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39438-2025</t>
        </is>
      </c>
      <c r="B602" s="1" t="n">
        <v>45889.68641203704</v>
      </c>
      <c r="C602" s="1" t="n">
        <v>45895</v>
      </c>
      <c r="D602" t="inlineStr">
        <is>
          <t>ÖSTERGÖTLANDS LÄN</t>
        </is>
      </c>
      <c r="E602" t="inlineStr">
        <is>
          <t>LINKÖPING</t>
        </is>
      </c>
      <c r="G602" t="n">
        <v>2.4</v>
      </c>
      <c r="H602" t="n">
        <v>0</v>
      </c>
      <c r="I602" t="n">
        <v>0</v>
      </c>
      <c r="J602" t="n">
        <v>0</v>
      </c>
      <c r="K602" t="n">
        <v>0</v>
      </c>
      <c r="L602" t="n">
        <v>0</v>
      </c>
      <c r="M602" t="n">
        <v>0</v>
      </c>
      <c r="N602" t="n">
        <v>0</v>
      </c>
      <c r="O602" t="n">
        <v>0</v>
      </c>
      <c r="P602" t="n">
        <v>0</v>
      </c>
      <c r="Q602" t="n">
        <v>0</v>
      </c>
      <c r="R602" s="2" t="inlineStr"/>
    </row>
    <row r="603" ht="15" customHeight="1">
      <c r="A603" t="inlineStr">
        <is>
          <t>A 4256-2022</t>
        </is>
      </c>
      <c r="B603" s="1" t="n">
        <v>44588</v>
      </c>
      <c r="C603" s="1" t="n">
        <v>45895</v>
      </c>
      <c r="D603" t="inlineStr">
        <is>
          <t>ÖSTERGÖTLANDS LÄN</t>
        </is>
      </c>
      <c r="E603" t="inlineStr">
        <is>
          <t>LINKÖPING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25948-2023</t>
        </is>
      </c>
      <c r="B604" s="1" t="n">
        <v>45090</v>
      </c>
      <c r="C604" s="1" t="n">
        <v>45895</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29293-2025</t>
        </is>
      </c>
      <c r="B605" s="1" t="n">
        <v>45824</v>
      </c>
      <c r="C605" s="1" t="n">
        <v>45895</v>
      </c>
      <c r="D605" t="inlineStr">
        <is>
          <t>ÖSTERGÖTLANDS LÄN</t>
        </is>
      </c>
      <c r="E605" t="inlineStr">
        <is>
          <t>LINKÖPING</t>
        </is>
      </c>
      <c r="G605" t="n">
        <v>0.8</v>
      </c>
      <c r="H605" t="n">
        <v>0</v>
      </c>
      <c r="I605" t="n">
        <v>0</v>
      </c>
      <c r="J605" t="n">
        <v>0</v>
      </c>
      <c r="K605" t="n">
        <v>0</v>
      </c>
      <c r="L605" t="n">
        <v>0</v>
      </c>
      <c r="M605" t="n">
        <v>0</v>
      </c>
      <c r="N605" t="n">
        <v>0</v>
      </c>
      <c r="O605" t="n">
        <v>0</v>
      </c>
      <c r="P605" t="n">
        <v>0</v>
      </c>
      <c r="Q605" t="n">
        <v>0</v>
      </c>
      <c r="R605" s="2" t="inlineStr"/>
    </row>
    <row r="606" ht="15" customHeight="1">
      <c r="A606" t="inlineStr">
        <is>
          <t>A 54845-2023</t>
        </is>
      </c>
      <c r="B606" s="1" t="n">
        <v>45236</v>
      </c>
      <c r="C606" s="1" t="n">
        <v>45895</v>
      </c>
      <c r="D606" t="inlineStr">
        <is>
          <t>ÖSTERGÖTLANDS LÄN</t>
        </is>
      </c>
      <c r="E606" t="inlineStr">
        <is>
          <t>LINKÖPING</t>
        </is>
      </c>
      <c r="F606" t="inlineStr">
        <is>
          <t>Övriga Aktiebolag</t>
        </is>
      </c>
      <c r="G606" t="n">
        <v>5.7</v>
      </c>
      <c r="H606" t="n">
        <v>0</v>
      </c>
      <c r="I606" t="n">
        <v>0</v>
      </c>
      <c r="J606" t="n">
        <v>0</v>
      </c>
      <c r="K606" t="n">
        <v>0</v>
      </c>
      <c r="L606" t="n">
        <v>0</v>
      </c>
      <c r="M606" t="n">
        <v>0</v>
      </c>
      <c r="N606" t="n">
        <v>0</v>
      </c>
      <c r="O606" t="n">
        <v>0</v>
      </c>
      <c r="P606" t="n">
        <v>0</v>
      </c>
      <c r="Q606" t="n">
        <v>0</v>
      </c>
      <c r="R606" s="2" t="inlineStr"/>
    </row>
    <row r="607" ht="15" customHeight="1">
      <c r="A607" t="inlineStr">
        <is>
          <t>A 46687-2021</t>
        </is>
      </c>
      <c r="B607" s="1" t="n">
        <v>44445</v>
      </c>
      <c r="C607" s="1" t="n">
        <v>45895</v>
      </c>
      <c r="D607" t="inlineStr">
        <is>
          <t>ÖSTERGÖTLANDS LÄN</t>
        </is>
      </c>
      <c r="E607" t="inlineStr">
        <is>
          <t>LINKÖPING</t>
        </is>
      </c>
      <c r="F607" t="inlineStr">
        <is>
          <t>Övriga statliga verk och myndigheter</t>
        </is>
      </c>
      <c r="G607" t="n">
        <v>2.3</v>
      </c>
      <c r="H607" t="n">
        <v>0</v>
      </c>
      <c r="I607" t="n">
        <v>0</v>
      </c>
      <c r="J607" t="n">
        <v>0</v>
      </c>
      <c r="K607" t="n">
        <v>0</v>
      </c>
      <c r="L607" t="n">
        <v>0</v>
      </c>
      <c r="M607" t="n">
        <v>0</v>
      </c>
      <c r="N607" t="n">
        <v>0</v>
      </c>
      <c r="O607" t="n">
        <v>0</v>
      </c>
      <c r="P607" t="n">
        <v>0</v>
      </c>
      <c r="Q607" t="n">
        <v>0</v>
      </c>
      <c r="R607" s="2" t="inlineStr"/>
    </row>
    <row r="608" ht="15" customHeight="1">
      <c r="A608" t="inlineStr">
        <is>
          <t>A 33800-2023</t>
        </is>
      </c>
      <c r="B608" s="1" t="n">
        <v>45121</v>
      </c>
      <c r="C608" s="1" t="n">
        <v>45895</v>
      </c>
      <c r="D608" t="inlineStr">
        <is>
          <t>ÖSTERGÖTLANDS LÄN</t>
        </is>
      </c>
      <c r="E608" t="inlineStr">
        <is>
          <t>LINKÖPING</t>
        </is>
      </c>
      <c r="G608" t="n">
        <v>1.3</v>
      </c>
      <c r="H608" t="n">
        <v>0</v>
      </c>
      <c r="I608" t="n">
        <v>0</v>
      </c>
      <c r="J608" t="n">
        <v>0</v>
      </c>
      <c r="K608" t="n">
        <v>0</v>
      </c>
      <c r="L608" t="n">
        <v>0</v>
      </c>
      <c r="M608" t="n">
        <v>0</v>
      </c>
      <c r="N608" t="n">
        <v>0</v>
      </c>
      <c r="O608" t="n">
        <v>0</v>
      </c>
      <c r="P608" t="n">
        <v>0</v>
      </c>
      <c r="Q608" t="n">
        <v>0</v>
      </c>
      <c r="R608" s="2" t="inlineStr"/>
    </row>
    <row r="609" ht="15" customHeight="1">
      <c r="A609" t="inlineStr">
        <is>
          <t>A 47991-2023</t>
        </is>
      </c>
      <c r="B609" s="1" t="n">
        <v>45204.62655092592</v>
      </c>
      <c r="C609" s="1" t="n">
        <v>45895</v>
      </c>
      <c r="D609" t="inlineStr">
        <is>
          <t>ÖSTERGÖTLANDS LÄN</t>
        </is>
      </c>
      <c r="E609" t="inlineStr">
        <is>
          <t>LINKÖPING</t>
        </is>
      </c>
      <c r="F609" t="inlineStr">
        <is>
          <t>Allmännings- och besparingsskogar</t>
        </is>
      </c>
      <c r="G609" t="n">
        <v>7.3</v>
      </c>
      <c r="H609" t="n">
        <v>0</v>
      </c>
      <c r="I609" t="n">
        <v>0</v>
      </c>
      <c r="J609" t="n">
        <v>0</v>
      </c>
      <c r="K609" t="n">
        <v>0</v>
      </c>
      <c r="L609" t="n">
        <v>0</v>
      </c>
      <c r="M609" t="n">
        <v>0</v>
      </c>
      <c r="N609" t="n">
        <v>0</v>
      </c>
      <c r="O609" t="n">
        <v>0</v>
      </c>
      <c r="P609" t="n">
        <v>0</v>
      </c>
      <c r="Q609" t="n">
        <v>0</v>
      </c>
      <c r="R609" s="2" t="inlineStr"/>
    </row>
    <row r="610" ht="15" customHeight="1">
      <c r="A610" t="inlineStr">
        <is>
          <t>A 26007-2025</t>
        </is>
      </c>
      <c r="B610" s="1" t="n">
        <v>45804.67081018518</v>
      </c>
      <c r="C610" s="1" t="n">
        <v>45895</v>
      </c>
      <c r="D610" t="inlineStr">
        <is>
          <t>ÖSTERGÖTLANDS LÄN</t>
        </is>
      </c>
      <c r="E610" t="inlineStr">
        <is>
          <t>LINKÖPING</t>
        </is>
      </c>
      <c r="G610" t="n">
        <v>1.5</v>
      </c>
      <c r="H610" t="n">
        <v>0</v>
      </c>
      <c r="I610" t="n">
        <v>0</v>
      </c>
      <c r="J610" t="n">
        <v>0</v>
      </c>
      <c r="K610" t="n">
        <v>0</v>
      </c>
      <c r="L610" t="n">
        <v>0</v>
      </c>
      <c r="M610" t="n">
        <v>0</v>
      </c>
      <c r="N610" t="n">
        <v>0</v>
      </c>
      <c r="O610" t="n">
        <v>0</v>
      </c>
      <c r="P610" t="n">
        <v>0</v>
      </c>
      <c r="Q610" t="n">
        <v>0</v>
      </c>
      <c r="R610" s="2" t="inlineStr"/>
    </row>
    <row r="611" ht="15" customHeight="1">
      <c r="A611" t="inlineStr">
        <is>
          <t>A 33867-2023</t>
        </is>
      </c>
      <c r="B611" s="1" t="n">
        <v>45133.94640046296</v>
      </c>
      <c r="C611" s="1" t="n">
        <v>45895</v>
      </c>
      <c r="D611" t="inlineStr">
        <is>
          <t>ÖSTERGÖTLANDS LÄN</t>
        </is>
      </c>
      <c r="E611" t="inlineStr">
        <is>
          <t>LINKÖPING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30855-2022</t>
        </is>
      </c>
      <c r="B612" s="1" t="n">
        <v>44767</v>
      </c>
      <c r="C612" s="1" t="n">
        <v>45895</v>
      </c>
      <c r="D612" t="inlineStr">
        <is>
          <t>ÖSTERGÖTLANDS LÄN</t>
        </is>
      </c>
      <c r="E612" t="inlineStr">
        <is>
          <t>LINKÖPING</t>
        </is>
      </c>
      <c r="G612" t="n">
        <v>2.2</v>
      </c>
      <c r="H612" t="n">
        <v>0</v>
      </c>
      <c r="I612" t="n">
        <v>0</v>
      </c>
      <c r="J612" t="n">
        <v>0</v>
      </c>
      <c r="K612" t="n">
        <v>0</v>
      </c>
      <c r="L612" t="n">
        <v>0</v>
      </c>
      <c r="M612" t="n">
        <v>0</v>
      </c>
      <c r="N612" t="n">
        <v>0</v>
      </c>
      <c r="O612" t="n">
        <v>0</v>
      </c>
      <c r="P612" t="n">
        <v>0</v>
      </c>
      <c r="Q612" t="n">
        <v>0</v>
      </c>
      <c r="R612" s="2" t="inlineStr"/>
    </row>
    <row r="613" ht="15" customHeight="1">
      <c r="A613" t="inlineStr">
        <is>
          <t>A 1355-2023</t>
        </is>
      </c>
      <c r="B613" s="1" t="n">
        <v>44931</v>
      </c>
      <c r="C613" s="1" t="n">
        <v>45895</v>
      </c>
      <c r="D613" t="inlineStr">
        <is>
          <t>ÖSTERGÖTLANDS LÄN</t>
        </is>
      </c>
      <c r="E613" t="inlineStr">
        <is>
          <t>LINKÖPING</t>
        </is>
      </c>
      <c r="G613" t="n">
        <v>4</v>
      </c>
      <c r="H613" t="n">
        <v>0</v>
      </c>
      <c r="I613" t="n">
        <v>0</v>
      </c>
      <c r="J613" t="n">
        <v>0</v>
      </c>
      <c r="K613" t="n">
        <v>0</v>
      </c>
      <c r="L613" t="n">
        <v>0</v>
      </c>
      <c r="M613" t="n">
        <v>0</v>
      </c>
      <c r="N613" t="n">
        <v>0</v>
      </c>
      <c r="O613" t="n">
        <v>0</v>
      </c>
      <c r="P613" t="n">
        <v>0</v>
      </c>
      <c r="Q613" t="n">
        <v>0</v>
      </c>
      <c r="R613" s="2" t="inlineStr"/>
    </row>
    <row r="614" ht="15" customHeight="1">
      <c r="A614" t="inlineStr">
        <is>
          <t>A 40169-2025</t>
        </is>
      </c>
      <c r="B614" s="1" t="n">
        <v>45894.62824074074</v>
      </c>
      <c r="C614" s="1" t="n">
        <v>45895</v>
      </c>
      <c r="D614" t="inlineStr">
        <is>
          <t>ÖSTERGÖTLANDS LÄN</t>
        </is>
      </c>
      <c r="E614" t="inlineStr">
        <is>
          <t>LINKÖPING</t>
        </is>
      </c>
      <c r="G614" t="n">
        <v>2.8</v>
      </c>
      <c r="H614" t="n">
        <v>0</v>
      </c>
      <c r="I614" t="n">
        <v>0</v>
      </c>
      <c r="J614" t="n">
        <v>0</v>
      </c>
      <c r="K614" t="n">
        <v>0</v>
      </c>
      <c r="L614" t="n">
        <v>0</v>
      </c>
      <c r="M614" t="n">
        <v>0</v>
      </c>
      <c r="N614" t="n">
        <v>0</v>
      </c>
      <c r="O614" t="n">
        <v>0</v>
      </c>
      <c r="P614" t="n">
        <v>0</v>
      </c>
      <c r="Q614" t="n">
        <v>0</v>
      </c>
      <c r="R614" s="2" t="inlineStr"/>
    </row>
    <row r="615" ht="15" customHeight="1">
      <c r="A615" t="inlineStr">
        <is>
          <t>A 27844-2024</t>
        </is>
      </c>
      <c r="B615" s="1" t="n">
        <v>45475.63047453704</v>
      </c>
      <c r="C615" s="1" t="n">
        <v>45895</v>
      </c>
      <c r="D615" t="inlineStr">
        <is>
          <t>ÖSTERGÖTLANDS LÄN</t>
        </is>
      </c>
      <c r="E615" t="inlineStr">
        <is>
          <t>LINKÖPING</t>
        </is>
      </c>
      <c r="G615" t="n">
        <v>1.2</v>
      </c>
      <c r="H615" t="n">
        <v>0</v>
      </c>
      <c r="I615" t="n">
        <v>0</v>
      </c>
      <c r="J615" t="n">
        <v>0</v>
      </c>
      <c r="K615" t="n">
        <v>0</v>
      </c>
      <c r="L615" t="n">
        <v>0</v>
      </c>
      <c r="M615" t="n">
        <v>0</v>
      </c>
      <c r="N615" t="n">
        <v>0</v>
      </c>
      <c r="O615" t="n">
        <v>0</v>
      </c>
      <c r="P615" t="n">
        <v>0</v>
      </c>
      <c r="Q615" t="n">
        <v>0</v>
      </c>
      <c r="R615" s="2" t="inlineStr"/>
    </row>
    <row r="616" ht="15" customHeight="1">
      <c r="A616" t="inlineStr">
        <is>
          <t>A 53616-2020</t>
        </is>
      </c>
      <c r="B616" s="1" t="n">
        <v>44123</v>
      </c>
      <c r="C616" s="1" t="n">
        <v>45895</v>
      </c>
      <c r="D616" t="inlineStr">
        <is>
          <t>ÖSTERGÖTLANDS LÄN</t>
        </is>
      </c>
      <c r="E616" t="inlineStr">
        <is>
          <t>LINKÖPING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24462-2023</t>
        </is>
      </c>
      <c r="B617" s="1" t="n">
        <v>45082</v>
      </c>
      <c r="C617" s="1" t="n">
        <v>45895</v>
      </c>
      <c r="D617" t="inlineStr">
        <is>
          <t>ÖSTERGÖTLANDS LÄN</t>
        </is>
      </c>
      <c r="E617" t="inlineStr">
        <is>
          <t>LINKÖPING</t>
        </is>
      </c>
      <c r="G617" t="n">
        <v>3.5</v>
      </c>
      <c r="H617" t="n">
        <v>0</v>
      </c>
      <c r="I617" t="n">
        <v>0</v>
      </c>
      <c r="J617" t="n">
        <v>0</v>
      </c>
      <c r="K617" t="n">
        <v>0</v>
      </c>
      <c r="L617" t="n">
        <v>0</v>
      </c>
      <c r="M617" t="n">
        <v>0</v>
      </c>
      <c r="N617" t="n">
        <v>0</v>
      </c>
      <c r="O617" t="n">
        <v>0</v>
      </c>
      <c r="P617" t="n">
        <v>0</v>
      </c>
      <c r="Q617" t="n">
        <v>0</v>
      </c>
      <c r="R617" s="2" t="inlineStr"/>
    </row>
    <row r="618" ht="15" customHeight="1">
      <c r="A618" t="inlineStr">
        <is>
          <t>A 48829-2023</t>
        </is>
      </c>
      <c r="B618" s="1" t="n">
        <v>45209.38177083333</v>
      </c>
      <c r="C618" s="1" t="n">
        <v>45895</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10741-2023</t>
        </is>
      </c>
      <c r="B619" s="1" t="n">
        <v>44988.70084490741</v>
      </c>
      <c r="C619" s="1" t="n">
        <v>45895</v>
      </c>
      <c r="D619" t="inlineStr">
        <is>
          <t>ÖSTERGÖTLANDS LÄN</t>
        </is>
      </c>
      <c r="E619" t="inlineStr">
        <is>
          <t>LINKÖPING</t>
        </is>
      </c>
      <c r="F619" t="inlineStr">
        <is>
          <t>Allmännings- och besparingsskogar</t>
        </is>
      </c>
      <c r="G619" t="n">
        <v>11.2</v>
      </c>
      <c r="H619" t="n">
        <v>0</v>
      </c>
      <c r="I619" t="n">
        <v>0</v>
      </c>
      <c r="J619" t="n">
        <v>0</v>
      </c>
      <c r="K619" t="n">
        <v>0</v>
      </c>
      <c r="L619" t="n">
        <v>0</v>
      </c>
      <c r="M619" t="n">
        <v>0</v>
      </c>
      <c r="N619" t="n">
        <v>0</v>
      </c>
      <c r="O619" t="n">
        <v>0</v>
      </c>
      <c r="P619" t="n">
        <v>0</v>
      </c>
      <c r="Q619" t="n">
        <v>0</v>
      </c>
      <c r="R619" s="2" t="inlineStr"/>
    </row>
    <row r="620" ht="15" customHeight="1">
      <c r="A620" t="inlineStr">
        <is>
          <t>A 50963-2021</t>
        </is>
      </c>
      <c r="B620" s="1" t="n">
        <v>44460</v>
      </c>
      <c r="C620" s="1" t="n">
        <v>45895</v>
      </c>
      <c r="D620" t="inlineStr">
        <is>
          <t>ÖSTERGÖTLANDS LÄN</t>
        </is>
      </c>
      <c r="E620" t="inlineStr">
        <is>
          <t>LINKÖPING</t>
        </is>
      </c>
      <c r="G620" t="n">
        <v>4.4</v>
      </c>
      <c r="H620" t="n">
        <v>0</v>
      </c>
      <c r="I620" t="n">
        <v>0</v>
      </c>
      <c r="J620" t="n">
        <v>0</v>
      </c>
      <c r="K620" t="n">
        <v>0</v>
      </c>
      <c r="L620" t="n">
        <v>0</v>
      </c>
      <c r="M620" t="n">
        <v>0</v>
      </c>
      <c r="N620" t="n">
        <v>0</v>
      </c>
      <c r="O620" t="n">
        <v>0</v>
      </c>
      <c r="P620" t="n">
        <v>0</v>
      </c>
      <c r="Q620" t="n">
        <v>0</v>
      </c>
      <c r="R620" s="2" t="inlineStr"/>
    </row>
    <row r="621" ht="15" customHeight="1">
      <c r="A621" t="inlineStr">
        <is>
          <t>A 38231-2022</t>
        </is>
      </c>
      <c r="B621" s="1" t="n">
        <v>44812</v>
      </c>
      <c r="C621" s="1" t="n">
        <v>45895</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50799-2022</t>
        </is>
      </c>
      <c r="B622" s="1" t="n">
        <v>44862</v>
      </c>
      <c r="C622" s="1" t="n">
        <v>45895</v>
      </c>
      <c r="D622" t="inlineStr">
        <is>
          <t>ÖSTERGÖTLANDS LÄN</t>
        </is>
      </c>
      <c r="E622" t="inlineStr">
        <is>
          <t>LINKÖPING</t>
        </is>
      </c>
      <c r="G622" t="n">
        <v>0.9</v>
      </c>
      <c r="H622" t="n">
        <v>0</v>
      </c>
      <c r="I622" t="n">
        <v>0</v>
      </c>
      <c r="J622" t="n">
        <v>0</v>
      </c>
      <c r="K622" t="n">
        <v>0</v>
      </c>
      <c r="L622" t="n">
        <v>0</v>
      </c>
      <c r="M622" t="n">
        <v>0</v>
      </c>
      <c r="N622" t="n">
        <v>0</v>
      </c>
      <c r="O622" t="n">
        <v>0</v>
      </c>
      <c r="P622" t="n">
        <v>0</v>
      </c>
      <c r="Q622" t="n">
        <v>0</v>
      </c>
      <c r="R622" s="2" t="inlineStr"/>
    </row>
    <row r="623" ht="15" customHeight="1">
      <c r="A623" t="inlineStr">
        <is>
          <t>A 40431-2024</t>
        </is>
      </c>
      <c r="B623" s="1" t="n">
        <v>45555.47070601852</v>
      </c>
      <c r="C623" s="1" t="n">
        <v>45895</v>
      </c>
      <c r="D623" t="inlineStr">
        <is>
          <t>ÖSTERGÖTLANDS LÄN</t>
        </is>
      </c>
      <c r="E623" t="inlineStr">
        <is>
          <t>LINKÖPING</t>
        </is>
      </c>
      <c r="F623" t="inlineStr">
        <is>
          <t>Allmännings- och besparingsskogar</t>
        </is>
      </c>
      <c r="G623" t="n">
        <v>2.9</v>
      </c>
      <c r="H623" t="n">
        <v>0</v>
      </c>
      <c r="I623" t="n">
        <v>0</v>
      </c>
      <c r="J623" t="n">
        <v>0</v>
      </c>
      <c r="K623" t="n">
        <v>0</v>
      </c>
      <c r="L623" t="n">
        <v>0</v>
      </c>
      <c r="M623" t="n">
        <v>0</v>
      </c>
      <c r="N623" t="n">
        <v>0</v>
      </c>
      <c r="O623" t="n">
        <v>0</v>
      </c>
      <c r="P623" t="n">
        <v>0</v>
      </c>
      <c r="Q623" t="n">
        <v>0</v>
      </c>
      <c r="R623" s="2" t="inlineStr"/>
    </row>
    <row r="624" ht="15" customHeight="1">
      <c r="A624" t="inlineStr">
        <is>
          <t>A 267-2023</t>
        </is>
      </c>
      <c r="B624" s="1" t="n">
        <v>44928.80907407407</v>
      </c>
      <c r="C624" s="1" t="n">
        <v>45895</v>
      </c>
      <c r="D624" t="inlineStr">
        <is>
          <t>ÖSTERGÖTLANDS LÄN</t>
        </is>
      </c>
      <c r="E624" t="inlineStr">
        <is>
          <t>LINKÖPING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26618-2023</t>
        </is>
      </c>
      <c r="B625" s="1" t="n">
        <v>45092.70306712963</v>
      </c>
      <c r="C625" s="1" t="n">
        <v>45895</v>
      </c>
      <c r="D625" t="inlineStr">
        <is>
          <t>ÖSTERGÖTLANDS LÄN</t>
        </is>
      </c>
      <c r="E625" t="inlineStr">
        <is>
          <t>LINKÖPING</t>
        </is>
      </c>
      <c r="G625" t="n">
        <v>6.9</v>
      </c>
      <c r="H625" t="n">
        <v>0</v>
      </c>
      <c r="I625" t="n">
        <v>0</v>
      </c>
      <c r="J625" t="n">
        <v>0</v>
      </c>
      <c r="K625" t="n">
        <v>0</v>
      </c>
      <c r="L625" t="n">
        <v>0</v>
      </c>
      <c r="M625" t="n">
        <v>0</v>
      </c>
      <c r="N625" t="n">
        <v>0</v>
      </c>
      <c r="O625" t="n">
        <v>0</v>
      </c>
      <c r="P625" t="n">
        <v>0</v>
      </c>
      <c r="Q625" t="n">
        <v>0</v>
      </c>
      <c r="R625" s="2" t="inlineStr"/>
    </row>
    <row r="626" ht="15" customHeight="1">
      <c r="A626" t="inlineStr">
        <is>
          <t>A 63665-2023</t>
        </is>
      </c>
      <c r="B626" s="1" t="n">
        <v>45275</v>
      </c>
      <c r="C626" s="1" t="n">
        <v>45895</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45821-2024</t>
        </is>
      </c>
      <c r="B627" s="1" t="n">
        <v>45579.75803240741</v>
      </c>
      <c r="C627" s="1" t="n">
        <v>45895</v>
      </c>
      <c r="D627" t="inlineStr">
        <is>
          <t>ÖSTERGÖTLANDS LÄN</t>
        </is>
      </c>
      <c r="E627" t="inlineStr">
        <is>
          <t>LINKÖPING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67123-2020</t>
        </is>
      </c>
      <c r="B628" s="1" t="n">
        <v>44180</v>
      </c>
      <c r="C628" s="1" t="n">
        <v>45895</v>
      </c>
      <c r="D628" t="inlineStr">
        <is>
          <t>ÖSTERGÖTLANDS LÄN</t>
        </is>
      </c>
      <c r="E628" t="inlineStr">
        <is>
          <t>LINKÖPING</t>
        </is>
      </c>
      <c r="F628" t="inlineStr">
        <is>
          <t>Övriga statliga verk och myndigheter</t>
        </is>
      </c>
      <c r="G628" t="n">
        <v>1.3</v>
      </c>
      <c r="H628" t="n">
        <v>0</v>
      </c>
      <c r="I628" t="n">
        <v>0</v>
      </c>
      <c r="J628" t="n">
        <v>0</v>
      </c>
      <c r="K628" t="n">
        <v>0</v>
      </c>
      <c r="L628" t="n">
        <v>0</v>
      </c>
      <c r="M628" t="n">
        <v>0</v>
      </c>
      <c r="N628" t="n">
        <v>0</v>
      </c>
      <c r="O628" t="n">
        <v>0</v>
      </c>
      <c r="P628" t="n">
        <v>0</v>
      </c>
      <c r="Q628" t="n">
        <v>0</v>
      </c>
      <c r="R628" s="2" t="inlineStr"/>
    </row>
    <row r="629" ht="15" customHeight="1">
      <c r="A629" t="inlineStr">
        <is>
          <t>A 61936-2023</t>
        </is>
      </c>
      <c r="B629" s="1" t="n">
        <v>45266.54534722222</v>
      </c>
      <c r="C629" s="1" t="n">
        <v>45895</v>
      </c>
      <c r="D629" t="inlineStr">
        <is>
          <t>ÖSTERGÖTLANDS LÄN</t>
        </is>
      </c>
      <c r="E629" t="inlineStr">
        <is>
          <t>LINKÖPING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1263-2024</t>
        </is>
      </c>
      <c r="B630" s="1" t="n">
        <v>45302</v>
      </c>
      <c r="C630" s="1" t="n">
        <v>45895</v>
      </c>
      <c r="D630" t="inlineStr">
        <is>
          <t>ÖSTERGÖTLANDS LÄN</t>
        </is>
      </c>
      <c r="E630" t="inlineStr">
        <is>
          <t>LINKÖPING</t>
        </is>
      </c>
      <c r="G630" t="n">
        <v>1.8</v>
      </c>
      <c r="H630" t="n">
        <v>0</v>
      </c>
      <c r="I630" t="n">
        <v>0</v>
      </c>
      <c r="J630" t="n">
        <v>0</v>
      </c>
      <c r="K630" t="n">
        <v>0</v>
      </c>
      <c r="L630" t="n">
        <v>0</v>
      </c>
      <c r="M630" t="n">
        <v>0</v>
      </c>
      <c r="N630" t="n">
        <v>0</v>
      </c>
      <c r="O630" t="n">
        <v>0</v>
      </c>
      <c r="P630" t="n">
        <v>0</v>
      </c>
      <c r="Q630" t="n">
        <v>0</v>
      </c>
      <c r="R630" s="2" t="inlineStr"/>
    </row>
    <row r="631" ht="15" customHeight="1">
      <c r="A631" t="inlineStr">
        <is>
          <t>A 24464-2023</t>
        </is>
      </c>
      <c r="B631" s="1" t="n">
        <v>45082.58068287037</v>
      </c>
      <c r="C631" s="1" t="n">
        <v>45895</v>
      </c>
      <c r="D631" t="inlineStr">
        <is>
          <t>ÖSTERGÖTLANDS LÄN</t>
        </is>
      </c>
      <c r="E631" t="inlineStr">
        <is>
          <t>LINKÖPING</t>
        </is>
      </c>
      <c r="G631" t="n">
        <v>1.6</v>
      </c>
      <c r="H631" t="n">
        <v>0</v>
      </c>
      <c r="I631" t="n">
        <v>0</v>
      </c>
      <c r="J631" t="n">
        <v>0</v>
      </c>
      <c r="K631" t="n">
        <v>0</v>
      </c>
      <c r="L631" t="n">
        <v>0</v>
      </c>
      <c r="M631" t="n">
        <v>0</v>
      </c>
      <c r="N631" t="n">
        <v>0</v>
      </c>
      <c r="O631" t="n">
        <v>0</v>
      </c>
      <c r="P631" t="n">
        <v>0</v>
      </c>
      <c r="Q631" t="n">
        <v>0</v>
      </c>
      <c r="R631" s="2" t="inlineStr"/>
    </row>
    <row r="632" ht="15" customHeight="1">
      <c r="A632" t="inlineStr">
        <is>
          <t>A 30429-2024</t>
        </is>
      </c>
      <c r="B632" s="1" t="n">
        <v>45491.68972222223</v>
      </c>
      <c r="C632" s="1" t="n">
        <v>45895</v>
      </c>
      <c r="D632" t="inlineStr">
        <is>
          <t>ÖSTERGÖTLANDS LÄN</t>
        </is>
      </c>
      <c r="E632" t="inlineStr">
        <is>
          <t>LINKÖPING</t>
        </is>
      </c>
      <c r="G632" t="n">
        <v>2.2</v>
      </c>
      <c r="H632" t="n">
        <v>0</v>
      </c>
      <c r="I632" t="n">
        <v>0</v>
      </c>
      <c r="J632" t="n">
        <v>0</v>
      </c>
      <c r="K632" t="n">
        <v>0</v>
      </c>
      <c r="L632" t="n">
        <v>0</v>
      </c>
      <c r="M632" t="n">
        <v>0</v>
      </c>
      <c r="N632" t="n">
        <v>0</v>
      </c>
      <c r="O632" t="n">
        <v>0</v>
      </c>
      <c r="P632" t="n">
        <v>0</v>
      </c>
      <c r="Q632" t="n">
        <v>0</v>
      </c>
      <c r="R632" s="2" t="inlineStr"/>
    </row>
    <row r="633" ht="15" customHeight="1">
      <c r="A633" t="inlineStr">
        <is>
          <t>A 48389-2024</t>
        </is>
      </c>
      <c r="B633" s="1" t="n">
        <v>45590.59991898148</v>
      </c>
      <c r="C633" s="1" t="n">
        <v>45895</v>
      </c>
      <c r="D633" t="inlineStr">
        <is>
          <t>ÖSTERGÖTLANDS LÄN</t>
        </is>
      </c>
      <c r="E633" t="inlineStr">
        <is>
          <t>LINKÖPING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61281-2021</t>
        </is>
      </c>
      <c r="B634" s="1" t="n">
        <v>44498.60736111111</v>
      </c>
      <c r="C634" s="1" t="n">
        <v>45895</v>
      </c>
      <c r="D634" t="inlineStr">
        <is>
          <t>ÖSTERGÖTLANDS LÄN</t>
        </is>
      </c>
      <c r="E634" t="inlineStr">
        <is>
          <t>LINKÖPING</t>
        </is>
      </c>
      <c r="G634" t="n">
        <v>4.5</v>
      </c>
      <c r="H634" t="n">
        <v>0</v>
      </c>
      <c r="I634" t="n">
        <v>0</v>
      </c>
      <c r="J634" t="n">
        <v>0</v>
      </c>
      <c r="K634" t="n">
        <v>0</v>
      </c>
      <c r="L634" t="n">
        <v>0</v>
      </c>
      <c r="M634" t="n">
        <v>0</v>
      </c>
      <c r="N634" t="n">
        <v>0</v>
      </c>
      <c r="O634" t="n">
        <v>0</v>
      </c>
      <c r="P634" t="n">
        <v>0</v>
      </c>
      <c r="Q634" t="n">
        <v>0</v>
      </c>
      <c r="R634" s="2" t="inlineStr"/>
    </row>
    <row r="635" ht="15" customHeight="1">
      <c r="A635" t="inlineStr">
        <is>
          <t>A 30435-2024</t>
        </is>
      </c>
      <c r="B635" s="1" t="n">
        <v>45491.69962962963</v>
      </c>
      <c r="C635" s="1" t="n">
        <v>45895</v>
      </c>
      <c r="D635" t="inlineStr">
        <is>
          <t>ÖSTERGÖTLANDS LÄN</t>
        </is>
      </c>
      <c r="E635" t="inlineStr">
        <is>
          <t>LINKÖPING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6369-2023</t>
        </is>
      </c>
      <c r="B636" s="1" t="n">
        <v>44965.61106481482</v>
      </c>
      <c r="C636" s="1" t="n">
        <v>45895</v>
      </c>
      <c r="D636" t="inlineStr">
        <is>
          <t>ÖSTERGÖTLANDS LÄN</t>
        </is>
      </c>
      <c r="E636" t="inlineStr">
        <is>
          <t>LINKÖPING</t>
        </is>
      </c>
      <c r="G636" t="n">
        <v>4</v>
      </c>
      <c r="H636" t="n">
        <v>0</v>
      </c>
      <c r="I636" t="n">
        <v>0</v>
      </c>
      <c r="J636" t="n">
        <v>0</v>
      </c>
      <c r="K636" t="n">
        <v>0</v>
      </c>
      <c r="L636" t="n">
        <v>0</v>
      </c>
      <c r="M636" t="n">
        <v>0</v>
      </c>
      <c r="N636" t="n">
        <v>0</v>
      </c>
      <c r="O636" t="n">
        <v>0</v>
      </c>
      <c r="P636" t="n">
        <v>0</v>
      </c>
      <c r="Q636" t="n">
        <v>0</v>
      </c>
      <c r="R636" s="2" t="inlineStr"/>
    </row>
    <row r="637" ht="15" customHeight="1">
      <c r="A637" t="inlineStr">
        <is>
          <t>A 53816-2023</t>
        </is>
      </c>
      <c r="B637" s="1" t="n">
        <v>45231.40012731482</v>
      </c>
      <c r="C637" s="1" t="n">
        <v>45895</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36557-2023</t>
        </is>
      </c>
      <c r="B638" s="1" t="n">
        <v>45153</v>
      </c>
      <c r="C638" s="1" t="n">
        <v>45895</v>
      </c>
      <c r="D638" t="inlineStr">
        <is>
          <t>ÖSTERGÖTLANDS LÄN</t>
        </is>
      </c>
      <c r="E638" t="inlineStr">
        <is>
          <t>LINKÖPING</t>
        </is>
      </c>
      <c r="F638" t="inlineStr">
        <is>
          <t>Övriga Aktiebolag</t>
        </is>
      </c>
      <c r="G638" t="n">
        <v>3.1</v>
      </c>
      <c r="H638" t="n">
        <v>0</v>
      </c>
      <c r="I638" t="n">
        <v>0</v>
      </c>
      <c r="J638" t="n">
        <v>0</v>
      </c>
      <c r="K638" t="n">
        <v>0</v>
      </c>
      <c r="L638" t="n">
        <v>0</v>
      </c>
      <c r="M638" t="n">
        <v>0</v>
      </c>
      <c r="N638" t="n">
        <v>0</v>
      </c>
      <c r="O638" t="n">
        <v>0</v>
      </c>
      <c r="P638" t="n">
        <v>0</v>
      </c>
      <c r="Q638" t="n">
        <v>0</v>
      </c>
      <c r="R638" s="2" t="inlineStr"/>
    </row>
    <row r="639" ht="15" customHeight="1">
      <c r="A639" t="inlineStr">
        <is>
          <t>A 6599-2023</t>
        </is>
      </c>
      <c r="B639" s="1" t="n">
        <v>44966.52603009259</v>
      </c>
      <c r="C639" s="1" t="n">
        <v>45895</v>
      </c>
      <c r="D639" t="inlineStr">
        <is>
          <t>ÖSTERGÖTLANDS LÄN</t>
        </is>
      </c>
      <c r="E639" t="inlineStr">
        <is>
          <t>LINKÖPING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43473-2024</t>
        </is>
      </c>
      <c r="B640" s="1" t="n">
        <v>45568</v>
      </c>
      <c r="C640" s="1" t="n">
        <v>45895</v>
      </c>
      <c r="D640" t="inlineStr">
        <is>
          <t>ÖSTERGÖTLANDS LÄN</t>
        </is>
      </c>
      <c r="E640" t="inlineStr">
        <is>
          <t>LINKÖPING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10094-2024</t>
        </is>
      </c>
      <c r="B641" s="1" t="n">
        <v>45364</v>
      </c>
      <c r="C641" s="1" t="n">
        <v>45895</v>
      </c>
      <c r="D641" t="inlineStr">
        <is>
          <t>ÖSTERGÖTLANDS LÄN</t>
        </is>
      </c>
      <c r="E641" t="inlineStr">
        <is>
          <t>LINKÖPING</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1207-2023</t>
        </is>
      </c>
      <c r="B642" s="1" t="n">
        <v>44930</v>
      </c>
      <c r="C642" s="1" t="n">
        <v>45895</v>
      </c>
      <c r="D642" t="inlineStr">
        <is>
          <t>ÖSTERGÖTLANDS LÄN</t>
        </is>
      </c>
      <c r="E642" t="inlineStr">
        <is>
          <t>LINKÖPING</t>
        </is>
      </c>
      <c r="F642" t="inlineStr">
        <is>
          <t>Övriga statliga verk och myndigheter</t>
        </is>
      </c>
      <c r="G642" t="n">
        <v>32.8</v>
      </c>
      <c r="H642" t="n">
        <v>0</v>
      </c>
      <c r="I642" t="n">
        <v>0</v>
      </c>
      <c r="J642" t="n">
        <v>0</v>
      </c>
      <c r="K642" t="n">
        <v>0</v>
      </c>
      <c r="L642" t="n">
        <v>0</v>
      </c>
      <c r="M642" t="n">
        <v>0</v>
      </c>
      <c r="N642" t="n">
        <v>0</v>
      </c>
      <c r="O642" t="n">
        <v>0</v>
      </c>
      <c r="P642" t="n">
        <v>0</v>
      </c>
      <c r="Q642" t="n">
        <v>0</v>
      </c>
      <c r="R642" s="2" t="inlineStr"/>
    </row>
    <row r="643" ht="15" customHeight="1">
      <c r="A643" t="inlineStr">
        <is>
          <t>A 62015-2024</t>
        </is>
      </c>
      <c r="B643" s="1" t="n">
        <v>45655.80457175926</v>
      </c>
      <c r="C643" s="1" t="n">
        <v>45895</v>
      </c>
      <c r="D643" t="inlineStr">
        <is>
          <t>ÖSTERGÖTLANDS LÄN</t>
        </is>
      </c>
      <c r="E643" t="inlineStr">
        <is>
          <t>LINKÖPING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62020-2024</t>
        </is>
      </c>
      <c r="B644" s="1" t="n">
        <v>45655.83563657408</v>
      </c>
      <c r="C644" s="1" t="n">
        <v>45895</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62021-2024</t>
        </is>
      </c>
      <c r="B645" s="1" t="n">
        <v>45655.84232638889</v>
      </c>
      <c r="C645" s="1" t="n">
        <v>45895</v>
      </c>
      <c r="D645" t="inlineStr">
        <is>
          <t>ÖSTERGÖTLANDS LÄN</t>
        </is>
      </c>
      <c r="E645" t="inlineStr">
        <is>
          <t>LINKÖPING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27891-2021</t>
        </is>
      </c>
      <c r="B646" s="1" t="n">
        <v>44354.65108796296</v>
      </c>
      <c r="C646" s="1" t="n">
        <v>45895</v>
      </c>
      <c r="D646" t="inlineStr">
        <is>
          <t>ÖSTERGÖTLANDS LÄN</t>
        </is>
      </c>
      <c r="E646" t="inlineStr">
        <is>
          <t>LINKÖPING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57391-2023</t>
        </is>
      </c>
      <c r="B647" s="1" t="n">
        <v>45245</v>
      </c>
      <c r="C647" s="1" t="n">
        <v>45895</v>
      </c>
      <c r="D647" t="inlineStr">
        <is>
          <t>ÖSTERGÖTLANDS LÄN</t>
        </is>
      </c>
      <c r="E647" t="inlineStr">
        <is>
          <t>LINKÖPING</t>
        </is>
      </c>
      <c r="F647" t="inlineStr">
        <is>
          <t>Övriga Aktiebolag</t>
        </is>
      </c>
      <c r="G647" t="n">
        <v>1.7</v>
      </c>
      <c r="H647" t="n">
        <v>0</v>
      </c>
      <c r="I647" t="n">
        <v>0</v>
      </c>
      <c r="J647" t="n">
        <v>0</v>
      </c>
      <c r="K647" t="n">
        <v>0</v>
      </c>
      <c r="L647" t="n">
        <v>0</v>
      </c>
      <c r="M647" t="n">
        <v>0</v>
      </c>
      <c r="N647" t="n">
        <v>0</v>
      </c>
      <c r="O647" t="n">
        <v>0</v>
      </c>
      <c r="P647" t="n">
        <v>0</v>
      </c>
      <c r="Q647" t="n">
        <v>0</v>
      </c>
      <c r="R647" s="2" t="inlineStr"/>
    </row>
    <row r="648" ht="15" customHeight="1">
      <c r="A648" t="inlineStr">
        <is>
          <t>A 20294-2025</t>
        </is>
      </c>
      <c r="B648" s="1" t="n">
        <v>45774.74667824074</v>
      </c>
      <c r="C648" s="1" t="n">
        <v>45895</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60013-2022</t>
        </is>
      </c>
      <c r="B649" s="1" t="n">
        <v>44909.47482638889</v>
      </c>
      <c r="C649" s="1" t="n">
        <v>45895</v>
      </c>
      <c r="D649" t="inlineStr">
        <is>
          <t>ÖSTERGÖTLANDS LÄN</t>
        </is>
      </c>
      <c r="E649" t="inlineStr">
        <is>
          <t>LINKÖPING</t>
        </is>
      </c>
      <c r="G649" t="n">
        <v>0.9</v>
      </c>
      <c r="H649" t="n">
        <v>0</v>
      </c>
      <c r="I649" t="n">
        <v>0</v>
      </c>
      <c r="J649" t="n">
        <v>0</v>
      </c>
      <c r="K649" t="n">
        <v>0</v>
      </c>
      <c r="L649" t="n">
        <v>0</v>
      </c>
      <c r="M649" t="n">
        <v>0</v>
      </c>
      <c r="N649" t="n">
        <v>0</v>
      </c>
      <c r="O649" t="n">
        <v>0</v>
      </c>
      <c r="P649" t="n">
        <v>0</v>
      </c>
      <c r="Q649" t="n">
        <v>0</v>
      </c>
      <c r="R649" s="2" t="inlineStr"/>
    </row>
    <row r="650" ht="15" customHeight="1">
      <c r="A650" t="inlineStr">
        <is>
          <t>A 3007-2025</t>
        </is>
      </c>
      <c r="B650" s="1" t="n">
        <v>45678.56328703704</v>
      </c>
      <c r="C650" s="1" t="n">
        <v>45895</v>
      </c>
      <c r="D650" t="inlineStr">
        <is>
          <t>ÖSTERGÖTLANDS LÄN</t>
        </is>
      </c>
      <c r="E650" t="inlineStr">
        <is>
          <t>LINKÖPING</t>
        </is>
      </c>
      <c r="G650" t="n">
        <v>3.1</v>
      </c>
      <c r="H650" t="n">
        <v>0</v>
      </c>
      <c r="I650" t="n">
        <v>0</v>
      </c>
      <c r="J650" t="n">
        <v>0</v>
      </c>
      <c r="K650" t="n">
        <v>0</v>
      </c>
      <c r="L650" t="n">
        <v>0</v>
      </c>
      <c r="M650" t="n">
        <v>0</v>
      </c>
      <c r="N650" t="n">
        <v>0</v>
      </c>
      <c r="O650" t="n">
        <v>0</v>
      </c>
      <c r="P650" t="n">
        <v>0</v>
      </c>
      <c r="Q650" t="n">
        <v>0</v>
      </c>
      <c r="R650" s="2" t="inlineStr"/>
    </row>
    <row r="651" ht="15" customHeight="1">
      <c r="A651" t="inlineStr">
        <is>
          <t>A 34877-2023</t>
        </is>
      </c>
      <c r="B651" s="1" t="n">
        <v>45140</v>
      </c>
      <c r="C651" s="1" t="n">
        <v>45895</v>
      </c>
      <c r="D651" t="inlineStr">
        <is>
          <t>ÖSTERGÖTLANDS LÄN</t>
        </is>
      </c>
      <c r="E651" t="inlineStr">
        <is>
          <t>LINKÖPING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1924-2024</t>
        </is>
      </c>
      <c r="B652" s="1" t="n">
        <v>45308</v>
      </c>
      <c r="C652" s="1" t="n">
        <v>45895</v>
      </c>
      <c r="D652" t="inlineStr">
        <is>
          <t>ÖSTERGÖTLANDS LÄN</t>
        </is>
      </c>
      <c r="E652" t="inlineStr">
        <is>
          <t>LINKÖPING</t>
        </is>
      </c>
      <c r="F652" t="inlineStr">
        <is>
          <t>Övriga Aktiebolag</t>
        </is>
      </c>
      <c r="G652" t="n">
        <v>0.5</v>
      </c>
      <c r="H652" t="n">
        <v>0</v>
      </c>
      <c r="I652" t="n">
        <v>0</v>
      </c>
      <c r="J652" t="n">
        <v>0</v>
      </c>
      <c r="K652" t="n">
        <v>0</v>
      </c>
      <c r="L652" t="n">
        <v>0</v>
      </c>
      <c r="M652" t="n">
        <v>0</v>
      </c>
      <c r="N652" t="n">
        <v>0</v>
      </c>
      <c r="O652" t="n">
        <v>0</v>
      </c>
      <c r="P652" t="n">
        <v>0</v>
      </c>
      <c r="Q652" t="n">
        <v>0</v>
      </c>
      <c r="R652" s="2" t="inlineStr"/>
    </row>
    <row r="653" ht="15" customHeight="1">
      <c r="A653" t="inlineStr">
        <is>
          <t>A 34558-2022</t>
        </is>
      </c>
      <c r="B653" s="1" t="n">
        <v>44794.57594907407</v>
      </c>
      <c r="C653" s="1" t="n">
        <v>45895</v>
      </c>
      <c r="D653" t="inlineStr">
        <is>
          <t>ÖSTERGÖTLANDS LÄN</t>
        </is>
      </c>
      <c r="E653" t="inlineStr">
        <is>
          <t>LINKÖPING</t>
        </is>
      </c>
      <c r="G653" t="n">
        <v>2.2</v>
      </c>
      <c r="H653" t="n">
        <v>0</v>
      </c>
      <c r="I653" t="n">
        <v>0</v>
      </c>
      <c r="J653" t="n">
        <v>0</v>
      </c>
      <c r="K653" t="n">
        <v>0</v>
      </c>
      <c r="L653" t="n">
        <v>0</v>
      </c>
      <c r="M653" t="n">
        <v>0</v>
      </c>
      <c r="N653" t="n">
        <v>0</v>
      </c>
      <c r="O653" t="n">
        <v>0</v>
      </c>
      <c r="P653" t="n">
        <v>0</v>
      </c>
      <c r="Q653" t="n">
        <v>0</v>
      </c>
      <c r="R653" s="2" t="inlineStr"/>
    </row>
    <row r="654" ht="15" customHeight="1">
      <c r="A654" t="inlineStr">
        <is>
          <t>A 168-2024</t>
        </is>
      </c>
      <c r="B654" s="1" t="n">
        <v>45294</v>
      </c>
      <c r="C654" s="1" t="n">
        <v>45895</v>
      </c>
      <c r="D654" t="inlineStr">
        <is>
          <t>ÖSTERGÖTLANDS LÄN</t>
        </is>
      </c>
      <c r="E654" t="inlineStr">
        <is>
          <t>LINKÖPING</t>
        </is>
      </c>
      <c r="F654" t="inlineStr">
        <is>
          <t>Allmännings- och besparingsskogar</t>
        </is>
      </c>
      <c r="G654" t="n">
        <v>8.9</v>
      </c>
      <c r="H654" t="n">
        <v>0</v>
      </c>
      <c r="I654" t="n">
        <v>0</v>
      </c>
      <c r="J654" t="n">
        <v>0</v>
      </c>
      <c r="K654" t="n">
        <v>0</v>
      </c>
      <c r="L654" t="n">
        <v>0</v>
      </c>
      <c r="M654" t="n">
        <v>0</v>
      </c>
      <c r="N654" t="n">
        <v>0</v>
      </c>
      <c r="O654" t="n">
        <v>0</v>
      </c>
      <c r="P654" t="n">
        <v>0</v>
      </c>
      <c r="Q654" t="n">
        <v>0</v>
      </c>
      <c r="R654" s="2" t="inlineStr"/>
    </row>
    <row r="655" ht="15" customHeight="1">
      <c r="A655" t="inlineStr">
        <is>
          <t>A 15658-2023</t>
        </is>
      </c>
      <c r="B655" s="1" t="n">
        <v>45021.41194444444</v>
      </c>
      <c r="C655" s="1" t="n">
        <v>45895</v>
      </c>
      <c r="D655" t="inlineStr">
        <is>
          <t>ÖSTERGÖTLANDS LÄN</t>
        </is>
      </c>
      <c r="E655" t="inlineStr">
        <is>
          <t>LINKÖPING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30433-2024</t>
        </is>
      </c>
      <c r="B656" s="1" t="n">
        <v>45491.69741898148</v>
      </c>
      <c r="C656" s="1" t="n">
        <v>45895</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52220-2023</t>
        </is>
      </c>
      <c r="B657" s="1" t="n">
        <v>45217</v>
      </c>
      <c r="C657" s="1" t="n">
        <v>45895</v>
      </c>
      <c r="D657" t="inlineStr">
        <is>
          <t>ÖSTERGÖTLANDS LÄN</t>
        </is>
      </c>
      <c r="E657" t="inlineStr">
        <is>
          <t>LINKÖPING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52225-2023</t>
        </is>
      </c>
      <c r="B658" s="1" t="n">
        <v>45217</v>
      </c>
      <c r="C658" s="1" t="n">
        <v>45895</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19464-2024</t>
        </is>
      </c>
      <c r="B659" s="1" t="n">
        <v>45429</v>
      </c>
      <c r="C659" s="1" t="n">
        <v>45895</v>
      </c>
      <c r="D659" t="inlineStr">
        <is>
          <t>ÖSTERGÖTLANDS LÄN</t>
        </is>
      </c>
      <c r="E659" t="inlineStr">
        <is>
          <t>LINKÖPING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42044-2023</t>
        </is>
      </c>
      <c r="B660" s="1" t="n">
        <v>45177</v>
      </c>
      <c r="C660" s="1" t="n">
        <v>45895</v>
      </c>
      <c r="D660" t="inlineStr">
        <is>
          <t>ÖSTERGÖTLANDS LÄN</t>
        </is>
      </c>
      <c r="E660" t="inlineStr">
        <is>
          <t>LINKÖPING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630-2024</t>
        </is>
      </c>
      <c r="B661" s="1" t="n">
        <v>45299.67736111111</v>
      </c>
      <c r="C661" s="1" t="n">
        <v>45895</v>
      </c>
      <c r="D661" t="inlineStr">
        <is>
          <t>ÖSTERGÖTLANDS LÄN</t>
        </is>
      </c>
      <c r="E661" t="inlineStr">
        <is>
          <t>LINKÖPING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21782-2024</t>
        </is>
      </c>
      <c r="B662" s="1" t="n">
        <v>45442.63368055555</v>
      </c>
      <c r="C662" s="1" t="n">
        <v>45895</v>
      </c>
      <c r="D662" t="inlineStr">
        <is>
          <t>ÖSTERGÖTLANDS LÄN</t>
        </is>
      </c>
      <c r="E662" t="inlineStr">
        <is>
          <t>LINKÖPING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57766-2023</t>
        </is>
      </c>
      <c r="B663" s="1" t="n">
        <v>45246</v>
      </c>
      <c r="C663" s="1" t="n">
        <v>45895</v>
      </c>
      <c r="D663" t="inlineStr">
        <is>
          <t>ÖSTERGÖTLANDS LÄN</t>
        </is>
      </c>
      <c r="E663" t="inlineStr">
        <is>
          <t>LINKÖPING</t>
        </is>
      </c>
      <c r="F663" t="inlineStr">
        <is>
          <t>Allmännings- och besparingsskogar</t>
        </is>
      </c>
      <c r="G663" t="n">
        <v>12.8</v>
      </c>
      <c r="H663" t="n">
        <v>0</v>
      </c>
      <c r="I663" t="n">
        <v>0</v>
      </c>
      <c r="J663" t="n">
        <v>0</v>
      </c>
      <c r="K663" t="n">
        <v>0</v>
      </c>
      <c r="L663" t="n">
        <v>0</v>
      </c>
      <c r="M663" t="n">
        <v>0</v>
      </c>
      <c r="N663" t="n">
        <v>0</v>
      </c>
      <c r="O663" t="n">
        <v>0</v>
      </c>
      <c r="P663" t="n">
        <v>0</v>
      </c>
      <c r="Q663" t="n">
        <v>0</v>
      </c>
      <c r="R663" s="2" t="inlineStr"/>
    </row>
    <row r="664" ht="15" customHeight="1">
      <c r="A664" t="inlineStr">
        <is>
          <t>A 27186-2021</t>
        </is>
      </c>
      <c r="B664" s="1" t="n">
        <v>44350.67715277777</v>
      </c>
      <c r="C664" s="1" t="n">
        <v>45895</v>
      </c>
      <c r="D664" t="inlineStr">
        <is>
          <t>ÖSTERGÖTLANDS LÄN</t>
        </is>
      </c>
      <c r="E664" t="inlineStr">
        <is>
          <t>LINKÖPING</t>
        </is>
      </c>
      <c r="F664" t="inlineStr">
        <is>
          <t>Allmännings- och besparingsskogar</t>
        </is>
      </c>
      <c r="G664" t="n">
        <v>1.4</v>
      </c>
      <c r="H664" t="n">
        <v>0</v>
      </c>
      <c r="I664" t="n">
        <v>0</v>
      </c>
      <c r="J664" t="n">
        <v>0</v>
      </c>
      <c r="K664" t="n">
        <v>0</v>
      </c>
      <c r="L664" t="n">
        <v>0</v>
      </c>
      <c r="M664" t="n">
        <v>0</v>
      </c>
      <c r="N664" t="n">
        <v>0</v>
      </c>
      <c r="O664" t="n">
        <v>0</v>
      </c>
      <c r="P664" t="n">
        <v>0</v>
      </c>
      <c r="Q664" t="n">
        <v>0</v>
      </c>
      <c r="R664" s="2" t="inlineStr"/>
    </row>
    <row r="665" ht="15" customHeight="1">
      <c r="A665" t="inlineStr">
        <is>
          <t>A 10194-2023</t>
        </is>
      </c>
      <c r="B665" s="1" t="n">
        <v>44986.52277777778</v>
      </c>
      <c r="C665" s="1" t="n">
        <v>45895</v>
      </c>
      <c r="D665" t="inlineStr">
        <is>
          <t>ÖSTERGÖTLANDS LÄN</t>
        </is>
      </c>
      <c r="E665" t="inlineStr">
        <is>
          <t>LINKÖPING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55944-2024</t>
        </is>
      </c>
      <c r="B666" s="1" t="n">
        <v>45623.61640046296</v>
      </c>
      <c r="C666" s="1" t="n">
        <v>45895</v>
      </c>
      <c r="D666" t="inlineStr">
        <is>
          <t>ÖSTERGÖTLANDS LÄN</t>
        </is>
      </c>
      <c r="E666" t="inlineStr">
        <is>
          <t>LINKÖPING</t>
        </is>
      </c>
      <c r="G666" t="n">
        <v>0.8</v>
      </c>
      <c r="H666" t="n">
        <v>0</v>
      </c>
      <c r="I666" t="n">
        <v>0</v>
      </c>
      <c r="J666" t="n">
        <v>0</v>
      </c>
      <c r="K666" t="n">
        <v>0</v>
      </c>
      <c r="L666" t="n">
        <v>0</v>
      </c>
      <c r="M666" t="n">
        <v>0</v>
      </c>
      <c r="N666" t="n">
        <v>0</v>
      </c>
      <c r="O666" t="n">
        <v>0</v>
      </c>
      <c r="P666" t="n">
        <v>0</v>
      </c>
      <c r="Q666" t="n">
        <v>0</v>
      </c>
      <c r="R666" s="2" t="inlineStr"/>
    </row>
    <row r="667" ht="15" customHeight="1">
      <c r="A667" t="inlineStr">
        <is>
          <t>A 55947-2024</t>
        </is>
      </c>
      <c r="B667" s="1" t="n">
        <v>45623</v>
      </c>
      <c r="C667" s="1" t="n">
        <v>45895</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47703-2023</t>
        </is>
      </c>
      <c r="B668" s="1" t="n">
        <v>45203</v>
      </c>
      <c r="C668" s="1" t="n">
        <v>45895</v>
      </c>
      <c r="D668" t="inlineStr">
        <is>
          <t>ÖSTERGÖTLANDS LÄN</t>
        </is>
      </c>
      <c r="E668" t="inlineStr">
        <is>
          <t>LINKÖPING</t>
        </is>
      </c>
      <c r="G668" t="n">
        <v>4.1</v>
      </c>
      <c r="H668" t="n">
        <v>0</v>
      </c>
      <c r="I668" t="n">
        <v>0</v>
      </c>
      <c r="J668" t="n">
        <v>0</v>
      </c>
      <c r="K668" t="n">
        <v>0</v>
      </c>
      <c r="L668" t="n">
        <v>0</v>
      </c>
      <c r="M668" t="n">
        <v>0</v>
      </c>
      <c r="N668" t="n">
        <v>0</v>
      </c>
      <c r="O668" t="n">
        <v>0</v>
      </c>
      <c r="P668" t="n">
        <v>0</v>
      </c>
      <c r="Q668" t="n">
        <v>0</v>
      </c>
      <c r="R668" s="2" t="inlineStr"/>
    </row>
    <row r="669" ht="15" customHeight="1">
      <c r="A669" t="inlineStr">
        <is>
          <t>A 51559-2024</t>
        </is>
      </c>
      <c r="B669" s="1" t="n">
        <v>45604.61431712963</v>
      </c>
      <c r="C669" s="1" t="n">
        <v>45895</v>
      </c>
      <c r="D669" t="inlineStr">
        <is>
          <t>ÖSTERGÖTLANDS LÄN</t>
        </is>
      </c>
      <c r="E669" t="inlineStr">
        <is>
          <t>LINKÖPING</t>
        </is>
      </c>
      <c r="F669" t="inlineStr">
        <is>
          <t>Övriga Aktiebolag</t>
        </is>
      </c>
      <c r="G669" t="n">
        <v>2.4</v>
      </c>
      <c r="H669" t="n">
        <v>0</v>
      </c>
      <c r="I669" t="n">
        <v>0</v>
      </c>
      <c r="J669" t="n">
        <v>0</v>
      </c>
      <c r="K669" t="n">
        <v>0</v>
      </c>
      <c r="L669" t="n">
        <v>0</v>
      </c>
      <c r="M669" t="n">
        <v>0</v>
      </c>
      <c r="N669" t="n">
        <v>0</v>
      </c>
      <c r="O669" t="n">
        <v>0</v>
      </c>
      <c r="P669" t="n">
        <v>0</v>
      </c>
      <c r="Q669" t="n">
        <v>0</v>
      </c>
      <c r="R669" s="2" t="inlineStr"/>
    </row>
    <row r="670" ht="15" customHeight="1">
      <c r="A670" t="inlineStr">
        <is>
          <t>A 62353-2022</t>
        </is>
      </c>
      <c r="B670" s="1" t="n">
        <v>44923</v>
      </c>
      <c r="C670" s="1" t="n">
        <v>45895</v>
      </c>
      <c r="D670" t="inlineStr">
        <is>
          <t>ÖSTERGÖTLANDS LÄN</t>
        </is>
      </c>
      <c r="E670" t="inlineStr">
        <is>
          <t>LINKÖPING</t>
        </is>
      </c>
      <c r="F670" t="inlineStr">
        <is>
          <t>Allmännings- och besparingsskogar</t>
        </is>
      </c>
      <c r="G670" t="n">
        <v>1.7</v>
      </c>
      <c r="H670" t="n">
        <v>0</v>
      </c>
      <c r="I670" t="n">
        <v>0</v>
      </c>
      <c r="J670" t="n">
        <v>0</v>
      </c>
      <c r="K670" t="n">
        <v>0</v>
      </c>
      <c r="L670" t="n">
        <v>0</v>
      </c>
      <c r="M670" t="n">
        <v>0</v>
      </c>
      <c r="N670" t="n">
        <v>0</v>
      </c>
      <c r="O670" t="n">
        <v>0</v>
      </c>
      <c r="P670" t="n">
        <v>0</v>
      </c>
      <c r="Q670" t="n">
        <v>0</v>
      </c>
      <c r="R670" s="2" t="inlineStr"/>
    </row>
    <row r="671" ht="15" customHeight="1">
      <c r="A671" t="inlineStr">
        <is>
          <t>A 15754-2025</t>
        </is>
      </c>
      <c r="B671" s="1" t="n">
        <v>45748.56105324074</v>
      </c>
      <c r="C671" s="1" t="n">
        <v>45895</v>
      </c>
      <c r="D671" t="inlineStr">
        <is>
          <t>ÖSTERGÖTLANDS LÄN</t>
        </is>
      </c>
      <c r="E671" t="inlineStr">
        <is>
          <t>LINKÖPING</t>
        </is>
      </c>
      <c r="G671" t="n">
        <v>1.7</v>
      </c>
      <c r="H671" t="n">
        <v>0</v>
      </c>
      <c r="I671" t="n">
        <v>0</v>
      </c>
      <c r="J671" t="n">
        <v>0</v>
      </c>
      <c r="K671" t="n">
        <v>0</v>
      </c>
      <c r="L671" t="n">
        <v>0</v>
      </c>
      <c r="M671" t="n">
        <v>0</v>
      </c>
      <c r="N671" t="n">
        <v>0</v>
      </c>
      <c r="O671" t="n">
        <v>0</v>
      </c>
      <c r="P671" t="n">
        <v>0</v>
      </c>
      <c r="Q671" t="n">
        <v>0</v>
      </c>
      <c r="R671" s="2" t="inlineStr"/>
    </row>
    <row r="672" ht="15" customHeight="1">
      <c r="A672" t="inlineStr">
        <is>
          <t>A 4298-2023</t>
        </is>
      </c>
      <c r="B672" s="1" t="n">
        <v>44953</v>
      </c>
      <c r="C672" s="1" t="n">
        <v>45895</v>
      </c>
      <c r="D672" t="inlineStr">
        <is>
          <t>ÖSTERGÖTLANDS LÄN</t>
        </is>
      </c>
      <c r="E672" t="inlineStr">
        <is>
          <t>LINKÖPING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18145-2021</t>
        </is>
      </c>
      <c r="B673" s="1" t="n">
        <v>44302</v>
      </c>
      <c r="C673" s="1" t="n">
        <v>45895</v>
      </c>
      <c r="D673" t="inlineStr">
        <is>
          <t>ÖSTERGÖTLANDS LÄN</t>
        </is>
      </c>
      <c r="E673" t="inlineStr">
        <is>
          <t>LINKÖPING</t>
        </is>
      </c>
      <c r="G673" t="n">
        <v>2.4</v>
      </c>
      <c r="H673" t="n">
        <v>0</v>
      </c>
      <c r="I673" t="n">
        <v>0</v>
      </c>
      <c r="J673" t="n">
        <v>0</v>
      </c>
      <c r="K673" t="n">
        <v>0</v>
      </c>
      <c r="L673" t="n">
        <v>0</v>
      </c>
      <c r="M673" t="n">
        <v>0</v>
      </c>
      <c r="N673" t="n">
        <v>0</v>
      </c>
      <c r="O673" t="n">
        <v>0</v>
      </c>
      <c r="P673" t="n">
        <v>0</v>
      </c>
      <c r="Q673" t="n">
        <v>0</v>
      </c>
      <c r="R673" s="2" t="inlineStr"/>
    </row>
    <row r="674" ht="15" customHeight="1">
      <c r="A674" t="inlineStr">
        <is>
          <t>A 25568-2024</t>
        </is>
      </c>
      <c r="B674" s="1" t="n">
        <v>45463.58699074074</v>
      </c>
      <c r="C674" s="1" t="n">
        <v>45895</v>
      </c>
      <c r="D674" t="inlineStr">
        <is>
          <t>ÖSTERGÖTLANDS LÄN</t>
        </is>
      </c>
      <c r="E674" t="inlineStr">
        <is>
          <t>LINKÖPING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38136-2023</t>
        </is>
      </c>
      <c r="B675" s="1" t="n">
        <v>45161.37310185185</v>
      </c>
      <c r="C675" s="1" t="n">
        <v>45895</v>
      </c>
      <c r="D675" t="inlineStr">
        <is>
          <t>ÖSTERGÖTLANDS LÄN</t>
        </is>
      </c>
      <c r="E675" t="inlineStr">
        <is>
          <t>LINKÖPING</t>
        </is>
      </c>
      <c r="G675" t="n">
        <v>5.6</v>
      </c>
      <c r="H675" t="n">
        <v>0</v>
      </c>
      <c r="I675" t="n">
        <v>0</v>
      </c>
      <c r="J675" t="n">
        <v>0</v>
      </c>
      <c r="K675" t="n">
        <v>0</v>
      </c>
      <c r="L675" t="n">
        <v>0</v>
      </c>
      <c r="M675" t="n">
        <v>0</v>
      </c>
      <c r="N675" t="n">
        <v>0</v>
      </c>
      <c r="O675" t="n">
        <v>0</v>
      </c>
      <c r="P675" t="n">
        <v>0</v>
      </c>
      <c r="Q675" t="n">
        <v>0</v>
      </c>
      <c r="R675" s="2" t="inlineStr"/>
    </row>
    <row r="676" ht="15" customHeight="1">
      <c r="A676" t="inlineStr">
        <is>
          <t>A 12317-2025</t>
        </is>
      </c>
      <c r="B676" s="1" t="n">
        <v>45729.8487037037</v>
      </c>
      <c r="C676" s="1" t="n">
        <v>45895</v>
      </c>
      <c r="D676" t="inlineStr">
        <is>
          <t>ÖSTERGÖTLANDS LÄN</t>
        </is>
      </c>
      <c r="E676" t="inlineStr">
        <is>
          <t>LINKÖPING</t>
        </is>
      </c>
      <c r="G676" t="n">
        <v>8</v>
      </c>
      <c r="H676" t="n">
        <v>0</v>
      </c>
      <c r="I676" t="n">
        <v>0</v>
      </c>
      <c r="J676" t="n">
        <v>0</v>
      </c>
      <c r="K676" t="n">
        <v>0</v>
      </c>
      <c r="L676" t="n">
        <v>0</v>
      </c>
      <c r="M676" t="n">
        <v>0</v>
      </c>
      <c r="N676" t="n">
        <v>0</v>
      </c>
      <c r="O676" t="n">
        <v>0</v>
      </c>
      <c r="P676" t="n">
        <v>0</v>
      </c>
      <c r="Q676" t="n">
        <v>0</v>
      </c>
      <c r="R676" s="2" t="inlineStr"/>
    </row>
    <row r="677" ht="15" customHeight="1">
      <c r="A677" t="inlineStr">
        <is>
          <t>A 14528-2025</t>
        </is>
      </c>
      <c r="B677" s="1" t="n">
        <v>45741</v>
      </c>
      <c r="C677" s="1" t="n">
        <v>45895</v>
      </c>
      <c r="D677" t="inlineStr">
        <is>
          <t>ÖSTERGÖTLANDS LÄN</t>
        </is>
      </c>
      <c r="E677" t="inlineStr">
        <is>
          <t>LINKÖPING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61649-2023</t>
        </is>
      </c>
      <c r="B678" s="1" t="n">
        <v>45265</v>
      </c>
      <c r="C678" s="1" t="n">
        <v>45895</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60985-2023</t>
        </is>
      </c>
      <c r="B679" s="1" t="n">
        <v>45261.48429398148</v>
      </c>
      <c r="C679" s="1" t="n">
        <v>45895</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421-2024</t>
        </is>
      </c>
      <c r="B680" s="1" t="n">
        <v>45296.51877314815</v>
      </c>
      <c r="C680" s="1" t="n">
        <v>45895</v>
      </c>
      <c r="D680" t="inlineStr">
        <is>
          <t>ÖSTERGÖTLANDS LÄN</t>
        </is>
      </c>
      <c r="E680" t="inlineStr">
        <is>
          <t>LINKÖPING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13691-2025</t>
        </is>
      </c>
      <c r="B681" s="1" t="n">
        <v>45737.31671296297</v>
      </c>
      <c r="C681" s="1" t="n">
        <v>45895</v>
      </c>
      <c r="D681" t="inlineStr">
        <is>
          <t>ÖSTERGÖTLANDS LÄN</t>
        </is>
      </c>
      <c r="E681" t="inlineStr">
        <is>
          <t>LINKÖPING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45895</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53639-2023</t>
        </is>
      </c>
      <c r="B683" s="1" t="n">
        <v>45230.59686342593</v>
      </c>
      <c r="C683" s="1" t="n">
        <v>45895</v>
      </c>
      <c r="D683" t="inlineStr">
        <is>
          <t>ÖSTERGÖTLANDS LÄN</t>
        </is>
      </c>
      <c r="E683" t="inlineStr">
        <is>
          <t>LINKÖPING</t>
        </is>
      </c>
      <c r="G683" t="n">
        <v>2.3</v>
      </c>
      <c r="H683" t="n">
        <v>0</v>
      </c>
      <c r="I683" t="n">
        <v>0</v>
      </c>
      <c r="J683" t="n">
        <v>0</v>
      </c>
      <c r="K683" t="n">
        <v>0</v>
      </c>
      <c r="L683" t="n">
        <v>0</v>
      </c>
      <c r="M683" t="n">
        <v>0</v>
      </c>
      <c r="N683" t="n">
        <v>0</v>
      </c>
      <c r="O683" t="n">
        <v>0</v>
      </c>
      <c r="P683" t="n">
        <v>0</v>
      </c>
      <c r="Q683" t="n">
        <v>0</v>
      </c>
      <c r="R683" s="2" t="inlineStr"/>
    </row>
    <row r="684" ht="15" customHeight="1">
      <c r="A684" t="inlineStr">
        <is>
          <t>A 24467-2023</t>
        </is>
      </c>
      <c r="B684" s="1" t="n">
        <v>45082</v>
      </c>
      <c r="C684" s="1" t="n">
        <v>45895</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62488-2023</t>
        </is>
      </c>
      <c r="B685" s="1" t="n">
        <v>45268.5847337963</v>
      </c>
      <c r="C685" s="1" t="n">
        <v>45895</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62495-2023</t>
        </is>
      </c>
      <c r="B686" s="1" t="n">
        <v>45268.59717592593</v>
      </c>
      <c r="C686" s="1" t="n">
        <v>45895</v>
      </c>
      <c r="D686" t="inlineStr">
        <is>
          <t>ÖSTERGÖTLANDS LÄN</t>
        </is>
      </c>
      <c r="E686" t="inlineStr">
        <is>
          <t>LINKÖPING</t>
        </is>
      </c>
      <c r="G686" t="n">
        <v>4.1</v>
      </c>
      <c r="H686" t="n">
        <v>0</v>
      </c>
      <c r="I686" t="n">
        <v>0</v>
      </c>
      <c r="J686" t="n">
        <v>0</v>
      </c>
      <c r="K686" t="n">
        <v>0</v>
      </c>
      <c r="L686" t="n">
        <v>0</v>
      </c>
      <c r="M686" t="n">
        <v>0</v>
      </c>
      <c r="N686" t="n">
        <v>0</v>
      </c>
      <c r="O686" t="n">
        <v>0</v>
      </c>
      <c r="P686" t="n">
        <v>0</v>
      </c>
      <c r="Q686" t="n">
        <v>0</v>
      </c>
      <c r="R686" s="2" t="inlineStr"/>
    </row>
    <row r="687" ht="15" customHeight="1">
      <c r="A687" t="inlineStr">
        <is>
          <t>A 10198-2023</t>
        </is>
      </c>
      <c r="B687" s="1" t="n">
        <v>44986.54665509259</v>
      </c>
      <c r="C687" s="1" t="n">
        <v>45895</v>
      </c>
      <c r="D687" t="inlineStr">
        <is>
          <t>ÖSTERGÖTLANDS LÄN</t>
        </is>
      </c>
      <c r="E687" t="inlineStr">
        <is>
          <t>LINKÖPING</t>
        </is>
      </c>
      <c r="G687" t="n">
        <v>4.6</v>
      </c>
      <c r="H687" t="n">
        <v>0</v>
      </c>
      <c r="I687" t="n">
        <v>0</v>
      </c>
      <c r="J687" t="n">
        <v>0</v>
      </c>
      <c r="K687" t="n">
        <v>0</v>
      </c>
      <c r="L687" t="n">
        <v>0</v>
      </c>
      <c r="M687" t="n">
        <v>0</v>
      </c>
      <c r="N687" t="n">
        <v>0</v>
      </c>
      <c r="O687" t="n">
        <v>0</v>
      </c>
      <c r="P687" t="n">
        <v>0</v>
      </c>
      <c r="Q687" t="n">
        <v>0</v>
      </c>
      <c r="R687" s="2" t="inlineStr"/>
    </row>
    <row r="688" ht="15" customHeight="1">
      <c r="A688" t="inlineStr">
        <is>
          <t>A 22771-2024</t>
        </is>
      </c>
      <c r="B688" s="1" t="n">
        <v>45448.46574074074</v>
      </c>
      <c r="C688" s="1" t="n">
        <v>45895</v>
      </c>
      <c r="D688" t="inlineStr">
        <is>
          <t>ÖSTERGÖTLANDS LÄN</t>
        </is>
      </c>
      <c r="E688" t="inlineStr">
        <is>
          <t>LINKÖPING</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17128-2025</t>
        </is>
      </c>
      <c r="B689" s="1" t="n">
        <v>45755.72622685185</v>
      </c>
      <c r="C689" s="1" t="n">
        <v>45895</v>
      </c>
      <c r="D689" t="inlineStr">
        <is>
          <t>ÖSTERGÖTLANDS LÄN</t>
        </is>
      </c>
      <c r="E689" t="inlineStr">
        <is>
          <t>LINKÖPING</t>
        </is>
      </c>
      <c r="G689" t="n">
        <v>2.9</v>
      </c>
      <c r="H689" t="n">
        <v>0</v>
      </c>
      <c r="I689" t="n">
        <v>0</v>
      </c>
      <c r="J689" t="n">
        <v>0</v>
      </c>
      <c r="K689" t="n">
        <v>0</v>
      </c>
      <c r="L689" t="n">
        <v>0</v>
      </c>
      <c r="M689" t="n">
        <v>0</v>
      </c>
      <c r="N689" t="n">
        <v>0</v>
      </c>
      <c r="O689" t="n">
        <v>0</v>
      </c>
      <c r="P689" t="n">
        <v>0</v>
      </c>
      <c r="Q689" t="n">
        <v>0</v>
      </c>
      <c r="R689" s="2" t="inlineStr"/>
    </row>
    <row r="690" ht="15" customHeight="1">
      <c r="A690" t="inlineStr">
        <is>
          <t>A 62018-2024</t>
        </is>
      </c>
      <c r="B690" s="1" t="n">
        <v>45655.81387731482</v>
      </c>
      <c r="C690" s="1" t="n">
        <v>45895</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62073-2023</t>
        </is>
      </c>
      <c r="B691" s="1" t="n">
        <v>45266.73844907407</v>
      </c>
      <c r="C691" s="1" t="n">
        <v>45895</v>
      </c>
      <c r="D691" t="inlineStr">
        <is>
          <t>ÖSTERGÖTLANDS LÄN</t>
        </is>
      </c>
      <c r="E691" t="inlineStr">
        <is>
          <t>LINKÖPING</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672-2024</t>
        </is>
      </c>
      <c r="B692" s="1" t="n">
        <v>45300</v>
      </c>
      <c r="C692" s="1" t="n">
        <v>45895</v>
      </c>
      <c r="D692" t="inlineStr">
        <is>
          <t>ÖSTERGÖTLANDS LÄN</t>
        </is>
      </c>
      <c r="E692" t="inlineStr">
        <is>
          <t>LINKÖPING</t>
        </is>
      </c>
      <c r="F692" t="inlineStr">
        <is>
          <t>Sveaskog</t>
        </is>
      </c>
      <c r="G692" t="n">
        <v>4.5</v>
      </c>
      <c r="H692" t="n">
        <v>0</v>
      </c>
      <c r="I692" t="n">
        <v>0</v>
      </c>
      <c r="J692" t="n">
        <v>0</v>
      </c>
      <c r="K692" t="n">
        <v>0</v>
      </c>
      <c r="L692" t="n">
        <v>0</v>
      </c>
      <c r="M692" t="n">
        <v>0</v>
      </c>
      <c r="N692" t="n">
        <v>0</v>
      </c>
      <c r="O692" t="n">
        <v>0</v>
      </c>
      <c r="P692" t="n">
        <v>0</v>
      </c>
      <c r="Q692" t="n">
        <v>0</v>
      </c>
      <c r="R692" s="2" t="inlineStr"/>
    </row>
    <row r="693">
      <c r="A693" t="inlineStr">
        <is>
          <t>A 42832-2023</t>
        </is>
      </c>
      <c r="B693" s="1" t="n">
        <v>45182.38091435185</v>
      </c>
      <c r="C693" s="1" t="n">
        <v>45895</v>
      </c>
      <c r="D693" t="inlineStr">
        <is>
          <t>ÖSTERGÖTLANDS LÄN</t>
        </is>
      </c>
      <c r="E693" t="inlineStr">
        <is>
          <t>LINKÖPING</t>
        </is>
      </c>
      <c r="G693" t="n">
        <v>2.5</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2025-08-26T08:32:08Z</dcterms:created>
  <dcterms:modified xmlns:dcterms="http://purl.org/dc/terms/" xmlns:xsi="http://www.w3.org/2001/XMLSchema-instance" xsi:type="dcterms:W3CDTF">2025-08-26T08:32:08Z</dcterms:modified>
</cp:coreProperties>
</file>