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46003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46003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46003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46003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46003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46003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46003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46003</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56271-2021</t>
        </is>
      </c>
      <c r="B10" s="1" t="n">
        <v>44479</v>
      </c>
      <c r="C10" s="1" t="n">
        <v>46003</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40970-2021</t>
        </is>
      </c>
      <c r="B11" s="1" t="n">
        <v>44421</v>
      </c>
      <c r="C11" s="1" t="n">
        <v>46003</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17502-2022</t>
        </is>
      </c>
      <c r="B12" s="1" t="n">
        <v>44679</v>
      </c>
      <c r="C12" s="1" t="n">
        <v>46003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46003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46003</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46003</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48329-2025</t>
        </is>
      </c>
      <c r="B16" s="1" t="n">
        <v>45932</v>
      </c>
      <c r="C16" s="1" t="n">
        <v>46003</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577-2025</t>
        </is>
      </c>
      <c r="B17" s="1" t="n">
        <v>45664.56525462963</v>
      </c>
      <c r="C17" s="1" t="n">
        <v>46003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55341-2024</t>
        </is>
      </c>
      <c r="B18" s="1" t="n">
        <v>45621.71255787037</v>
      </c>
      <c r="C18" s="1" t="n">
        <v>46003</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17275-2025</t>
        </is>
      </c>
      <c r="B19" s="1" t="n">
        <v>45756.55734953703</v>
      </c>
      <c r="C19" s="1" t="n">
        <v>46003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46003</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46003</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46003</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46003</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27981-2022</t>
        </is>
      </c>
      <c r="B24" s="1" t="n">
        <v>44745</v>
      </c>
      <c r="C24" s="1" t="n">
        <v>46003</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49188-2024</t>
        </is>
      </c>
      <c r="B25" s="1" t="n">
        <v>45595</v>
      </c>
      <c r="C25" s="1" t="n">
        <v>46003</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22040-2023</t>
        </is>
      </c>
      <c r="B26" s="1" t="n">
        <v>45068</v>
      </c>
      <c r="C26" s="1" t="n">
        <v>46003</v>
      </c>
      <c r="D26" t="inlineStr">
        <is>
          <t>ÖSTERGÖTLANDS LÄN</t>
        </is>
      </c>
      <c r="E26" t="inlineStr">
        <is>
          <t>LINKÖPING</t>
        </is>
      </c>
      <c r="F26" t="inlineStr">
        <is>
          <t>Kommuner</t>
        </is>
      </c>
      <c r="G26" t="n">
        <v>1</v>
      </c>
      <c r="H26" t="n">
        <v>1</v>
      </c>
      <c r="I26" t="n">
        <v>1</v>
      </c>
      <c r="J26" t="n">
        <v>0</v>
      </c>
      <c r="K26" t="n">
        <v>1</v>
      </c>
      <c r="L26" t="n">
        <v>0</v>
      </c>
      <c r="M26" t="n">
        <v>0</v>
      </c>
      <c r="N26" t="n">
        <v>0</v>
      </c>
      <c r="O26" t="n">
        <v>1</v>
      </c>
      <c r="P26" t="n">
        <v>1</v>
      </c>
      <c r="Q26" t="n">
        <v>2</v>
      </c>
      <c r="R26" s="2" t="inlineStr">
        <is>
          <t>Bombmurkla
Skarp dropptaggsvamp</t>
        </is>
      </c>
      <c r="S26">
        <f>HYPERLINK("https://klasma.github.io/Logging_0580/artfynd/A 22040-2023 artfynd.xlsx", "A 22040-2023")</f>
        <v/>
      </c>
      <c r="T26">
        <f>HYPERLINK("https://klasma.github.io/Logging_0580/kartor/A 22040-2023 karta.png", "A 22040-2023")</f>
        <v/>
      </c>
      <c r="V26">
        <f>HYPERLINK("https://klasma.github.io/Logging_0580/klagomål/A 22040-2023 FSC-klagomål.docx", "A 22040-2023")</f>
        <v/>
      </c>
      <c r="W26">
        <f>HYPERLINK("https://klasma.github.io/Logging_0580/klagomålsmail/A 22040-2023 FSC-klagomål mail.docx", "A 22040-2023")</f>
        <v/>
      </c>
      <c r="X26">
        <f>HYPERLINK("https://klasma.github.io/Logging_0580/tillsyn/A 22040-2023 tillsynsbegäran.docx", "A 22040-2023")</f>
        <v/>
      </c>
      <c r="Y26">
        <f>HYPERLINK("https://klasma.github.io/Logging_0580/tillsynsmail/A 22040-2023 tillsynsbegäran mail.docx", "A 22040-2023")</f>
        <v/>
      </c>
    </row>
    <row r="27" ht="15" customHeight="1">
      <c r="A27" t="inlineStr">
        <is>
          <t>A 58068-2021</t>
        </is>
      </c>
      <c r="B27" s="1" t="n">
        <v>44487</v>
      </c>
      <c r="C27" s="1" t="n">
        <v>46003</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42858-2023</t>
        </is>
      </c>
      <c r="B28" s="1" t="n">
        <v>45177</v>
      </c>
      <c r="C28" s="1" t="n">
        <v>46003</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11613-2025</t>
        </is>
      </c>
      <c r="B29" s="1" t="n">
        <v>45727.44623842592</v>
      </c>
      <c r="C29" s="1" t="n">
        <v>46003</v>
      </c>
      <c r="D29" t="inlineStr">
        <is>
          <t>ÖSTERGÖTLANDS LÄN</t>
        </is>
      </c>
      <c r="E29" t="inlineStr">
        <is>
          <t>LINKÖPING</t>
        </is>
      </c>
      <c r="G29" t="n">
        <v>5.7</v>
      </c>
      <c r="H29" t="n">
        <v>1</v>
      </c>
      <c r="I29" t="n">
        <v>1</v>
      </c>
      <c r="J29" t="n">
        <v>0</v>
      </c>
      <c r="K29" t="n">
        <v>1</v>
      </c>
      <c r="L29" t="n">
        <v>0</v>
      </c>
      <c r="M29" t="n">
        <v>0</v>
      </c>
      <c r="N29" t="n">
        <v>0</v>
      </c>
      <c r="O29" t="n">
        <v>1</v>
      </c>
      <c r="P29" t="n">
        <v>1</v>
      </c>
      <c r="Q29" t="n">
        <v>2</v>
      </c>
      <c r="R29" s="2" t="inlineStr">
        <is>
          <t>Knärot
Grönpyrola</t>
        </is>
      </c>
      <c r="S29">
        <f>HYPERLINK("https://klasma.github.io/Logging_0580/artfynd/A 11613-2025 artfynd.xlsx", "A 11613-2025")</f>
        <v/>
      </c>
      <c r="T29">
        <f>HYPERLINK("https://klasma.github.io/Logging_0580/kartor/A 11613-2025 karta.png", "A 11613-2025")</f>
        <v/>
      </c>
      <c r="U29">
        <f>HYPERLINK("https://klasma.github.io/Logging_0580/knärot/A 11613-2025 karta knärot.png", "A 11613-2025")</f>
        <v/>
      </c>
      <c r="V29">
        <f>HYPERLINK("https://klasma.github.io/Logging_0580/klagomål/A 11613-2025 FSC-klagomål.docx", "A 11613-2025")</f>
        <v/>
      </c>
      <c r="W29">
        <f>HYPERLINK("https://klasma.github.io/Logging_0580/klagomålsmail/A 11613-2025 FSC-klagomål mail.docx", "A 11613-2025")</f>
        <v/>
      </c>
      <c r="X29">
        <f>HYPERLINK("https://klasma.github.io/Logging_0580/tillsyn/A 11613-2025 tillsynsbegäran.docx", "A 11613-2025")</f>
        <v/>
      </c>
      <c r="Y29">
        <f>HYPERLINK("https://klasma.github.io/Logging_0580/tillsynsmail/A 11613-2025 tillsynsbegäran mail.docx", "A 11613-2025")</f>
        <v/>
      </c>
    </row>
    <row r="30" ht="15" customHeight="1">
      <c r="A30" t="inlineStr">
        <is>
          <t>A 50404-2023</t>
        </is>
      </c>
      <c r="B30" s="1" t="n">
        <v>45216</v>
      </c>
      <c r="C30" s="1" t="n">
        <v>46003</v>
      </c>
      <c r="D30" t="inlineStr">
        <is>
          <t>ÖSTERGÖTLANDS LÄN</t>
        </is>
      </c>
      <c r="E30" t="inlineStr">
        <is>
          <t>LINKÖPING</t>
        </is>
      </c>
      <c r="G30" t="n">
        <v>1.2</v>
      </c>
      <c r="H30" t="n">
        <v>1</v>
      </c>
      <c r="I30" t="n">
        <v>1</v>
      </c>
      <c r="J30" t="n">
        <v>0</v>
      </c>
      <c r="K30" t="n">
        <v>0</v>
      </c>
      <c r="L30" t="n">
        <v>0</v>
      </c>
      <c r="M30" t="n">
        <v>0</v>
      </c>
      <c r="N30" t="n">
        <v>0</v>
      </c>
      <c r="O30" t="n">
        <v>0</v>
      </c>
      <c r="P30" t="n">
        <v>0</v>
      </c>
      <c r="Q30" t="n">
        <v>2</v>
      </c>
      <c r="R30" s="2" t="inlineStr">
        <is>
          <t>Hasselticka
Gullviva</t>
        </is>
      </c>
      <c r="S30">
        <f>HYPERLINK("https://klasma.github.io/Logging_0580/artfynd/A 50404-2023 artfynd.xlsx", "A 50404-2023")</f>
        <v/>
      </c>
      <c r="T30">
        <f>HYPERLINK("https://klasma.github.io/Logging_0580/kartor/A 50404-2023 karta.png", "A 50404-2023")</f>
        <v/>
      </c>
      <c r="V30">
        <f>HYPERLINK("https://klasma.github.io/Logging_0580/klagomål/A 50404-2023 FSC-klagomål.docx", "A 50404-2023")</f>
        <v/>
      </c>
      <c r="W30">
        <f>HYPERLINK("https://klasma.github.io/Logging_0580/klagomålsmail/A 50404-2023 FSC-klagomål mail.docx", "A 50404-2023")</f>
        <v/>
      </c>
      <c r="X30">
        <f>HYPERLINK("https://klasma.github.io/Logging_0580/tillsyn/A 50404-2023 tillsynsbegäran.docx", "A 50404-2023")</f>
        <v/>
      </c>
      <c r="Y30">
        <f>HYPERLINK("https://klasma.github.io/Logging_0580/tillsynsmail/A 50404-2023 tillsynsbegäran mail.docx", "A 50404-2023")</f>
        <v/>
      </c>
    </row>
    <row r="31" ht="15" customHeight="1">
      <c r="A31" t="inlineStr">
        <is>
          <t>A 41751-2023</t>
        </is>
      </c>
      <c r="B31" s="1" t="n">
        <v>45176</v>
      </c>
      <c r="C31" s="1" t="n">
        <v>46003</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21326-2025</t>
        </is>
      </c>
      <c r="B32" s="1" t="n">
        <v>45782.35407407407</v>
      </c>
      <c r="C32" s="1" t="n">
        <v>46003</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58068-2021</t>
        </is>
      </c>
      <c r="B33" s="1" t="n">
        <v>44487</v>
      </c>
      <c r="C33" s="1" t="n">
        <v>46003</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8818-2025</t>
        </is>
      </c>
      <c r="B34" s="1" t="n">
        <v>45712</v>
      </c>
      <c r="C34" s="1" t="n">
        <v>46003</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46003</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38913-2023</t>
        </is>
      </c>
      <c r="B36" s="1" t="n">
        <v>45163</v>
      </c>
      <c r="C36" s="1" t="n">
        <v>46003</v>
      </c>
      <c r="D36" t="inlineStr">
        <is>
          <t>ÖSTERGÖTLANDS LÄN</t>
        </is>
      </c>
      <c r="E36" t="inlineStr">
        <is>
          <t>LINKÖPING</t>
        </is>
      </c>
      <c r="G36" t="n">
        <v>2.7</v>
      </c>
      <c r="H36" t="n">
        <v>1</v>
      </c>
      <c r="I36" t="n">
        <v>1</v>
      </c>
      <c r="J36" t="n">
        <v>0</v>
      </c>
      <c r="K36" t="n">
        <v>0</v>
      </c>
      <c r="L36" t="n">
        <v>0</v>
      </c>
      <c r="M36" t="n">
        <v>0</v>
      </c>
      <c r="N36" t="n">
        <v>0</v>
      </c>
      <c r="O36" t="n">
        <v>0</v>
      </c>
      <c r="P36" t="n">
        <v>0</v>
      </c>
      <c r="Q36" t="n">
        <v>2</v>
      </c>
      <c r="R36" s="2" t="inlineStr">
        <is>
          <t>Skogsbräsma
Revlummer</t>
        </is>
      </c>
      <c r="S36">
        <f>HYPERLINK("https://klasma.github.io/Logging_0580/artfynd/A 38913-2023 artfynd.xlsx", "A 38913-2023")</f>
        <v/>
      </c>
      <c r="T36">
        <f>HYPERLINK("https://klasma.github.io/Logging_0580/kartor/A 38913-2023 karta.png", "A 38913-2023")</f>
        <v/>
      </c>
      <c r="V36">
        <f>HYPERLINK("https://klasma.github.io/Logging_0580/klagomål/A 38913-2023 FSC-klagomål.docx", "A 38913-2023")</f>
        <v/>
      </c>
      <c r="W36">
        <f>HYPERLINK("https://klasma.github.io/Logging_0580/klagomålsmail/A 38913-2023 FSC-klagomål mail.docx", "A 38913-2023")</f>
        <v/>
      </c>
      <c r="X36">
        <f>HYPERLINK("https://klasma.github.io/Logging_0580/tillsyn/A 38913-2023 tillsynsbegäran.docx", "A 38913-2023")</f>
        <v/>
      </c>
      <c r="Y36">
        <f>HYPERLINK("https://klasma.github.io/Logging_0580/tillsynsmail/A 38913-2023 tillsynsbegäran mail.docx", "A 38913-2023")</f>
        <v/>
      </c>
    </row>
    <row r="37" ht="15" customHeight="1">
      <c r="A37" t="inlineStr">
        <is>
          <t>A 55344-2024</t>
        </is>
      </c>
      <c r="B37" s="1" t="n">
        <v>45621.7202662037</v>
      </c>
      <c r="C37" s="1" t="n">
        <v>46003</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46003</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27795-2025</t>
        </is>
      </c>
      <c r="B39" s="1" t="n">
        <v>45816.7908912037</v>
      </c>
      <c r="C39" s="1" t="n">
        <v>46003</v>
      </c>
      <c r="D39" t="inlineStr">
        <is>
          <t>ÖSTERGÖTLANDS LÄN</t>
        </is>
      </c>
      <c r="E39" t="inlineStr">
        <is>
          <t>LINKÖPING</t>
        </is>
      </c>
      <c r="G39" t="n">
        <v>5</v>
      </c>
      <c r="H39" t="n">
        <v>0</v>
      </c>
      <c r="I39" t="n">
        <v>0</v>
      </c>
      <c r="J39" t="n">
        <v>2</v>
      </c>
      <c r="K39" t="n">
        <v>0</v>
      </c>
      <c r="L39" t="n">
        <v>0</v>
      </c>
      <c r="M39" t="n">
        <v>0</v>
      </c>
      <c r="N39" t="n">
        <v>0</v>
      </c>
      <c r="O39" t="n">
        <v>2</v>
      </c>
      <c r="P39" t="n">
        <v>0</v>
      </c>
      <c r="Q39" t="n">
        <v>2</v>
      </c>
      <c r="R39" s="2" t="inlineStr">
        <is>
          <t>Svinrot
Ängsskära</t>
        </is>
      </c>
      <c r="S39">
        <f>HYPERLINK("https://klasma.github.io/Logging_0580/artfynd/A 27795-2025 artfynd.xlsx", "A 27795-2025")</f>
        <v/>
      </c>
      <c r="T39">
        <f>HYPERLINK("https://klasma.github.io/Logging_0580/kartor/A 27795-2025 karta.png", "A 27795-2025")</f>
        <v/>
      </c>
      <c r="V39">
        <f>HYPERLINK("https://klasma.github.io/Logging_0580/klagomål/A 27795-2025 FSC-klagomål.docx", "A 27795-2025")</f>
        <v/>
      </c>
      <c r="W39">
        <f>HYPERLINK("https://klasma.github.io/Logging_0580/klagomålsmail/A 27795-2025 FSC-klagomål mail.docx", "A 27795-2025")</f>
        <v/>
      </c>
      <c r="X39">
        <f>HYPERLINK("https://klasma.github.io/Logging_0580/tillsyn/A 27795-2025 tillsynsbegäran.docx", "A 27795-2025")</f>
        <v/>
      </c>
      <c r="Y39">
        <f>HYPERLINK("https://klasma.github.io/Logging_0580/tillsynsmail/A 27795-2025 tillsynsbegäran mail.docx", "A 27795-2025")</f>
        <v/>
      </c>
    </row>
    <row r="40" ht="15" customHeight="1">
      <c r="A40" t="inlineStr">
        <is>
          <t>A 50048-2025</t>
        </is>
      </c>
      <c r="B40" s="1" t="n">
        <v>45941</v>
      </c>
      <c r="C40" s="1" t="n">
        <v>46003</v>
      </c>
      <c r="D40" t="inlineStr">
        <is>
          <t>ÖSTERGÖTLANDS LÄN</t>
        </is>
      </c>
      <c r="E40" t="inlineStr">
        <is>
          <t>LINKÖPING</t>
        </is>
      </c>
      <c r="G40" t="n">
        <v>2.4</v>
      </c>
      <c r="H40" t="n">
        <v>2</v>
      </c>
      <c r="I40" t="n">
        <v>0</v>
      </c>
      <c r="J40" t="n">
        <v>1</v>
      </c>
      <c r="K40" t="n">
        <v>0</v>
      </c>
      <c r="L40" t="n">
        <v>0</v>
      </c>
      <c r="M40" t="n">
        <v>0</v>
      </c>
      <c r="N40" t="n">
        <v>0</v>
      </c>
      <c r="O40" t="n">
        <v>1</v>
      </c>
      <c r="P40" t="n">
        <v>0</v>
      </c>
      <c r="Q40" t="n">
        <v>2</v>
      </c>
      <c r="R40" s="2" t="inlineStr">
        <is>
          <t>Gulsparv
Trädlärka</t>
        </is>
      </c>
      <c r="S40">
        <f>HYPERLINK("https://klasma.github.io/Logging_0580/artfynd/A 50048-2025 artfynd.xlsx", "A 50048-2025")</f>
        <v/>
      </c>
      <c r="T40">
        <f>HYPERLINK("https://klasma.github.io/Logging_0580/kartor/A 50048-2025 karta.png", "A 50048-2025")</f>
        <v/>
      </c>
      <c r="V40">
        <f>HYPERLINK("https://klasma.github.io/Logging_0580/klagomål/A 50048-2025 FSC-klagomål.docx", "A 50048-2025")</f>
        <v/>
      </c>
      <c r="W40">
        <f>HYPERLINK("https://klasma.github.io/Logging_0580/klagomålsmail/A 50048-2025 FSC-klagomål mail.docx", "A 50048-2025")</f>
        <v/>
      </c>
      <c r="X40">
        <f>HYPERLINK("https://klasma.github.io/Logging_0580/tillsyn/A 50048-2025 tillsynsbegäran.docx", "A 50048-2025")</f>
        <v/>
      </c>
      <c r="Y40">
        <f>HYPERLINK("https://klasma.github.io/Logging_0580/tillsynsmail/A 50048-2025 tillsynsbegäran mail.docx", "A 50048-2025")</f>
        <v/>
      </c>
      <c r="Z40">
        <f>HYPERLINK("https://klasma.github.io/Logging_0580/fåglar/A 50048-2025 prioriterade fågelarter.docx", "A 50048-2025")</f>
        <v/>
      </c>
    </row>
    <row r="41" ht="15" customHeight="1">
      <c r="A41" t="inlineStr">
        <is>
          <t>A 25985-2025</t>
        </is>
      </c>
      <c r="B41" s="1" t="n">
        <v>45804.64479166667</v>
      </c>
      <c r="C41" s="1" t="n">
        <v>46003</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46003</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46003</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46003</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46003</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46003</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46003</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46003</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45317-2023</t>
        </is>
      </c>
      <c r="B49" s="1" t="n">
        <v>45191.74868055555</v>
      </c>
      <c r="C49" s="1" t="n">
        <v>46003</v>
      </c>
      <c r="D49" t="inlineStr">
        <is>
          <t>ÖSTERGÖTLANDS LÄN</t>
        </is>
      </c>
      <c r="E49" t="inlineStr">
        <is>
          <t>LINKÖPING</t>
        </is>
      </c>
      <c r="F49" t="inlineStr">
        <is>
          <t>Allmännings- och besparingsskogar</t>
        </is>
      </c>
      <c r="G49" t="n">
        <v>29.3</v>
      </c>
      <c r="H49" t="n">
        <v>0</v>
      </c>
      <c r="I49" t="n">
        <v>0</v>
      </c>
      <c r="J49" t="n">
        <v>1</v>
      </c>
      <c r="K49" t="n">
        <v>0</v>
      </c>
      <c r="L49" t="n">
        <v>0</v>
      </c>
      <c r="M49" t="n">
        <v>0</v>
      </c>
      <c r="N49" t="n">
        <v>0</v>
      </c>
      <c r="O49" t="n">
        <v>1</v>
      </c>
      <c r="P49" t="n">
        <v>0</v>
      </c>
      <c r="Q49" t="n">
        <v>1</v>
      </c>
      <c r="R49" s="2" t="inlineStr">
        <is>
          <t>Svinrot</t>
        </is>
      </c>
      <c r="S49">
        <f>HYPERLINK("https://klasma.github.io/Logging_0580/artfynd/A 45317-2023 artfynd.xlsx", "A 45317-2023")</f>
        <v/>
      </c>
      <c r="T49">
        <f>HYPERLINK("https://klasma.github.io/Logging_0580/kartor/A 45317-2023 karta.png", "A 45317-2023")</f>
        <v/>
      </c>
      <c r="V49">
        <f>HYPERLINK("https://klasma.github.io/Logging_0580/klagomål/A 45317-2023 FSC-klagomål.docx", "A 45317-2023")</f>
        <v/>
      </c>
      <c r="W49">
        <f>HYPERLINK("https://klasma.github.io/Logging_0580/klagomålsmail/A 45317-2023 FSC-klagomål mail.docx", "A 45317-2023")</f>
        <v/>
      </c>
      <c r="X49">
        <f>HYPERLINK("https://klasma.github.io/Logging_0580/tillsyn/A 45317-2023 tillsynsbegäran.docx", "A 45317-2023")</f>
        <v/>
      </c>
      <c r="Y49">
        <f>HYPERLINK("https://klasma.github.io/Logging_0580/tillsynsmail/A 45317-2023 tillsynsbegäran mail.docx", "A 45317-2023")</f>
        <v/>
      </c>
    </row>
    <row r="50" ht="15" customHeight="1">
      <c r="A50" t="inlineStr">
        <is>
          <t>A 20295-2025</t>
        </is>
      </c>
      <c r="B50" s="1" t="n">
        <v>45774.74846064814</v>
      </c>
      <c r="C50" s="1" t="n">
        <v>46003</v>
      </c>
      <c r="D50" t="inlineStr">
        <is>
          <t>ÖSTERGÖTLANDS LÄN</t>
        </is>
      </c>
      <c r="E50" t="inlineStr">
        <is>
          <t>LINKÖPING</t>
        </is>
      </c>
      <c r="G50" t="n">
        <v>3</v>
      </c>
      <c r="H50" t="n">
        <v>0</v>
      </c>
      <c r="I50" t="n">
        <v>0</v>
      </c>
      <c r="J50" t="n">
        <v>1</v>
      </c>
      <c r="K50" t="n">
        <v>0</v>
      </c>
      <c r="L50" t="n">
        <v>0</v>
      </c>
      <c r="M50" t="n">
        <v>0</v>
      </c>
      <c r="N50" t="n">
        <v>0</v>
      </c>
      <c r="O50" t="n">
        <v>1</v>
      </c>
      <c r="P50" t="n">
        <v>0</v>
      </c>
      <c r="Q50" t="n">
        <v>1</v>
      </c>
      <c r="R50" s="2" t="inlineStr">
        <is>
          <t>Tallticka</t>
        </is>
      </c>
      <c r="S50">
        <f>HYPERLINK("https://klasma.github.io/Logging_0580/artfynd/A 20295-2025 artfynd.xlsx", "A 20295-2025")</f>
        <v/>
      </c>
      <c r="T50">
        <f>HYPERLINK("https://klasma.github.io/Logging_0580/kartor/A 20295-2025 karta.png", "A 20295-2025")</f>
        <v/>
      </c>
      <c r="V50">
        <f>HYPERLINK("https://klasma.github.io/Logging_0580/klagomål/A 20295-2025 FSC-klagomål.docx", "A 20295-2025")</f>
        <v/>
      </c>
      <c r="W50">
        <f>HYPERLINK("https://klasma.github.io/Logging_0580/klagomålsmail/A 20295-2025 FSC-klagomål mail.docx", "A 20295-2025")</f>
        <v/>
      </c>
      <c r="X50">
        <f>HYPERLINK("https://klasma.github.io/Logging_0580/tillsyn/A 20295-2025 tillsynsbegäran.docx", "A 20295-2025")</f>
        <v/>
      </c>
      <c r="Y50">
        <f>HYPERLINK("https://klasma.github.io/Logging_0580/tillsynsmail/A 20295-2025 tillsynsbegäran mail.docx", "A 20295-2025")</f>
        <v/>
      </c>
    </row>
    <row r="51" ht="15" customHeight="1">
      <c r="A51" t="inlineStr">
        <is>
          <t>A 37683-2024</t>
        </is>
      </c>
      <c r="B51" s="1" t="n">
        <v>45541.59120370371</v>
      </c>
      <c r="C51" s="1" t="n">
        <v>46003</v>
      </c>
      <c r="D51" t="inlineStr">
        <is>
          <t>ÖSTERGÖTLANDS LÄN</t>
        </is>
      </c>
      <c r="E51" t="inlineStr">
        <is>
          <t>LINKÖPING</t>
        </is>
      </c>
      <c r="G51" t="n">
        <v>0.6</v>
      </c>
      <c r="H51" t="n">
        <v>0</v>
      </c>
      <c r="I51" t="n">
        <v>1</v>
      </c>
      <c r="J51" t="n">
        <v>0</v>
      </c>
      <c r="K51" t="n">
        <v>0</v>
      </c>
      <c r="L51" t="n">
        <v>0</v>
      </c>
      <c r="M51" t="n">
        <v>0</v>
      </c>
      <c r="N51" t="n">
        <v>0</v>
      </c>
      <c r="O51" t="n">
        <v>0</v>
      </c>
      <c r="P51" t="n">
        <v>0</v>
      </c>
      <c r="Q51" t="n">
        <v>1</v>
      </c>
      <c r="R51" s="2" t="inlineStr">
        <is>
          <t>Tibast</t>
        </is>
      </c>
      <c r="S51">
        <f>HYPERLINK("https://klasma.github.io/Logging_0580/artfynd/A 37683-2024 artfynd.xlsx", "A 37683-2024")</f>
        <v/>
      </c>
      <c r="T51">
        <f>HYPERLINK("https://klasma.github.io/Logging_0580/kartor/A 37683-2024 karta.png", "A 37683-2024")</f>
        <v/>
      </c>
      <c r="V51">
        <f>HYPERLINK("https://klasma.github.io/Logging_0580/klagomål/A 37683-2024 FSC-klagomål.docx", "A 37683-2024")</f>
        <v/>
      </c>
      <c r="W51">
        <f>HYPERLINK("https://klasma.github.io/Logging_0580/klagomålsmail/A 37683-2024 FSC-klagomål mail.docx", "A 37683-2024")</f>
        <v/>
      </c>
      <c r="X51">
        <f>HYPERLINK("https://klasma.github.io/Logging_0580/tillsyn/A 37683-2024 tillsynsbegäran.docx", "A 37683-2024")</f>
        <v/>
      </c>
      <c r="Y51">
        <f>HYPERLINK("https://klasma.github.io/Logging_0580/tillsynsmail/A 37683-2024 tillsynsbegäran mail.docx", "A 37683-2024")</f>
        <v/>
      </c>
    </row>
    <row r="52" ht="15" customHeight="1">
      <c r="A52" t="inlineStr">
        <is>
          <t>A 50471-2024</t>
        </is>
      </c>
      <c r="B52" s="1" t="n">
        <v>45601.47166666666</v>
      </c>
      <c r="C52" s="1" t="n">
        <v>46003</v>
      </c>
      <c r="D52" t="inlineStr">
        <is>
          <t>ÖSTERGÖTLANDS LÄN</t>
        </is>
      </c>
      <c r="E52" t="inlineStr">
        <is>
          <t>LINKÖPING</t>
        </is>
      </c>
      <c r="F52" t="inlineStr">
        <is>
          <t>Övriga Aktiebolag</t>
        </is>
      </c>
      <c r="G52" t="n">
        <v>2</v>
      </c>
      <c r="H52" t="n">
        <v>0</v>
      </c>
      <c r="I52" t="n">
        <v>1</v>
      </c>
      <c r="J52" t="n">
        <v>0</v>
      </c>
      <c r="K52" t="n">
        <v>0</v>
      </c>
      <c r="L52" t="n">
        <v>0</v>
      </c>
      <c r="M52" t="n">
        <v>0</v>
      </c>
      <c r="N52" t="n">
        <v>0</v>
      </c>
      <c r="O52" t="n">
        <v>0</v>
      </c>
      <c r="P52" t="n">
        <v>0</v>
      </c>
      <c r="Q52" t="n">
        <v>1</v>
      </c>
      <c r="R52" s="2" t="inlineStr">
        <is>
          <t>Västlig hakmossa</t>
        </is>
      </c>
      <c r="S52">
        <f>HYPERLINK("https://klasma.github.io/Logging_0580/artfynd/A 50471-2024 artfynd.xlsx", "A 50471-2024")</f>
        <v/>
      </c>
      <c r="T52">
        <f>HYPERLINK("https://klasma.github.io/Logging_0580/kartor/A 50471-2024 karta.png", "A 50471-2024")</f>
        <v/>
      </c>
      <c r="V52">
        <f>HYPERLINK("https://klasma.github.io/Logging_0580/klagomål/A 50471-2024 FSC-klagomål.docx", "A 50471-2024")</f>
        <v/>
      </c>
      <c r="W52">
        <f>HYPERLINK("https://klasma.github.io/Logging_0580/klagomålsmail/A 50471-2024 FSC-klagomål mail.docx", "A 50471-2024")</f>
        <v/>
      </c>
      <c r="X52">
        <f>HYPERLINK("https://klasma.github.io/Logging_0580/tillsyn/A 50471-2024 tillsynsbegäran.docx", "A 50471-2024")</f>
        <v/>
      </c>
      <c r="Y52">
        <f>HYPERLINK("https://klasma.github.io/Logging_0580/tillsynsmail/A 50471-2024 tillsynsbegäran mail.docx", "A 50471-2024")</f>
        <v/>
      </c>
    </row>
    <row r="53" ht="15" customHeight="1">
      <c r="A53" t="inlineStr">
        <is>
          <t>A 35948-2023</t>
        </is>
      </c>
      <c r="B53" s="1" t="n">
        <v>45148</v>
      </c>
      <c r="C53" s="1" t="n">
        <v>46003</v>
      </c>
      <c r="D53" t="inlineStr">
        <is>
          <t>ÖSTERGÖTLANDS LÄN</t>
        </is>
      </c>
      <c r="E53" t="inlineStr">
        <is>
          <t>LINKÖPING</t>
        </is>
      </c>
      <c r="G53" t="n">
        <v>1.9</v>
      </c>
      <c r="H53" t="n">
        <v>0</v>
      </c>
      <c r="I53" t="n">
        <v>1</v>
      </c>
      <c r="J53" t="n">
        <v>0</v>
      </c>
      <c r="K53" t="n">
        <v>0</v>
      </c>
      <c r="L53" t="n">
        <v>0</v>
      </c>
      <c r="M53" t="n">
        <v>0</v>
      </c>
      <c r="N53" t="n">
        <v>0</v>
      </c>
      <c r="O53" t="n">
        <v>0</v>
      </c>
      <c r="P53" t="n">
        <v>0</v>
      </c>
      <c r="Q53" t="n">
        <v>1</v>
      </c>
      <c r="R53" s="2" t="inlineStr">
        <is>
          <t>Brun nållav</t>
        </is>
      </c>
      <c r="S53">
        <f>HYPERLINK("https://klasma.github.io/Logging_0580/artfynd/A 35948-2023 artfynd.xlsx", "A 35948-2023")</f>
        <v/>
      </c>
      <c r="T53">
        <f>HYPERLINK("https://klasma.github.io/Logging_0580/kartor/A 35948-2023 karta.png", "A 35948-2023")</f>
        <v/>
      </c>
      <c r="V53">
        <f>HYPERLINK("https://klasma.github.io/Logging_0580/klagomål/A 35948-2023 FSC-klagomål.docx", "A 35948-2023")</f>
        <v/>
      </c>
      <c r="W53">
        <f>HYPERLINK("https://klasma.github.io/Logging_0580/klagomålsmail/A 35948-2023 FSC-klagomål mail.docx", "A 35948-2023")</f>
        <v/>
      </c>
      <c r="X53">
        <f>HYPERLINK("https://klasma.github.io/Logging_0580/tillsyn/A 35948-2023 tillsynsbegäran.docx", "A 35948-2023")</f>
        <v/>
      </c>
      <c r="Y53">
        <f>HYPERLINK("https://klasma.github.io/Logging_0580/tillsynsmail/A 35948-2023 tillsynsbegäran mail.docx", "A 35948-2023")</f>
        <v/>
      </c>
    </row>
    <row r="54" ht="15" customHeight="1">
      <c r="A54" t="inlineStr">
        <is>
          <t>A 17389-2021</t>
        </is>
      </c>
      <c r="B54" s="1" t="n">
        <v>44298.96792824074</v>
      </c>
      <c r="C54" s="1" t="n">
        <v>46003</v>
      </c>
      <c r="D54" t="inlineStr">
        <is>
          <t>ÖSTERGÖTLANDS LÄN</t>
        </is>
      </c>
      <c r="E54" t="inlineStr">
        <is>
          <t>LINKÖPING</t>
        </is>
      </c>
      <c r="G54" t="n">
        <v>5.1</v>
      </c>
      <c r="H54" t="n">
        <v>0</v>
      </c>
      <c r="I54" t="n">
        <v>1</v>
      </c>
      <c r="J54" t="n">
        <v>0</v>
      </c>
      <c r="K54" t="n">
        <v>0</v>
      </c>
      <c r="L54" t="n">
        <v>0</v>
      </c>
      <c r="M54" t="n">
        <v>0</v>
      </c>
      <c r="N54" t="n">
        <v>0</v>
      </c>
      <c r="O54" t="n">
        <v>0</v>
      </c>
      <c r="P54" t="n">
        <v>0</v>
      </c>
      <c r="Q54" t="n">
        <v>1</v>
      </c>
      <c r="R54" s="2" t="inlineStr">
        <is>
          <t>Blomkålssvamp</t>
        </is>
      </c>
      <c r="S54">
        <f>HYPERLINK("https://klasma.github.io/Logging_0580/artfynd/A 17389-2021 artfynd.xlsx", "A 17389-2021")</f>
        <v/>
      </c>
      <c r="T54">
        <f>HYPERLINK("https://klasma.github.io/Logging_0580/kartor/A 17389-2021 karta.png", "A 17389-2021")</f>
        <v/>
      </c>
      <c r="V54">
        <f>HYPERLINK("https://klasma.github.io/Logging_0580/klagomål/A 17389-2021 FSC-klagomål.docx", "A 17389-2021")</f>
        <v/>
      </c>
      <c r="W54">
        <f>HYPERLINK("https://klasma.github.io/Logging_0580/klagomålsmail/A 17389-2021 FSC-klagomål mail.docx", "A 17389-2021")</f>
        <v/>
      </c>
      <c r="X54">
        <f>HYPERLINK("https://klasma.github.io/Logging_0580/tillsyn/A 17389-2021 tillsynsbegäran.docx", "A 17389-2021")</f>
        <v/>
      </c>
      <c r="Y54">
        <f>HYPERLINK("https://klasma.github.io/Logging_0580/tillsynsmail/A 17389-2021 tillsynsbegäran mail.docx", "A 17389-2021")</f>
        <v/>
      </c>
    </row>
    <row r="55" ht="15" customHeight="1">
      <c r="A55" t="inlineStr">
        <is>
          <t>A 50806-2023</t>
        </is>
      </c>
      <c r="B55" s="1" t="n">
        <v>45217</v>
      </c>
      <c r="C55" s="1" t="n">
        <v>46003</v>
      </c>
      <c r="D55" t="inlineStr">
        <is>
          <t>ÖSTERGÖTLANDS LÄN</t>
        </is>
      </c>
      <c r="E55" t="inlineStr">
        <is>
          <t>LINKÖPING</t>
        </is>
      </c>
      <c r="F55" t="inlineStr">
        <is>
          <t>Övriga Aktiebolag</t>
        </is>
      </c>
      <c r="G55" t="n">
        <v>0.7</v>
      </c>
      <c r="H55" t="n">
        <v>1</v>
      </c>
      <c r="I55" t="n">
        <v>0</v>
      </c>
      <c r="J55" t="n">
        <v>0</v>
      </c>
      <c r="K55" t="n">
        <v>0</v>
      </c>
      <c r="L55" t="n">
        <v>0</v>
      </c>
      <c r="M55" t="n">
        <v>0</v>
      </c>
      <c r="N55" t="n">
        <v>0</v>
      </c>
      <c r="O55" t="n">
        <v>0</v>
      </c>
      <c r="P55" t="n">
        <v>0</v>
      </c>
      <c r="Q55" t="n">
        <v>1</v>
      </c>
      <c r="R55" s="2" t="inlineStr">
        <is>
          <t>Gullviva</t>
        </is>
      </c>
      <c r="S55">
        <f>HYPERLINK("https://klasma.github.io/Logging_0580/artfynd/A 50806-2023 artfynd.xlsx", "A 50806-2023")</f>
        <v/>
      </c>
      <c r="T55">
        <f>HYPERLINK("https://klasma.github.io/Logging_0580/kartor/A 50806-2023 karta.png", "A 50806-2023")</f>
        <v/>
      </c>
      <c r="V55">
        <f>HYPERLINK("https://klasma.github.io/Logging_0580/klagomål/A 50806-2023 FSC-klagomål.docx", "A 50806-2023")</f>
        <v/>
      </c>
      <c r="W55">
        <f>HYPERLINK("https://klasma.github.io/Logging_0580/klagomålsmail/A 50806-2023 FSC-klagomål mail.docx", "A 50806-2023")</f>
        <v/>
      </c>
      <c r="X55">
        <f>HYPERLINK("https://klasma.github.io/Logging_0580/tillsyn/A 50806-2023 tillsynsbegäran.docx", "A 50806-2023")</f>
        <v/>
      </c>
      <c r="Y55">
        <f>HYPERLINK("https://klasma.github.io/Logging_0580/tillsynsmail/A 50806-2023 tillsynsbegäran mail.docx", "A 50806-2023")</f>
        <v/>
      </c>
    </row>
    <row r="56" ht="15" customHeight="1">
      <c r="A56" t="inlineStr">
        <is>
          <t>A 40315-2024</t>
        </is>
      </c>
      <c r="B56" s="1" t="n">
        <v>45554.7571875</v>
      </c>
      <c r="C56" s="1" t="n">
        <v>46003</v>
      </c>
      <c r="D56" t="inlineStr">
        <is>
          <t>ÖSTERGÖTLANDS LÄN</t>
        </is>
      </c>
      <c r="E56" t="inlineStr">
        <is>
          <t>LINKÖPING</t>
        </is>
      </c>
      <c r="F56" t="inlineStr">
        <is>
          <t>Allmännings- och besparingsskogar</t>
        </is>
      </c>
      <c r="G56" t="n">
        <v>15.8</v>
      </c>
      <c r="H56" t="n">
        <v>0</v>
      </c>
      <c r="I56" t="n">
        <v>0</v>
      </c>
      <c r="J56" t="n">
        <v>0</v>
      </c>
      <c r="K56" t="n">
        <v>0</v>
      </c>
      <c r="L56" t="n">
        <v>0</v>
      </c>
      <c r="M56" t="n">
        <v>1</v>
      </c>
      <c r="N56" t="n">
        <v>0</v>
      </c>
      <c r="O56" t="n">
        <v>1</v>
      </c>
      <c r="P56" t="n">
        <v>1</v>
      </c>
      <c r="Q56" t="n">
        <v>1</v>
      </c>
      <c r="R56" s="2" t="inlineStr">
        <is>
          <t>Skogsalm</t>
        </is>
      </c>
      <c r="S56">
        <f>HYPERLINK("https://klasma.github.io/Logging_0580/artfynd/A 40315-2024 artfynd.xlsx", "A 40315-2024")</f>
        <v/>
      </c>
      <c r="T56">
        <f>HYPERLINK("https://klasma.github.io/Logging_0580/kartor/A 40315-2024 karta.png", "A 40315-2024")</f>
        <v/>
      </c>
      <c r="V56">
        <f>HYPERLINK("https://klasma.github.io/Logging_0580/klagomål/A 40315-2024 FSC-klagomål.docx", "A 40315-2024")</f>
        <v/>
      </c>
      <c r="W56">
        <f>HYPERLINK("https://klasma.github.io/Logging_0580/klagomålsmail/A 40315-2024 FSC-klagomål mail.docx", "A 40315-2024")</f>
        <v/>
      </c>
      <c r="X56">
        <f>HYPERLINK("https://klasma.github.io/Logging_0580/tillsyn/A 40315-2024 tillsynsbegäran.docx", "A 40315-2024")</f>
        <v/>
      </c>
      <c r="Y56">
        <f>HYPERLINK("https://klasma.github.io/Logging_0580/tillsynsmail/A 40315-2024 tillsynsbegäran mail.docx", "A 40315-2024")</f>
        <v/>
      </c>
    </row>
    <row r="57" ht="15" customHeight="1">
      <c r="A57" t="inlineStr">
        <is>
          <t>A 60573-2021</t>
        </is>
      </c>
      <c r="B57" s="1" t="n">
        <v>44496</v>
      </c>
      <c r="C57" s="1" t="n">
        <v>46003</v>
      </c>
      <c r="D57" t="inlineStr">
        <is>
          <t>ÖSTERGÖTLANDS LÄN</t>
        </is>
      </c>
      <c r="E57" t="inlineStr">
        <is>
          <t>LINKÖPING</t>
        </is>
      </c>
      <c r="F57" t="inlineStr">
        <is>
          <t>Övriga Aktiebolag</t>
        </is>
      </c>
      <c r="G57" t="n">
        <v>5.6</v>
      </c>
      <c r="H57" t="n">
        <v>0</v>
      </c>
      <c r="I57" t="n">
        <v>0</v>
      </c>
      <c r="J57" t="n">
        <v>1</v>
      </c>
      <c r="K57" t="n">
        <v>0</v>
      </c>
      <c r="L57" t="n">
        <v>0</v>
      </c>
      <c r="M57" t="n">
        <v>0</v>
      </c>
      <c r="N57" t="n">
        <v>0</v>
      </c>
      <c r="O57" t="n">
        <v>1</v>
      </c>
      <c r="P57" t="n">
        <v>0</v>
      </c>
      <c r="Q57" t="n">
        <v>1</v>
      </c>
      <c r="R57" s="2" t="inlineStr">
        <is>
          <t>Sommarfibbla</t>
        </is>
      </c>
      <c r="S57">
        <f>HYPERLINK("https://klasma.github.io/Logging_0580/artfynd/A 60573-2021 artfynd.xlsx", "A 60573-2021")</f>
        <v/>
      </c>
      <c r="T57">
        <f>HYPERLINK("https://klasma.github.io/Logging_0580/kartor/A 60573-2021 karta.png", "A 60573-2021")</f>
        <v/>
      </c>
      <c r="V57">
        <f>HYPERLINK("https://klasma.github.io/Logging_0580/klagomål/A 60573-2021 FSC-klagomål.docx", "A 60573-2021")</f>
        <v/>
      </c>
      <c r="W57">
        <f>HYPERLINK("https://klasma.github.io/Logging_0580/klagomålsmail/A 60573-2021 FSC-klagomål mail.docx", "A 60573-2021")</f>
        <v/>
      </c>
      <c r="X57">
        <f>HYPERLINK("https://klasma.github.io/Logging_0580/tillsyn/A 60573-2021 tillsynsbegäran.docx", "A 60573-2021")</f>
        <v/>
      </c>
      <c r="Y57">
        <f>HYPERLINK("https://klasma.github.io/Logging_0580/tillsynsmail/A 60573-2021 tillsynsbegäran mail.docx", "A 60573-2021")</f>
        <v/>
      </c>
    </row>
    <row r="58" ht="15" customHeight="1">
      <c r="A58" t="inlineStr">
        <is>
          <t>A 56651-2023</t>
        </is>
      </c>
      <c r="B58" s="1" t="n">
        <v>45243</v>
      </c>
      <c r="C58" s="1" t="n">
        <v>46003</v>
      </c>
      <c r="D58" t="inlineStr">
        <is>
          <t>ÖSTERGÖTLANDS LÄN</t>
        </is>
      </c>
      <c r="E58" t="inlineStr">
        <is>
          <t>LINKÖPING</t>
        </is>
      </c>
      <c r="F58" t="inlineStr">
        <is>
          <t>Övriga Aktiebolag</t>
        </is>
      </c>
      <c r="G58" t="n">
        <v>2.3</v>
      </c>
      <c r="H58" t="n">
        <v>0</v>
      </c>
      <c r="I58" t="n">
        <v>0</v>
      </c>
      <c r="J58" t="n">
        <v>1</v>
      </c>
      <c r="K58" t="n">
        <v>0</v>
      </c>
      <c r="L58" t="n">
        <v>0</v>
      </c>
      <c r="M58" t="n">
        <v>0</v>
      </c>
      <c r="N58" t="n">
        <v>0</v>
      </c>
      <c r="O58" t="n">
        <v>1</v>
      </c>
      <c r="P58" t="n">
        <v>0</v>
      </c>
      <c r="Q58" t="n">
        <v>1</v>
      </c>
      <c r="R58" s="2" t="inlineStr">
        <is>
          <t>Gul dropplav</t>
        </is>
      </c>
      <c r="S58">
        <f>HYPERLINK("https://klasma.github.io/Logging_0580/artfynd/A 56651-2023 artfynd.xlsx", "A 56651-2023")</f>
        <v/>
      </c>
      <c r="T58">
        <f>HYPERLINK("https://klasma.github.io/Logging_0580/kartor/A 56651-2023 karta.png", "A 56651-2023")</f>
        <v/>
      </c>
      <c r="V58">
        <f>HYPERLINK("https://klasma.github.io/Logging_0580/klagomål/A 56651-2023 FSC-klagomål.docx", "A 56651-2023")</f>
        <v/>
      </c>
      <c r="W58">
        <f>HYPERLINK("https://klasma.github.io/Logging_0580/klagomålsmail/A 56651-2023 FSC-klagomål mail.docx", "A 56651-2023")</f>
        <v/>
      </c>
      <c r="X58">
        <f>HYPERLINK("https://klasma.github.io/Logging_0580/tillsyn/A 56651-2023 tillsynsbegäran.docx", "A 56651-2023")</f>
        <v/>
      </c>
      <c r="Y58">
        <f>HYPERLINK("https://klasma.github.io/Logging_0580/tillsynsmail/A 56651-2023 tillsynsbegäran mail.docx", "A 56651-2023")</f>
        <v/>
      </c>
    </row>
    <row r="59" ht="15" customHeight="1">
      <c r="A59" t="inlineStr">
        <is>
          <t>A 59948-2022</t>
        </is>
      </c>
      <c r="B59" s="1" t="n">
        <v>44909</v>
      </c>
      <c r="C59" s="1" t="n">
        <v>46003</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39457-2023</t>
        </is>
      </c>
      <c r="B60" s="1" t="n">
        <v>45166</v>
      </c>
      <c r="C60" s="1" t="n">
        <v>46003</v>
      </c>
      <c r="D60" t="inlineStr">
        <is>
          <t>ÖSTERGÖTLANDS LÄN</t>
        </is>
      </c>
      <c r="E60" t="inlineStr">
        <is>
          <t>LINKÖPING</t>
        </is>
      </c>
      <c r="G60" t="n">
        <v>2.1</v>
      </c>
      <c r="H60" t="n">
        <v>1</v>
      </c>
      <c r="I60" t="n">
        <v>0</v>
      </c>
      <c r="J60" t="n">
        <v>0</v>
      </c>
      <c r="K60" t="n">
        <v>0</v>
      </c>
      <c r="L60" t="n">
        <v>0</v>
      </c>
      <c r="M60" t="n">
        <v>0</v>
      </c>
      <c r="N60" t="n">
        <v>0</v>
      </c>
      <c r="O60" t="n">
        <v>0</v>
      </c>
      <c r="P60" t="n">
        <v>0</v>
      </c>
      <c r="Q60" t="n">
        <v>1</v>
      </c>
      <c r="R60" s="2" t="inlineStr">
        <is>
          <t>Sparvuggla</t>
        </is>
      </c>
      <c r="S60">
        <f>HYPERLINK("https://klasma.github.io/Logging_0580/artfynd/A 39457-2023 artfynd.xlsx", "A 39457-2023")</f>
        <v/>
      </c>
      <c r="T60">
        <f>HYPERLINK("https://klasma.github.io/Logging_0580/kartor/A 39457-2023 karta.png", "A 39457-2023")</f>
        <v/>
      </c>
      <c r="V60">
        <f>HYPERLINK("https://klasma.github.io/Logging_0580/klagomål/A 39457-2023 FSC-klagomål.docx", "A 39457-2023")</f>
        <v/>
      </c>
      <c r="W60">
        <f>HYPERLINK("https://klasma.github.io/Logging_0580/klagomålsmail/A 39457-2023 FSC-klagomål mail.docx", "A 39457-2023")</f>
        <v/>
      </c>
      <c r="X60">
        <f>HYPERLINK("https://klasma.github.io/Logging_0580/tillsyn/A 39457-2023 tillsynsbegäran.docx", "A 39457-2023")</f>
        <v/>
      </c>
      <c r="Y60">
        <f>HYPERLINK("https://klasma.github.io/Logging_0580/tillsynsmail/A 39457-2023 tillsynsbegäran mail.docx", "A 39457-2023")</f>
        <v/>
      </c>
      <c r="Z60">
        <f>HYPERLINK("https://klasma.github.io/Logging_0580/fåglar/A 39457-2023 prioriterade fågelarter.docx", "A 39457-2023")</f>
        <v/>
      </c>
    </row>
    <row r="61" ht="15" customHeight="1">
      <c r="A61" t="inlineStr">
        <is>
          <t>A 1213-2023</t>
        </is>
      </c>
      <c r="B61" s="1" t="n">
        <v>44930</v>
      </c>
      <c r="C61" s="1" t="n">
        <v>46003</v>
      </c>
      <c r="D61" t="inlineStr">
        <is>
          <t>ÖSTERGÖTLANDS LÄN</t>
        </is>
      </c>
      <c r="E61" t="inlineStr">
        <is>
          <t>LINKÖPING</t>
        </is>
      </c>
      <c r="F61" t="inlineStr">
        <is>
          <t>Övriga statliga verk och myndigheter</t>
        </is>
      </c>
      <c r="G61" t="n">
        <v>17.8</v>
      </c>
      <c r="H61" t="n">
        <v>0</v>
      </c>
      <c r="I61" t="n">
        <v>1</v>
      </c>
      <c r="J61" t="n">
        <v>0</v>
      </c>
      <c r="K61" t="n">
        <v>0</v>
      </c>
      <c r="L61" t="n">
        <v>0</v>
      </c>
      <c r="M61" t="n">
        <v>0</v>
      </c>
      <c r="N61" t="n">
        <v>0</v>
      </c>
      <c r="O61" t="n">
        <v>0</v>
      </c>
      <c r="P61" t="n">
        <v>0</v>
      </c>
      <c r="Q61" t="n">
        <v>1</v>
      </c>
      <c r="R61" s="2" t="inlineStr">
        <is>
          <t>Stubbspretmossa</t>
        </is>
      </c>
      <c r="S61">
        <f>HYPERLINK("https://klasma.github.io/Logging_0580/artfynd/A 1213-2023 artfynd.xlsx", "A 1213-2023")</f>
        <v/>
      </c>
      <c r="T61">
        <f>HYPERLINK("https://klasma.github.io/Logging_0580/kartor/A 1213-2023 karta.png", "A 1213-2023")</f>
        <v/>
      </c>
      <c r="V61">
        <f>HYPERLINK("https://klasma.github.io/Logging_0580/klagomål/A 1213-2023 FSC-klagomål.docx", "A 1213-2023")</f>
        <v/>
      </c>
      <c r="W61">
        <f>HYPERLINK("https://klasma.github.io/Logging_0580/klagomålsmail/A 1213-2023 FSC-klagomål mail.docx", "A 1213-2023")</f>
        <v/>
      </c>
      <c r="X61">
        <f>HYPERLINK("https://klasma.github.io/Logging_0580/tillsyn/A 1213-2023 tillsynsbegäran.docx", "A 1213-2023")</f>
        <v/>
      </c>
      <c r="Y61">
        <f>HYPERLINK("https://klasma.github.io/Logging_0580/tillsynsmail/A 1213-2023 tillsynsbegäran mail.docx", "A 1213-2023")</f>
        <v/>
      </c>
    </row>
    <row r="62" ht="15" customHeight="1">
      <c r="A62" t="inlineStr">
        <is>
          <t>A 62071-2023</t>
        </is>
      </c>
      <c r="B62" s="1" t="n">
        <v>45266.73542824074</v>
      </c>
      <c r="C62" s="1" t="n">
        <v>46003</v>
      </c>
      <c r="D62" t="inlineStr">
        <is>
          <t>ÖSTERGÖTLANDS LÄN</t>
        </is>
      </c>
      <c r="E62" t="inlineStr">
        <is>
          <t>LINKÖPING</t>
        </is>
      </c>
      <c r="G62" t="n">
        <v>6.5</v>
      </c>
      <c r="H62" t="n">
        <v>0</v>
      </c>
      <c r="I62" t="n">
        <v>0</v>
      </c>
      <c r="J62" t="n">
        <v>1</v>
      </c>
      <c r="K62" t="n">
        <v>0</v>
      </c>
      <c r="L62" t="n">
        <v>0</v>
      </c>
      <c r="M62" t="n">
        <v>0</v>
      </c>
      <c r="N62" t="n">
        <v>0</v>
      </c>
      <c r="O62" t="n">
        <v>1</v>
      </c>
      <c r="P62" t="n">
        <v>0</v>
      </c>
      <c r="Q62" t="n">
        <v>1</v>
      </c>
      <c r="R62" s="2" t="inlineStr">
        <is>
          <t>Svinrot</t>
        </is>
      </c>
      <c r="S62">
        <f>HYPERLINK("https://klasma.github.io/Logging_0580/artfynd/A 62071-2023 artfynd.xlsx", "A 62071-2023")</f>
        <v/>
      </c>
      <c r="T62">
        <f>HYPERLINK("https://klasma.github.io/Logging_0580/kartor/A 62071-2023 karta.png", "A 62071-2023")</f>
        <v/>
      </c>
      <c r="V62">
        <f>HYPERLINK("https://klasma.github.io/Logging_0580/klagomål/A 62071-2023 FSC-klagomål.docx", "A 62071-2023")</f>
        <v/>
      </c>
      <c r="W62">
        <f>HYPERLINK("https://klasma.github.io/Logging_0580/klagomålsmail/A 62071-2023 FSC-klagomål mail.docx", "A 62071-2023")</f>
        <v/>
      </c>
      <c r="X62">
        <f>HYPERLINK("https://klasma.github.io/Logging_0580/tillsyn/A 62071-2023 tillsynsbegäran.docx", "A 62071-2023")</f>
        <v/>
      </c>
      <c r="Y62">
        <f>HYPERLINK("https://klasma.github.io/Logging_0580/tillsynsmail/A 62071-2023 tillsynsbegäran mail.docx", "A 62071-2023")</f>
        <v/>
      </c>
    </row>
    <row r="63" ht="15" customHeight="1">
      <c r="A63" t="inlineStr">
        <is>
          <t>A 90-2024</t>
        </is>
      </c>
      <c r="B63" s="1" t="n">
        <v>45293</v>
      </c>
      <c r="C63" s="1" t="n">
        <v>46003</v>
      </c>
      <c r="D63" t="inlineStr">
        <is>
          <t>ÖSTERGÖTLANDS LÄN</t>
        </is>
      </c>
      <c r="E63" t="inlineStr">
        <is>
          <t>LINKÖPING</t>
        </is>
      </c>
      <c r="G63" t="n">
        <v>1.8</v>
      </c>
      <c r="H63" t="n">
        <v>0</v>
      </c>
      <c r="I63" t="n">
        <v>1</v>
      </c>
      <c r="J63" t="n">
        <v>0</v>
      </c>
      <c r="K63" t="n">
        <v>0</v>
      </c>
      <c r="L63" t="n">
        <v>0</v>
      </c>
      <c r="M63" t="n">
        <v>0</v>
      </c>
      <c r="N63" t="n">
        <v>0</v>
      </c>
      <c r="O63" t="n">
        <v>0</v>
      </c>
      <c r="P63" t="n">
        <v>0</v>
      </c>
      <c r="Q63" t="n">
        <v>1</v>
      </c>
      <c r="R63" s="2" t="inlineStr">
        <is>
          <t>Grov fjädermossa</t>
        </is>
      </c>
      <c r="S63">
        <f>HYPERLINK("https://klasma.github.io/Logging_0580/artfynd/A 90-2024 artfynd.xlsx", "A 90-2024")</f>
        <v/>
      </c>
      <c r="T63">
        <f>HYPERLINK("https://klasma.github.io/Logging_0580/kartor/A 90-2024 karta.png", "A 90-2024")</f>
        <v/>
      </c>
      <c r="V63">
        <f>HYPERLINK("https://klasma.github.io/Logging_0580/klagomål/A 90-2024 FSC-klagomål.docx", "A 90-2024")</f>
        <v/>
      </c>
      <c r="W63">
        <f>HYPERLINK("https://klasma.github.io/Logging_0580/klagomålsmail/A 90-2024 FSC-klagomål mail.docx", "A 90-2024")</f>
        <v/>
      </c>
      <c r="X63">
        <f>HYPERLINK("https://klasma.github.io/Logging_0580/tillsyn/A 90-2024 tillsynsbegäran.docx", "A 90-2024")</f>
        <v/>
      </c>
      <c r="Y63">
        <f>HYPERLINK("https://klasma.github.io/Logging_0580/tillsynsmail/A 90-2024 tillsynsbegäran mail.docx", "A 90-2024")</f>
        <v/>
      </c>
    </row>
    <row r="64" ht="15" customHeight="1">
      <c r="A64" t="inlineStr">
        <is>
          <t>A 17444-2025</t>
        </is>
      </c>
      <c r="B64" s="1" t="n">
        <v>45757.43452546297</v>
      </c>
      <c r="C64" s="1" t="n">
        <v>46003</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5911-2022</t>
        </is>
      </c>
      <c r="B65" s="1" t="n">
        <v>44597</v>
      </c>
      <c r="C65" s="1" t="n">
        <v>46003</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56128-2022</t>
        </is>
      </c>
      <c r="B66" s="1" t="n">
        <v>44889</v>
      </c>
      <c r="C66" s="1" t="n">
        <v>46003</v>
      </c>
      <c r="D66" t="inlineStr">
        <is>
          <t>ÖSTERGÖTLANDS LÄN</t>
        </is>
      </c>
      <c r="E66" t="inlineStr">
        <is>
          <t>LINKÖPING</t>
        </is>
      </c>
      <c r="G66" t="n">
        <v>2</v>
      </c>
      <c r="H66" t="n">
        <v>0</v>
      </c>
      <c r="I66" t="n">
        <v>1</v>
      </c>
      <c r="J66" t="n">
        <v>0</v>
      </c>
      <c r="K66" t="n">
        <v>0</v>
      </c>
      <c r="L66" t="n">
        <v>0</v>
      </c>
      <c r="M66" t="n">
        <v>0</v>
      </c>
      <c r="N66" t="n">
        <v>0</v>
      </c>
      <c r="O66" t="n">
        <v>0</v>
      </c>
      <c r="P66" t="n">
        <v>0</v>
      </c>
      <c r="Q66" t="n">
        <v>1</v>
      </c>
      <c r="R66" s="2" t="inlineStr">
        <is>
          <t>Tibast</t>
        </is>
      </c>
      <c r="S66">
        <f>HYPERLINK("https://klasma.github.io/Logging_0580/artfynd/A 56128-2022 artfynd.xlsx", "A 56128-2022")</f>
        <v/>
      </c>
      <c r="T66">
        <f>HYPERLINK("https://klasma.github.io/Logging_0580/kartor/A 56128-2022 karta.png", "A 56128-2022")</f>
        <v/>
      </c>
      <c r="V66">
        <f>HYPERLINK("https://klasma.github.io/Logging_0580/klagomål/A 56128-2022 FSC-klagomål.docx", "A 56128-2022")</f>
        <v/>
      </c>
      <c r="W66">
        <f>HYPERLINK("https://klasma.github.io/Logging_0580/klagomålsmail/A 56128-2022 FSC-klagomål mail.docx", "A 56128-2022")</f>
        <v/>
      </c>
      <c r="X66">
        <f>HYPERLINK("https://klasma.github.io/Logging_0580/tillsyn/A 56128-2022 tillsynsbegäran.docx", "A 56128-2022")</f>
        <v/>
      </c>
      <c r="Y66">
        <f>HYPERLINK("https://klasma.github.io/Logging_0580/tillsynsmail/A 56128-2022 tillsynsbegäran mail.docx", "A 56128-2022")</f>
        <v/>
      </c>
    </row>
    <row r="67" ht="15" customHeight="1">
      <c r="A67" t="inlineStr">
        <is>
          <t>A 22526-2025</t>
        </is>
      </c>
      <c r="B67" s="1" t="n">
        <v>45786.78096064815</v>
      </c>
      <c r="C67" s="1" t="n">
        <v>46003</v>
      </c>
      <c r="D67" t="inlineStr">
        <is>
          <t>ÖSTERGÖTLANDS LÄN</t>
        </is>
      </c>
      <c r="E67" t="inlineStr">
        <is>
          <t>LINKÖPING</t>
        </is>
      </c>
      <c r="G67" t="n">
        <v>1.8</v>
      </c>
      <c r="H67" t="n">
        <v>1</v>
      </c>
      <c r="I67" t="n">
        <v>0</v>
      </c>
      <c r="J67" t="n">
        <v>1</v>
      </c>
      <c r="K67" t="n">
        <v>0</v>
      </c>
      <c r="L67" t="n">
        <v>0</v>
      </c>
      <c r="M67" t="n">
        <v>0</v>
      </c>
      <c r="N67" t="n">
        <v>0</v>
      </c>
      <c r="O67" t="n">
        <v>1</v>
      </c>
      <c r="P67" t="n">
        <v>0</v>
      </c>
      <c r="Q67" t="n">
        <v>1</v>
      </c>
      <c r="R67" s="2" t="inlineStr">
        <is>
          <t>Röd skogslilja</t>
        </is>
      </c>
      <c r="S67">
        <f>HYPERLINK("https://klasma.github.io/Logging_0580/artfynd/A 22526-2025 artfynd.xlsx", "A 22526-2025")</f>
        <v/>
      </c>
      <c r="T67">
        <f>HYPERLINK("https://klasma.github.io/Logging_0580/kartor/A 22526-2025 karta.png", "A 22526-2025")</f>
        <v/>
      </c>
      <c r="V67">
        <f>HYPERLINK("https://klasma.github.io/Logging_0580/klagomål/A 22526-2025 FSC-klagomål.docx", "A 22526-2025")</f>
        <v/>
      </c>
      <c r="W67">
        <f>HYPERLINK("https://klasma.github.io/Logging_0580/klagomålsmail/A 22526-2025 FSC-klagomål mail.docx", "A 22526-2025")</f>
        <v/>
      </c>
      <c r="X67">
        <f>HYPERLINK("https://klasma.github.io/Logging_0580/tillsyn/A 22526-2025 tillsynsbegäran.docx", "A 22526-2025")</f>
        <v/>
      </c>
      <c r="Y67">
        <f>HYPERLINK("https://klasma.github.io/Logging_0580/tillsynsmail/A 22526-2025 tillsynsbegäran mail.docx", "A 22526-2025")</f>
        <v/>
      </c>
    </row>
    <row r="68" ht="15" customHeight="1">
      <c r="A68" t="inlineStr">
        <is>
          <t>A 40309-2024</t>
        </is>
      </c>
      <c r="B68" s="1" t="n">
        <v>45554.724375</v>
      </c>
      <c r="C68" s="1" t="n">
        <v>46003</v>
      </c>
      <c r="D68" t="inlineStr">
        <is>
          <t>ÖSTERGÖTLANDS LÄN</t>
        </is>
      </c>
      <c r="E68" t="inlineStr">
        <is>
          <t>LINKÖPING</t>
        </is>
      </c>
      <c r="F68" t="inlineStr">
        <is>
          <t>Allmännings- och besparingsskogar</t>
        </is>
      </c>
      <c r="G68" t="n">
        <v>6</v>
      </c>
      <c r="H68" t="n">
        <v>0</v>
      </c>
      <c r="I68" t="n">
        <v>0</v>
      </c>
      <c r="J68" t="n">
        <v>1</v>
      </c>
      <c r="K68" t="n">
        <v>0</v>
      </c>
      <c r="L68" t="n">
        <v>0</v>
      </c>
      <c r="M68" t="n">
        <v>0</v>
      </c>
      <c r="N68" t="n">
        <v>0</v>
      </c>
      <c r="O68" t="n">
        <v>1</v>
      </c>
      <c r="P68" t="n">
        <v>0</v>
      </c>
      <c r="Q68" t="n">
        <v>1</v>
      </c>
      <c r="R68" s="2" t="inlineStr">
        <is>
          <t>Garnlav</t>
        </is>
      </c>
      <c r="S68">
        <f>HYPERLINK("https://klasma.github.io/Logging_0580/artfynd/A 40309-2024 artfynd.xlsx", "A 40309-2024")</f>
        <v/>
      </c>
      <c r="T68">
        <f>HYPERLINK("https://klasma.github.io/Logging_0580/kartor/A 40309-2024 karta.png", "A 40309-2024")</f>
        <v/>
      </c>
      <c r="V68">
        <f>HYPERLINK("https://klasma.github.io/Logging_0580/klagomål/A 40309-2024 FSC-klagomål.docx", "A 40309-2024")</f>
        <v/>
      </c>
      <c r="W68">
        <f>HYPERLINK("https://klasma.github.io/Logging_0580/klagomålsmail/A 40309-2024 FSC-klagomål mail.docx", "A 40309-2024")</f>
        <v/>
      </c>
      <c r="X68">
        <f>HYPERLINK("https://klasma.github.io/Logging_0580/tillsyn/A 40309-2024 tillsynsbegäran.docx", "A 40309-2024")</f>
        <v/>
      </c>
      <c r="Y68">
        <f>HYPERLINK("https://klasma.github.io/Logging_0580/tillsynsmail/A 40309-2024 tillsynsbegäran mail.docx", "A 40309-2024")</f>
        <v/>
      </c>
    </row>
    <row r="69" ht="15" customHeight="1">
      <c r="A69" t="inlineStr">
        <is>
          <t>A 15290-2025</t>
        </is>
      </c>
      <c r="B69" s="1" t="n">
        <v>45745.45288194445</v>
      </c>
      <c r="C69" s="1" t="n">
        <v>46003</v>
      </c>
      <c r="D69" t="inlineStr">
        <is>
          <t>ÖSTERGÖTLANDS LÄN</t>
        </is>
      </c>
      <c r="E69" t="inlineStr">
        <is>
          <t>LINKÖPING</t>
        </is>
      </c>
      <c r="G69" t="n">
        <v>18.4</v>
      </c>
      <c r="H69" t="n">
        <v>1</v>
      </c>
      <c r="I69" t="n">
        <v>0</v>
      </c>
      <c r="J69" t="n">
        <v>1</v>
      </c>
      <c r="K69" t="n">
        <v>0</v>
      </c>
      <c r="L69" t="n">
        <v>0</v>
      </c>
      <c r="M69" t="n">
        <v>0</v>
      </c>
      <c r="N69" t="n">
        <v>0</v>
      </c>
      <c r="O69" t="n">
        <v>1</v>
      </c>
      <c r="P69" t="n">
        <v>0</v>
      </c>
      <c r="Q69" t="n">
        <v>1</v>
      </c>
      <c r="R69" s="2" t="inlineStr">
        <is>
          <t>Havsörn</t>
        </is>
      </c>
      <c r="S69">
        <f>HYPERLINK("https://klasma.github.io/Logging_0580/artfynd/A 15290-2025 artfynd.xlsx", "A 15290-2025")</f>
        <v/>
      </c>
      <c r="T69">
        <f>HYPERLINK("https://klasma.github.io/Logging_0580/kartor/A 15290-2025 karta.png", "A 15290-2025")</f>
        <v/>
      </c>
      <c r="V69">
        <f>HYPERLINK("https://klasma.github.io/Logging_0580/klagomål/A 15290-2025 FSC-klagomål.docx", "A 15290-2025")</f>
        <v/>
      </c>
      <c r="W69">
        <f>HYPERLINK("https://klasma.github.io/Logging_0580/klagomålsmail/A 15290-2025 FSC-klagomål mail.docx", "A 15290-2025")</f>
        <v/>
      </c>
      <c r="X69">
        <f>HYPERLINK("https://klasma.github.io/Logging_0580/tillsyn/A 15290-2025 tillsynsbegäran.docx", "A 15290-2025")</f>
        <v/>
      </c>
      <c r="Y69">
        <f>HYPERLINK("https://klasma.github.io/Logging_0580/tillsynsmail/A 15290-2025 tillsynsbegäran mail.docx", "A 15290-2025")</f>
        <v/>
      </c>
      <c r="Z69">
        <f>HYPERLINK("https://klasma.github.io/Logging_0580/fåglar/A 15290-2025 prioriterade fågelarter.docx", "A 15290-2025")</f>
        <v/>
      </c>
    </row>
    <row r="70" ht="15" customHeight="1">
      <c r="A70" t="inlineStr">
        <is>
          <t>A 41749-2023</t>
        </is>
      </c>
      <c r="B70" s="1" t="n">
        <v>45176</v>
      </c>
      <c r="C70" s="1" t="n">
        <v>46003</v>
      </c>
      <c r="D70" t="inlineStr">
        <is>
          <t>ÖSTERGÖTLANDS LÄN</t>
        </is>
      </c>
      <c r="E70" t="inlineStr">
        <is>
          <t>LINKÖPING</t>
        </is>
      </c>
      <c r="G70" t="n">
        <v>3.6</v>
      </c>
      <c r="H70" t="n">
        <v>0</v>
      </c>
      <c r="I70" t="n">
        <v>0</v>
      </c>
      <c r="J70" t="n">
        <v>1</v>
      </c>
      <c r="K70" t="n">
        <v>0</v>
      </c>
      <c r="L70" t="n">
        <v>0</v>
      </c>
      <c r="M70" t="n">
        <v>0</v>
      </c>
      <c r="N70" t="n">
        <v>0</v>
      </c>
      <c r="O70" t="n">
        <v>1</v>
      </c>
      <c r="P70" t="n">
        <v>0</v>
      </c>
      <c r="Q70" t="n">
        <v>1</v>
      </c>
      <c r="R70" s="2" t="inlineStr">
        <is>
          <t>Svinrot</t>
        </is>
      </c>
      <c r="S70">
        <f>HYPERLINK("https://klasma.github.io/Logging_0580/artfynd/A 41749-2023 artfynd.xlsx", "A 41749-2023")</f>
        <v/>
      </c>
      <c r="T70">
        <f>HYPERLINK("https://klasma.github.io/Logging_0580/kartor/A 41749-2023 karta.png", "A 41749-2023")</f>
        <v/>
      </c>
      <c r="V70">
        <f>HYPERLINK("https://klasma.github.io/Logging_0580/klagomål/A 41749-2023 FSC-klagomål.docx", "A 41749-2023")</f>
        <v/>
      </c>
      <c r="W70">
        <f>HYPERLINK("https://klasma.github.io/Logging_0580/klagomålsmail/A 41749-2023 FSC-klagomål mail.docx", "A 41749-2023")</f>
        <v/>
      </c>
      <c r="X70">
        <f>HYPERLINK("https://klasma.github.io/Logging_0580/tillsyn/A 41749-2023 tillsynsbegäran.docx", "A 41749-2023")</f>
        <v/>
      </c>
      <c r="Y70">
        <f>HYPERLINK("https://klasma.github.io/Logging_0580/tillsynsmail/A 41749-2023 tillsynsbegäran mail.docx", "A 41749-2023")</f>
        <v/>
      </c>
    </row>
    <row r="71" ht="15" customHeight="1">
      <c r="A71" t="inlineStr">
        <is>
          <t>A 54835-2023</t>
        </is>
      </c>
      <c r="B71" s="1" t="n">
        <v>45236</v>
      </c>
      <c r="C71" s="1" t="n">
        <v>46003</v>
      </c>
      <c r="D71" t="inlineStr">
        <is>
          <t>ÖSTERGÖTLANDS LÄN</t>
        </is>
      </c>
      <c r="E71" t="inlineStr">
        <is>
          <t>LINKÖPING</t>
        </is>
      </c>
      <c r="G71" t="n">
        <v>2</v>
      </c>
      <c r="H71" t="n">
        <v>1</v>
      </c>
      <c r="I71" t="n">
        <v>0</v>
      </c>
      <c r="J71" t="n">
        <v>0</v>
      </c>
      <c r="K71" t="n">
        <v>0</v>
      </c>
      <c r="L71" t="n">
        <v>0</v>
      </c>
      <c r="M71" t="n">
        <v>0</v>
      </c>
      <c r="N71" t="n">
        <v>0</v>
      </c>
      <c r="O71" t="n">
        <v>0</v>
      </c>
      <c r="P71" t="n">
        <v>0</v>
      </c>
      <c r="Q71" t="n">
        <v>1</v>
      </c>
      <c r="R71" s="2" t="inlineStr">
        <is>
          <t>Sparvuggla</t>
        </is>
      </c>
      <c r="S71">
        <f>HYPERLINK("https://klasma.github.io/Logging_0580/artfynd/A 54835-2023 artfynd.xlsx", "A 54835-2023")</f>
        <v/>
      </c>
      <c r="T71">
        <f>HYPERLINK("https://klasma.github.io/Logging_0580/kartor/A 54835-2023 karta.png", "A 54835-2023")</f>
        <v/>
      </c>
      <c r="V71">
        <f>HYPERLINK("https://klasma.github.io/Logging_0580/klagomål/A 54835-2023 FSC-klagomål.docx", "A 54835-2023")</f>
        <v/>
      </c>
      <c r="W71">
        <f>HYPERLINK("https://klasma.github.io/Logging_0580/klagomålsmail/A 54835-2023 FSC-klagomål mail.docx", "A 54835-2023")</f>
        <v/>
      </c>
      <c r="X71">
        <f>HYPERLINK("https://klasma.github.io/Logging_0580/tillsyn/A 54835-2023 tillsynsbegäran.docx", "A 54835-2023")</f>
        <v/>
      </c>
      <c r="Y71">
        <f>HYPERLINK("https://klasma.github.io/Logging_0580/tillsynsmail/A 54835-2023 tillsynsbegäran mail.docx", "A 54835-2023")</f>
        <v/>
      </c>
      <c r="Z71">
        <f>HYPERLINK("https://klasma.github.io/Logging_0580/fåglar/A 54835-2023 prioriterade fågelarter.docx", "A 54835-2023")</f>
        <v/>
      </c>
    </row>
    <row r="72" ht="15" customHeight="1">
      <c r="A72" t="inlineStr">
        <is>
          <t>A 34881-2023</t>
        </is>
      </c>
      <c r="B72" s="1" t="n">
        <v>45140</v>
      </c>
      <c r="C72" s="1" t="n">
        <v>46003</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1716-2023</t>
        </is>
      </c>
      <c r="B73" s="1" t="n">
        <v>44938</v>
      </c>
      <c r="C73" s="1" t="n">
        <v>46003</v>
      </c>
      <c r="D73" t="inlineStr">
        <is>
          <t>ÖSTERGÖTLANDS LÄN</t>
        </is>
      </c>
      <c r="E73" t="inlineStr">
        <is>
          <t>LINKÖPING</t>
        </is>
      </c>
      <c r="G73" t="n">
        <v>3.6</v>
      </c>
      <c r="H73" t="n">
        <v>0</v>
      </c>
      <c r="I73" t="n">
        <v>0</v>
      </c>
      <c r="J73" t="n">
        <v>1</v>
      </c>
      <c r="K73" t="n">
        <v>0</v>
      </c>
      <c r="L73" t="n">
        <v>0</v>
      </c>
      <c r="M73" t="n">
        <v>0</v>
      </c>
      <c r="N73" t="n">
        <v>0</v>
      </c>
      <c r="O73" t="n">
        <v>1</v>
      </c>
      <c r="P73" t="n">
        <v>0</v>
      </c>
      <c r="Q73" t="n">
        <v>1</v>
      </c>
      <c r="R73" s="2" t="inlineStr">
        <is>
          <t>Svinrot</t>
        </is>
      </c>
      <c r="S73">
        <f>HYPERLINK("https://klasma.github.io/Logging_0580/artfynd/A 1716-2023 artfynd.xlsx", "A 1716-2023")</f>
        <v/>
      </c>
      <c r="T73">
        <f>HYPERLINK("https://klasma.github.io/Logging_0580/kartor/A 1716-2023 karta.png", "A 1716-2023")</f>
        <v/>
      </c>
      <c r="V73">
        <f>HYPERLINK("https://klasma.github.io/Logging_0580/klagomål/A 1716-2023 FSC-klagomål.docx", "A 1716-2023")</f>
        <v/>
      </c>
      <c r="W73">
        <f>HYPERLINK("https://klasma.github.io/Logging_0580/klagomålsmail/A 1716-2023 FSC-klagomål mail.docx", "A 1716-2023")</f>
        <v/>
      </c>
      <c r="X73">
        <f>HYPERLINK("https://klasma.github.io/Logging_0580/tillsyn/A 1716-2023 tillsynsbegäran.docx", "A 1716-2023")</f>
        <v/>
      </c>
      <c r="Y73">
        <f>HYPERLINK("https://klasma.github.io/Logging_0580/tillsynsmail/A 1716-2023 tillsynsbegäran mail.docx", "A 1716-2023")</f>
        <v/>
      </c>
    </row>
    <row r="74" ht="15" customHeight="1">
      <c r="A74" t="inlineStr">
        <is>
          <t>A 19103-2021</t>
        </is>
      </c>
      <c r="B74" s="1" t="n">
        <v>44308</v>
      </c>
      <c r="C74" s="1" t="n">
        <v>46003</v>
      </c>
      <c r="D74" t="inlineStr">
        <is>
          <t>ÖSTERGÖTLANDS LÄN</t>
        </is>
      </c>
      <c r="E74" t="inlineStr">
        <is>
          <t>LINKÖPING</t>
        </is>
      </c>
      <c r="G74" t="n">
        <v>4.7</v>
      </c>
      <c r="H74" t="n">
        <v>0</v>
      </c>
      <c r="I74" t="n">
        <v>0</v>
      </c>
      <c r="J74" t="n">
        <v>1</v>
      </c>
      <c r="K74" t="n">
        <v>0</v>
      </c>
      <c r="L74" t="n">
        <v>0</v>
      </c>
      <c r="M74" t="n">
        <v>0</v>
      </c>
      <c r="N74" t="n">
        <v>0</v>
      </c>
      <c r="O74" t="n">
        <v>1</v>
      </c>
      <c r="P74" t="n">
        <v>0</v>
      </c>
      <c r="Q74" t="n">
        <v>1</v>
      </c>
      <c r="R74" s="2" t="inlineStr">
        <is>
          <t>Tallticka</t>
        </is>
      </c>
      <c r="S74">
        <f>HYPERLINK("https://klasma.github.io/Logging_0580/artfynd/A 19103-2021 artfynd.xlsx", "A 19103-2021")</f>
        <v/>
      </c>
      <c r="T74">
        <f>HYPERLINK("https://klasma.github.io/Logging_0580/kartor/A 19103-2021 karta.png", "A 19103-2021")</f>
        <v/>
      </c>
      <c r="V74">
        <f>HYPERLINK("https://klasma.github.io/Logging_0580/klagomål/A 19103-2021 FSC-klagomål.docx", "A 19103-2021")</f>
        <v/>
      </c>
      <c r="W74">
        <f>HYPERLINK("https://klasma.github.io/Logging_0580/klagomålsmail/A 19103-2021 FSC-klagomål mail.docx", "A 19103-2021")</f>
        <v/>
      </c>
      <c r="X74">
        <f>HYPERLINK("https://klasma.github.io/Logging_0580/tillsyn/A 19103-2021 tillsynsbegäran.docx", "A 19103-2021")</f>
        <v/>
      </c>
      <c r="Y74">
        <f>HYPERLINK("https://klasma.github.io/Logging_0580/tillsynsmail/A 19103-2021 tillsynsbegäran mail.docx", "A 19103-2021")</f>
        <v/>
      </c>
    </row>
    <row r="75" ht="15" customHeight="1">
      <c r="A75" t="inlineStr">
        <is>
          <t>A 43989-2025</t>
        </is>
      </c>
      <c r="B75" s="1" t="n">
        <v>45915.44128472222</v>
      </c>
      <c r="C75" s="1" t="n">
        <v>46003</v>
      </c>
      <c r="D75" t="inlineStr">
        <is>
          <t>ÖSTERGÖTLANDS LÄN</t>
        </is>
      </c>
      <c r="E75" t="inlineStr">
        <is>
          <t>LINKÖPING</t>
        </is>
      </c>
      <c r="F75" t="inlineStr">
        <is>
          <t>Allmännings- och besparingsskogar</t>
        </is>
      </c>
      <c r="G75" t="n">
        <v>3.5</v>
      </c>
      <c r="H75" t="n">
        <v>0</v>
      </c>
      <c r="I75" t="n">
        <v>0</v>
      </c>
      <c r="J75" t="n">
        <v>1</v>
      </c>
      <c r="K75" t="n">
        <v>0</v>
      </c>
      <c r="L75" t="n">
        <v>0</v>
      </c>
      <c r="M75" t="n">
        <v>0</v>
      </c>
      <c r="N75" t="n">
        <v>0</v>
      </c>
      <c r="O75" t="n">
        <v>1</v>
      </c>
      <c r="P75" t="n">
        <v>0</v>
      </c>
      <c r="Q75" t="n">
        <v>1</v>
      </c>
      <c r="R75" s="2" t="inlineStr">
        <is>
          <t>Kavelhirs</t>
        </is>
      </c>
      <c r="S75">
        <f>HYPERLINK("https://klasma.github.io/Logging_0580/artfynd/A 43989-2025 artfynd.xlsx", "A 43989-2025")</f>
        <v/>
      </c>
      <c r="T75">
        <f>HYPERLINK("https://klasma.github.io/Logging_0580/kartor/A 43989-2025 karta.png", "A 43989-2025")</f>
        <v/>
      </c>
      <c r="V75">
        <f>HYPERLINK("https://klasma.github.io/Logging_0580/klagomål/A 43989-2025 FSC-klagomål.docx", "A 43989-2025")</f>
        <v/>
      </c>
      <c r="W75">
        <f>HYPERLINK("https://klasma.github.io/Logging_0580/klagomålsmail/A 43989-2025 FSC-klagomål mail.docx", "A 43989-2025")</f>
        <v/>
      </c>
      <c r="X75">
        <f>HYPERLINK("https://klasma.github.io/Logging_0580/tillsyn/A 43989-2025 tillsynsbegäran.docx", "A 43989-2025")</f>
        <v/>
      </c>
      <c r="Y75">
        <f>HYPERLINK("https://klasma.github.io/Logging_0580/tillsynsmail/A 43989-2025 tillsynsbegäran mail.docx", "A 43989-2025")</f>
        <v/>
      </c>
    </row>
    <row r="76" ht="15" customHeight="1">
      <c r="A76" t="inlineStr">
        <is>
          <t>A 44760-2025</t>
        </is>
      </c>
      <c r="B76" s="1" t="n">
        <v>45917.71873842592</v>
      </c>
      <c r="C76" s="1" t="n">
        <v>46003</v>
      </c>
      <c r="D76" t="inlineStr">
        <is>
          <t>ÖSTERGÖTLANDS LÄN</t>
        </is>
      </c>
      <c r="E76" t="inlineStr">
        <is>
          <t>LINKÖPING</t>
        </is>
      </c>
      <c r="G76" t="n">
        <v>0.9</v>
      </c>
      <c r="H76" t="n">
        <v>0</v>
      </c>
      <c r="I76" t="n">
        <v>0</v>
      </c>
      <c r="J76" t="n">
        <v>1</v>
      </c>
      <c r="K76" t="n">
        <v>0</v>
      </c>
      <c r="L76" t="n">
        <v>0</v>
      </c>
      <c r="M76" t="n">
        <v>0</v>
      </c>
      <c r="N76" t="n">
        <v>0</v>
      </c>
      <c r="O76" t="n">
        <v>1</v>
      </c>
      <c r="P76" t="n">
        <v>0</v>
      </c>
      <c r="Q76" t="n">
        <v>1</v>
      </c>
      <c r="R76" s="2" t="inlineStr">
        <is>
          <t>Tallticka</t>
        </is>
      </c>
      <c r="S76">
        <f>HYPERLINK("https://klasma.github.io/Logging_0580/artfynd/A 44760-2025 artfynd.xlsx", "A 44760-2025")</f>
        <v/>
      </c>
      <c r="T76">
        <f>HYPERLINK("https://klasma.github.io/Logging_0580/kartor/A 44760-2025 karta.png", "A 44760-2025")</f>
        <v/>
      </c>
      <c r="V76">
        <f>HYPERLINK("https://klasma.github.io/Logging_0580/klagomål/A 44760-2025 FSC-klagomål.docx", "A 44760-2025")</f>
        <v/>
      </c>
      <c r="W76">
        <f>HYPERLINK("https://klasma.github.io/Logging_0580/klagomålsmail/A 44760-2025 FSC-klagomål mail.docx", "A 44760-2025")</f>
        <v/>
      </c>
      <c r="X76">
        <f>HYPERLINK("https://klasma.github.io/Logging_0580/tillsyn/A 44760-2025 tillsynsbegäran.docx", "A 44760-2025")</f>
        <v/>
      </c>
      <c r="Y76">
        <f>HYPERLINK("https://klasma.github.io/Logging_0580/tillsynsmail/A 44760-2025 tillsynsbegäran mail.docx", "A 44760-2025")</f>
        <v/>
      </c>
    </row>
    <row r="77" ht="15" customHeight="1">
      <c r="A77" t="inlineStr">
        <is>
          <t>A 931-2025</t>
        </is>
      </c>
      <c r="B77" s="1" t="n">
        <v>45665.88498842593</v>
      </c>
      <c r="C77" s="1" t="n">
        <v>46003</v>
      </c>
      <c r="D77" t="inlineStr">
        <is>
          <t>ÖSTERGÖTLANDS LÄN</t>
        </is>
      </c>
      <c r="E77" t="inlineStr">
        <is>
          <t>LINKÖPING</t>
        </is>
      </c>
      <c r="F77" t="inlineStr">
        <is>
          <t>Övriga Aktiebolag</t>
        </is>
      </c>
      <c r="G77" t="n">
        <v>0.8</v>
      </c>
      <c r="H77" t="n">
        <v>0</v>
      </c>
      <c r="I77" t="n">
        <v>0</v>
      </c>
      <c r="J77" t="n">
        <v>1</v>
      </c>
      <c r="K77" t="n">
        <v>0</v>
      </c>
      <c r="L77" t="n">
        <v>0</v>
      </c>
      <c r="M77" t="n">
        <v>0</v>
      </c>
      <c r="N77" t="n">
        <v>0</v>
      </c>
      <c r="O77" t="n">
        <v>1</v>
      </c>
      <c r="P77" t="n">
        <v>0</v>
      </c>
      <c r="Q77" t="n">
        <v>1</v>
      </c>
      <c r="R77" s="2" t="inlineStr">
        <is>
          <t>Tallticka</t>
        </is>
      </c>
      <c r="S77">
        <f>HYPERLINK("https://klasma.github.io/Logging_0580/artfynd/A 931-2025 artfynd.xlsx", "A 931-2025")</f>
        <v/>
      </c>
      <c r="T77">
        <f>HYPERLINK("https://klasma.github.io/Logging_0580/kartor/A 931-2025 karta.png", "A 931-2025")</f>
        <v/>
      </c>
      <c r="V77">
        <f>HYPERLINK("https://klasma.github.io/Logging_0580/klagomål/A 931-2025 FSC-klagomål.docx", "A 931-2025")</f>
        <v/>
      </c>
      <c r="W77">
        <f>HYPERLINK("https://klasma.github.io/Logging_0580/klagomålsmail/A 931-2025 FSC-klagomål mail.docx", "A 931-2025")</f>
        <v/>
      </c>
      <c r="X77">
        <f>HYPERLINK("https://klasma.github.io/Logging_0580/tillsyn/A 931-2025 tillsynsbegäran.docx", "A 931-2025")</f>
        <v/>
      </c>
      <c r="Y77">
        <f>HYPERLINK("https://klasma.github.io/Logging_0580/tillsynsmail/A 931-2025 tillsynsbegäran mail.docx", "A 931-2025")</f>
        <v/>
      </c>
    </row>
    <row r="78" ht="15" customHeight="1">
      <c r="A78" t="inlineStr">
        <is>
          <t>A 126-2024</t>
        </is>
      </c>
      <c r="B78" s="1" t="n">
        <v>45294</v>
      </c>
      <c r="C78" s="1" t="n">
        <v>46003</v>
      </c>
      <c r="D78" t="inlineStr">
        <is>
          <t>ÖSTERGÖTLANDS LÄN</t>
        </is>
      </c>
      <c r="E78" t="inlineStr">
        <is>
          <t>LINKÖPING</t>
        </is>
      </c>
      <c r="G78" t="n">
        <v>1</v>
      </c>
      <c r="H78" t="n">
        <v>0</v>
      </c>
      <c r="I78" t="n">
        <v>1</v>
      </c>
      <c r="J78" t="n">
        <v>0</v>
      </c>
      <c r="K78" t="n">
        <v>0</v>
      </c>
      <c r="L78" t="n">
        <v>0</v>
      </c>
      <c r="M78" t="n">
        <v>0</v>
      </c>
      <c r="N78" t="n">
        <v>0</v>
      </c>
      <c r="O78" t="n">
        <v>0</v>
      </c>
      <c r="P78" t="n">
        <v>0</v>
      </c>
      <c r="Q78" t="n">
        <v>1</v>
      </c>
      <c r="R78" s="2" t="inlineStr">
        <is>
          <t>Blåmossa</t>
        </is>
      </c>
      <c r="S78">
        <f>HYPERLINK("https://klasma.github.io/Logging_0580/artfynd/A 126-2024 artfynd.xlsx", "A 126-2024")</f>
        <v/>
      </c>
      <c r="T78">
        <f>HYPERLINK("https://klasma.github.io/Logging_0580/kartor/A 126-2024 karta.png", "A 126-2024")</f>
        <v/>
      </c>
      <c r="V78">
        <f>HYPERLINK("https://klasma.github.io/Logging_0580/klagomål/A 126-2024 FSC-klagomål.docx", "A 126-2024")</f>
        <v/>
      </c>
      <c r="W78">
        <f>HYPERLINK("https://klasma.github.io/Logging_0580/klagomålsmail/A 126-2024 FSC-klagomål mail.docx", "A 126-2024")</f>
        <v/>
      </c>
      <c r="X78">
        <f>HYPERLINK("https://klasma.github.io/Logging_0580/tillsyn/A 126-2024 tillsynsbegäran.docx", "A 126-2024")</f>
        <v/>
      </c>
      <c r="Y78">
        <f>HYPERLINK("https://klasma.github.io/Logging_0580/tillsynsmail/A 126-2024 tillsynsbegäran mail.docx", "A 126-2024")</f>
        <v/>
      </c>
    </row>
    <row r="79" ht="15" customHeight="1">
      <c r="A79" t="inlineStr">
        <is>
          <t>A 3395-2023</t>
        </is>
      </c>
      <c r="B79" s="1" t="n">
        <v>44949</v>
      </c>
      <c r="C79" s="1" t="n">
        <v>46003</v>
      </c>
      <c r="D79" t="inlineStr">
        <is>
          <t>ÖSTERGÖTLANDS LÄN</t>
        </is>
      </c>
      <c r="E79" t="inlineStr">
        <is>
          <t>LINKÖPING</t>
        </is>
      </c>
      <c r="G79" t="n">
        <v>2</v>
      </c>
      <c r="H79" t="n">
        <v>0</v>
      </c>
      <c r="I79" t="n">
        <v>0</v>
      </c>
      <c r="J79" t="n">
        <v>1</v>
      </c>
      <c r="K79" t="n">
        <v>0</v>
      </c>
      <c r="L79" t="n">
        <v>0</v>
      </c>
      <c r="M79" t="n">
        <v>0</v>
      </c>
      <c r="N79" t="n">
        <v>0</v>
      </c>
      <c r="O79" t="n">
        <v>1</v>
      </c>
      <c r="P79" t="n">
        <v>0</v>
      </c>
      <c r="Q79" t="n">
        <v>1</v>
      </c>
      <c r="R79" s="2" t="inlineStr">
        <is>
          <t>Sommarfibbla</t>
        </is>
      </c>
      <c r="S79">
        <f>HYPERLINK("https://klasma.github.io/Logging_0580/artfynd/A 3395-2023 artfynd.xlsx", "A 3395-2023")</f>
        <v/>
      </c>
      <c r="T79">
        <f>HYPERLINK("https://klasma.github.io/Logging_0580/kartor/A 3395-2023 karta.png", "A 3395-2023")</f>
        <v/>
      </c>
      <c r="V79">
        <f>HYPERLINK("https://klasma.github.io/Logging_0580/klagomål/A 3395-2023 FSC-klagomål.docx", "A 3395-2023")</f>
        <v/>
      </c>
      <c r="W79">
        <f>HYPERLINK("https://klasma.github.io/Logging_0580/klagomålsmail/A 3395-2023 FSC-klagomål mail.docx", "A 3395-2023")</f>
        <v/>
      </c>
      <c r="X79">
        <f>HYPERLINK("https://klasma.github.io/Logging_0580/tillsyn/A 3395-2023 tillsynsbegäran.docx", "A 3395-2023")</f>
        <v/>
      </c>
      <c r="Y79">
        <f>HYPERLINK("https://klasma.github.io/Logging_0580/tillsynsmail/A 3395-2023 tillsynsbegäran mail.docx", "A 3395-2023")</f>
        <v/>
      </c>
    </row>
    <row r="80" ht="15" customHeight="1">
      <c r="A80" t="inlineStr">
        <is>
          <t>A 3397-2023</t>
        </is>
      </c>
      <c r="B80" s="1" t="n">
        <v>44949</v>
      </c>
      <c r="C80" s="1" t="n">
        <v>46003</v>
      </c>
      <c r="D80" t="inlineStr">
        <is>
          <t>ÖSTERGÖTLANDS LÄN</t>
        </is>
      </c>
      <c r="E80" t="inlineStr">
        <is>
          <t>LINKÖPING</t>
        </is>
      </c>
      <c r="G80" t="n">
        <v>4.1</v>
      </c>
      <c r="H80" t="n">
        <v>0</v>
      </c>
      <c r="I80" t="n">
        <v>0</v>
      </c>
      <c r="J80" t="n">
        <v>1</v>
      </c>
      <c r="K80" t="n">
        <v>0</v>
      </c>
      <c r="L80" t="n">
        <v>0</v>
      </c>
      <c r="M80" t="n">
        <v>0</v>
      </c>
      <c r="N80" t="n">
        <v>0</v>
      </c>
      <c r="O80" t="n">
        <v>1</v>
      </c>
      <c r="P80" t="n">
        <v>0</v>
      </c>
      <c r="Q80" t="n">
        <v>1</v>
      </c>
      <c r="R80" s="2" t="inlineStr">
        <is>
          <t>Svinrot</t>
        </is>
      </c>
      <c r="S80">
        <f>HYPERLINK("https://klasma.github.io/Logging_0580/artfynd/A 3397-2023 artfynd.xlsx", "A 3397-2023")</f>
        <v/>
      </c>
      <c r="T80">
        <f>HYPERLINK("https://klasma.github.io/Logging_0580/kartor/A 3397-2023 karta.png", "A 3397-2023")</f>
        <v/>
      </c>
      <c r="V80">
        <f>HYPERLINK("https://klasma.github.io/Logging_0580/klagomål/A 3397-2023 FSC-klagomål.docx", "A 3397-2023")</f>
        <v/>
      </c>
      <c r="W80">
        <f>HYPERLINK("https://klasma.github.io/Logging_0580/klagomålsmail/A 3397-2023 FSC-klagomål mail.docx", "A 3397-2023")</f>
        <v/>
      </c>
      <c r="X80">
        <f>HYPERLINK("https://klasma.github.io/Logging_0580/tillsyn/A 3397-2023 tillsynsbegäran.docx", "A 3397-2023")</f>
        <v/>
      </c>
      <c r="Y80">
        <f>HYPERLINK("https://klasma.github.io/Logging_0580/tillsynsmail/A 3397-2023 tillsynsbegäran mail.docx", "A 3397-2023")</f>
        <v/>
      </c>
    </row>
    <row r="81" ht="15" customHeight="1">
      <c r="A81" t="inlineStr">
        <is>
          <t>A 48273-2025</t>
        </is>
      </c>
      <c r="B81" s="1" t="n">
        <v>45932</v>
      </c>
      <c r="C81" s="1" t="n">
        <v>46003</v>
      </c>
      <c r="D81" t="inlineStr">
        <is>
          <t>ÖSTERGÖTLANDS LÄN</t>
        </is>
      </c>
      <c r="E81" t="inlineStr">
        <is>
          <t>LINKÖPING</t>
        </is>
      </c>
      <c r="F81" t="inlineStr">
        <is>
          <t>Övriga Aktiebolag</t>
        </is>
      </c>
      <c r="G81" t="n">
        <v>4.6</v>
      </c>
      <c r="H81" t="n">
        <v>0</v>
      </c>
      <c r="I81" t="n">
        <v>0</v>
      </c>
      <c r="J81" t="n">
        <v>1</v>
      </c>
      <c r="K81" t="n">
        <v>0</v>
      </c>
      <c r="L81" t="n">
        <v>0</v>
      </c>
      <c r="M81" t="n">
        <v>0</v>
      </c>
      <c r="N81" t="n">
        <v>0</v>
      </c>
      <c r="O81" t="n">
        <v>1</v>
      </c>
      <c r="P81" t="n">
        <v>0</v>
      </c>
      <c r="Q81" t="n">
        <v>1</v>
      </c>
      <c r="R81" s="2" t="inlineStr">
        <is>
          <t>Barrviolspindling</t>
        </is>
      </c>
      <c r="S81">
        <f>HYPERLINK("https://klasma.github.io/Logging_0580/artfynd/A 48273-2025 artfynd.xlsx", "A 48273-2025")</f>
        <v/>
      </c>
      <c r="T81">
        <f>HYPERLINK("https://klasma.github.io/Logging_0580/kartor/A 48273-2025 karta.png", "A 48273-2025")</f>
        <v/>
      </c>
      <c r="V81">
        <f>HYPERLINK("https://klasma.github.io/Logging_0580/klagomål/A 48273-2025 FSC-klagomål.docx", "A 48273-2025")</f>
        <v/>
      </c>
      <c r="W81">
        <f>HYPERLINK("https://klasma.github.io/Logging_0580/klagomålsmail/A 48273-2025 FSC-klagomål mail.docx", "A 48273-2025")</f>
        <v/>
      </c>
      <c r="X81">
        <f>HYPERLINK("https://klasma.github.io/Logging_0580/tillsyn/A 48273-2025 tillsynsbegäran.docx", "A 48273-2025")</f>
        <v/>
      </c>
      <c r="Y81">
        <f>HYPERLINK("https://klasma.github.io/Logging_0580/tillsynsmail/A 48273-2025 tillsynsbegäran mail.docx", "A 48273-2025")</f>
        <v/>
      </c>
    </row>
    <row r="82" ht="15" customHeight="1">
      <c r="A82" t="inlineStr">
        <is>
          <t>A 48298-2025</t>
        </is>
      </c>
      <c r="B82" s="1" t="n">
        <v>45932</v>
      </c>
      <c r="C82" s="1" t="n">
        <v>46003</v>
      </c>
      <c r="D82" t="inlineStr">
        <is>
          <t>ÖSTERGÖTLANDS LÄN</t>
        </is>
      </c>
      <c r="E82" t="inlineStr">
        <is>
          <t>LINKÖPING</t>
        </is>
      </c>
      <c r="F82" t="inlineStr">
        <is>
          <t>Övriga Aktiebolag</t>
        </is>
      </c>
      <c r="G82" t="n">
        <v>1.7</v>
      </c>
      <c r="H82" t="n">
        <v>0</v>
      </c>
      <c r="I82" t="n">
        <v>1</v>
      </c>
      <c r="J82" t="n">
        <v>0</v>
      </c>
      <c r="K82" t="n">
        <v>0</v>
      </c>
      <c r="L82" t="n">
        <v>0</v>
      </c>
      <c r="M82" t="n">
        <v>0</v>
      </c>
      <c r="N82" t="n">
        <v>0</v>
      </c>
      <c r="O82" t="n">
        <v>0</v>
      </c>
      <c r="P82" t="n">
        <v>0</v>
      </c>
      <c r="Q82" t="n">
        <v>1</v>
      </c>
      <c r="R82" s="2" t="inlineStr">
        <is>
          <t>Västlig hakmossa</t>
        </is>
      </c>
      <c r="S82">
        <f>HYPERLINK("https://klasma.github.io/Logging_0580/artfynd/A 48298-2025 artfynd.xlsx", "A 48298-2025")</f>
        <v/>
      </c>
      <c r="T82">
        <f>HYPERLINK("https://klasma.github.io/Logging_0580/kartor/A 48298-2025 karta.png", "A 48298-2025")</f>
        <v/>
      </c>
      <c r="V82">
        <f>HYPERLINK("https://klasma.github.io/Logging_0580/klagomål/A 48298-2025 FSC-klagomål.docx", "A 48298-2025")</f>
        <v/>
      </c>
      <c r="W82">
        <f>HYPERLINK("https://klasma.github.io/Logging_0580/klagomålsmail/A 48298-2025 FSC-klagomål mail.docx", "A 48298-2025")</f>
        <v/>
      </c>
      <c r="X82">
        <f>HYPERLINK("https://klasma.github.io/Logging_0580/tillsyn/A 48298-2025 tillsynsbegäran.docx", "A 48298-2025")</f>
        <v/>
      </c>
      <c r="Y82">
        <f>HYPERLINK("https://klasma.github.io/Logging_0580/tillsynsmail/A 48298-2025 tillsynsbegäran mail.docx", "A 48298-2025")</f>
        <v/>
      </c>
    </row>
    <row r="83" ht="15" customHeight="1">
      <c r="A83" t="inlineStr">
        <is>
          <t>A 48353-2025</t>
        </is>
      </c>
      <c r="B83" s="1" t="n">
        <v>45932</v>
      </c>
      <c r="C83" s="1" t="n">
        <v>46003</v>
      </c>
      <c r="D83" t="inlineStr">
        <is>
          <t>ÖSTERGÖTLANDS LÄN</t>
        </is>
      </c>
      <c r="E83" t="inlineStr">
        <is>
          <t>LINKÖPING</t>
        </is>
      </c>
      <c r="F83" t="inlineStr">
        <is>
          <t>Övriga Aktiebolag</t>
        </is>
      </c>
      <c r="G83" t="n">
        <v>4.5</v>
      </c>
      <c r="H83" t="n">
        <v>1</v>
      </c>
      <c r="I83" t="n">
        <v>0</v>
      </c>
      <c r="J83" t="n">
        <v>1</v>
      </c>
      <c r="K83" t="n">
        <v>0</v>
      </c>
      <c r="L83" t="n">
        <v>0</v>
      </c>
      <c r="M83" t="n">
        <v>0</v>
      </c>
      <c r="N83" t="n">
        <v>0</v>
      </c>
      <c r="O83" t="n">
        <v>1</v>
      </c>
      <c r="P83" t="n">
        <v>0</v>
      </c>
      <c r="Q83" t="n">
        <v>1</v>
      </c>
      <c r="R83" s="2" t="inlineStr">
        <is>
          <t>Entita</t>
        </is>
      </c>
      <c r="S83">
        <f>HYPERLINK("https://klasma.github.io/Logging_0580/artfynd/A 48353-2025 artfynd.xlsx", "A 48353-2025")</f>
        <v/>
      </c>
      <c r="T83">
        <f>HYPERLINK("https://klasma.github.io/Logging_0580/kartor/A 48353-2025 karta.png", "A 48353-2025")</f>
        <v/>
      </c>
      <c r="V83">
        <f>HYPERLINK("https://klasma.github.io/Logging_0580/klagomål/A 48353-2025 FSC-klagomål.docx", "A 48353-2025")</f>
        <v/>
      </c>
      <c r="W83">
        <f>HYPERLINK("https://klasma.github.io/Logging_0580/klagomålsmail/A 48353-2025 FSC-klagomål mail.docx", "A 48353-2025")</f>
        <v/>
      </c>
      <c r="X83">
        <f>HYPERLINK("https://klasma.github.io/Logging_0580/tillsyn/A 48353-2025 tillsynsbegäran.docx", "A 48353-2025")</f>
        <v/>
      </c>
      <c r="Y83">
        <f>HYPERLINK("https://klasma.github.io/Logging_0580/tillsynsmail/A 48353-2025 tillsynsbegäran mail.docx", "A 48353-2025")</f>
        <v/>
      </c>
      <c r="Z83">
        <f>HYPERLINK("https://klasma.github.io/Logging_0580/fåglar/A 48353-2025 prioriterade fågelarter.docx", "A 48353-2025")</f>
        <v/>
      </c>
    </row>
    <row r="84" ht="15" customHeight="1">
      <c r="A84" t="inlineStr">
        <is>
          <t>A 56112-2025</t>
        </is>
      </c>
      <c r="B84" s="1" t="n">
        <v>45973.73625</v>
      </c>
      <c r="C84" s="1" t="n">
        <v>46003</v>
      </c>
      <c r="D84" t="inlineStr">
        <is>
          <t>ÖSTERGÖTLANDS LÄN</t>
        </is>
      </c>
      <c r="E84" t="inlineStr">
        <is>
          <t>LINKÖPING</t>
        </is>
      </c>
      <c r="G84" t="n">
        <v>0.6</v>
      </c>
      <c r="H84" t="n">
        <v>0</v>
      </c>
      <c r="I84" t="n">
        <v>0</v>
      </c>
      <c r="J84" t="n">
        <v>1</v>
      </c>
      <c r="K84" t="n">
        <v>0</v>
      </c>
      <c r="L84" t="n">
        <v>0</v>
      </c>
      <c r="M84" t="n">
        <v>0</v>
      </c>
      <c r="N84" t="n">
        <v>0</v>
      </c>
      <c r="O84" t="n">
        <v>1</v>
      </c>
      <c r="P84" t="n">
        <v>0</v>
      </c>
      <c r="Q84" t="n">
        <v>1</v>
      </c>
      <c r="R84" s="2" t="inlineStr">
        <is>
          <t>Solvända</t>
        </is>
      </c>
      <c r="S84">
        <f>HYPERLINK("https://klasma.github.io/Logging_0580/artfynd/A 56112-2025 artfynd.xlsx", "A 56112-2025")</f>
        <v/>
      </c>
      <c r="T84">
        <f>HYPERLINK("https://klasma.github.io/Logging_0580/kartor/A 56112-2025 karta.png", "A 56112-2025")</f>
        <v/>
      </c>
      <c r="V84">
        <f>HYPERLINK("https://klasma.github.io/Logging_0580/klagomål/A 56112-2025 FSC-klagomål.docx", "A 56112-2025")</f>
        <v/>
      </c>
      <c r="W84">
        <f>HYPERLINK("https://klasma.github.io/Logging_0580/klagomålsmail/A 56112-2025 FSC-klagomål mail.docx", "A 56112-2025")</f>
        <v/>
      </c>
      <c r="X84">
        <f>HYPERLINK("https://klasma.github.io/Logging_0580/tillsyn/A 56112-2025 tillsynsbegäran.docx", "A 56112-2025")</f>
        <v/>
      </c>
      <c r="Y84">
        <f>HYPERLINK("https://klasma.github.io/Logging_0580/tillsynsmail/A 56112-2025 tillsynsbegäran mail.docx", "A 56112-2025")</f>
        <v/>
      </c>
    </row>
    <row r="85" ht="15" customHeight="1">
      <c r="A85" t="inlineStr">
        <is>
          <t>A 27403-2025</t>
        </is>
      </c>
      <c r="B85" s="1" t="n">
        <v>45812.72518518518</v>
      </c>
      <c r="C85" s="1" t="n">
        <v>46003</v>
      </c>
      <c r="D85" t="inlineStr">
        <is>
          <t>ÖSTERGÖTLANDS LÄN</t>
        </is>
      </c>
      <c r="E85" t="inlineStr">
        <is>
          <t>LINKÖPING</t>
        </is>
      </c>
      <c r="G85" t="n">
        <v>1.4</v>
      </c>
      <c r="H85" t="n">
        <v>0</v>
      </c>
      <c r="I85" t="n">
        <v>0</v>
      </c>
      <c r="J85" t="n">
        <v>1</v>
      </c>
      <c r="K85" t="n">
        <v>0</v>
      </c>
      <c r="L85" t="n">
        <v>0</v>
      </c>
      <c r="M85" t="n">
        <v>0</v>
      </c>
      <c r="N85" t="n">
        <v>0</v>
      </c>
      <c r="O85" t="n">
        <v>1</v>
      </c>
      <c r="P85" t="n">
        <v>0</v>
      </c>
      <c r="Q85" t="n">
        <v>1</v>
      </c>
      <c r="R85" s="2" t="inlineStr">
        <is>
          <t>Tallticka</t>
        </is>
      </c>
      <c r="S85">
        <f>HYPERLINK("https://klasma.github.io/Logging_0580/artfynd/A 27403-2025 artfynd.xlsx", "A 27403-2025")</f>
        <v/>
      </c>
      <c r="T85">
        <f>HYPERLINK("https://klasma.github.io/Logging_0580/kartor/A 27403-2025 karta.png", "A 27403-2025")</f>
        <v/>
      </c>
      <c r="V85">
        <f>HYPERLINK("https://klasma.github.io/Logging_0580/klagomål/A 27403-2025 FSC-klagomål.docx", "A 27403-2025")</f>
        <v/>
      </c>
      <c r="W85">
        <f>HYPERLINK("https://klasma.github.io/Logging_0580/klagomålsmail/A 27403-2025 FSC-klagomål mail.docx", "A 27403-2025")</f>
        <v/>
      </c>
      <c r="X85">
        <f>HYPERLINK("https://klasma.github.io/Logging_0580/tillsyn/A 27403-2025 tillsynsbegäran.docx", "A 27403-2025")</f>
        <v/>
      </c>
      <c r="Y85">
        <f>HYPERLINK("https://klasma.github.io/Logging_0580/tillsynsmail/A 27403-2025 tillsynsbegäran mail.docx", "A 27403-2025")</f>
        <v/>
      </c>
    </row>
    <row r="86" ht="15" customHeight="1">
      <c r="A86" t="inlineStr">
        <is>
          <t>A 48347-2025</t>
        </is>
      </c>
      <c r="B86" s="1" t="n">
        <v>45932</v>
      </c>
      <c r="C86" s="1" t="n">
        <v>46003</v>
      </c>
      <c r="D86" t="inlineStr">
        <is>
          <t>ÖSTERGÖTLANDS LÄN</t>
        </is>
      </c>
      <c r="E86" t="inlineStr">
        <is>
          <t>LINKÖPING</t>
        </is>
      </c>
      <c r="F86" t="inlineStr">
        <is>
          <t>Övriga Aktiebolag</t>
        </is>
      </c>
      <c r="G86" t="n">
        <v>0.9</v>
      </c>
      <c r="H86" t="n">
        <v>0</v>
      </c>
      <c r="I86" t="n">
        <v>0</v>
      </c>
      <c r="J86" t="n">
        <v>1</v>
      </c>
      <c r="K86" t="n">
        <v>0</v>
      </c>
      <c r="L86" t="n">
        <v>0</v>
      </c>
      <c r="M86" t="n">
        <v>0</v>
      </c>
      <c r="N86" t="n">
        <v>0</v>
      </c>
      <c r="O86" t="n">
        <v>1</v>
      </c>
      <c r="P86" t="n">
        <v>0</v>
      </c>
      <c r="Q86" t="n">
        <v>1</v>
      </c>
      <c r="R86" s="2" t="inlineStr">
        <is>
          <t>Igelkott</t>
        </is>
      </c>
      <c r="S86">
        <f>HYPERLINK("https://klasma.github.io/Logging_0580/artfynd/A 48347-2025 artfynd.xlsx", "A 48347-2025")</f>
        <v/>
      </c>
      <c r="T86">
        <f>HYPERLINK("https://klasma.github.io/Logging_0580/kartor/A 48347-2025 karta.png", "A 48347-2025")</f>
        <v/>
      </c>
      <c r="V86">
        <f>HYPERLINK("https://klasma.github.io/Logging_0580/klagomål/A 48347-2025 FSC-klagomål.docx", "A 48347-2025")</f>
        <v/>
      </c>
      <c r="W86">
        <f>HYPERLINK("https://klasma.github.io/Logging_0580/klagomålsmail/A 48347-2025 FSC-klagomål mail.docx", "A 48347-2025")</f>
        <v/>
      </c>
      <c r="X86">
        <f>HYPERLINK("https://klasma.github.io/Logging_0580/tillsyn/A 48347-2025 tillsynsbegäran.docx", "A 48347-2025")</f>
        <v/>
      </c>
      <c r="Y86">
        <f>HYPERLINK("https://klasma.github.io/Logging_0580/tillsynsmail/A 48347-2025 tillsynsbegäran mail.docx", "A 48347-2025")</f>
        <v/>
      </c>
    </row>
    <row r="87" ht="15" customHeight="1">
      <c r="A87" t="inlineStr">
        <is>
          <t>A 50034-2025</t>
        </is>
      </c>
      <c r="B87" s="1" t="n">
        <v>45941</v>
      </c>
      <c r="C87" s="1" t="n">
        <v>46003</v>
      </c>
      <c r="D87" t="inlineStr">
        <is>
          <t>ÖSTERGÖTLANDS LÄN</t>
        </is>
      </c>
      <c r="E87" t="inlineStr">
        <is>
          <t>LINKÖPING</t>
        </is>
      </c>
      <c r="G87" t="n">
        <v>6.2</v>
      </c>
      <c r="H87" t="n">
        <v>0</v>
      </c>
      <c r="I87" t="n">
        <v>0</v>
      </c>
      <c r="J87" t="n">
        <v>0</v>
      </c>
      <c r="K87" t="n">
        <v>0</v>
      </c>
      <c r="L87" t="n">
        <v>0</v>
      </c>
      <c r="M87" t="n">
        <v>1</v>
      </c>
      <c r="N87" t="n">
        <v>0</v>
      </c>
      <c r="O87" t="n">
        <v>1</v>
      </c>
      <c r="P87" t="n">
        <v>1</v>
      </c>
      <c r="Q87" t="n">
        <v>1</v>
      </c>
      <c r="R87" s="2" t="inlineStr">
        <is>
          <t>Skogsalm</t>
        </is>
      </c>
      <c r="S87">
        <f>HYPERLINK("https://klasma.github.io/Logging_0580/artfynd/A 50034-2025 artfynd.xlsx", "A 50034-2025")</f>
        <v/>
      </c>
      <c r="T87">
        <f>HYPERLINK("https://klasma.github.io/Logging_0580/kartor/A 50034-2025 karta.png", "A 50034-2025")</f>
        <v/>
      </c>
      <c r="V87">
        <f>HYPERLINK("https://klasma.github.io/Logging_0580/klagomål/A 50034-2025 FSC-klagomål.docx", "A 50034-2025")</f>
        <v/>
      </c>
      <c r="W87">
        <f>HYPERLINK("https://klasma.github.io/Logging_0580/klagomålsmail/A 50034-2025 FSC-klagomål mail.docx", "A 50034-2025")</f>
        <v/>
      </c>
      <c r="X87">
        <f>HYPERLINK("https://klasma.github.io/Logging_0580/tillsyn/A 50034-2025 tillsynsbegäran.docx", "A 50034-2025")</f>
        <v/>
      </c>
      <c r="Y87">
        <f>HYPERLINK("https://klasma.github.io/Logging_0580/tillsynsmail/A 50034-2025 tillsynsbegäran mail.docx", "A 50034-2025")</f>
        <v/>
      </c>
    </row>
    <row r="88" ht="15" customHeight="1">
      <c r="A88" t="inlineStr">
        <is>
          <t>A 59474-2025</t>
        </is>
      </c>
      <c r="B88" s="1" t="n">
        <v>45989.58512731481</v>
      </c>
      <c r="C88" s="1" t="n">
        <v>46003</v>
      </c>
      <c r="D88" t="inlineStr">
        <is>
          <t>ÖSTERGÖTLANDS LÄN</t>
        </is>
      </c>
      <c r="E88" t="inlineStr">
        <is>
          <t>LINKÖPING</t>
        </is>
      </c>
      <c r="G88" t="n">
        <v>8</v>
      </c>
      <c r="H88" t="n">
        <v>0</v>
      </c>
      <c r="I88" t="n">
        <v>1</v>
      </c>
      <c r="J88" t="n">
        <v>0</v>
      </c>
      <c r="K88" t="n">
        <v>0</v>
      </c>
      <c r="L88" t="n">
        <v>0</v>
      </c>
      <c r="M88" t="n">
        <v>0</v>
      </c>
      <c r="N88" t="n">
        <v>0</v>
      </c>
      <c r="O88" t="n">
        <v>0</v>
      </c>
      <c r="P88" t="n">
        <v>0</v>
      </c>
      <c r="Q88" t="n">
        <v>1</v>
      </c>
      <c r="R88" s="2" t="inlineStr">
        <is>
          <t>Fällmossa</t>
        </is>
      </c>
      <c r="S88">
        <f>HYPERLINK("https://klasma.github.io/Logging_0580/artfynd/A 59474-2025 artfynd.xlsx", "A 59474-2025")</f>
        <v/>
      </c>
      <c r="T88">
        <f>HYPERLINK("https://klasma.github.io/Logging_0580/kartor/A 59474-2025 karta.png", "A 59474-2025")</f>
        <v/>
      </c>
      <c r="V88">
        <f>HYPERLINK("https://klasma.github.io/Logging_0580/klagomål/A 59474-2025 FSC-klagomål.docx", "A 59474-2025")</f>
        <v/>
      </c>
      <c r="W88">
        <f>HYPERLINK("https://klasma.github.io/Logging_0580/klagomålsmail/A 59474-2025 FSC-klagomål mail.docx", "A 59474-2025")</f>
        <v/>
      </c>
      <c r="X88">
        <f>HYPERLINK("https://klasma.github.io/Logging_0580/tillsyn/A 59474-2025 tillsynsbegäran.docx", "A 59474-2025")</f>
        <v/>
      </c>
      <c r="Y88">
        <f>HYPERLINK("https://klasma.github.io/Logging_0580/tillsynsmail/A 59474-2025 tillsynsbegäran mail.docx", "A 59474-2025")</f>
        <v/>
      </c>
    </row>
    <row r="89" ht="15" customHeight="1">
      <c r="A89" t="inlineStr">
        <is>
          <t>A 60311-2025</t>
        </is>
      </c>
      <c r="B89" s="1" t="n">
        <v>45994.69293981481</v>
      </c>
      <c r="C89" s="1" t="n">
        <v>46003</v>
      </c>
      <c r="D89" t="inlineStr">
        <is>
          <t>ÖSTERGÖTLANDS LÄN</t>
        </is>
      </c>
      <c r="E89" t="inlineStr">
        <is>
          <t>LINKÖPING</t>
        </is>
      </c>
      <c r="G89" t="n">
        <v>1.9</v>
      </c>
      <c r="H89" t="n">
        <v>0</v>
      </c>
      <c r="I89" t="n">
        <v>0</v>
      </c>
      <c r="J89" t="n">
        <v>1</v>
      </c>
      <c r="K89" t="n">
        <v>0</v>
      </c>
      <c r="L89" t="n">
        <v>0</v>
      </c>
      <c r="M89" t="n">
        <v>0</v>
      </c>
      <c r="N89" t="n">
        <v>0</v>
      </c>
      <c r="O89" t="n">
        <v>1</v>
      </c>
      <c r="P89" t="n">
        <v>0</v>
      </c>
      <c r="Q89" t="n">
        <v>1</v>
      </c>
      <c r="R89" s="2" t="inlineStr">
        <is>
          <t>Gammelekslav</t>
        </is>
      </c>
      <c r="S89">
        <f>HYPERLINK("https://klasma.github.io/Logging_0580/artfynd/A 60311-2025 artfynd.xlsx", "A 60311-2025")</f>
        <v/>
      </c>
      <c r="T89">
        <f>HYPERLINK("https://klasma.github.io/Logging_0580/kartor/A 60311-2025 karta.png", "A 60311-2025")</f>
        <v/>
      </c>
      <c r="V89">
        <f>HYPERLINK("https://klasma.github.io/Logging_0580/klagomål/A 60311-2025 FSC-klagomål.docx", "A 60311-2025")</f>
        <v/>
      </c>
      <c r="W89">
        <f>HYPERLINK("https://klasma.github.io/Logging_0580/klagomålsmail/A 60311-2025 FSC-klagomål mail.docx", "A 60311-2025")</f>
        <v/>
      </c>
      <c r="X89">
        <f>HYPERLINK("https://klasma.github.io/Logging_0580/tillsyn/A 60311-2025 tillsynsbegäran.docx", "A 60311-2025")</f>
        <v/>
      </c>
      <c r="Y89">
        <f>HYPERLINK("https://klasma.github.io/Logging_0580/tillsynsmail/A 60311-2025 tillsynsbegäran mail.docx", "A 60311-2025")</f>
        <v/>
      </c>
    </row>
    <row r="90" ht="15" customHeight="1">
      <c r="A90" t="inlineStr">
        <is>
          <t>A 36723-2023</t>
        </is>
      </c>
      <c r="B90" s="1" t="n">
        <v>45153</v>
      </c>
      <c r="C90" s="1" t="n">
        <v>46003</v>
      </c>
      <c r="D90" t="inlineStr">
        <is>
          <t>ÖSTERGÖTLANDS LÄN</t>
        </is>
      </c>
      <c r="E90" t="inlineStr">
        <is>
          <t>LINKÖPING</t>
        </is>
      </c>
      <c r="F90" t="inlineStr">
        <is>
          <t>Allmännings- och besparingsskogar</t>
        </is>
      </c>
      <c r="G90" t="n">
        <v>9.9</v>
      </c>
      <c r="H90" t="n">
        <v>0</v>
      </c>
      <c r="I90" t="n">
        <v>0</v>
      </c>
      <c r="J90" t="n">
        <v>0</v>
      </c>
      <c r="K90" t="n">
        <v>1</v>
      </c>
      <c r="L90" t="n">
        <v>0</v>
      </c>
      <c r="M90" t="n">
        <v>0</v>
      </c>
      <c r="N90" t="n">
        <v>0</v>
      </c>
      <c r="O90" t="n">
        <v>1</v>
      </c>
      <c r="P90" t="n">
        <v>1</v>
      </c>
      <c r="Q90" t="n">
        <v>1</v>
      </c>
      <c r="R90" s="2" t="inlineStr">
        <is>
          <t>Bitter taggsvamp</t>
        </is>
      </c>
      <c r="S90">
        <f>HYPERLINK("https://klasma.github.io/Logging_0580/artfynd/A 36723-2023 artfynd.xlsx", "A 36723-2023")</f>
        <v/>
      </c>
      <c r="T90">
        <f>HYPERLINK("https://klasma.github.io/Logging_0580/kartor/A 36723-2023 karta.png", "A 36723-2023")</f>
        <v/>
      </c>
      <c r="V90">
        <f>HYPERLINK("https://klasma.github.io/Logging_0580/klagomål/A 36723-2023 FSC-klagomål.docx", "A 36723-2023")</f>
        <v/>
      </c>
      <c r="W90">
        <f>HYPERLINK("https://klasma.github.io/Logging_0580/klagomålsmail/A 36723-2023 FSC-klagomål mail.docx", "A 36723-2023")</f>
        <v/>
      </c>
      <c r="X90">
        <f>HYPERLINK("https://klasma.github.io/Logging_0580/tillsyn/A 36723-2023 tillsynsbegäran.docx", "A 36723-2023")</f>
        <v/>
      </c>
      <c r="Y90">
        <f>HYPERLINK("https://klasma.github.io/Logging_0580/tillsynsmail/A 36723-2023 tillsynsbegäran mail.docx", "A 36723-2023")</f>
        <v/>
      </c>
    </row>
    <row r="91" ht="15" customHeight="1">
      <c r="A91" t="inlineStr">
        <is>
          <t>A 38881-2021</t>
        </is>
      </c>
      <c r="B91" s="1" t="n">
        <v>44411.46893518518</v>
      </c>
      <c r="C91" s="1" t="n">
        <v>46003</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46003</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56239-2021</t>
        </is>
      </c>
      <c r="B93" s="1" t="n">
        <v>44478</v>
      </c>
      <c r="C93" s="1" t="n">
        <v>46003</v>
      </c>
      <c r="D93" t="inlineStr">
        <is>
          <t>ÖSTERGÖTLANDS LÄN</t>
        </is>
      </c>
      <c r="E93" t="inlineStr">
        <is>
          <t>LINKÖPING</t>
        </is>
      </c>
      <c r="F93" t="inlineStr">
        <is>
          <t>Övriga Aktiebolag</t>
        </is>
      </c>
      <c r="G93" t="n">
        <v>3</v>
      </c>
      <c r="H93" t="n">
        <v>0</v>
      </c>
      <c r="I93" t="n">
        <v>0</v>
      </c>
      <c r="J93" t="n">
        <v>0</v>
      </c>
      <c r="K93" t="n">
        <v>0</v>
      </c>
      <c r="L93" t="n">
        <v>0</v>
      </c>
      <c r="M93" t="n">
        <v>0</v>
      </c>
      <c r="N93" t="n">
        <v>0</v>
      </c>
      <c r="O93" t="n">
        <v>0</v>
      </c>
      <c r="P93" t="n">
        <v>0</v>
      </c>
      <c r="Q93" t="n">
        <v>0</v>
      </c>
      <c r="R93" s="2" t="inlineStr"/>
    </row>
    <row r="94" ht="15" customHeight="1">
      <c r="A94" t="inlineStr">
        <is>
          <t>A 5008-2021</t>
        </is>
      </c>
      <c r="B94" s="1" t="n">
        <v>44228</v>
      </c>
      <c r="C94" s="1" t="n">
        <v>46003</v>
      </c>
      <c r="D94" t="inlineStr">
        <is>
          <t>ÖSTERGÖTLANDS LÄN</t>
        </is>
      </c>
      <c r="E94" t="inlineStr">
        <is>
          <t>LINKÖPING</t>
        </is>
      </c>
      <c r="F94" t="inlineStr">
        <is>
          <t>Övriga Aktiebolag</t>
        </is>
      </c>
      <c r="G94" t="n">
        <v>0.3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46003</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46003</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46003</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46003</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46003</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7840-2022</t>
        </is>
      </c>
      <c r="B100" s="1" t="n">
        <v>44608</v>
      </c>
      <c r="C100" s="1" t="n">
        <v>46003</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46003</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46003</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46003</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46003</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46003</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46003</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46003</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46003</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46003</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46003</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46003</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60639-2021</t>
        </is>
      </c>
      <c r="B112" s="1" t="n">
        <v>44496</v>
      </c>
      <c r="C112" s="1" t="n">
        <v>46003</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46003</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46003</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46003</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46003</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67120-2020</t>
        </is>
      </c>
      <c r="B117" s="1" t="n">
        <v>44180</v>
      </c>
      <c r="C117" s="1" t="n">
        <v>46003</v>
      </c>
      <c r="D117" t="inlineStr">
        <is>
          <t>ÖSTERGÖTLANDS LÄN</t>
        </is>
      </c>
      <c r="E117" t="inlineStr">
        <is>
          <t>LINKÖPING</t>
        </is>
      </c>
      <c r="F117" t="inlineStr">
        <is>
          <t>Övriga statliga verk och myndigheter</t>
        </is>
      </c>
      <c r="G117" t="n">
        <v>1.4</v>
      </c>
      <c r="H117" t="n">
        <v>0</v>
      </c>
      <c r="I117" t="n">
        <v>0</v>
      </c>
      <c r="J117" t="n">
        <v>0</v>
      </c>
      <c r="K117" t="n">
        <v>0</v>
      </c>
      <c r="L117" t="n">
        <v>0</v>
      </c>
      <c r="M117" t="n">
        <v>0</v>
      </c>
      <c r="N117" t="n">
        <v>0</v>
      </c>
      <c r="O117" t="n">
        <v>0</v>
      </c>
      <c r="P117" t="n">
        <v>0</v>
      </c>
      <c r="Q117" t="n">
        <v>0</v>
      </c>
      <c r="R117" s="2" t="inlineStr"/>
    </row>
    <row r="118" ht="15" customHeight="1">
      <c r="A118" t="inlineStr">
        <is>
          <t>A 31703-2022</t>
        </is>
      </c>
      <c r="B118" s="1" t="n">
        <v>44776</v>
      </c>
      <c r="C118" s="1" t="n">
        <v>46003</v>
      </c>
      <c r="D118" t="inlineStr">
        <is>
          <t>ÖSTERGÖTLANDS LÄN</t>
        </is>
      </c>
      <c r="E118" t="inlineStr">
        <is>
          <t>LINKÖPING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46003</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3679-2021</t>
        </is>
      </c>
      <c r="B120" s="1" t="n">
        <v>44221</v>
      </c>
      <c r="C120" s="1" t="n">
        <v>46003</v>
      </c>
      <c r="D120" t="inlineStr">
        <is>
          <t>ÖSTERGÖTLANDS LÄN</t>
        </is>
      </c>
      <c r="E120" t="inlineStr">
        <is>
          <t>LINKÖPING</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46003</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46003</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46003</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46003</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46003</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46003</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10123-2021</t>
        </is>
      </c>
      <c r="B127" s="1" t="n">
        <v>44256</v>
      </c>
      <c r="C127" s="1" t="n">
        <v>46003</v>
      </c>
      <c r="D127" t="inlineStr">
        <is>
          <t>ÖSTERGÖTLANDS LÄN</t>
        </is>
      </c>
      <c r="E127" t="inlineStr">
        <is>
          <t>LINKÖPING</t>
        </is>
      </c>
      <c r="F127" t="inlineStr">
        <is>
          <t>Allmännings- och besparingsskogar</t>
        </is>
      </c>
      <c r="G127" t="n">
        <v>1.7</v>
      </c>
      <c r="H127" t="n">
        <v>0</v>
      </c>
      <c r="I127" t="n">
        <v>0</v>
      </c>
      <c r="J127" t="n">
        <v>0</v>
      </c>
      <c r="K127" t="n">
        <v>0</v>
      </c>
      <c r="L127" t="n">
        <v>0</v>
      </c>
      <c r="M127" t="n">
        <v>0</v>
      </c>
      <c r="N127" t="n">
        <v>0</v>
      </c>
      <c r="O127" t="n">
        <v>0</v>
      </c>
      <c r="P127" t="n">
        <v>0</v>
      </c>
      <c r="Q127" t="n">
        <v>0</v>
      </c>
      <c r="R127" s="2" t="inlineStr"/>
    </row>
    <row r="128" ht="15" customHeight="1">
      <c r="A128" t="inlineStr">
        <is>
          <t>A 3862-2021</t>
        </is>
      </c>
      <c r="B128" s="1" t="n">
        <v>44221</v>
      </c>
      <c r="C128" s="1" t="n">
        <v>46003</v>
      </c>
      <c r="D128" t="inlineStr">
        <is>
          <t>ÖSTERGÖTLANDS LÄN</t>
        </is>
      </c>
      <c r="E128" t="inlineStr">
        <is>
          <t>LINKÖPING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3961-2021</t>
        </is>
      </c>
      <c r="B129" s="1" t="n">
        <v>44222</v>
      </c>
      <c r="C129" s="1" t="n">
        <v>46003</v>
      </c>
      <c r="D129" t="inlineStr">
        <is>
          <t>ÖSTERGÖTLANDS LÄN</t>
        </is>
      </c>
      <c r="E129" t="inlineStr">
        <is>
          <t>LINKÖPING</t>
        </is>
      </c>
      <c r="G129" t="n">
        <v>3.9</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46003</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46003</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46003</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46003</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46003</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37012-2021</t>
        </is>
      </c>
      <c r="B135" s="1" t="n">
        <v>44393</v>
      </c>
      <c r="C135" s="1" t="n">
        <v>46003</v>
      </c>
      <c r="D135" t="inlineStr">
        <is>
          <t>ÖSTERGÖTLANDS LÄN</t>
        </is>
      </c>
      <c r="E135" t="inlineStr">
        <is>
          <t>LINKÖPING</t>
        </is>
      </c>
      <c r="F135" t="inlineStr">
        <is>
          <t>Allmännings- och besparingsskogar</t>
        </is>
      </c>
      <c r="G135" t="n">
        <v>1.1</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46003</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16469-2021</t>
        </is>
      </c>
      <c r="B137" s="1" t="n">
        <v>44293.54331018519</v>
      </c>
      <c r="C137" s="1" t="n">
        <v>46003</v>
      </c>
      <c r="D137" t="inlineStr">
        <is>
          <t>ÖSTERGÖTLANDS LÄN</t>
        </is>
      </c>
      <c r="E137" t="inlineStr">
        <is>
          <t>LINKÖPING</t>
        </is>
      </c>
      <c r="F137" t="inlineStr">
        <is>
          <t>Allmännings- och besparingsskogar</t>
        </is>
      </c>
      <c r="G137" t="n">
        <v>33.5</v>
      </c>
      <c r="H137" t="n">
        <v>0</v>
      </c>
      <c r="I137" t="n">
        <v>0</v>
      </c>
      <c r="J137" t="n">
        <v>0</v>
      </c>
      <c r="K137" t="n">
        <v>0</v>
      </c>
      <c r="L137" t="n">
        <v>0</v>
      </c>
      <c r="M137" t="n">
        <v>0</v>
      </c>
      <c r="N137" t="n">
        <v>0</v>
      </c>
      <c r="O137" t="n">
        <v>0</v>
      </c>
      <c r="P137" t="n">
        <v>0</v>
      </c>
      <c r="Q137" t="n">
        <v>0</v>
      </c>
      <c r="R137" s="2" t="inlineStr"/>
    </row>
    <row r="138" ht="15" customHeight="1">
      <c r="A138" t="inlineStr">
        <is>
          <t>A 27313-2021</t>
        </is>
      </c>
      <c r="B138" s="1" t="n">
        <v>44350</v>
      </c>
      <c r="C138" s="1" t="n">
        <v>46003</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33134-2022</t>
        </is>
      </c>
      <c r="B139" s="1" t="n">
        <v>44785</v>
      </c>
      <c r="C139" s="1" t="n">
        <v>46003</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1787-2022</t>
        </is>
      </c>
      <c r="B140" s="1" t="n">
        <v>44574</v>
      </c>
      <c r="C140" s="1" t="n">
        <v>46003</v>
      </c>
      <c r="D140" t="inlineStr">
        <is>
          <t>ÖSTERGÖTLANDS LÄN</t>
        </is>
      </c>
      <c r="E140" t="inlineStr">
        <is>
          <t>LINKÖPING</t>
        </is>
      </c>
      <c r="G140" t="n">
        <v>1.9</v>
      </c>
      <c r="H140" t="n">
        <v>0</v>
      </c>
      <c r="I140" t="n">
        <v>0</v>
      </c>
      <c r="J140" t="n">
        <v>0</v>
      </c>
      <c r="K140" t="n">
        <v>0</v>
      </c>
      <c r="L140" t="n">
        <v>0</v>
      </c>
      <c r="M140" t="n">
        <v>0</v>
      </c>
      <c r="N140" t="n">
        <v>0</v>
      </c>
      <c r="O140" t="n">
        <v>0</v>
      </c>
      <c r="P140" t="n">
        <v>0</v>
      </c>
      <c r="Q140" t="n">
        <v>0</v>
      </c>
      <c r="R140" s="2" t="inlineStr"/>
    </row>
    <row r="141" ht="15" customHeight="1">
      <c r="A141" t="inlineStr">
        <is>
          <t>A 948-2022</t>
        </is>
      </c>
      <c r="B141" s="1" t="n">
        <v>44571</v>
      </c>
      <c r="C141" s="1" t="n">
        <v>46003</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13075-2022</t>
        </is>
      </c>
      <c r="B142" s="1" t="n">
        <v>44643</v>
      </c>
      <c r="C142" s="1" t="n">
        <v>46003</v>
      </c>
      <c r="D142" t="inlineStr">
        <is>
          <t>ÖSTERGÖTLANDS LÄN</t>
        </is>
      </c>
      <c r="E142" t="inlineStr">
        <is>
          <t>LINKÖPING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37014-2021</t>
        </is>
      </c>
      <c r="B143" s="1" t="n">
        <v>44393</v>
      </c>
      <c r="C143" s="1" t="n">
        <v>46003</v>
      </c>
      <c r="D143" t="inlineStr">
        <is>
          <t>ÖSTERGÖTLANDS LÄN</t>
        </is>
      </c>
      <c r="E143" t="inlineStr">
        <is>
          <t>LINKÖPING</t>
        </is>
      </c>
      <c r="F143" t="inlineStr">
        <is>
          <t>Allmännings- och besparingsskogar</t>
        </is>
      </c>
      <c r="G143" t="n">
        <v>7.7</v>
      </c>
      <c r="H143" t="n">
        <v>0</v>
      </c>
      <c r="I143" t="n">
        <v>0</v>
      </c>
      <c r="J143" t="n">
        <v>0</v>
      </c>
      <c r="K143" t="n">
        <v>0</v>
      </c>
      <c r="L143" t="n">
        <v>0</v>
      </c>
      <c r="M143" t="n">
        <v>0</v>
      </c>
      <c r="N143" t="n">
        <v>0</v>
      </c>
      <c r="O143" t="n">
        <v>0</v>
      </c>
      <c r="P143" t="n">
        <v>0</v>
      </c>
      <c r="Q143" t="n">
        <v>0</v>
      </c>
      <c r="R143" s="2" t="inlineStr"/>
    </row>
    <row r="144" ht="15" customHeight="1">
      <c r="A144" t="inlineStr">
        <is>
          <t>A 38134-2021</t>
        </is>
      </c>
      <c r="B144" s="1" t="n">
        <v>44405.3794212963</v>
      </c>
      <c r="C144" s="1" t="n">
        <v>46003</v>
      </c>
      <c r="D144" t="inlineStr">
        <is>
          <t>ÖSTERGÖTLANDS LÄN</t>
        </is>
      </c>
      <c r="E144" t="inlineStr">
        <is>
          <t>LINKÖPING</t>
        </is>
      </c>
      <c r="G144" t="n">
        <v>5.1</v>
      </c>
      <c r="H144" t="n">
        <v>0</v>
      </c>
      <c r="I144" t="n">
        <v>0</v>
      </c>
      <c r="J144" t="n">
        <v>0</v>
      </c>
      <c r="K144" t="n">
        <v>0</v>
      </c>
      <c r="L144" t="n">
        <v>0</v>
      </c>
      <c r="M144" t="n">
        <v>0</v>
      </c>
      <c r="N144" t="n">
        <v>0</v>
      </c>
      <c r="O144" t="n">
        <v>0</v>
      </c>
      <c r="P144" t="n">
        <v>0</v>
      </c>
      <c r="Q144" t="n">
        <v>0</v>
      </c>
      <c r="R144" s="2" t="inlineStr"/>
    </row>
    <row r="145" ht="15" customHeight="1">
      <c r="A145" t="inlineStr">
        <is>
          <t>A 23175-2022</t>
        </is>
      </c>
      <c r="B145" s="1" t="n">
        <v>44719</v>
      </c>
      <c r="C145" s="1" t="n">
        <v>46003</v>
      </c>
      <c r="D145" t="inlineStr">
        <is>
          <t>ÖSTERGÖTLANDS LÄN</t>
        </is>
      </c>
      <c r="E145" t="inlineStr">
        <is>
          <t>LINKÖPING</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64195-2021</t>
        </is>
      </c>
      <c r="B146" s="1" t="n">
        <v>44510</v>
      </c>
      <c r="C146" s="1" t="n">
        <v>46003</v>
      </c>
      <c r="D146" t="inlineStr">
        <is>
          <t>ÖSTERGÖTLANDS LÄN</t>
        </is>
      </c>
      <c r="E146" t="inlineStr">
        <is>
          <t>LINKÖPING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23416-2022</t>
        </is>
      </c>
      <c r="B147" s="1" t="n">
        <v>44720.78243055556</v>
      </c>
      <c r="C147" s="1" t="n">
        <v>46003</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5605-2022</t>
        </is>
      </c>
      <c r="B148" s="1" t="n">
        <v>44595</v>
      </c>
      <c r="C148" s="1" t="n">
        <v>46003</v>
      </c>
      <c r="D148" t="inlineStr">
        <is>
          <t>ÖSTERGÖTLANDS LÄN</t>
        </is>
      </c>
      <c r="E148" t="inlineStr">
        <is>
          <t>LINKÖPING</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56688-2021</t>
        </is>
      </c>
      <c r="B149" s="1" t="n">
        <v>44481</v>
      </c>
      <c r="C149" s="1" t="n">
        <v>46003</v>
      </c>
      <c r="D149" t="inlineStr">
        <is>
          <t>ÖSTERGÖTLANDS LÄN</t>
        </is>
      </c>
      <c r="E149" t="inlineStr">
        <is>
          <t>LINKÖPING</t>
        </is>
      </c>
      <c r="G149" t="n">
        <v>1.1</v>
      </c>
      <c r="H149" t="n">
        <v>0</v>
      </c>
      <c r="I149" t="n">
        <v>0</v>
      </c>
      <c r="J149" t="n">
        <v>0</v>
      </c>
      <c r="K149" t="n">
        <v>0</v>
      </c>
      <c r="L149" t="n">
        <v>0</v>
      </c>
      <c r="M149" t="n">
        <v>0</v>
      </c>
      <c r="N149" t="n">
        <v>0</v>
      </c>
      <c r="O149" t="n">
        <v>0</v>
      </c>
      <c r="P149" t="n">
        <v>0</v>
      </c>
      <c r="Q149" t="n">
        <v>0</v>
      </c>
      <c r="R149" s="2" t="inlineStr"/>
    </row>
    <row r="150" ht="15" customHeight="1">
      <c r="A150" t="inlineStr">
        <is>
          <t>A 4382-2021</t>
        </is>
      </c>
      <c r="B150" s="1" t="n">
        <v>44223</v>
      </c>
      <c r="C150" s="1" t="n">
        <v>46003</v>
      </c>
      <c r="D150" t="inlineStr">
        <is>
          <t>ÖSTERGÖTLANDS LÄN</t>
        </is>
      </c>
      <c r="E150" t="inlineStr">
        <is>
          <t>LINKÖPING</t>
        </is>
      </c>
      <c r="G150" t="n">
        <v>4.2</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46003</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46003</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27769-2022</t>
        </is>
      </c>
      <c r="B153" s="1" t="n">
        <v>44743.53200231482</v>
      </c>
      <c r="C153" s="1" t="n">
        <v>46003</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37934-2022</t>
        </is>
      </c>
      <c r="B154" s="1" t="n">
        <v>44809</v>
      </c>
      <c r="C154" s="1" t="n">
        <v>46003</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54854-2022</t>
        </is>
      </c>
      <c r="B155" s="1" t="n">
        <v>44884</v>
      </c>
      <c r="C155" s="1" t="n">
        <v>46003</v>
      </c>
      <c r="D155" t="inlineStr">
        <is>
          <t>ÖSTERGÖTLANDS LÄN</t>
        </is>
      </c>
      <c r="E155" t="inlineStr">
        <is>
          <t>LINKÖPING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54855-2022</t>
        </is>
      </c>
      <c r="B156" s="1" t="n">
        <v>44884.59502314815</v>
      </c>
      <c r="C156" s="1" t="n">
        <v>46003</v>
      </c>
      <c r="D156" t="inlineStr">
        <is>
          <t>ÖSTERGÖTLANDS LÄN</t>
        </is>
      </c>
      <c r="E156" t="inlineStr">
        <is>
          <t>LINKÖPING</t>
        </is>
      </c>
      <c r="G156" t="n">
        <v>2.9</v>
      </c>
      <c r="H156" t="n">
        <v>0</v>
      </c>
      <c r="I156" t="n">
        <v>0</v>
      </c>
      <c r="J156" t="n">
        <v>0</v>
      </c>
      <c r="K156" t="n">
        <v>0</v>
      </c>
      <c r="L156" t="n">
        <v>0</v>
      </c>
      <c r="M156" t="n">
        <v>0</v>
      </c>
      <c r="N156" t="n">
        <v>0</v>
      </c>
      <c r="O156" t="n">
        <v>0</v>
      </c>
      <c r="P156" t="n">
        <v>0</v>
      </c>
      <c r="Q156" t="n">
        <v>0</v>
      </c>
      <c r="R156" s="2" t="inlineStr"/>
    </row>
    <row r="157" ht="15" customHeight="1">
      <c r="A157" t="inlineStr">
        <is>
          <t>A 4929-2021</t>
        </is>
      </c>
      <c r="B157" s="1" t="n">
        <v>44227.57533564815</v>
      </c>
      <c r="C157" s="1" t="n">
        <v>46003</v>
      </c>
      <c r="D157" t="inlineStr">
        <is>
          <t>ÖSTERGÖTLANDS LÄN</t>
        </is>
      </c>
      <c r="E157" t="inlineStr">
        <is>
          <t>LINKÖPING</t>
        </is>
      </c>
      <c r="G157" t="n">
        <v>0.4</v>
      </c>
      <c r="H157" t="n">
        <v>0</v>
      </c>
      <c r="I157" t="n">
        <v>0</v>
      </c>
      <c r="J157" t="n">
        <v>0</v>
      </c>
      <c r="K157" t="n">
        <v>0</v>
      </c>
      <c r="L157" t="n">
        <v>0</v>
      </c>
      <c r="M157" t="n">
        <v>0</v>
      </c>
      <c r="N157" t="n">
        <v>0</v>
      </c>
      <c r="O157" t="n">
        <v>0</v>
      </c>
      <c r="P157" t="n">
        <v>0</v>
      </c>
      <c r="Q157" t="n">
        <v>0</v>
      </c>
      <c r="R157" s="2" t="inlineStr"/>
    </row>
    <row r="158" ht="15" customHeight="1">
      <c r="A158" t="inlineStr">
        <is>
          <t>A 11079-2022</t>
        </is>
      </c>
      <c r="B158" s="1" t="n">
        <v>44628</v>
      </c>
      <c r="C158" s="1" t="n">
        <v>46003</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20901-2021</t>
        </is>
      </c>
      <c r="B159" s="1" t="n">
        <v>44319</v>
      </c>
      <c r="C159" s="1" t="n">
        <v>46003</v>
      </c>
      <c r="D159" t="inlineStr">
        <is>
          <t>ÖSTERGÖTLANDS LÄN</t>
        </is>
      </c>
      <c r="E159" t="inlineStr">
        <is>
          <t>LINKÖPING</t>
        </is>
      </c>
      <c r="G159" t="n">
        <v>1.4</v>
      </c>
      <c r="H159" t="n">
        <v>0</v>
      </c>
      <c r="I159" t="n">
        <v>0</v>
      </c>
      <c r="J159" t="n">
        <v>0</v>
      </c>
      <c r="K159" t="n">
        <v>0</v>
      </c>
      <c r="L159" t="n">
        <v>0</v>
      </c>
      <c r="M159" t="n">
        <v>0</v>
      </c>
      <c r="N159" t="n">
        <v>0</v>
      </c>
      <c r="O159" t="n">
        <v>0</v>
      </c>
      <c r="P159" t="n">
        <v>0</v>
      </c>
      <c r="Q159" t="n">
        <v>0</v>
      </c>
      <c r="R159" s="2" t="inlineStr"/>
    </row>
    <row r="160" ht="15" customHeight="1">
      <c r="A160" t="inlineStr">
        <is>
          <t>A 46416-2021</t>
        </is>
      </c>
      <c r="B160" s="1" t="n">
        <v>44442</v>
      </c>
      <c r="C160" s="1" t="n">
        <v>46003</v>
      </c>
      <c r="D160" t="inlineStr">
        <is>
          <t>ÖSTERGÖTLANDS LÄN</t>
        </is>
      </c>
      <c r="E160" t="inlineStr">
        <is>
          <t>LINKÖPING</t>
        </is>
      </c>
      <c r="G160" t="n">
        <v>2.3</v>
      </c>
      <c r="H160" t="n">
        <v>0</v>
      </c>
      <c r="I160" t="n">
        <v>0</v>
      </c>
      <c r="J160" t="n">
        <v>0</v>
      </c>
      <c r="K160" t="n">
        <v>0</v>
      </c>
      <c r="L160" t="n">
        <v>0</v>
      </c>
      <c r="M160" t="n">
        <v>0</v>
      </c>
      <c r="N160" t="n">
        <v>0</v>
      </c>
      <c r="O160" t="n">
        <v>0</v>
      </c>
      <c r="P160" t="n">
        <v>0</v>
      </c>
      <c r="Q160" t="n">
        <v>0</v>
      </c>
      <c r="R160" s="2" t="inlineStr"/>
    </row>
    <row r="161" ht="15" customHeight="1">
      <c r="A161" t="inlineStr">
        <is>
          <t>A 33891-2021</t>
        </is>
      </c>
      <c r="B161" s="1" t="n">
        <v>44378</v>
      </c>
      <c r="C161" s="1" t="n">
        <v>46003</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58258-2021</t>
        </is>
      </c>
      <c r="B162" s="1" t="n">
        <v>44487</v>
      </c>
      <c r="C162" s="1" t="n">
        <v>46003</v>
      </c>
      <c r="D162" t="inlineStr">
        <is>
          <t>ÖSTERGÖTLANDS LÄN</t>
        </is>
      </c>
      <c r="E162" t="inlineStr">
        <is>
          <t>LINKÖPING</t>
        </is>
      </c>
      <c r="F162" t="inlineStr">
        <is>
          <t>Övriga Aktiebolag</t>
        </is>
      </c>
      <c r="G162" t="n">
        <v>1</v>
      </c>
      <c r="H162" t="n">
        <v>0</v>
      </c>
      <c r="I162" t="n">
        <v>0</v>
      </c>
      <c r="J162" t="n">
        <v>0</v>
      </c>
      <c r="K162" t="n">
        <v>0</v>
      </c>
      <c r="L162" t="n">
        <v>0</v>
      </c>
      <c r="M162" t="n">
        <v>0</v>
      </c>
      <c r="N162" t="n">
        <v>0</v>
      </c>
      <c r="O162" t="n">
        <v>0</v>
      </c>
      <c r="P162" t="n">
        <v>0</v>
      </c>
      <c r="Q162" t="n">
        <v>0</v>
      </c>
      <c r="R162" s="2" t="inlineStr"/>
    </row>
    <row r="163" ht="15" customHeight="1">
      <c r="A163" t="inlineStr">
        <is>
          <t>A 19254-2021</t>
        </is>
      </c>
      <c r="B163" s="1" t="n">
        <v>44309.38962962963</v>
      </c>
      <c r="C163" s="1" t="n">
        <v>46003</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58287-2021</t>
        </is>
      </c>
      <c r="B164" s="1" t="n">
        <v>44487</v>
      </c>
      <c r="C164" s="1" t="n">
        <v>46003</v>
      </c>
      <c r="D164" t="inlineStr">
        <is>
          <t>ÖSTERGÖTLANDS LÄN</t>
        </is>
      </c>
      <c r="E164" t="inlineStr">
        <is>
          <t>LINKÖPING</t>
        </is>
      </c>
      <c r="F164" t="inlineStr">
        <is>
          <t>Övriga Aktiebolag</t>
        </is>
      </c>
      <c r="G164" t="n">
        <v>1.5</v>
      </c>
      <c r="H164" t="n">
        <v>0</v>
      </c>
      <c r="I164" t="n">
        <v>0</v>
      </c>
      <c r="J164" t="n">
        <v>0</v>
      </c>
      <c r="K164" t="n">
        <v>0</v>
      </c>
      <c r="L164" t="n">
        <v>0</v>
      </c>
      <c r="M164" t="n">
        <v>0</v>
      </c>
      <c r="N164" t="n">
        <v>0</v>
      </c>
      <c r="O164" t="n">
        <v>0</v>
      </c>
      <c r="P164" t="n">
        <v>0</v>
      </c>
      <c r="Q164" t="n">
        <v>0</v>
      </c>
      <c r="R164" s="2" t="inlineStr"/>
    </row>
    <row r="165" ht="15" customHeight="1">
      <c r="A165" t="inlineStr">
        <is>
          <t>A 53660-2021</t>
        </is>
      </c>
      <c r="B165" s="1" t="n">
        <v>44469</v>
      </c>
      <c r="C165" s="1" t="n">
        <v>46003</v>
      </c>
      <c r="D165" t="inlineStr">
        <is>
          <t>ÖSTERGÖTLANDS LÄN</t>
        </is>
      </c>
      <c r="E165" t="inlineStr">
        <is>
          <t>LINKÖPING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4377-2021</t>
        </is>
      </c>
      <c r="B166" s="1" t="n">
        <v>44223</v>
      </c>
      <c r="C166" s="1" t="n">
        <v>46003</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52966-2021</t>
        </is>
      </c>
      <c r="B167" s="1" t="n">
        <v>44467</v>
      </c>
      <c r="C167" s="1" t="n">
        <v>46003</v>
      </c>
      <c r="D167" t="inlineStr">
        <is>
          <t>ÖSTERGÖTLANDS LÄN</t>
        </is>
      </c>
      <c r="E167" t="inlineStr">
        <is>
          <t>LINKÖPING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65398-2021</t>
        </is>
      </c>
      <c r="B168" s="1" t="n">
        <v>44515</v>
      </c>
      <c r="C168" s="1" t="n">
        <v>46003</v>
      </c>
      <c r="D168" t="inlineStr">
        <is>
          <t>ÖSTERGÖTLANDS LÄN</t>
        </is>
      </c>
      <c r="E168" t="inlineStr">
        <is>
          <t>LINKÖPING</t>
        </is>
      </c>
      <c r="F168" t="inlineStr">
        <is>
          <t>Övriga statliga verk och myndigheter</t>
        </is>
      </c>
      <c r="G168" t="n">
        <v>2.4</v>
      </c>
      <c r="H168" t="n">
        <v>0</v>
      </c>
      <c r="I168" t="n">
        <v>0</v>
      </c>
      <c r="J168" t="n">
        <v>0</v>
      </c>
      <c r="K168" t="n">
        <v>0</v>
      </c>
      <c r="L168" t="n">
        <v>0</v>
      </c>
      <c r="M168" t="n">
        <v>0</v>
      </c>
      <c r="N168" t="n">
        <v>0</v>
      </c>
      <c r="O168" t="n">
        <v>0</v>
      </c>
      <c r="P168" t="n">
        <v>0</v>
      </c>
      <c r="Q168" t="n">
        <v>0</v>
      </c>
      <c r="R168" s="2" t="inlineStr"/>
    </row>
    <row r="169" ht="15" customHeight="1">
      <c r="A169" t="inlineStr">
        <is>
          <t>A 25305-2021</t>
        </is>
      </c>
      <c r="B169" s="1" t="n">
        <v>44342</v>
      </c>
      <c r="C169" s="1" t="n">
        <v>46003</v>
      </c>
      <c r="D169" t="inlineStr">
        <is>
          <t>ÖSTERGÖTLANDS LÄN</t>
        </is>
      </c>
      <c r="E169" t="inlineStr">
        <is>
          <t>LINKÖPING</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61153-2021</t>
        </is>
      </c>
      <c r="B170" s="1" t="n">
        <v>44497</v>
      </c>
      <c r="C170" s="1" t="n">
        <v>46003</v>
      </c>
      <c r="D170" t="inlineStr">
        <is>
          <t>ÖSTERGÖTLANDS LÄN</t>
        </is>
      </c>
      <c r="E170" t="inlineStr">
        <is>
          <t>LINKÖPING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33885-2021</t>
        </is>
      </c>
      <c r="B171" s="1" t="n">
        <v>44378</v>
      </c>
      <c r="C171" s="1" t="n">
        <v>46003</v>
      </c>
      <c r="D171" t="inlineStr">
        <is>
          <t>ÖSTERGÖTLANDS LÄN</t>
        </is>
      </c>
      <c r="E171" t="inlineStr">
        <is>
          <t>LINKÖPING</t>
        </is>
      </c>
      <c r="G171" t="n">
        <v>3.5</v>
      </c>
      <c r="H171" t="n">
        <v>0</v>
      </c>
      <c r="I171" t="n">
        <v>0</v>
      </c>
      <c r="J171" t="n">
        <v>0</v>
      </c>
      <c r="K171" t="n">
        <v>0</v>
      </c>
      <c r="L171" t="n">
        <v>0</v>
      </c>
      <c r="M171" t="n">
        <v>0</v>
      </c>
      <c r="N171" t="n">
        <v>0</v>
      </c>
      <c r="O171" t="n">
        <v>0</v>
      </c>
      <c r="P171" t="n">
        <v>0</v>
      </c>
      <c r="Q171" t="n">
        <v>0</v>
      </c>
      <c r="R171" s="2" t="inlineStr"/>
    </row>
    <row r="172" ht="15" customHeight="1">
      <c r="A172" t="inlineStr">
        <is>
          <t>A 58266-2021</t>
        </is>
      </c>
      <c r="B172" s="1" t="n">
        <v>44487</v>
      </c>
      <c r="C172" s="1" t="n">
        <v>46003</v>
      </c>
      <c r="D172" t="inlineStr">
        <is>
          <t>ÖSTERGÖTLANDS LÄN</t>
        </is>
      </c>
      <c r="E172" t="inlineStr">
        <is>
          <t>LINKÖPING</t>
        </is>
      </c>
      <c r="F172" t="inlineStr">
        <is>
          <t>Övriga Aktiebolag</t>
        </is>
      </c>
      <c r="G172" t="n">
        <v>3.2</v>
      </c>
      <c r="H172" t="n">
        <v>0</v>
      </c>
      <c r="I172" t="n">
        <v>0</v>
      </c>
      <c r="J172" t="n">
        <v>0</v>
      </c>
      <c r="K172" t="n">
        <v>0</v>
      </c>
      <c r="L172" t="n">
        <v>0</v>
      </c>
      <c r="M172" t="n">
        <v>0</v>
      </c>
      <c r="N172" t="n">
        <v>0</v>
      </c>
      <c r="O172" t="n">
        <v>0</v>
      </c>
      <c r="P172" t="n">
        <v>0</v>
      </c>
      <c r="Q172" t="n">
        <v>0</v>
      </c>
      <c r="R172" s="2" t="inlineStr"/>
    </row>
    <row r="173" ht="15" customHeight="1">
      <c r="A173" t="inlineStr">
        <is>
          <t>A 12413-2022</t>
        </is>
      </c>
      <c r="B173" s="1" t="n">
        <v>44638</v>
      </c>
      <c r="C173" s="1" t="n">
        <v>46003</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67912-2021</t>
        </is>
      </c>
      <c r="B174" s="1" t="n">
        <v>44525</v>
      </c>
      <c r="C174" s="1" t="n">
        <v>46003</v>
      </c>
      <c r="D174" t="inlineStr">
        <is>
          <t>ÖSTERGÖTLANDS LÄN</t>
        </is>
      </c>
      <c r="E174" t="inlineStr">
        <is>
          <t>LINKÖPING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67940-2021</t>
        </is>
      </c>
      <c r="B175" s="1" t="n">
        <v>44525.62849537037</v>
      </c>
      <c r="C175" s="1" t="n">
        <v>46003</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384-2021</t>
        </is>
      </c>
      <c r="B176" s="1" t="n">
        <v>44201.57689814815</v>
      </c>
      <c r="C176" s="1" t="n">
        <v>46003</v>
      </c>
      <c r="D176" t="inlineStr">
        <is>
          <t>ÖSTERGÖTLANDS LÄN</t>
        </is>
      </c>
      <c r="E176" t="inlineStr">
        <is>
          <t>LINKÖPING</t>
        </is>
      </c>
      <c r="G176" t="n">
        <v>0.2</v>
      </c>
      <c r="H176" t="n">
        <v>0</v>
      </c>
      <c r="I176" t="n">
        <v>0</v>
      </c>
      <c r="J176" t="n">
        <v>0</v>
      </c>
      <c r="K176" t="n">
        <v>0</v>
      </c>
      <c r="L176" t="n">
        <v>0</v>
      </c>
      <c r="M176" t="n">
        <v>0</v>
      </c>
      <c r="N176" t="n">
        <v>0</v>
      </c>
      <c r="O176" t="n">
        <v>0</v>
      </c>
      <c r="P176" t="n">
        <v>0</v>
      </c>
      <c r="Q176" t="n">
        <v>0</v>
      </c>
      <c r="R176" s="2" t="inlineStr"/>
    </row>
    <row r="177" ht="15" customHeight="1">
      <c r="A177" t="inlineStr">
        <is>
          <t>A 46490-2022</t>
        </is>
      </c>
      <c r="B177" s="1" t="n">
        <v>44848</v>
      </c>
      <c r="C177" s="1" t="n">
        <v>46003</v>
      </c>
      <c r="D177" t="inlineStr">
        <is>
          <t>ÖSTERGÖTLANDS LÄN</t>
        </is>
      </c>
      <c r="E177" t="inlineStr">
        <is>
          <t>LINKÖPING</t>
        </is>
      </c>
      <c r="G177" t="n">
        <v>3.5</v>
      </c>
      <c r="H177" t="n">
        <v>0</v>
      </c>
      <c r="I177" t="n">
        <v>0</v>
      </c>
      <c r="J177" t="n">
        <v>0</v>
      </c>
      <c r="K177" t="n">
        <v>0</v>
      </c>
      <c r="L177" t="n">
        <v>0</v>
      </c>
      <c r="M177" t="n">
        <v>0</v>
      </c>
      <c r="N177" t="n">
        <v>0</v>
      </c>
      <c r="O177" t="n">
        <v>0</v>
      </c>
      <c r="P177" t="n">
        <v>0</v>
      </c>
      <c r="Q177" t="n">
        <v>0</v>
      </c>
      <c r="R177" s="2" t="inlineStr"/>
    </row>
    <row r="178" ht="15" customHeight="1">
      <c r="A178" t="inlineStr">
        <is>
          <t>A 38130-2021</t>
        </is>
      </c>
      <c r="B178" s="1" t="n">
        <v>44405</v>
      </c>
      <c r="C178" s="1" t="n">
        <v>46003</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46003</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40527-2022</t>
        </is>
      </c>
      <c r="B180" s="1" t="n">
        <v>44823</v>
      </c>
      <c r="C180" s="1" t="n">
        <v>46003</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28447-2021</t>
        </is>
      </c>
      <c r="B181" s="1" t="n">
        <v>44356</v>
      </c>
      <c r="C181" s="1" t="n">
        <v>46003</v>
      </c>
      <c r="D181" t="inlineStr">
        <is>
          <t>ÖSTERGÖTLANDS LÄN</t>
        </is>
      </c>
      <c r="E181" t="inlineStr">
        <is>
          <t>LINKÖPING</t>
        </is>
      </c>
      <c r="G181" t="n">
        <v>2</v>
      </c>
      <c r="H181" t="n">
        <v>0</v>
      </c>
      <c r="I181" t="n">
        <v>0</v>
      </c>
      <c r="J181" t="n">
        <v>0</v>
      </c>
      <c r="K181" t="n">
        <v>0</v>
      </c>
      <c r="L181" t="n">
        <v>0</v>
      </c>
      <c r="M181" t="n">
        <v>0</v>
      </c>
      <c r="N181" t="n">
        <v>0</v>
      </c>
      <c r="O181" t="n">
        <v>0</v>
      </c>
      <c r="P181" t="n">
        <v>0</v>
      </c>
      <c r="Q181" t="n">
        <v>0</v>
      </c>
      <c r="R181" s="2" t="inlineStr"/>
    </row>
    <row r="182" ht="15" customHeight="1">
      <c r="A182" t="inlineStr">
        <is>
          <t>A 52968-2021</t>
        </is>
      </c>
      <c r="B182" s="1" t="n">
        <v>44467</v>
      </c>
      <c r="C182" s="1" t="n">
        <v>46003</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9935-2021</t>
        </is>
      </c>
      <c r="B183" s="1" t="n">
        <v>44253</v>
      </c>
      <c r="C183" s="1" t="n">
        <v>46003</v>
      </c>
      <c r="D183" t="inlineStr">
        <is>
          <t>ÖSTERGÖTLANDS LÄN</t>
        </is>
      </c>
      <c r="E183" t="inlineStr">
        <is>
          <t>LINKÖPING</t>
        </is>
      </c>
      <c r="G183" t="n">
        <v>4.5</v>
      </c>
      <c r="H183" t="n">
        <v>0</v>
      </c>
      <c r="I183" t="n">
        <v>0</v>
      </c>
      <c r="J183" t="n">
        <v>0</v>
      </c>
      <c r="K183" t="n">
        <v>0</v>
      </c>
      <c r="L183" t="n">
        <v>0</v>
      </c>
      <c r="M183" t="n">
        <v>0</v>
      </c>
      <c r="N183" t="n">
        <v>0</v>
      </c>
      <c r="O183" t="n">
        <v>0</v>
      </c>
      <c r="P183" t="n">
        <v>0</v>
      </c>
      <c r="Q183" t="n">
        <v>0</v>
      </c>
      <c r="R183" s="2" t="inlineStr"/>
    </row>
    <row r="184" ht="15" customHeight="1">
      <c r="A184" t="inlineStr">
        <is>
          <t>A 61302-2021</t>
        </is>
      </c>
      <c r="B184" s="1" t="n">
        <v>44498.63189814815</v>
      </c>
      <c r="C184" s="1" t="n">
        <v>46003</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31705-2022</t>
        </is>
      </c>
      <c r="B185" s="1" t="n">
        <v>44776.43607638889</v>
      </c>
      <c r="C185" s="1" t="n">
        <v>46003</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65395-2021</t>
        </is>
      </c>
      <c r="B186" s="1" t="n">
        <v>44515</v>
      </c>
      <c r="C186" s="1" t="n">
        <v>46003</v>
      </c>
      <c r="D186" t="inlineStr">
        <is>
          <t>ÖSTERGÖTLANDS LÄN</t>
        </is>
      </c>
      <c r="E186" t="inlineStr">
        <is>
          <t>LINKÖPING</t>
        </is>
      </c>
      <c r="F186" t="inlineStr">
        <is>
          <t>Övriga statliga verk och myndigheter</t>
        </is>
      </c>
      <c r="G186" t="n">
        <v>0.7</v>
      </c>
      <c r="H186" t="n">
        <v>0</v>
      </c>
      <c r="I186" t="n">
        <v>0</v>
      </c>
      <c r="J186" t="n">
        <v>0</v>
      </c>
      <c r="K186" t="n">
        <v>0</v>
      </c>
      <c r="L186" t="n">
        <v>0</v>
      </c>
      <c r="M186" t="n">
        <v>0</v>
      </c>
      <c r="N186" t="n">
        <v>0</v>
      </c>
      <c r="O186" t="n">
        <v>0</v>
      </c>
      <c r="P186" t="n">
        <v>0</v>
      </c>
      <c r="Q186" t="n">
        <v>0</v>
      </c>
      <c r="R186" s="2" t="inlineStr"/>
    </row>
    <row r="187" ht="15" customHeight="1">
      <c r="A187" t="inlineStr">
        <is>
          <t>A 48016-2021</t>
        </is>
      </c>
      <c r="B187" s="1" t="n">
        <v>44449</v>
      </c>
      <c r="C187" s="1" t="n">
        <v>46003</v>
      </c>
      <c r="D187" t="inlineStr">
        <is>
          <t>ÖSTERGÖTLANDS LÄN</t>
        </is>
      </c>
      <c r="E187" t="inlineStr">
        <is>
          <t>LINKÖPING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19318-2022</t>
        </is>
      </c>
      <c r="B188" s="1" t="n">
        <v>44692.5827662037</v>
      </c>
      <c r="C188" s="1" t="n">
        <v>46003</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30858-2022</t>
        </is>
      </c>
      <c r="B189" s="1" t="n">
        <v>44767</v>
      </c>
      <c r="C189" s="1" t="n">
        <v>46003</v>
      </c>
      <c r="D189" t="inlineStr">
        <is>
          <t>ÖSTERGÖTLANDS LÄN</t>
        </is>
      </c>
      <c r="E189" t="inlineStr">
        <is>
          <t>LINKÖPING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41426-2022</t>
        </is>
      </c>
      <c r="B190" s="1" t="n">
        <v>44826</v>
      </c>
      <c r="C190" s="1" t="n">
        <v>46003</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46003</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46003</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46003</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46003</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34486-2021</t>
        </is>
      </c>
      <c r="B195" s="1" t="n">
        <v>44382.29295138889</v>
      </c>
      <c r="C195" s="1" t="n">
        <v>46003</v>
      </c>
      <c r="D195" t="inlineStr">
        <is>
          <t>ÖSTERGÖTLANDS LÄN</t>
        </is>
      </c>
      <c r="E195" t="inlineStr">
        <is>
          <t>LINKÖPING</t>
        </is>
      </c>
      <c r="G195" t="n">
        <v>4.4</v>
      </c>
      <c r="H195" t="n">
        <v>0</v>
      </c>
      <c r="I195" t="n">
        <v>0</v>
      </c>
      <c r="J195" t="n">
        <v>0</v>
      </c>
      <c r="K195" t="n">
        <v>0</v>
      </c>
      <c r="L195" t="n">
        <v>0</v>
      </c>
      <c r="M195" t="n">
        <v>0</v>
      </c>
      <c r="N195" t="n">
        <v>0</v>
      </c>
      <c r="O195" t="n">
        <v>0</v>
      </c>
      <c r="P195" t="n">
        <v>0</v>
      </c>
      <c r="Q195" t="n">
        <v>0</v>
      </c>
      <c r="R195" s="2" t="inlineStr"/>
    </row>
    <row r="196" ht="15" customHeight="1">
      <c r="A196" t="inlineStr">
        <is>
          <t>A 54467-2022</t>
        </is>
      </c>
      <c r="B196" s="1" t="n">
        <v>44882</v>
      </c>
      <c r="C196" s="1" t="n">
        <v>46003</v>
      </c>
      <c r="D196" t="inlineStr">
        <is>
          <t>ÖSTERGÖTLANDS LÄN</t>
        </is>
      </c>
      <c r="E196" t="inlineStr">
        <is>
          <t>LINKÖPING</t>
        </is>
      </c>
      <c r="F196" t="inlineStr">
        <is>
          <t>Sveaskog</t>
        </is>
      </c>
      <c r="G196" t="n">
        <v>2.5</v>
      </c>
      <c r="H196" t="n">
        <v>0</v>
      </c>
      <c r="I196" t="n">
        <v>0</v>
      </c>
      <c r="J196" t="n">
        <v>0</v>
      </c>
      <c r="K196" t="n">
        <v>0</v>
      </c>
      <c r="L196" t="n">
        <v>0</v>
      </c>
      <c r="M196" t="n">
        <v>0</v>
      </c>
      <c r="N196" t="n">
        <v>0</v>
      </c>
      <c r="O196" t="n">
        <v>0</v>
      </c>
      <c r="P196" t="n">
        <v>0</v>
      </c>
      <c r="Q196" t="n">
        <v>0</v>
      </c>
      <c r="R196" s="2" t="inlineStr"/>
    </row>
    <row r="197" ht="15" customHeight="1">
      <c r="A197" t="inlineStr">
        <is>
          <t>A 36341-2022</t>
        </is>
      </c>
      <c r="B197" s="1" t="n">
        <v>44803</v>
      </c>
      <c r="C197" s="1" t="n">
        <v>46003</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32255-2021</t>
        </is>
      </c>
      <c r="B198" s="1" t="n">
        <v>44371.45949074074</v>
      </c>
      <c r="C198" s="1" t="n">
        <v>46003</v>
      </c>
      <c r="D198" t="inlineStr">
        <is>
          <t>ÖSTERGÖTLANDS LÄN</t>
        </is>
      </c>
      <c r="E198" t="inlineStr">
        <is>
          <t>LINKÖPING</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4240-2022</t>
        </is>
      </c>
      <c r="B199" s="1" t="n">
        <v>44588</v>
      </c>
      <c r="C199" s="1" t="n">
        <v>46003</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38235-2022</t>
        </is>
      </c>
      <c r="B200" s="1" t="n">
        <v>44812</v>
      </c>
      <c r="C200" s="1" t="n">
        <v>46003</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31732-2022</t>
        </is>
      </c>
      <c r="B201" s="1" t="n">
        <v>44776.49267361111</v>
      </c>
      <c r="C201" s="1" t="n">
        <v>46003</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46003</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46003</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46891-2021</t>
        </is>
      </c>
      <c r="B204" s="1" t="n">
        <v>44446.44587962963</v>
      </c>
      <c r="C204" s="1" t="n">
        <v>46003</v>
      </c>
      <c r="D204" t="inlineStr">
        <is>
          <t>ÖSTERGÖTLANDS LÄN</t>
        </is>
      </c>
      <c r="E204" t="inlineStr">
        <is>
          <t>LINKÖPING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14028-2024</t>
        </is>
      </c>
      <c r="B205" s="1" t="n">
        <v>45392</v>
      </c>
      <c r="C205" s="1" t="n">
        <v>46003</v>
      </c>
      <c r="D205" t="inlineStr">
        <is>
          <t>ÖSTERGÖTLANDS LÄN</t>
        </is>
      </c>
      <c r="E205" t="inlineStr">
        <is>
          <t>LINKÖPING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10407-2025</t>
        </is>
      </c>
      <c r="B206" s="1" t="n">
        <v>45720.62863425926</v>
      </c>
      <c r="C206" s="1" t="n">
        <v>46003</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39021-2021</t>
        </is>
      </c>
      <c r="B207" s="1" t="n">
        <v>44412</v>
      </c>
      <c r="C207" s="1" t="n">
        <v>46003</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12035-2025</t>
        </is>
      </c>
      <c r="B208" s="1" t="n">
        <v>45728.64946759259</v>
      </c>
      <c r="C208" s="1" t="n">
        <v>46003</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14667-2024</t>
        </is>
      </c>
      <c r="B209" s="1" t="n">
        <v>45397.42005787037</v>
      </c>
      <c r="C209" s="1" t="n">
        <v>46003</v>
      </c>
      <c r="D209" t="inlineStr">
        <is>
          <t>ÖSTERGÖTLANDS LÄN</t>
        </is>
      </c>
      <c r="E209" t="inlineStr">
        <is>
          <t>LINKÖPING</t>
        </is>
      </c>
      <c r="G209" t="n">
        <v>2.3</v>
      </c>
      <c r="H209" t="n">
        <v>0</v>
      </c>
      <c r="I209" t="n">
        <v>0</v>
      </c>
      <c r="J209" t="n">
        <v>0</v>
      </c>
      <c r="K209" t="n">
        <v>0</v>
      </c>
      <c r="L209" t="n">
        <v>0</v>
      </c>
      <c r="M209" t="n">
        <v>0</v>
      </c>
      <c r="N209" t="n">
        <v>0</v>
      </c>
      <c r="O209" t="n">
        <v>0</v>
      </c>
      <c r="P209" t="n">
        <v>0</v>
      </c>
      <c r="Q209" t="n">
        <v>0</v>
      </c>
      <c r="R209" s="2" t="inlineStr"/>
    </row>
    <row r="210" ht="15" customHeight="1">
      <c r="A210" t="inlineStr">
        <is>
          <t>A 13413-2023</t>
        </is>
      </c>
      <c r="B210" s="1" t="n">
        <v>45005.58341435185</v>
      </c>
      <c r="C210" s="1" t="n">
        <v>46003</v>
      </c>
      <c r="D210" t="inlineStr">
        <is>
          <t>ÖSTERGÖTLANDS LÄN</t>
        </is>
      </c>
      <c r="E210" t="inlineStr">
        <is>
          <t>LINKÖPING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2697-2023</t>
        </is>
      </c>
      <c r="B211" s="1" t="n">
        <v>44944</v>
      </c>
      <c r="C211" s="1" t="n">
        <v>46003</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53641-2023</t>
        </is>
      </c>
      <c r="B212" s="1" t="n">
        <v>45230</v>
      </c>
      <c r="C212" s="1" t="n">
        <v>46003</v>
      </c>
      <c r="D212" t="inlineStr">
        <is>
          <t>ÖSTERGÖTLANDS LÄN</t>
        </is>
      </c>
      <c r="E212" t="inlineStr">
        <is>
          <t>LINKÖPING</t>
        </is>
      </c>
      <c r="G212" t="n">
        <v>1.7</v>
      </c>
      <c r="H212" t="n">
        <v>0</v>
      </c>
      <c r="I212" t="n">
        <v>0</v>
      </c>
      <c r="J212" t="n">
        <v>0</v>
      </c>
      <c r="K212" t="n">
        <v>0</v>
      </c>
      <c r="L212" t="n">
        <v>0</v>
      </c>
      <c r="M212" t="n">
        <v>0</v>
      </c>
      <c r="N212" t="n">
        <v>0</v>
      </c>
      <c r="O212" t="n">
        <v>0</v>
      </c>
      <c r="P212" t="n">
        <v>0</v>
      </c>
      <c r="Q212" t="n">
        <v>0</v>
      </c>
      <c r="R212" s="2" t="inlineStr"/>
    </row>
    <row r="213" ht="15" customHeight="1">
      <c r="A213" t="inlineStr">
        <is>
          <t>A 63528-2023</t>
        </is>
      </c>
      <c r="B213" s="1" t="n">
        <v>45274.94810185185</v>
      </c>
      <c r="C213" s="1" t="n">
        <v>46003</v>
      </c>
      <c r="D213" t="inlineStr">
        <is>
          <t>ÖSTERGÖTLANDS LÄN</t>
        </is>
      </c>
      <c r="E213" t="inlineStr">
        <is>
          <t>LINKÖPING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63638-2023</t>
        </is>
      </c>
      <c r="B214" s="1" t="n">
        <v>45275</v>
      </c>
      <c r="C214" s="1" t="n">
        <v>46003</v>
      </c>
      <c r="D214" t="inlineStr">
        <is>
          <t>ÖSTERGÖTLANDS LÄN</t>
        </is>
      </c>
      <c r="E214" t="inlineStr">
        <is>
          <t>LINKÖPING</t>
        </is>
      </c>
      <c r="F214" t="inlineStr">
        <is>
          <t>Övriga Aktiebolag</t>
        </is>
      </c>
      <c r="G214" t="n">
        <v>2.4</v>
      </c>
      <c r="H214" t="n">
        <v>0</v>
      </c>
      <c r="I214" t="n">
        <v>0</v>
      </c>
      <c r="J214" t="n">
        <v>0</v>
      </c>
      <c r="K214" t="n">
        <v>0</v>
      </c>
      <c r="L214" t="n">
        <v>0</v>
      </c>
      <c r="M214" t="n">
        <v>0</v>
      </c>
      <c r="N214" t="n">
        <v>0</v>
      </c>
      <c r="O214" t="n">
        <v>0</v>
      </c>
      <c r="P214" t="n">
        <v>0</v>
      </c>
      <c r="Q214" t="n">
        <v>0</v>
      </c>
      <c r="R214" s="2" t="inlineStr"/>
    </row>
    <row r="215" ht="15" customHeight="1">
      <c r="A215" t="inlineStr">
        <is>
          <t>A 63658-2023</t>
        </is>
      </c>
      <c r="B215" s="1" t="n">
        <v>45275</v>
      </c>
      <c r="C215" s="1" t="n">
        <v>46003</v>
      </c>
      <c r="D215" t="inlineStr">
        <is>
          <t>ÖSTERGÖTLANDS LÄN</t>
        </is>
      </c>
      <c r="E215" t="inlineStr">
        <is>
          <t>LINKÖPING</t>
        </is>
      </c>
      <c r="F215" t="inlineStr">
        <is>
          <t>Övriga Aktiebolag</t>
        </is>
      </c>
      <c r="G215" t="n">
        <v>1.5</v>
      </c>
      <c r="H215" t="n">
        <v>0</v>
      </c>
      <c r="I215" t="n">
        <v>0</v>
      </c>
      <c r="J215" t="n">
        <v>0</v>
      </c>
      <c r="K215" t="n">
        <v>0</v>
      </c>
      <c r="L215" t="n">
        <v>0</v>
      </c>
      <c r="M215" t="n">
        <v>0</v>
      </c>
      <c r="N215" t="n">
        <v>0</v>
      </c>
      <c r="O215" t="n">
        <v>0</v>
      </c>
      <c r="P215" t="n">
        <v>0</v>
      </c>
      <c r="Q215" t="n">
        <v>0</v>
      </c>
      <c r="R215" s="2" t="inlineStr"/>
    </row>
    <row r="216" ht="15" customHeight="1">
      <c r="A216" t="inlineStr">
        <is>
          <t>A 48707-2023</t>
        </is>
      </c>
      <c r="B216" s="1" t="n">
        <v>45202</v>
      </c>
      <c r="C216" s="1" t="n">
        <v>46003</v>
      </c>
      <c r="D216" t="inlineStr">
        <is>
          <t>ÖSTERGÖTLANDS LÄN</t>
        </is>
      </c>
      <c r="E216" t="inlineStr">
        <is>
          <t>LINKÖPING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7808-2022</t>
        </is>
      </c>
      <c r="B217" s="1" t="n">
        <v>44608</v>
      </c>
      <c r="C217" s="1" t="n">
        <v>46003</v>
      </c>
      <c r="D217" t="inlineStr">
        <is>
          <t>ÖSTERGÖTLANDS LÄN</t>
        </is>
      </c>
      <c r="E217" t="inlineStr">
        <is>
          <t>LINKÖPING</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53411-2023</t>
        </is>
      </c>
      <c r="B218" s="1" t="n">
        <v>45229.81049768518</v>
      </c>
      <c r="C218" s="1" t="n">
        <v>46003</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51484-2023</t>
        </is>
      </c>
      <c r="B219" s="1" t="n">
        <v>45222</v>
      </c>
      <c r="C219" s="1" t="n">
        <v>46003</v>
      </c>
      <c r="D219" t="inlineStr">
        <is>
          <t>ÖSTERGÖTLANDS LÄN</t>
        </is>
      </c>
      <c r="E219" t="inlineStr">
        <is>
          <t>LINKÖPING</t>
        </is>
      </c>
      <c r="F219" t="inlineStr">
        <is>
          <t>Övriga Aktiebolag</t>
        </is>
      </c>
      <c r="G219" t="n">
        <v>7.7</v>
      </c>
      <c r="H219" t="n">
        <v>0</v>
      </c>
      <c r="I219" t="n">
        <v>0</v>
      </c>
      <c r="J219" t="n">
        <v>0</v>
      </c>
      <c r="K219" t="n">
        <v>0</v>
      </c>
      <c r="L219" t="n">
        <v>0</v>
      </c>
      <c r="M219" t="n">
        <v>0</v>
      </c>
      <c r="N219" t="n">
        <v>0</v>
      </c>
      <c r="O219" t="n">
        <v>0</v>
      </c>
      <c r="P219" t="n">
        <v>0</v>
      </c>
      <c r="Q219" t="n">
        <v>0</v>
      </c>
      <c r="R219" s="2" t="inlineStr"/>
    </row>
    <row r="220" ht="15" customHeight="1">
      <c r="A220" t="inlineStr">
        <is>
          <t>A 36336-2023</t>
        </is>
      </c>
      <c r="B220" s="1" t="n">
        <v>45152.45078703704</v>
      </c>
      <c r="C220" s="1" t="n">
        <v>46003</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56741-2023</t>
        </is>
      </c>
      <c r="B221" s="1" t="n">
        <v>45244</v>
      </c>
      <c r="C221" s="1" t="n">
        <v>46003</v>
      </c>
      <c r="D221" t="inlineStr">
        <is>
          <t>ÖSTERGÖTLANDS LÄN</t>
        </is>
      </c>
      <c r="E221" t="inlineStr">
        <is>
          <t>LINKÖPING</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56792-2023</t>
        </is>
      </c>
      <c r="B222" s="1" t="n">
        <v>45244</v>
      </c>
      <c r="C222" s="1" t="n">
        <v>46003</v>
      </c>
      <c r="D222" t="inlineStr">
        <is>
          <t>ÖSTERGÖTLANDS LÄN</t>
        </is>
      </c>
      <c r="E222" t="inlineStr">
        <is>
          <t>LINKÖPING</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56623-2024</t>
        </is>
      </c>
      <c r="B223" s="1" t="n">
        <v>45625</v>
      </c>
      <c r="C223" s="1" t="n">
        <v>46003</v>
      </c>
      <c r="D223" t="inlineStr">
        <is>
          <t>ÖSTERGÖTLANDS LÄN</t>
        </is>
      </c>
      <c r="E223" t="inlineStr">
        <is>
          <t>LINKÖPING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3007-2023</t>
        </is>
      </c>
      <c r="B224" s="1" t="n">
        <v>44945</v>
      </c>
      <c r="C224" s="1" t="n">
        <v>46003</v>
      </c>
      <c r="D224" t="inlineStr">
        <is>
          <t>ÖSTERGÖTLANDS LÄN</t>
        </is>
      </c>
      <c r="E224" t="inlineStr">
        <is>
          <t>LINKÖPING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40338-2024</t>
        </is>
      </c>
      <c r="B225" s="1" t="n">
        <v>45555.32940972222</v>
      </c>
      <c r="C225" s="1" t="n">
        <v>46003</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3013-2023</t>
        </is>
      </c>
      <c r="B226" s="1" t="n">
        <v>44945.8092824074</v>
      </c>
      <c r="C226" s="1" t="n">
        <v>46003</v>
      </c>
      <c r="D226" t="inlineStr">
        <is>
          <t>ÖSTERGÖTLANDS LÄN</t>
        </is>
      </c>
      <c r="E226" t="inlineStr">
        <is>
          <t>LINKÖPING</t>
        </is>
      </c>
      <c r="G226" t="n">
        <v>5.2</v>
      </c>
      <c r="H226" t="n">
        <v>0</v>
      </c>
      <c r="I226" t="n">
        <v>0</v>
      </c>
      <c r="J226" t="n">
        <v>0</v>
      </c>
      <c r="K226" t="n">
        <v>0</v>
      </c>
      <c r="L226" t="n">
        <v>0</v>
      </c>
      <c r="M226" t="n">
        <v>0</v>
      </c>
      <c r="N226" t="n">
        <v>0</v>
      </c>
      <c r="O226" t="n">
        <v>0</v>
      </c>
      <c r="P226" t="n">
        <v>0</v>
      </c>
      <c r="Q226" t="n">
        <v>0</v>
      </c>
      <c r="R226" s="2" t="inlineStr"/>
    </row>
    <row r="227" ht="15" customHeight="1">
      <c r="A227" t="inlineStr">
        <is>
          <t>A 55945-2024</t>
        </is>
      </c>
      <c r="B227" s="1" t="n">
        <v>45623.61754629629</v>
      </c>
      <c r="C227" s="1" t="n">
        <v>46003</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27666-2022</t>
        </is>
      </c>
      <c r="B228" s="1" t="n">
        <v>44743.39017361111</v>
      </c>
      <c r="C228" s="1" t="n">
        <v>46003</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19183-2021</t>
        </is>
      </c>
      <c r="B229" s="1" t="n">
        <v>44308.73248842593</v>
      </c>
      <c r="C229" s="1" t="n">
        <v>46003</v>
      </c>
      <c r="D229" t="inlineStr">
        <is>
          <t>ÖSTERGÖTLANDS LÄN</t>
        </is>
      </c>
      <c r="E229" t="inlineStr">
        <is>
          <t>LINKÖPING</t>
        </is>
      </c>
      <c r="F229" t="inlineStr">
        <is>
          <t>Allmännings- och besparingsskogar</t>
        </is>
      </c>
      <c r="G229" t="n">
        <v>4.6</v>
      </c>
      <c r="H229" t="n">
        <v>0</v>
      </c>
      <c r="I229" t="n">
        <v>0</v>
      </c>
      <c r="J229" t="n">
        <v>0</v>
      </c>
      <c r="K229" t="n">
        <v>0</v>
      </c>
      <c r="L229" t="n">
        <v>0</v>
      </c>
      <c r="M229" t="n">
        <v>0</v>
      </c>
      <c r="N229" t="n">
        <v>0</v>
      </c>
      <c r="O229" t="n">
        <v>0</v>
      </c>
      <c r="P229" t="n">
        <v>0</v>
      </c>
      <c r="Q229" t="n">
        <v>0</v>
      </c>
      <c r="R229" s="2" t="inlineStr"/>
    </row>
    <row r="230" ht="15" customHeight="1">
      <c r="A230" t="inlineStr">
        <is>
          <t>A 1993-2023</t>
        </is>
      </c>
      <c r="B230" s="1" t="n">
        <v>44939</v>
      </c>
      <c r="C230" s="1" t="n">
        <v>46003</v>
      </c>
      <c r="D230" t="inlineStr">
        <is>
          <t>ÖSTERGÖTLANDS LÄN</t>
        </is>
      </c>
      <c r="E230" t="inlineStr">
        <is>
          <t>LINKÖPING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2618-2023</t>
        </is>
      </c>
      <c r="B231" s="1" t="n">
        <v>44944.35847222222</v>
      </c>
      <c r="C231" s="1" t="n">
        <v>46003</v>
      </c>
      <c r="D231" t="inlineStr">
        <is>
          <t>ÖSTERGÖTLANDS LÄN</t>
        </is>
      </c>
      <c r="E231" t="inlineStr">
        <is>
          <t>LINKÖPING</t>
        </is>
      </c>
      <c r="G231" t="n">
        <v>4.3</v>
      </c>
      <c r="H231" t="n">
        <v>0</v>
      </c>
      <c r="I231" t="n">
        <v>0</v>
      </c>
      <c r="J231" t="n">
        <v>0</v>
      </c>
      <c r="K231" t="n">
        <v>0</v>
      </c>
      <c r="L231" t="n">
        <v>0</v>
      </c>
      <c r="M231" t="n">
        <v>0</v>
      </c>
      <c r="N231" t="n">
        <v>0</v>
      </c>
      <c r="O231" t="n">
        <v>0</v>
      </c>
      <c r="P231" t="n">
        <v>0</v>
      </c>
      <c r="Q231" t="n">
        <v>0</v>
      </c>
      <c r="R231" s="2" t="inlineStr"/>
    </row>
    <row r="232" ht="15" customHeight="1">
      <c r="A232" t="inlineStr">
        <is>
          <t>A 10203-2023</t>
        </is>
      </c>
      <c r="B232" s="1" t="n">
        <v>44986.55711805556</v>
      </c>
      <c r="C232" s="1" t="n">
        <v>46003</v>
      </c>
      <c r="D232" t="inlineStr">
        <is>
          <t>ÖSTERGÖTLANDS LÄN</t>
        </is>
      </c>
      <c r="E232" t="inlineStr">
        <is>
          <t>LINKÖPING</t>
        </is>
      </c>
      <c r="G232" t="n">
        <v>3.3</v>
      </c>
      <c r="H232" t="n">
        <v>0</v>
      </c>
      <c r="I232" t="n">
        <v>0</v>
      </c>
      <c r="J232" t="n">
        <v>0</v>
      </c>
      <c r="K232" t="n">
        <v>0</v>
      </c>
      <c r="L232" t="n">
        <v>0</v>
      </c>
      <c r="M232" t="n">
        <v>0</v>
      </c>
      <c r="N232" t="n">
        <v>0</v>
      </c>
      <c r="O232" t="n">
        <v>0</v>
      </c>
      <c r="P232" t="n">
        <v>0</v>
      </c>
      <c r="Q232" t="n">
        <v>0</v>
      </c>
      <c r="R232" s="2" t="inlineStr"/>
    </row>
    <row r="233" ht="15" customHeight="1">
      <c r="A233" t="inlineStr">
        <is>
          <t>A 9434-2024</t>
        </is>
      </c>
      <c r="B233" s="1" t="n">
        <v>45359</v>
      </c>
      <c r="C233" s="1" t="n">
        <v>46003</v>
      </c>
      <c r="D233" t="inlineStr">
        <is>
          <t>ÖSTERGÖTLANDS LÄN</t>
        </is>
      </c>
      <c r="E233" t="inlineStr">
        <is>
          <t>LINKÖPING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34889-2023</t>
        </is>
      </c>
      <c r="B234" s="1" t="n">
        <v>45140</v>
      </c>
      <c r="C234" s="1" t="n">
        <v>46003</v>
      </c>
      <c r="D234" t="inlineStr">
        <is>
          <t>ÖSTERGÖTLANDS LÄN</t>
        </is>
      </c>
      <c r="E234" t="inlineStr">
        <is>
          <t>LINKÖPING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34928-2023</t>
        </is>
      </c>
      <c r="B235" s="1" t="n">
        <v>45142</v>
      </c>
      <c r="C235" s="1" t="n">
        <v>46003</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63678-2023</t>
        </is>
      </c>
      <c r="B236" s="1" t="n">
        <v>45275.64769675926</v>
      </c>
      <c r="C236" s="1" t="n">
        <v>46003</v>
      </c>
      <c r="D236" t="inlineStr">
        <is>
          <t>ÖSTERGÖTLANDS LÄN</t>
        </is>
      </c>
      <c r="E236" t="inlineStr">
        <is>
          <t>LINKÖPING</t>
        </is>
      </c>
      <c r="F236" t="inlineStr">
        <is>
          <t>Övriga Aktiebolag</t>
        </is>
      </c>
      <c r="G236" t="n">
        <v>0.4</v>
      </c>
      <c r="H236" t="n">
        <v>0</v>
      </c>
      <c r="I236" t="n">
        <v>0</v>
      </c>
      <c r="J236" t="n">
        <v>0</v>
      </c>
      <c r="K236" t="n">
        <v>0</v>
      </c>
      <c r="L236" t="n">
        <v>0</v>
      </c>
      <c r="M236" t="n">
        <v>0</v>
      </c>
      <c r="N236" t="n">
        <v>0</v>
      </c>
      <c r="O236" t="n">
        <v>0</v>
      </c>
      <c r="P236" t="n">
        <v>0</v>
      </c>
      <c r="Q236" t="n">
        <v>0</v>
      </c>
      <c r="R236" s="2" t="inlineStr"/>
    </row>
    <row r="237" ht="15" customHeight="1">
      <c r="A237" t="inlineStr">
        <is>
          <t>A 63688-2023</t>
        </is>
      </c>
      <c r="B237" s="1" t="n">
        <v>45275</v>
      </c>
      <c r="C237" s="1" t="n">
        <v>46003</v>
      </c>
      <c r="D237" t="inlineStr">
        <is>
          <t>ÖSTERGÖTLANDS LÄN</t>
        </is>
      </c>
      <c r="E237" t="inlineStr">
        <is>
          <t>LINKÖPING</t>
        </is>
      </c>
      <c r="F237" t="inlineStr">
        <is>
          <t>Övriga Aktiebolag</t>
        </is>
      </c>
      <c r="G237" t="n">
        <v>2.4</v>
      </c>
      <c r="H237" t="n">
        <v>0</v>
      </c>
      <c r="I237" t="n">
        <v>0</v>
      </c>
      <c r="J237" t="n">
        <v>0</v>
      </c>
      <c r="K237" t="n">
        <v>0</v>
      </c>
      <c r="L237" t="n">
        <v>0</v>
      </c>
      <c r="M237" t="n">
        <v>0</v>
      </c>
      <c r="N237" t="n">
        <v>0</v>
      </c>
      <c r="O237" t="n">
        <v>0</v>
      </c>
      <c r="P237" t="n">
        <v>0</v>
      </c>
      <c r="Q237" t="n">
        <v>0</v>
      </c>
      <c r="R237" s="2" t="inlineStr"/>
    </row>
    <row r="238" ht="15" customHeight="1">
      <c r="A238" t="inlineStr">
        <is>
          <t>A 63691-2023</t>
        </is>
      </c>
      <c r="B238" s="1" t="n">
        <v>45275</v>
      </c>
      <c r="C238" s="1" t="n">
        <v>46003</v>
      </c>
      <c r="D238" t="inlineStr">
        <is>
          <t>ÖSTERGÖTLANDS LÄN</t>
        </is>
      </c>
      <c r="E238" t="inlineStr">
        <is>
          <t>LINKÖPING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34557-2022</t>
        </is>
      </c>
      <c r="B239" s="1" t="n">
        <v>44794.57074074074</v>
      </c>
      <c r="C239" s="1" t="n">
        <v>46003</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13011-2022</t>
        </is>
      </c>
      <c r="B240" s="1" t="n">
        <v>44643</v>
      </c>
      <c r="C240" s="1" t="n">
        <v>46003</v>
      </c>
      <c r="D240" t="inlineStr">
        <is>
          <t>ÖSTERGÖTLANDS LÄN</t>
        </is>
      </c>
      <c r="E240" t="inlineStr">
        <is>
          <t>LINKÖPING</t>
        </is>
      </c>
      <c r="G240" t="n">
        <v>3.7</v>
      </c>
      <c r="H240" t="n">
        <v>0</v>
      </c>
      <c r="I240" t="n">
        <v>0</v>
      </c>
      <c r="J240" t="n">
        <v>0</v>
      </c>
      <c r="K240" t="n">
        <v>0</v>
      </c>
      <c r="L240" t="n">
        <v>0</v>
      </c>
      <c r="M240" t="n">
        <v>0</v>
      </c>
      <c r="N240" t="n">
        <v>0</v>
      </c>
      <c r="O240" t="n">
        <v>0</v>
      </c>
      <c r="P240" t="n">
        <v>0</v>
      </c>
      <c r="Q240" t="n">
        <v>0</v>
      </c>
      <c r="R240" s="2" t="inlineStr"/>
    </row>
    <row r="241" ht="15" customHeight="1">
      <c r="A241" t="inlineStr">
        <is>
          <t>A 11595-2025</t>
        </is>
      </c>
      <c r="B241" s="1" t="n">
        <v>45727.41893518518</v>
      </c>
      <c r="C241" s="1" t="n">
        <v>46003</v>
      </c>
      <c r="D241" t="inlineStr">
        <is>
          <t>ÖSTERGÖTLANDS LÄN</t>
        </is>
      </c>
      <c r="E241" t="inlineStr">
        <is>
          <t>LINKÖPING</t>
        </is>
      </c>
      <c r="G241" t="n">
        <v>6.6</v>
      </c>
      <c r="H241" t="n">
        <v>0</v>
      </c>
      <c r="I241" t="n">
        <v>0</v>
      </c>
      <c r="J241" t="n">
        <v>0</v>
      </c>
      <c r="K241" t="n">
        <v>0</v>
      </c>
      <c r="L241" t="n">
        <v>0</v>
      </c>
      <c r="M241" t="n">
        <v>0</v>
      </c>
      <c r="N241" t="n">
        <v>0</v>
      </c>
      <c r="O241" t="n">
        <v>0</v>
      </c>
      <c r="P241" t="n">
        <v>0</v>
      </c>
      <c r="Q241" t="n">
        <v>0</v>
      </c>
      <c r="R241" s="2" t="inlineStr"/>
    </row>
    <row r="242" ht="15" customHeight="1">
      <c r="A242" t="inlineStr">
        <is>
          <t>A 17157-2024</t>
        </is>
      </c>
      <c r="B242" s="1" t="n">
        <v>45412.70567129629</v>
      </c>
      <c r="C242" s="1" t="n">
        <v>46003</v>
      </c>
      <c r="D242" t="inlineStr">
        <is>
          <t>ÖSTERGÖTLANDS LÄN</t>
        </is>
      </c>
      <c r="E242" t="inlineStr">
        <is>
          <t>LINKÖPING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1268-2023</t>
        </is>
      </c>
      <c r="B243" s="1" t="n">
        <v>44936</v>
      </c>
      <c r="C243" s="1" t="n">
        <v>46003</v>
      </c>
      <c r="D243" t="inlineStr">
        <is>
          <t>ÖSTERGÖTLANDS LÄN</t>
        </is>
      </c>
      <c r="E243" t="inlineStr">
        <is>
          <t>LINKÖPING</t>
        </is>
      </c>
      <c r="G243" t="n">
        <v>4.6</v>
      </c>
      <c r="H243" t="n">
        <v>0</v>
      </c>
      <c r="I243" t="n">
        <v>0</v>
      </c>
      <c r="J243" t="n">
        <v>0</v>
      </c>
      <c r="K243" t="n">
        <v>0</v>
      </c>
      <c r="L243" t="n">
        <v>0</v>
      </c>
      <c r="M243" t="n">
        <v>0</v>
      </c>
      <c r="N243" t="n">
        <v>0</v>
      </c>
      <c r="O243" t="n">
        <v>0</v>
      </c>
      <c r="P243" t="n">
        <v>0</v>
      </c>
      <c r="Q243" t="n">
        <v>0</v>
      </c>
      <c r="R243" s="2" t="inlineStr"/>
    </row>
    <row r="244" ht="15" customHeight="1">
      <c r="A244" t="inlineStr">
        <is>
          <t>A 50508-2024</t>
        </is>
      </c>
      <c r="B244" s="1" t="n">
        <v>45601.53907407408</v>
      </c>
      <c r="C244" s="1" t="n">
        <v>46003</v>
      </c>
      <c r="D244" t="inlineStr">
        <is>
          <t>ÖSTERGÖTLANDS LÄN</t>
        </is>
      </c>
      <c r="E244" t="inlineStr">
        <is>
          <t>LINKÖPING</t>
        </is>
      </c>
      <c r="F244" t="inlineStr">
        <is>
          <t>Övriga Aktiebolag</t>
        </is>
      </c>
      <c r="G244" t="n">
        <v>2</v>
      </c>
      <c r="H244" t="n">
        <v>0</v>
      </c>
      <c r="I244" t="n">
        <v>0</v>
      </c>
      <c r="J244" t="n">
        <v>0</v>
      </c>
      <c r="K244" t="n">
        <v>0</v>
      </c>
      <c r="L244" t="n">
        <v>0</v>
      </c>
      <c r="M244" t="n">
        <v>0</v>
      </c>
      <c r="N244" t="n">
        <v>0</v>
      </c>
      <c r="O244" t="n">
        <v>0</v>
      </c>
      <c r="P244" t="n">
        <v>0</v>
      </c>
      <c r="Q244" t="n">
        <v>0</v>
      </c>
      <c r="R244" s="2" t="inlineStr"/>
    </row>
    <row r="245" ht="15" customHeight="1">
      <c r="A245" t="inlineStr">
        <is>
          <t>A 5314-2021</t>
        </is>
      </c>
      <c r="B245" s="1" t="n">
        <v>44229</v>
      </c>
      <c r="C245" s="1" t="n">
        <v>46003</v>
      </c>
      <c r="D245" t="inlineStr">
        <is>
          <t>ÖSTERGÖTLANDS LÄN</t>
        </is>
      </c>
      <c r="E245" t="inlineStr">
        <is>
          <t>LINKÖPING</t>
        </is>
      </c>
      <c r="G245" t="n">
        <v>6.2</v>
      </c>
      <c r="H245" t="n">
        <v>0</v>
      </c>
      <c r="I245" t="n">
        <v>0</v>
      </c>
      <c r="J245" t="n">
        <v>0</v>
      </c>
      <c r="K245" t="n">
        <v>0</v>
      </c>
      <c r="L245" t="n">
        <v>0</v>
      </c>
      <c r="M245" t="n">
        <v>0</v>
      </c>
      <c r="N245" t="n">
        <v>0</v>
      </c>
      <c r="O245" t="n">
        <v>0</v>
      </c>
      <c r="P245" t="n">
        <v>0</v>
      </c>
      <c r="Q245" t="n">
        <v>0</v>
      </c>
      <c r="R245" s="2" t="inlineStr"/>
    </row>
    <row r="246" ht="15" customHeight="1">
      <c r="A246" t="inlineStr">
        <is>
          <t>A 13689-2025</t>
        </is>
      </c>
      <c r="B246" s="1" t="n">
        <v>45737.31590277778</v>
      </c>
      <c r="C246" s="1" t="n">
        <v>46003</v>
      </c>
      <c r="D246" t="inlineStr">
        <is>
          <t>ÖSTERGÖTLANDS LÄN</t>
        </is>
      </c>
      <c r="E246" t="inlineStr">
        <is>
          <t>LINKÖPING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13696-2025</t>
        </is>
      </c>
      <c r="B247" s="1" t="n">
        <v>45737.32273148148</v>
      </c>
      <c r="C247" s="1" t="n">
        <v>46003</v>
      </c>
      <c r="D247" t="inlineStr">
        <is>
          <t>ÖSTERGÖTLANDS LÄN</t>
        </is>
      </c>
      <c r="E247" t="inlineStr">
        <is>
          <t>LINKÖPING</t>
        </is>
      </c>
      <c r="G247" t="n">
        <v>3.5</v>
      </c>
      <c r="H247" t="n">
        <v>0</v>
      </c>
      <c r="I247" t="n">
        <v>0</v>
      </c>
      <c r="J247" t="n">
        <v>0</v>
      </c>
      <c r="K247" t="n">
        <v>0</v>
      </c>
      <c r="L247" t="n">
        <v>0</v>
      </c>
      <c r="M247" t="n">
        <v>0</v>
      </c>
      <c r="N247" t="n">
        <v>0</v>
      </c>
      <c r="O247" t="n">
        <v>0</v>
      </c>
      <c r="P247" t="n">
        <v>0</v>
      </c>
      <c r="Q247" t="n">
        <v>0</v>
      </c>
      <c r="R247" s="2" t="inlineStr"/>
    </row>
    <row r="248" ht="15" customHeight="1">
      <c r="A248" t="inlineStr">
        <is>
          <t>A 12428-2024</t>
        </is>
      </c>
      <c r="B248" s="1" t="n">
        <v>45379</v>
      </c>
      <c r="C248" s="1" t="n">
        <v>46003</v>
      </c>
      <c r="D248" t="inlineStr">
        <is>
          <t>ÖSTERGÖTLANDS LÄN</t>
        </is>
      </c>
      <c r="E248" t="inlineStr">
        <is>
          <t>LINKÖPING</t>
        </is>
      </c>
      <c r="G248" t="n">
        <v>1</v>
      </c>
      <c r="H248" t="n">
        <v>0</v>
      </c>
      <c r="I248" t="n">
        <v>0</v>
      </c>
      <c r="J248" t="n">
        <v>0</v>
      </c>
      <c r="K248" t="n">
        <v>0</v>
      </c>
      <c r="L248" t="n">
        <v>0</v>
      </c>
      <c r="M248" t="n">
        <v>0</v>
      </c>
      <c r="N248" t="n">
        <v>0</v>
      </c>
      <c r="O248" t="n">
        <v>0</v>
      </c>
      <c r="P248" t="n">
        <v>0</v>
      </c>
      <c r="Q248" t="n">
        <v>0</v>
      </c>
      <c r="R248" s="2" t="inlineStr"/>
    </row>
    <row r="249" ht="15" customHeight="1">
      <c r="A249" t="inlineStr">
        <is>
          <t>A 36336-2022</t>
        </is>
      </c>
      <c r="B249" s="1" t="n">
        <v>44803</v>
      </c>
      <c r="C249" s="1" t="n">
        <v>46003</v>
      </c>
      <c r="D249" t="inlineStr">
        <is>
          <t>ÖSTERGÖTLANDS LÄN</t>
        </is>
      </c>
      <c r="E249" t="inlineStr">
        <is>
          <t>LINKÖPING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13922-2021</t>
        </is>
      </c>
      <c r="B250" s="1" t="n">
        <v>44277.45946759259</v>
      </c>
      <c r="C250" s="1" t="n">
        <v>46003</v>
      </c>
      <c r="D250" t="inlineStr">
        <is>
          <t>ÖSTERGÖTLANDS LÄN</t>
        </is>
      </c>
      <c r="E250" t="inlineStr">
        <is>
          <t>LINKÖPING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48839-2022</t>
        </is>
      </c>
      <c r="B251" s="1" t="n">
        <v>44859</v>
      </c>
      <c r="C251" s="1" t="n">
        <v>46003</v>
      </c>
      <c r="D251" t="inlineStr">
        <is>
          <t>ÖSTERGÖTLANDS LÄN</t>
        </is>
      </c>
      <c r="E251" t="inlineStr">
        <is>
          <t>LINKÖPING</t>
        </is>
      </c>
      <c r="F251" t="inlineStr">
        <is>
          <t>Övriga Aktiebolag</t>
        </is>
      </c>
      <c r="G251" t="n">
        <v>0.6</v>
      </c>
      <c r="H251" t="n">
        <v>0</v>
      </c>
      <c r="I251" t="n">
        <v>0</v>
      </c>
      <c r="J251" t="n">
        <v>0</v>
      </c>
      <c r="K251" t="n">
        <v>0</v>
      </c>
      <c r="L251" t="n">
        <v>0</v>
      </c>
      <c r="M251" t="n">
        <v>0</v>
      </c>
      <c r="N251" t="n">
        <v>0</v>
      </c>
      <c r="O251" t="n">
        <v>0</v>
      </c>
      <c r="P251" t="n">
        <v>0</v>
      </c>
      <c r="Q251" t="n">
        <v>0</v>
      </c>
      <c r="R251" s="2" t="inlineStr"/>
    </row>
    <row r="252" ht="15" customHeight="1">
      <c r="A252" t="inlineStr">
        <is>
          <t>A 49747-2024</t>
        </is>
      </c>
      <c r="B252" s="1" t="n">
        <v>45596</v>
      </c>
      <c r="C252" s="1" t="n">
        <v>46003</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31725-2022</t>
        </is>
      </c>
      <c r="B253" s="1" t="n">
        <v>44776.48541666667</v>
      </c>
      <c r="C253" s="1" t="n">
        <v>46003</v>
      </c>
      <c r="D253" t="inlineStr">
        <is>
          <t>ÖSTERGÖTLANDS LÄN</t>
        </is>
      </c>
      <c r="E253" t="inlineStr">
        <is>
          <t>LINKÖPING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46225-2021</t>
        </is>
      </c>
      <c r="B254" s="1" t="n">
        <v>44442</v>
      </c>
      <c r="C254" s="1" t="n">
        <v>46003</v>
      </c>
      <c r="D254" t="inlineStr">
        <is>
          <t>ÖSTERGÖTLANDS LÄN</t>
        </is>
      </c>
      <c r="E254" t="inlineStr">
        <is>
          <t>LINKÖPING</t>
        </is>
      </c>
      <c r="G254" t="n">
        <v>2.9</v>
      </c>
      <c r="H254" t="n">
        <v>0</v>
      </c>
      <c r="I254" t="n">
        <v>0</v>
      </c>
      <c r="J254" t="n">
        <v>0</v>
      </c>
      <c r="K254" t="n">
        <v>0</v>
      </c>
      <c r="L254" t="n">
        <v>0</v>
      </c>
      <c r="M254" t="n">
        <v>0</v>
      </c>
      <c r="N254" t="n">
        <v>0</v>
      </c>
      <c r="O254" t="n">
        <v>0</v>
      </c>
      <c r="P254" t="n">
        <v>0</v>
      </c>
      <c r="Q254" t="n">
        <v>0</v>
      </c>
      <c r="R254" s="2" t="inlineStr"/>
    </row>
    <row r="255" ht="15" customHeight="1">
      <c r="A255" t="inlineStr">
        <is>
          <t>A 54428-2022</t>
        </is>
      </c>
      <c r="B255" s="1" t="n">
        <v>44882.57643518518</v>
      </c>
      <c r="C255" s="1" t="n">
        <v>46003</v>
      </c>
      <c r="D255" t="inlineStr">
        <is>
          <t>ÖSTERGÖTLANDS LÄN</t>
        </is>
      </c>
      <c r="E255" t="inlineStr">
        <is>
          <t>LINKÖPING</t>
        </is>
      </c>
      <c r="G255" t="n">
        <v>1.4</v>
      </c>
      <c r="H255" t="n">
        <v>0</v>
      </c>
      <c r="I255" t="n">
        <v>0</v>
      </c>
      <c r="J255" t="n">
        <v>0</v>
      </c>
      <c r="K255" t="n">
        <v>0</v>
      </c>
      <c r="L255" t="n">
        <v>0</v>
      </c>
      <c r="M255" t="n">
        <v>0</v>
      </c>
      <c r="N255" t="n">
        <v>0</v>
      </c>
      <c r="O255" t="n">
        <v>0</v>
      </c>
      <c r="P255" t="n">
        <v>0</v>
      </c>
      <c r="Q255" t="n">
        <v>0</v>
      </c>
      <c r="R255" s="2" t="inlineStr"/>
    </row>
    <row r="256" ht="15" customHeight="1">
      <c r="A256" t="inlineStr">
        <is>
          <t>A 6387-2022</t>
        </is>
      </c>
      <c r="B256" s="1" t="n">
        <v>44600</v>
      </c>
      <c r="C256" s="1" t="n">
        <v>46003</v>
      </c>
      <c r="D256" t="inlineStr">
        <is>
          <t>ÖSTERGÖTLANDS LÄN</t>
        </is>
      </c>
      <c r="E256" t="inlineStr">
        <is>
          <t>LINKÖPING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34641-2022</t>
        </is>
      </c>
      <c r="B257" s="1" t="n">
        <v>44795</v>
      </c>
      <c r="C257" s="1" t="n">
        <v>46003</v>
      </c>
      <c r="D257" t="inlineStr">
        <is>
          <t>ÖSTERGÖTLANDS LÄN</t>
        </is>
      </c>
      <c r="E257" t="inlineStr">
        <is>
          <t>LINKÖPING</t>
        </is>
      </c>
      <c r="G257" t="n">
        <v>2.4</v>
      </c>
      <c r="H257" t="n">
        <v>0</v>
      </c>
      <c r="I257" t="n">
        <v>0</v>
      </c>
      <c r="J257" t="n">
        <v>0</v>
      </c>
      <c r="K257" t="n">
        <v>0</v>
      </c>
      <c r="L257" t="n">
        <v>0</v>
      </c>
      <c r="M257" t="n">
        <v>0</v>
      </c>
      <c r="N257" t="n">
        <v>0</v>
      </c>
      <c r="O257" t="n">
        <v>0</v>
      </c>
      <c r="P257" t="n">
        <v>0</v>
      </c>
      <c r="Q257" t="n">
        <v>0</v>
      </c>
      <c r="R257" s="2" t="inlineStr"/>
    </row>
    <row r="258" ht="15" customHeight="1">
      <c r="A258" t="inlineStr">
        <is>
          <t>A 13687-2025</t>
        </is>
      </c>
      <c r="B258" s="1" t="n">
        <v>45737.31425925926</v>
      </c>
      <c r="C258" s="1" t="n">
        <v>46003</v>
      </c>
      <c r="D258" t="inlineStr">
        <is>
          <t>ÖSTERGÖTLANDS LÄN</t>
        </is>
      </c>
      <c r="E258" t="inlineStr">
        <is>
          <t>LINKÖPING</t>
        </is>
      </c>
      <c r="G258" t="n">
        <v>2.7</v>
      </c>
      <c r="H258" t="n">
        <v>0</v>
      </c>
      <c r="I258" t="n">
        <v>0</v>
      </c>
      <c r="J258" t="n">
        <v>0</v>
      </c>
      <c r="K258" t="n">
        <v>0</v>
      </c>
      <c r="L258" t="n">
        <v>0</v>
      </c>
      <c r="M258" t="n">
        <v>0</v>
      </c>
      <c r="N258" t="n">
        <v>0</v>
      </c>
      <c r="O258" t="n">
        <v>0</v>
      </c>
      <c r="P258" t="n">
        <v>0</v>
      </c>
      <c r="Q258" t="n">
        <v>0</v>
      </c>
      <c r="R258" s="2" t="inlineStr"/>
    </row>
    <row r="259" ht="15" customHeight="1">
      <c r="A259" t="inlineStr">
        <is>
          <t>A 13695-2025</t>
        </is>
      </c>
      <c r="B259" s="1" t="n">
        <v>45737.32219907407</v>
      </c>
      <c r="C259" s="1" t="n">
        <v>46003</v>
      </c>
      <c r="D259" t="inlineStr">
        <is>
          <t>ÖSTERGÖTLANDS LÄN</t>
        </is>
      </c>
      <c r="E259" t="inlineStr">
        <is>
          <t>LINKÖPING</t>
        </is>
      </c>
      <c r="G259" t="n">
        <v>5.3</v>
      </c>
      <c r="H259" t="n">
        <v>0</v>
      </c>
      <c r="I259" t="n">
        <v>0</v>
      </c>
      <c r="J259" t="n">
        <v>0</v>
      </c>
      <c r="K259" t="n">
        <v>0</v>
      </c>
      <c r="L259" t="n">
        <v>0</v>
      </c>
      <c r="M259" t="n">
        <v>0</v>
      </c>
      <c r="N259" t="n">
        <v>0</v>
      </c>
      <c r="O259" t="n">
        <v>0</v>
      </c>
      <c r="P259" t="n">
        <v>0</v>
      </c>
      <c r="Q259" t="n">
        <v>0</v>
      </c>
      <c r="R259" s="2" t="inlineStr"/>
    </row>
    <row r="260" ht="15" customHeight="1">
      <c r="A260" t="inlineStr">
        <is>
          <t>A 11790-2024</t>
        </is>
      </c>
      <c r="B260" s="1" t="n">
        <v>45374</v>
      </c>
      <c r="C260" s="1" t="n">
        <v>46003</v>
      </c>
      <c r="D260" t="inlineStr">
        <is>
          <t>ÖSTERGÖTLANDS LÄN</t>
        </is>
      </c>
      <c r="E260" t="inlineStr">
        <is>
          <t>LINKÖPING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48962-2022</t>
        </is>
      </c>
      <c r="B261" s="1" t="n">
        <v>44860.31635416667</v>
      </c>
      <c r="C261" s="1" t="n">
        <v>46003</v>
      </c>
      <c r="D261" t="inlineStr">
        <is>
          <t>ÖSTERGÖTLANDS LÄN</t>
        </is>
      </c>
      <c r="E261" t="inlineStr">
        <is>
          <t>LINKÖPING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53647-2021</t>
        </is>
      </c>
      <c r="B262" s="1" t="n">
        <v>44469</v>
      </c>
      <c r="C262" s="1" t="n">
        <v>46003</v>
      </c>
      <c r="D262" t="inlineStr">
        <is>
          <t>ÖSTERGÖTLANDS LÄN</t>
        </is>
      </c>
      <c r="E262" t="inlineStr">
        <is>
          <t>LINKÖPING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22772-2024</t>
        </is>
      </c>
      <c r="B263" s="1" t="n">
        <v>45448.46712962963</v>
      </c>
      <c r="C263" s="1" t="n">
        <v>46003</v>
      </c>
      <c r="D263" t="inlineStr">
        <is>
          <t>ÖSTERGÖTLANDS LÄN</t>
        </is>
      </c>
      <c r="E263" t="inlineStr">
        <is>
          <t>LINKÖPING</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18916-2024</t>
        </is>
      </c>
      <c r="B264" s="1" t="n">
        <v>45427.39541666667</v>
      </c>
      <c r="C264" s="1" t="n">
        <v>46003</v>
      </c>
      <c r="D264" t="inlineStr">
        <is>
          <t>ÖSTERGÖTLANDS LÄN</t>
        </is>
      </c>
      <c r="E264" t="inlineStr">
        <is>
          <t>LINKÖPING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2389-2023</t>
        </is>
      </c>
      <c r="B265" s="1" t="n">
        <v>44942</v>
      </c>
      <c r="C265" s="1" t="n">
        <v>46003</v>
      </c>
      <c r="D265" t="inlineStr">
        <is>
          <t>ÖSTERGÖTLANDS LÄN</t>
        </is>
      </c>
      <c r="E265" t="inlineStr">
        <is>
          <t>LINKÖPING</t>
        </is>
      </c>
      <c r="G265" t="n">
        <v>3.3</v>
      </c>
      <c r="H265" t="n">
        <v>0</v>
      </c>
      <c r="I265" t="n">
        <v>0</v>
      </c>
      <c r="J265" t="n">
        <v>0</v>
      </c>
      <c r="K265" t="n">
        <v>0</v>
      </c>
      <c r="L265" t="n">
        <v>0</v>
      </c>
      <c r="M265" t="n">
        <v>0</v>
      </c>
      <c r="N265" t="n">
        <v>0</v>
      </c>
      <c r="O265" t="n">
        <v>0</v>
      </c>
      <c r="P265" t="n">
        <v>0</v>
      </c>
      <c r="Q265" t="n">
        <v>0</v>
      </c>
      <c r="R265" s="2" t="inlineStr"/>
    </row>
    <row r="266" ht="15" customHeight="1">
      <c r="A266" t="inlineStr">
        <is>
          <t>A 52413-2023</t>
        </is>
      </c>
      <c r="B266" s="1" t="n">
        <v>45225.27950231481</v>
      </c>
      <c r="C266" s="1" t="n">
        <v>46003</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3627-2023</t>
        </is>
      </c>
      <c r="B267" s="1" t="n">
        <v>44950.64782407408</v>
      </c>
      <c r="C267" s="1" t="n">
        <v>46003</v>
      </c>
      <c r="D267" t="inlineStr">
        <is>
          <t>ÖSTERGÖTLANDS LÄN</t>
        </is>
      </c>
      <c r="E267" t="inlineStr">
        <is>
          <t>LINKÖPING</t>
        </is>
      </c>
      <c r="G267" t="n">
        <v>3.1</v>
      </c>
      <c r="H267" t="n">
        <v>0</v>
      </c>
      <c r="I267" t="n">
        <v>0</v>
      </c>
      <c r="J267" t="n">
        <v>0</v>
      </c>
      <c r="K267" t="n">
        <v>0</v>
      </c>
      <c r="L267" t="n">
        <v>0</v>
      </c>
      <c r="M267" t="n">
        <v>0</v>
      </c>
      <c r="N267" t="n">
        <v>0</v>
      </c>
      <c r="O267" t="n">
        <v>0</v>
      </c>
      <c r="P267" t="n">
        <v>0</v>
      </c>
      <c r="Q267" t="n">
        <v>0</v>
      </c>
      <c r="R267" s="2" t="inlineStr"/>
    </row>
    <row r="268" ht="15" customHeight="1">
      <c r="A268" t="inlineStr">
        <is>
          <t>A 62687-2023</t>
        </is>
      </c>
      <c r="B268" s="1" t="n">
        <v>45271</v>
      </c>
      <c r="C268" s="1" t="n">
        <v>46003</v>
      </c>
      <c r="D268" t="inlineStr">
        <is>
          <t>ÖSTERGÖTLANDS LÄN</t>
        </is>
      </c>
      <c r="E268" t="inlineStr">
        <is>
          <t>LINKÖPING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24586-2024</t>
        </is>
      </c>
      <c r="B269" s="1" t="n">
        <v>45460.46664351852</v>
      </c>
      <c r="C269" s="1" t="n">
        <v>46003</v>
      </c>
      <c r="D269" t="inlineStr">
        <is>
          <t>ÖSTERGÖTLANDS LÄN</t>
        </is>
      </c>
      <c r="E269" t="inlineStr">
        <is>
          <t>LINKÖPING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42054-2022</t>
        </is>
      </c>
      <c r="B270" s="1" t="n">
        <v>44830</v>
      </c>
      <c r="C270" s="1" t="n">
        <v>46003</v>
      </c>
      <c r="D270" t="inlineStr">
        <is>
          <t>ÖSTERGÖTLANDS LÄN</t>
        </is>
      </c>
      <c r="E270" t="inlineStr">
        <is>
          <t>LINKÖPING</t>
        </is>
      </c>
      <c r="G270" t="n">
        <v>1.7</v>
      </c>
      <c r="H270" t="n">
        <v>0</v>
      </c>
      <c r="I270" t="n">
        <v>0</v>
      </c>
      <c r="J270" t="n">
        <v>0</v>
      </c>
      <c r="K270" t="n">
        <v>0</v>
      </c>
      <c r="L270" t="n">
        <v>0</v>
      </c>
      <c r="M270" t="n">
        <v>0</v>
      </c>
      <c r="N270" t="n">
        <v>0</v>
      </c>
      <c r="O270" t="n">
        <v>0</v>
      </c>
      <c r="P270" t="n">
        <v>0</v>
      </c>
      <c r="Q270" t="n">
        <v>0</v>
      </c>
      <c r="R270" s="2" t="inlineStr"/>
    </row>
    <row r="271" ht="15" customHeight="1">
      <c r="A271" t="inlineStr">
        <is>
          <t>A 53797-2023</t>
        </is>
      </c>
      <c r="B271" s="1" t="n">
        <v>45230</v>
      </c>
      <c r="C271" s="1" t="n">
        <v>46003</v>
      </c>
      <c r="D271" t="inlineStr">
        <is>
          <t>ÖSTERGÖTLANDS LÄN</t>
        </is>
      </c>
      <c r="E271" t="inlineStr">
        <is>
          <t>LINKÖPING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17124-2025</t>
        </is>
      </c>
      <c r="B272" s="1" t="n">
        <v>45755.69678240741</v>
      </c>
      <c r="C272" s="1" t="n">
        <v>46003</v>
      </c>
      <c r="D272" t="inlineStr">
        <is>
          <t>ÖSTERGÖTLANDS LÄN</t>
        </is>
      </c>
      <c r="E272" t="inlineStr">
        <is>
          <t>LINKÖPING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17126-2025</t>
        </is>
      </c>
      <c r="B273" s="1" t="n">
        <v>45755.70814814815</v>
      </c>
      <c r="C273" s="1" t="n">
        <v>46003</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17143-2025</t>
        </is>
      </c>
      <c r="B274" s="1" t="n">
        <v>45755.92731481481</v>
      </c>
      <c r="C274" s="1" t="n">
        <v>46003</v>
      </c>
      <c r="D274" t="inlineStr">
        <is>
          <t>ÖSTERGÖTLANDS LÄN</t>
        </is>
      </c>
      <c r="E274" t="inlineStr">
        <is>
          <t>LINKÖPING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21782-2024</t>
        </is>
      </c>
      <c r="B275" s="1" t="n">
        <v>45442.63368055555</v>
      </c>
      <c r="C275" s="1" t="n">
        <v>46003</v>
      </c>
      <c r="D275" t="inlineStr">
        <is>
          <t>ÖSTERGÖTLANDS LÄN</t>
        </is>
      </c>
      <c r="E275" t="inlineStr">
        <is>
          <t>LINKÖPING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39017-2021</t>
        </is>
      </c>
      <c r="B276" s="1" t="n">
        <v>44412</v>
      </c>
      <c r="C276" s="1" t="n">
        <v>46003</v>
      </c>
      <c r="D276" t="inlineStr">
        <is>
          <t>ÖSTERGÖTLANDS LÄN</t>
        </is>
      </c>
      <c r="E276" t="inlineStr">
        <is>
          <t>LINKÖPING</t>
        </is>
      </c>
      <c r="F276" t="inlineStr">
        <is>
          <t>Övriga statliga verk och myndigheter</t>
        </is>
      </c>
      <c r="G276" t="n">
        <v>0.8</v>
      </c>
      <c r="H276" t="n">
        <v>0</v>
      </c>
      <c r="I276" t="n">
        <v>0</v>
      </c>
      <c r="J276" t="n">
        <v>0</v>
      </c>
      <c r="K276" t="n">
        <v>0</v>
      </c>
      <c r="L276" t="n">
        <v>0</v>
      </c>
      <c r="M276" t="n">
        <v>0</v>
      </c>
      <c r="N276" t="n">
        <v>0</v>
      </c>
      <c r="O276" t="n">
        <v>0</v>
      </c>
      <c r="P276" t="n">
        <v>0</v>
      </c>
      <c r="Q276" t="n">
        <v>0</v>
      </c>
      <c r="R276" s="2" t="inlineStr"/>
    </row>
    <row r="277" ht="15" customHeight="1">
      <c r="A277" t="inlineStr">
        <is>
          <t>A 18891-2022</t>
        </is>
      </c>
      <c r="B277" s="1" t="n">
        <v>44690</v>
      </c>
      <c r="C277" s="1" t="n">
        <v>46003</v>
      </c>
      <c r="D277" t="inlineStr">
        <is>
          <t>ÖSTERGÖTLANDS LÄN</t>
        </is>
      </c>
      <c r="E277" t="inlineStr">
        <is>
          <t>LINKÖPING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22833-2023</t>
        </is>
      </c>
      <c r="B278" s="1" t="n">
        <v>45071</v>
      </c>
      <c r="C278" s="1" t="n">
        <v>46003</v>
      </c>
      <c r="D278" t="inlineStr">
        <is>
          <t>ÖSTERGÖTLANDS LÄN</t>
        </is>
      </c>
      <c r="E278" t="inlineStr">
        <is>
          <t>LINKÖPING</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16820-2024</t>
        </is>
      </c>
      <c r="B279" s="1" t="n">
        <v>45411.46809027778</v>
      </c>
      <c r="C279" s="1" t="n">
        <v>46003</v>
      </c>
      <c r="D279" t="inlineStr">
        <is>
          <t>ÖSTERGÖTLANDS LÄN</t>
        </is>
      </c>
      <c r="E279" t="inlineStr">
        <is>
          <t>LINKÖPING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17898-2022</t>
        </is>
      </c>
      <c r="B280" s="1" t="n">
        <v>44683</v>
      </c>
      <c r="C280" s="1" t="n">
        <v>46003</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26620-2023</t>
        </is>
      </c>
      <c r="B281" s="1" t="n">
        <v>45092.70390046296</v>
      </c>
      <c r="C281" s="1" t="n">
        <v>46003</v>
      </c>
      <c r="D281" t="inlineStr">
        <is>
          <t>ÖSTERGÖTLANDS LÄN</t>
        </is>
      </c>
      <c r="E281" t="inlineStr">
        <is>
          <t>LINKÖPING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62017-2024</t>
        </is>
      </c>
      <c r="B282" s="1" t="n">
        <v>45655.81140046296</v>
      </c>
      <c r="C282" s="1" t="n">
        <v>46003</v>
      </c>
      <c r="D282" t="inlineStr">
        <is>
          <t>ÖSTERGÖTLANDS LÄN</t>
        </is>
      </c>
      <c r="E282" t="inlineStr">
        <is>
          <t>LINKÖPING</t>
        </is>
      </c>
      <c r="G282" t="n">
        <v>1</v>
      </c>
      <c r="H282" t="n">
        <v>0</v>
      </c>
      <c r="I282" t="n">
        <v>0</v>
      </c>
      <c r="J282" t="n">
        <v>0</v>
      </c>
      <c r="K282" t="n">
        <v>0</v>
      </c>
      <c r="L282" t="n">
        <v>0</v>
      </c>
      <c r="M282" t="n">
        <v>0</v>
      </c>
      <c r="N282" t="n">
        <v>0</v>
      </c>
      <c r="O282" t="n">
        <v>0</v>
      </c>
      <c r="P282" t="n">
        <v>0</v>
      </c>
      <c r="Q282" t="n">
        <v>0</v>
      </c>
      <c r="R282" s="2" t="inlineStr"/>
    </row>
    <row r="283" ht="15" customHeight="1">
      <c r="A283" t="inlineStr">
        <is>
          <t>A 30980-2022</t>
        </is>
      </c>
      <c r="B283" s="1" t="n">
        <v>44768</v>
      </c>
      <c r="C283" s="1" t="n">
        <v>46003</v>
      </c>
      <c r="D283" t="inlineStr">
        <is>
          <t>ÖSTERGÖTLANDS LÄN</t>
        </is>
      </c>
      <c r="E283" t="inlineStr">
        <is>
          <t>LINKÖPING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12411-2022</t>
        </is>
      </c>
      <c r="B284" s="1" t="n">
        <v>44638.21601851852</v>
      </c>
      <c r="C284" s="1" t="n">
        <v>46003</v>
      </c>
      <c r="D284" t="inlineStr">
        <is>
          <t>ÖSTERGÖTLANDS LÄN</t>
        </is>
      </c>
      <c r="E284" t="inlineStr">
        <is>
          <t>LINKÖPING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10492-2022</t>
        </is>
      </c>
      <c r="B285" s="1" t="n">
        <v>44623.6377199074</v>
      </c>
      <c r="C285" s="1" t="n">
        <v>46003</v>
      </c>
      <c r="D285" t="inlineStr">
        <is>
          <t>ÖSTERGÖTLANDS LÄN</t>
        </is>
      </c>
      <c r="E285" t="inlineStr">
        <is>
          <t>LINKÖPING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56180-2024</t>
        </is>
      </c>
      <c r="B286" s="1" t="n">
        <v>45624.56611111111</v>
      </c>
      <c r="C286" s="1" t="n">
        <v>46003</v>
      </c>
      <c r="D286" t="inlineStr">
        <is>
          <t>ÖSTERGÖTLANDS LÄN</t>
        </is>
      </c>
      <c r="E286" t="inlineStr">
        <is>
          <t>LINKÖPING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24351-2024</t>
        </is>
      </c>
      <c r="B287" s="1" t="n">
        <v>45457.59011574074</v>
      </c>
      <c r="C287" s="1" t="n">
        <v>46003</v>
      </c>
      <c r="D287" t="inlineStr">
        <is>
          <t>ÖSTERGÖTLANDS LÄN</t>
        </is>
      </c>
      <c r="E287" t="inlineStr">
        <is>
          <t>LINKÖPING</t>
        </is>
      </c>
      <c r="G287" t="n">
        <v>11.9</v>
      </c>
      <c r="H287" t="n">
        <v>0</v>
      </c>
      <c r="I287" t="n">
        <v>0</v>
      </c>
      <c r="J287" t="n">
        <v>0</v>
      </c>
      <c r="K287" t="n">
        <v>0</v>
      </c>
      <c r="L287" t="n">
        <v>0</v>
      </c>
      <c r="M287" t="n">
        <v>0</v>
      </c>
      <c r="N287" t="n">
        <v>0</v>
      </c>
      <c r="O287" t="n">
        <v>0</v>
      </c>
      <c r="P287" t="n">
        <v>0</v>
      </c>
      <c r="Q287" t="n">
        <v>0</v>
      </c>
      <c r="R287" s="2" t="inlineStr"/>
    </row>
    <row r="288" ht="15" customHeight="1">
      <c r="A288" t="inlineStr">
        <is>
          <t>A 938-2023</t>
        </is>
      </c>
      <c r="B288" s="1" t="n">
        <v>44933</v>
      </c>
      <c r="C288" s="1" t="n">
        <v>46003</v>
      </c>
      <c r="D288" t="inlineStr">
        <is>
          <t>ÖSTERGÖTLANDS LÄN</t>
        </is>
      </c>
      <c r="E288" t="inlineStr">
        <is>
          <t>LINKÖPING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25418-2023</t>
        </is>
      </c>
      <c r="B289" s="1" t="n">
        <v>45089</v>
      </c>
      <c r="C289" s="1" t="n">
        <v>46003</v>
      </c>
      <c r="D289" t="inlineStr">
        <is>
          <t>ÖSTERGÖTLANDS LÄN</t>
        </is>
      </c>
      <c r="E289" t="inlineStr">
        <is>
          <t>LINKÖPING</t>
        </is>
      </c>
      <c r="F289" t="inlineStr">
        <is>
          <t>Övriga Aktiebolag</t>
        </is>
      </c>
      <c r="G289" t="n">
        <v>2.4</v>
      </c>
      <c r="H289" t="n">
        <v>0</v>
      </c>
      <c r="I289" t="n">
        <v>0</v>
      </c>
      <c r="J289" t="n">
        <v>0</v>
      </c>
      <c r="K289" t="n">
        <v>0</v>
      </c>
      <c r="L289" t="n">
        <v>0</v>
      </c>
      <c r="M289" t="n">
        <v>0</v>
      </c>
      <c r="N289" t="n">
        <v>0</v>
      </c>
      <c r="O289" t="n">
        <v>0</v>
      </c>
      <c r="P289" t="n">
        <v>0</v>
      </c>
      <c r="Q289" t="n">
        <v>0</v>
      </c>
      <c r="R289" s="2" t="inlineStr"/>
    </row>
    <row r="290" ht="15" customHeight="1">
      <c r="A290" t="inlineStr">
        <is>
          <t>A 62501-2023</t>
        </is>
      </c>
      <c r="B290" s="1" t="n">
        <v>45268</v>
      </c>
      <c r="C290" s="1" t="n">
        <v>46003</v>
      </c>
      <c r="D290" t="inlineStr">
        <is>
          <t>ÖSTERGÖTLANDS LÄN</t>
        </is>
      </c>
      <c r="E290" t="inlineStr">
        <is>
          <t>LINKÖPING</t>
        </is>
      </c>
      <c r="G290" t="n">
        <v>7.4</v>
      </c>
      <c r="H290" t="n">
        <v>0</v>
      </c>
      <c r="I290" t="n">
        <v>0</v>
      </c>
      <c r="J290" t="n">
        <v>0</v>
      </c>
      <c r="K290" t="n">
        <v>0</v>
      </c>
      <c r="L290" t="n">
        <v>0</v>
      </c>
      <c r="M290" t="n">
        <v>0</v>
      </c>
      <c r="N290" t="n">
        <v>0</v>
      </c>
      <c r="O290" t="n">
        <v>0</v>
      </c>
      <c r="P290" t="n">
        <v>0</v>
      </c>
      <c r="Q290" t="n">
        <v>0</v>
      </c>
      <c r="R290" s="2" t="inlineStr"/>
    </row>
    <row r="291" ht="15" customHeight="1">
      <c r="A291" t="inlineStr">
        <is>
          <t>A 60007-2022</t>
        </is>
      </c>
      <c r="B291" s="1" t="n">
        <v>44909.47282407407</v>
      </c>
      <c r="C291" s="1" t="n">
        <v>46003</v>
      </c>
      <c r="D291" t="inlineStr">
        <is>
          <t>ÖSTERGÖTLANDS LÄN</t>
        </is>
      </c>
      <c r="E291" t="inlineStr">
        <is>
          <t>LINKÖPING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58947-2022</t>
        </is>
      </c>
      <c r="B292" s="1" t="n">
        <v>44903.64769675926</v>
      </c>
      <c r="C292" s="1" t="n">
        <v>46003</v>
      </c>
      <c r="D292" t="inlineStr">
        <is>
          <t>ÖSTERGÖTLANDS LÄN</t>
        </is>
      </c>
      <c r="E292" t="inlineStr">
        <is>
          <t>LINKÖPING</t>
        </is>
      </c>
      <c r="G292" t="n">
        <v>4</v>
      </c>
      <c r="H292" t="n">
        <v>0</v>
      </c>
      <c r="I292" t="n">
        <v>0</v>
      </c>
      <c r="J292" t="n">
        <v>0</v>
      </c>
      <c r="K292" t="n">
        <v>0</v>
      </c>
      <c r="L292" t="n">
        <v>0</v>
      </c>
      <c r="M292" t="n">
        <v>0</v>
      </c>
      <c r="N292" t="n">
        <v>0</v>
      </c>
      <c r="O292" t="n">
        <v>0</v>
      </c>
      <c r="P292" t="n">
        <v>0</v>
      </c>
      <c r="Q292" t="n">
        <v>0</v>
      </c>
      <c r="R292" s="2" t="inlineStr"/>
    </row>
    <row r="293" ht="15" customHeight="1">
      <c r="A293" t="inlineStr">
        <is>
          <t>A 49979-2022</t>
        </is>
      </c>
      <c r="B293" s="1" t="n">
        <v>44865</v>
      </c>
      <c r="C293" s="1" t="n">
        <v>46003</v>
      </c>
      <c r="D293" t="inlineStr">
        <is>
          <t>ÖSTERGÖTLANDS LÄN</t>
        </is>
      </c>
      <c r="E293" t="inlineStr">
        <is>
          <t>LINKÖPING</t>
        </is>
      </c>
      <c r="F293" t="inlineStr">
        <is>
          <t>Övriga Aktiebolag</t>
        </is>
      </c>
      <c r="G293" t="n">
        <v>11.4</v>
      </c>
      <c r="H293" t="n">
        <v>0</v>
      </c>
      <c r="I293" t="n">
        <v>0</v>
      </c>
      <c r="J293" t="n">
        <v>0</v>
      </c>
      <c r="K293" t="n">
        <v>0</v>
      </c>
      <c r="L293" t="n">
        <v>0</v>
      </c>
      <c r="M293" t="n">
        <v>0</v>
      </c>
      <c r="N293" t="n">
        <v>0</v>
      </c>
      <c r="O293" t="n">
        <v>0</v>
      </c>
      <c r="P293" t="n">
        <v>0</v>
      </c>
      <c r="Q293" t="n">
        <v>0</v>
      </c>
      <c r="R293" s="2" t="inlineStr"/>
    </row>
    <row r="294" ht="15" customHeight="1">
      <c r="A294" t="inlineStr">
        <is>
          <t>A 53827-2023</t>
        </is>
      </c>
      <c r="B294" s="1" t="n">
        <v>45230</v>
      </c>
      <c r="C294" s="1" t="n">
        <v>46003</v>
      </c>
      <c r="D294" t="inlineStr">
        <is>
          <t>ÖSTERGÖTLANDS LÄN</t>
        </is>
      </c>
      <c r="E294" t="inlineStr">
        <is>
          <t>LINKÖPING</t>
        </is>
      </c>
      <c r="G294" t="n">
        <v>1.6</v>
      </c>
      <c r="H294" t="n">
        <v>0</v>
      </c>
      <c r="I294" t="n">
        <v>0</v>
      </c>
      <c r="J294" t="n">
        <v>0</v>
      </c>
      <c r="K294" t="n">
        <v>0</v>
      </c>
      <c r="L294" t="n">
        <v>0</v>
      </c>
      <c r="M294" t="n">
        <v>0</v>
      </c>
      <c r="N294" t="n">
        <v>0</v>
      </c>
      <c r="O294" t="n">
        <v>0</v>
      </c>
      <c r="P294" t="n">
        <v>0</v>
      </c>
      <c r="Q294" t="n">
        <v>0</v>
      </c>
      <c r="R294" s="2" t="inlineStr"/>
    </row>
    <row r="295" ht="15" customHeight="1">
      <c r="A295" t="inlineStr">
        <is>
          <t>A 7343-2025</t>
        </is>
      </c>
      <c r="B295" s="1" t="n">
        <v>45703.67853009259</v>
      </c>
      <c r="C295" s="1" t="n">
        <v>46003</v>
      </c>
      <c r="D295" t="inlineStr">
        <is>
          <t>ÖSTERGÖTLANDS LÄN</t>
        </is>
      </c>
      <c r="E295" t="inlineStr">
        <is>
          <t>LINKÖPING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940-2023</t>
        </is>
      </c>
      <c r="B296" s="1" t="n">
        <v>44933</v>
      </c>
      <c r="C296" s="1" t="n">
        <v>46003</v>
      </c>
      <c r="D296" t="inlineStr">
        <is>
          <t>ÖSTERGÖTLANDS LÄN</t>
        </is>
      </c>
      <c r="E296" t="inlineStr">
        <is>
          <t>LINKÖPING</t>
        </is>
      </c>
      <c r="G296" t="n">
        <v>1.5</v>
      </c>
      <c r="H296" t="n">
        <v>0</v>
      </c>
      <c r="I296" t="n">
        <v>0</v>
      </c>
      <c r="J296" t="n">
        <v>0</v>
      </c>
      <c r="K296" t="n">
        <v>0</v>
      </c>
      <c r="L296" t="n">
        <v>0</v>
      </c>
      <c r="M296" t="n">
        <v>0</v>
      </c>
      <c r="N296" t="n">
        <v>0</v>
      </c>
      <c r="O296" t="n">
        <v>0</v>
      </c>
      <c r="P296" t="n">
        <v>0</v>
      </c>
      <c r="Q296" t="n">
        <v>0</v>
      </c>
      <c r="R296" s="2" t="inlineStr"/>
    </row>
    <row r="297" ht="15" customHeight="1">
      <c r="A297" t="inlineStr">
        <is>
          <t>A 8967-2025</t>
        </is>
      </c>
      <c r="B297" s="1" t="n">
        <v>45712</v>
      </c>
      <c r="C297" s="1" t="n">
        <v>46003</v>
      </c>
      <c r="D297" t="inlineStr">
        <is>
          <t>ÖSTERGÖTLANDS LÄN</t>
        </is>
      </c>
      <c r="E297" t="inlineStr">
        <is>
          <t>LINKÖPING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11601-2023</t>
        </is>
      </c>
      <c r="B298" s="1" t="n">
        <v>44994</v>
      </c>
      <c r="C298" s="1" t="n">
        <v>46003</v>
      </c>
      <c r="D298" t="inlineStr">
        <is>
          <t>ÖSTERGÖTLANDS LÄN</t>
        </is>
      </c>
      <c r="E298" t="inlineStr">
        <is>
          <t>LINKÖPING</t>
        </is>
      </c>
      <c r="G298" t="n">
        <v>1.7</v>
      </c>
      <c r="H298" t="n">
        <v>0</v>
      </c>
      <c r="I298" t="n">
        <v>0</v>
      </c>
      <c r="J298" t="n">
        <v>0</v>
      </c>
      <c r="K298" t="n">
        <v>0</v>
      </c>
      <c r="L298" t="n">
        <v>0</v>
      </c>
      <c r="M298" t="n">
        <v>0</v>
      </c>
      <c r="N298" t="n">
        <v>0</v>
      </c>
      <c r="O298" t="n">
        <v>0</v>
      </c>
      <c r="P298" t="n">
        <v>0</v>
      </c>
      <c r="Q298" t="n">
        <v>0</v>
      </c>
      <c r="R298" s="2" t="inlineStr"/>
    </row>
    <row r="299" ht="15" customHeight="1">
      <c r="A299" t="inlineStr">
        <is>
          <t>A 57766-2023</t>
        </is>
      </c>
      <c r="B299" s="1" t="n">
        <v>45246</v>
      </c>
      <c r="C299" s="1" t="n">
        <v>46003</v>
      </c>
      <c r="D299" t="inlineStr">
        <is>
          <t>ÖSTERGÖTLANDS LÄN</t>
        </is>
      </c>
      <c r="E299" t="inlineStr">
        <is>
          <t>LINKÖPING</t>
        </is>
      </c>
      <c r="F299" t="inlineStr">
        <is>
          <t>Allmännings- och besparingsskogar</t>
        </is>
      </c>
      <c r="G299" t="n">
        <v>12.8</v>
      </c>
      <c r="H299" t="n">
        <v>0</v>
      </c>
      <c r="I299" t="n">
        <v>0</v>
      </c>
      <c r="J299" t="n">
        <v>0</v>
      </c>
      <c r="K299" t="n">
        <v>0</v>
      </c>
      <c r="L299" t="n">
        <v>0</v>
      </c>
      <c r="M299" t="n">
        <v>0</v>
      </c>
      <c r="N299" t="n">
        <v>0</v>
      </c>
      <c r="O299" t="n">
        <v>0</v>
      </c>
      <c r="P299" t="n">
        <v>0</v>
      </c>
      <c r="Q299" t="n">
        <v>0</v>
      </c>
      <c r="R299" s="2" t="inlineStr"/>
    </row>
    <row r="300" ht="15" customHeight="1">
      <c r="A300" t="inlineStr">
        <is>
          <t>A 35427-2023</t>
        </is>
      </c>
      <c r="B300" s="1" t="n">
        <v>45146</v>
      </c>
      <c r="C300" s="1" t="n">
        <v>46003</v>
      </c>
      <c r="D300" t="inlineStr">
        <is>
          <t>ÖSTERGÖTLANDS LÄN</t>
        </is>
      </c>
      <c r="E300" t="inlineStr">
        <is>
          <t>LINKÖPING</t>
        </is>
      </c>
      <c r="F300" t="inlineStr">
        <is>
          <t>Övriga Aktiebolag</t>
        </is>
      </c>
      <c r="G300" t="n">
        <v>2.5</v>
      </c>
      <c r="H300" t="n">
        <v>0</v>
      </c>
      <c r="I300" t="n">
        <v>0</v>
      </c>
      <c r="J300" t="n">
        <v>0</v>
      </c>
      <c r="K300" t="n">
        <v>0</v>
      </c>
      <c r="L300" t="n">
        <v>0</v>
      </c>
      <c r="M300" t="n">
        <v>0</v>
      </c>
      <c r="N300" t="n">
        <v>0</v>
      </c>
      <c r="O300" t="n">
        <v>0</v>
      </c>
      <c r="P300" t="n">
        <v>0</v>
      </c>
      <c r="Q300" t="n">
        <v>0</v>
      </c>
      <c r="R300" s="2" t="inlineStr"/>
    </row>
    <row r="301" ht="15" customHeight="1">
      <c r="A301" t="inlineStr">
        <is>
          <t>A 30468-2023</t>
        </is>
      </c>
      <c r="B301" s="1" t="n">
        <v>45111.58732638889</v>
      </c>
      <c r="C301" s="1" t="n">
        <v>46003</v>
      </c>
      <c r="D301" t="inlineStr">
        <is>
          <t>ÖSTERGÖTLANDS LÄN</t>
        </is>
      </c>
      <c r="E301" t="inlineStr">
        <is>
          <t>LINKÖPING</t>
        </is>
      </c>
      <c r="G301" t="n">
        <v>10.1</v>
      </c>
      <c r="H301" t="n">
        <v>0</v>
      </c>
      <c r="I301" t="n">
        <v>0</v>
      </c>
      <c r="J301" t="n">
        <v>0</v>
      </c>
      <c r="K301" t="n">
        <v>0</v>
      </c>
      <c r="L301" t="n">
        <v>0</v>
      </c>
      <c r="M301" t="n">
        <v>0</v>
      </c>
      <c r="N301" t="n">
        <v>0</v>
      </c>
      <c r="O301" t="n">
        <v>0</v>
      </c>
      <c r="P301" t="n">
        <v>0</v>
      </c>
      <c r="Q301" t="n">
        <v>0</v>
      </c>
      <c r="R301" s="2" t="inlineStr"/>
    </row>
    <row r="302" ht="15" customHeight="1">
      <c r="A302" t="inlineStr">
        <is>
          <t>A 7992-2023</t>
        </is>
      </c>
      <c r="B302" s="1" t="n">
        <v>44970</v>
      </c>
      <c r="C302" s="1" t="n">
        <v>46003</v>
      </c>
      <c r="D302" t="inlineStr">
        <is>
          <t>ÖSTERGÖTLANDS LÄN</t>
        </is>
      </c>
      <c r="E302" t="inlineStr">
        <is>
          <t>LINKÖPING</t>
        </is>
      </c>
      <c r="F302" t="inlineStr">
        <is>
          <t>Kommuner</t>
        </is>
      </c>
      <c r="G302" t="n">
        <v>1</v>
      </c>
      <c r="H302" t="n">
        <v>0</v>
      </c>
      <c r="I302" t="n">
        <v>0</v>
      </c>
      <c r="J302" t="n">
        <v>0</v>
      </c>
      <c r="K302" t="n">
        <v>0</v>
      </c>
      <c r="L302" t="n">
        <v>0</v>
      </c>
      <c r="M302" t="n">
        <v>0</v>
      </c>
      <c r="N302" t="n">
        <v>0</v>
      </c>
      <c r="O302" t="n">
        <v>0</v>
      </c>
      <c r="P302" t="n">
        <v>0</v>
      </c>
      <c r="Q302" t="n">
        <v>0</v>
      </c>
      <c r="R302" s="2" t="inlineStr"/>
    </row>
    <row r="303" ht="15" customHeight="1">
      <c r="A303" t="inlineStr">
        <is>
          <t>A 45819-2024</t>
        </is>
      </c>
      <c r="B303" s="1" t="n">
        <v>45579.7454050926</v>
      </c>
      <c r="C303" s="1" t="n">
        <v>46003</v>
      </c>
      <c r="D303" t="inlineStr">
        <is>
          <t>ÖSTERGÖTLANDS LÄN</t>
        </is>
      </c>
      <c r="E303" t="inlineStr">
        <is>
          <t>LINKÖPING</t>
        </is>
      </c>
      <c r="G303" t="n">
        <v>5</v>
      </c>
      <c r="H303" t="n">
        <v>0</v>
      </c>
      <c r="I303" t="n">
        <v>0</v>
      </c>
      <c r="J303" t="n">
        <v>0</v>
      </c>
      <c r="K303" t="n">
        <v>0</v>
      </c>
      <c r="L303" t="n">
        <v>0</v>
      </c>
      <c r="M303" t="n">
        <v>0</v>
      </c>
      <c r="N303" t="n">
        <v>0</v>
      </c>
      <c r="O303" t="n">
        <v>0</v>
      </c>
      <c r="P303" t="n">
        <v>0</v>
      </c>
      <c r="Q303" t="n">
        <v>0</v>
      </c>
      <c r="R303" s="2" t="inlineStr"/>
    </row>
    <row r="304" ht="15" customHeight="1">
      <c r="A304" t="inlineStr">
        <is>
          <t>A 3041-2024</t>
        </is>
      </c>
      <c r="B304" s="1" t="n">
        <v>45316.34875</v>
      </c>
      <c r="C304" s="1" t="n">
        <v>46003</v>
      </c>
      <c r="D304" t="inlineStr">
        <is>
          <t>ÖSTERGÖTLANDS LÄN</t>
        </is>
      </c>
      <c r="E304" t="inlineStr">
        <is>
          <t>LINKÖPING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1260-2023</t>
        </is>
      </c>
      <c r="B305" s="1" t="n">
        <v>44936</v>
      </c>
      <c r="C305" s="1" t="n">
        <v>46003</v>
      </c>
      <c r="D305" t="inlineStr">
        <is>
          <t>ÖSTERGÖTLANDS LÄN</t>
        </is>
      </c>
      <c r="E305" t="inlineStr">
        <is>
          <t>LINKÖPING</t>
        </is>
      </c>
      <c r="G305" t="n">
        <v>1.2</v>
      </c>
      <c r="H305" t="n">
        <v>0</v>
      </c>
      <c r="I305" t="n">
        <v>0</v>
      </c>
      <c r="J305" t="n">
        <v>0</v>
      </c>
      <c r="K305" t="n">
        <v>0</v>
      </c>
      <c r="L305" t="n">
        <v>0</v>
      </c>
      <c r="M305" t="n">
        <v>0</v>
      </c>
      <c r="N305" t="n">
        <v>0</v>
      </c>
      <c r="O305" t="n">
        <v>0</v>
      </c>
      <c r="P305" t="n">
        <v>0</v>
      </c>
      <c r="Q305" t="n">
        <v>0</v>
      </c>
      <c r="R305" s="2" t="inlineStr"/>
    </row>
    <row r="306" ht="15" customHeight="1">
      <c r="A306" t="inlineStr">
        <is>
          <t>A 3530-2024</t>
        </is>
      </c>
      <c r="B306" s="1" t="n">
        <v>45320.54717592592</v>
      </c>
      <c r="C306" s="1" t="n">
        <v>46003</v>
      </c>
      <c r="D306" t="inlineStr">
        <is>
          <t>ÖSTERGÖTLANDS LÄN</t>
        </is>
      </c>
      <c r="E306" t="inlineStr">
        <is>
          <t>LINKÖPING</t>
        </is>
      </c>
      <c r="G306" t="n">
        <v>1.5</v>
      </c>
      <c r="H306" t="n">
        <v>0</v>
      </c>
      <c r="I306" t="n">
        <v>0</v>
      </c>
      <c r="J306" t="n">
        <v>0</v>
      </c>
      <c r="K306" t="n">
        <v>0</v>
      </c>
      <c r="L306" t="n">
        <v>0</v>
      </c>
      <c r="M306" t="n">
        <v>0</v>
      </c>
      <c r="N306" t="n">
        <v>0</v>
      </c>
      <c r="O306" t="n">
        <v>0</v>
      </c>
      <c r="P306" t="n">
        <v>0</v>
      </c>
      <c r="Q306" t="n">
        <v>0</v>
      </c>
      <c r="R306" s="2" t="inlineStr"/>
    </row>
    <row r="307" ht="15" customHeight="1">
      <c r="A307" t="inlineStr">
        <is>
          <t>A 7702-2023</t>
        </is>
      </c>
      <c r="B307" s="1" t="n">
        <v>44967</v>
      </c>
      <c r="C307" s="1" t="n">
        <v>46003</v>
      </c>
      <c r="D307" t="inlineStr">
        <is>
          <t>ÖSTERGÖTLANDS LÄN</t>
        </is>
      </c>
      <c r="E307" t="inlineStr">
        <is>
          <t>LINKÖPING</t>
        </is>
      </c>
      <c r="F307" t="inlineStr">
        <is>
          <t>Övriga statliga verk och myndigheter</t>
        </is>
      </c>
      <c r="G307" t="n">
        <v>8</v>
      </c>
      <c r="H307" t="n">
        <v>0</v>
      </c>
      <c r="I307" t="n">
        <v>0</v>
      </c>
      <c r="J307" t="n">
        <v>0</v>
      </c>
      <c r="K307" t="n">
        <v>0</v>
      </c>
      <c r="L307" t="n">
        <v>0</v>
      </c>
      <c r="M307" t="n">
        <v>0</v>
      </c>
      <c r="N307" t="n">
        <v>0</v>
      </c>
      <c r="O307" t="n">
        <v>0</v>
      </c>
      <c r="P307" t="n">
        <v>0</v>
      </c>
      <c r="Q307" t="n">
        <v>0</v>
      </c>
      <c r="R307" s="2" t="inlineStr"/>
    </row>
    <row r="308" ht="15" customHeight="1">
      <c r="A308" t="inlineStr">
        <is>
          <t>A 20296-2025</t>
        </is>
      </c>
      <c r="B308" s="1" t="n">
        <v>45774.74922453704</v>
      </c>
      <c r="C308" s="1" t="n">
        <v>46003</v>
      </c>
      <c r="D308" t="inlineStr">
        <is>
          <t>ÖSTERGÖTLANDS LÄN</t>
        </is>
      </c>
      <c r="E308" t="inlineStr">
        <is>
          <t>LINKÖPING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674-2024</t>
        </is>
      </c>
      <c r="B309" s="1" t="n">
        <v>45300.34408564815</v>
      </c>
      <c r="C309" s="1" t="n">
        <v>46003</v>
      </c>
      <c r="D309" t="inlineStr">
        <is>
          <t>ÖSTERGÖTLANDS LÄN</t>
        </is>
      </c>
      <c r="E309" t="inlineStr">
        <is>
          <t>LINKÖPING</t>
        </is>
      </c>
      <c r="F309" t="inlineStr">
        <is>
          <t>Sveaskog</t>
        </is>
      </c>
      <c r="G309" t="n">
        <v>2.9</v>
      </c>
      <c r="H309" t="n">
        <v>0</v>
      </c>
      <c r="I309" t="n">
        <v>0</v>
      </c>
      <c r="J309" t="n">
        <v>0</v>
      </c>
      <c r="K309" t="n">
        <v>0</v>
      </c>
      <c r="L309" t="n">
        <v>0</v>
      </c>
      <c r="M309" t="n">
        <v>0</v>
      </c>
      <c r="N309" t="n">
        <v>0</v>
      </c>
      <c r="O309" t="n">
        <v>0</v>
      </c>
      <c r="P309" t="n">
        <v>0</v>
      </c>
      <c r="Q309" t="n">
        <v>0</v>
      </c>
      <c r="R309" s="2" t="inlineStr"/>
    </row>
    <row r="310" ht="15" customHeight="1">
      <c r="A310" t="inlineStr">
        <is>
          <t>A 63684-2023</t>
        </is>
      </c>
      <c r="B310" s="1" t="n">
        <v>45275</v>
      </c>
      <c r="C310" s="1" t="n">
        <v>46003</v>
      </c>
      <c r="D310" t="inlineStr">
        <is>
          <t>ÖSTERGÖTLANDS LÄN</t>
        </is>
      </c>
      <c r="E310" t="inlineStr">
        <is>
          <t>LINKÖPING</t>
        </is>
      </c>
      <c r="G310" t="n">
        <v>0.4</v>
      </c>
      <c r="H310" t="n">
        <v>0</v>
      </c>
      <c r="I310" t="n">
        <v>0</v>
      </c>
      <c r="J310" t="n">
        <v>0</v>
      </c>
      <c r="K310" t="n">
        <v>0</v>
      </c>
      <c r="L310" t="n">
        <v>0</v>
      </c>
      <c r="M310" t="n">
        <v>0</v>
      </c>
      <c r="N310" t="n">
        <v>0</v>
      </c>
      <c r="O310" t="n">
        <v>0</v>
      </c>
      <c r="P310" t="n">
        <v>0</v>
      </c>
      <c r="Q310" t="n">
        <v>0</v>
      </c>
      <c r="R310" s="2" t="inlineStr"/>
    </row>
    <row r="311" ht="15" customHeight="1">
      <c r="A311" t="inlineStr">
        <is>
          <t>A 167-2024</t>
        </is>
      </c>
      <c r="B311" s="1" t="n">
        <v>45294</v>
      </c>
      <c r="C311" s="1" t="n">
        <v>46003</v>
      </c>
      <c r="D311" t="inlineStr">
        <is>
          <t>ÖSTERGÖTLANDS LÄN</t>
        </is>
      </c>
      <c r="E311" t="inlineStr">
        <is>
          <t>LINKÖPING</t>
        </is>
      </c>
      <c r="F311" t="inlineStr">
        <is>
          <t>Allmännings- och besparingsskogar</t>
        </is>
      </c>
      <c r="G311" t="n">
        <v>11.6</v>
      </c>
      <c r="H311" t="n">
        <v>0</v>
      </c>
      <c r="I311" t="n">
        <v>0</v>
      </c>
      <c r="J311" t="n">
        <v>0</v>
      </c>
      <c r="K311" t="n">
        <v>0</v>
      </c>
      <c r="L311" t="n">
        <v>0</v>
      </c>
      <c r="M311" t="n">
        <v>0</v>
      </c>
      <c r="N311" t="n">
        <v>0</v>
      </c>
      <c r="O311" t="n">
        <v>0</v>
      </c>
      <c r="P311" t="n">
        <v>0</v>
      </c>
      <c r="Q311" t="n">
        <v>0</v>
      </c>
      <c r="R311" s="2" t="inlineStr"/>
    </row>
    <row r="312" ht="15" customHeight="1">
      <c r="A312" t="inlineStr">
        <is>
          <t>A 56841-2023</t>
        </is>
      </c>
      <c r="B312" s="1" t="n">
        <v>45244</v>
      </c>
      <c r="C312" s="1" t="n">
        <v>46003</v>
      </c>
      <c r="D312" t="inlineStr">
        <is>
          <t>ÖSTERGÖTLANDS LÄN</t>
        </is>
      </c>
      <c r="E312" t="inlineStr">
        <is>
          <t>LINKÖPING</t>
        </is>
      </c>
      <c r="F312" t="inlineStr">
        <is>
          <t>Övriga Aktiebolag</t>
        </is>
      </c>
      <c r="G312" t="n">
        <v>0.5</v>
      </c>
      <c r="H312" t="n">
        <v>0</v>
      </c>
      <c r="I312" t="n">
        <v>0</v>
      </c>
      <c r="J312" t="n">
        <v>0</v>
      </c>
      <c r="K312" t="n">
        <v>0</v>
      </c>
      <c r="L312" t="n">
        <v>0</v>
      </c>
      <c r="M312" t="n">
        <v>0</v>
      </c>
      <c r="N312" t="n">
        <v>0</v>
      </c>
      <c r="O312" t="n">
        <v>0</v>
      </c>
      <c r="P312" t="n">
        <v>0</v>
      </c>
      <c r="Q312" t="n">
        <v>0</v>
      </c>
      <c r="R312" s="2" t="inlineStr"/>
    </row>
    <row r="313" ht="15" customHeight="1">
      <c r="A313" t="inlineStr">
        <is>
          <t>A 36725-2023</t>
        </is>
      </c>
      <c r="B313" s="1" t="n">
        <v>45153.68471064815</v>
      </c>
      <c r="C313" s="1" t="n">
        <v>46003</v>
      </c>
      <c r="D313" t="inlineStr">
        <is>
          <t>ÖSTERGÖTLANDS LÄN</t>
        </is>
      </c>
      <c r="E313" t="inlineStr">
        <is>
          <t>LINKÖPING</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62686-2023</t>
        </is>
      </c>
      <c r="B314" s="1" t="n">
        <v>45271</v>
      </c>
      <c r="C314" s="1" t="n">
        <v>46003</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55345-2021</t>
        </is>
      </c>
      <c r="B315" s="1" t="n">
        <v>44475</v>
      </c>
      <c r="C315" s="1" t="n">
        <v>46003</v>
      </c>
      <c r="D315" t="inlineStr">
        <is>
          <t>ÖSTERGÖTLANDS LÄN</t>
        </is>
      </c>
      <c r="E315" t="inlineStr">
        <is>
          <t>LINKÖPING</t>
        </is>
      </c>
      <c r="G315" t="n">
        <v>5.7</v>
      </c>
      <c r="H315" t="n">
        <v>0</v>
      </c>
      <c r="I315" t="n">
        <v>0</v>
      </c>
      <c r="J315" t="n">
        <v>0</v>
      </c>
      <c r="K315" t="n">
        <v>0</v>
      </c>
      <c r="L315" t="n">
        <v>0</v>
      </c>
      <c r="M315" t="n">
        <v>0</v>
      </c>
      <c r="N315" t="n">
        <v>0</v>
      </c>
      <c r="O315" t="n">
        <v>0</v>
      </c>
      <c r="P315" t="n">
        <v>0</v>
      </c>
      <c r="Q315" t="n">
        <v>0</v>
      </c>
      <c r="R315" s="2" t="inlineStr"/>
    </row>
    <row r="316" ht="15" customHeight="1">
      <c r="A316" t="inlineStr">
        <is>
          <t>A 27343-2023</t>
        </is>
      </c>
      <c r="B316" s="1" t="n">
        <v>45096</v>
      </c>
      <c r="C316" s="1" t="n">
        <v>46003</v>
      </c>
      <c r="D316" t="inlineStr">
        <is>
          <t>ÖSTERGÖTLANDS LÄN</t>
        </is>
      </c>
      <c r="E316" t="inlineStr">
        <is>
          <t>LINKÖPING</t>
        </is>
      </c>
      <c r="F316" t="inlineStr">
        <is>
          <t>Allmännings- och besparingsskogar</t>
        </is>
      </c>
      <c r="G316" t="n">
        <v>6.9</v>
      </c>
      <c r="H316" t="n">
        <v>0</v>
      </c>
      <c r="I316" t="n">
        <v>0</v>
      </c>
      <c r="J316" t="n">
        <v>0</v>
      </c>
      <c r="K316" t="n">
        <v>0</v>
      </c>
      <c r="L316" t="n">
        <v>0</v>
      </c>
      <c r="M316" t="n">
        <v>0</v>
      </c>
      <c r="N316" t="n">
        <v>0</v>
      </c>
      <c r="O316" t="n">
        <v>0</v>
      </c>
      <c r="P316" t="n">
        <v>0</v>
      </c>
      <c r="Q316" t="n">
        <v>0</v>
      </c>
      <c r="R316" s="2" t="inlineStr"/>
    </row>
    <row r="317" ht="15" customHeight="1">
      <c r="A317" t="inlineStr">
        <is>
          <t>A 63489-2023</t>
        </is>
      </c>
      <c r="B317" s="1" t="n">
        <v>45274.66761574074</v>
      </c>
      <c r="C317" s="1" t="n">
        <v>46003</v>
      </c>
      <c r="D317" t="inlineStr">
        <is>
          <t>ÖSTERGÖTLANDS LÄN</t>
        </is>
      </c>
      <c r="E317" t="inlineStr">
        <is>
          <t>LINKÖPING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27186-2021</t>
        </is>
      </c>
      <c r="B318" s="1" t="n">
        <v>44350.67715277777</v>
      </c>
      <c r="C318" s="1" t="n">
        <v>46003</v>
      </c>
      <c r="D318" t="inlineStr">
        <is>
          <t>ÖSTERGÖTLANDS LÄN</t>
        </is>
      </c>
      <c r="E318" t="inlineStr">
        <is>
          <t>LINKÖPING</t>
        </is>
      </c>
      <c r="F318" t="inlineStr">
        <is>
          <t>Allmännings- och besparingsskogar</t>
        </is>
      </c>
      <c r="G318" t="n">
        <v>1.4</v>
      </c>
      <c r="H318" t="n">
        <v>0</v>
      </c>
      <c r="I318" t="n">
        <v>0</v>
      </c>
      <c r="J318" t="n">
        <v>0</v>
      </c>
      <c r="K318" t="n">
        <v>0</v>
      </c>
      <c r="L318" t="n">
        <v>0</v>
      </c>
      <c r="M318" t="n">
        <v>0</v>
      </c>
      <c r="N318" t="n">
        <v>0</v>
      </c>
      <c r="O318" t="n">
        <v>0</v>
      </c>
      <c r="P318" t="n">
        <v>0</v>
      </c>
      <c r="Q318" t="n">
        <v>0</v>
      </c>
      <c r="R318" s="2" t="inlineStr"/>
    </row>
    <row r="319" ht="15" customHeight="1">
      <c r="A319" t="inlineStr">
        <is>
          <t>A 70-2024</t>
        </is>
      </c>
      <c r="B319" s="1" t="n">
        <v>45293</v>
      </c>
      <c r="C319" s="1" t="n">
        <v>46003</v>
      </c>
      <c r="D319" t="inlineStr">
        <is>
          <t>ÖSTERGÖTLANDS LÄN</t>
        </is>
      </c>
      <c r="E319" t="inlineStr">
        <is>
          <t>LINKÖPING</t>
        </is>
      </c>
      <c r="G319" t="n">
        <v>1.3</v>
      </c>
      <c r="H319" t="n">
        <v>0</v>
      </c>
      <c r="I319" t="n">
        <v>0</v>
      </c>
      <c r="J319" t="n">
        <v>0</v>
      </c>
      <c r="K319" t="n">
        <v>0</v>
      </c>
      <c r="L319" t="n">
        <v>0</v>
      </c>
      <c r="M319" t="n">
        <v>0</v>
      </c>
      <c r="N319" t="n">
        <v>0</v>
      </c>
      <c r="O319" t="n">
        <v>0</v>
      </c>
      <c r="P319" t="n">
        <v>0</v>
      </c>
      <c r="Q319" t="n">
        <v>0</v>
      </c>
      <c r="R319" s="2" t="inlineStr"/>
    </row>
    <row r="320" ht="15" customHeight="1">
      <c r="A320" t="inlineStr">
        <is>
          <t>A 22774-2024</t>
        </is>
      </c>
      <c r="B320" s="1" t="n">
        <v>45448.46924768519</v>
      </c>
      <c r="C320" s="1" t="n">
        <v>46003</v>
      </c>
      <c r="D320" t="inlineStr">
        <is>
          <t>ÖSTERGÖTLANDS LÄN</t>
        </is>
      </c>
      <c r="E320" t="inlineStr">
        <is>
          <t>LINKÖPING</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22778-2024</t>
        </is>
      </c>
      <c r="B321" s="1" t="n">
        <v>45448.47233796296</v>
      </c>
      <c r="C321" s="1" t="n">
        <v>46003</v>
      </c>
      <c r="D321" t="inlineStr">
        <is>
          <t>ÖSTERGÖTLANDS LÄN</t>
        </is>
      </c>
      <c r="E321" t="inlineStr">
        <is>
          <t>LINKÖPING</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6782-2024</t>
        </is>
      </c>
      <c r="B322" s="1" t="n">
        <v>45342</v>
      </c>
      <c r="C322" s="1" t="n">
        <v>46003</v>
      </c>
      <c r="D322" t="inlineStr">
        <is>
          <t>ÖSTERGÖTLANDS LÄN</t>
        </is>
      </c>
      <c r="E322" t="inlineStr">
        <is>
          <t>LINKÖPING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617-2024</t>
        </is>
      </c>
      <c r="B323" s="1" t="n">
        <v>45299.66028935185</v>
      </c>
      <c r="C323" s="1" t="n">
        <v>46003</v>
      </c>
      <c r="D323" t="inlineStr">
        <is>
          <t>ÖSTERGÖTLANDS LÄN</t>
        </is>
      </c>
      <c r="E323" t="inlineStr">
        <is>
          <t>LINKÖPING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53812-2023</t>
        </is>
      </c>
      <c r="B324" s="1" t="n">
        <v>45231.39583333334</v>
      </c>
      <c r="C324" s="1" t="n">
        <v>46003</v>
      </c>
      <c r="D324" t="inlineStr">
        <is>
          <t>ÖSTERGÖTLANDS LÄN</t>
        </is>
      </c>
      <c r="E324" t="inlineStr">
        <is>
          <t>LINKÖPING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670-2024</t>
        </is>
      </c>
      <c r="B325" s="1" t="n">
        <v>45300.3408912037</v>
      </c>
      <c r="C325" s="1" t="n">
        <v>46003</v>
      </c>
      <c r="D325" t="inlineStr">
        <is>
          <t>ÖSTERGÖTLANDS LÄN</t>
        </is>
      </c>
      <c r="E325" t="inlineStr">
        <is>
          <t>LINKÖPING</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53830-2023</t>
        </is>
      </c>
      <c r="B326" s="1" t="n">
        <v>45230</v>
      </c>
      <c r="C326" s="1" t="n">
        <v>46003</v>
      </c>
      <c r="D326" t="inlineStr">
        <is>
          <t>ÖSTERGÖTLANDS LÄN</t>
        </is>
      </c>
      <c r="E326" t="inlineStr">
        <is>
          <t>LINKÖPING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34864-2023</t>
        </is>
      </c>
      <c r="B327" s="1" t="n">
        <v>45141</v>
      </c>
      <c r="C327" s="1" t="n">
        <v>46003</v>
      </c>
      <c r="D327" t="inlineStr">
        <is>
          <t>ÖSTERGÖTLANDS LÄN</t>
        </is>
      </c>
      <c r="E327" t="inlineStr">
        <is>
          <t>LINKÖPING</t>
        </is>
      </c>
      <c r="G327" t="n">
        <v>3.3</v>
      </c>
      <c r="H327" t="n">
        <v>0</v>
      </c>
      <c r="I327" t="n">
        <v>0</v>
      </c>
      <c r="J327" t="n">
        <v>0</v>
      </c>
      <c r="K327" t="n">
        <v>0</v>
      </c>
      <c r="L327" t="n">
        <v>0</v>
      </c>
      <c r="M327" t="n">
        <v>0</v>
      </c>
      <c r="N327" t="n">
        <v>0</v>
      </c>
      <c r="O327" t="n">
        <v>0</v>
      </c>
      <c r="P327" t="n">
        <v>0</v>
      </c>
      <c r="Q327" t="n">
        <v>0</v>
      </c>
      <c r="R327" s="2" t="inlineStr"/>
    </row>
    <row r="328" ht="15" customHeight="1">
      <c r="A328" t="inlineStr">
        <is>
          <t>A 52125-2022</t>
        </is>
      </c>
      <c r="B328" s="1" t="n">
        <v>44873</v>
      </c>
      <c r="C328" s="1" t="n">
        <v>46003</v>
      </c>
      <c r="D328" t="inlineStr">
        <is>
          <t>ÖSTERGÖTLANDS LÄN</t>
        </is>
      </c>
      <c r="E328" t="inlineStr">
        <is>
          <t>LINKÖPING</t>
        </is>
      </c>
      <c r="F328" t="inlineStr">
        <is>
          <t>Övriga Aktiebolag</t>
        </is>
      </c>
      <c r="G328" t="n">
        <v>0.7</v>
      </c>
      <c r="H328" t="n">
        <v>0</v>
      </c>
      <c r="I328" t="n">
        <v>0</v>
      </c>
      <c r="J328" t="n">
        <v>0</v>
      </c>
      <c r="K328" t="n">
        <v>0</v>
      </c>
      <c r="L328" t="n">
        <v>0</v>
      </c>
      <c r="M328" t="n">
        <v>0</v>
      </c>
      <c r="N328" t="n">
        <v>0</v>
      </c>
      <c r="O328" t="n">
        <v>0</v>
      </c>
      <c r="P328" t="n">
        <v>0</v>
      </c>
      <c r="Q328" t="n">
        <v>0</v>
      </c>
      <c r="R328" s="2" t="inlineStr"/>
    </row>
    <row r="329" ht="15" customHeight="1">
      <c r="A329" t="inlineStr">
        <is>
          <t>A 52531-2023</t>
        </is>
      </c>
      <c r="B329" s="1" t="n">
        <v>45225</v>
      </c>
      <c r="C329" s="1" t="n">
        <v>46003</v>
      </c>
      <c r="D329" t="inlineStr">
        <is>
          <t>ÖSTERGÖTLANDS LÄN</t>
        </is>
      </c>
      <c r="E329" t="inlineStr">
        <is>
          <t>LINKÖPING</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34930-2023</t>
        </is>
      </c>
      <c r="B330" s="1" t="n">
        <v>45142</v>
      </c>
      <c r="C330" s="1" t="n">
        <v>46003</v>
      </c>
      <c r="D330" t="inlineStr">
        <is>
          <t>ÖSTERGÖTLANDS LÄN</t>
        </is>
      </c>
      <c r="E330" t="inlineStr">
        <is>
          <t>LINKÖPING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10194-2023</t>
        </is>
      </c>
      <c r="B331" s="1" t="n">
        <v>44986.52277777778</v>
      </c>
      <c r="C331" s="1" t="n">
        <v>46003</v>
      </c>
      <c r="D331" t="inlineStr">
        <is>
          <t>ÖSTERGÖTLANDS LÄN</t>
        </is>
      </c>
      <c r="E331" t="inlineStr">
        <is>
          <t>LINKÖPING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38715-2023</t>
        </is>
      </c>
      <c r="B332" s="1" t="n">
        <v>45160</v>
      </c>
      <c r="C332" s="1" t="n">
        <v>46003</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30985-2022</t>
        </is>
      </c>
      <c r="B333" s="1" t="n">
        <v>44768</v>
      </c>
      <c r="C333" s="1" t="n">
        <v>46003</v>
      </c>
      <c r="D333" t="inlineStr">
        <is>
          <t>ÖSTERGÖTLANDS LÄN</t>
        </is>
      </c>
      <c r="E333" t="inlineStr">
        <is>
          <t>LINKÖPING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1084-2023</t>
        </is>
      </c>
      <c r="B334" s="1" t="n">
        <v>44929</v>
      </c>
      <c r="C334" s="1" t="n">
        <v>46003</v>
      </c>
      <c r="D334" t="inlineStr">
        <is>
          <t>ÖSTERGÖTLANDS LÄN</t>
        </is>
      </c>
      <c r="E334" t="inlineStr">
        <is>
          <t>LINKÖPING</t>
        </is>
      </c>
      <c r="G334" t="n">
        <v>10.4</v>
      </c>
      <c r="H334" t="n">
        <v>0</v>
      </c>
      <c r="I334" t="n">
        <v>0</v>
      </c>
      <c r="J334" t="n">
        <v>0</v>
      </c>
      <c r="K334" t="n">
        <v>0</v>
      </c>
      <c r="L334" t="n">
        <v>0</v>
      </c>
      <c r="M334" t="n">
        <v>0</v>
      </c>
      <c r="N334" t="n">
        <v>0</v>
      </c>
      <c r="O334" t="n">
        <v>0</v>
      </c>
      <c r="P334" t="n">
        <v>0</v>
      </c>
      <c r="Q334" t="n">
        <v>0</v>
      </c>
      <c r="R334" s="2" t="inlineStr"/>
    </row>
    <row r="335" ht="15" customHeight="1">
      <c r="A335" t="inlineStr">
        <is>
          <t>A 55944-2024</t>
        </is>
      </c>
      <c r="B335" s="1" t="n">
        <v>45623.61640046296</v>
      </c>
      <c r="C335" s="1" t="n">
        <v>46003</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55947-2024</t>
        </is>
      </c>
      <c r="B336" s="1" t="n">
        <v>45623</v>
      </c>
      <c r="C336" s="1" t="n">
        <v>46003</v>
      </c>
      <c r="D336" t="inlineStr">
        <is>
          <t>ÖSTERGÖTLANDS LÄN</t>
        </is>
      </c>
      <c r="E336" t="inlineStr">
        <is>
          <t>LINKÖPING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47703-2023</t>
        </is>
      </c>
      <c r="B337" s="1" t="n">
        <v>45203</v>
      </c>
      <c r="C337" s="1" t="n">
        <v>46003</v>
      </c>
      <c r="D337" t="inlineStr">
        <is>
          <t>ÖSTERGÖTLANDS LÄN</t>
        </is>
      </c>
      <c r="E337" t="inlineStr">
        <is>
          <t>LINKÖPING</t>
        </is>
      </c>
      <c r="G337" t="n">
        <v>4.1</v>
      </c>
      <c r="H337" t="n">
        <v>0</v>
      </c>
      <c r="I337" t="n">
        <v>0</v>
      </c>
      <c r="J337" t="n">
        <v>0</v>
      </c>
      <c r="K337" t="n">
        <v>0</v>
      </c>
      <c r="L337" t="n">
        <v>0</v>
      </c>
      <c r="M337" t="n">
        <v>0</v>
      </c>
      <c r="N337" t="n">
        <v>0</v>
      </c>
      <c r="O337" t="n">
        <v>0</v>
      </c>
      <c r="P337" t="n">
        <v>0</v>
      </c>
      <c r="Q337" t="n">
        <v>0</v>
      </c>
      <c r="R337" s="2" t="inlineStr"/>
    </row>
    <row r="338" ht="15" customHeight="1">
      <c r="A338" t="inlineStr">
        <is>
          <t>A 29859-2024</t>
        </is>
      </c>
      <c r="B338" s="1" t="n">
        <v>45485.6846412037</v>
      </c>
      <c r="C338" s="1" t="n">
        <v>46003</v>
      </c>
      <c r="D338" t="inlineStr">
        <is>
          <t>ÖSTERGÖTLANDS LÄN</t>
        </is>
      </c>
      <c r="E338" t="inlineStr">
        <is>
          <t>LINKÖPING</t>
        </is>
      </c>
      <c r="G338" t="n">
        <v>0.4</v>
      </c>
      <c r="H338" t="n">
        <v>0</v>
      </c>
      <c r="I338" t="n">
        <v>0</v>
      </c>
      <c r="J338" t="n">
        <v>0</v>
      </c>
      <c r="K338" t="n">
        <v>0</v>
      </c>
      <c r="L338" t="n">
        <v>0</v>
      </c>
      <c r="M338" t="n">
        <v>0</v>
      </c>
      <c r="N338" t="n">
        <v>0</v>
      </c>
      <c r="O338" t="n">
        <v>0</v>
      </c>
      <c r="P338" t="n">
        <v>0</v>
      </c>
      <c r="Q338" t="n">
        <v>0</v>
      </c>
      <c r="R338" s="2" t="inlineStr"/>
    </row>
    <row r="339" ht="15" customHeight="1">
      <c r="A339" t="inlineStr">
        <is>
          <t>A 51571-2024</t>
        </is>
      </c>
      <c r="B339" s="1" t="n">
        <v>45604</v>
      </c>
      <c r="C339" s="1" t="n">
        <v>46003</v>
      </c>
      <c r="D339" t="inlineStr">
        <is>
          <t>ÖSTERGÖTLANDS LÄN</t>
        </is>
      </c>
      <c r="E339" t="inlineStr">
        <is>
          <t>LINKÖPING</t>
        </is>
      </c>
      <c r="F339" t="inlineStr">
        <is>
          <t>Övriga Aktiebolag</t>
        </is>
      </c>
      <c r="G339" t="n">
        <v>1.4</v>
      </c>
      <c r="H339" t="n">
        <v>0</v>
      </c>
      <c r="I339" t="n">
        <v>0</v>
      </c>
      <c r="J339" t="n">
        <v>0</v>
      </c>
      <c r="K339" t="n">
        <v>0</v>
      </c>
      <c r="L339" t="n">
        <v>0</v>
      </c>
      <c r="M339" t="n">
        <v>0</v>
      </c>
      <c r="N339" t="n">
        <v>0</v>
      </c>
      <c r="O339" t="n">
        <v>0</v>
      </c>
      <c r="P339" t="n">
        <v>0</v>
      </c>
      <c r="Q339" t="n">
        <v>0</v>
      </c>
      <c r="R339" s="2" t="inlineStr"/>
    </row>
    <row r="340" ht="15" customHeight="1">
      <c r="A340" t="inlineStr">
        <is>
          <t>A 223-2024</t>
        </is>
      </c>
      <c r="B340" s="1" t="n">
        <v>45294.72739583333</v>
      </c>
      <c r="C340" s="1" t="n">
        <v>46003</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227-2024</t>
        </is>
      </c>
      <c r="B341" s="1" t="n">
        <v>45294.73603009259</v>
      </c>
      <c r="C341" s="1" t="n">
        <v>46003</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51559-2024</t>
        </is>
      </c>
      <c r="B342" s="1" t="n">
        <v>45604.61431712963</v>
      </c>
      <c r="C342" s="1" t="n">
        <v>46003</v>
      </c>
      <c r="D342" t="inlineStr">
        <is>
          <t>ÖSTERGÖTLANDS LÄN</t>
        </is>
      </c>
      <c r="E342" t="inlineStr">
        <is>
          <t>LINKÖPING</t>
        </is>
      </c>
      <c r="F342" t="inlineStr">
        <is>
          <t>Övriga Aktiebolag</t>
        </is>
      </c>
      <c r="G342" t="n">
        <v>2.4</v>
      </c>
      <c r="H342" t="n">
        <v>0</v>
      </c>
      <c r="I342" t="n">
        <v>0</v>
      </c>
      <c r="J342" t="n">
        <v>0</v>
      </c>
      <c r="K342" t="n">
        <v>0</v>
      </c>
      <c r="L342" t="n">
        <v>0</v>
      </c>
      <c r="M342" t="n">
        <v>0</v>
      </c>
      <c r="N342" t="n">
        <v>0</v>
      </c>
      <c r="O342" t="n">
        <v>0</v>
      </c>
      <c r="P342" t="n">
        <v>0</v>
      </c>
      <c r="Q342" t="n">
        <v>0</v>
      </c>
      <c r="R342" s="2" t="inlineStr"/>
    </row>
    <row r="343" ht="15" customHeight="1">
      <c r="A343" t="inlineStr">
        <is>
          <t>A 56917-2022</t>
        </is>
      </c>
      <c r="B343" s="1" t="n">
        <v>44894</v>
      </c>
      <c r="C343" s="1" t="n">
        <v>46003</v>
      </c>
      <c r="D343" t="inlineStr">
        <is>
          <t>ÖSTERGÖTLANDS LÄN</t>
        </is>
      </c>
      <c r="E343" t="inlineStr">
        <is>
          <t>LINKÖPING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59642-2024</t>
        </is>
      </c>
      <c r="B344" s="1" t="n">
        <v>45639.31511574074</v>
      </c>
      <c r="C344" s="1" t="n">
        <v>46003</v>
      </c>
      <c r="D344" t="inlineStr">
        <is>
          <t>ÖSTERGÖTLANDS LÄN</t>
        </is>
      </c>
      <c r="E344" t="inlineStr">
        <is>
          <t>LINKÖPING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27766-2022</t>
        </is>
      </c>
      <c r="B345" s="1" t="n">
        <v>44743.53112268518</v>
      </c>
      <c r="C345" s="1" t="n">
        <v>46003</v>
      </c>
      <c r="D345" t="inlineStr">
        <is>
          <t>ÖSTERGÖTLANDS LÄN</t>
        </is>
      </c>
      <c r="E345" t="inlineStr">
        <is>
          <t>LINKÖPING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15748-2025</t>
        </is>
      </c>
      <c r="B346" s="1" t="n">
        <v>45748.55282407408</v>
      </c>
      <c r="C346" s="1" t="n">
        <v>46003</v>
      </c>
      <c r="D346" t="inlineStr">
        <is>
          <t>ÖSTERGÖTLANDS LÄN</t>
        </is>
      </c>
      <c r="E346" t="inlineStr">
        <is>
          <t>LINKÖPING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1265-2023</t>
        </is>
      </c>
      <c r="B347" s="1" t="n">
        <v>44936</v>
      </c>
      <c r="C347" s="1" t="n">
        <v>46003</v>
      </c>
      <c r="D347" t="inlineStr">
        <is>
          <t>ÖSTERGÖTLANDS LÄN</t>
        </is>
      </c>
      <c r="E347" t="inlineStr">
        <is>
          <t>LINKÖPING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1362-2023</t>
        </is>
      </c>
      <c r="B348" s="1" t="n">
        <v>44931</v>
      </c>
      <c r="C348" s="1" t="n">
        <v>46003</v>
      </c>
      <c r="D348" t="inlineStr">
        <is>
          <t>ÖSTERGÖTLANDS LÄN</t>
        </is>
      </c>
      <c r="E348" t="inlineStr">
        <is>
          <t>LINKÖPING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31792-2021</t>
        </is>
      </c>
      <c r="B349" s="1" t="n">
        <v>44369</v>
      </c>
      <c r="C349" s="1" t="n">
        <v>46003</v>
      </c>
      <c r="D349" t="inlineStr">
        <is>
          <t>ÖSTERGÖTLANDS LÄN</t>
        </is>
      </c>
      <c r="E349" t="inlineStr">
        <is>
          <t>LINKÖPING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25097-2023</t>
        </is>
      </c>
      <c r="B350" s="1" t="n">
        <v>45086</v>
      </c>
      <c r="C350" s="1" t="n">
        <v>46003</v>
      </c>
      <c r="D350" t="inlineStr">
        <is>
          <t>ÖSTERGÖTLANDS LÄN</t>
        </is>
      </c>
      <c r="E350" t="inlineStr">
        <is>
          <t>LINKÖPING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54034-2022</t>
        </is>
      </c>
      <c r="B351" s="1" t="n">
        <v>44881</v>
      </c>
      <c r="C351" s="1" t="n">
        <v>46003</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55493-2021</t>
        </is>
      </c>
      <c r="B352" s="1" t="n">
        <v>44475.61988425926</v>
      </c>
      <c r="C352" s="1" t="n">
        <v>46003</v>
      </c>
      <c r="D352" t="inlineStr">
        <is>
          <t>ÖSTERGÖTLANDS LÄN</t>
        </is>
      </c>
      <c r="E352" t="inlineStr">
        <is>
          <t>LINKÖPING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35735-2023</t>
        </is>
      </c>
      <c r="B353" s="1" t="n">
        <v>45147</v>
      </c>
      <c r="C353" s="1" t="n">
        <v>46003</v>
      </c>
      <c r="D353" t="inlineStr">
        <is>
          <t>ÖSTERGÖTLANDS LÄN</t>
        </is>
      </c>
      <c r="E353" t="inlineStr">
        <is>
          <t>LINKÖPING</t>
        </is>
      </c>
      <c r="G353" t="n">
        <v>2.8</v>
      </c>
      <c r="H353" t="n">
        <v>0</v>
      </c>
      <c r="I353" t="n">
        <v>0</v>
      </c>
      <c r="J353" t="n">
        <v>0</v>
      </c>
      <c r="K353" t="n">
        <v>0</v>
      </c>
      <c r="L353" t="n">
        <v>0</v>
      </c>
      <c r="M353" t="n">
        <v>0</v>
      </c>
      <c r="N353" t="n">
        <v>0</v>
      </c>
      <c r="O353" t="n">
        <v>0</v>
      </c>
      <c r="P353" t="n">
        <v>0</v>
      </c>
      <c r="Q353" t="n">
        <v>0</v>
      </c>
      <c r="R353" s="2" t="inlineStr"/>
    </row>
    <row r="354" ht="15" customHeight="1">
      <c r="A354" t="inlineStr">
        <is>
          <t>A 16462-2021</t>
        </is>
      </c>
      <c r="B354" s="1" t="n">
        <v>44293</v>
      </c>
      <c r="C354" s="1" t="n">
        <v>46003</v>
      </c>
      <c r="D354" t="inlineStr">
        <is>
          <t>ÖSTERGÖTLANDS LÄN</t>
        </is>
      </c>
      <c r="E354" t="inlineStr">
        <is>
          <t>LINKÖPING</t>
        </is>
      </c>
      <c r="F354" t="inlineStr">
        <is>
          <t>Allmännings- och besparingsskogar</t>
        </is>
      </c>
      <c r="G354" t="n">
        <v>24.7</v>
      </c>
      <c r="H354" t="n">
        <v>0</v>
      </c>
      <c r="I354" t="n">
        <v>0</v>
      </c>
      <c r="J354" t="n">
        <v>0</v>
      </c>
      <c r="K354" t="n">
        <v>0</v>
      </c>
      <c r="L354" t="n">
        <v>0</v>
      </c>
      <c r="M354" t="n">
        <v>0</v>
      </c>
      <c r="N354" t="n">
        <v>0</v>
      </c>
      <c r="O354" t="n">
        <v>0</v>
      </c>
      <c r="P354" t="n">
        <v>0</v>
      </c>
      <c r="Q354" t="n">
        <v>0</v>
      </c>
      <c r="R354" s="2" t="inlineStr"/>
    </row>
    <row r="355" ht="15" customHeight="1">
      <c r="A355" t="inlineStr">
        <is>
          <t>A 62353-2022</t>
        </is>
      </c>
      <c r="B355" s="1" t="n">
        <v>44923</v>
      </c>
      <c r="C355" s="1" t="n">
        <v>46003</v>
      </c>
      <c r="D355" t="inlineStr">
        <is>
          <t>ÖSTERGÖTLANDS LÄN</t>
        </is>
      </c>
      <c r="E355" t="inlineStr">
        <is>
          <t>LINKÖPING</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15754-2025</t>
        </is>
      </c>
      <c r="B356" s="1" t="n">
        <v>45748.56105324074</v>
      </c>
      <c r="C356" s="1" t="n">
        <v>46003</v>
      </c>
      <c r="D356" t="inlineStr">
        <is>
          <t>ÖSTERGÖTLANDS LÄN</t>
        </is>
      </c>
      <c r="E356" t="inlineStr">
        <is>
          <t>LINKÖPING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25776-2021</t>
        </is>
      </c>
      <c r="B357" s="1" t="n">
        <v>44343</v>
      </c>
      <c r="C357" s="1" t="n">
        <v>46003</v>
      </c>
      <c r="D357" t="inlineStr">
        <is>
          <t>ÖSTERGÖTLANDS LÄN</t>
        </is>
      </c>
      <c r="E357" t="inlineStr">
        <is>
          <t>LINKÖPING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30856-2022</t>
        </is>
      </c>
      <c r="B358" s="1" t="n">
        <v>44767</v>
      </c>
      <c r="C358" s="1" t="n">
        <v>46003</v>
      </c>
      <c r="D358" t="inlineStr">
        <is>
          <t>ÖSTERGÖTLANDS LÄN</t>
        </is>
      </c>
      <c r="E358" t="inlineStr">
        <is>
          <t>LINKÖPING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6054-2022</t>
        </is>
      </c>
      <c r="B359" s="1" t="n">
        <v>44599.53623842593</v>
      </c>
      <c r="C359" s="1" t="n">
        <v>46003</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19187-2021</t>
        </is>
      </c>
      <c r="B360" s="1" t="n">
        <v>44308</v>
      </c>
      <c r="C360" s="1" t="n">
        <v>46003</v>
      </c>
      <c r="D360" t="inlineStr">
        <is>
          <t>ÖSTERGÖTLANDS LÄN</t>
        </is>
      </c>
      <c r="E360" t="inlineStr">
        <is>
          <t>LINKÖPING</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25119-2023</t>
        </is>
      </c>
      <c r="B361" s="1" t="n">
        <v>45086.42326388889</v>
      </c>
      <c r="C361" s="1" t="n">
        <v>46003</v>
      </c>
      <c r="D361" t="inlineStr">
        <is>
          <t>ÖSTERGÖTLANDS LÄN</t>
        </is>
      </c>
      <c r="E361" t="inlineStr">
        <is>
          <t>LINKÖPING</t>
        </is>
      </c>
      <c r="G361" t="n">
        <v>3.2</v>
      </c>
      <c r="H361" t="n">
        <v>0</v>
      </c>
      <c r="I361" t="n">
        <v>0</v>
      </c>
      <c r="J361" t="n">
        <v>0</v>
      </c>
      <c r="K361" t="n">
        <v>0</v>
      </c>
      <c r="L361" t="n">
        <v>0</v>
      </c>
      <c r="M361" t="n">
        <v>0</v>
      </c>
      <c r="N361" t="n">
        <v>0</v>
      </c>
      <c r="O361" t="n">
        <v>0</v>
      </c>
      <c r="P361" t="n">
        <v>0</v>
      </c>
      <c r="Q361" t="n">
        <v>0</v>
      </c>
      <c r="R361" s="2" t="inlineStr"/>
    </row>
    <row r="362" ht="15" customHeight="1">
      <c r="A362" t="inlineStr">
        <is>
          <t>A 48271-2023</t>
        </is>
      </c>
      <c r="B362" s="1" t="n">
        <v>45205</v>
      </c>
      <c r="C362" s="1" t="n">
        <v>46003</v>
      </c>
      <c r="D362" t="inlineStr">
        <is>
          <t>ÖSTERGÖTLANDS LÄN</t>
        </is>
      </c>
      <c r="E362" t="inlineStr">
        <is>
          <t>LINKÖPING</t>
        </is>
      </c>
      <c r="G362" t="n">
        <v>3</v>
      </c>
      <c r="H362" t="n">
        <v>0</v>
      </c>
      <c r="I362" t="n">
        <v>0</v>
      </c>
      <c r="J362" t="n">
        <v>0</v>
      </c>
      <c r="K362" t="n">
        <v>0</v>
      </c>
      <c r="L362" t="n">
        <v>0</v>
      </c>
      <c r="M362" t="n">
        <v>0</v>
      </c>
      <c r="N362" t="n">
        <v>0</v>
      </c>
      <c r="O362" t="n">
        <v>0</v>
      </c>
      <c r="P362" t="n">
        <v>0</v>
      </c>
      <c r="Q362" t="n">
        <v>0</v>
      </c>
      <c r="R362" s="2" t="inlineStr"/>
    </row>
    <row r="363" ht="15" customHeight="1">
      <c r="A363" t="inlineStr">
        <is>
          <t>A 4298-2023</t>
        </is>
      </c>
      <c r="B363" s="1" t="n">
        <v>44953</v>
      </c>
      <c r="C363" s="1" t="n">
        <v>46003</v>
      </c>
      <c r="D363" t="inlineStr">
        <is>
          <t>ÖSTERGÖTLANDS LÄN</t>
        </is>
      </c>
      <c r="E363" t="inlineStr">
        <is>
          <t>LINKÖPING</t>
        </is>
      </c>
      <c r="G363" t="n">
        <v>2.8</v>
      </c>
      <c r="H363" t="n">
        <v>0</v>
      </c>
      <c r="I363" t="n">
        <v>0</v>
      </c>
      <c r="J363" t="n">
        <v>0</v>
      </c>
      <c r="K363" t="n">
        <v>0</v>
      </c>
      <c r="L363" t="n">
        <v>0</v>
      </c>
      <c r="M363" t="n">
        <v>0</v>
      </c>
      <c r="N363" t="n">
        <v>0</v>
      </c>
      <c r="O363" t="n">
        <v>0</v>
      </c>
      <c r="P363" t="n">
        <v>0</v>
      </c>
      <c r="Q363" t="n">
        <v>0</v>
      </c>
      <c r="R363" s="2" t="inlineStr"/>
    </row>
    <row r="364" ht="15" customHeight="1">
      <c r="A364" t="inlineStr">
        <is>
          <t>A 4456-2024</t>
        </is>
      </c>
      <c r="B364" s="1" t="n">
        <v>45327.52847222222</v>
      </c>
      <c r="C364" s="1" t="n">
        <v>46003</v>
      </c>
      <c r="D364" t="inlineStr">
        <is>
          <t>ÖSTERGÖTLANDS LÄN</t>
        </is>
      </c>
      <c r="E364" t="inlineStr">
        <is>
          <t>LINKÖPING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58114-2021</t>
        </is>
      </c>
      <c r="B365" s="1" t="n">
        <v>44487</v>
      </c>
      <c r="C365" s="1" t="n">
        <v>46003</v>
      </c>
      <c r="D365" t="inlineStr">
        <is>
          <t>ÖSTERGÖTLANDS LÄN</t>
        </is>
      </c>
      <c r="E365" t="inlineStr">
        <is>
          <t>LINKÖPING</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39219-2021</t>
        </is>
      </c>
      <c r="B366" s="1" t="n">
        <v>44413</v>
      </c>
      <c r="C366" s="1" t="n">
        <v>46003</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39224-2021</t>
        </is>
      </c>
      <c r="B367" s="1" t="n">
        <v>44413</v>
      </c>
      <c r="C367" s="1" t="n">
        <v>46003</v>
      </c>
      <c r="D367" t="inlineStr">
        <is>
          <t>ÖSTERGÖTLANDS LÄN</t>
        </is>
      </c>
      <c r="E367" t="inlineStr">
        <is>
          <t>LINKÖPING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52892-2024</t>
        </is>
      </c>
      <c r="B368" s="1" t="n">
        <v>45610</v>
      </c>
      <c r="C368" s="1" t="n">
        <v>46003</v>
      </c>
      <c r="D368" t="inlineStr">
        <is>
          <t>ÖSTERGÖTLANDS LÄN</t>
        </is>
      </c>
      <c r="E368" t="inlineStr">
        <is>
          <t>LINKÖPING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18145-2021</t>
        </is>
      </c>
      <c r="B369" s="1" t="n">
        <v>44302</v>
      </c>
      <c r="C369" s="1" t="n">
        <v>46003</v>
      </c>
      <c r="D369" t="inlineStr">
        <is>
          <t>ÖSTERGÖTLANDS LÄN</t>
        </is>
      </c>
      <c r="E369" t="inlineStr">
        <is>
          <t>LINKÖPING</t>
        </is>
      </c>
      <c r="G369" t="n">
        <v>2.4</v>
      </c>
      <c r="H369" t="n">
        <v>0</v>
      </c>
      <c r="I369" t="n">
        <v>0</v>
      </c>
      <c r="J369" t="n">
        <v>0</v>
      </c>
      <c r="K369" t="n">
        <v>0</v>
      </c>
      <c r="L369" t="n">
        <v>0</v>
      </c>
      <c r="M369" t="n">
        <v>0</v>
      </c>
      <c r="N369" t="n">
        <v>0</v>
      </c>
      <c r="O369" t="n">
        <v>0</v>
      </c>
      <c r="P369" t="n">
        <v>0</v>
      </c>
      <c r="Q369" t="n">
        <v>0</v>
      </c>
      <c r="R369" s="2" t="inlineStr"/>
    </row>
    <row r="370" ht="15" customHeight="1">
      <c r="A370" t="inlineStr">
        <is>
          <t>A 13266-2025</t>
        </is>
      </c>
      <c r="B370" s="1" t="n">
        <v>45735.53318287037</v>
      </c>
      <c r="C370" s="1" t="n">
        <v>46003</v>
      </c>
      <c r="D370" t="inlineStr">
        <is>
          <t>ÖSTERGÖTLANDS LÄN</t>
        </is>
      </c>
      <c r="E370" t="inlineStr">
        <is>
          <t>LINKÖPING</t>
        </is>
      </c>
      <c r="G370" t="n">
        <v>3.1</v>
      </c>
      <c r="H370" t="n">
        <v>0</v>
      </c>
      <c r="I370" t="n">
        <v>0</v>
      </c>
      <c r="J370" t="n">
        <v>0</v>
      </c>
      <c r="K370" t="n">
        <v>0</v>
      </c>
      <c r="L370" t="n">
        <v>0</v>
      </c>
      <c r="M370" t="n">
        <v>0</v>
      </c>
      <c r="N370" t="n">
        <v>0</v>
      </c>
      <c r="O370" t="n">
        <v>0</v>
      </c>
      <c r="P370" t="n">
        <v>0</v>
      </c>
      <c r="Q370" t="n">
        <v>0</v>
      </c>
      <c r="R370" s="2" t="inlineStr"/>
    </row>
    <row r="371" ht="15" customHeight="1">
      <c r="A371" t="inlineStr">
        <is>
          <t>A 43934-2023</t>
        </is>
      </c>
      <c r="B371" s="1" t="n">
        <v>45187</v>
      </c>
      <c r="C371" s="1" t="n">
        <v>46003</v>
      </c>
      <c r="D371" t="inlineStr">
        <is>
          <t>ÖSTERGÖTLANDS LÄN</t>
        </is>
      </c>
      <c r="E371" t="inlineStr">
        <is>
          <t>LINKÖPING</t>
        </is>
      </c>
      <c r="F371" t="inlineStr">
        <is>
          <t>Övriga Aktiebolag</t>
        </is>
      </c>
      <c r="G371" t="n">
        <v>3.8</v>
      </c>
      <c r="H371" t="n">
        <v>0</v>
      </c>
      <c r="I371" t="n">
        <v>0</v>
      </c>
      <c r="J371" t="n">
        <v>0</v>
      </c>
      <c r="K371" t="n">
        <v>0</v>
      </c>
      <c r="L371" t="n">
        <v>0</v>
      </c>
      <c r="M371" t="n">
        <v>0</v>
      </c>
      <c r="N371" t="n">
        <v>0</v>
      </c>
      <c r="O371" t="n">
        <v>0</v>
      </c>
      <c r="P371" t="n">
        <v>0</v>
      </c>
      <c r="Q371" t="n">
        <v>0</v>
      </c>
      <c r="R371" s="2" t="inlineStr"/>
    </row>
    <row r="372" ht="15" customHeight="1">
      <c r="A372" t="inlineStr">
        <is>
          <t>A 3008-2023</t>
        </is>
      </c>
      <c r="B372" s="1" t="n">
        <v>44945.79784722222</v>
      </c>
      <c r="C372" s="1" t="n">
        <v>46003</v>
      </c>
      <c r="D372" t="inlineStr">
        <is>
          <t>ÖSTERGÖTLANDS LÄN</t>
        </is>
      </c>
      <c r="E372" t="inlineStr">
        <is>
          <t>LINKÖPING</t>
        </is>
      </c>
      <c r="G372" t="n">
        <v>19.3</v>
      </c>
      <c r="H372" t="n">
        <v>0</v>
      </c>
      <c r="I372" t="n">
        <v>0</v>
      </c>
      <c r="J372" t="n">
        <v>0</v>
      </c>
      <c r="K372" t="n">
        <v>0</v>
      </c>
      <c r="L372" t="n">
        <v>0</v>
      </c>
      <c r="M372" t="n">
        <v>0</v>
      </c>
      <c r="N372" t="n">
        <v>0</v>
      </c>
      <c r="O372" t="n">
        <v>0</v>
      </c>
      <c r="P372" t="n">
        <v>0</v>
      </c>
      <c r="Q372" t="n">
        <v>0</v>
      </c>
      <c r="R372" s="2" t="inlineStr"/>
    </row>
    <row r="373" ht="15" customHeight="1">
      <c r="A373" t="inlineStr">
        <is>
          <t>A 25568-2024</t>
        </is>
      </c>
      <c r="B373" s="1" t="n">
        <v>45463.58699074074</v>
      </c>
      <c r="C373" s="1" t="n">
        <v>46003</v>
      </c>
      <c r="D373" t="inlineStr">
        <is>
          <t>ÖSTERGÖTLANDS LÄN</t>
        </is>
      </c>
      <c r="E373" t="inlineStr">
        <is>
          <t>LINKÖPING</t>
        </is>
      </c>
      <c r="G373" t="n">
        <v>1.8</v>
      </c>
      <c r="H373" t="n">
        <v>0</v>
      </c>
      <c r="I373" t="n">
        <v>0</v>
      </c>
      <c r="J373" t="n">
        <v>0</v>
      </c>
      <c r="K373" t="n">
        <v>0</v>
      </c>
      <c r="L373" t="n">
        <v>0</v>
      </c>
      <c r="M373" t="n">
        <v>0</v>
      </c>
      <c r="N373" t="n">
        <v>0</v>
      </c>
      <c r="O373" t="n">
        <v>0</v>
      </c>
      <c r="P373" t="n">
        <v>0</v>
      </c>
      <c r="Q373" t="n">
        <v>0</v>
      </c>
      <c r="R373" s="2" t="inlineStr"/>
    </row>
    <row r="374" ht="15" customHeight="1">
      <c r="A374" t="inlineStr">
        <is>
          <t>A 38136-2023</t>
        </is>
      </c>
      <c r="B374" s="1" t="n">
        <v>45161.37310185185</v>
      </c>
      <c r="C374" s="1" t="n">
        <v>46003</v>
      </c>
      <c r="D374" t="inlineStr">
        <is>
          <t>ÖSTERGÖTLANDS LÄN</t>
        </is>
      </c>
      <c r="E374" t="inlineStr">
        <is>
          <t>LINKÖPING</t>
        </is>
      </c>
      <c r="G374" t="n">
        <v>5.6</v>
      </c>
      <c r="H374" t="n">
        <v>0</v>
      </c>
      <c r="I374" t="n">
        <v>0</v>
      </c>
      <c r="J374" t="n">
        <v>0</v>
      </c>
      <c r="K374" t="n">
        <v>0</v>
      </c>
      <c r="L374" t="n">
        <v>0</v>
      </c>
      <c r="M374" t="n">
        <v>0</v>
      </c>
      <c r="N374" t="n">
        <v>0</v>
      </c>
      <c r="O374" t="n">
        <v>0</v>
      </c>
      <c r="P374" t="n">
        <v>0</v>
      </c>
      <c r="Q374" t="n">
        <v>0</v>
      </c>
      <c r="R374" s="2" t="inlineStr"/>
    </row>
    <row r="375" ht="15" customHeight="1">
      <c r="A375" t="inlineStr">
        <is>
          <t>A 12317-2025</t>
        </is>
      </c>
      <c r="B375" s="1" t="n">
        <v>45729.8487037037</v>
      </c>
      <c r="C375" s="1" t="n">
        <v>46003</v>
      </c>
      <c r="D375" t="inlineStr">
        <is>
          <t>ÖSTERGÖTLANDS LÄN</t>
        </is>
      </c>
      <c r="E375" t="inlineStr">
        <is>
          <t>LINKÖPING</t>
        </is>
      </c>
      <c r="G375" t="n">
        <v>8</v>
      </c>
      <c r="H375" t="n">
        <v>0</v>
      </c>
      <c r="I375" t="n">
        <v>0</v>
      </c>
      <c r="J375" t="n">
        <v>0</v>
      </c>
      <c r="K375" t="n">
        <v>0</v>
      </c>
      <c r="L375" t="n">
        <v>0</v>
      </c>
      <c r="M375" t="n">
        <v>0</v>
      </c>
      <c r="N375" t="n">
        <v>0</v>
      </c>
      <c r="O375" t="n">
        <v>0</v>
      </c>
      <c r="P375" t="n">
        <v>0</v>
      </c>
      <c r="Q375" t="n">
        <v>0</v>
      </c>
      <c r="R375" s="2" t="inlineStr"/>
    </row>
    <row r="376" ht="15" customHeight="1">
      <c r="A376" t="inlineStr">
        <is>
          <t>A 14528-2025</t>
        </is>
      </c>
      <c r="B376" s="1" t="n">
        <v>45741</v>
      </c>
      <c r="C376" s="1" t="n">
        <v>46003</v>
      </c>
      <c r="D376" t="inlineStr">
        <is>
          <t>ÖSTERGÖTLANDS LÄN</t>
        </is>
      </c>
      <c r="E376" t="inlineStr">
        <is>
          <t>LINKÖPING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55736-2022</t>
        </is>
      </c>
      <c r="B377" s="1" t="n">
        <v>44888</v>
      </c>
      <c r="C377" s="1" t="n">
        <v>46003</v>
      </c>
      <c r="D377" t="inlineStr">
        <is>
          <t>ÖSTERGÖTLANDS LÄN</t>
        </is>
      </c>
      <c r="E377" t="inlineStr">
        <is>
          <t>LINKÖPING</t>
        </is>
      </c>
      <c r="G377" t="n">
        <v>5.5</v>
      </c>
      <c r="H377" t="n">
        <v>0</v>
      </c>
      <c r="I377" t="n">
        <v>0</v>
      </c>
      <c r="J377" t="n">
        <v>0</v>
      </c>
      <c r="K377" t="n">
        <v>0</v>
      </c>
      <c r="L377" t="n">
        <v>0</v>
      </c>
      <c r="M377" t="n">
        <v>0</v>
      </c>
      <c r="N377" t="n">
        <v>0</v>
      </c>
      <c r="O377" t="n">
        <v>0</v>
      </c>
      <c r="P377" t="n">
        <v>0</v>
      </c>
      <c r="Q377" t="n">
        <v>0</v>
      </c>
      <c r="R377" s="2" t="inlineStr"/>
    </row>
    <row r="378" ht="15" customHeight="1">
      <c r="A378" t="inlineStr">
        <is>
          <t>A 60001-2022</t>
        </is>
      </c>
      <c r="B378" s="1" t="n">
        <v>44909.47087962963</v>
      </c>
      <c r="C378" s="1" t="n">
        <v>46003</v>
      </c>
      <c r="D378" t="inlineStr">
        <is>
          <t>ÖSTERGÖTLANDS LÄN</t>
        </is>
      </c>
      <c r="E378" t="inlineStr">
        <is>
          <t>LINKÖPING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61649-2023</t>
        </is>
      </c>
      <c r="B379" s="1" t="n">
        <v>45265</v>
      </c>
      <c r="C379" s="1" t="n">
        <v>46003</v>
      </c>
      <c r="D379" t="inlineStr">
        <is>
          <t>ÖSTERGÖTLANDS LÄN</t>
        </is>
      </c>
      <c r="E379" t="inlineStr">
        <is>
          <t>LINKÖPING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1657-2024</t>
        </is>
      </c>
      <c r="B380" s="1" t="n">
        <v>45306.82501157407</v>
      </c>
      <c r="C380" s="1" t="n">
        <v>46003</v>
      </c>
      <c r="D380" t="inlineStr">
        <is>
          <t>ÖSTERGÖTLANDS LÄN</t>
        </is>
      </c>
      <c r="E380" t="inlineStr">
        <is>
          <t>LINKÖPING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30434-2024</t>
        </is>
      </c>
      <c r="B381" s="1" t="n">
        <v>45491.69811342593</v>
      </c>
      <c r="C381" s="1" t="n">
        <v>46003</v>
      </c>
      <c r="D381" t="inlineStr">
        <is>
          <t>ÖSTERGÖTLANDS LÄN</t>
        </is>
      </c>
      <c r="E381" t="inlineStr">
        <is>
          <t>LINKÖPING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60985-2023</t>
        </is>
      </c>
      <c r="B382" s="1" t="n">
        <v>45261.48429398148</v>
      </c>
      <c r="C382" s="1" t="n">
        <v>46003</v>
      </c>
      <c r="D382" t="inlineStr">
        <is>
          <t>ÖSTERGÖTLANDS LÄN</t>
        </is>
      </c>
      <c r="E382" t="inlineStr">
        <is>
          <t>LINKÖPING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421-2024</t>
        </is>
      </c>
      <c r="B383" s="1" t="n">
        <v>45296.51877314815</v>
      </c>
      <c r="C383" s="1" t="n">
        <v>46003</v>
      </c>
      <c r="D383" t="inlineStr">
        <is>
          <t>ÖSTERGÖTLANDS LÄN</t>
        </is>
      </c>
      <c r="E383" t="inlineStr">
        <is>
          <t>LINKÖPING</t>
        </is>
      </c>
      <c r="G383" t="n">
        <v>3.7</v>
      </c>
      <c r="H383" t="n">
        <v>0</v>
      </c>
      <c r="I383" t="n">
        <v>0</v>
      </c>
      <c r="J383" t="n">
        <v>0</v>
      </c>
      <c r="K383" t="n">
        <v>0</v>
      </c>
      <c r="L383" t="n">
        <v>0</v>
      </c>
      <c r="M383" t="n">
        <v>0</v>
      </c>
      <c r="N383" t="n">
        <v>0</v>
      </c>
      <c r="O383" t="n">
        <v>0</v>
      </c>
      <c r="P383" t="n">
        <v>0</v>
      </c>
      <c r="Q383" t="n">
        <v>0</v>
      </c>
      <c r="R383" s="2" t="inlineStr"/>
    </row>
    <row r="384" ht="15" customHeight="1">
      <c r="A384" t="inlineStr">
        <is>
          <t>A 51405-2023</t>
        </is>
      </c>
      <c r="B384" s="1" t="n">
        <v>45219</v>
      </c>
      <c r="C384" s="1" t="n">
        <v>46003</v>
      </c>
      <c r="D384" t="inlineStr">
        <is>
          <t>ÖSTERGÖTLANDS LÄN</t>
        </is>
      </c>
      <c r="E384" t="inlineStr">
        <is>
          <t>LINKÖPING</t>
        </is>
      </c>
      <c r="F384" t="inlineStr">
        <is>
          <t>Övriga Aktiebolag</t>
        </is>
      </c>
      <c r="G384" t="n">
        <v>3</v>
      </c>
      <c r="H384" t="n">
        <v>0</v>
      </c>
      <c r="I384" t="n">
        <v>0</v>
      </c>
      <c r="J384" t="n">
        <v>0</v>
      </c>
      <c r="K384" t="n">
        <v>0</v>
      </c>
      <c r="L384" t="n">
        <v>0</v>
      </c>
      <c r="M384" t="n">
        <v>0</v>
      </c>
      <c r="N384" t="n">
        <v>0</v>
      </c>
      <c r="O384" t="n">
        <v>0</v>
      </c>
      <c r="P384" t="n">
        <v>0</v>
      </c>
      <c r="Q384" t="n">
        <v>0</v>
      </c>
      <c r="R384" s="2" t="inlineStr"/>
    </row>
    <row r="385" ht="15" customHeight="1">
      <c r="A385" t="inlineStr">
        <is>
          <t>A 53639-2023</t>
        </is>
      </c>
      <c r="B385" s="1" t="n">
        <v>45230.59686342593</v>
      </c>
      <c r="C385" s="1" t="n">
        <v>46003</v>
      </c>
      <c r="D385" t="inlineStr">
        <is>
          <t>ÖSTERGÖTLANDS LÄN</t>
        </is>
      </c>
      <c r="E385" t="inlineStr">
        <is>
          <t>LINKÖPING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24467-2023</t>
        </is>
      </c>
      <c r="B386" s="1" t="n">
        <v>45082</v>
      </c>
      <c r="C386" s="1" t="n">
        <v>46003</v>
      </c>
      <c r="D386" t="inlineStr">
        <is>
          <t>ÖSTERGÖTLANDS LÄN</t>
        </is>
      </c>
      <c r="E386" t="inlineStr">
        <is>
          <t>LINKÖPING</t>
        </is>
      </c>
      <c r="G386" t="n">
        <v>2.4</v>
      </c>
      <c r="H386" t="n">
        <v>0</v>
      </c>
      <c r="I386" t="n">
        <v>0</v>
      </c>
      <c r="J386" t="n">
        <v>0</v>
      </c>
      <c r="K386" t="n">
        <v>0</v>
      </c>
      <c r="L386" t="n">
        <v>0</v>
      </c>
      <c r="M386" t="n">
        <v>0</v>
      </c>
      <c r="N386" t="n">
        <v>0</v>
      </c>
      <c r="O386" t="n">
        <v>0</v>
      </c>
      <c r="P386" t="n">
        <v>0</v>
      </c>
      <c r="Q386" t="n">
        <v>0</v>
      </c>
      <c r="R386" s="2" t="inlineStr"/>
    </row>
    <row r="387" ht="15" customHeight="1">
      <c r="A387" t="inlineStr">
        <is>
          <t>A 7354-2025</t>
        </is>
      </c>
      <c r="B387" s="1" t="n">
        <v>45704.41174768518</v>
      </c>
      <c r="C387" s="1" t="n">
        <v>46003</v>
      </c>
      <c r="D387" t="inlineStr">
        <is>
          <t>ÖSTERGÖTLANDS LÄN</t>
        </is>
      </c>
      <c r="E387" t="inlineStr">
        <is>
          <t>LINKÖPING</t>
        </is>
      </c>
      <c r="G387" t="n">
        <v>4.8</v>
      </c>
      <c r="H387" t="n">
        <v>0</v>
      </c>
      <c r="I387" t="n">
        <v>0</v>
      </c>
      <c r="J387" t="n">
        <v>0</v>
      </c>
      <c r="K387" t="n">
        <v>0</v>
      </c>
      <c r="L387" t="n">
        <v>0</v>
      </c>
      <c r="M387" t="n">
        <v>0</v>
      </c>
      <c r="N387" t="n">
        <v>0</v>
      </c>
      <c r="O387" t="n">
        <v>0</v>
      </c>
      <c r="P387" t="n">
        <v>0</v>
      </c>
      <c r="Q387" t="n">
        <v>0</v>
      </c>
      <c r="R387" s="2" t="inlineStr"/>
    </row>
    <row r="388" ht="15" customHeight="1">
      <c r="A388" t="inlineStr">
        <is>
          <t>A 62488-2023</t>
        </is>
      </c>
      <c r="B388" s="1" t="n">
        <v>45268.5847337963</v>
      </c>
      <c r="C388" s="1" t="n">
        <v>46003</v>
      </c>
      <c r="D388" t="inlineStr">
        <is>
          <t>ÖSTERGÖTLANDS LÄN</t>
        </is>
      </c>
      <c r="E388" t="inlineStr">
        <is>
          <t>LINKÖPING</t>
        </is>
      </c>
      <c r="G388" t="n">
        <v>4.1</v>
      </c>
      <c r="H388" t="n">
        <v>0</v>
      </c>
      <c r="I388" t="n">
        <v>0</v>
      </c>
      <c r="J388" t="n">
        <v>0</v>
      </c>
      <c r="K388" t="n">
        <v>0</v>
      </c>
      <c r="L388" t="n">
        <v>0</v>
      </c>
      <c r="M388" t="n">
        <v>0</v>
      </c>
      <c r="N388" t="n">
        <v>0</v>
      </c>
      <c r="O388" t="n">
        <v>0</v>
      </c>
      <c r="P388" t="n">
        <v>0</v>
      </c>
      <c r="Q388" t="n">
        <v>0</v>
      </c>
      <c r="R388" s="2" t="inlineStr"/>
    </row>
    <row r="389" ht="15" customHeight="1">
      <c r="A389" t="inlineStr">
        <is>
          <t>A 62495-2023</t>
        </is>
      </c>
      <c r="B389" s="1" t="n">
        <v>45268.59717592593</v>
      </c>
      <c r="C389" s="1" t="n">
        <v>46003</v>
      </c>
      <c r="D389" t="inlineStr">
        <is>
          <t>ÖSTERGÖTLANDS LÄN</t>
        </is>
      </c>
      <c r="E389" t="inlineStr">
        <is>
          <t>LINKÖPING</t>
        </is>
      </c>
      <c r="G389" t="n">
        <v>4.1</v>
      </c>
      <c r="H389" t="n">
        <v>0</v>
      </c>
      <c r="I389" t="n">
        <v>0</v>
      </c>
      <c r="J389" t="n">
        <v>0</v>
      </c>
      <c r="K389" t="n">
        <v>0</v>
      </c>
      <c r="L389" t="n">
        <v>0</v>
      </c>
      <c r="M389" t="n">
        <v>0</v>
      </c>
      <c r="N389" t="n">
        <v>0</v>
      </c>
      <c r="O389" t="n">
        <v>0</v>
      </c>
      <c r="P389" t="n">
        <v>0</v>
      </c>
      <c r="Q389" t="n">
        <v>0</v>
      </c>
      <c r="R389" s="2" t="inlineStr"/>
    </row>
    <row r="390" ht="15" customHeight="1">
      <c r="A390" t="inlineStr">
        <is>
          <t>A 63935-2021</t>
        </is>
      </c>
      <c r="B390" s="1" t="n">
        <v>44509</v>
      </c>
      <c r="C390" s="1" t="n">
        <v>46003</v>
      </c>
      <c r="D390" t="inlineStr">
        <is>
          <t>ÖSTERGÖTLANDS LÄN</t>
        </is>
      </c>
      <c r="E390" t="inlineStr">
        <is>
          <t>LINKÖPING</t>
        </is>
      </c>
      <c r="F390" t="inlineStr">
        <is>
          <t>Övriga statliga verk och myndigheter</t>
        </is>
      </c>
      <c r="G390" t="n">
        <v>2.8</v>
      </c>
      <c r="H390" t="n">
        <v>0</v>
      </c>
      <c r="I390" t="n">
        <v>0</v>
      </c>
      <c r="J390" t="n">
        <v>0</v>
      </c>
      <c r="K390" t="n">
        <v>0</v>
      </c>
      <c r="L390" t="n">
        <v>0</v>
      </c>
      <c r="M390" t="n">
        <v>0</v>
      </c>
      <c r="N390" t="n">
        <v>0</v>
      </c>
      <c r="O390" t="n">
        <v>0</v>
      </c>
      <c r="P390" t="n">
        <v>0</v>
      </c>
      <c r="Q390" t="n">
        <v>0</v>
      </c>
      <c r="R390" s="2" t="inlineStr"/>
    </row>
    <row r="391" ht="15" customHeight="1">
      <c r="A391" t="inlineStr">
        <is>
          <t>A 10198-2023</t>
        </is>
      </c>
      <c r="B391" s="1" t="n">
        <v>44986.54665509259</v>
      </c>
      <c r="C391" s="1" t="n">
        <v>46003</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22771-2024</t>
        </is>
      </c>
      <c r="B392" s="1" t="n">
        <v>45448.46574074074</v>
      </c>
      <c r="C392" s="1" t="n">
        <v>46003</v>
      </c>
      <c r="D392" t="inlineStr">
        <is>
          <t>ÖSTERGÖTLANDS LÄN</t>
        </is>
      </c>
      <c r="E392" t="inlineStr">
        <is>
          <t>LINKÖPING</t>
        </is>
      </c>
      <c r="F392" t="inlineStr">
        <is>
          <t>Sveaskog</t>
        </is>
      </c>
      <c r="G392" t="n">
        <v>2.7</v>
      </c>
      <c r="H392" t="n">
        <v>0</v>
      </c>
      <c r="I392" t="n">
        <v>0</v>
      </c>
      <c r="J392" t="n">
        <v>0</v>
      </c>
      <c r="K392" t="n">
        <v>0</v>
      </c>
      <c r="L392" t="n">
        <v>0</v>
      </c>
      <c r="M392" t="n">
        <v>0</v>
      </c>
      <c r="N392" t="n">
        <v>0</v>
      </c>
      <c r="O392" t="n">
        <v>0</v>
      </c>
      <c r="P392" t="n">
        <v>0</v>
      </c>
      <c r="Q392" t="n">
        <v>0</v>
      </c>
      <c r="R392" s="2" t="inlineStr"/>
    </row>
    <row r="393" ht="15" customHeight="1">
      <c r="A393" t="inlineStr">
        <is>
          <t>A 30976-2022</t>
        </is>
      </c>
      <c r="B393" s="1" t="n">
        <v>44768</v>
      </c>
      <c r="C393" s="1" t="n">
        <v>46003</v>
      </c>
      <c r="D393" t="inlineStr">
        <is>
          <t>ÖSTERGÖTLANDS LÄN</t>
        </is>
      </c>
      <c r="E393" t="inlineStr">
        <is>
          <t>LINKÖPING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11084-2022</t>
        </is>
      </c>
      <c r="B394" s="1" t="n">
        <v>44628</v>
      </c>
      <c r="C394" s="1" t="n">
        <v>46003</v>
      </c>
      <c r="D394" t="inlineStr">
        <is>
          <t>ÖSTERGÖTLANDS LÄN</t>
        </is>
      </c>
      <c r="E394" t="inlineStr">
        <is>
          <t>LINKÖPING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40810-2022</t>
        </is>
      </c>
      <c r="B395" s="1" t="n">
        <v>44824</v>
      </c>
      <c r="C395" s="1" t="n">
        <v>46003</v>
      </c>
      <c r="D395" t="inlineStr">
        <is>
          <t>ÖSTERGÖTLANDS LÄN</t>
        </is>
      </c>
      <c r="E395" t="inlineStr">
        <is>
          <t>LINKÖPING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17128-2025</t>
        </is>
      </c>
      <c r="B396" s="1" t="n">
        <v>45755.72622685185</v>
      </c>
      <c r="C396" s="1" t="n">
        <v>46003</v>
      </c>
      <c r="D396" t="inlineStr">
        <is>
          <t>ÖSTERGÖTLANDS LÄN</t>
        </is>
      </c>
      <c r="E396" t="inlineStr">
        <is>
          <t>LINKÖPING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30860-2022</t>
        </is>
      </c>
      <c r="B397" s="1" t="n">
        <v>44767</v>
      </c>
      <c r="C397" s="1" t="n">
        <v>46003</v>
      </c>
      <c r="D397" t="inlineStr">
        <is>
          <t>ÖSTERGÖTLANDS LÄN</t>
        </is>
      </c>
      <c r="E397" t="inlineStr">
        <is>
          <t>LINKÖPING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62018-2024</t>
        </is>
      </c>
      <c r="B398" s="1" t="n">
        <v>45655.81387731482</v>
      </c>
      <c r="C398" s="1" t="n">
        <v>46003</v>
      </c>
      <c r="D398" t="inlineStr">
        <is>
          <t>ÖSTERGÖTLANDS LÄN</t>
        </is>
      </c>
      <c r="E398" t="inlineStr">
        <is>
          <t>LINKÖPING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62073-2023</t>
        </is>
      </c>
      <c r="B399" s="1" t="n">
        <v>45266.73844907407</v>
      </c>
      <c r="C399" s="1" t="n">
        <v>46003</v>
      </c>
      <c r="D399" t="inlineStr">
        <is>
          <t>ÖSTERGÖTLANDS LÄN</t>
        </is>
      </c>
      <c r="E399" t="inlineStr">
        <is>
          <t>LINKÖPING</t>
        </is>
      </c>
      <c r="F399" t="inlineStr">
        <is>
          <t>Allmännings- och besparingsskogar</t>
        </is>
      </c>
      <c r="G399" t="n">
        <v>1.8</v>
      </c>
      <c r="H399" t="n">
        <v>0</v>
      </c>
      <c r="I399" t="n">
        <v>0</v>
      </c>
      <c r="J399" t="n">
        <v>0</v>
      </c>
      <c r="K399" t="n">
        <v>0</v>
      </c>
      <c r="L399" t="n">
        <v>0</v>
      </c>
      <c r="M399" t="n">
        <v>0</v>
      </c>
      <c r="N399" t="n">
        <v>0</v>
      </c>
      <c r="O399" t="n">
        <v>0</v>
      </c>
      <c r="P399" t="n">
        <v>0</v>
      </c>
      <c r="Q399" t="n">
        <v>0</v>
      </c>
      <c r="R399" s="2" t="inlineStr"/>
    </row>
    <row r="400" ht="15" customHeight="1">
      <c r="A400" t="inlineStr">
        <is>
          <t>A 57745-2022</t>
        </is>
      </c>
      <c r="B400" s="1" t="n">
        <v>44897.58119212963</v>
      </c>
      <c r="C400" s="1" t="n">
        <v>46003</v>
      </c>
      <c r="D400" t="inlineStr">
        <is>
          <t>ÖSTERGÖTLANDS LÄN</t>
        </is>
      </c>
      <c r="E400" t="inlineStr">
        <is>
          <t>LINKÖPING</t>
        </is>
      </c>
      <c r="F400" t="inlineStr">
        <is>
          <t>Sveaskog</t>
        </is>
      </c>
      <c r="G400" t="n">
        <v>3.1</v>
      </c>
      <c r="H400" t="n">
        <v>0</v>
      </c>
      <c r="I400" t="n">
        <v>0</v>
      </c>
      <c r="J400" t="n">
        <v>0</v>
      </c>
      <c r="K400" t="n">
        <v>0</v>
      </c>
      <c r="L400" t="n">
        <v>0</v>
      </c>
      <c r="M400" t="n">
        <v>0</v>
      </c>
      <c r="N400" t="n">
        <v>0</v>
      </c>
      <c r="O400" t="n">
        <v>0</v>
      </c>
      <c r="P400" t="n">
        <v>0</v>
      </c>
      <c r="Q400" t="n">
        <v>0</v>
      </c>
      <c r="R400" s="2" t="inlineStr"/>
    </row>
    <row r="401" ht="15" customHeight="1">
      <c r="A401" t="inlineStr">
        <is>
          <t>A 672-2024</t>
        </is>
      </c>
      <c r="B401" s="1" t="n">
        <v>45300</v>
      </c>
      <c r="C401" s="1" t="n">
        <v>46003</v>
      </c>
      <c r="D401" t="inlineStr">
        <is>
          <t>ÖSTERGÖTLANDS LÄN</t>
        </is>
      </c>
      <c r="E401" t="inlineStr">
        <is>
          <t>LINKÖPING</t>
        </is>
      </c>
      <c r="F401" t="inlineStr">
        <is>
          <t>Sveaskog</t>
        </is>
      </c>
      <c r="G401" t="n">
        <v>4.5</v>
      </c>
      <c r="H401" t="n">
        <v>0</v>
      </c>
      <c r="I401" t="n">
        <v>0</v>
      </c>
      <c r="J401" t="n">
        <v>0</v>
      </c>
      <c r="K401" t="n">
        <v>0</v>
      </c>
      <c r="L401" t="n">
        <v>0</v>
      </c>
      <c r="M401" t="n">
        <v>0</v>
      </c>
      <c r="N401" t="n">
        <v>0</v>
      </c>
      <c r="O401" t="n">
        <v>0</v>
      </c>
      <c r="P401" t="n">
        <v>0</v>
      </c>
      <c r="Q401" t="n">
        <v>0</v>
      </c>
      <c r="R401" s="2" t="inlineStr"/>
    </row>
    <row r="402" ht="15" customHeight="1">
      <c r="A402" t="inlineStr">
        <is>
          <t>A 48186-2022</t>
        </is>
      </c>
      <c r="B402" s="1" t="n">
        <v>44858</v>
      </c>
      <c r="C402" s="1" t="n">
        <v>46003</v>
      </c>
      <c r="D402" t="inlineStr">
        <is>
          <t>ÖSTERGÖTLANDS LÄN</t>
        </is>
      </c>
      <c r="E402" t="inlineStr">
        <is>
          <t>LINKÖPING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42832-2023</t>
        </is>
      </c>
      <c r="B403" s="1" t="n">
        <v>45182.38091435185</v>
      </c>
      <c r="C403" s="1" t="n">
        <v>46003</v>
      </c>
      <c r="D403" t="inlineStr">
        <is>
          <t>ÖSTERGÖTLANDS LÄN</t>
        </is>
      </c>
      <c r="E403" t="inlineStr">
        <is>
          <t>LINKÖPING</t>
        </is>
      </c>
      <c r="G403" t="n">
        <v>2.5</v>
      </c>
      <c r="H403" t="n">
        <v>0</v>
      </c>
      <c r="I403" t="n">
        <v>0</v>
      </c>
      <c r="J403" t="n">
        <v>0</v>
      </c>
      <c r="K403" t="n">
        <v>0</v>
      </c>
      <c r="L403" t="n">
        <v>0</v>
      </c>
      <c r="M403" t="n">
        <v>0</v>
      </c>
      <c r="N403" t="n">
        <v>0</v>
      </c>
      <c r="O403" t="n">
        <v>0</v>
      </c>
      <c r="P403" t="n">
        <v>0</v>
      </c>
      <c r="Q403" t="n">
        <v>0</v>
      </c>
      <c r="R403" s="2" t="inlineStr"/>
    </row>
    <row r="404" ht="15" customHeight="1">
      <c r="A404" t="inlineStr">
        <is>
          <t>A 5872-2025</t>
        </is>
      </c>
      <c r="B404" s="1" t="n">
        <v>45695.36659722222</v>
      </c>
      <c r="C404" s="1" t="n">
        <v>46003</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59674-2024</t>
        </is>
      </c>
      <c r="B405" s="1" t="n">
        <v>45639</v>
      </c>
      <c r="C405" s="1" t="n">
        <v>46003</v>
      </c>
      <c r="D405" t="inlineStr">
        <is>
          <t>ÖSTERGÖTLANDS LÄN</t>
        </is>
      </c>
      <c r="E405" t="inlineStr">
        <is>
          <t>LINKÖPING</t>
        </is>
      </c>
      <c r="G405" t="n">
        <v>6.3</v>
      </c>
      <c r="H405" t="n">
        <v>0</v>
      </c>
      <c r="I405" t="n">
        <v>0</v>
      </c>
      <c r="J405" t="n">
        <v>0</v>
      </c>
      <c r="K405" t="n">
        <v>0</v>
      </c>
      <c r="L405" t="n">
        <v>0</v>
      </c>
      <c r="M405" t="n">
        <v>0</v>
      </c>
      <c r="N405" t="n">
        <v>0</v>
      </c>
      <c r="O405" t="n">
        <v>0</v>
      </c>
      <c r="P405" t="n">
        <v>0</v>
      </c>
      <c r="Q405" t="n">
        <v>0</v>
      </c>
      <c r="R405" s="2" t="inlineStr"/>
    </row>
    <row r="406" ht="15" customHeight="1">
      <c r="A406" t="inlineStr">
        <is>
          <t>A 59576-2024</t>
        </is>
      </c>
      <c r="B406" s="1" t="n">
        <v>45638.66378472222</v>
      </c>
      <c r="C406" s="1" t="n">
        <v>46003</v>
      </c>
      <c r="D406" t="inlineStr">
        <is>
          <t>ÖSTERGÖTLANDS LÄN</t>
        </is>
      </c>
      <c r="E406" t="inlineStr">
        <is>
          <t>LINKÖPING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14520-2025</t>
        </is>
      </c>
      <c r="B407" s="1" t="n">
        <v>45741</v>
      </c>
      <c r="C407" s="1" t="n">
        <v>46003</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51583-2024</t>
        </is>
      </c>
      <c r="B408" s="1" t="n">
        <v>45604.6397337963</v>
      </c>
      <c r="C408" s="1" t="n">
        <v>46003</v>
      </c>
      <c r="D408" t="inlineStr">
        <is>
          <t>ÖSTERGÖTLANDS LÄN</t>
        </is>
      </c>
      <c r="E408" t="inlineStr">
        <is>
          <t>LINKÖPING</t>
        </is>
      </c>
      <c r="F408" t="inlineStr">
        <is>
          <t>Övriga Aktiebolag</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62019-2024</t>
        </is>
      </c>
      <c r="B409" s="1" t="n">
        <v>45655.82</v>
      </c>
      <c r="C409" s="1" t="n">
        <v>46003</v>
      </c>
      <c r="D409" t="inlineStr">
        <is>
          <t>ÖSTERGÖTLANDS LÄN</t>
        </is>
      </c>
      <c r="E409" t="inlineStr">
        <is>
          <t>LINKÖPING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38317-2024</t>
        </is>
      </c>
      <c r="B410" s="1" t="n">
        <v>45545.65766203704</v>
      </c>
      <c r="C410" s="1" t="n">
        <v>46003</v>
      </c>
      <c r="D410" t="inlineStr">
        <is>
          <t>ÖSTERGÖTLANDS LÄN</t>
        </is>
      </c>
      <c r="E410" t="inlineStr">
        <is>
          <t>LINKÖPING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50182-2023</t>
        </is>
      </c>
      <c r="B411" s="1" t="n">
        <v>45208</v>
      </c>
      <c r="C411" s="1" t="n">
        <v>46003</v>
      </c>
      <c r="D411" t="inlineStr">
        <is>
          <t>ÖSTERGÖTLANDS LÄN</t>
        </is>
      </c>
      <c r="E411" t="inlineStr">
        <is>
          <t>LINKÖPING</t>
        </is>
      </c>
      <c r="G411" t="n">
        <v>2.5</v>
      </c>
      <c r="H411" t="n">
        <v>0</v>
      </c>
      <c r="I411" t="n">
        <v>0</v>
      </c>
      <c r="J411" t="n">
        <v>0</v>
      </c>
      <c r="K411" t="n">
        <v>0</v>
      </c>
      <c r="L411" t="n">
        <v>0</v>
      </c>
      <c r="M411" t="n">
        <v>0</v>
      </c>
      <c r="N411" t="n">
        <v>0</v>
      </c>
      <c r="O411" t="n">
        <v>0</v>
      </c>
      <c r="P411" t="n">
        <v>0</v>
      </c>
      <c r="Q411" t="n">
        <v>0</v>
      </c>
      <c r="R411" s="2" t="inlineStr"/>
    </row>
    <row r="412" ht="15" customHeight="1">
      <c r="A412" t="inlineStr">
        <is>
          <t>A 28266-2024</t>
        </is>
      </c>
      <c r="B412" s="1" t="n">
        <v>45477.43600694444</v>
      </c>
      <c r="C412" s="1" t="n">
        <v>46003</v>
      </c>
      <c r="D412" t="inlineStr">
        <is>
          <t>ÖSTERGÖTLANDS LÄN</t>
        </is>
      </c>
      <c r="E412" t="inlineStr">
        <is>
          <t>LINKÖPING</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20298-2025</t>
        </is>
      </c>
      <c r="B413" s="1" t="n">
        <v>45774.75024305555</v>
      </c>
      <c r="C413" s="1" t="n">
        <v>46003</v>
      </c>
      <c r="D413" t="inlineStr">
        <is>
          <t>ÖSTERGÖTLANDS LÄN</t>
        </is>
      </c>
      <c r="E413" t="inlineStr">
        <is>
          <t>LINKÖPING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31548-2022</t>
        </is>
      </c>
      <c r="B414" s="1" t="n">
        <v>44775.39832175926</v>
      </c>
      <c r="C414" s="1" t="n">
        <v>46003</v>
      </c>
      <c r="D414" t="inlineStr">
        <is>
          <t>ÖSTERGÖTLANDS LÄN</t>
        </is>
      </c>
      <c r="E414" t="inlineStr">
        <is>
          <t>LINKÖPING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56064-2022</t>
        </is>
      </c>
      <c r="B415" s="1" t="n">
        <v>44889.59107638889</v>
      </c>
      <c r="C415" s="1" t="n">
        <v>46003</v>
      </c>
      <c r="D415" t="inlineStr">
        <is>
          <t>ÖSTERGÖTLANDS LÄN</t>
        </is>
      </c>
      <c r="E415" t="inlineStr">
        <is>
          <t>LINKÖPING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14576-2023</t>
        </is>
      </c>
      <c r="B416" s="1" t="n">
        <v>45013</v>
      </c>
      <c r="C416" s="1" t="n">
        <v>46003</v>
      </c>
      <c r="D416" t="inlineStr">
        <is>
          <t>ÖSTERGÖTLANDS LÄN</t>
        </is>
      </c>
      <c r="E416" t="inlineStr">
        <is>
          <t>LINKÖPING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40502-2024</t>
        </is>
      </c>
      <c r="B417" s="1" t="n">
        <v>45555.57263888889</v>
      </c>
      <c r="C417" s="1" t="n">
        <v>46003</v>
      </c>
      <c r="D417" t="inlineStr">
        <is>
          <t>ÖSTERGÖTLANDS LÄN</t>
        </is>
      </c>
      <c r="E417" t="inlineStr">
        <is>
          <t>LINKÖPING</t>
        </is>
      </c>
      <c r="F417" t="inlineStr">
        <is>
          <t>Allmännings- och besparingsskogar</t>
        </is>
      </c>
      <c r="G417" t="n">
        <v>17.5</v>
      </c>
      <c r="H417" t="n">
        <v>0</v>
      </c>
      <c r="I417" t="n">
        <v>0</v>
      </c>
      <c r="J417" t="n">
        <v>0</v>
      </c>
      <c r="K417" t="n">
        <v>0</v>
      </c>
      <c r="L417" t="n">
        <v>0</v>
      </c>
      <c r="M417" t="n">
        <v>0</v>
      </c>
      <c r="N417" t="n">
        <v>0</v>
      </c>
      <c r="O417" t="n">
        <v>0</v>
      </c>
      <c r="P417" t="n">
        <v>0</v>
      </c>
      <c r="Q417" t="n">
        <v>0</v>
      </c>
      <c r="R417" s="2" t="inlineStr"/>
    </row>
    <row r="418" ht="15" customHeight="1">
      <c r="A418" t="inlineStr">
        <is>
          <t>A 1211-2023</t>
        </is>
      </c>
      <c r="B418" s="1" t="n">
        <v>44930</v>
      </c>
      <c r="C418" s="1" t="n">
        <v>46003</v>
      </c>
      <c r="D418" t="inlineStr">
        <is>
          <t>ÖSTERGÖTLANDS LÄN</t>
        </is>
      </c>
      <c r="E418" t="inlineStr">
        <is>
          <t>LINKÖPING</t>
        </is>
      </c>
      <c r="F418" t="inlineStr">
        <is>
          <t>Övriga statliga verk och myndigheter</t>
        </is>
      </c>
      <c r="G418" t="n">
        <v>7.9</v>
      </c>
      <c r="H418" t="n">
        <v>0</v>
      </c>
      <c r="I418" t="n">
        <v>0</v>
      </c>
      <c r="J418" t="n">
        <v>0</v>
      </c>
      <c r="K418" t="n">
        <v>0</v>
      </c>
      <c r="L418" t="n">
        <v>0</v>
      </c>
      <c r="M418" t="n">
        <v>0</v>
      </c>
      <c r="N418" t="n">
        <v>0</v>
      </c>
      <c r="O418" t="n">
        <v>0</v>
      </c>
      <c r="P418" t="n">
        <v>0</v>
      </c>
      <c r="Q418" t="n">
        <v>0</v>
      </c>
      <c r="R418" s="2" t="inlineStr"/>
    </row>
    <row r="419" ht="15" customHeight="1">
      <c r="A419" t="inlineStr">
        <is>
          <t>A 51191-2022</t>
        </is>
      </c>
      <c r="B419" s="1" t="n">
        <v>44865</v>
      </c>
      <c r="C419" s="1" t="n">
        <v>46003</v>
      </c>
      <c r="D419" t="inlineStr">
        <is>
          <t>ÖSTERGÖTLANDS LÄN</t>
        </is>
      </c>
      <c r="E419" t="inlineStr">
        <is>
          <t>LINKÖPING</t>
        </is>
      </c>
      <c r="G419" t="n">
        <v>2.2</v>
      </c>
      <c r="H419" t="n">
        <v>0</v>
      </c>
      <c r="I419" t="n">
        <v>0</v>
      </c>
      <c r="J419" t="n">
        <v>0</v>
      </c>
      <c r="K419" t="n">
        <v>0</v>
      </c>
      <c r="L419" t="n">
        <v>0</v>
      </c>
      <c r="M419" t="n">
        <v>0</v>
      </c>
      <c r="N419" t="n">
        <v>0</v>
      </c>
      <c r="O419" t="n">
        <v>0</v>
      </c>
      <c r="P419" t="n">
        <v>0</v>
      </c>
      <c r="Q419" t="n">
        <v>0</v>
      </c>
      <c r="R419" s="2" t="inlineStr"/>
    </row>
    <row r="420" ht="15" customHeight="1">
      <c r="A420" t="inlineStr">
        <is>
          <t>A 12089-2025</t>
        </is>
      </c>
      <c r="B420" s="1" t="n">
        <v>45729</v>
      </c>
      <c r="C420" s="1" t="n">
        <v>46003</v>
      </c>
      <c r="D420" t="inlineStr">
        <is>
          <t>ÖSTERGÖTLANDS LÄN</t>
        </is>
      </c>
      <c r="E420" t="inlineStr">
        <is>
          <t>LINKÖPING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55632-2022</t>
        </is>
      </c>
      <c r="B421" s="1" t="n">
        <v>44888</v>
      </c>
      <c r="C421" s="1" t="n">
        <v>46003</v>
      </c>
      <c r="D421" t="inlineStr">
        <is>
          <t>ÖSTERGÖTLANDS LÄN</t>
        </is>
      </c>
      <c r="E421" t="inlineStr">
        <is>
          <t>LINKÖPING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44155-2024</t>
        </is>
      </c>
      <c r="B422" s="1" t="n">
        <v>45572.68226851852</v>
      </c>
      <c r="C422" s="1" t="n">
        <v>46003</v>
      </c>
      <c r="D422" t="inlineStr">
        <is>
          <t>ÖSTERGÖTLANDS LÄN</t>
        </is>
      </c>
      <c r="E422" t="inlineStr">
        <is>
          <t>LINKÖPING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1844-2025</t>
        </is>
      </c>
      <c r="B423" s="1" t="n">
        <v>45671.57730324074</v>
      </c>
      <c r="C423" s="1" t="n">
        <v>46003</v>
      </c>
      <c r="D423" t="inlineStr">
        <is>
          <t>ÖSTERGÖTLANDS LÄN</t>
        </is>
      </c>
      <c r="E423" t="inlineStr">
        <is>
          <t>LINKÖPING</t>
        </is>
      </c>
      <c r="G423" t="n">
        <v>2</v>
      </c>
      <c r="H423" t="n">
        <v>0</v>
      </c>
      <c r="I423" t="n">
        <v>0</v>
      </c>
      <c r="J423" t="n">
        <v>0</v>
      </c>
      <c r="K423" t="n">
        <v>0</v>
      </c>
      <c r="L423" t="n">
        <v>0</v>
      </c>
      <c r="M423" t="n">
        <v>0</v>
      </c>
      <c r="N423" t="n">
        <v>0</v>
      </c>
      <c r="O423" t="n">
        <v>0</v>
      </c>
      <c r="P423" t="n">
        <v>0</v>
      </c>
      <c r="Q423" t="n">
        <v>0</v>
      </c>
      <c r="R423" s="2" t="inlineStr"/>
    </row>
    <row r="424" ht="15" customHeight="1">
      <c r="A424" t="inlineStr">
        <is>
          <t>A 63669-2023</t>
        </is>
      </c>
      <c r="B424" s="1" t="n">
        <v>45275</v>
      </c>
      <c r="C424" s="1" t="n">
        <v>46003</v>
      </c>
      <c r="D424" t="inlineStr">
        <is>
          <t>ÖSTERGÖTLANDS LÄN</t>
        </is>
      </c>
      <c r="E424" t="inlineStr">
        <is>
          <t>LINKÖPING</t>
        </is>
      </c>
      <c r="F424" t="inlineStr">
        <is>
          <t>Övriga Aktiebolag</t>
        </is>
      </c>
      <c r="G424" t="n">
        <v>3</v>
      </c>
      <c r="H424" t="n">
        <v>0</v>
      </c>
      <c r="I424" t="n">
        <v>0</v>
      </c>
      <c r="J424" t="n">
        <v>0</v>
      </c>
      <c r="K424" t="n">
        <v>0</v>
      </c>
      <c r="L424" t="n">
        <v>0</v>
      </c>
      <c r="M424" t="n">
        <v>0</v>
      </c>
      <c r="N424" t="n">
        <v>0</v>
      </c>
      <c r="O424" t="n">
        <v>0</v>
      </c>
      <c r="P424" t="n">
        <v>0</v>
      </c>
      <c r="Q424" t="n">
        <v>0</v>
      </c>
      <c r="R424" s="2" t="inlineStr"/>
    </row>
    <row r="425" ht="15" customHeight="1">
      <c r="A425" t="inlineStr">
        <is>
          <t>A 12289-2025</t>
        </is>
      </c>
      <c r="B425" s="1" t="n">
        <v>45729</v>
      </c>
      <c r="C425" s="1" t="n">
        <v>46003</v>
      </c>
      <c r="D425" t="inlineStr">
        <is>
          <t>ÖSTERGÖTLANDS LÄN</t>
        </is>
      </c>
      <c r="E425" t="inlineStr">
        <is>
          <t>LINKÖPING</t>
        </is>
      </c>
      <c r="F425" t="inlineStr">
        <is>
          <t>Övriga statliga verk och myndigheter</t>
        </is>
      </c>
      <c r="G425" t="n">
        <v>6.5</v>
      </c>
      <c r="H425" t="n">
        <v>0</v>
      </c>
      <c r="I425" t="n">
        <v>0</v>
      </c>
      <c r="J425" t="n">
        <v>0</v>
      </c>
      <c r="K425" t="n">
        <v>0</v>
      </c>
      <c r="L425" t="n">
        <v>0</v>
      </c>
      <c r="M425" t="n">
        <v>0</v>
      </c>
      <c r="N425" t="n">
        <v>0</v>
      </c>
      <c r="O425" t="n">
        <v>0</v>
      </c>
      <c r="P425" t="n">
        <v>0</v>
      </c>
      <c r="Q425" t="n">
        <v>0</v>
      </c>
      <c r="R425" s="2" t="inlineStr"/>
    </row>
    <row r="426" ht="15" customHeight="1">
      <c r="A426" t="inlineStr">
        <is>
          <t>A 42997-2021</t>
        </is>
      </c>
      <c r="B426" s="1" t="n">
        <v>44431.45556712963</v>
      </c>
      <c r="C426" s="1" t="n">
        <v>46003</v>
      </c>
      <c r="D426" t="inlineStr">
        <is>
          <t>ÖSTERGÖTLANDS LÄN</t>
        </is>
      </c>
      <c r="E426" t="inlineStr">
        <is>
          <t>LINKÖPING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36657-2023</t>
        </is>
      </c>
      <c r="B427" s="1" t="n">
        <v>45153.5702662037</v>
      </c>
      <c r="C427" s="1" t="n">
        <v>46003</v>
      </c>
      <c r="D427" t="inlineStr">
        <is>
          <t>ÖSTERGÖTLANDS LÄN</t>
        </is>
      </c>
      <c r="E427" t="inlineStr">
        <is>
          <t>LINKÖPING</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19169-2023</t>
        </is>
      </c>
      <c r="B428" s="1" t="n">
        <v>45044</v>
      </c>
      <c r="C428" s="1" t="n">
        <v>46003</v>
      </c>
      <c r="D428" t="inlineStr">
        <is>
          <t>ÖSTERGÖTLANDS LÄN</t>
        </is>
      </c>
      <c r="E428" t="inlineStr">
        <is>
          <t>LINKÖPING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1209-2023</t>
        </is>
      </c>
      <c r="B429" s="1" t="n">
        <v>44930</v>
      </c>
      <c r="C429" s="1" t="n">
        <v>46003</v>
      </c>
      <c r="D429" t="inlineStr">
        <is>
          <t>ÖSTERGÖTLANDS LÄN</t>
        </is>
      </c>
      <c r="E429" t="inlineStr">
        <is>
          <t>LINKÖPING</t>
        </is>
      </c>
      <c r="F429" t="inlineStr">
        <is>
          <t>Övriga statliga verk och myndigheter</t>
        </is>
      </c>
      <c r="G429" t="n">
        <v>25.8</v>
      </c>
      <c r="H429" t="n">
        <v>0</v>
      </c>
      <c r="I429" t="n">
        <v>0</v>
      </c>
      <c r="J429" t="n">
        <v>0</v>
      </c>
      <c r="K429" t="n">
        <v>0</v>
      </c>
      <c r="L429" t="n">
        <v>0</v>
      </c>
      <c r="M429" t="n">
        <v>0</v>
      </c>
      <c r="N429" t="n">
        <v>0</v>
      </c>
      <c r="O429" t="n">
        <v>0</v>
      </c>
      <c r="P429" t="n">
        <v>0</v>
      </c>
      <c r="Q429" t="n">
        <v>0</v>
      </c>
      <c r="R429" s="2" t="inlineStr"/>
    </row>
    <row r="430" ht="15" customHeight="1">
      <c r="A430" t="inlineStr">
        <is>
          <t>A 2085-2024</t>
        </is>
      </c>
      <c r="B430" s="1" t="n">
        <v>45309</v>
      </c>
      <c r="C430" s="1" t="n">
        <v>46003</v>
      </c>
      <c r="D430" t="inlineStr">
        <is>
          <t>ÖSTERGÖTLANDS LÄN</t>
        </is>
      </c>
      <c r="E430" t="inlineStr">
        <is>
          <t>LINKÖPING</t>
        </is>
      </c>
      <c r="G430" t="n">
        <v>4.5</v>
      </c>
      <c r="H430" t="n">
        <v>0</v>
      </c>
      <c r="I430" t="n">
        <v>0</v>
      </c>
      <c r="J430" t="n">
        <v>0</v>
      </c>
      <c r="K430" t="n">
        <v>0</v>
      </c>
      <c r="L430" t="n">
        <v>0</v>
      </c>
      <c r="M430" t="n">
        <v>0</v>
      </c>
      <c r="N430" t="n">
        <v>0</v>
      </c>
      <c r="O430" t="n">
        <v>0</v>
      </c>
      <c r="P430" t="n">
        <v>0</v>
      </c>
      <c r="Q430" t="n">
        <v>0</v>
      </c>
      <c r="R430" s="2" t="inlineStr"/>
    </row>
    <row r="431" ht="15" customHeight="1">
      <c r="A431" t="inlineStr">
        <is>
          <t>A 62321-2022</t>
        </is>
      </c>
      <c r="B431" s="1" t="n">
        <v>44916</v>
      </c>
      <c r="C431" s="1" t="n">
        <v>46003</v>
      </c>
      <c r="D431" t="inlineStr">
        <is>
          <t>ÖSTERGÖTLANDS LÄN</t>
        </is>
      </c>
      <c r="E431" t="inlineStr">
        <is>
          <t>LINKÖPING</t>
        </is>
      </c>
      <c r="F431" t="inlineStr">
        <is>
          <t>Kommuner</t>
        </is>
      </c>
      <c r="G431" t="n">
        <v>5.3</v>
      </c>
      <c r="H431" t="n">
        <v>0</v>
      </c>
      <c r="I431" t="n">
        <v>0</v>
      </c>
      <c r="J431" t="n">
        <v>0</v>
      </c>
      <c r="K431" t="n">
        <v>0</v>
      </c>
      <c r="L431" t="n">
        <v>0</v>
      </c>
      <c r="M431" t="n">
        <v>0</v>
      </c>
      <c r="N431" t="n">
        <v>0</v>
      </c>
      <c r="O431" t="n">
        <v>0</v>
      </c>
      <c r="P431" t="n">
        <v>0</v>
      </c>
      <c r="Q431" t="n">
        <v>0</v>
      </c>
      <c r="R431" s="2" t="inlineStr"/>
    </row>
    <row r="432" ht="15" customHeight="1">
      <c r="A432" t="inlineStr">
        <is>
          <t>A 43475-2024</t>
        </is>
      </c>
      <c r="B432" s="1" t="n">
        <v>45568</v>
      </c>
      <c r="C432" s="1" t="n">
        <v>46003</v>
      </c>
      <c r="D432" t="inlineStr">
        <is>
          <t>ÖSTERGÖTLANDS LÄN</t>
        </is>
      </c>
      <c r="E432" t="inlineStr">
        <is>
          <t>LINKÖPING</t>
        </is>
      </c>
      <c r="G432" t="n">
        <v>3.2</v>
      </c>
      <c r="H432" t="n">
        <v>0</v>
      </c>
      <c r="I432" t="n">
        <v>0</v>
      </c>
      <c r="J432" t="n">
        <v>0</v>
      </c>
      <c r="K432" t="n">
        <v>0</v>
      </c>
      <c r="L432" t="n">
        <v>0</v>
      </c>
      <c r="M432" t="n">
        <v>0</v>
      </c>
      <c r="N432" t="n">
        <v>0</v>
      </c>
      <c r="O432" t="n">
        <v>0</v>
      </c>
      <c r="P432" t="n">
        <v>0</v>
      </c>
      <c r="Q432" t="n">
        <v>0</v>
      </c>
      <c r="R432" s="2" t="inlineStr"/>
    </row>
    <row r="433" ht="15" customHeight="1">
      <c r="A433" t="inlineStr">
        <is>
          <t>A 48-2024</t>
        </is>
      </c>
      <c r="B433" s="1" t="n">
        <v>45293</v>
      </c>
      <c r="C433" s="1" t="n">
        <v>46003</v>
      </c>
      <c r="D433" t="inlineStr">
        <is>
          <t>ÖSTERGÖTLANDS LÄN</t>
        </is>
      </c>
      <c r="E433" t="inlineStr">
        <is>
          <t>LINKÖPING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17103-2025</t>
        </is>
      </c>
      <c r="B434" s="1" t="n">
        <v>45755.66143518518</v>
      </c>
      <c r="C434" s="1" t="n">
        <v>46003</v>
      </c>
      <c r="D434" t="inlineStr">
        <is>
          <t>ÖSTERGÖTLANDS LÄN</t>
        </is>
      </c>
      <c r="E434" t="inlineStr">
        <is>
          <t>LINKÖPING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30551-2023</t>
        </is>
      </c>
      <c r="B435" s="1" t="n">
        <v>45111</v>
      </c>
      <c r="C435" s="1" t="n">
        <v>46003</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50784-2022</t>
        </is>
      </c>
      <c r="B436" s="1" t="n">
        <v>44862</v>
      </c>
      <c r="C436" s="1" t="n">
        <v>46003</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22043-2023</t>
        </is>
      </c>
      <c r="B437" s="1" t="n">
        <v>45069.39050925926</v>
      </c>
      <c r="C437" s="1" t="n">
        <v>46003</v>
      </c>
      <c r="D437" t="inlineStr">
        <is>
          <t>ÖSTERGÖTLANDS LÄN</t>
        </is>
      </c>
      <c r="E437" t="inlineStr">
        <is>
          <t>LINKÖPING</t>
        </is>
      </c>
      <c r="G437" t="n">
        <v>5.9</v>
      </c>
      <c r="H437" t="n">
        <v>0</v>
      </c>
      <c r="I437" t="n">
        <v>0</v>
      </c>
      <c r="J437" t="n">
        <v>0</v>
      </c>
      <c r="K437" t="n">
        <v>0</v>
      </c>
      <c r="L437" t="n">
        <v>0</v>
      </c>
      <c r="M437" t="n">
        <v>0</v>
      </c>
      <c r="N437" t="n">
        <v>0</v>
      </c>
      <c r="O437" t="n">
        <v>0</v>
      </c>
      <c r="P437" t="n">
        <v>0</v>
      </c>
      <c r="Q437" t="n">
        <v>0</v>
      </c>
      <c r="R437" s="2" t="inlineStr"/>
    </row>
    <row r="438" ht="15" customHeight="1">
      <c r="A438" t="inlineStr">
        <is>
          <t>A 56560-2023</t>
        </is>
      </c>
      <c r="B438" s="1" t="n">
        <v>45238</v>
      </c>
      <c r="C438" s="1" t="n">
        <v>46003</v>
      </c>
      <c r="D438" t="inlineStr">
        <is>
          <t>ÖSTERGÖTLANDS LÄN</t>
        </is>
      </c>
      <c r="E438" t="inlineStr">
        <is>
          <t>LINKÖPING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49656-2021</t>
        </is>
      </c>
      <c r="B439" s="1" t="n">
        <v>44454</v>
      </c>
      <c r="C439" s="1" t="n">
        <v>46003</v>
      </c>
      <c r="D439" t="inlineStr">
        <is>
          <t>ÖSTERGÖTLANDS LÄN</t>
        </is>
      </c>
      <c r="E439" t="inlineStr">
        <is>
          <t>LINKÖPING</t>
        </is>
      </c>
      <c r="G439" t="n">
        <v>2.3</v>
      </c>
      <c r="H439" t="n">
        <v>0</v>
      </c>
      <c r="I439" t="n">
        <v>0</v>
      </c>
      <c r="J439" t="n">
        <v>0</v>
      </c>
      <c r="K439" t="n">
        <v>0</v>
      </c>
      <c r="L439" t="n">
        <v>0</v>
      </c>
      <c r="M439" t="n">
        <v>0</v>
      </c>
      <c r="N439" t="n">
        <v>0</v>
      </c>
      <c r="O439" t="n">
        <v>0</v>
      </c>
      <c r="P439" t="n">
        <v>0</v>
      </c>
      <c r="Q439" t="n">
        <v>0</v>
      </c>
      <c r="R439" s="2" t="inlineStr"/>
    </row>
    <row r="440" ht="15" customHeight="1">
      <c r="A440" t="inlineStr">
        <is>
          <t>A 19132-2023</t>
        </is>
      </c>
      <c r="B440" s="1" t="n">
        <v>45048.54754629629</v>
      </c>
      <c r="C440" s="1" t="n">
        <v>46003</v>
      </c>
      <c r="D440" t="inlineStr">
        <is>
          <t>ÖSTERGÖTLANDS LÄN</t>
        </is>
      </c>
      <c r="E440" t="inlineStr">
        <is>
          <t>LINKÖPING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30465-2023</t>
        </is>
      </c>
      <c r="B441" s="1" t="n">
        <v>45111</v>
      </c>
      <c r="C441" s="1" t="n">
        <v>46003</v>
      </c>
      <c r="D441" t="inlineStr">
        <is>
          <t>ÖSTERGÖTLANDS LÄN</t>
        </is>
      </c>
      <c r="E441" t="inlineStr">
        <is>
          <t>LINKÖPING</t>
        </is>
      </c>
      <c r="F441" t="inlineStr">
        <is>
          <t>Övriga Aktiebolag</t>
        </is>
      </c>
      <c r="G441" t="n">
        <v>0.7</v>
      </c>
      <c r="H441" t="n">
        <v>0</v>
      </c>
      <c r="I441" t="n">
        <v>0</v>
      </c>
      <c r="J441" t="n">
        <v>0</v>
      </c>
      <c r="K441" t="n">
        <v>0</v>
      </c>
      <c r="L441" t="n">
        <v>0</v>
      </c>
      <c r="M441" t="n">
        <v>0</v>
      </c>
      <c r="N441" t="n">
        <v>0</v>
      </c>
      <c r="O441" t="n">
        <v>0</v>
      </c>
      <c r="P441" t="n">
        <v>0</v>
      </c>
      <c r="Q441" t="n">
        <v>0</v>
      </c>
      <c r="R441" s="2" t="inlineStr"/>
    </row>
    <row r="442" ht="15" customHeight="1">
      <c r="A442" t="inlineStr">
        <is>
          <t>A 30521-2024</t>
        </is>
      </c>
      <c r="B442" s="1" t="n">
        <v>45492</v>
      </c>
      <c r="C442" s="1" t="n">
        <v>46003</v>
      </c>
      <c r="D442" t="inlineStr">
        <is>
          <t>ÖSTERGÖTLANDS LÄN</t>
        </is>
      </c>
      <c r="E442" t="inlineStr">
        <is>
          <t>LINKÖPING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52412-2023</t>
        </is>
      </c>
      <c r="B443" s="1" t="n">
        <v>45225.27888888889</v>
      </c>
      <c r="C443" s="1" t="n">
        <v>46003</v>
      </c>
      <c r="D443" t="inlineStr">
        <is>
          <t>ÖSTERGÖTLANDS LÄN</t>
        </is>
      </c>
      <c r="E443" t="inlineStr">
        <is>
          <t>LINKÖPING</t>
        </is>
      </c>
      <c r="G443" t="n">
        <v>1.8</v>
      </c>
      <c r="H443" t="n">
        <v>0</v>
      </c>
      <c r="I443" t="n">
        <v>0</v>
      </c>
      <c r="J443" t="n">
        <v>0</v>
      </c>
      <c r="K443" t="n">
        <v>0</v>
      </c>
      <c r="L443" t="n">
        <v>0</v>
      </c>
      <c r="M443" t="n">
        <v>0</v>
      </c>
      <c r="N443" t="n">
        <v>0</v>
      </c>
      <c r="O443" t="n">
        <v>0</v>
      </c>
      <c r="P443" t="n">
        <v>0</v>
      </c>
      <c r="Q443" t="n">
        <v>0</v>
      </c>
      <c r="R443" s="2" t="inlineStr"/>
    </row>
    <row r="444" ht="15" customHeight="1">
      <c r="A444" t="inlineStr">
        <is>
          <t>A 40618-2021</t>
        </is>
      </c>
      <c r="B444" s="1" t="n">
        <v>44420.49575231481</v>
      </c>
      <c r="C444" s="1" t="n">
        <v>46003</v>
      </c>
      <c r="D444" t="inlineStr">
        <is>
          <t>ÖSTERGÖTLANDS LÄN</t>
        </is>
      </c>
      <c r="E444" t="inlineStr">
        <is>
          <t>LINKÖPING</t>
        </is>
      </c>
      <c r="G444" t="n">
        <v>2.3</v>
      </c>
      <c r="H444" t="n">
        <v>0</v>
      </c>
      <c r="I444" t="n">
        <v>0</v>
      </c>
      <c r="J444" t="n">
        <v>0</v>
      </c>
      <c r="K444" t="n">
        <v>0</v>
      </c>
      <c r="L444" t="n">
        <v>0</v>
      </c>
      <c r="M444" t="n">
        <v>0</v>
      </c>
      <c r="N444" t="n">
        <v>0</v>
      </c>
      <c r="O444" t="n">
        <v>0</v>
      </c>
      <c r="P444" t="n">
        <v>0</v>
      </c>
      <c r="Q444" t="n">
        <v>0</v>
      </c>
      <c r="R444" s="2" t="inlineStr"/>
    </row>
    <row r="445" ht="15" customHeight="1">
      <c r="A445" t="inlineStr">
        <is>
          <t>A 62492-2023</t>
        </is>
      </c>
      <c r="B445" s="1" t="n">
        <v>45268.58987268519</v>
      </c>
      <c r="C445" s="1" t="n">
        <v>46003</v>
      </c>
      <c r="D445" t="inlineStr">
        <is>
          <t>ÖSTERGÖTLANDS LÄN</t>
        </is>
      </c>
      <c r="E445" t="inlineStr">
        <is>
          <t>LINKÖPING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23735-2023</t>
        </is>
      </c>
      <c r="B446" s="1" t="n">
        <v>45077</v>
      </c>
      <c r="C446" s="1" t="n">
        <v>46003</v>
      </c>
      <c r="D446" t="inlineStr">
        <is>
          <t>ÖSTERGÖTLANDS LÄN</t>
        </is>
      </c>
      <c r="E446" t="inlineStr">
        <is>
          <t>LINKÖPING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350-2022</t>
        </is>
      </c>
      <c r="B447" s="1" t="n">
        <v>44565</v>
      </c>
      <c r="C447" s="1" t="n">
        <v>46003</v>
      </c>
      <c r="D447" t="inlineStr">
        <is>
          <t>ÖSTERGÖTLANDS LÄN</t>
        </is>
      </c>
      <c r="E447" t="inlineStr">
        <is>
          <t>LINKÖPING</t>
        </is>
      </c>
      <c r="G447" t="n">
        <v>1.2</v>
      </c>
      <c r="H447" t="n">
        <v>0</v>
      </c>
      <c r="I447" t="n">
        <v>0</v>
      </c>
      <c r="J447" t="n">
        <v>0</v>
      </c>
      <c r="K447" t="n">
        <v>0</v>
      </c>
      <c r="L447" t="n">
        <v>0</v>
      </c>
      <c r="M447" t="n">
        <v>0</v>
      </c>
      <c r="N447" t="n">
        <v>0</v>
      </c>
      <c r="O447" t="n">
        <v>0</v>
      </c>
      <c r="P447" t="n">
        <v>0</v>
      </c>
      <c r="Q447" t="n">
        <v>0</v>
      </c>
      <c r="R447" s="2" t="inlineStr"/>
    </row>
    <row r="448" ht="15" customHeight="1">
      <c r="A448" t="inlineStr">
        <is>
          <t>A 4256-2022</t>
        </is>
      </c>
      <c r="B448" s="1" t="n">
        <v>44588</v>
      </c>
      <c r="C448" s="1" t="n">
        <v>46003</v>
      </c>
      <c r="D448" t="inlineStr">
        <is>
          <t>ÖSTERGÖTLANDS LÄN</t>
        </is>
      </c>
      <c r="E448" t="inlineStr">
        <is>
          <t>LINKÖPING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38230-2023</t>
        </is>
      </c>
      <c r="B449" s="1" t="n">
        <v>45161.55373842592</v>
      </c>
      <c r="C449" s="1" t="n">
        <v>46003</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25948-2023</t>
        </is>
      </c>
      <c r="B450" s="1" t="n">
        <v>45090</v>
      </c>
      <c r="C450" s="1" t="n">
        <v>46003</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56756-2023</t>
        </is>
      </c>
      <c r="B451" s="1" t="n">
        <v>45244</v>
      </c>
      <c r="C451" s="1" t="n">
        <v>46003</v>
      </c>
      <c r="D451" t="inlineStr">
        <is>
          <t>ÖSTERGÖTLANDS LÄN</t>
        </is>
      </c>
      <c r="E451" t="inlineStr">
        <is>
          <t>LINKÖPING</t>
        </is>
      </c>
      <c r="F451" t="inlineStr">
        <is>
          <t>Övriga Aktiebolag</t>
        </is>
      </c>
      <c r="G451" t="n">
        <v>0.8</v>
      </c>
      <c r="H451" t="n">
        <v>0</v>
      </c>
      <c r="I451" t="n">
        <v>0</v>
      </c>
      <c r="J451" t="n">
        <v>0</v>
      </c>
      <c r="K451" t="n">
        <v>0</v>
      </c>
      <c r="L451" t="n">
        <v>0</v>
      </c>
      <c r="M451" t="n">
        <v>0</v>
      </c>
      <c r="N451" t="n">
        <v>0</v>
      </c>
      <c r="O451" t="n">
        <v>0</v>
      </c>
      <c r="P451" t="n">
        <v>0</v>
      </c>
      <c r="Q451" t="n">
        <v>0</v>
      </c>
      <c r="R451" s="2" t="inlineStr"/>
    </row>
    <row r="452" ht="15" customHeight="1">
      <c r="A452" t="inlineStr">
        <is>
          <t>A 21155-2025</t>
        </is>
      </c>
      <c r="B452" s="1" t="n">
        <v>45779.37586805555</v>
      </c>
      <c r="C452" s="1" t="n">
        <v>46003</v>
      </c>
      <c r="D452" t="inlineStr">
        <is>
          <t>ÖSTERGÖTLANDS LÄN</t>
        </is>
      </c>
      <c r="E452" t="inlineStr">
        <is>
          <t>LINKÖPING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38046-2025</t>
        </is>
      </c>
      <c r="B453" s="1" t="n">
        <v>45882.39939814815</v>
      </c>
      <c r="C453" s="1" t="n">
        <v>46003</v>
      </c>
      <c r="D453" t="inlineStr">
        <is>
          <t>ÖSTERGÖTLANDS LÄN</t>
        </is>
      </c>
      <c r="E453" t="inlineStr">
        <is>
          <t>LINKÖPING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33867-2023</t>
        </is>
      </c>
      <c r="B454" s="1" t="n">
        <v>45133.94640046296</v>
      </c>
      <c r="C454" s="1" t="n">
        <v>46003</v>
      </c>
      <c r="D454" t="inlineStr">
        <is>
          <t>ÖSTERGÖTLANDS LÄN</t>
        </is>
      </c>
      <c r="E454" t="inlineStr">
        <is>
          <t>LINKÖPING</t>
        </is>
      </c>
      <c r="G454" t="n">
        <v>2.3</v>
      </c>
      <c r="H454" t="n">
        <v>0</v>
      </c>
      <c r="I454" t="n">
        <v>0</v>
      </c>
      <c r="J454" t="n">
        <v>0</v>
      </c>
      <c r="K454" t="n">
        <v>0</v>
      </c>
      <c r="L454" t="n">
        <v>0</v>
      </c>
      <c r="M454" t="n">
        <v>0</v>
      </c>
      <c r="N454" t="n">
        <v>0</v>
      </c>
      <c r="O454" t="n">
        <v>0</v>
      </c>
      <c r="P454" t="n">
        <v>0</v>
      </c>
      <c r="Q454" t="n">
        <v>0</v>
      </c>
      <c r="R454" s="2" t="inlineStr"/>
    </row>
    <row r="455" ht="15" customHeight="1">
      <c r="A455" t="inlineStr">
        <is>
          <t>A 38886-2024</t>
        </is>
      </c>
      <c r="B455" s="1" t="n">
        <v>45547.66443287037</v>
      </c>
      <c r="C455" s="1" t="n">
        <v>46003</v>
      </c>
      <c r="D455" t="inlineStr">
        <is>
          <t>ÖSTERGÖTLANDS LÄN</t>
        </is>
      </c>
      <c r="E455" t="inlineStr">
        <is>
          <t>LINKÖPING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11590-2023</t>
        </is>
      </c>
      <c r="B456" s="1" t="n">
        <v>44994.36689814815</v>
      </c>
      <c r="C456" s="1" t="n">
        <v>46003</v>
      </c>
      <c r="D456" t="inlineStr">
        <is>
          <t>ÖSTERGÖTLANDS LÄN</t>
        </is>
      </c>
      <c r="E456" t="inlineStr">
        <is>
          <t>LINKÖPING</t>
        </is>
      </c>
      <c r="G456" t="n">
        <v>3.1</v>
      </c>
      <c r="H456" t="n">
        <v>0</v>
      </c>
      <c r="I456" t="n">
        <v>0</v>
      </c>
      <c r="J456" t="n">
        <v>0</v>
      </c>
      <c r="K456" t="n">
        <v>0</v>
      </c>
      <c r="L456" t="n">
        <v>0</v>
      </c>
      <c r="M456" t="n">
        <v>0</v>
      </c>
      <c r="N456" t="n">
        <v>0</v>
      </c>
      <c r="O456" t="n">
        <v>0</v>
      </c>
      <c r="P456" t="n">
        <v>0</v>
      </c>
      <c r="Q456" t="n">
        <v>0</v>
      </c>
      <c r="R456" s="2" t="inlineStr"/>
    </row>
    <row r="457" ht="15" customHeight="1">
      <c r="A457" t="inlineStr">
        <is>
          <t>A 21165-2025</t>
        </is>
      </c>
      <c r="B457" s="1" t="n">
        <v>45779.39417824074</v>
      </c>
      <c r="C457" s="1" t="n">
        <v>46003</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24462-2023</t>
        </is>
      </c>
      <c r="B458" s="1" t="n">
        <v>45082</v>
      </c>
      <c r="C458" s="1" t="n">
        <v>46003</v>
      </c>
      <c r="D458" t="inlineStr">
        <is>
          <t>ÖSTERGÖTLANDS LÄN</t>
        </is>
      </c>
      <c r="E458" t="inlineStr">
        <is>
          <t>LINKÖPING</t>
        </is>
      </c>
      <c r="G458" t="n">
        <v>3.5</v>
      </c>
      <c r="H458" t="n">
        <v>0</v>
      </c>
      <c r="I458" t="n">
        <v>0</v>
      </c>
      <c r="J458" t="n">
        <v>0</v>
      </c>
      <c r="K458" t="n">
        <v>0</v>
      </c>
      <c r="L458" t="n">
        <v>0</v>
      </c>
      <c r="M458" t="n">
        <v>0</v>
      </c>
      <c r="N458" t="n">
        <v>0</v>
      </c>
      <c r="O458" t="n">
        <v>0</v>
      </c>
      <c r="P458" t="n">
        <v>0</v>
      </c>
      <c r="Q458" t="n">
        <v>0</v>
      </c>
      <c r="R458" s="2" t="inlineStr"/>
    </row>
    <row r="459" ht="15" customHeight="1">
      <c r="A459" t="inlineStr">
        <is>
          <t>A 10461-2023</t>
        </is>
      </c>
      <c r="B459" s="1" t="n">
        <v>44987.5969212963</v>
      </c>
      <c r="C459" s="1" t="n">
        <v>46003</v>
      </c>
      <c r="D459" t="inlineStr">
        <is>
          <t>ÖSTERGÖTLANDS LÄN</t>
        </is>
      </c>
      <c r="E459" t="inlineStr">
        <is>
          <t>LINKÖPING</t>
        </is>
      </c>
      <c r="G459" t="n">
        <v>7.8</v>
      </c>
      <c r="H459" t="n">
        <v>0</v>
      </c>
      <c r="I459" t="n">
        <v>0</v>
      </c>
      <c r="J459" t="n">
        <v>0</v>
      </c>
      <c r="K459" t="n">
        <v>0</v>
      </c>
      <c r="L459" t="n">
        <v>0</v>
      </c>
      <c r="M459" t="n">
        <v>0</v>
      </c>
      <c r="N459" t="n">
        <v>0</v>
      </c>
      <c r="O459" t="n">
        <v>0</v>
      </c>
      <c r="P459" t="n">
        <v>0</v>
      </c>
      <c r="Q459" t="n">
        <v>0</v>
      </c>
      <c r="R459" s="2" t="inlineStr"/>
    </row>
    <row r="460" ht="15" customHeight="1">
      <c r="A460" t="inlineStr">
        <is>
          <t>A 41345-2021</t>
        </is>
      </c>
      <c r="B460" s="1" t="n">
        <v>44424.61851851852</v>
      </c>
      <c r="C460" s="1" t="n">
        <v>46003</v>
      </c>
      <c r="D460" t="inlineStr">
        <is>
          <t>ÖSTERGÖTLANDS LÄN</t>
        </is>
      </c>
      <c r="E460" t="inlineStr">
        <is>
          <t>LINKÖPING</t>
        </is>
      </c>
      <c r="F460" t="inlineStr">
        <is>
          <t>Sveaskog</t>
        </is>
      </c>
      <c r="G460" t="n">
        <v>6.3</v>
      </c>
      <c r="H460" t="n">
        <v>0</v>
      </c>
      <c r="I460" t="n">
        <v>0</v>
      </c>
      <c r="J460" t="n">
        <v>0</v>
      </c>
      <c r="K460" t="n">
        <v>0</v>
      </c>
      <c r="L460" t="n">
        <v>0</v>
      </c>
      <c r="M460" t="n">
        <v>0</v>
      </c>
      <c r="N460" t="n">
        <v>0</v>
      </c>
      <c r="O460" t="n">
        <v>0</v>
      </c>
      <c r="P460" t="n">
        <v>0</v>
      </c>
      <c r="Q460" t="n">
        <v>0</v>
      </c>
      <c r="R460" s="2" t="inlineStr"/>
    </row>
    <row r="461" ht="15" customHeight="1">
      <c r="A461" t="inlineStr">
        <is>
          <t>A 3008-2023</t>
        </is>
      </c>
      <c r="B461" s="1" t="n">
        <v>44945.79784722222</v>
      </c>
      <c r="C461" s="1" t="n">
        <v>46003</v>
      </c>
      <c r="D461" t="inlineStr">
        <is>
          <t>ÖSTERGÖTLANDS LÄN</t>
        </is>
      </c>
      <c r="E461" t="inlineStr">
        <is>
          <t>LINKÖPING</t>
        </is>
      </c>
      <c r="G461" t="n">
        <v>19.3</v>
      </c>
      <c r="H461" t="n">
        <v>0</v>
      </c>
      <c r="I461" t="n">
        <v>0</v>
      </c>
      <c r="J461" t="n">
        <v>0</v>
      </c>
      <c r="K461" t="n">
        <v>0</v>
      </c>
      <c r="L461" t="n">
        <v>0</v>
      </c>
      <c r="M461" t="n">
        <v>0</v>
      </c>
      <c r="N461" t="n">
        <v>0</v>
      </c>
      <c r="O461" t="n">
        <v>0</v>
      </c>
      <c r="P461" t="n">
        <v>0</v>
      </c>
      <c r="Q461" t="n">
        <v>0</v>
      </c>
      <c r="R461" s="2" t="inlineStr"/>
    </row>
    <row r="462" ht="15" customHeight="1">
      <c r="A462" t="inlineStr">
        <is>
          <t>A 48829-2023</t>
        </is>
      </c>
      <c r="B462" s="1" t="n">
        <v>45209.38177083333</v>
      </c>
      <c r="C462" s="1" t="n">
        <v>46003</v>
      </c>
      <c r="D462" t="inlineStr">
        <is>
          <t>ÖSTERGÖTLANDS LÄN</t>
        </is>
      </c>
      <c r="E462" t="inlineStr">
        <is>
          <t>LINKÖPING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55345-2021</t>
        </is>
      </c>
      <c r="B463" s="1" t="n">
        <v>44475</v>
      </c>
      <c r="C463" s="1" t="n">
        <v>46003</v>
      </c>
      <c r="D463" t="inlineStr">
        <is>
          <t>ÖSTERGÖTLANDS LÄN</t>
        </is>
      </c>
      <c r="E463" t="inlineStr">
        <is>
          <t>LINKÖPING</t>
        </is>
      </c>
      <c r="G463" t="n">
        <v>5.7</v>
      </c>
      <c r="H463" t="n">
        <v>0</v>
      </c>
      <c r="I463" t="n">
        <v>0</v>
      </c>
      <c r="J463" t="n">
        <v>0</v>
      </c>
      <c r="K463" t="n">
        <v>0</v>
      </c>
      <c r="L463" t="n">
        <v>0</v>
      </c>
      <c r="M463" t="n">
        <v>0</v>
      </c>
      <c r="N463" t="n">
        <v>0</v>
      </c>
      <c r="O463" t="n">
        <v>0</v>
      </c>
      <c r="P463" t="n">
        <v>0</v>
      </c>
      <c r="Q463" t="n">
        <v>0</v>
      </c>
      <c r="R463" s="2" t="inlineStr"/>
    </row>
    <row r="464" ht="15" customHeight="1">
      <c r="A464" t="inlineStr">
        <is>
          <t>A 67129-2020</t>
        </is>
      </c>
      <c r="B464" s="1" t="n">
        <v>44180</v>
      </c>
      <c r="C464" s="1" t="n">
        <v>46003</v>
      </c>
      <c r="D464" t="inlineStr">
        <is>
          <t>ÖSTERGÖTLANDS LÄN</t>
        </is>
      </c>
      <c r="E464" t="inlineStr">
        <is>
          <t>LINKÖPING</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38231-2022</t>
        </is>
      </c>
      <c r="B465" s="1" t="n">
        <v>44812</v>
      </c>
      <c r="C465" s="1" t="n">
        <v>46003</v>
      </c>
      <c r="D465" t="inlineStr">
        <is>
          <t>ÖSTERGÖTLANDS LÄN</t>
        </is>
      </c>
      <c r="E465" t="inlineStr">
        <is>
          <t>LINKÖPING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50799-2022</t>
        </is>
      </c>
      <c r="B466" s="1" t="n">
        <v>44862</v>
      </c>
      <c r="C466" s="1" t="n">
        <v>46003</v>
      </c>
      <c r="D466" t="inlineStr">
        <is>
          <t>ÖSTERGÖTLANDS LÄN</t>
        </is>
      </c>
      <c r="E466" t="inlineStr">
        <is>
          <t>LINKÖPING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40431-2024</t>
        </is>
      </c>
      <c r="B467" s="1" t="n">
        <v>45555.47070601852</v>
      </c>
      <c r="C467" s="1" t="n">
        <v>46003</v>
      </c>
      <c r="D467" t="inlineStr">
        <is>
          <t>ÖSTERGÖTLANDS LÄN</t>
        </is>
      </c>
      <c r="E467" t="inlineStr">
        <is>
          <t>LINKÖPING</t>
        </is>
      </c>
      <c r="F467" t="inlineStr">
        <is>
          <t>Allmännings- och besparingsskogar</t>
        </is>
      </c>
      <c r="G467" t="n">
        <v>2.9</v>
      </c>
      <c r="H467" t="n">
        <v>0</v>
      </c>
      <c r="I467" t="n">
        <v>0</v>
      </c>
      <c r="J467" t="n">
        <v>0</v>
      </c>
      <c r="K467" t="n">
        <v>0</v>
      </c>
      <c r="L467" t="n">
        <v>0</v>
      </c>
      <c r="M467" t="n">
        <v>0</v>
      </c>
      <c r="N467" t="n">
        <v>0</v>
      </c>
      <c r="O467" t="n">
        <v>0</v>
      </c>
      <c r="P467" t="n">
        <v>0</v>
      </c>
      <c r="Q467" t="n">
        <v>0</v>
      </c>
      <c r="R467" s="2" t="inlineStr"/>
    </row>
    <row r="468" ht="15" customHeight="1">
      <c r="A468" t="inlineStr">
        <is>
          <t>A 267-2023</t>
        </is>
      </c>
      <c r="B468" s="1" t="n">
        <v>44928.80907407407</v>
      </c>
      <c r="C468" s="1" t="n">
        <v>46003</v>
      </c>
      <c r="D468" t="inlineStr">
        <is>
          <t>ÖSTERGÖTLANDS LÄN</t>
        </is>
      </c>
      <c r="E468" t="inlineStr">
        <is>
          <t>LINKÖPING</t>
        </is>
      </c>
      <c r="G468" t="n">
        <v>2.7</v>
      </c>
      <c r="H468" t="n">
        <v>0</v>
      </c>
      <c r="I468" t="n">
        <v>0</v>
      </c>
      <c r="J468" t="n">
        <v>0</v>
      </c>
      <c r="K468" t="n">
        <v>0</v>
      </c>
      <c r="L468" t="n">
        <v>0</v>
      </c>
      <c r="M468" t="n">
        <v>0</v>
      </c>
      <c r="N468" t="n">
        <v>0</v>
      </c>
      <c r="O468" t="n">
        <v>0</v>
      </c>
      <c r="P468" t="n">
        <v>0</v>
      </c>
      <c r="Q468" t="n">
        <v>0</v>
      </c>
      <c r="R468" s="2" t="inlineStr"/>
    </row>
    <row r="469" ht="15" customHeight="1">
      <c r="A469" t="inlineStr">
        <is>
          <t>A 26618-2023</t>
        </is>
      </c>
      <c r="B469" s="1" t="n">
        <v>45092.70306712963</v>
      </c>
      <c r="C469" s="1" t="n">
        <v>46003</v>
      </c>
      <c r="D469" t="inlineStr">
        <is>
          <t>ÖSTERGÖTLANDS LÄN</t>
        </is>
      </c>
      <c r="E469" t="inlineStr">
        <is>
          <t>LINKÖPING</t>
        </is>
      </c>
      <c r="G469" t="n">
        <v>6.9</v>
      </c>
      <c r="H469" t="n">
        <v>0</v>
      </c>
      <c r="I469" t="n">
        <v>0</v>
      </c>
      <c r="J469" t="n">
        <v>0</v>
      </c>
      <c r="K469" t="n">
        <v>0</v>
      </c>
      <c r="L469" t="n">
        <v>0</v>
      </c>
      <c r="M469" t="n">
        <v>0</v>
      </c>
      <c r="N469" t="n">
        <v>0</v>
      </c>
      <c r="O469" t="n">
        <v>0</v>
      </c>
      <c r="P469" t="n">
        <v>0</v>
      </c>
      <c r="Q469" t="n">
        <v>0</v>
      </c>
      <c r="R469" s="2" t="inlineStr"/>
    </row>
    <row r="470" ht="15" customHeight="1">
      <c r="A470" t="inlineStr">
        <is>
          <t>A 63665-2023</t>
        </is>
      </c>
      <c r="B470" s="1" t="n">
        <v>45275</v>
      </c>
      <c r="C470" s="1" t="n">
        <v>46003</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61307-2021</t>
        </is>
      </c>
      <c r="B471" s="1" t="n">
        <v>44498.63928240741</v>
      </c>
      <c r="C471" s="1" t="n">
        <v>46003</v>
      </c>
      <c r="D471" t="inlineStr">
        <is>
          <t>ÖSTERGÖTLANDS LÄN</t>
        </is>
      </c>
      <c r="E471" t="inlineStr">
        <is>
          <t>LINKÖPING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61325-2021</t>
        </is>
      </c>
      <c r="B472" s="1" t="n">
        <v>44498.66814814815</v>
      </c>
      <c r="C472" s="1" t="n">
        <v>46003</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60010-2022</t>
        </is>
      </c>
      <c r="B473" s="1" t="n">
        <v>44909.4740625</v>
      </c>
      <c r="C473" s="1" t="n">
        <v>46003</v>
      </c>
      <c r="D473" t="inlineStr">
        <is>
          <t>ÖSTERGÖTLANDS LÄN</t>
        </is>
      </c>
      <c r="E473" t="inlineStr">
        <is>
          <t>LINKÖPING</t>
        </is>
      </c>
      <c r="G473" t="n">
        <v>1.2</v>
      </c>
      <c r="H473" t="n">
        <v>0</v>
      </c>
      <c r="I473" t="n">
        <v>0</v>
      </c>
      <c r="J473" t="n">
        <v>0</v>
      </c>
      <c r="K473" t="n">
        <v>0</v>
      </c>
      <c r="L473" t="n">
        <v>0</v>
      </c>
      <c r="M473" t="n">
        <v>0</v>
      </c>
      <c r="N473" t="n">
        <v>0</v>
      </c>
      <c r="O473" t="n">
        <v>0</v>
      </c>
      <c r="P473" t="n">
        <v>0</v>
      </c>
      <c r="Q473" t="n">
        <v>0</v>
      </c>
      <c r="R473" s="2" t="inlineStr"/>
    </row>
    <row r="474" ht="15" customHeight="1">
      <c r="A474" t="inlineStr">
        <is>
          <t>A 61281-2021</t>
        </is>
      </c>
      <c r="B474" s="1" t="n">
        <v>44498.60736111111</v>
      </c>
      <c r="C474" s="1" t="n">
        <v>46003</v>
      </c>
      <c r="D474" t="inlineStr">
        <is>
          <t>ÖSTERGÖTLANDS LÄN</t>
        </is>
      </c>
      <c r="E474" t="inlineStr">
        <is>
          <t>LINKÖPING</t>
        </is>
      </c>
      <c r="G474" t="n">
        <v>4.5</v>
      </c>
      <c r="H474" t="n">
        <v>0</v>
      </c>
      <c r="I474" t="n">
        <v>0</v>
      </c>
      <c r="J474" t="n">
        <v>0</v>
      </c>
      <c r="K474" t="n">
        <v>0</v>
      </c>
      <c r="L474" t="n">
        <v>0</v>
      </c>
      <c r="M474" t="n">
        <v>0</v>
      </c>
      <c r="N474" t="n">
        <v>0</v>
      </c>
      <c r="O474" t="n">
        <v>0</v>
      </c>
      <c r="P474" t="n">
        <v>0</v>
      </c>
      <c r="Q474" t="n">
        <v>0</v>
      </c>
      <c r="R474" s="2" t="inlineStr"/>
    </row>
    <row r="475" ht="15" customHeight="1">
      <c r="A475" t="inlineStr">
        <is>
          <t>A 63935-2021</t>
        </is>
      </c>
      <c r="B475" s="1" t="n">
        <v>44509</v>
      </c>
      <c r="C475" s="1" t="n">
        <v>46003</v>
      </c>
      <c r="D475" t="inlineStr">
        <is>
          <t>ÖSTERGÖTLANDS LÄN</t>
        </is>
      </c>
      <c r="E475" t="inlineStr">
        <is>
          <t>LINKÖPING</t>
        </is>
      </c>
      <c r="F475" t="inlineStr">
        <is>
          <t>Övriga statliga verk och myndigheter</t>
        </is>
      </c>
      <c r="G475" t="n">
        <v>2.8</v>
      </c>
      <c r="H475" t="n">
        <v>0</v>
      </c>
      <c r="I475" t="n">
        <v>0</v>
      </c>
      <c r="J475" t="n">
        <v>0</v>
      </c>
      <c r="K475" t="n">
        <v>0</v>
      </c>
      <c r="L475" t="n">
        <v>0</v>
      </c>
      <c r="M475" t="n">
        <v>0</v>
      </c>
      <c r="N475" t="n">
        <v>0</v>
      </c>
      <c r="O475" t="n">
        <v>0</v>
      </c>
      <c r="P475" t="n">
        <v>0</v>
      </c>
      <c r="Q475" t="n">
        <v>0</v>
      </c>
      <c r="R475" s="2" t="inlineStr"/>
    </row>
    <row r="476" ht="15" customHeight="1">
      <c r="A476" t="inlineStr">
        <is>
          <t>A 67123-2020</t>
        </is>
      </c>
      <c r="B476" s="1" t="n">
        <v>44180</v>
      </c>
      <c r="C476" s="1" t="n">
        <v>46003</v>
      </c>
      <c r="D476" t="inlineStr">
        <is>
          <t>ÖSTERGÖTLANDS LÄN</t>
        </is>
      </c>
      <c r="E476" t="inlineStr">
        <is>
          <t>LINKÖPING</t>
        </is>
      </c>
      <c r="F476" t="inlineStr">
        <is>
          <t>Övriga statliga verk och myndigheter</t>
        </is>
      </c>
      <c r="G476" t="n">
        <v>1.3</v>
      </c>
      <c r="H476" t="n">
        <v>0</v>
      </c>
      <c r="I476" t="n">
        <v>0</v>
      </c>
      <c r="J476" t="n">
        <v>0</v>
      </c>
      <c r="K476" t="n">
        <v>0</v>
      </c>
      <c r="L476" t="n">
        <v>0</v>
      </c>
      <c r="M476" t="n">
        <v>0</v>
      </c>
      <c r="N476" t="n">
        <v>0</v>
      </c>
      <c r="O476" t="n">
        <v>0</v>
      </c>
      <c r="P476" t="n">
        <v>0</v>
      </c>
      <c r="Q476" t="n">
        <v>0</v>
      </c>
      <c r="R476" s="2" t="inlineStr"/>
    </row>
    <row r="477" ht="15" customHeight="1">
      <c r="A477" t="inlineStr">
        <is>
          <t>A 25292-2021</t>
        </is>
      </c>
      <c r="B477" s="1" t="n">
        <v>44342</v>
      </c>
      <c r="C477" s="1" t="n">
        <v>46003</v>
      </c>
      <c r="D477" t="inlineStr">
        <is>
          <t>ÖSTERGÖTLANDS LÄN</t>
        </is>
      </c>
      <c r="E477" t="inlineStr">
        <is>
          <t>LINKÖPING</t>
        </is>
      </c>
      <c r="F477" t="inlineStr">
        <is>
          <t>Övriga Aktiebolag</t>
        </is>
      </c>
      <c r="G477" t="n">
        <v>12.8</v>
      </c>
      <c r="H477" t="n">
        <v>0</v>
      </c>
      <c r="I477" t="n">
        <v>0</v>
      </c>
      <c r="J477" t="n">
        <v>0</v>
      </c>
      <c r="K477" t="n">
        <v>0</v>
      </c>
      <c r="L477" t="n">
        <v>0</v>
      </c>
      <c r="M477" t="n">
        <v>0</v>
      </c>
      <c r="N477" t="n">
        <v>0</v>
      </c>
      <c r="O477" t="n">
        <v>0</v>
      </c>
      <c r="P477" t="n">
        <v>0</v>
      </c>
      <c r="Q477" t="n">
        <v>0</v>
      </c>
      <c r="R477" s="2" t="inlineStr"/>
    </row>
    <row r="478" ht="15" customHeight="1">
      <c r="A478" t="inlineStr">
        <is>
          <t>A 30518-2024</t>
        </is>
      </c>
      <c r="B478" s="1" t="n">
        <v>45492</v>
      </c>
      <c r="C478" s="1" t="n">
        <v>46003</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4908-2023</t>
        </is>
      </c>
      <c r="B479" s="1" t="n">
        <v>44958</v>
      </c>
      <c r="C479" s="1" t="n">
        <v>46003</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37715-2022</t>
        </is>
      </c>
      <c r="B480" s="1" t="n">
        <v>44810</v>
      </c>
      <c r="C480" s="1" t="n">
        <v>46003</v>
      </c>
      <c r="D480" t="inlineStr">
        <is>
          <t>ÖSTERGÖTLANDS LÄN</t>
        </is>
      </c>
      <c r="E480" t="inlineStr">
        <is>
          <t>LINKÖPING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30429-2024</t>
        </is>
      </c>
      <c r="B481" s="1" t="n">
        <v>45491.68972222223</v>
      </c>
      <c r="C481" s="1" t="n">
        <v>46003</v>
      </c>
      <c r="D481" t="inlineStr">
        <is>
          <t>ÖSTERGÖTLANDS LÄN</t>
        </is>
      </c>
      <c r="E481" t="inlineStr">
        <is>
          <t>LINKÖPING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30435-2024</t>
        </is>
      </c>
      <c r="B482" s="1" t="n">
        <v>45491.69962962963</v>
      </c>
      <c r="C482" s="1" t="n">
        <v>46003</v>
      </c>
      <c r="D482" t="inlineStr">
        <is>
          <t>ÖSTERGÖTLANDS LÄN</t>
        </is>
      </c>
      <c r="E482" t="inlineStr">
        <is>
          <t>LINKÖPING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3742-2021</t>
        </is>
      </c>
      <c r="B483" s="1" t="n">
        <v>44221</v>
      </c>
      <c r="C483" s="1" t="n">
        <v>46003</v>
      </c>
      <c r="D483" t="inlineStr">
        <is>
          <t>ÖSTERGÖTLANDS LÄN</t>
        </is>
      </c>
      <c r="E483" t="inlineStr">
        <is>
          <t>LINKÖPING</t>
        </is>
      </c>
      <c r="G483" t="n">
        <v>5.5</v>
      </c>
      <c r="H483" t="n">
        <v>0</v>
      </c>
      <c r="I483" t="n">
        <v>0</v>
      </c>
      <c r="J483" t="n">
        <v>0</v>
      </c>
      <c r="K483" t="n">
        <v>0</v>
      </c>
      <c r="L483" t="n">
        <v>0</v>
      </c>
      <c r="M483" t="n">
        <v>0</v>
      </c>
      <c r="N483" t="n">
        <v>0</v>
      </c>
      <c r="O483" t="n">
        <v>0</v>
      </c>
      <c r="P483" t="n">
        <v>0</v>
      </c>
      <c r="Q483" t="n">
        <v>0</v>
      </c>
      <c r="R483" s="2" t="inlineStr"/>
    </row>
    <row r="484" ht="15" customHeight="1">
      <c r="A484" t="inlineStr">
        <is>
          <t>A 53816-2023</t>
        </is>
      </c>
      <c r="B484" s="1" t="n">
        <v>45231.40012731482</v>
      </c>
      <c r="C484" s="1" t="n">
        <v>46003</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36557-2023</t>
        </is>
      </c>
      <c r="B485" s="1" t="n">
        <v>45153</v>
      </c>
      <c r="C485" s="1" t="n">
        <v>46003</v>
      </c>
      <c r="D485" t="inlineStr">
        <is>
          <t>ÖSTERGÖTLANDS LÄN</t>
        </is>
      </c>
      <c r="E485" t="inlineStr">
        <is>
          <t>LINKÖPING</t>
        </is>
      </c>
      <c r="F485" t="inlineStr">
        <is>
          <t>Övriga Aktiebolag</t>
        </is>
      </c>
      <c r="G485" t="n">
        <v>3.1</v>
      </c>
      <c r="H485" t="n">
        <v>0</v>
      </c>
      <c r="I485" t="n">
        <v>0</v>
      </c>
      <c r="J485" t="n">
        <v>0</v>
      </c>
      <c r="K485" t="n">
        <v>0</v>
      </c>
      <c r="L485" t="n">
        <v>0</v>
      </c>
      <c r="M485" t="n">
        <v>0</v>
      </c>
      <c r="N485" t="n">
        <v>0</v>
      </c>
      <c r="O485" t="n">
        <v>0</v>
      </c>
      <c r="P485" t="n">
        <v>0</v>
      </c>
      <c r="Q485" t="n">
        <v>0</v>
      </c>
      <c r="R485" s="2" t="inlineStr"/>
    </row>
    <row r="486" ht="15" customHeight="1">
      <c r="A486" t="inlineStr">
        <is>
          <t>A 6599-2023</t>
        </is>
      </c>
      <c r="B486" s="1" t="n">
        <v>44966.52603009259</v>
      </c>
      <c r="C486" s="1" t="n">
        <v>46003</v>
      </c>
      <c r="D486" t="inlineStr">
        <is>
          <t>ÖSTERGÖTLANDS LÄN</t>
        </is>
      </c>
      <c r="E486" t="inlineStr">
        <is>
          <t>LINKÖPING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43473-2024</t>
        </is>
      </c>
      <c r="B487" s="1" t="n">
        <v>45568</v>
      </c>
      <c r="C487" s="1" t="n">
        <v>46003</v>
      </c>
      <c r="D487" t="inlineStr">
        <is>
          <t>ÖSTERGÖTLANDS LÄN</t>
        </is>
      </c>
      <c r="E487" t="inlineStr">
        <is>
          <t>LINKÖPING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3011-2023</t>
        </is>
      </c>
      <c r="B488" s="1" t="n">
        <v>44945</v>
      </c>
      <c r="C488" s="1" t="n">
        <v>46003</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39074-2025</t>
        </is>
      </c>
      <c r="B489" s="1" t="n">
        <v>45888</v>
      </c>
      <c r="C489" s="1" t="n">
        <v>46003</v>
      </c>
      <c r="D489" t="inlineStr">
        <is>
          <t>ÖSTERGÖTLANDS LÄN</t>
        </is>
      </c>
      <c r="E489" t="inlineStr">
        <is>
          <t>LINKÖPING</t>
        </is>
      </c>
      <c r="G489" t="n">
        <v>2.9</v>
      </c>
      <c r="H489" t="n">
        <v>0</v>
      </c>
      <c r="I489" t="n">
        <v>0</v>
      </c>
      <c r="J489" t="n">
        <v>0</v>
      </c>
      <c r="K489" t="n">
        <v>0</v>
      </c>
      <c r="L489" t="n">
        <v>0</v>
      </c>
      <c r="M489" t="n">
        <v>0</v>
      </c>
      <c r="N489" t="n">
        <v>0</v>
      </c>
      <c r="O489" t="n">
        <v>0</v>
      </c>
      <c r="P489" t="n">
        <v>0</v>
      </c>
      <c r="Q489" t="n">
        <v>0</v>
      </c>
      <c r="R489" s="2" t="inlineStr"/>
    </row>
    <row r="490" ht="15" customHeight="1">
      <c r="A490" t="inlineStr">
        <is>
          <t>A 45442-2024</t>
        </is>
      </c>
      <c r="B490" s="1" t="n">
        <v>45576.64189814815</v>
      </c>
      <c r="C490" s="1" t="n">
        <v>46003</v>
      </c>
      <c r="D490" t="inlineStr">
        <is>
          <t>ÖSTERGÖTLANDS LÄN</t>
        </is>
      </c>
      <c r="E490" t="inlineStr">
        <is>
          <t>LINKÖPING</t>
        </is>
      </c>
      <c r="G490" t="n">
        <v>1.8</v>
      </c>
      <c r="H490" t="n">
        <v>0</v>
      </c>
      <c r="I490" t="n">
        <v>0</v>
      </c>
      <c r="J490" t="n">
        <v>0</v>
      </c>
      <c r="K490" t="n">
        <v>0</v>
      </c>
      <c r="L490" t="n">
        <v>0</v>
      </c>
      <c r="M490" t="n">
        <v>0</v>
      </c>
      <c r="N490" t="n">
        <v>0</v>
      </c>
      <c r="O490" t="n">
        <v>0</v>
      </c>
      <c r="P490" t="n">
        <v>0</v>
      </c>
      <c r="Q490" t="n">
        <v>0</v>
      </c>
      <c r="R490" s="2" t="inlineStr"/>
    </row>
    <row r="491" ht="15" customHeight="1">
      <c r="A491" t="inlineStr">
        <is>
          <t>A 3432-2023</t>
        </is>
      </c>
      <c r="B491" s="1" t="n">
        <v>44949</v>
      </c>
      <c r="C491" s="1" t="n">
        <v>46003</v>
      </c>
      <c r="D491" t="inlineStr">
        <is>
          <t>ÖSTERGÖTLANDS LÄN</t>
        </is>
      </c>
      <c r="E491" t="inlineStr">
        <is>
          <t>LINKÖPING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1440-2021</t>
        </is>
      </c>
      <c r="B492" s="1" t="n">
        <v>44208</v>
      </c>
      <c r="C492" s="1" t="n">
        <v>46003</v>
      </c>
      <c r="D492" t="inlineStr">
        <is>
          <t>ÖSTERGÖTLANDS LÄN</t>
        </is>
      </c>
      <c r="E492" t="inlineStr">
        <is>
          <t>LINKÖPING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60472-2022</t>
        </is>
      </c>
      <c r="B493" s="1" t="n">
        <v>44911.41037037037</v>
      </c>
      <c r="C493" s="1" t="n">
        <v>46003</v>
      </c>
      <c r="D493" t="inlineStr">
        <is>
          <t>ÖSTERGÖTLANDS LÄN</t>
        </is>
      </c>
      <c r="E493" t="inlineStr">
        <is>
          <t>LINKÖPING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12720-2022</t>
        </is>
      </c>
      <c r="B494" s="1" t="n">
        <v>44641</v>
      </c>
      <c r="C494" s="1" t="n">
        <v>46003</v>
      </c>
      <c r="D494" t="inlineStr">
        <is>
          <t>ÖSTERGÖTLANDS LÄN</t>
        </is>
      </c>
      <c r="E494" t="inlineStr">
        <is>
          <t>LINKÖPING</t>
        </is>
      </c>
      <c r="F494" t="inlineStr">
        <is>
          <t>Övriga Aktiebolag</t>
        </is>
      </c>
      <c r="G494" t="n">
        <v>2</v>
      </c>
      <c r="H494" t="n">
        <v>0</v>
      </c>
      <c r="I494" t="n">
        <v>0</v>
      </c>
      <c r="J494" t="n">
        <v>0</v>
      </c>
      <c r="K494" t="n">
        <v>0</v>
      </c>
      <c r="L494" t="n">
        <v>0</v>
      </c>
      <c r="M494" t="n">
        <v>0</v>
      </c>
      <c r="N494" t="n">
        <v>0</v>
      </c>
      <c r="O494" t="n">
        <v>0</v>
      </c>
      <c r="P494" t="n">
        <v>0</v>
      </c>
      <c r="Q494" t="n">
        <v>0</v>
      </c>
      <c r="R494" s="2" t="inlineStr"/>
    </row>
    <row r="495" ht="15" customHeight="1">
      <c r="A495" t="inlineStr">
        <is>
          <t>A 57752-2023</t>
        </is>
      </c>
      <c r="B495" s="1" t="n">
        <v>45246.78474537037</v>
      </c>
      <c r="C495" s="1" t="n">
        <v>46003</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38971-2025</t>
        </is>
      </c>
      <c r="B496" s="1" t="n">
        <v>45887.71827546296</v>
      </c>
      <c r="C496" s="1" t="n">
        <v>46003</v>
      </c>
      <c r="D496" t="inlineStr">
        <is>
          <t>ÖSTERGÖTLANDS LÄN</t>
        </is>
      </c>
      <c r="E496" t="inlineStr">
        <is>
          <t>LINKÖPING</t>
        </is>
      </c>
      <c r="G496" t="n">
        <v>3.9</v>
      </c>
      <c r="H496" t="n">
        <v>0</v>
      </c>
      <c r="I496" t="n">
        <v>0</v>
      </c>
      <c r="J496" t="n">
        <v>0</v>
      </c>
      <c r="K496" t="n">
        <v>0</v>
      </c>
      <c r="L496" t="n">
        <v>0</v>
      </c>
      <c r="M496" t="n">
        <v>0</v>
      </c>
      <c r="N496" t="n">
        <v>0</v>
      </c>
      <c r="O496" t="n">
        <v>0</v>
      </c>
      <c r="P496" t="n">
        <v>0</v>
      </c>
      <c r="Q496" t="n">
        <v>0</v>
      </c>
      <c r="R496" s="2" t="inlineStr"/>
    </row>
    <row r="497" ht="15" customHeight="1">
      <c r="A497" t="inlineStr">
        <is>
          <t>A 72567-2021</t>
        </is>
      </c>
      <c r="B497" s="1" t="n">
        <v>44546.45023148148</v>
      </c>
      <c r="C497" s="1" t="n">
        <v>46003</v>
      </c>
      <c r="D497" t="inlineStr">
        <is>
          <t>ÖSTERGÖTLANDS LÄN</t>
        </is>
      </c>
      <c r="E497" t="inlineStr">
        <is>
          <t>LINKÖPING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61532-2021</t>
        </is>
      </c>
      <c r="B498" s="1" t="n">
        <v>44501</v>
      </c>
      <c r="C498" s="1" t="n">
        <v>46003</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3374-2023</t>
        </is>
      </c>
      <c r="B499" s="1" t="n">
        <v>44949</v>
      </c>
      <c r="C499" s="1" t="n">
        <v>46003</v>
      </c>
      <c r="D499" t="inlineStr">
        <is>
          <t>ÖSTERGÖTLANDS LÄN</t>
        </is>
      </c>
      <c r="E499" t="inlineStr">
        <is>
          <t>LINKÖPING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224-2024</t>
        </is>
      </c>
      <c r="B500" s="1" t="n">
        <v>45294</v>
      </c>
      <c r="C500" s="1" t="n">
        <v>46003</v>
      </c>
      <c r="D500" t="inlineStr">
        <is>
          <t>ÖSTERGÖTLANDS LÄN</t>
        </is>
      </c>
      <c r="E500" t="inlineStr">
        <is>
          <t>LINKÖPING</t>
        </is>
      </c>
      <c r="G500" t="n">
        <v>2.8</v>
      </c>
      <c r="H500" t="n">
        <v>0</v>
      </c>
      <c r="I500" t="n">
        <v>0</v>
      </c>
      <c r="J500" t="n">
        <v>0</v>
      </c>
      <c r="K500" t="n">
        <v>0</v>
      </c>
      <c r="L500" t="n">
        <v>0</v>
      </c>
      <c r="M500" t="n">
        <v>0</v>
      </c>
      <c r="N500" t="n">
        <v>0</v>
      </c>
      <c r="O500" t="n">
        <v>0</v>
      </c>
      <c r="P500" t="n">
        <v>0</v>
      </c>
      <c r="Q500" t="n">
        <v>0</v>
      </c>
      <c r="R500" s="2" t="inlineStr"/>
    </row>
    <row r="501" ht="15" customHeight="1">
      <c r="A501" t="inlineStr">
        <is>
          <t>A 6726-2024</t>
        </is>
      </c>
      <c r="B501" s="1" t="n">
        <v>45341</v>
      </c>
      <c r="C501" s="1" t="n">
        <v>46003</v>
      </c>
      <c r="D501" t="inlineStr">
        <is>
          <t>ÖSTERGÖTLANDS LÄN</t>
        </is>
      </c>
      <c r="E501" t="inlineStr">
        <is>
          <t>LINKÖPING</t>
        </is>
      </c>
      <c r="G501" t="n">
        <v>2.7</v>
      </c>
      <c r="H501" t="n">
        <v>0</v>
      </c>
      <c r="I501" t="n">
        <v>0</v>
      </c>
      <c r="J501" t="n">
        <v>0</v>
      </c>
      <c r="K501" t="n">
        <v>0</v>
      </c>
      <c r="L501" t="n">
        <v>0</v>
      </c>
      <c r="M501" t="n">
        <v>0</v>
      </c>
      <c r="N501" t="n">
        <v>0</v>
      </c>
      <c r="O501" t="n">
        <v>0</v>
      </c>
      <c r="P501" t="n">
        <v>0</v>
      </c>
      <c r="Q501" t="n">
        <v>0</v>
      </c>
      <c r="R501" s="2" t="inlineStr"/>
    </row>
    <row r="502" ht="15" customHeight="1">
      <c r="A502" t="inlineStr">
        <is>
          <t>A 27264-2025</t>
        </is>
      </c>
      <c r="B502" s="1" t="n">
        <v>45812.4794212963</v>
      </c>
      <c r="C502" s="1" t="n">
        <v>46003</v>
      </c>
      <c r="D502" t="inlineStr">
        <is>
          <t>ÖSTERGÖTLANDS LÄN</t>
        </is>
      </c>
      <c r="E502" t="inlineStr">
        <is>
          <t>LINKÖPING</t>
        </is>
      </c>
      <c r="G502" t="n">
        <v>2.6</v>
      </c>
      <c r="H502" t="n">
        <v>0</v>
      </c>
      <c r="I502" t="n">
        <v>0</v>
      </c>
      <c r="J502" t="n">
        <v>0</v>
      </c>
      <c r="K502" t="n">
        <v>0</v>
      </c>
      <c r="L502" t="n">
        <v>0</v>
      </c>
      <c r="M502" t="n">
        <v>0</v>
      </c>
      <c r="N502" t="n">
        <v>0</v>
      </c>
      <c r="O502" t="n">
        <v>0</v>
      </c>
      <c r="P502" t="n">
        <v>0</v>
      </c>
      <c r="Q502" t="n">
        <v>0</v>
      </c>
      <c r="R502" s="2" t="inlineStr"/>
    </row>
    <row r="503" ht="15" customHeight="1">
      <c r="A503" t="inlineStr">
        <is>
          <t>A 45831-2024</t>
        </is>
      </c>
      <c r="B503" s="1" t="n">
        <v>45579.90508101852</v>
      </c>
      <c r="C503" s="1" t="n">
        <v>46003</v>
      </c>
      <c r="D503" t="inlineStr">
        <is>
          <t>ÖSTERGÖTLANDS LÄN</t>
        </is>
      </c>
      <c r="E503" t="inlineStr">
        <is>
          <t>LINKÖPING</t>
        </is>
      </c>
      <c r="G503" t="n">
        <v>1.9</v>
      </c>
      <c r="H503" t="n">
        <v>0</v>
      </c>
      <c r="I503" t="n">
        <v>0</v>
      </c>
      <c r="J503" t="n">
        <v>0</v>
      </c>
      <c r="K503" t="n">
        <v>0</v>
      </c>
      <c r="L503" t="n">
        <v>0</v>
      </c>
      <c r="M503" t="n">
        <v>0</v>
      </c>
      <c r="N503" t="n">
        <v>0</v>
      </c>
      <c r="O503" t="n">
        <v>0</v>
      </c>
      <c r="P503" t="n">
        <v>0</v>
      </c>
      <c r="Q503" t="n">
        <v>0</v>
      </c>
      <c r="R503" s="2" t="inlineStr"/>
    </row>
    <row r="504" ht="15" customHeight="1">
      <c r="A504" t="inlineStr">
        <is>
          <t>A 39438-2025</t>
        </is>
      </c>
      <c r="B504" s="1" t="n">
        <v>45889.68641203704</v>
      </c>
      <c r="C504" s="1" t="n">
        <v>46003</v>
      </c>
      <c r="D504" t="inlineStr">
        <is>
          <t>ÖSTERGÖTLANDS LÄN</t>
        </is>
      </c>
      <c r="E504" t="inlineStr">
        <is>
          <t>LINKÖPING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57396-2021</t>
        </is>
      </c>
      <c r="B505" s="1" t="n">
        <v>44483.56151620371</v>
      </c>
      <c r="C505" s="1" t="n">
        <v>46003</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22842-2023</t>
        </is>
      </c>
      <c r="B506" s="1" t="n">
        <v>45071</v>
      </c>
      <c r="C506" s="1" t="n">
        <v>46003</v>
      </c>
      <c r="D506" t="inlineStr">
        <is>
          <t>ÖSTERGÖTLANDS LÄN</t>
        </is>
      </c>
      <c r="E506" t="inlineStr">
        <is>
          <t>LINKÖPING</t>
        </is>
      </c>
      <c r="F506" t="inlineStr">
        <is>
          <t>Kommuner</t>
        </is>
      </c>
      <c r="G506" t="n">
        <v>1.3</v>
      </c>
      <c r="H506" t="n">
        <v>0</v>
      </c>
      <c r="I506" t="n">
        <v>0</v>
      </c>
      <c r="J506" t="n">
        <v>0</v>
      </c>
      <c r="K506" t="n">
        <v>0</v>
      </c>
      <c r="L506" t="n">
        <v>0</v>
      </c>
      <c r="M506" t="n">
        <v>0</v>
      </c>
      <c r="N506" t="n">
        <v>0</v>
      </c>
      <c r="O506" t="n">
        <v>0</v>
      </c>
      <c r="P506" t="n">
        <v>0</v>
      </c>
      <c r="Q506" t="n">
        <v>0</v>
      </c>
      <c r="R506" s="2" t="inlineStr"/>
    </row>
    <row r="507" ht="15" customHeight="1">
      <c r="A507" t="inlineStr">
        <is>
          <t>A 50386-2021</t>
        </is>
      </c>
      <c r="B507" s="1" t="n">
        <v>44459</v>
      </c>
      <c r="C507" s="1" t="n">
        <v>46003</v>
      </c>
      <c r="D507" t="inlineStr">
        <is>
          <t>ÖSTERGÖTLANDS LÄN</t>
        </is>
      </c>
      <c r="E507" t="inlineStr">
        <is>
          <t>LINKÖPING</t>
        </is>
      </c>
      <c r="G507" t="n">
        <v>2.3</v>
      </c>
      <c r="H507" t="n">
        <v>0</v>
      </c>
      <c r="I507" t="n">
        <v>0</v>
      </c>
      <c r="J507" t="n">
        <v>0</v>
      </c>
      <c r="K507" t="n">
        <v>0</v>
      </c>
      <c r="L507" t="n">
        <v>0</v>
      </c>
      <c r="M507" t="n">
        <v>0</v>
      </c>
      <c r="N507" t="n">
        <v>0</v>
      </c>
      <c r="O507" t="n">
        <v>0</v>
      </c>
      <c r="P507" t="n">
        <v>0</v>
      </c>
      <c r="Q507" t="n">
        <v>0</v>
      </c>
      <c r="R507" s="2" t="inlineStr"/>
    </row>
    <row r="508" ht="15" customHeight="1">
      <c r="A508" t="inlineStr">
        <is>
          <t>A 35781-2023</t>
        </is>
      </c>
      <c r="B508" s="1" t="n">
        <v>45147</v>
      </c>
      <c r="C508" s="1" t="n">
        <v>46003</v>
      </c>
      <c r="D508" t="inlineStr">
        <is>
          <t>ÖSTERGÖTLANDS LÄN</t>
        </is>
      </c>
      <c r="E508" t="inlineStr">
        <is>
          <t>LINKÖPING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22770-2024</t>
        </is>
      </c>
      <c r="B509" s="1" t="n">
        <v>45448.4634375</v>
      </c>
      <c r="C509" s="1" t="n">
        <v>46003</v>
      </c>
      <c r="D509" t="inlineStr">
        <is>
          <t>ÖSTERGÖTLANDS LÄN</t>
        </is>
      </c>
      <c r="E509" t="inlineStr">
        <is>
          <t>LINKÖPING</t>
        </is>
      </c>
      <c r="F509" t="inlineStr">
        <is>
          <t>Sveaskog</t>
        </is>
      </c>
      <c r="G509" t="n">
        <v>3.4</v>
      </c>
      <c r="H509" t="n">
        <v>0</v>
      </c>
      <c r="I509" t="n">
        <v>0</v>
      </c>
      <c r="J509" t="n">
        <v>0</v>
      </c>
      <c r="K509" t="n">
        <v>0</v>
      </c>
      <c r="L509" t="n">
        <v>0</v>
      </c>
      <c r="M509" t="n">
        <v>0</v>
      </c>
      <c r="N509" t="n">
        <v>0</v>
      </c>
      <c r="O509" t="n">
        <v>0</v>
      </c>
      <c r="P509" t="n">
        <v>0</v>
      </c>
      <c r="Q509" t="n">
        <v>0</v>
      </c>
      <c r="R509" s="2" t="inlineStr"/>
    </row>
    <row r="510" ht="15" customHeight="1">
      <c r="A510" t="inlineStr">
        <is>
          <t>A 53814-2023</t>
        </is>
      </c>
      <c r="B510" s="1" t="n">
        <v>45231</v>
      </c>
      <c r="C510" s="1" t="n">
        <v>46003</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11671-2023</t>
        </is>
      </c>
      <c r="B511" s="1" t="n">
        <v>44994.48125</v>
      </c>
      <c r="C511" s="1" t="n">
        <v>46003</v>
      </c>
      <c r="D511" t="inlineStr">
        <is>
          <t>ÖSTERGÖTLANDS LÄN</t>
        </is>
      </c>
      <c r="E511" t="inlineStr">
        <is>
          <t>LINKÖPING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54425-2022</t>
        </is>
      </c>
      <c r="B512" s="1" t="n">
        <v>44882.57453703704</v>
      </c>
      <c r="C512" s="1" t="n">
        <v>46003</v>
      </c>
      <c r="D512" t="inlineStr">
        <is>
          <t>ÖSTERGÖTLANDS LÄN</t>
        </is>
      </c>
      <c r="E512" t="inlineStr">
        <is>
          <t>LINKÖPING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40169-2025</t>
        </is>
      </c>
      <c r="B513" s="1" t="n">
        <v>45894.62824074074</v>
      </c>
      <c r="C513" s="1" t="n">
        <v>46003</v>
      </c>
      <c r="D513" t="inlineStr">
        <is>
          <t>ÖSTERGÖTLANDS LÄN</t>
        </is>
      </c>
      <c r="E513" t="inlineStr">
        <is>
          <t>LINKÖPING</t>
        </is>
      </c>
      <c r="G513" t="n">
        <v>2.8</v>
      </c>
      <c r="H513" t="n">
        <v>0</v>
      </c>
      <c r="I513" t="n">
        <v>0</v>
      </c>
      <c r="J513" t="n">
        <v>0</v>
      </c>
      <c r="K513" t="n">
        <v>0</v>
      </c>
      <c r="L513" t="n">
        <v>0</v>
      </c>
      <c r="M513" t="n">
        <v>0</v>
      </c>
      <c r="N513" t="n">
        <v>0</v>
      </c>
      <c r="O513" t="n">
        <v>0</v>
      </c>
      <c r="P513" t="n">
        <v>0</v>
      </c>
      <c r="Q513" t="n">
        <v>0</v>
      </c>
      <c r="R513" s="2" t="inlineStr"/>
    </row>
    <row r="514" ht="15" customHeight="1">
      <c r="A514" t="inlineStr">
        <is>
          <t>A 4927-2021</t>
        </is>
      </c>
      <c r="B514" s="1" t="n">
        <v>44227.57215277778</v>
      </c>
      <c r="C514" s="1" t="n">
        <v>46003</v>
      </c>
      <c r="D514" t="inlineStr">
        <is>
          <t>ÖSTERGÖTLANDS LÄN</t>
        </is>
      </c>
      <c r="E514" t="inlineStr">
        <is>
          <t>LINKÖPING</t>
        </is>
      </c>
      <c r="G514" t="n">
        <v>0.3</v>
      </c>
      <c r="H514" t="n">
        <v>0</v>
      </c>
      <c r="I514" t="n">
        <v>0</v>
      </c>
      <c r="J514" t="n">
        <v>0</v>
      </c>
      <c r="K514" t="n">
        <v>0</v>
      </c>
      <c r="L514" t="n">
        <v>0</v>
      </c>
      <c r="M514" t="n">
        <v>0</v>
      </c>
      <c r="N514" t="n">
        <v>0</v>
      </c>
      <c r="O514" t="n">
        <v>0</v>
      </c>
      <c r="P514" t="n">
        <v>0</v>
      </c>
      <c r="Q514" t="n">
        <v>0</v>
      </c>
      <c r="R514" s="2" t="inlineStr"/>
    </row>
    <row r="515" ht="15" customHeight="1">
      <c r="A515" t="inlineStr">
        <is>
          <t>A 60004-2022</t>
        </is>
      </c>
      <c r="B515" s="1" t="n">
        <v>44909.47206018519</v>
      </c>
      <c r="C515" s="1" t="n">
        <v>46003</v>
      </c>
      <c r="D515" t="inlineStr">
        <is>
          <t>ÖSTERGÖTLANDS LÄN</t>
        </is>
      </c>
      <c r="E515" t="inlineStr">
        <is>
          <t>LINKÖPING</t>
        </is>
      </c>
      <c r="G515" t="n">
        <v>2.2</v>
      </c>
      <c r="H515" t="n">
        <v>0</v>
      </c>
      <c r="I515" t="n">
        <v>0</v>
      </c>
      <c r="J515" t="n">
        <v>0</v>
      </c>
      <c r="K515" t="n">
        <v>0</v>
      </c>
      <c r="L515" t="n">
        <v>0</v>
      </c>
      <c r="M515" t="n">
        <v>0</v>
      </c>
      <c r="N515" t="n">
        <v>0</v>
      </c>
      <c r="O515" t="n">
        <v>0</v>
      </c>
      <c r="P515" t="n">
        <v>0</v>
      </c>
      <c r="Q515" t="n">
        <v>0</v>
      </c>
      <c r="R515" s="2" t="inlineStr"/>
    </row>
    <row r="516" ht="15" customHeight="1">
      <c r="A516" t="inlineStr">
        <is>
          <t>A 30547-2023</t>
        </is>
      </c>
      <c r="B516" s="1" t="n">
        <v>45111.75905092592</v>
      </c>
      <c r="C516" s="1" t="n">
        <v>46003</v>
      </c>
      <c r="D516" t="inlineStr">
        <is>
          <t>ÖSTERGÖTLANDS LÄN</t>
        </is>
      </c>
      <c r="E516" t="inlineStr">
        <is>
          <t>LINKÖPING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24904-2024</t>
        </is>
      </c>
      <c r="B517" s="1" t="n">
        <v>45461</v>
      </c>
      <c r="C517" s="1" t="n">
        <v>46003</v>
      </c>
      <c r="D517" t="inlineStr">
        <is>
          <t>ÖSTERGÖTLANDS LÄN</t>
        </is>
      </c>
      <c r="E517" t="inlineStr">
        <is>
          <t>LINKÖPING</t>
        </is>
      </c>
      <c r="G517" t="n">
        <v>3.8</v>
      </c>
      <c r="H517" t="n">
        <v>0</v>
      </c>
      <c r="I517" t="n">
        <v>0</v>
      </c>
      <c r="J517" t="n">
        <v>0</v>
      </c>
      <c r="K517" t="n">
        <v>0</v>
      </c>
      <c r="L517" t="n">
        <v>0</v>
      </c>
      <c r="M517" t="n">
        <v>0</v>
      </c>
      <c r="N517" t="n">
        <v>0</v>
      </c>
      <c r="O517" t="n">
        <v>0</v>
      </c>
      <c r="P517" t="n">
        <v>0</v>
      </c>
      <c r="Q517" t="n">
        <v>0</v>
      </c>
      <c r="R517" s="2" t="inlineStr"/>
    </row>
    <row r="518" ht="15" customHeight="1">
      <c r="A518" t="inlineStr">
        <is>
          <t>A 52796-2023</t>
        </is>
      </c>
      <c r="B518" s="1" t="n">
        <v>45219</v>
      </c>
      <c r="C518" s="1" t="n">
        <v>46003</v>
      </c>
      <c r="D518" t="inlineStr">
        <is>
          <t>ÖSTERGÖTLANDS LÄN</t>
        </is>
      </c>
      <c r="E518" t="inlineStr">
        <is>
          <t>LINKÖPING</t>
        </is>
      </c>
      <c r="F518" t="inlineStr">
        <is>
          <t>Övriga statliga verk och myndigheter</t>
        </is>
      </c>
      <c r="G518" t="n">
        <v>3.9</v>
      </c>
      <c r="H518" t="n">
        <v>0</v>
      </c>
      <c r="I518" t="n">
        <v>0</v>
      </c>
      <c r="J518" t="n">
        <v>0</v>
      </c>
      <c r="K518" t="n">
        <v>0</v>
      </c>
      <c r="L518" t="n">
        <v>0</v>
      </c>
      <c r="M518" t="n">
        <v>0</v>
      </c>
      <c r="N518" t="n">
        <v>0</v>
      </c>
      <c r="O518" t="n">
        <v>0</v>
      </c>
      <c r="P518" t="n">
        <v>0</v>
      </c>
      <c r="Q518" t="n">
        <v>0</v>
      </c>
      <c r="R518" s="2" t="inlineStr"/>
    </row>
    <row r="519" ht="15" customHeight="1">
      <c r="A519" t="inlineStr">
        <is>
          <t>A 50743-2023</t>
        </is>
      </c>
      <c r="B519" s="1" t="n">
        <v>45217</v>
      </c>
      <c r="C519" s="1" t="n">
        <v>46003</v>
      </c>
      <c r="D519" t="inlineStr">
        <is>
          <t>ÖSTERGÖTLANDS LÄN</t>
        </is>
      </c>
      <c r="E519" t="inlineStr">
        <is>
          <t>LINKÖPING</t>
        </is>
      </c>
      <c r="G519" t="n">
        <v>2.7</v>
      </c>
      <c r="H519" t="n">
        <v>0</v>
      </c>
      <c r="I519" t="n">
        <v>0</v>
      </c>
      <c r="J519" t="n">
        <v>0</v>
      </c>
      <c r="K519" t="n">
        <v>0</v>
      </c>
      <c r="L519" t="n">
        <v>0</v>
      </c>
      <c r="M519" t="n">
        <v>0</v>
      </c>
      <c r="N519" t="n">
        <v>0</v>
      </c>
      <c r="O519" t="n">
        <v>0</v>
      </c>
      <c r="P519" t="n">
        <v>0</v>
      </c>
      <c r="Q519" t="n">
        <v>0</v>
      </c>
      <c r="R519" s="2" t="inlineStr"/>
    </row>
    <row r="520" ht="15" customHeight="1">
      <c r="A520" t="inlineStr">
        <is>
          <t>A 45771-2023</t>
        </is>
      </c>
      <c r="B520" s="1" t="n">
        <v>45195.4384375</v>
      </c>
      <c r="C520" s="1" t="n">
        <v>46003</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26788-2022</t>
        </is>
      </c>
      <c r="B521" s="1" t="n">
        <v>44740</v>
      </c>
      <c r="C521" s="1" t="n">
        <v>46003</v>
      </c>
      <c r="D521" t="inlineStr">
        <is>
          <t>ÖSTERGÖTLANDS LÄN</t>
        </is>
      </c>
      <c r="E521" t="inlineStr">
        <is>
          <t>LINKÖPING</t>
        </is>
      </c>
      <c r="G521" t="n">
        <v>3.2</v>
      </c>
      <c r="H521" t="n">
        <v>0</v>
      </c>
      <c r="I521" t="n">
        <v>0</v>
      </c>
      <c r="J521" t="n">
        <v>0</v>
      </c>
      <c r="K521" t="n">
        <v>0</v>
      </c>
      <c r="L521" t="n">
        <v>0</v>
      </c>
      <c r="M521" t="n">
        <v>0</v>
      </c>
      <c r="N521" t="n">
        <v>0</v>
      </c>
      <c r="O521" t="n">
        <v>0</v>
      </c>
      <c r="P521" t="n">
        <v>0</v>
      </c>
      <c r="Q521" t="n">
        <v>0</v>
      </c>
      <c r="R521" s="2" t="inlineStr"/>
    </row>
    <row r="522" ht="15" customHeight="1">
      <c r="A522" t="inlineStr">
        <is>
          <t>A 15121-2022</t>
        </is>
      </c>
      <c r="B522" s="1" t="n">
        <v>44658</v>
      </c>
      <c r="C522" s="1" t="n">
        <v>46003</v>
      </c>
      <c r="D522" t="inlineStr">
        <is>
          <t>ÖSTERGÖTLANDS LÄN</t>
        </is>
      </c>
      <c r="E522" t="inlineStr">
        <is>
          <t>LINKÖPING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51919-2024</t>
        </is>
      </c>
      <c r="B523" s="1" t="n">
        <v>45607.60791666667</v>
      </c>
      <c r="C523" s="1" t="n">
        <v>46003</v>
      </c>
      <c r="D523" t="inlineStr">
        <is>
          <t>ÖSTERGÖTLANDS LÄN</t>
        </is>
      </c>
      <c r="E523" t="inlineStr">
        <is>
          <t>LINKÖPING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63554-2023</t>
        </is>
      </c>
      <c r="B524" s="1" t="n">
        <v>45275</v>
      </c>
      <c r="C524" s="1" t="n">
        <v>46003</v>
      </c>
      <c r="D524" t="inlineStr">
        <is>
          <t>ÖSTERGÖTLANDS LÄN</t>
        </is>
      </c>
      <c r="E524" t="inlineStr">
        <is>
          <t>LINKÖPING</t>
        </is>
      </c>
      <c r="G524" t="n">
        <v>4.3</v>
      </c>
      <c r="H524" t="n">
        <v>0</v>
      </c>
      <c r="I524" t="n">
        <v>0</v>
      </c>
      <c r="J524" t="n">
        <v>0</v>
      </c>
      <c r="K524" t="n">
        <v>0</v>
      </c>
      <c r="L524" t="n">
        <v>0</v>
      </c>
      <c r="M524" t="n">
        <v>0</v>
      </c>
      <c r="N524" t="n">
        <v>0</v>
      </c>
      <c r="O524" t="n">
        <v>0</v>
      </c>
      <c r="P524" t="n">
        <v>0</v>
      </c>
      <c r="Q524" t="n">
        <v>0</v>
      </c>
      <c r="R524" s="2" t="inlineStr"/>
    </row>
    <row r="525" ht="15" customHeight="1">
      <c r="A525" t="inlineStr">
        <is>
          <t>A 55009-2023</t>
        </is>
      </c>
      <c r="B525" s="1" t="n">
        <v>45237</v>
      </c>
      <c r="C525" s="1" t="n">
        <v>46003</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20291-2025</t>
        </is>
      </c>
      <c r="B526" s="1" t="n">
        <v>45774.74288194445</v>
      </c>
      <c r="C526" s="1" t="n">
        <v>46003</v>
      </c>
      <c r="D526" t="inlineStr">
        <is>
          <t>ÖSTERGÖTLANDS LÄN</t>
        </is>
      </c>
      <c r="E526" t="inlineStr">
        <is>
          <t>LINKÖPING</t>
        </is>
      </c>
      <c r="G526" t="n">
        <v>2.3</v>
      </c>
      <c r="H526" t="n">
        <v>0</v>
      </c>
      <c r="I526" t="n">
        <v>0</v>
      </c>
      <c r="J526" t="n">
        <v>0</v>
      </c>
      <c r="K526" t="n">
        <v>0</v>
      </c>
      <c r="L526" t="n">
        <v>0</v>
      </c>
      <c r="M526" t="n">
        <v>0</v>
      </c>
      <c r="N526" t="n">
        <v>0</v>
      </c>
      <c r="O526" t="n">
        <v>0</v>
      </c>
      <c r="P526" t="n">
        <v>0</v>
      </c>
      <c r="Q526" t="n">
        <v>0</v>
      </c>
      <c r="R526" s="2" t="inlineStr"/>
    </row>
    <row r="527" ht="15" customHeight="1">
      <c r="A527" t="inlineStr">
        <is>
          <t>A 20293-2025</t>
        </is>
      </c>
      <c r="B527" s="1" t="n">
        <v>45774.74611111111</v>
      </c>
      <c r="C527" s="1" t="n">
        <v>46003</v>
      </c>
      <c r="D527" t="inlineStr">
        <is>
          <t>ÖSTERGÖTLANDS LÄN</t>
        </is>
      </c>
      <c r="E527" t="inlineStr">
        <is>
          <t>LINKÖPING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30111-2024</t>
        </is>
      </c>
      <c r="B528" s="1" t="n">
        <v>45489.46947916667</v>
      </c>
      <c r="C528" s="1" t="n">
        <v>46003</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30119-2024</t>
        </is>
      </c>
      <c r="B529" s="1" t="n">
        <v>45489</v>
      </c>
      <c r="C529" s="1" t="n">
        <v>46003</v>
      </c>
      <c r="D529" t="inlineStr">
        <is>
          <t>ÖSTERGÖTLANDS LÄN</t>
        </is>
      </c>
      <c r="E529" t="inlineStr">
        <is>
          <t>LINKÖPING</t>
        </is>
      </c>
      <c r="G529" t="n">
        <v>1.7</v>
      </c>
      <c r="H529" t="n">
        <v>0</v>
      </c>
      <c r="I529" t="n">
        <v>0</v>
      </c>
      <c r="J529" t="n">
        <v>0</v>
      </c>
      <c r="K529" t="n">
        <v>0</v>
      </c>
      <c r="L529" t="n">
        <v>0</v>
      </c>
      <c r="M529" t="n">
        <v>0</v>
      </c>
      <c r="N529" t="n">
        <v>0</v>
      </c>
      <c r="O529" t="n">
        <v>0</v>
      </c>
      <c r="P529" t="n">
        <v>0</v>
      </c>
      <c r="Q529" t="n">
        <v>0</v>
      </c>
      <c r="R529" s="2" t="inlineStr"/>
    </row>
    <row r="530" ht="15" customHeight="1">
      <c r="A530" t="inlineStr">
        <is>
          <t>A 660-2023</t>
        </is>
      </c>
      <c r="B530" s="1" t="n">
        <v>44930</v>
      </c>
      <c r="C530" s="1" t="n">
        <v>46003</v>
      </c>
      <c r="D530" t="inlineStr">
        <is>
          <t>ÖSTERGÖTLANDS LÄN</t>
        </is>
      </c>
      <c r="E530" t="inlineStr">
        <is>
          <t>LINKÖPING</t>
        </is>
      </c>
      <c r="F530" t="inlineStr">
        <is>
          <t>Kyrkan</t>
        </is>
      </c>
      <c r="G530" t="n">
        <v>1.6</v>
      </c>
      <c r="H530" t="n">
        <v>0</v>
      </c>
      <c r="I530" t="n">
        <v>0</v>
      </c>
      <c r="J530" t="n">
        <v>0</v>
      </c>
      <c r="K530" t="n">
        <v>0</v>
      </c>
      <c r="L530" t="n">
        <v>0</v>
      </c>
      <c r="M530" t="n">
        <v>0</v>
      </c>
      <c r="N530" t="n">
        <v>0</v>
      </c>
      <c r="O530" t="n">
        <v>0</v>
      </c>
      <c r="P530" t="n">
        <v>0</v>
      </c>
      <c r="Q530" t="n">
        <v>0</v>
      </c>
      <c r="R530" s="2" t="inlineStr"/>
    </row>
    <row r="531" ht="15" customHeight="1">
      <c r="A531" t="inlineStr">
        <is>
          <t>A 6206-2024</t>
        </is>
      </c>
      <c r="B531" s="1" t="n">
        <v>45337.5977662037</v>
      </c>
      <c r="C531" s="1" t="n">
        <v>46003</v>
      </c>
      <c r="D531" t="inlineStr">
        <is>
          <t>ÖSTERGÖTLANDS LÄN</t>
        </is>
      </c>
      <c r="E531" t="inlineStr">
        <is>
          <t>LINKÖPING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64694-2023</t>
        </is>
      </c>
      <c r="B532" s="1" t="n">
        <v>45281</v>
      </c>
      <c r="C532" s="1" t="n">
        <v>46003</v>
      </c>
      <c r="D532" t="inlineStr">
        <is>
          <t>ÖSTERGÖTLANDS LÄN</t>
        </is>
      </c>
      <c r="E532" t="inlineStr">
        <is>
          <t>LINKÖPING</t>
        </is>
      </c>
      <c r="F532" t="inlineStr">
        <is>
          <t>Övriga statliga verk och myndigheter</t>
        </is>
      </c>
      <c r="G532" t="n">
        <v>4.9</v>
      </c>
      <c r="H532" t="n">
        <v>0</v>
      </c>
      <c r="I532" t="n">
        <v>0</v>
      </c>
      <c r="J532" t="n">
        <v>0</v>
      </c>
      <c r="K532" t="n">
        <v>0</v>
      </c>
      <c r="L532" t="n">
        <v>0</v>
      </c>
      <c r="M532" t="n">
        <v>0</v>
      </c>
      <c r="N532" t="n">
        <v>0</v>
      </c>
      <c r="O532" t="n">
        <v>0</v>
      </c>
      <c r="P532" t="n">
        <v>0</v>
      </c>
      <c r="Q532" t="n">
        <v>0</v>
      </c>
      <c r="R532" s="2" t="inlineStr"/>
    </row>
    <row r="533" ht="15" customHeight="1">
      <c r="A533" t="inlineStr">
        <is>
          <t>A 15714-2024</t>
        </is>
      </c>
      <c r="B533" s="1" t="n">
        <v>45404.48288194444</v>
      </c>
      <c r="C533" s="1" t="n">
        <v>46003</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9473-2024</t>
        </is>
      </c>
      <c r="B534" s="1" t="n">
        <v>45359.55474537037</v>
      </c>
      <c r="C534" s="1" t="n">
        <v>46003</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30481-2023</t>
        </is>
      </c>
      <c r="B535" s="1" t="n">
        <v>45111</v>
      </c>
      <c r="C535" s="1" t="n">
        <v>46003</v>
      </c>
      <c r="D535" t="inlineStr">
        <is>
          <t>ÖSTERGÖTLANDS LÄN</t>
        </is>
      </c>
      <c r="E535" t="inlineStr">
        <is>
          <t>LINKÖPING</t>
        </is>
      </c>
      <c r="F535" t="inlineStr">
        <is>
          <t>Övriga Aktiebolag</t>
        </is>
      </c>
      <c r="G535" t="n">
        <v>2</v>
      </c>
      <c r="H535" t="n">
        <v>0</v>
      </c>
      <c r="I535" t="n">
        <v>0</v>
      </c>
      <c r="J535" t="n">
        <v>0</v>
      </c>
      <c r="K535" t="n">
        <v>0</v>
      </c>
      <c r="L535" t="n">
        <v>0</v>
      </c>
      <c r="M535" t="n">
        <v>0</v>
      </c>
      <c r="N535" t="n">
        <v>0</v>
      </c>
      <c r="O535" t="n">
        <v>0</v>
      </c>
      <c r="P535" t="n">
        <v>0</v>
      </c>
      <c r="Q535" t="n">
        <v>0</v>
      </c>
      <c r="R535" s="2" t="inlineStr"/>
    </row>
    <row r="536" ht="15" customHeight="1">
      <c r="A536" t="inlineStr">
        <is>
          <t>A 74160-2021</t>
        </is>
      </c>
      <c r="B536" s="1" t="n">
        <v>44558</v>
      </c>
      <c r="C536" s="1" t="n">
        <v>46003</v>
      </c>
      <c r="D536" t="inlineStr">
        <is>
          <t>ÖSTERGÖTLANDS LÄN</t>
        </is>
      </c>
      <c r="E536" t="inlineStr">
        <is>
          <t>LINKÖPING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10797-2024</t>
        </is>
      </c>
      <c r="B537" s="1" t="n">
        <v>45369.6190162037</v>
      </c>
      <c r="C537" s="1" t="n">
        <v>46003</v>
      </c>
      <c r="D537" t="inlineStr">
        <is>
          <t>ÖSTERGÖTLANDS LÄN</t>
        </is>
      </c>
      <c r="E537" t="inlineStr">
        <is>
          <t>LINKÖPING</t>
        </is>
      </c>
      <c r="G537" t="n">
        <v>1.5</v>
      </c>
      <c r="H537" t="n">
        <v>0</v>
      </c>
      <c r="I537" t="n">
        <v>0</v>
      </c>
      <c r="J537" t="n">
        <v>0</v>
      </c>
      <c r="K537" t="n">
        <v>0</v>
      </c>
      <c r="L537" t="n">
        <v>0</v>
      </c>
      <c r="M537" t="n">
        <v>0</v>
      </c>
      <c r="N537" t="n">
        <v>0</v>
      </c>
      <c r="O537" t="n">
        <v>0</v>
      </c>
      <c r="P537" t="n">
        <v>0</v>
      </c>
      <c r="Q537" t="n">
        <v>0</v>
      </c>
      <c r="R537" s="2" t="inlineStr"/>
    </row>
    <row r="538" ht="15" customHeight="1">
      <c r="A538" t="inlineStr">
        <is>
          <t>A 63487-2023</t>
        </is>
      </c>
      <c r="B538" s="1" t="n">
        <v>45274.66712962963</v>
      </c>
      <c r="C538" s="1" t="n">
        <v>46003</v>
      </c>
      <c r="D538" t="inlineStr">
        <is>
          <t>ÖSTERGÖTLANDS LÄN</t>
        </is>
      </c>
      <c r="E538" t="inlineStr">
        <is>
          <t>LINKÖPING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63559-2023</t>
        </is>
      </c>
      <c r="B539" s="1" t="n">
        <v>45275.35924768518</v>
      </c>
      <c r="C539" s="1" t="n">
        <v>46003</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22264-2025</t>
        </is>
      </c>
      <c r="B540" s="1" t="n">
        <v>45785</v>
      </c>
      <c r="C540" s="1" t="n">
        <v>46003</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23491-2024</t>
        </is>
      </c>
      <c r="B541" s="1" t="n">
        <v>45453</v>
      </c>
      <c r="C541" s="1" t="n">
        <v>46003</v>
      </c>
      <c r="D541" t="inlineStr">
        <is>
          <t>ÖSTERGÖTLANDS LÄN</t>
        </is>
      </c>
      <c r="E541" t="inlineStr">
        <is>
          <t>LINKÖPING</t>
        </is>
      </c>
      <c r="G541" t="n">
        <v>2.2</v>
      </c>
      <c r="H541" t="n">
        <v>0</v>
      </c>
      <c r="I541" t="n">
        <v>0</v>
      </c>
      <c r="J541" t="n">
        <v>0</v>
      </c>
      <c r="K541" t="n">
        <v>0</v>
      </c>
      <c r="L541" t="n">
        <v>0</v>
      </c>
      <c r="M541" t="n">
        <v>0</v>
      </c>
      <c r="N541" t="n">
        <v>0</v>
      </c>
      <c r="O541" t="n">
        <v>0</v>
      </c>
      <c r="P541" t="n">
        <v>0</v>
      </c>
      <c r="Q541" t="n">
        <v>0</v>
      </c>
      <c r="R541" s="2" t="inlineStr"/>
    </row>
    <row r="542" ht="15" customHeight="1">
      <c r="A542" t="inlineStr">
        <is>
          <t>A 41706-2025</t>
        </is>
      </c>
      <c r="B542" s="1" t="n">
        <v>45902.42209490741</v>
      </c>
      <c r="C542" s="1" t="n">
        <v>46003</v>
      </c>
      <c r="D542" t="inlineStr">
        <is>
          <t>ÖSTERGÖTLANDS LÄN</t>
        </is>
      </c>
      <c r="E542" t="inlineStr">
        <is>
          <t>LINKÖPING</t>
        </is>
      </c>
      <c r="G542" t="n">
        <v>1.9</v>
      </c>
      <c r="H542" t="n">
        <v>0</v>
      </c>
      <c r="I542" t="n">
        <v>0</v>
      </c>
      <c r="J542" t="n">
        <v>0</v>
      </c>
      <c r="K542" t="n">
        <v>0</v>
      </c>
      <c r="L542" t="n">
        <v>0</v>
      </c>
      <c r="M542" t="n">
        <v>0</v>
      </c>
      <c r="N542" t="n">
        <v>0</v>
      </c>
      <c r="O542" t="n">
        <v>0</v>
      </c>
      <c r="P542" t="n">
        <v>0</v>
      </c>
      <c r="Q542" t="n">
        <v>0</v>
      </c>
      <c r="R542" s="2" t="inlineStr"/>
    </row>
    <row r="543" ht="15" customHeight="1">
      <c r="A543" t="inlineStr">
        <is>
          <t>A 29309-2024</t>
        </is>
      </c>
      <c r="B543" s="1" t="n">
        <v>45483</v>
      </c>
      <c r="C543" s="1" t="n">
        <v>46003</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29411-2023</t>
        </is>
      </c>
      <c r="B544" s="1" t="n">
        <v>45106.46225694445</v>
      </c>
      <c r="C544" s="1" t="n">
        <v>46003</v>
      </c>
      <c r="D544" t="inlineStr">
        <is>
          <t>ÖSTERGÖTLANDS LÄN</t>
        </is>
      </c>
      <c r="E544" t="inlineStr">
        <is>
          <t>LINKÖPING</t>
        </is>
      </c>
      <c r="G544" t="n">
        <v>2.5</v>
      </c>
      <c r="H544" t="n">
        <v>0</v>
      </c>
      <c r="I544" t="n">
        <v>0</v>
      </c>
      <c r="J544" t="n">
        <v>0</v>
      </c>
      <c r="K544" t="n">
        <v>0</v>
      </c>
      <c r="L544" t="n">
        <v>0</v>
      </c>
      <c r="M544" t="n">
        <v>0</v>
      </c>
      <c r="N544" t="n">
        <v>0</v>
      </c>
      <c r="O544" t="n">
        <v>0</v>
      </c>
      <c r="P544" t="n">
        <v>0</v>
      </c>
      <c r="Q544" t="n">
        <v>0</v>
      </c>
      <c r="R544" s="2" t="inlineStr"/>
    </row>
    <row r="545" ht="15" customHeight="1">
      <c r="A545" t="inlineStr">
        <is>
          <t>A 29412-2023</t>
        </is>
      </c>
      <c r="B545" s="1" t="n">
        <v>45106.46359953703</v>
      </c>
      <c r="C545" s="1" t="n">
        <v>46003</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29413-2023</t>
        </is>
      </c>
      <c r="B546" s="1" t="n">
        <v>45106.46465277778</v>
      </c>
      <c r="C546" s="1" t="n">
        <v>46003</v>
      </c>
      <c r="D546" t="inlineStr">
        <is>
          <t>ÖSTERGÖTLANDS LÄN</t>
        </is>
      </c>
      <c r="E546" t="inlineStr">
        <is>
          <t>LINKÖPING</t>
        </is>
      </c>
      <c r="G546" t="n">
        <v>8</v>
      </c>
      <c r="H546" t="n">
        <v>0</v>
      </c>
      <c r="I546" t="n">
        <v>0</v>
      </c>
      <c r="J546" t="n">
        <v>0</v>
      </c>
      <c r="K546" t="n">
        <v>0</v>
      </c>
      <c r="L546" t="n">
        <v>0</v>
      </c>
      <c r="M546" t="n">
        <v>0</v>
      </c>
      <c r="N546" t="n">
        <v>0</v>
      </c>
      <c r="O546" t="n">
        <v>0</v>
      </c>
      <c r="P546" t="n">
        <v>0</v>
      </c>
      <c r="Q546" t="n">
        <v>0</v>
      </c>
      <c r="R546" s="2" t="inlineStr"/>
    </row>
    <row r="547" ht="15" customHeight="1">
      <c r="A547" t="inlineStr">
        <is>
          <t>A 20455-2024</t>
        </is>
      </c>
      <c r="B547" s="1" t="n">
        <v>45435.65314814815</v>
      </c>
      <c r="C547" s="1" t="n">
        <v>46003</v>
      </c>
      <c r="D547" t="inlineStr">
        <is>
          <t>ÖSTERGÖTLANDS LÄN</t>
        </is>
      </c>
      <c r="E547" t="inlineStr">
        <is>
          <t>LINKÖPING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30471-2023</t>
        </is>
      </c>
      <c r="B548" s="1" t="n">
        <v>45111.58931712963</v>
      </c>
      <c r="C548" s="1" t="n">
        <v>46003</v>
      </c>
      <c r="D548" t="inlineStr">
        <is>
          <t>ÖSTERGÖTLANDS LÄN</t>
        </is>
      </c>
      <c r="E548" t="inlineStr">
        <is>
          <t>LINKÖPING</t>
        </is>
      </c>
      <c r="G548" t="n">
        <v>2.9</v>
      </c>
      <c r="H548" t="n">
        <v>0</v>
      </c>
      <c r="I548" t="n">
        <v>0</v>
      </c>
      <c r="J548" t="n">
        <v>0</v>
      </c>
      <c r="K548" t="n">
        <v>0</v>
      </c>
      <c r="L548" t="n">
        <v>0</v>
      </c>
      <c r="M548" t="n">
        <v>0</v>
      </c>
      <c r="N548" t="n">
        <v>0</v>
      </c>
      <c r="O548" t="n">
        <v>0</v>
      </c>
      <c r="P548" t="n">
        <v>0</v>
      </c>
      <c r="Q548" t="n">
        <v>0</v>
      </c>
      <c r="R548" s="2" t="inlineStr"/>
    </row>
    <row r="549" ht="15" customHeight="1">
      <c r="A549" t="inlineStr">
        <is>
          <t>A 24151-2024</t>
        </is>
      </c>
      <c r="B549" s="1" t="n">
        <v>45456.67717592593</v>
      </c>
      <c r="C549" s="1" t="n">
        <v>46003</v>
      </c>
      <c r="D549" t="inlineStr">
        <is>
          <t>ÖSTERGÖTLANDS LÄN</t>
        </is>
      </c>
      <c r="E549" t="inlineStr">
        <is>
          <t>LINKÖPING</t>
        </is>
      </c>
      <c r="G549" t="n">
        <v>2.1</v>
      </c>
      <c r="H549" t="n">
        <v>0</v>
      </c>
      <c r="I549" t="n">
        <v>0</v>
      </c>
      <c r="J549" t="n">
        <v>0</v>
      </c>
      <c r="K549" t="n">
        <v>0</v>
      </c>
      <c r="L549" t="n">
        <v>0</v>
      </c>
      <c r="M549" t="n">
        <v>0</v>
      </c>
      <c r="N549" t="n">
        <v>0</v>
      </c>
      <c r="O549" t="n">
        <v>0</v>
      </c>
      <c r="P549" t="n">
        <v>0</v>
      </c>
      <c r="Q549" t="n">
        <v>0</v>
      </c>
      <c r="R549" s="2" t="inlineStr"/>
    </row>
    <row r="550" ht="15" customHeight="1">
      <c r="A550" t="inlineStr">
        <is>
          <t>A 41511-2025</t>
        </is>
      </c>
      <c r="B550" s="1" t="n">
        <v>45901.53839120371</v>
      </c>
      <c r="C550" s="1" t="n">
        <v>46003</v>
      </c>
      <c r="D550" t="inlineStr">
        <is>
          <t>ÖSTERGÖTLANDS LÄN</t>
        </is>
      </c>
      <c r="E550" t="inlineStr">
        <is>
          <t>LINKÖPING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14093-2024</t>
        </is>
      </c>
      <c r="B551" s="1" t="n">
        <v>45392.60278935185</v>
      </c>
      <c r="C551" s="1" t="n">
        <v>46003</v>
      </c>
      <c r="D551" t="inlineStr">
        <is>
          <t>ÖSTERGÖTLANDS LÄN</t>
        </is>
      </c>
      <c r="E551" t="inlineStr">
        <is>
          <t>LINKÖPING</t>
        </is>
      </c>
      <c r="F551" t="inlineStr">
        <is>
          <t>Övriga Aktiebolag</t>
        </is>
      </c>
      <c r="G551" t="n">
        <v>0.6</v>
      </c>
      <c r="H551" t="n">
        <v>0</v>
      </c>
      <c r="I551" t="n">
        <v>0</v>
      </c>
      <c r="J551" t="n">
        <v>0</v>
      </c>
      <c r="K551" t="n">
        <v>0</v>
      </c>
      <c r="L551" t="n">
        <v>0</v>
      </c>
      <c r="M551" t="n">
        <v>0</v>
      </c>
      <c r="N551" t="n">
        <v>0</v>
      </c>
      <c r="O551" t="n">
        <v>0</v>
      </c>
      <c r="P551" t="n">
        <v>0</v>
      </c>
      <c r="Q551" t="n">
        <v>0</v>
      </c>
      <c r="R551" s="2" t="inlineStr"/>
    </row>
    <row r="552" ht="15" customHeight="1">
      <c r="A552" t="inlineStr">
        <is>
          <t>A 3042-2024</t>
        </is>
      </c>
      <c r="B552" s="1" t="n">
        <v>45316.35028935185</v>
      </c>
      <c r="C552" s="1" t="n">
        <v>46003</v>
      </c>
      <c r="D552" t="inlineStr">
        <is>
          <t>ÖSTERGÖTLANDS LÄN</t>
        </is>
      </c>
      <c r="E552" t="inlineStr">
        <is>
          <t>LINKÖPING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63845-2021</t>
        </is>
      </c>
      <c r="B553" s="1" t="n">
        <v>44509</v>
      </c>
      <c r="C553" s="1" t="n">
        <v>46003</v>
      </c>
      <c r="D553" t="inlineStr">
        <is>
          <t>ÖSTERGÖTLANDS LÄN</t>
        </is>
      </c>
      <c r="E553" t="inlineStr">
        <is>
          <t>LINKÖPING</t>
        </is>
      </c>
      <c r="G553" t="n">
        <v>5</v>
      </c>
      <c r="H553" t="n">
        <v>0</v>
      </c>
      <c r="I553" t="n">
        <v>0</v>
      </c>
      <c r="J553" t="n">
        <v>0</v>
      </c>
      <c r="K553" t="n">
        <v>0</v>
      </c>
      <c r="L553" t="n">
        <v>0</v>
      </c>
      <c r="M553" t="n">
        <v>0</v>
      </c>
      <c r="N553" t="n">
        <v>0</v>
      </c>
      <c r="O553" t="n">
        <v>0</v>
      </c>
      <c r="P553" t="n">
        <v>0</v>
      </c>
      <c r="Q553" t="n">
        <v>0</v>
      </c>
      <c r="R553" s="2" t="inlineStr"/>
    </row>
    <row r="554" ht="15" customHeight="1">
      <c r="A554" t="inlineStr">
        <is>
          <t>A 29293-2025</t>
        </is>
      </c>
      <c r="B554" s="1" t="n">
        <v>45824</v>
      </c>
      <c r="C554" s="1" t="n">
        <v>46003</v>
      </c>
      <c r="D554" t="inlineStr">
        <is>
          <t>ÖSTERGÖTLANDS LÄN</t>
        </is>
      </c>
      <c r="E554" t="inlineStr">
        <is>
          <t>LINKÖPING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63304-2021</t>
        </is>
      </c>
      <c r="B555" s="1" t="n">
        <v>44508.4396412037</v>
      </c>
      <c r="C555" s="1" t="n">
        <v>46003</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17785-2023</t>
        </is>
      </c>
      <c r="B556" s="1" t="n">
        <v>45037.55094907407</v>
      </c>
      <c r="C556" s="1" t="n">
        <v>46003</v>
      </c>
      <c r="D556" t="inlineStr">
        <is>
          <t>ÖSTERGÖTLANDS LÄN</t>
        </is>
      </c>
      <c r="E556" t="inlineStr">
        <is>
          <t>LINKÖPING</t>
        </is>
      </c>
      <c r="F556" t="inlineStr">
        <is>
          <t>Allmännings- och besparingsskogar</t>
        </is>
      </c>
      <c r="G556" t="n">
        <v>3.1</v>
      </c>
      <c r="H556" t="n">
        <v>0</v>
      </c>
      <c r="I556" t="n">
        <v>0</v>
      </c>
      <c r="J556" t="n">
        <v>0</v>
      </c>
      <c r="K556" t="n">
        <v>0</v>
      </c>
      <c r="L556" t="n">
        <v>0</v>
      </c>
      <c r="M556" t="n">
        <v>0</v>
      </c>
      <c r="N556" t="n">
        <v>0</v>
      </c>
      <c r="O556" t="n">
        <v>0</v>
      </c>
      <c r="P556" t="n">
        <v>0</v>
      </c>
      <c r="Q556" t="n">
        <v>0</v>
      </c>
      <c r="R556" s="2" t="inlineStr"/>
    </row>
    <row r="557" ht="15" customHeight="1">
      <c r="A557" t="inlineStr">
        <is>
          <t>A 32346-2023</t>
        </is>
      </c>
      <c r="B557" s="1" t="n">
        <v>45120</v>
      </c>
      <c r="C557" s="1" t="n">
        <v>46003</v>
      </c>
      <c r="D557" t="inlineStr">
        <is>
          <t>ÖSTERGÖTLANDS LÄN</t>
        </is>
      </c>
      <c r="E557" t="inlineStr">
        <is>
          <t>LINKÖPING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19362-2023</t>
        </is>
      </c>
      <c r="B558" s="1" t="n">
        <v>45049</v>
      </c>
      <c r="C558" s="1" t="n">
        <v>46003</v>
      </c>
      <c r="D558" t="inlineStr">
        <is>
          <t>ÖSTERGÖTLANDS LÄN</t>
        </is>
      </c>
      <c r="E558" t="inlineStr">
        <is>
          <t>LINKÖPING</t>
        </is>
      </c>
      <c r="G558" t="n">
        <v>0.1</v>
      </c>
      <c r="H558" t="n">
        <v>0</v>
      </c>
      <c r="I558" t="n">
        <v>0</v>
      </c>
      <c r="J558" t="n">
        <v>0</v>
      </c>
      <c r="K558" t="n">
        <v>0</v>
      </c>
      <c r="L558" t="n">
        <v>0</v>
      </c>
      <c r="M558" t="n">
        <v>0</v>
      </c>
      <c r="N558" t="n">
        <v>0</v>
      </c>
      <c r="O558" t="n">
        <v>0</v>
      </c>
      <c r="P558" t="n">
        <v>0</v>
      </c>
      <c r="Q558" t="n">
        <v>0</v>
      </c>
      <c r="R558" s="2" t="inlineStr"/>
    </row>
    <row r="559" ht="15" customHeight="1">
      <c r="A559" t="inlineStr">
        <is>
          <t>A 1627-2023</t>
        </is>
      </c>
      <c r="B559" s="1" t="n">
        <v>44937</v>
      </c>
      <c r="C559" s="1" t="n">
        <v>46003</v>
      </c>
      <c r="D559" t="inlineStr">
        <is>
          <t>ÖSTERGÖTLANDS LÄN</t>
        </is>
      </c>
      <c r="E559" t="inlineStr">
        <is>
          <t>LINKÖPING</t>
        </is>
      </c>
      <c r="G559" t="n">
        <v>10.8</v>
      </c>
      <c r="H559" t="n">
        <v>0</v>
      </c>
      <c r="I559" t="n">
        <v>0</v>
      </c>
      <c r="J559" t="n">
        <v>0</v>
      </c>
      <c r="K559" t="n">
        <v>0</v>
      </c>
      <c r="L559" t="n">
        <v>0</v>
      </c>
      <c r="M559" t="n">
        <v>0</v>
      </c>
      <c r="N559" t="n">
        <v>0</v>
      </c>
      <c r="O559" t="n">
        <v>0</v>
      </c>
      <c r="P559" t="n">
        <v>0</v>
      </c>
      <c r="Q559" t="n">
        <v>0</v>
      </c>
      <c r="R559" s="2" t="inlineStr"/>
    </row>
    <row r="560" ht="15" customHeight="1">
      <c r="A560" t="inlineStr">
        <is>
          <t>A 35463-2023</t>
        </is>
      </c>
      <c r="B560" s="1" t="n">
        <v>45146</v>
      </c>
      <c r="C560" s="1" t="n">
        <v>46003</v>
      </c>
      <c r="D560" t="inlineStr">
        <is>
          <t>ÖSTERGÖTLANDS LÄN</t>
        </is>
      </c>
      <c r="E560" t="inlineStr">
        <is>
          <t>LINKÖPING</t>
        </is>
      </c>
      <c r="F560" t="inlineStr">
        <is>
          <t>Övriga Aktiebolag</t>
        </is>
      </c>
      <c r="G560" t="n">
        <v>1.8</v>
      </c>
      <c r="H560" t="n">
        <v>0</v>
      </c>
      <c r="I560" t="n">
        <v>0</v>
      </c>
      <c r="J560" t="n">
        <v>0</v>
      </c>
      <c r="K560" t="n">
        <v>0</v>
      </c>
      <c r="L560" t="n">
        <v>0</v>
      </c>
      <c r="M560" t="n">
        <v>0</v>
      </c>
      <c r="N560" t="n">
        <v>0</v>
      </c>
      <c r="O560" t="n">
        <v>0</v>
      </c>
      <c r="P560" t="n">
        <v>0</v>
      </c>
      <c r="Q560" t="n">
        <v>0</v>
      </c>
      <c r="R560" s="2" t="inlineStr"/>
    </row>
    <row r="561" ht="15" customHeight="1">
      <c r="A561" t="inlineStr">
        <is>
          <t>A 16111-2022</t>
        </is>
      </c>
      <c r="B561" s="1" t="n">
        <v>44665</v>
      </c>
      <c r="C561" s="1" t="n">
        <v>46003</v>
      </c>
      <c r="D561" t="inlineStr">
        <is>
          <t>ÖSTERGÖTLANDS LÄN</t>
        </is>
      </c>
      <c r="E561" t="inlineStr">
        <is>
          <t>LINKÖPING</t>
        </is>
      </c>
      <c r="F561" t="inlineStr">
        <is>
          <t>Övriga Aktiebolag</t>
        </is>
      </c>
      <c r="G561" t="n">
        <v>2.9</v>
      </c>
      <c r="H561" t="n">
        <v>0</v>
      </c>
      <c r="I561" t="n">
        <v>0</v>
      </c>
      <c r="J561" t="n">
        <v>0</v>
      </c>
      <c r="K561" t="n">
        <v>0</v>
      </c>
      <c r="L561" t="n">
        <v>0</v>
      </c>
      <c r="M561" t="n">
        <v>0</v>
      </c>
      <c r="N561" t="n">
        <v>0</v>
      </c>
      <c r="O561" t="n">
        <v>0</v>
      </c>
      <c r="P561" t="n">
        <v>0</v>
      </c>
      <c r="Q561" t="n">
        <v>0</v>
      </c>
      <c r="R561" s="2" t="inlineStr"/>
    </row>
    <row r="562" ht="15" customHeight="1">
      <c r="A562" t="inlineStr">
        <is>
          <t>A 6859-2024</t>
        </is>
      </c>
      <c r="B562" s="1" t="n">
        <v>45342</v>
      </c>
      <c r="C562" s="1" t="n">
        <v>46003</v>
      </c>
      <c r="D562" t="inlineStr">
        <is>
          <t>ÖSTERGÖTLANDS LÄN</t>
        </is>
      </c>
      <c r="E562" t="inlineStr">
        <is>
          <t>LINKÖPING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31635-2023</t>
        </is>
      </c>
      <c r="B563" s="1" t="n">
        <v>45105</v>
      </c>
      <c r="C563" s="1" t="n">
        <v>46003</v>
      </c>
      <c r="D563" t="inlineStr">
        <is>
          <t>ÖSTERGÖTLANDS LÄN</t>
        </is>
      </c>
      <c r="E563" t="inlineStr">
        <is>
          <t>LINKÖPING</t>
        </is>
      </c>
      <c r="F563" t="inlineStr">
        <is>
          <t>Övriga statliga verk och myndigheter</t>
        </is>
      </c>
      <c r="G563" t="n">
        <v>4.6</v>
      </c>
      <c r="H563" t="n">
        <v>0</v>
      </c>
      <c r="I563" t="n">
        <v>0</v>
      </c>
      <c r="J563" t="n">
        <v>0</v>
      </c>
      <c r="K563" t="n">
        <v>0</v>
      </c>
      <c r="L563" t="n">
        <v>0</v>
      </c>
      <c r="M563" t="n">
        <v>0</v>
      </c>
      <c r="N563" t="n">
        <v>0</v>
      </c>
      <c r="O563" t="n">
        <v>0</v>
      </c>
      <c r="P563" t="n">
        <v>0</v>
      </c>
      <c r="Q563" t="n">
        <v>0</v>
      </c>
      <c r="R563" s="2" t="inlineStr"/>
    </row>
    <row r="564" ht="15" customHeight="1">
      <c r="A564" t="inlineStr">
        <is>
          <t>A 42623-2025</t>
        </is>
      </c>
      <c r="B564" s="1" t="n">
        <v>45905</v>
      </c>
      <c r="C564" s="1" t="n">
        <v>46003</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16665-2023</t>
        </is>
      </c>
      <c r="B565" s="1" t="n">
        <v>45030.5583912037</v>
      </c>
      <c r="C565" s="1" t="n">
        <v>46003</v>
      </c>
      <c r="D565" t="inlineStr">
        <is>
          <t>ÖSTERGÖTLANDS LÄN</t>
        </is>
      </c>
      <c r="E565" t="inlineStr">
        <is>
          <t>LINKÖPING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49928-2024</t>
        </is>
      </c>
      <c r="B566" s="1" t="n">
        <v>45597.57811342592</v>
      </c>
      <c r="C566" s="1" t="n">
        <v>46003</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60860-2024</t>
        </is>
      </c>
      <c r="B567" s="1" t="n">
        <v>45644.6893287037</v>
      </c>
      <c r="C567" s="1" t="n">
        <v>46003</v>
      </c>
      <c r="D567" t="inlineStr">
        <is>
          <t>ÖSTERGÖTLANDS LÄN</t>
        </is>
      </c>
      <c r="E567" t="inlineStr">
        <is>
          <t>LINKÖPING</t>
        </is>
      </c>
      <c r="G567" t="n">
        <v>1.3</v>
      </c>
      <c r="H567" t="n">
        <v>0</v>
      </c>
      <c r="I567" t="n">
        <v>0</v>
      </c>
      <c r="J567" t="n">
        <v>0</v>
      </c>
      <c r="K567" t="n">
        <v>0</v>
      </c>
      <c r="L567" t="n">
        <v>0</v>
      </c>
      <c r="M567" t="n">
        <v>0</v>
      </c>
      <c r="N567" t="n">
        <v>0</v>
      </c>
      <c r="O567" t="n">
        <v>0</v>
      </c>
      <c r="P567" t="n">
        <v>0</v>
      </c>
      <c r="Q567" t="n">
        <v>0</v>
      </c>
      <c r="R567" s="2" t="inlineStr"/>
    </row>
    <row r="568" ht="15" customHeight="1">
      <c r="A568" t="inlineStr">
        <is>
          <t>A 31640-2023</t>
        </is>
      </c>
      <c r="B568" s="1" t="n">
        <v>45117</v>
      </c>
      <c r="C568" s="1" t="n">
        <v>46003</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16213-2025</t>
        </is>
      </c>
      <c r="B569" s="1" t="n">
        <v>45750.62740740741</v>
      </c>
      <c r="C569" s="1" t="n">
        <v>46003</v>
      </c>
      <c r="D569" t="inlineStr">
        <is>
          <t>ÖSTERGÖTLANDS LÄN</t>
        </is>
      </c>
      <c r="E569" t="inlineStr">
        <is>
          <t>LINKÖPING</t>
        </is>
      </c>
      <c r="G569" t="n">
        <v>3.4</v>
      </c>
      <c r="H569" t="n">
        <v>0</v>
      </c>
      <c r="I569" t="n">
        <v>0</v>
      </c>
      <c r="J569" t="n">
        <v>0</v>
      </c>
      <c r="K569" t="n">
        <v>0</v>
      </c>
      <c r="L569" t="n">
        <v>0</v>
      </c>
      <c r="M569" t="n">
        <v>0</v>
      </c>
      <c r="N569" t="n">
        <v>0</v>
      </c>
      <c r="O569" t="n">
        <v>0</v>
      </c>
      <c r="P569" t="n">
        <v>0</v>
      </c>
      <c r="Q569" t="n">
        <v>0</v>
      </c>
      <c r="R569" s="2" t="inlineStr"/>
    </row>
    <row r="570" ht="15" customHeight="1">
      <c r="A570" t="inlineStr">
        <is>
          <t>A 54845-2023</t>
        </is>
      </c>
      <c r="B570" s="1" t="n">
        <v>45236</v>
      </c>
      <c r="C570" s="1" t="n">
        <v>46003</v>
      </c>
      <c r="D570" t="inlineStr">
        <is>
          <t>ÖSTERGÖTLANDS LÄN</t>
        </is>
      </c>
      <c r="E570" t="inlineStr">
        <is>
          <t>LINKÖPING</t>
        </is>
      </c>
      <c r="F570" t="inlineStr">
        <is>
          <t>Övriga Aktiebolag</t>
        </is>
      </c>
      <c r="G570" t="n">
        <v>5.7</v>
      </c>
      <c r="H570" t="n">
        <v>0</v>
      </c>
      <c r="I570" t="n">
        <v>0</v>
      </c>
      <c r="J570" t="n">
        <v>0</v>
      </c>
      <c r="K570" t="n">
        <v>0</v>
      </c>
      <c r="L570" t="n">
        <v>0</v>
      </c>
      <c r="M570" t="n">
        <v>0</v>
      </c>
      <c r="N570" t="n">
        <v>0</v>
      </c>
      <c r="O570" t="n">
        <v>0</v>
      </c>
      <c r="P570" t="n">
        <v>0</v>
      </c>
      <c r="Q570" t="n">
        <v>0</v>
      </c>
      <c r="R570" s="2" t="inlineStr"/>
    </row>
    <row r="571" ht="15" customHeight="1">
      <c r="A571" t="inlineStr">
        <is>
          <t>A 34872-2023</t>
        </is>
      </c>
      <c r="B571" s="1" t="n">
        <v>45140</v>
      </c>
      <c r="C571" s="1" t="n">
        <v>46003</v>
      </c>
      <c r="D571" t="inlineStr">
        <is>
          <t>ÖSTERGÖTLANDS LÄN</t>
        </is>
      </c>
      <c r="E571" t="inlineStr">
        <is>
          <t>LINKÖPING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46687-2021</t>
        </is>
      </c>
      <c r="B572" s="1" t="n">
        <v>44445</v>
      </c>
      <c r="C572" s="1" t="n">
        <v>46003</v>
      </c>
      <c r="D572" t="inlineStr">
        <is>
          <t>ÖSTERGÖTLANDS LÄN</t>
        </is>
      </c>
      <c r="E572" t="inlineStr">
        <is>
          <t>LINKÖPING</t>
        </is>
      </c>
      <c r="F572" t="inlineStr">
        <is>
          <t>Övriga statliga verk och myndigheter</t>
        </is>
      </c>
      <c r="G572" t="n">
        <v>2.3</v>
      </c>
      <c r="H572" t="n">
        <v>0</v>
      </c>
      <c r="I572" t="n">
        <v>0</v>
      </c>
      <c r="J572" t="n">
        <v>0</v>
      </c>
      <c r="K572" t="n">
        <v>0</v>
      </c>
      <c r="L572" t="n">
        <v>0</v>
      </c>
      <c r="M572" t="n">
        <v>0</v>
      </c>
      <c r="N572" t="n">
        <v>0</v>
      </c>
      <c r="O572" t="n">
        <v>0</v>
      </c>
      <c r="P572" t="n">
        <v>0</v>
      </c>
      <c r="Q572" t="n">
        <v>0</v>
      </c>
      <c r="R572" s="2" t="inlineStr"/>
    </row>
    <row r="573" ht="15" customHeight="1">
      <c r="A573" t="inlineStr">
        <is>
          <t>A 38580-2024</t>
        </is>
      </c>
      <c r="B573" s="1" t="n">
        <v>45546.64825231482</v>
      </c>
      <c r="C573" s="1" t="n">
        <v>46003</v>
      </c>
      <c r="D573" t="inlineStr">
        <is>
          <t>ÖSTERGÖTLANDS LÄN</t>
        </is>
      </c>
      <c r="E573" t="inlineStr">
        <is>
          <t>LINKÖPING</t>
        </is>
      </c>
      <c r="G573" t="n">
        <v>4.8</v>
      </c>
      <c r="H573" t="n">
        <v>0</v>
      </c>
      <c r="I573" t="n">
        <v>0</v>
      </c>
      <c r="J573" t="n">
        <v>0</v>
      </c>
      <c r="K573" t="n">
        <v>0</v>
      </c>
      <c r="L573" t="n">
        <v>0</v>
      </c>
      <c r="M573" t="n">
        <v>0</v>
      </c>
      <c r="N573" t="n">
        <v>0</v>
      </c>
      <c r="O573" t="n">
        <v>0</v>
      </c>
      <c r="P573" t="n">
        <v>0</v>
      </c>
      <c r="Q573" t="n">
        <v>0</v>
      </c>
      <c r="R573" s="2" t="inlineStr"/>
    </row>
    <row r="574" ht="15" customHeight="1">
      <c r="A574" t="inlineStr">
        <is>
          <t>A 42624-2025</t>
        </is>
      </c>
      <c r="B574" s="1" t="n">
        <v>45905</v>
      </c>
      <c r="C574" s="1" t="n">
        <v>46003</v>
      </c>
      <c r="D574" t="inlineStr">
        <is>
          <t>ÖSTERGÖTLANDS LÄN</t>
        </is>
      </c>
      <c r="E574" t="inlineStr">
        <is>
          <t>LINKÖPING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42626-2025</t>
        </is>
      </c>
      <c r="B575" s="1" t="n">
        <v>45905</v>
      </c>
      <c r="C575" s="1" t="n">
        <v>46003</v>
      </c>
      <c r="D575" t="inlineStr">
        <is>
          <t>ÖSTERGÖTLANDS LÄN</t>
        </is>
      </c>
      <c r="E575" t="inlineStr">
        <is>
          <t>LINKÖPING</t>
        </is>
      </c>
      <c r="G575" t="n">
        <v>3.6</v>
      </c>
      <c r="H575" t="n">
        <v>0</v>
      </c>
      <c r="I575" t="n">
        <v>0</v>
      </c>
      <c r="J575" t="n">
        <v>0</v>
      </c>
      <c r="K575" t="n">
        <v>0</v>
      </c>
      <c r="L575" t="n">
        <v>0</v>
      </c>
      <c r="M575" t="n">
        <v>0</v>
      </c>
      <c r="N575" t="n">
        <v>0</v>
      </c>
      <c r="O575" t="n">
        <v>0</v>
      </c>
      <c r="P575" t="n">
        <v>0</v>
      </c>
      <c r="Q575" t="n">
        <v>0</v>
      </c>
      <c r="R575" s="2" t="inlineStr"/>
    </row>
    <row r="576" ht="15" customHeight="1">
      <c r="A576" t="inlineStr">
        <is>
          <t>A 33000-2023</t>
        </is>
      </c>
      <c r="B576" s="1" t="n">
        <v>45125</v>
      </c>
      <c r="C576" s="1" t="n">
        <v>46003</v>
      </c>
      <c r="D576" t="inlineStr">
        <is>
          <t>ÖSTERGÖTLANDS LÄN</t>
        </is>
      </c>
      <c r="E576" t="inlineStr">
        <is>
          <t>LINKÖPING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30855-2022</t>
        </is>
      </c>
      <c r="B577" s="1" t="n">
        <v>44767</v>
      </c>
      <c r="C577" s="1" t="n">
        <v>46003</v>
      </c>
      <c r="D577" t="inlineStr">
        <is>
          <t>ÖSTERGÖTLANDS LÄN</t>
        </is>
      </c>
      <c r="E577" t="inlineStr">
        <is>
          <t>LINKÖPING</t>
        </is>
      </c>
      <c r="G577" t="n">
        <v>2.2</v>
      </c>
      <c r="H577" t="n">
        <v>0</v>
      </c>
      <c r="I577" t="n">
        <v>0</v>
      </c>
      <c r="J577" t="n">
        <v>0</v>
      </c>
      <c r="K577" t="n">
        <v>0</v>
      </c>
      <c r="L577" t="n">
        <v>0</v>
      </c>
      <c r="M577" t="n">
        <v>0</v>
      </c>
      <c r="N577" t="n">
        <v>0</v>
      </c>
      <c r="O577" t="n">
        <v>0</v>
      </c>
      <c r="P577" t="n">
        <v>0</v>
      </c>
      <c r="Q577" t="n">
        <v>0</v>
      </c>
      <c r="R577" s="2" t="inlineStr"/>
    </row>
    <row r="578" ht="15" customHeight="1">
      <c r="A578" t="inlineStr">
        <is>
          <t>A 572-2025</t>
        </is>
      </c>
      <c r="B578" s="1" t="n">
        <v>45664.56349537037</v>
      </c>
      <c r="C578" s="1" t="n">
        <v>46003</v>
      </c>
      <c r="D578" t="inlineStr">
        <is>
          <t>ÖSTERGÖTLANDS LÄN</t>
        </is>
      </c>
      <c r="E578" t="inlineStr">
        <is>
          <t>LINKÖPING</t>
        </is>
      </c>
      <c r="G578" t="n">
        <v>1.3</v>
      </c>
      <c r="H578" t="n">
        <v>0</v>
      </c>
      <c r="I578" t="n">
        <v>0</v>
      </c>
      <c r="J578" t="n">
        <v>0</v>
      </c>
      <c r="K578" t="n">
        <v>0</v>
      </c>
      <c r="L578" t="n">
        <v>0</v>
      </c>
      <c r="M578" t="n">
        <v>0</v>
      </c>
      <c r="N578" t="n">
        <v>0</v>
      </c>
      <c r="O578" t="n">
        <v>0</v>
      </c>
      <c r="P578" t="n">
        <v>0</v>
      </c>
      <c r="Q578" t="n">
        <v>0</v>
      </c>
      <c r="R578" s="2" t="inlineStr"/>
    </row>
    <row r="579" ht="15" customHeight="1">
      <c r="A579" t="inlineStr">
        <is>
          <t>A 1355-2023</t>
        </is>
      </c>
      <c r="B579" s="1" t="n">
        <v>44931</v>
      </c>
      <c r="C579" s="1" t="n">
        <v>46003</v>
      </c>
      <c r="D579" t="inlineStr">
        <is>
          <t>ÖSTERGÖTLANDS LÄN</t>
        </is>
      </c>
      <c r="E579" t="inlineStr">
        <is>
          <t>LINKÖPING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27844-2024</t>
        </is>
      </c>
      <c r="B580" s="1" t="n">
        <v>45475.63047453704</v>
      </c>
      <c r="C580" s="1" t="n">
        <v>46003</v>
      </c>
      <c r="D580" t="inlineStr">
        <is>
          <t>ÖSTERGÖTLANDS LÄN</t>
        </is>
      </c>
      <c r="E580" t="inlineStr">
        <is>
          <t>LINKÖPING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22364-2025</t>
        </is>
      </c>
      <c r="B581" s="1" t="n">
        <v>45786.46930555555</v>
      </c>
      <c r="C581" s="1" t="n">
        <v>46003</v>
      </c>
      <c r="D581" t="inlineStr">
        <is>
          <t>ÖSTERGÖTLANDS LÄN</t>
        </is>
      </c>
      <c r="E581" t="inlineStr">
        <is>
          <t>LINKÖPING</t>
        </is>
      </c>
      <c r="G581" t="n">
        <v>2.2</v>
      </c>
      <c r="H581" t="n">
        <v>0</v>
      </c>
      <c r="I581" t="n">
        <v>0</v>
      </c>
      <c r="J581" t="n">
        <v>0</v>
      </c>
      <c r="K581" t="n">
        <v>0</v>
      </c>
      <c r="L581" t="n">
        <v>0</v>
      </c>
      <c r="M581" t="n">
        <v>0</v>
      </c>
      <c r="N581" t="n">
        <v>0</v>
      </c>
      <c r="O581" t="n">
        <v>0</v>
      </c>
      <c r="P581" t="n">
        <v>0</v>
      </c>
      <c r="Q581" t="n">
        <v>0</v>
      </c>
      <c r="R581" s="2" t="inlineStr"/>
    </row>
    <row r="582" ht="15" customHeight="1">
      <c r="A582" t="inlineStr">
        <is>
          <t>A 2997-2025</t>
        </is>
      </c>
      <c r="B582" s="1" t="n">
        <v>45678.54631944445</v>
      </c>
      <c r="C582" s="1" t="n">
        <v>46003</v>
      </c>
      <c r="D582" t="inlineStr">
        <is>
          <t>ÖSTERGÖTLANDS LÄN</t>
        </is>
      </c>
      <c r="E582" t="inlineStr">
        <is>
          <t>LINKÖPING</t>
        </is>
      </c>
      <c r="G582" t="n">
        <v>2.7</v>
      </c>
      <c r="H582" t="n">
        <v>0</v>
      </c>
      <c r="I582" t="n">
        <v>0</v>
      </c>
      <c r="J582" t="n">
        <v>0</v>
      </c>
      <c r="K582" t="n">
        <v>0</v>
      </c>
      <c r="L582" t="n">
        <v>0</v>
      </c>
      <c r="M582" t="n">
        <v>0</v>
      </c>
      <c r="N582" t="n">
        <v>0</v>
      </c>
      <c r="O582" t="n">
        <v>0</v>
      </c>
      <c r="P582" t="n">
        <v>0</v>
      </c>
      <c r="Q582" t="n">
        <v>0</v>
      </c>
      <c r="R582" s="2" t="inlineStr"/>
    </row>
    <row r="583" ht="15" customHeight="1">
      <c r="A583" t="inlineStr">
        <is>
          <t>A 31534-2023</t>
        </is>
      </c>
      <c r="B583" s="1" t="n">
        <v>45116</v>
      </c>
      <c r="C583" s="1" t="n">
        <v>46003</v>
      </c>
      <c r="D583" t="inlineStr">
        <is>
          <t>ÖSTERGÖTLANDS LÄN</t>
        </is>
      </c>
      <c r="E583" t="inlineStr">
        <is>
          <t>LINKÖPING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26803-2024</t>
        </is>
      </c>
      <c r="B584" s="1" t="n">
        <v>45470</v>
      </c>
      <c r="C584" s="1" t="n">
        <v>46003</v>
      </c>
      <c r="D584" t="inlineStr">
        <is>
          <t>ÖSTERGÖTLANDS LÄN</t>
        </is>
      </c>
      <c r="E584" t="inlineStr">
        <is>
          <t>LINKÖPING</t>
        </is>
      </c>
      <c r="F584" t="inlineStr">
        <is>
          <t>Allmännings- och besparingsskogar</t>
        </is>
      </c>
      <c r="G584" t="n">
        <v>4.5</v>
      </c>
      <c r="H584" t="n">
        <v>0</v>
      </c>
      <c r="I584" t="n">
        <v>0</v>
      </c>
      <c r="J584" t="n">
        <v>0</v>
      </c>
      <c r="K584" t="n">
        <v>0</v>
      </c>
      <c r="L584" t="n">
        <v>0</v>
      </c>
      <c r="M584" t="n">
        <v>0</v>
      </c>
      <c r="N584" t="n">
        <v>0</v>
      </c>
      <c r="O584" t="n">
        <v>0</v>
      </c>
      <c r="P584" t="n">
        <v>0</v>
      </c>
      <c r="Q584" t="n">
        <v>0</v>
      </c>
      <c r="R584" s="2" t="inlineStr"/>
    </row>
    <row r="585" ht="15" customHeight="1">
      <c r="A585" t="inlineStr">
        <is>
          <t>A 45806-2024</t>
        </is>
      </c>
      <c r="B585" s="1" t="n">
        <v>45579.69619212963</v>
      </c>
      <c r="C585" s="1" t="n">
        <v>46003</v>
      </c>
      <c r="D585" t="inlineStr">
        <is>
          <t>ÖSTERGÖTLANDS LÄN</t>
        </is>
      </c>
      <c r="E585" t="inlineStr">
        <is>
          <t>LINKÖPING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10741-2023</t>
        </is>
      </c>
      <c r="B586" s="1" t="n">
        <v>44988.70084490741</v>
      </c>
      <c r="C586" s="1" t="n">
        <v>46003</v>
      </c>
      <c r="D586" t="inlineStr">
        <is>
          <t>ÖSTERGÖTLANDS LÄN</t>
        </is>
      </c>
      <c r="E586" t="inlineStr">
        <is>
          <t>LINKÖPING</t>
        </is>
      </c>
      <c r="F586" t="inlineStr">
        <is>
          <t>Allmännings- och besparingsskogar</t>
        </is>
      </c>
      <c r="G586" t="n">
        <v>11.2</v>
      </c>
      <c r="H586" t="n">
        <v>0</v>
      </c>
      <c r="I586" t="n">
        <v>0</v>
      </c>
      <c r="J586" t="n">
        <v>0</v>
      </c>
      <c r="K586" t="n">
        <v>0</v>
      </c>
      <c r="L586" t="n">
        <v>0</v>
      </c>
      <c r="M586" t="n">
        <v>0</v>
      </c>
      <c r="N586" t="n">
        <v>0</v>
      </c>
      <c r="O586" t="n">
        <v>0</v>
      </c>
      <c r="P586" t="n">
        <v>0</v>
      </c>
      <c r="Q586" t="n">
        <v>0</v>
      </c>
      <c r="R586" s="2" t="inlineStr"/>
    </row>
    <row r="587" ht="15" customHeight="1">
      <c r="A587" t="inlineStr">
        <is>
          <t>A 50963-2021</t>
        </is>
      </c>
      <c r="B587" s="1" t="n">
        <v>44460</v>
      </c>
      <c r="C587" s="1" t="n">
        <v>46003</v>
      </c>
      <c r="D587" t="inlineStr">
        <is>
          <t>ÖSTERGÖTLANDS LÄN</t>
        </is>
      </c>
      <c r="E587" t="inlineStr">
        <is>
          <t>LINKÖPING</t>
        </is>
      </c>
      <c r="G587" t="n">
        <v>4.4</v>
      </c>
      <c r="H587" t="n">
        <v>0</v>
      </c>
      <c r="I587" t="n">
        <v>0</v>
      </c>
      <c r="J587" t="n">
        <v>0</v>
      </c>
      <c r="K587" t="n">
        <v>0</v>
      </c>
      <c r="L587" t="n">
        <v>0</v>
      </c>
      <c r="M587" t="n">
        <v>0</v>
      </c>
      <c r="N587" t="n">
        <v>0</v>
      </c>
      <c r="O587" t="n">
        <v>0</v>
      </c>
      <c r="P587" t="n">
        <v>0</v>
      </c>
      <c r="Q587" t="n">
        <v>0</v>
      </c>
      <c r="R587" s="2" t="inlineStr"/>
    </row>
    <row r="588" ht="15" customHeight="1">
      <c r="A588" t="inlineStr">
        <is>
          <t>A 44287-2024</t>
        </is>
      </c>
      <c r="B588" s="1" t="n">
        <v>45573.50582175926</v>
      </c>
      <c r="C588" s="1" t="n">
        <v>46003</v>
      </c>
      <c r="D588" t="inlineStr">
        <is>
          <t>ÖSTERGÖTLANDS LÄN</t>
        </is>
      </c>
      <c r="E588" t="inlineStr">
        <is>
          <t>LINKÖPING</t>
        </is>
      </c>
      <c r="G588" t="n">
        <v>12.7</v>
      </c>
      <c r="H588" t="n">
        <v>0</v>
      </c>
      <c r="I588" t="n">
        <v>0</v>
      </c>
      <c r="J588" t="n">
        <v>0</v>
      </c>
      <c r="K588" t="n">
        <v>0</v>
      </c>
      <c r="L588" t="n">
        <v>0</v>
      </c>
      <c r="M588" t="n">
        <v>0</v>
      </c>
      <c r="N588" t="n">
        <v>0</v>
      </c>
      <c r="O588" t="n">
        <v>0</v>
      </c>
      <c r="P588" t="n">
        <v>0</v>
      </c>
      <c r="Q588" t="n">
        <v>0</v>
      </c>
      <c r="R588" s="2" t="inlineStr"/>
    </row>
    <row r="589" ht="15" customHeight="1">
      <c r="A589" t="inlineStr">
        <is>
          <t>A 45821-2024</t>
        </is>
      </c>
      <c r="B589" s="1" t="n">
        <v>45579.75803240741</v>
      </c>
      <c r="C589" s="1" t="n">
        <v>46003</v>
      </c>
      <c r="D589" t="inlineStr">
        <is>
          <t>ÖSTERGÖTLANDS LÄN</t>
        </is>
      </c>
      <c r="E589" t="inlineStr">
        <is>
          <t>LINKÖPING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37154-2023</t>
        </is>
      </c>
      <c r="B590" s="1" t="n">
        <v>45155</v>
      </c>
      <c r="C590" s="1" t="n">
        <v>46003</v>
      </c>
      <c r="D590" t="inlineStr">
        <is>
          <t>ÖSTERGÖTLANDS LÄN</t>
        </is>
      </c>
      <c r="E590" t="inlineStr">
        <is>
          <t>LINKÖPING</t>
        </is>
      </c>
      <c r="G590" t="n">
        <v>1.7</v>
      </c>
      <c r="H590" t="n">
        <v>0</v>
      </c>
      <c r="I590" t="n">
        <v>0</v>
      </c>
      <c r="J590" t="n">
        <v>0</v>
      </c>
      <c r="K590" t="n">
        <v>0</v>
      </c>
      <c r="L590" t="n">
        <v>0</v>
      </c>
      <c r="M590" t="n">
        <v>0</v>
      </c>
      <c r="N590" t="n">
        <v>0</v>
      </c>
      <c r="O590" t="n">
        <v>0</v>
      </c>
      <c r="P590" t="n">
        <v>0</v>
      </c>
      <c r="Q590" t="n">
        <v>0</v>
      </c>
      <c r="R590" s="2" t="inlineStr"/>
    </row>
    <row r="591" ht="15" customHeight="1">
      <c r="A591" t="inlineStr">
        <is>
          <t>A 61936-2023</t>
        </is>
      </c>
      <c r="B591" s="1" t="n">
        <v>45266.54534722222</v>
      </c>
      <c r="C591" s="1" t="n">
        <v>46003</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1263-2024</t>
        </is>
      </c>
      <c r="B592" s="1" t="n">
        <v>45302</v>
      </c>
      <c r="C592" s="1" t="n">
        <v>46003</v>
      </c>
      <c r="D592" t="inlineStr">
        <is>
          <t>ÖSTERGÖTLANDS LÄN</t>
        </is>
      </c>
      <c r="E592" t="inlineStr">
        <is>
          <t>LINKÖPING</t>
        </is>
      </c>
      <c r="G592" t="n">
        <v>1.8</v>
      </c>
      <c r="H592" t="n">
        <v>0</v>
      </c>
      <c r="I592" t="n">
        <v>0</v>
      </c>
      <c r="J592" t="n">
        <v>0</v>
      </c>
      <c r="K592" t="n">
        <v>0</v>
      </c>
      <c r="L592" t="n">
        <v>0</v>
      </c>
      <c r="M592" t="n">
        <v>0</v>
      </c>
      <c r="N592" t="n">
        <v>0</v>
      </c>
      <c r="O592" t="n">
        <v>0</v>
      </c>
      <c r="P592" t="n">
        <v>0</v>
      </c>
      <c r="Q592" t="n">
        <v>0</v>
      </c>
      <c r="R592" s="2" t="inlineStr"/>
    </row>
    <row r="593" ht="15" customHeight="1">
      <c r="A593" t="inlineStr">
        <is>
          <t>A 11330-2023</t>
        </is>
      </c>
      <c r="B593" s="1" t="n">
        <v>44993.24648148148</v>
      </c>
      <c r="C593" s="1" t="n">
        <v>46003</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42000-2023</t>
        </is>
      </c>
      <c r="B594" s="1" t="n">
        <v>45177</v>
      </c>
      <c r="C594" s="1" t="n">
        <v>46003</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24464-2023</t>
        </is>
      </c>
      <c r="B595" s="1" t="n">
        <v>45082.58068287037</v>
      </c>
      <c r="C595" s="1" t="n">
        <v>46003</v>
      </c>
      <c r="D595" t="inlineStr">
        <is>
          <t>ÖSTERGÖTLANDS LÄN</t>
        </is>
      </c>
      <c r="E595" t="inlineStr">
        <is>
          <t>LINKÖPING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43755-2025</t>
        </is>
      </c>
      <c r="B596" s="1" t="n">
        <v>45912.47329861111</v>
      </c>
      <c r="C596" s="1" t="n">
        <v>46003</v>
      </c>
      <c r="D596" t="inlineStr">
        <is>
          <t>ÖSTERGÖTLANDS LÄN</t>
        </is>
      </c>
      <c r="E596" t="inlineStr">
        <is>
          <t>LINKÖPING</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48389-2024</t>
        </is>
      </c>
      <c r="B597" s="1" t="n">
        <v>45590.59991898148</v>
      </c>
      <c r="C597" s="1" t="n">
        <v>46003</v>
      </c>
      <c r="D597" t="inlineStr">
        <is>
          <t>ÖSTERGÖTLANDS LÄN</t>
        </is>
      </c>
      <c r="E597" t="inlineStr">
        <is>
          <t>LINKÖPING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61281-2021</t>
        </is>
      </c>
      <c r="B598" s="1" t="n">
        <v>44498.60736111111</v>
      </c>
      <c r="C598" s="1" t="n">
        <v>46003</v>
      </c>
      <c r="D598" t="inlineStr">
        <is>
          <t>ÖSTERGÖTLANDS LÄN</t>
        </is>
      </c>
      <c r="E598" t="inlineStr">
        <is>
          <t>LINKÖPING</t>
        </is>
      </c>
      <c r="G598" t="n">
        <v>4.5</v>
      </c>
      <c r="H598" t="n">
        <v>0</v>
      </c>
      <c r="I598" t="n">
        <v>0</v>
      </c>
      <c r="J598" t="n">
        <v>0</v>
      </c>
      <c r="K598" t="n">
        <v>0</v>
      </c>
      <c r="L598" t="n">
        <v>0</v>
      </c>
      <c r="M598" t="n">
        <v>0</v>
      </c>
      <c r="N598" t="n">
        <v>0</v>
      </c>
      <c r="O598" t="n">
        <v>0</v>
      </c>
      <c r="P598" t="n">
        <v>0</v>
      </c>
      <c r="Q598" t="n">
        <v>0</v>
      </c>
      <c r="R598" s="2" t="inlineStr"/>
    </row>
    <row r="599" ht="15" customHeight="1">
      <c r="A599" t="inlineStr">
        <is>
          <t>A 43753-2025</t>
        </is>
      </c>
      <c r="B599" s="1" t="n">
        <v>45912.4715625</v>
      </c>
      <c r="C599" s="1" t="n">
        <v>46003</v>
      </c>
      <c r="D599" t="inlineStr">
        <is>
          <t>ÖSTERGÖTLANDS LÄN</t>
        </is>
      </c>
      <c r="E599" t="inlineStr">
        <is>
          <t>LINKÖPING</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43758-2025</t>
        </is>
      </c>
      <c r="B600" s="1" t="n">
        <v>45912.47711805555</v>
      </c>
      <c r="C600" s="1" t="n">
        <v>46003</v>
      </c>
      <c r="D600" t="inlineStr">
        <is>
          <t>ÖSTERGÖTLANDS LÄN</t>
        </is>
      </c>
      <c r="E600" t="inlineStr">
        <is>
          <t>LINKÖPING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44170-2025</t>
        </is>
      </c>
      <c r="B601" s="1" t="n">
        <v>45915.59864583334</v>
      </c>
      <c r="C601" s="1" t="n">
        <v>46003</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6369-2023</t>
        </is>
      </c>
      <c r="B602" s="1" t="n">
        <v>44965.61106481482</v>
      </c>
      <c r="C602" s="1" t="n">
        <v>46003</v>
      </c>
      <c r="D602" t="inlineStr">
        <is>
          <t>ÖSTERGÖTLANDS LÄN</t>
        </is>
      </c>
      <c r="E602" t="inlineStr">
        <is>
          <t>LINKÖPING</t>
        </is>
      </c>
      <c r="G602" t="n">
        <v>4</v>
      </c>
      <c r="H602" t="n">
        <v>0</v>
      </c>
      <c r="I602" t="n">
        <v>0</v>
      </c>
      <c r="J602" t="n">
        <v>0</v>
      </c>
      <c r="K602" t="n">
        <v>0</v>
      </c>
      <c r="L602" t="n">
        <v>0</v>
      </c>
      <c r="M602" t="n">
        <v>0</v>
      </c>
      <c r="N602" t="n">
        <v>0</v>
      </c>
      <c r="O602" t="n">
        <v>0</v>
      </c>
      <c r="P602" t="n">
        <v>0</v>
      </c>
      <c r="Q602" t="n">
        <v>0</v>
      </c>
      <c r="R602" s="2" t="inlineStr"/>
    </row>
    <row r="603" ht="15" customHeight="1">
      <c r="A603" t="inlineStr">
        <is>
          <t>A 32602-2022</t>
        </is>
      </c>
      <c r="B603" s="1" t="n">
        <v>44783.43192129629</v>
      </c>
      <c r="C603" s="1" t="n">
        <v>46003</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29312-2024</t>
        </is>
      </c>
      <c r="B604" s="1" t="n">
        <v>45483</v>
      </c>
      <c r="C604" s="1" t="n">
        <v>46003</v>
      </c>
      <c r="D604" t="inlineStr">
        <is>
          <t>ÖSTERGÖTLANDS LÄN</t>
        </is>
      </c>
      <c r="E604" t="inlineStr">
        <is>
          <t>LINKÖPING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10094-2024</t>
        </is>
      </c>
      <c r="B605" s="1" t="n">
        <v>45364</v>
      </c>
      <c r="C605" s="1" t="n">
        <v>46003</v>
      </c>
      <c r="D605" t="inlineStr">
        <is>
          <t>ÖSTERGÖTLANDS LÄN</t>
        </is>
      </c>
      <c r="E605" t="inlineStr">
        <is>
          <t>LINKÖPING</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1207-2023</t>
        </is>
      </c>
      <c r="B606" s="1" t="n">
        <v>44930</v>
      </c>
      <c r="C606" s="1" t="n">
        <v>46003</v>
      </c>
      <c r="D606" t="inlineStr">
        <is>
          <t>ÖSTERGÖTLANDS LÄN</t>
        </is>
      </c>
      <c r="E606" t="inlineStr">
        <is>
          <t>LINKÖPING</t>
        </is>
      </c>
      <c r="F606" t="inlineStr">
        <is>
          <t>Övriga statliga verk och myndigheter</t>
        </is>
      </c>
      <c r="G606" t="n">
        <v>32.8</v>
      </c>
      <c r="H606" t="n">
        <v>0</v>
      </c>
      <c r="I606" t="n">
        <v>0</v>
      </c>
      <c r="J606" t="n">
        <v>0</v>
      </c>
      <c r="K606" t="n">
        <v>0</v>
      </c>
      <c r="L606" t="n">
        <v>0</v>
      </c>
      <c r="M606" t="n">
        <v>0</v>
      </c>
      <c r="N606" t="n">
        <v>0</v>
      </c>
      <c r="O606" t="n">
        <v>0</v>
      </c>
      <c r="P606" t="n">
        <v>0</v>
      </c>
      <c r="Q606" t="n">
        <v>0</v>
      </c>
      <c r="R606" s="2" t="inlineStr"/>
    </row>
    <row r="607" ht="15" customHeight="1">
      <c r="A607" t="inlineStr">
        <is>
          <t>A 62015-2024</t>
        </is>
      </c>
      <c r="B607" s="1" t="n">
        <v>45655.80457175926</v>
      </c>
      <c r="C607" s="1" t="n">
        <v>46003</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62020-2024</t>
        </is>
      </c>
      <c r="B608" s="1" t="n">
        <v>45655.83563657408</v>
      </c>
      <c r="C608" s="1" t="n">
        <v>46003</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62021-2024</t>
        </is>
      </c>
      <c r="B609" s="1" t="n">
        <v>45655.84232638889</v>
      </c>
      <c r="C609" s="1" t="n">
        <v>46003</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27891-2021</t>
        </is>
      </c>
      <c r="B610" s="1" t="n">
        <v>44354.65108796296</v>
      </c>
      <c r="C610" s="1" t="n">
        <v>46003</v>
      </c>
      <c r="D610" t="inlineStr">
        <is>
          <t>ÖSTERGÖTLANDS LÄN</t>
        </is>
      </c>
      <c r="E610" t="inlineStr">
        <is>
          <t>LINKÖPING</t>
        </is>
      </c>
      <c r="G610" t="n">
        <v>1.8</v>
      </c>
      <c r="H610" t="n">
        <v>0</v>
      </c>
      <c r="I610" t="n">
        <v>0</v>
      </c>
      <c r="J610" t="n">
        <v>0</v>
      </c>
      <c r="K610" t="n">
        <v>0</v>
      </c>
      <c r="L610" t="n">
        <v>0</v>
      </c>
      <c r="M610" t="n">
        <v>0</v>
      </c>
      <c r="N610" t="n">
        <v>0</v>
      </c>
      <c r="O610" t="n">
        <v>0</v>
      </c>
      <c r="P610" t="n">
        <v>0</v>
      </c>
      <c r="Q610" t="n">
        <v>0</v>
      </c>
      <c r="R610" s="2" t="inlineStr"/>
    </row>
    <row r="611" ht="15" customHeight="1">
      <c r="A611" t="inlineStr">
        <is>
          <t>A 44759-2025</t>
        </is>
      </c>
      <c r="B611" s="1" t="n">
        <v>45917.7152662037</v>
      </c>
      <c r="C611" s="1" t="n">
        <v>46003</v>
      </c>
      <c r="D611" t="inlineStr">
        <is>
          <t>ÖSTERGÖTLANDS LÄN</t>
        </is>
      </c>
      <c r="E611" t="inlineStr">
        <is>
          <t>LINKÖPING</t>
        </is>
      </c>
      <c r="G611" t="n">
        <v>1.6</v>
      </c>
      <c r="H611" t="n">
        <v>0</v>
      </c>
      <c r="I611" t="n">
        <v>0</v>
      </c>
      <c r="J611" t="n">
        <v>0</v>
      </c>
      <c r="K611" t="n">
        <v>0</v>
      </c>
      <c r="L611" t="n">
        <v>0</v>
      </c>
      <c r="M611" t="n">
        <v>0</v>
      </c>
      <c r="N611" t="n">
        <v>0</v>
      </c>
      <c r="O611" t="n">
        <v>0</v>
      </c>
      <c r="P611" t="n">
        <v>0</v>
      </c>
      <c r="Q611" t="n">
        <v>0</v>
      </c>
      <c r="R611" s="2" t="inlineStr"/>
    </row>
    <row r="612" ht="15" customHeight="1">
      <c r="A612" t="inlineStr">
        <is>
          <t>A 44764-2025</t>
        </is>
      </c>
      <c r="B612" s="1" t="n">
        <v>45917.72821759259</v>
      </c>
      <c r="C612" s="1" t="n">
        <v>46003</v>
      </c>
      <c r="D612" t="inlineStr">
        <is>
          <t>ÖSTERGÖTLANDS LÄN</t>
        </is>
      </c>
      <c r="E612" t="inlineStr">
        <is>
          <t>LINKÖPING</t>
        </is>
      </c>
      <c r="G612" t="n">
        <v>0.9</v>
      </c>
      <c r="H612" t="n">
        <v>0</v>
      </c>
      <c r="I612" t="n">
        <v>0</v>
      </c>
      <c r="J612" t="n">
        <v>0</v>
      </c>
      <c r="K612" t="n">
        <v>0</v>
      </c>
      <c r="L612" t="n">
        <v>0</v>
      </c>
      <c r="M612" t="n">
        <v>0</v>
      </c>
      <c r="N612" t="n">
        <v>0</v>
      </c>
      <c r="O612" t="n">
        <v>0</v>
      </c>
      <c r="P612" t="n">
        <v>0</v>
      </c>
      <c r="Q612" t="n">
        <v>0</v>
      </c>
      <c r="R612" s="2" t="inlineStr"/>
    </row>
    <row r="613" ht="15" customHeight="1">
      <c r="A613" t="inlineStr">
        <is>
          <t>A 57391-2023</t>
        </is>
      </c>
      <c r="B613" s="1" t="n">
        <v>45245</v>
      </c>
      <c r="C613" s="1" t="n">
        <v>46003</v>
      </c>
      <c r="D613" t="inlineStr">
        <is>
          <t>ÖSTERGÖTLANDS LÄN</t>
        </is>
      </c>
      <c r="E613" t="inlineStr">
        <is>
          <t>LINKÖPING</t>
        </is>
      </c>
      <c r="F613" t="inlineStr">
        <is>
          <t>Övriga Aktiebolag</t>
        </is>
      </c>
      <c r="G613" t="n">
        <v>1.7</v>
      </c>
      <c r="H613" t="n">
        <v>0</v>
      </c>
      <c r="I613" t="n">
        <v>0</v>
      </c>
      <c r="J613" t="n">
        <v>0</v>
      </c>
      <c r="K613" t="n">
        <v>0</v>
      </c>
      <c r="L613" t="n">
        <v>0</v>
      </c>
      <c r="M613" t="n">
        <v>0</v>
      </c>
      <c r="N613" t="n">
        <v>0</v>
      </c>
      <c r="O613" t="n">
        <v>0</v>
      </c>
      <c r="P613" t="n">
        <v>0</v>
      </c>
      <c r="Q613" t="n">
        <v>0</v>
      </c>
      <c r="R613" s="2" t="inlineStr"/>
    </row>
    <row r="614" ht="15" customHeight="1">
      <c r="A614" t="inlineStr">
        <is>
          <t>A 20294-2025</t>
        </is>
      </c>
      <c r="B614" s="1" t="n">
        <v>45774.74667824074</v>
      </c>
      <c r="C614" s="1" t="n">
        <v>46003</v>
      </c>
      <c r="D614" t="inlineStr">
        <is>
          <t>ÖSTERGÖTLANDS LÄN</t>
        </is>
      </c>
      <c r="E614" t="inlineStr">
        <is>
          <t>LINKÖPING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60013-2022</t>
        </is>
      </c>
      <c r="B615" s="1" t="n">
        <v>44909.47482638889</v>
      </c>
      <c r="C615" s="1" t="n">
        <v>46003</v>
      </c>
      <c r="D615" t="inlineStr">
        <is>
          <t>ÖSTERGÖTLANDS LÄN</t>
        </is>
      </c>
      <c r="E615" t="inlineStr">
        <is>
          <t>LINKÖPING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3007-2025</t>
        </is>
      </c>
      <c r="B616" s="1" t="n">
        <v>45678.56328703704</v>
      </c>
      <c r="C616" s="1" t="n">
        <v>46003</v>
      </c>
      <c r="D616" t="inlineStr">
        <is>
          <t>ÖSTERGÖTLANDS LÄN</t>
        </is>
      </c>
      <c r="E616" t="inlineStr">
        <is>
          <t>LINKÖPING</t>
        </is>
      </c>
      <c r="G616" t="n">
        <v>3.1</v>
      </c>
      <c r="H616" t="n">
        <v>0</v>
      </c>
      <c r="I616" t="n">
        <v>0</v>
      </c>
      <c r="J616" t="n">
        <v>0</v>
      </c>
      <c r="K616" t="n">
        <v>0</v>
      </c>
      <c r="L616" t="n">
        <v>0</v>
      </c>
      <c r="M616" t="n">
        <v>0</v>
      </c>
      <c r="N616" t="n">
        <v>0</v>
      </c>
      <c r="O616" t="n">
        <v>0</v>
      </c>
      <c r="P616" t="n">
        <v>0</v>
      </c>
      <c r="Q616" t="n">
        <v>0</v>
      </c>
      <c r="R616" s="2" t="inlineStr"/>
    </row>
    <row r="617" ht="15" customHeight="1">
      <c r="A617" t="inlineStr">
        <is>
          <t>A 34877-2023</t>
        </is>
      </c>
      <c r="B617" s="1" t="n">
        <v>45140</v>
      </c>
      <c r="C617" s="1" t="n">
        <v>46003</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1924-2024</t>
        </is>
      </c>
      <c r="B618" s="1" t="n">
        <v>45308</v>
      </c>
      <c r="C618" s="1" t="n">
        <v>46003</v>
      </c>
      <c r="D618" t="inlineStr">
        <is>
          <t>ÖSTERGÖTLANDS LÄN</t>
        </is>
      </c>
      <c r="E618" t="inlineStr">
        <is>
          <t>LINKÖPING</t>
        </is>
      </c>
      <c r="F618" t="inlineStr">
        <is>
          <t>Övriga Aktiebolag</t>
        </is>
      </c>
      <c r="G618" t="n">
        <v>0.5</v>
      </c>
      <c r="H618" t="n">
        <v>0</v>
      </c>
      <c r="I618" t="n">
        <v>0</v>
      </c>
      <c r="J618" t="n">
        <v>0</v>
      </c>
      <c r="K618" t="n">
        <v>0</v>
      </c>
      <c r="L618" t="n">
        <v>0</v>
      </c>
      <c r="M618" t="n">
        <v>0</v>
      </c>
      <c r="N618" t="n">
        <v>0</v>
      </c>
      <c r="O618" t="n">
        <v>0</v>
      </c>
      <c r="P618" t="n">
        <v>0</v>
      </c>
      <c r="Q618" t="n">
        <v>0</v>
      </c>
      <c r="R618" s="2" t="inlineStr"/>
    </row>
    <row r="619" ht="15" customHeight="1">
      <c r="A619" t="inlineStr">
        <is>
          <t>A 23120-2025</t>
        </is>
      </c>
      <c r="B619" s="1" t="n">
        <v>45791.37481481482</v>
      </c>
      <c r="C619" s="1" t="n">
        <v>46003</v>
      </c>
      <c r="D619" t="inlineStr">
        <is>
          <t>ÖSTERGÖTLANDS LÄN</t>
        </is>
      </c>
      <c r="E619" t="inlineStr">
        <is>
          <t>LINKÖPING</t>
        </is>
      </c>
      <c r="G619" t="n">
        <v>2.9</v>
      </c>
      <c r="H619" t="n">
        <v>0</v>
      </c>
      <c r="I619" t="n">
        <v>0</v>
      </c>
      <c r="J619" t="n">
        <v>0</v>
      </c>
      <c r="K619" t="n">
        <v>0</v>
      </c>
      <c r="L619" t="n">
        <v>0</v>
      </c>
      <c r="M619" t="n">
        <v>0</v>
      </c>
      <c r="N619" t="n">
        <v>0</v>
      </c>
      <c r="O619" t="n">
        <v>0</v>
      </c>
      <c r="P619" t="n">
        <v>0</v>
      </c>
      <c r="Q619" t="n">
        <v>0</v>
      </c>
      <c r="R619" s="2" t="inlineStr"/>
    </row>
    <row r="620" ht="15" customHeight="1">
      <c r="A620" t="inlineStr">
        <is>
          <t>A 34558-2022</t>
        </is>
      </c>
      <c r="B620" s="1" t="n">
        <v>44794.57594907407</v>
      </c>
      <c r="C620" s="1" t="n">
        <v>46003</v>
      </c>
      <c r="D620" t="inlineStr">
        <is>
          <t>ÖSTERGÖTLANDS LÄN</t>
        </is>
      </c>
      <c r="E620" t="inlineStr">
        <is>
          <t>LINKÖPING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45112-2025</t>
        </is>
      </c>
      <c r="B621" s="1" t="n">
        <v>45919</v>
      </c>
      <c r="C621" s="1" t="n">
        <v>46003</v>
      </c>
      <c r="D621" t="inlineStr">
        <is>
          <t>ÖSTERGÖTLANDS LÄN</t>
        </is>
      </c>
      <c r="E621" t="inlineStr">
        <is>
          <t>LINKÖPING</t>
        </is>
      </c>
      <c r="G621" t="n">
        <v>3.5</v>
      </c>
      <c r="H621" t="n">
        <v>0</v>
      </c>
      <c r="I621" t="n">
        <v>0</v>
      </c>
      <c r="J621" t="n">
        <v>0</v>
      </c>
      <c r="K621" t="n">
        <v>0</v>
      </c>
      <c r="L621" t="n">
        <v>0</v>
      </c>
      <c r="M621" t="n">
        <v>0</v>
      </c>
      <c r="N621" t="n">
        <v>0</v>
      </c>
      <c r="O621" t="n">
        <v>0</v>
      </c>
      <c r="P621" t="n">
        <v>0</v>
      </c>
      <c r="Q621" t="n">
        <v>0</v>
      </c>
      <c r="R621" s="2" t="inlineStr"/>
    </row>
    <row r="622" ht="15" customHeight="1">
      <c r="A622" t="inlineStr">
        <is>
          <t>A 168-2024</t>
        </is>
      </c>
      <c r="B622" s="1" t="n">
        <v>45294</v>
      </c>
      <c r="C622" s="1" t="n">
        <v>46003</v>
      </c>
      <c r="D622" t="inlineStr">
        <is>
          <t>ÖSTERGÖTLANDS LÄN</t>
        </is>
      </c>
      <c r="E622" t="inlineStr">
        <is>
          <t>LINKÖPING</t>
        </is>
      </c>
      <c r="F622" t="inlineStr">
        <is>
          <t>Allmännings- och besparingsskogar</t>
        </is>
      </c>
      <c r="G622" t="n">
        <v>8.9</v>
      </c>
      <c r="H622" t="n">
        <v>0</v>
      </c>
      <c r="I622" t="n">
        <v>0</v>
      </c>
      <c r="J622" t="n">
        <v>0</v>
      </c>
      <c r="K622" t="n">
        <v>0</v>
      </c>
      <c r="L622" t="n">
        <v>0</v>
      </c>
      <c r="M622" t="n">
        <v>0</v>
      </c>
      <c r="N622" t="n">
        <v>0</v>
      </c>
      <c r="O622" t="n">
        <v>0</v>
      </c>
      <c r="P622" t="n">
        <v>0</v>
      </c>
      <c r="Q622" t="n">
        <v>0</v>
      </c>
      <c r="R622" s="2" t="inlineStr"/>
    </row>
    <row r="623" ht="15" customHeight="1">
      <c r="A623" t="inlineStr">
        <is>
          <t>A 15658-2023</t>
        </is>
      </c>
      <c r="B623" s="1" t="n">
        <v>45021.41194444444</v>
      </c>
      <c r="C623" s="1" t="n">
        <v>46003</v>
      </c>
      <c r="D623" t="inlineStr">
        <is>
          <t>ÖSTERGÖTLANDS LÄN</t>
        </is>
      </c>
      <c r="E623" t="inlineStr">
        <is>
          <t>LINKÖPING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30433-2024</t>
        </is>
      </c>
      <c r="B624" s="1" t="n">
        <v>45491.69741898148</v>
      </c>
      <c r="C624" s="1" t="n">
        <v>46003</v>
      </c>
      <c r="D624" t="inlineStr">
        <is>
          <t>ÖSTERGÖTLANDS LÄN</t>
        </is>
      </c>
      <c r="E624" t="inlineStr">
        <is>
          <t>LINKÖPING</t>
        </is>
      </c>
      <c r="G624" t="n">
        <v>1.7</v>
      </c>
      <c r="H624" t="n">
        <v>0</v>
      </c>
      <c r="I624" t="n">
        <v>0</v>
      </c>
      <c r="J624" t="n">
        <v>0</v>
      </c>
      <c r="K624" t="n">
        <v>0</v>
      </c>
      <c r="L624" t="n">
        <v>0</v>
      </c>
      <c r="M624" t="n">
        <v>0</v>
      </c>
      <c r="N624" t="n">
        <v>0</v>
      </c>
      <c r="O624" t="n">
        <v>0</v>
      </c>
      <c r="P624" t="n">
        <v>0</v>
      </c>
      <c r="Q624" t="n">
        <v>0</v>
      </c>
      <c r="R624" s="2" t="inlineStr"/>
    </row>
    <row r="625" ht="15" customHeight="1">
      <c r="A625" t="inlineStr">
        <is>
          <t>A 52220-2023</t>
        </is>
      </c>
      <c r="B625" s="1" t="n">
        <v>45217</v>
      </c>
      <c r="C625" s="1" t="n">
        <v>46003</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52225-2023</t>
        </is>
      </c>
      <c r="B626" s="1" t="n">
        <v>45217</v>
      </c>
      <c r="C626" s="1" t="n">
        <v>46003</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48699-2024</t>
        </is>
      </c>
      <c r="B627" s="1" t="n">
        <v>45593.52091435185</v>
      </c>
      <c r="C627" s="1" t="n">
        <v>46003</v>
      </c>
      <c r="D627" t="inlineStr">
        <is>
          <t>ÖSTERGÖTLANDS LÄN</t>
        </is>
      </c>
      <c r="E627" t="inlineStr">
        <is>
          <t>LINKÖPING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19464-2024</t>
        </is>
      </c>
      <c r="B628" s="1" t="n">
        <v>45429</v>
      </c>
      <c r="C628" s="1" t="n">
        <v>46003</v>
      </c>
      <c r="D628" t="inlineStr">
        <is>
          <t>ÖSTERGÖTLANDS LÄN</t>
        </is>
      </c>
      <c r="E628" t="inlineStr">
        <is>
          <t>LINKÖPING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54333-2025</t>
        </is>
      </c>
      <c r="B629" s="1" t="n">
        <v>45965.35090277778</v>
      </c>
      <c r="C629" s="1" t="n">
        <v>46003</v>
      </c>
      <c r="D629" t="inlineStr">
        <is>
          <t>ÖSTERGÖTLANDS LÄN</t>
        </is>
      </c>
      <c r="E629" t="inlineStr">
        <is>
          <t>LINKÖPING</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42044-2023</t>
        </is>
      </c>
      <c r="B630" s="1" t="n">
        <v>45177</v>
      </c>
      <c r="C630" s="1" t="n">
        <v>46003</v>
      </c>
      <c r="D630" t="inlineStr">
        <is>
          <t>ÖSTERGÖTLANDS LÄN</t>
        </is>
      </c>
      <c r="E630" t="inlineStr">
        <is>
          <t>LINKÖPING</t>
        </is>
      </c>
      <c r="G630" t="n">
        <v>3.9</v>
      </c>
      <c r="H630" t="n">
        <v>0</v>
      </c>
      <c r="I630" t="n">
        <v>0</v>
      </c>
      <c r="J630" t="n">
        <v>0</v>
      </c>
      <c r="K630" t="n">
        <v>0</v>
      </c>
      <c r="L630" t="n">
        <v>0</v>
      </c>
      <c r="M630" t="n">
        <v>0</v>
      </c>
      <c r="N630" t="n">
        <v>0</v>
      </c>
      <c r="O630" t="n">
        <v>0</v>
      </c>
      <c r="P630" t="n">
        <v>0</v>
      </c>
      <c r="Q630" t="n">
        <v>0</v>
      </c>
      <c r="R630" s="2" t="inlineStr"/>
    </row>
    <row r="631" ht="15" customHeight="1">
      <c r="A631" t="inlineStr">
        <is>
          <t>A 45634-2025</t>
        </is>
      </c>
      <c r="B631" s="1" t="n">
        <v>45922.85089120371</v>
      </c>
      <c r="C631" s="1" t="n">
        <v>46003</v>
      </c>
      <c r="D631" t="inlineStr">
        <is>
          <t>ÖSTERGÖTLANDS LÄN</t>
        </is>
      </c>
      <c r="E631" t="inlineStr">
        <is>
          <t>LINKÖPING</t>
        </is>
      </c>
      <c r="F631" t="inlineStr">
        <is>
          <t>Övriga Aktiebolag</t>
        </is>
      </c>
      <c r="G631" t="n">
        <v>0.3</v>
      </c>
      <c r="H631" t="n">
        <v>0</v>
      </c>
      <c r="I631" t="n">
        <v>0</v>
      </c>
      <c r="J631" t="n">
        <v>0</v>
      </c>
      <c r="K631" t="n">
        <v>0</v>
      </c>
      <c r="L631" t="n">
        <v>0</v>
      </c>
      <c r="M631" t="n">
        <v>0</v>
      </c>
      <c r="N631" t="n">
        <v>0</v>
      </c>
      <c r="O631" t="n">
        <v>0</v>
      </c>
      <c r="P631" t="n">
        <v>0</v>
      </c>
      <c r="Q631" t="n">
        <v>0</v>
      </c>
      <c r="R631" s="2" t="inlineStr"/>
    </row>
    <row r="632" ht="15" customHeight="1">
      <c r="A632" t="inlineStr">
        <is>
          <t>A 45792-2025</t>
        </is>
      </c>
      <c r="B632" s="1" t="n">
        <v>45923.56998842592</v>
      </c>
      <c r="C632" s="1" t="n">
        <v>46003</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630-2024</t>
        </is>
      </c>
      <c r="B633" s="1" t="n">
        <v>45299.67736111111</v>
      </c>
      <c r="C633" s="1" t="n">
        <v>46003</v>
      </c>
      <c r="D633" t="inlineStr">
        <is>
          <t>ÖSTERGÖTLANDS LÄN</t>
        </is>
      </c>
      <c r="E633" t="inlineStr">
        <is>
          <t>LINKÖPING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45804-2025</t>
        </is>
      </c>
      <c r="B634" s="1" t="n">
        <v>45923.5819675926</v>
      </c>
      <c r="C634" s="1" t="n">
        <v>46003</v>
      </c>
      <c r="D634" t="inlineStr">
        <is>
          <t>ÖSTERGÖTLANDS LÄN</t>
        </is>
      </c>
      <c r="E634" t="inlineStr">
        <is>
          <t>LINKÖPING</t>
        </is>
      </c>
      <c r="G634" t="n">
        <v>3.3</v>
      </c>
      <c r="H634" t="n">
        <v>0</v>
      </c>
      <c r="I634" t="n">
        <v>0</v>
      </c>
      <c r="J634" t="n">
        <v>0</v>
      </c>
      <c r="K634" t="n">
        <v>0</v>
      </c>
      <c r="L634" t="n">
        <v>0</v>
      </c>
      <c r="M634" t="n">
        <v>0</v>
      </c>
      <c r="N634" t="n">
        <v>0</v>
      </c>
      <c r="O634" t="n">
        <v>0</v>
      </c>
      <c r="P634" t="n">
        <v>0</v>
      </c>
      <c r="Q634" t="n">
        <v>0</v>
      </c>
      <c r="R634" s="2" t="inlineStr"/>
    </row>
    <row r="635" ht="15" customHeight="1">
      <c r="A635" t="inlineStr">
        <is>
          <t>A 13911-2025</t>
        </is>
      </c>
      <c r="B635" s="1" t="n">
        <v>45737.64784722222</v>
      </c>
      <c r="C635" s="1" t="n">
        <v>46003</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55132-2025</t>
        </is>
      </c>
      <c r="B636" s="1" t="n">
        <v>45968.41912037037</v>
      </c>
      <c r="C636" s="1" t="n">
        <v>46003</v>
      </c>
      <c r="D636" t="inlineStr">
        <is>
          <t>ÖSTERGÖTLANDS LÄN</t>
        </is>
      </c>
      <c r="E636" t="inlineStr">
        <is>
          <t>LINKÖPING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23768-2025</t>
        </is>
      </c>
      <c r="B637" s="1" t="n">
        <v>45793.47493055555</v>
      </c>
      <c r="C637" s="1" t="n">
        <v>46003</v>
      </c>
      <c r="D637" t="inlineStr">
        <is>
          <t>ÖSTERGÖTLANDS LÄN</t>
        </is>
      </c>
      <c r="E637" t="inlineStr">
        <is>
          <t>LINKÖPING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46428-2025</t>
        </is>
      </c>
      <c r="B638" s="1" t="n">
        <v>45925.60758101852</v>
      </c>
      <c r="C638" s="1" t="n">
        <v>46003</v>
      </c>
      <c r="D638" t="inlineStr">
        <is>
          <t>ÖSTERGÖTLANDS LÄN</t>
        </is>
      </c>
      <c r="E638" t="inlineStr">
        <is>
          <t>LINKÖPING</t>
        </is>
      </c>
      <c r="G638" t="n">
        <v>3</v>
      </c>
      <c r="H638" t="n">
        <v>0</v>
      </c>
      <c r="I638" t="n">
        <v>0</v>
      </c>
      <c r="J638" t="n">
        <v>0</v>
      </c>
      <c r="K638" t="n">
        <v>0</v>
      </c>
      <c r="L638" t="n">
        <v>0</v>
      </c>
      <c r="M638" t="n">
        <v>0</v>
      </c>
      <c r="N638" t="n">
        <v>0</v>
      </c>
      <c r="O638" t="n">
        <v>0</v>
      </c>
      <c r="P638" t="n">
        <v>0</v>
      </c>
      <c r="Q638" t="n">
        <v>0</v>
      </c>
      <c r="R638" s="2" t="inlineStr"/>
    </row>
    <row r="639" ht="15" customHeight="1">
      <c r="A639" t="inlineStr">
        <is>
          <t>A 46426-2025</t>
        </is>
      </c>
      <c r="B639" s="1" t="n">
        <v>45925.6012962963</v>
      </c>
      <c r="C639" s="1" t="n">
        <v>46003</v>
      </c>
      <c r="D639" t="inlineStr">
        <is>
          <t>ÖSTERGÖTLANDS LÄN</t>
        </is>
      </c>
      <c r="E639" t="inlineStr">
        <is>
          <t>LINKÖPING</t>
        </is>
      </c>
      <c r="G639" t="n">
        <v>4.4</v>
      </c>
      <c r="H639" t="n">
        <v>0</v>
      </c>
      <c r="I639" t="n">
        <v>0</v>
      </c>
      <c r="J639" t="n">
        <v>0</v>
      </c>
      <c r="K639" t="n">
        <v>0</v>
      </c>
      <c r="L639" t="n">
        <v>0</v>
      </c>
      <c r="M639" t="n">
        <v>0</v>
      </c>
      <c r="N639" t="n">
        <v>0</v>
      </c>
      <c r="O639" t="n">
        <v>0</v>
      </c>
      <c r="P639" t="n">
        <v>0</v>
      </c>
      <c r="Q639" t="n">
        <v>0</v>
      </c>
      <c r="R639" s="2" t="inlineStr"/>
    </row>
    <row r="640" ht="15" customHeight="1">
      <c r="A640" t="inlineStr">
        <is>
          <t>A 55102-2025</t>
        </is>
      </c>
      <c r="B640" s="1" t="n">
        <v>45968.35410879629</v>
      </c>
      <c r="C640" s="1" t="n">
        <v>46003</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55109-2025</t>
        </is>
      </c>
      <c r="B641" s="1" t="n">
        <v>45968.37731481482</v>
      </c>
      <c r="C641" s="1" t="n">
        <v>46003</v>
      </c>
      <c r="D641" t="inlineStr">
        <is>
          <t>ÖSTERGÖTLANDS LÄN</t>
        </is>
      </c>
      <c r="E641" t="inlineStr">
        <is>
          <t>LINKÖPING</t>
        </is>
      </c>
      <c r="G641" t="n">
        <v>3.2</v>
      </c>
      <c r="H641" t="n">
        <v>0</v>
      </c>
      <c r="I641" t="n">
        <v>0</v>
      </c>
      <c r="J641" t="n">
        <v>0</v>
      </c>
      <c r="K641" t="n">
        <v>0</v>
      </c>
      <c r="L641" t="n">
        <v>0</v>
      </c>
      <c r="M641" t="n">
        <v>0</v>
      </c>
      <c r="N641" t="n">
        <v>0</v>
      </c>
      <c r="O641" t="n">
        <v>0</v>
      </c>
      <c r="P641" t="n">
        <v>0</v>
      </c>
      <c r="Q641" t="n">
        <v>0</v>
      </c>
      <c r="R641" s="2" t="inlineStr"/>
    </row>
    <row r="642" ht="15" customHeight="1">
      <c r="A642" t="inlineStr">
        <is>
          <t>A 46377-2025</t>
        </is>
      </c>
      <c r="B642" s="1" t="n">
        <v>45925.51773148148</v>
      </c>
      <c r="C642" s="1" t="n">
        <v>46003</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55165-2025</t>
        </is>
      </c>
      <c r="B643" s="1" t="n">
        <v>45968.48194444444</v>
      </c>
      <c r="C643" s="1" t="n">
        <v>46003</v>
      </c>
      <c r="D643" t="inlineStr">
        <is>
          <t>ÖSTERGÖTLANDS LÄN</t>
        </is>
      </c>
      <c r="E643" t="inlineStr">
        <is>
          <t>LINKÖPING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47304-2025</t>
        </is>
      </c>
      <c r="B644" s="1" t="n">
        <v>45930.52037037037</v>
      </c>
      <c r="C644" s="1" t="n">
        <v>46003</v>
      </c>
      <c r="D644" t="inlineStr">
        <is>
          <t>ÖSTERGÖTLANDS LÄN</t>
        </is>
      </c>
      <c r="E644" t="inlineStr">
        <is>
          <t>LINKÖPING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47233-2025</t>
        </is>
      </c>
      <c r="B645" s="1" t="n">
        <v>45930.40612268518</v>
      </c>
      <c r="C645" s="1" t="n">
        <v>46003</v>
      </c>
      <c r="D645" t="inlineStr">
        <is>
          <t>ÖSTERGÖTLANDS LÄN</t>
        </is>
      </c>
      <c r="E645" t="inlineStr">
        <is>
          <t>LINKÖPING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44280-2024</t>
        </is>
      </c>
      <c r="B646" s="1" t="n">
        <v>45573.49461805556</v>
      </c>
      <c r="C646" s="1" t="n">
        <v>46003</v>
      </c>
      <c r="D646" t="inlineStr">
        <is>
          <t>ÖSTERGÖTLANDS LÄN</t>
        </is>
      </c>
      <c r="E646" t="inlineStr">
        <is>
          <t>LINKÖPING</t>
        </is>
      </c>
      <c r="G646" t="n">
        <v>5.3</v>
      </c>
      <c r="H646" t="n">
        <v>0</v>
      </c>
      <c r="I646" t="n">
        <v>0</v>
      </c>
      <c r="J646" t="n">
        <v>0</v>
      </c>
      <c r="K646" t="n">
        <v>0</v>
      </c>
      <c r="L646" t="n">
        <v>0</v>
      </c>
      <c r="M646" t="n">
        <v>0</v>
      </c>
      <c r="N646" t="n">
        <v>0</v>
      </c>
      <c r="O646" t="n">
        <v>0</v>
      </c>
      <c r="P646" t="n">
        <v>0</v>
      </c>
      <c r="Q646" t="n">
        <v>0</v>
      </c>
      <c r="R646" s="2" t="inlineStr"/>
    </row>
    <row r="647" ht="15" customHeight="1">
      <c r="A647" t="inlineStr">
        <is>
          <t>A 55683-2025</t>
        </is>
      </c>
      <c r="B647" s="1" t="n">
        <v>45972.4255324074</v>
      </c>
      <c r="C647" s="1" t="n">
        <v>46003</v>
      </c>
      <c r="D647" t="inlineStr">
        <is>
          <t>ÖSTERGÖTLANDS LÄN</t>
        </is>
      </c>
      <c r="E647" t="inlineStr">
        <is>
          <t>LINKÖPING</t>
        </is>
      </c>
      <c r="G647" t="n">
        <v>3.3</v>
      </c>
      <c r="H647" t="n">
        <v>0</v>
      </c>
      <c r="I647" t="n">
        <v>0</v>
      </c>
      <c r="J647" t="n">
        <v>0</v>
      </c>
      <c r="K647" t="n">
        <v>0</v>
      </c>
      <c r="L647" t="n">
        <v>0</v>
      </c>
      <c r="M647" t="n">
        <v>0</v>
      </c>
      <c r="N647" t="n">
        <v>0</v>
      </c>
      <c r="O647" t="n">
        <v>0</v>
      </c>
      <c r="P647" t="n">
        <v>0</v>
      </c>
      <c r="Q647" t="n">
        <v>0</v>
      </c>
      <c r="R647" s="2" t="inlineStr"/>
    </row>
    <row r="648" ht="15" customHeight="1">
      <c r="A648" t="inlineStr">
        <is>
          <t>A 25996-2025</t>
        </is>
      </c>
      <c r="B648" s="1" t="n">
        <v>45804.65851851852</v>
      </c>
      <c r="C648" s="1" t="n">
        <v>46003</v>
      </c>
      <c r="D648" t="inlineStr">
        <is>
          <t>ÖSTERGÖTLANDS LÄN</t>
        </is>
      </c>
      <c r="E648" t="inlineStr">
        <is>
          <t>LINKÖPING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26002-2025</t>
        </is>
      </c>
      <c r="B649" s="1" t="n">
        <v>45804.66534722222</v>
      </c>
      <c r="C649" s="1" t="n">
        <v>46003</v>
      </c>
      <c r="D649" t="inlineStr">
        <is>
          <t>ÖSTERGÖTLANDS LÄN</t>
        </is>
      </c>
      <c r="E649" t="inlineStr">
        <is>
          <t>LINKÖPING</t>
        </is>
      </c>
      <c r="G649" t="n">
        <v>2.5</v>
      </c>
      <c r="H649" t="n">
        <v>0</v>
      </c>
      <c r="I649" t="n">
        <v>0</v>
      </c>
      <c r="J649" t="n">
        <v>0</v>
      </c>
      <c r="K649" t="n">
        <v>0</v>
      </c>
      <c r="L649" t="n">
        <v>0</v>
      </c>
      <c r="M649" t="n">
        <v>0</v>
      </c>
      <c r="N649" t="n">
        <v>0</v>
      </c>
      <c r="O649" t="n">
        <v>0</v>
      </c>
      <c r="P649" t="n">
        <v>0</v>
      </c>
      <c r="Q649" t="n">
        <v>0</v>
      </c>
      <c r="R649" s="2" t="inlineStr"/>
    </row>
    <row r="650" ht="15" customHeight="1">
      <c r="A650" t="inlineStr">
        <is>
          <t>A 46847-2025</t>
        </is>
      </c>
      <c r="B650" s="1" t="n">
        <v>45928.69971064815</v>
      </c>
      <c r="C650" s="1" t="n">
        <v>46003</v>
      </c>
      <c r="D650" t="inlineStr">
        <is>
          <t>ÖSTERGÖTLANDS LÄN</t>
        </is>
      </c>
      <c r="E650" t="inlineStr">
        <is>
          <t>LINKÖPING</t>
        </is>
      </c>
      <c r="G650" t="n">
        <v>4.6</v>
      </c>
      <c r="H650" t="n">
        <v>0</v>
      </c>
      <c r="I650" t="n">
        <v>0</v>
      </c>
      <c r="J650" t="n">
        <v>0</v>
      </c>
      <c r="K650" t="n">
        <v>0</v>
      </c>
      <c r="L650" t="n">
        <v>0</v>
      </c>
      <c r="M650" t="n">
        <v>0</v>
      </c>
      <c r="N650" t="n">
        <v>0</v>
      </c>
      <c r="O650" t="n">
        <v>0</v>
      </c>
      <c r="P650" t="n">
        <v>0</v>
      </c>
      <c r="Q650" t="n">
        <v>0</v>
      </c>
      <c r="R650" s="2" t="inlineStr"/>
    </row>
    <row r="651" ht="15" customHeight="1">
      <c r="A651" t="inlineStr">
        <is>
          <t>A 56113-2025</t>
        </is>
      </c>
      <c r="B651" s="1" t="n">
        <v>45973.73924768518</v>
      </c>
      <c r="C651" s="1" t="n">
        <v>46003</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48343-2025</t>
        </is>
      </c>
      <c r="B652" s="1" t="n">
        <v>45932</v>
      </c>
      <c r="C652" s="1" t="n">
        <v>46003</v>
      </c>
      <c r="D652" t="inlineStr">
        <is>
          <t>ÖSTERGÖTLANDS LÄN</t>
        </is>
      </c>
      <c r="E652" t="inlineStr">
        <is>
          <t>LINKÖPING</t>
        </is>
      </c>
      <c r="F652" t="inlineStr">
        <is>
          <t>Övriga Aktiebolag</t>
        </is>
      </c>
      <c r="G652" t="n">
        <v>2</v>
      </c>
      <c r="H652" t="n">
        <v>0</v>
      </c>
      <c r="I652" t="n">
        <v>0</v>
      </c>
      <c r="J652" t="n">
        <v>0</v>
      </c>
      <c r="K652" t="n">
        <v>0</v>
      </c>
      <c r="L652" t="n">
        <v>0</v>
      </c>
      <c r="M652" t="n">
        <v>0</v>
      </c>
      <c r="N652" t="n">
        <v>0</v>
      </c>
      <c r="O652" t="n">
        <v>0</v>
      </c>
      <c r="P652" t="n">
        <v>0</v>
      </c>
      <c r="Q652" t="n">
        <v>0</v>
      </c>
      <c r="R652" s="2" t="inlineStr"/>
    </row>
    <row r="653" ht="15" customHeight="1">
      <c r="A653" t="inlineStr">
        <is>
          <t>A 47606-2025</t>
        </is>
      </c>
      <c r="B653" s="1" t="n">
        <v>45931.46402777778</v>
      </c>
      <c r="C653" s="1" t="n">
        <v>46003</v>
      </c>
      <c r="D653" t="inlineStr">
        <is>
          <t>ÖSTERGÖTLANDS LÄN</t>
        </is>
      </c>
      <c r="E653" t="inlineStr">
        <is>
          <t>LINKÖPING</t>
        </is>
      </c>
      <c r="G653" t="n">
        <v>0.8</v>
      </c>
      <c r="H653" t="n">
        <v>0</v>
      </c>
      <c r="I653" t="n">
        <v>0</v>
      </c>
      <c r="J653" t="n">
        <v>0</v>
      </c>
      <c r="K653" t="n">
        <v>0</v>
      </c>
      <c r="L653" t="n">
        <v>0</v>
      </c>
      <c r="M653" t="n">
        <v>0</v>
      </c>
      <c r="N653" t="n">
        <v>0</v>
      </c>
      <c r="O653" t="n">
        <v>0</v>
      </c>
      <c r="P653" t="n">
        <v>0</v>
      </c>
      <c r="Q653" t="n">
        <v>0</v>
      </c>
      <c r="R653" s="2" t="inlineStr"/>
    </row>
    <row r="654" ht="15" customHeight="1">
      <c r="A654" t="inlineStr">
        <is>
          <t>A 48254-2025</t>
        </is>
      </c>
      <c r="B654" s="1" t="n">
        <v>45932</v>
      </c>
      <c r="C654" s="1" t="n">
        <v>46003</v>
      </c>
      <c r="D654" t="inlineStr">
        <is>
          <t>ÖSTERGÖTLANDS LÄN</t>
        </is>
      </c>
      <c r="E654" t="inlineStr">
        <is>
          <t>LINKÖPING</t>
        </is>
      </c>
      <c r="F654" t="inlineStr">
        <is>
          <t>Övriga Aktiebolag</t>
        </is>
      </c>
      <c r="G654" t="n">
        <v>0.8</v>
      </c>
      <c r="H654" t="n">
        <v>0</v>
      </c>
      <c r="I654" t="n">
        <v>0</v>
      </c>
      <c r="J654" t="n">
        <v>0</v>
      </c>
      <c r="K654" t="n">
        <v>0</v>
      </c>
      <c r="L654" t="n">
        <v>0</v>
      </c>
      <c r="M654" t="n">
        <v>0</v>
      </c>
      <c r="N654" t="n">
        <v>0</v>
      </c>
      <c r="O654" t="n">
        <v>0</v>
      </c>
      <c r="P654" t="n">
        <v>0</v>
      </c>
      <c r="Q654" t="n">
        <v>0</v>
      </c>
      <c r="R654" s="2" t="inlineStr"/>
    </row>
    <row r="655" ht="15" customHeight="1">
      <c r="A655" t="inlineStr">
        <is>
          <t>A 48266-2025</t>
        </is>
      </c>
      <c r="B655" s="1" t="n">
        <v>45932</v>
      </c>
      <c r="C655" s="1" t="n">
        <v>46003</v>
      </c>
      <c r="D655" t="inlineStr">
        <is>
          <t>ÖSTERGÖTLANDS LÄN</t>
        </is>
      </c>
      <c r="E655" t="inlineStr">
        <is>
          <t>LINKÖPING</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56105-2025</t>
        </is>
      </c>
      <c r="B656" s="1" t="n">
        <v>45973.72855324074</v>
      </c>
      <c r="C656" s="1" t="n">
        <v>46003</v>
      </c>
      <c r="D656" t="inlineStr">
        <is>
          <t>ÖSTERGÖTLANDS LÄN</t>
        </is>
      </c>
      <c r="E656" t="inlineStr">
        <is>
          <t>LINKÖPING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54329-2025</t>
        </is>
      </c>
      <c r="B657" s="1" t="n">
        <v>45965.34706018519</v>
      </c>
      <c r="C657" s="1" t="n">
        <v>46003</v>
      </c>
      <c r="D657" t="inlineStr">
        <is>
          <t>ÖSTERGÖTLANDS LÄN</t>
        </is>
      </c>
      <c r="E657" t="inlineStr">
        <is>
          <t>LINKÖPING</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56704-2025</t>
        </is>
      </c>
      <c r="B658" s="1" t="n">
        <v>45977.50608796296</v>
      </c>
      <c r="C658" s="1" t="n">
        <v>46003</v>
      </c>
      <c r="D658" t="inlineStr">
        <is>
          <t>ÖSTERGÖTLANDS LÄN</t>
        </is>
      </c>
      <c r="E658" t="inlineStr">
        <is>
          <t>LINKÖPING</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54332-2025</t>
        </is>
      </c>
      <c r="B659" s="1" t="n">
        <v>45965.34915509259</v>
      </c>
      <c r="C659" s="1" t="n">
        <v>46003</v>
      </c>
      <c r="D659" t="inlineStr">
        <is>
          <t>ÖSTERGÖTLANDS LÄN</t>
        </is>
      </c>
      <c r="E659" t="inlineStr">
        <is>
          <t>LINKÖPING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28200-2025</t>
        </is>
      </c>
      <c r="B660" s="1" t="n">
        <v>45818.4428125</v>
      </c>
      <c r="C660" s="1" t="n">
        <v>46003</v>
      </c>
      <c r="D660" t="inlineStr">
        <is>
          <t>ÖSTERGÖTLANDS LÄN</t>
        </is>
      </c>
      <c r="E660" t="inlineStr">
        <is>
          <t>LINKÖPING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27950-2025</t>
        </is>
      </c>
      <c r="B661" s="1" t="n">
        <v>45817.52960648148</v>
      </c>
      <c r="C661" s="1" t="n">
        <v>46003</v>
      </c>
      <c r="D661" t="inlineStr">
        <is>
          <t>ÖSTERGÖTLANDS LÄN</t>
        </is>
      </c>
      <c r="E661" t="inlineStr">
        <is>
          <t>LINKÖPING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27797-2025</t>
        </is>
      </c>
      <c r="B662" s="1" t="n">
        <v>45816.80521990741</v>
      </c>
      <c r="C662" s="1" t="n">
        <v>46003</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27798-2025</t>
        </is>
      </c>
      <c r="B663" s="1" t="n">
        <v>45816.81532407407</v>
      </c>
      <c r="C663" s="1" t="n">
        <v>46003</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56403-2025</t>
        </is>
      </c>
      <c r="B664" s="1" t="n">
        <v>45974</v>
      </c>
      <c r="C664" s="1" t="n">
        <v>46003</v>
      </c>
      <c r="D664" t="inlineStr">
        <is>
          <t>ÖSTERGÖTLANDS LÄN</t>
        </is>
      </c>
      <c r="E664" t="inlineStr">
        <is>
          <t>LINKÖPING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28209-2025</t>
        </is>
      </c>
      <c r="B665" s="1" t="n">
        <v>45818.45112268518</v>
      </c>
      <c r="C665" s="1" t="n">
        <v>46003</v>
      </c>
      <c r="D665" t="inlineStr">
        <is>
          <t>ÖSTERGÖTLANDS LÄN</t>
        </is>
      </c>
      <c r="E665" t="inlineStr">
        <is>
          <t>LINKÖPING</t>
        </is>
      </c>
      <c r="G665" t="n">
        <v>4.2</v>
      </c>
      <c r="H665" t="n">
        <v>0</v>
      </c>
      <c r="I665" t="n">
        <v>0</v>
      </c>
      <c r="J665" t="n">
        <v>0</v>
      </c>
      <c r="K665" t="n">
        <v>0</v>
      </c>
      <c r="L665" t="n">
        <v>0</v>
      </c>
      <c r="M665" t="n">
        <v>0</v>
      </c>
      <c r="N665" t="n">
        <v>0</v>
      </c>
      <c r="O665" t="n">
        <v>0</v>
      </c>
      <c r="P665" t="n">
        <v>0</v>
      </c>
      <c r="Q665" t="n">
        <v>0</v>
      </c>
      <c r="R665" s="2" t="inlineStr"/>
    </row>
    <row r="666" ht="15" customHeight="1">
      <c r="A666" t="inlineStr">
        <is>
          <t>A 49605-2025</t>
        </is>
      </c>
      <c r="B666" s="1" t="n">
        <v>45938</v>
      </c>
      <c r="C666" s="1" t="n">
        <v>46003</v>
      </c>
      <c r="D666" t="inlineStr">
        <is>
          <t>ÖSTERGÖTLANDS LÄN</t>
        </is>
      </c>
      <c r="E666" t="inlineStr">
        <is>
          <t>LINKÖPING</t>
        </is>
      </c>
      <c r="F666" t="inlineStr">
        <is>
          <t>Övriga Aktiebolag</t>
        </is>
      </c>
      <c r="G666" t="n">
        <v>3.3</v>
      </c>
      <c r="H666" t="n">
        <v>0</v>
      </c>
      <c r="I666" t="n">
        <v>0</v>
      </c>
      <c r="J666" t="n">
        <v>0</v>
      </c>
      <c r="K666" t="n">
        <v>0</v>
      </c>
      <c r="L666" t="n">
        <v>0</v>
      </c>
      <c r="M666" t="n">
        <v>0</v>
      </c>
      <c r="N666" t="n">
        <v>0</v>
      </c>
      <c r="O666" t="n">
        <v>0</v>
      </c>
      <c r="P666" t="n">
        <v>0</v>
      </c>
      <c r="Q666" t="n">
        <v>0</v>
      </c>
      <c r="R666" s="2" t="inlineStr"/>
    </row>
    <row r="667" ht="15" customHeight="1">
      <c r="A667" t="inlineStr">
        <is>
          <t>A 28204-2025</t>
        </is>
      </c>
      <c r="B667" s="1" t="n">
        <v>45818.4477662037</v>
      </c>
      <c r="C667" s="1" t="n">
        <v>46003</v>
      </c>
      <c r="D667" t="inlineStr">
        <is>
          <t>ÖSTERGÖTLANDS LÄN</t>
        </is>
      </c>
      <c r="E667" t="inlineStr">
        <is>
          <t>LINKÖPING</t>
        </is>
      </c>
      <c r="G667" t="n">
        <v>2.9</v>
      </c>
      <c r="H667" t="n">
        <v>0</v>
      </c>
      <c r="I667" t="n">
        <v>0</v>
      </c>
      <c r="J667" t="n">
        <v>0</v>
      </c>
      <c r="K667" t="n">
        <v>0</v>
      </c>
      <c r="L667" t="n">
        <v>0</v>
      </c>
      <c r="M667" t="n">
        <v>0</v>
      </c>
      <c r="N667" t="n">
        <v>0</v>
      </c>
      <c r="O667" t="n">
        <v>0</v>
      </c>
      <c r="P667" t="n">
        <v>0</v>
      </c>
      <c r="Q667" t="n">
        <v>0</v>
      </c>
      <c r="R667" s="2" t="inlineStr"/>
    </row>
    <row r="668" ht="15" customHeight="1">
      <c r="A668" t="inlineStr">
        <is>
          <t>A 28398-2025</t>
        </is>
      </c>
      <c r="B668" s="1" t="n">
        <v>45819.34208333334</v>
      </c>
      <c r="C668" s="1" t="n">
        <v>46003</v>
      </c>
      <c r="D668" t="inlineStr">
        <is>
          <t>ÖSTERGÖTLANDS LÄN</t>
        </is>
      </c>
      <c r="E668" t="inlineStr">
        <is>
          <t>LINKÖPING</t>
        </is>
      </c>
      <c r="F668" t="inlineStr">
        <is>
          <t>Sveaskog</t>
        </is>
      </c>
      <c r="G668" t="n">
        <v>7.9</v>
      </c>
      <c r="H668" t="n">
        <v>0</v>
      </c>
      <c r="I668" t="n">
        <v>0</v>
      </c>
      <c r="J668" t="n">
        <v>0</v>
      </c>
      <c r="K668" t="n">
        <v>0</v>
      </c>
      <c r="L668" t="n">
        <v>0</v>
      </c>
      <c r="M668" t="n">
        <v>0</v>
      </c>
      <c r="N668" t="n">
        <v>0</v>
      </c>
      <c r="O668" t="n">
        <v>0</v>
      </c>
      <c r="P668" t="n">
        <v>0</v>
      </c>
      <c r="Q668" t="n">
        <v>0</v>
      </c>
      <c r="R668" s="2" t="inlineStr"/>
    </row>
    <row r="669" ht="15" customHeight="1">
      <c r="A669" t="inlineStr">
        <is>
          <t>A 49647-2025</t>
        </is>
      </c>
      <c r="B669" s="1" t="n">
        <v>45938</v>
      </c>
      <c r="C669" s="1" t="n">
        <v>46003</v>
      </c>
      <c r="D669" t="inlineStr">
        <is>
          <t>ÖSTERGÖTLANDS LÄN</t>
        </is>
      </c>
      <c r="E669" t="inlineStr">
        <is>
          <t>LINKÖPING</t>
        </is>
      </c>
      <c r="F669" t="inlineStr">
        <is>
          <t>Övriga Aktiebolag</t>
        </is>
      </c>
      <c r="G669" t="n">
        <v>0.6</v>
      </c>
      <c r="H669" t="n">
        <v>0</v>
      </c>
      <c r="I669" t="n">
        <v>0</v>
      </c>
      <c r="J669" t="n">
        <v>0</v>
      </c>
      <c r="K669" t="n">
        <v>0</v>
      </c>
      <c r="L669" t="n">
        <v>0</v>
      </c>
      <c r="M669" t="n">
        <v>0</v>
      </c>
      <c r="N669" t="n">
        <v>0</v>
      </c>
      <c r="O669" t="n">
        <v>0</v>
      </c>
      <c r="P669" t="n">
        <v>0</v>
      </c>
      <c r="Q669" t="n">
        <v>0</v>
      </c>
      <c r="R669" s="2" t="inlineStr"/>
    </row>
    <row r="670" ht="15" customHeight="1">
      <c r="A670" t="inlineStr">
        <is>
          <t>A 49633-2025</t>
        </is>
      </c>
      <c r="B670" s="1" t="n">
        <v>45938</v>
      </c>
      <c r="C670" s="1" t="n">
        <v>46003</v>
      </c>
      <c r="D670" t="inlineStr">
        <is>
          <t>ÖSTERGÖTLANDS LÄN</t>
        </is>
      </c>
      <c r="E670" t="inlineStr">
        <is>
          <t>LINKÖPING</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49663-2025</t>
        </is>
      </c>
      <c r="B671" s="1" t="n">
        <v>45938</v>
      </c>
      <c r="C671" s="1" t="n">
        <v>46003</v>
      </c>
      <c r="D671" t="inlineStr">
        <is>
          <t>ÖSTERGÖTLANDS LÄN</t>
        </is>
      </c>
      <c r="E671" t="inlineStr">
        <is>
          <t>LINKÖPING</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28416-2025</t>
        </is>
      </c>
      <c r="B672" s="1" t="n">
        <v>45819.35346064815</v>
      </c>
      <c r="C672" s="1" t="n">
        <v>46003</v>
      </c>
      <c r="D672" t="inlineStr">
        <is>
          <t>ÖSTERGÖTLANDS LÄN</t>
        </is>
      </c>
      <c r="E672" t="inlineStr">
        <is>
          <t>LINKÖPING</t>
        </is>
      </c>
      <c r="F672" t="inlineStr">
        <is>
          <t>Sveaskog</t>
        </is>
      </c>
      <c r="G672" t="n">
        <v>3.7</v>
      </c>
      <c r="H672" t="n">
        <v>0</v>
      </c>
      <c r="I672" t="n">
        <v>0</v>
      </c>
      <c r="J672" t="n">
        <v>0</v>
      </c>
      <c r="K672" t="n">
        <v>0</v>
      </c>
      <c r="L672" t="n">
        <v>0</v>
      </c>
      <c r="M672" t="n">
        <v>0</v>
      </c>
      <c r="N672" t="n">
        <v>0</v>
      </c>
      <c r="O672" t="n">
        <v>0</v>
      </c>
      <c r="P672" t="n">
        <v>0</v>
      </c>
      <c r="Q672" t="n">
        <v>0</v>
      </c>
      <c r="R672" s="2" t="inlineStr"/>
    </row>
    <row r="673" ht="15" customHeight="1">
      <c r="A673" t="inlineStr">
        <is>
          <t>A 29027-2025</t>
        </is>
      </c>
      <c r="B673" s="1" t="n">
        <v>45821.4375462963</v>
      </c>
      <c r="C673" s="1" t="n">
        <v>46003</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49455-2025</t>
        </is>
      </c>
      <c r="B674" s="1" t="n">
        <v>45938</v>
      </c>
      <c r="C674" s="1" t="n">
        <v>46003</v>
      </c>
      <c r="D674" t="inlineStr">
        <is>
          <t>ÖSTERGÖTLANDS LÄN</t>
        </is>
      </c>
      <c r="E674" t="inlineStr">
        <is>
          <t>LINKÖPING</t>
        </is>
      </c>
      <c r="F674" t="inlineStr">
        <is>
          <t>Övriga Aktiebolag</t>
        </is>
      </c>
      <c r="G674" t="n">
        <v>5.9</v>
      </c>
      <c r="H674" t="n">
        <v>0</v>
      </c>
      <c r="I674" t="n">
        <v>0</v>
      </c>
      <c r="J674" t="n">
        <v>0</v>
      </c>
      <c r="K674" t="n">
        <v>0</v>
      </c>
      <c r="L674" t="n">
        <v>0</v>
      </c>
      <c r="M674" t="n">
        <v>0</v>
      </c>
      <c r="N674" t="n">
        <v>0</v>
      </c>
      <c r="O674" t="n">
        <v>0</v>
      </c>
      <c r="P674" t="n">
        <v>0</v>
      </c>
      <c r="Q674" t="n">
        <v>0</v>
      </c>
      <c r="R674" s="2" t="inlineStr"/>
    </row>
    <row r="675" ht="15" customHeight="1">
      <c r="A675" t="inlineStr">
        <is>
          <t>A 29393-2025</t>
        </is>
      </c>
      <c r="B675" s="1" t="n">
        <v>45824.6057175926</v>
      </c>
      <c r="C675" s="1" t="n">
        <v>46003</v>
      </c>
      <c r="D675" t="inlineStr">
        <is>
          <t>ÖSTERGÖTLANDS LÄN</t>
        </is>
      </c>
      <c r="E675" t="inlineStr">
        <is>
          <t>LINKÖPING</t>
        </is>
      </c>
      <c r="F675" t="inlineStr">
        <is>
          <t>Sveaskog</t>
        </is>
      </c>
      <c r="G675" t="n">
        <v>24.6</v>
      </c>
      <c r="H675" t="n">
        <v>0</v>
      </c>
      <c r="I675" t="n">
        <v>0</v>
      </c>
      <c r="J675" t="n">
        <v>0</v>
      </c>
      <c r="K675" t="n">
        <v>0</v>
      </c>
      <c r="L675" t="n">
        <v>0</v>
      </c>
      <c r="M675" t="n">
        <v>0</v>
      </c>
      <c r="N675" t="n">
        <v>0</v>
      </c>
      <c r="O675" t="n">
        <v>0</v>
      </c>
      <c r="P675" t="n">
        <v>0</v>
      </c>
      <c r="Q675" t="n">
        <v>0</v>
      </c>
      <c r="R675" s="2" t="inlineStr"/>
    </row>
    <row r="676" ht="15" customHeight="1">
      <c r="A676" t="inlineStr">
        <is>
          <t>A 49652-2025</t>
        </is>
      </c>
      <c r="B676" s="1" t="n">
        <v>45938</v>
      </c>
      <c r="C676" s="1" t="n">
        <v>46003</v>
      </c>
      <c r="D676" t="inlineStr">
        <is>
          <t>ÖSTERGÖTLANDS LÄN</t>
        </is>
      </c>
      <c r="E676" t="inlineStr">
        <is>
          <t>LINKÖPING</t>
        </is>
      </c>
      <c r="F676" t="inlineStr">
        <is>
          <t>Övriga Aktiebolag</t>
        </is>
      </c>
      <c r="G676" t="n">
        <v>1.8</v>
      </c>
      <c r="H676" t="n">
        <v>0</v>
      </c>
      <c r="I676" t="n">
        <v>0</v>
      </c>
      <c r="J676" t="n">
        <v>0</v>
      </c>
      <c r="K676" t="n">
        <v>0</v>
      </c>
      <c r="L676" t="n">
        <v>0</v>
      </c>
      <c r="M676" t="n">
        <v>0</v>
      </c>
      <c r="N676" t="n">
        <v>0</v>
      </c>
      <c r="O676" t="n">
        <v>0</v>
      </c>
      <c r="P676" t="n">
        <v>0</v>
      </c>
      <c r="Q676" t="n">
        <v>0</v>
      </c>
      <c r="R676" s="2" t="inlineStr"/>
    </row>
    <row r="677" ht="15" customHeight="1">
      <c r="A677" t="inlineStr">
        <is>
          <t>A 49654-2025</t>
        </is>
      </c>
      <c r="B677" s="1" t="n">
        <v>45938</v>
      </c>
      <c r="C677" s="1" t="n">
        <v>46003</v>
      </c>
      <c r="D677" t="inlineStr">
        <is>
          <t>ÖSTERGÖTLANDS LÄN</t>
        </is>
      </c>
      <c r="E677" t="inlineStr">
        <is>
          <t>LINKÖPING</t>
        </is>
      </c>
      <c r="F677" t="inlineStr">
        <is>
          <t>Övriga Aktiebolag</t>
        </is>
      </c>
      <c r="G677" t="n">
        <v>3.1</v>
      </c>
      <c r="H677" t="n">
        <v>0</v>
      </c>
      <c r="I677" t="n">
        <v>0</v>
      </c>
      <c r="J677" t="n">
        <v>0</v>
      </c>
      <c r="K677" t="n">
        <v>0</v>
      </c>
      <c r="L677" t="n">
        <v>0</v>
      </c>
      <c r="M677" t="n">
        <v>0</v>
      </c>
      <c r="N677" t="n">
        <v>0</v>
      </c>
      <c r="O677" t="n">
        <v>0</v>
      </c>
      <c r="P677" t="n">
        <v>0</v>
      </c>
      <c r="Q677" t="n">
        <v>0</v>
      </c>
      <c r="R677" s="2" t="inlineStr"/>
    </row>
    <row r="678" ht="15" customHeight="1">
      <c r="A678" t="inlineStr">
        <is>
          <t>A 29411-2025</t>
        </is>
      </c>
      <c r="B678" s="1" t="n">
        <v>45824.6219212963</v>
      </c>
      <c r="C678" s="1" t="n">
        <v>46003</v>
      </c>
      <c r="D678" t="inlineStr">
        <is>
          <t>ÖSTERGÖTLANDS LÄN</t>
        </is>
      </c>
      <c r="E678" t="inlineStr">
        <is>
          <t>LINKÖPING</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49619-2025</t>
        </is>
      </c>
      <c r="B679" s="1" t="n">
        <v>45938</v>
      </c>
      <c r="C679" s="1" t="n">
        <v>46003</v>
      </c>
      <c r="D679" t="inlineStr">
        <is>
          <t>ÖSTERGÖTLANDS LÄN</t>
        </is>
      </c>
      <c r="E679" t="inlineStr">
        <is>
          <t>LINKÖPING</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49629-2025</t>
        </is>
      </c>
      <c r="B680" s="1" t="n">
        <v>45938</v>
      </c>
      <c r="C680" s="1" t="n">
        <v>46003</v>
      </c>
      <c r="D680" t="inlineStr">
        <is>
          <t>ÖSTERGÖTLANDS LÄN</t>
        </is>
      </c>
      <c r="E680" t="inlineStr">
        <is>
          <t>LINKÖPING</t>
        </is>
      </c>
      <c r="F680" t="inlineStr">
        <is>
          <t>Övriga Aktiebolag</t>
        </is>
      </c>
      <c r="G680" t="n">
        <v>4.5</v>
      </c>
      <c r="H680" t="n">
        <v>0</v>
      </c>
      <c r="I680" t="n">
        <v>0</v>
      </c>
      <c r="J680" t="n">
        <v>0</v>
      </c>
      <c r="K680" t="n">
        <v>0</v>
      </c>
      <c r="L680" t="n">
        <v>0</v>
      </c>
      <c r="M680" t="n">
        <v>0</v>
      </c>
      <c r="N680" t="n">
        <v>0</v>
      </c>
      <c r="O680" t="n">
        <v>0</v>
      </c>
      <c r="P680" t="n">
        <v>0</v>
      </c>
      <c r="Q680" t="n">
        <v>0</v>
      </c>
      <c r="R680" s="2" t="inlineStr"/>
    </row>
    <row r="681" ht="15" customHeight="1">
      <c r="A681" t="inlineStr">
        <is>
          <t>A 49650-2025</t>
        </is>
      </c>
      <c r="B681" s="1" t="n">
        <v>45938</v>
      </c>
      <c r="C681" s="1" t="n">
        <v>46003</v>
      </c>
      <c r="D681" t="inlineStr">
        <is>
          <t>ÖSTERGÖTLANDS LÄN</t>
        </is>
      </c>
      <c r="E681" t="inlineStr">
        <is>
          <t>LINKÖPING</t>
        </is>
      </c>
      <c r="F681" t="inlineStr">
        <is>
          <t>Övriga Aktiebolag</t>
        </is>
      </c>
      <c r="G681" t="n">
        <v>1.5</v>
      </c>
      <c r="H681" t="n">
        <v>0</v>
      </c>
      <c r="I681" t="n">
        <v>0</v>
      </c>
      <c r="J681" t="n">
        <v>0</v>
      </c>
      <c r="K681" t="n">
        <v>0</v>
      </c>
      <c r="L681" t="n">
        <v>0</v>
      </c>
      <c r="M681" t="n">
        <v>0</v>
      </c>
      <c r="N681" t="n">
        <v>0</v>
      </c>
      <c r="O681" t="n">
        <v>0</v>
      </c>
      <c r="P681" t="n">
        <v>0</v>
      </c>
      <c r="Q681" t="n">
        <v>0</v>
      </c>
      <c r="R681" s="2" t="inlineStr"/>
    </row>
    <row r="682" ht="15" customHeight="1">
      <c r="A682" t="inlineStr">
        <is>
          <t>A 49632-2025</t>
        </is>
      </c>
      <c r="B682" s="1" t="n">
        <v>45938</v>
      </c>
      <c r="C682" s="1" t="n">
        <v>46003</v>
      </c>
      <c r="D682" t="inlineStr">
        <is>
          <t>ÖSTERGÖTLANDS LÄN</t>
        </is>
      </c>
      <c r="E682" t="inlineStr">
        <is>
          <t>LINKÖPING</t>
        </is>
      </c>
      <c r="F682" t="inlineStr">
        <is>
          <t>Övriga Aktiebolag</t>
        </is>
      </c>
      <c r="G682" t="n">
        <v>1.6</v>
      </c>
      <c r="H682" t="n">
        <v>0</v>
      </c>
      <c r="I682" t="n">
        <v>0</v>
      </c>
      <c r="J682" t="n">
        <v>0</v>
      </c>
      <c r="K682" t="n">
        <v>0</v>
      </c>
      <c r="L682" t="n">
        <v>0</v>
      </c>
      <c r="M682" t="n">
        <v>0</v>
      </c>
      <c r="N682" t="n">
        <v>0</v>
      </c>
      <c r="O682" t="n">
        <v>0</v>
      </c>
      <c r="P682" t="n">
        <v>0</v>
      </c>
      <c r="Q682" t="n">
        <v>0</v>
      </c>
      <c r="R682" s="2" t="inlineStr"/>
    </row>
    <row r="683" ht="15" customHeight="1">
      <c r="A683" t="inlineStr">
        <is>
          <t>A 49615-2025</t>
        </is>
      </c>
      <c r="B683" s="1" t="n">
        <v>45938</v>
      </c>
      <c r="C683" s="1" t="n">
        <v>46003</v>
      </c>
      <c r="D683" t="inlineStr">
        <is>
          <t>ÖSTERGÖTLANDS LÄN</t>
        </is>
      </c>
      <c r="E683" t="inlineStr">
        <is>
          <t>LINKÖPING</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29599-2025</t>
        </is>
      </c>
      <c r="B684" s="1" t="n">
        <v>45825.41101851852</v>
      </c>
      <c r="C684" s="1" t="n">
        <v>46003</v>
      </c>
      <c r="D684" t="inlineStr">
        <is>
          <t>ÖSTERGÖTLANDS LÄN</t>
        </is>
      </c>
      <c r="E684" t="inlineStr">
        <is>
          <t>LINKÖPING</t>
        </is>
      </c>
      <c r="G684" t="n">
        <v>0.9</v>
      </c>
      <c r="H684" t="n">
        <v>0</v>
      </c>
      <c r="I684" t="n">
        <v>0</v>
      </c>
      <c r="J684" t="n">
        <v>0</v>
      </c>
      <c r="K684" t="n">
        <v>0</v>
      </c>
      <c r="L684" t="n">
        <v>0</v>
      </c>
      <c r="M684" t="n">
        <v>0</v>
      </c>
      <c r="N684" t="n">
        <v>0</v>
      </c>
      <c r="O684" t="n">
        <v>0</v>
      </c>
      <c r="P684" t="n">
        <v>0</v>
      </c>
      <c r="Q684" t="n">
        <v>0</v>
      </c>
      <c r="R684" s="2" t="inlineStr"/>
    </row>
    <row r="685" ht="15" customHeight="1">
      <c r="A685" t="inlineStr">
        <is>
          <t>A 30355-2025</t>
        </is>
      </c>
      <c r="B685" s="1" t="n">
        <v>45827</v>
      </c>
      <c r="C685" s="1" t="n">
        <v>46003</v>
      </c>
      <c r="D685" t="inlineStr">
        <is>
          <t>ÖSTERGÖTLANDS LÄN</t>
        </is>
      </c>
      <c r="E685" t="inlineStr">
        <is>
          <t>LINKÖPING</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30353-2025</t>
        </is>
      </c>
      <c r="B686" s="1" t="n">
        <v>45827</v>
      </c>
      <c r="C686" s="1" t="n">
        <v>46003</v>
      </c>
      <c r="D686" t="inlineStr">
        <is>
          <t>ÖSTERGÖTLANDS LÄN</t>
        </is>
      </c>
      <c r="E686" t="inlineStr">
        <is>
          <t>LINKÖPING</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40983-2025</t>
        </is>
      </c>
      <c r="B687" s="1" t="n">
        <v>45898</v>
      </c>
      <c r="C687" s="1" t="n">
        <v>46003</v>
      </c>
      <c r="D687" t="inlineStr">
        <is>
          <t>ÖSTERGÖTLANDS LÄN</t>
        </is>
      </c>
      <c r="E687" t="inlineStr">
        <is>
          <t>LINKÖPING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31581-2025</t>
        </is>
      </c>
      <c r="B688" s="1" t="n">
        <v>45833.6840162037</v>
      </c>
      <c r="C688" s="1" t="n">
        <v>46003</v>
      </c>
      <c r="D688" t="inlineStr">
        <is>
          <t>ÖSTERGÖTLANDS LÄN</t>
        </is>
      </c>
      <c r="E688" t="inlineStr">
        <is>
          <t>LINKÖPING</t>
        </is>
      </c>
      <c r="G688" t="n">
        <v>2.6</v>
      </c>
      <c r="H688" t="n">
        <v>0</v>
      </c>
      <c r="I688" t="n">
        <v>0</v>
      </c>
      <c r="J688" t="n">
        <v>0</v>
      </c>
      <c r="K688" t="n">
        <v>0</v>
      </c>
      <c r="L688" t="n">
        <v>0</v>
      </c>
      <c r="M688" t="n">
        <v>0</v>
      </c>
      <c r="N688" t="n">
        <v>0</v>
      </c>
      <c r="O688" t="n">
        <v>0</v>
      </c>
      <c r="P688" t="n">
        <v>0</v>
      </c>
      <c r="Q688" t="n">
        <v>0</v>
      </c>
      <c r="R688" s="2" t="inlineStr"/>
    </row>
    <row r="689" ht="15" customHeight="1">
      <c r="A689" t="inlineStr">
        <is>
          <t>A 31585-2025</t>
        </is>
      </c>
      <c r="B689" s="1" t="n">
        <v>45833.68815972222</v>
      </c>
      <c r="C689" s="1" t="n">
        <v>46003</v>
      </c>
      <c r="D689" t="inlineStr">
        <is>
          <t>ÖSTERGÖTLANDS LÄN</t>
        </is>
      </c>
      <c r="E689" t="inlineStr">
        <is>
          <t>LINKÖPING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50056-2025</t>
        </is>
      </c>
      <c r="B690" s="1" t="n">
        <v>45941</v>
      </c>
      <c r="C690" s="1" t="n">
        <v>46003</v>
      </c>
      <c r="D690" t="inlineStr">
        <is>
          <t>ÖSTERGÖTLANDS LÄN</t>
        </is>
      </c>
      <c r="E690" t="inlineStr">
        <is>
          <t>LINKÖPING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55004-2025</t>
        </is>
      </c>
      <c r="B691" s="1" t="n">
        <v>45967</v>
      </c>
      <c r="C691" s="1" t="n">
        <v>46003</v>
      </c>
      <c r="D691" t="inlineStr">
        <is>
          <t>ÖSTERGÖTLANDS LÄN</t>
        </is>
      </c>
      <c r="E691" t="inlineStr">
        <is>
          <t>LINKÖPING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32723-2025</t>
        </is>
      </c>
      <c r="B692" s="1" t="n">
        <v>45838</v>
      </c>
      <c r="C692" s="1" t="n">
        <v>46003</v>
      </c>
      <c r="D692" t="inlineStr">
        <is>
          <t>ÖSTERGÖTLANDS LÄN</t>
        </is>
      </c>
      <c r="E692" t="inlineStr">
        <is>
          <t>LINKÖPING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59205-2025</t>
        </is>
      </c>
      <c r="B693" s="1" t="n">
        <v>45988.60721064815</v>
      </c>
      <c r="C693" s="1" t="n">
        <v>46003</v>
      </c>
      <c r="D693" t="inlineStr">
        <is>
          <t>ÖSTERGÖTLANDS LÄN</t>
        </is>
      </c>
      <c r="E693" t="inlineStr">
        <is>
          <t>LINKÖPING</t>
        </is>
      </c>
      <c r="F693" t="inlineStr">
        <is>
          <t>Sveaskog</t>
        </is>
      </c>
      <c r="G693" t="n">
        <v>11.3</v>
      </c>
      <c r="H693" t="n">
        <v>0</v>
      </c>
      <c r="I693" t="n">
        <v>0</v>
      </c>
      <c r="J693" t="n">
        <v>0</v>
      </c>
      <c r="K693" t="n">
        <v>0</v>
      </c>
      <c r="L693" t="n">
        <v>0</v>
      </c>
      <c r="M693" t="n">
        <v>0</v>
      </c>
      <c r="N693" t="n">
        <v>0</v>
      </c>
      <c r="O693" t="n">
        <v>0</v>
      </c>
      <c r="P693" t="n">
        <v>0</v>
      </c>
      <c r="Q693" t="n">
        <v>0</v>
      </c>
      <c r="R693" s="2" t="inlineStr"/>
    </row>
    <row r="694" ht="15" customHeight="1">
      <c r="A694" t="inlineStr">
        <is>
          <t>A 58802-2025</t>
        </is>
      </c>
      <c r="B694" s="1" t="n">
        <v>45986.8768287037</v>
      </c>
      <c r="C694" s="1" t="n">
        <v>46003</v>
      </c>
      <c r="D694" t="inlineStr">
        <is>
          <t>ÖSTERGÖTLANDS LÄN</t>
        </is>
      </c>
      <c r="E694" t="inlineStr">
        <is>
          <t>LINKÖPING</t>
        </is>
      </c>
      <c r="G694" t="n">
        <v>0.9</v>
      </c>
      <c r="H694" t="n">
        <v>0</v>
      </c>
      <c r="I694" t="n">
        <v>0</v>
      </c>
      <c r="J694" t="n">
        <v>0</v>
      </c>
      <c r="K694" t="n">
        <v>0</v>
      </c>
      <c r="L694" t="n">
        <v>0</v>
      </c>
      <c r="M694" t="n">
        <v>0</v>
      </c>
      <c r="N694" t="n">
        <v>0</v>
      </c>
      <c r="O694" t="n">
        <v>0</v>
      </c>
      <c r="P694" t="n">
        <v>0</v>
      </c>
      <c r="Q694" t="n">
        <v>0</v>
      </c>
      <c r="R694" s="2" t="inlineStr"/>
    </row>
    <row r="695" ht="15" customHeight="1">
      <c r="A695" t="inlineStr">
        <is>
          <t>A 50667-2025</t>
        </is>
      </c>
      <c r="B695" s="1" t="n">
        <v>45945</v>
      </c>
      <c r="C695" s="1" t="n">
        <v>46003</v>
      </c>
      <c r="D695" t="inlineStr">
        <is>
          <t>ÖSTERGÖTLANDS LÄN</t>
        </is>
      </c>
      <c r="E695" t="inlineStr">
        <is>
          <t>LINKÖPING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33947-2025</t>
        </is>
      </c>
      <c r="B696" s="1" t="n">
        <v>45842.65444444444</v>
      </c>
      <c r="C696" s="1" t="n">
        <v>46003</v>
      </c>
      <c r="D696" t="inlineStr">
        <is>
          <t>ÖSTERGÖTLANDS LÄN</t>
        </is>
      </c>
      <c r="E696" t="inlineStr">
        <is>
          <t>LINKÖPING</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59472-2025</t>
        </is>
      </c>
      <c r="B697" s="1" t="n">
        <v>45989.58321759259</v>
      </c>
      <c r="C697" s="1" t="n">
        <v>46003</v>
      </c>
      <c r="D697" t="inlineStr">
        <is>
          <t>ÖSTERGÖTLANDS LÄN</t>
        </is>
      </c>
      <c r="E697" t="inlineStr">
        <is>
          <t>LINKÖPING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51802-2025</t>
        </is>
      </c>
      <c r="B698" s="1" t="n">
        <v>45950</v>
      </c>
      <c r="C698" s="1" t="n">
        <v>46003</v>
      </c>
      <c r="D698" t="inlineStr">
        <is>
          <t>ÖSTERGÖTLANDS LÄN</t>
        </is>
      </c>
      <c r="E698" t="inlineStr">
        <is>
          <t>LINKÖPING</t>
        </is>
      </c>
      <c r="F698" t="inlineStr">
        <is>
          <t>Övriga Aktiebolag</t>
        </is>
      </c>
      <c r="G698" t="n">
        <v>2</v>
      </c>
      <c r="H698" t="n">
        <v>0</v>
      </c>
      <c r="I698" t="n">
        <v>0</v>
      </c>
      <c r="J698" t="n">
        <v>0</v>
      </c>
      <c r="K698" t="n">
        <v>0</v>
      </c>
      <c r="L698" t="n">
        <v>0</v>
      </c>
      <c r="M698" t="n">
        <v>0</v>
      </c>
      <c r="N698" t="n">
        <v>0</v>
      </c>
      <c r="O698" t="n">
        <v>0</v>
      </c>
      <c r="P698" t="n">
        <v>0</v>
      </c>
      <c r="Q698" t="n">
        <v>0</v>
      </c>
      <c r="R698" s="2" t="inlineStr"/>
    </row>
    <row r="699" ht="15" customHeight="1">
      <c r="A699" t="inlineStr">
        <is>
          <t>A 10253-2022</t>
        </is>
      </c>
      <c r="B699" s="1" t="n">
        <v>44622</v>
      </c>
      <c r="C699" s="1" t="n">
        <v>46003</v>
      </c>
      <c r="D699" t="inlineStr">
        <is>
          <t>ÖSTERGÖTLANDS LÄN</t>
        </is>
      </c>
      <c r="E699" t="inlineStr">
        <is>
          <t>LINKÖPING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62012-2024</t>
        </is>
      </c>
      <c r="B700" s="1" t="n">
        <v>45655.79679398148</v>
      </c>
      <c r="C700" s="1" t="n">
        <v>46003</v>
      </c>
      <c r="D700" t="inlineStr">
        <is>
          <t>ÖSTERGÖTLANDS LÄN</t>
        </is>
      </c>
      <c r="E700" t="inlineStr">
        <is>
          <t>LINKÖPING</t>
        </is>
      </c>
      <c r="G700" t="n">
        <v>1.5</v>
      </c>
      <c r="H700" t="n">
        <v>0</v>
      </c>
      <c r="I700" t="n">
        <v>0</v>
      </c>
      <c r="J700" t="n">
        <v>0</v>
      </c>
      <c r="K700" t="n">
        <v>0</v>
      </c>
      <c r="L700" t="n">
        <v>0</v>
      </c>
      <c r="M700" t="n">
        <v>0</v>
      </c>
      <c r="N700" t="n">
        <v>0</v>
      </c>
      <c r="O700" t="n">
        <v>0</v>
      </c>
      <c r="P700" t="n">
        <v>0</v>
      </c>
      <c r="Q700" t="n">
        <v>0</v>
      </c>
      <c r="R700" s="2" t="inlineStr"/>
    </row>
    <row r="701" ht="15" customHeight="1">
      <c r="A701" t="inlineStr">
        <is>
          <t>A 53529-2024</t>
        </is>
      </c>
      <c r="B701" s="1" t="n">
        <v>45614</v>
      </c>
      <c r="C701" s="1" t="n">
        <v>46003</v>
      </c>
      <c r="D701" t="inlineStr">
        <is>
          <t>ÖSTERGÖTLANDS LÄN</t>
        </is>
      </c>
      <c r="E701" t="inlineStr">
        <is>
          <t>LINKÖPING</t>
        </is>
      </c>
      <c r="G701" t="n">
        <v>6.7</v>
      </c>
      <c r="H701" t="n">
        <v>0</v>
      </c>
      <c r="I701" t="n">
        <v>0</v>
      </c>
      <c r="J701" t="n">
        <v>0</v>
      </c>
      <c r="K701" t="n">
        <v>0</v>
      </c>
      <c r="L701" t="n">
        <v>0</v>
      </c>
      <c r="M701" t="n">
        <v>0</v>
      </c>
      <c r="N701" t="n">
        <v>0</v>
      </c>
      <c r="O701" t="n">
        <v>0</v>
      </c>
      <c r="P701" t="n">
        <v>0</v>
      </c>
      <c r="Q701" t="n">
        <v>0</v>
      </c>
      <c r="R701" s="2" t="inlineStr"/>
    </row>
    <row r="702" ht="15" customHeight="1">
      <c r="A702" t="inlineStr">
        <is>
          <t>A 20469-2025</t>
        </is>
      </c>
      <c r="B702" s="1" t="n">
        <v>45775</v>
      </c>
      <c r="C702" s="1" t="n">
        <v>46003</v>
      </c>
      <c r="D702" t="inlineStr">
        <is>
          <t>ÖSTERGÖTLANDS LÄN</t>
        </is>
      </c>
      <c r="E702" t="inlineStr">
        <is>
          <t>LINKÖPING</t>
        </is>
      </c>
      <c r="F702" t="inlineStr">
        <is>
          <t>Kyrkan</t>
        </is>
      </c>
      <c r="G702" t="n">
        <v>6.1</v>
      </c>
      <c r="H702" t="n">
        <v>0</v>
      </c>
      <c r="I702" t="n">
        <v>0</v>
      </c>
      <c r="J702" t="n">
        <v>0</v>
      </c>
      <c r="K702" t="n">
        <v>0</v>
      </c>
      <c r="L702" t="n">
        <v>0</v>
      </c>
      <c r="M702" t="n">
        <v>0</v>
      </c>
      <c r="N702" t="n">
        <v>0</v>
      </c>
      <c r="O702" t="n">
        <v>0</v>
      </c>
      <c r="P702" t="n">
        <v>0</v>
      </c>
      <c r="Q702" t="n">
        <v>0</v>
      </c>
      <c r="R702" s="2" t="inlineStr"/>
    </row>
    <row r="703" ht="15" customHeight="1">
      <c r="A703" t="inlineStr">
        <is>
          <t>A 60087-2025</t>
        </is>
      </c>
      <c r="B703" s="1" t="n">
        <v>45993.71726851852</v>
      </c>
      <c r="C703" s="1" t="n">
        <v>46003</v>
      </c>
      <c r="D703" t="inlineStr">
        <is>
          <t>ÖSTERGÖTLANDS LÄN</t>
        </is>
      </c>
      <c r="E703" t="inlineStr">
        <is>
          <t>LINKÖPING</t>
        </is>
      </c>
      <c r="G703" t="n">
        <v>1</v>
      </c>
      <c r="H703" t="n">
        <v>0</v>
      </c>
      <c r="I703" t="n">
        <v>0</v>
      </c>
      <c r="J703" t="n">
        <v>0</v>
      </c>
      <c r="K703" t="n">
        <v>0</v>
      </c>
      <c r="L703" t="n">
        <v>0</v>
      </c>
      <c r="M703" t="n">
        <v>0</v>
      </c>
      <c r="N703" t="n">
        <v>0</v>
      </c>
      <c r="O703" t="n">
        <v>0</v>
      </c>
      <c r="P703" t="n">
        <v>0</v>
      </c>
      <c r="Q703" t="n">
        <v>0</v>
      </c>
      <c r="R703" s="2" t="inlineStr"/>
    </row>
    <row r="704" ht="15" customHeight="1">
      <c r="A704" t="inlineStr">
        <is>
          <t>A 60284-2025</t>
        </is>
      </c>
      <c r="B704" s="1" t="n">
        <v>45994.64373842593</v>
      </c>
      <c r="C704" s="1" t="n">
        <v>46003</v>
      </c>
      <c r="D704" t="inlineStr">
        <is>
          <t>ÖSTERGÖTLANDS LÄN</t>
        </is>
      </c>
      <c r="E704" t="inlineStr">
        <is>
          <t>LINKÖPING</t>
        </is>
      </c>
      <c r="G704" t="n">
        <v>3.5</v>
      </c>
      <c r="H704" t="n">
        <v>0</v>
      </c>
      <c r="I704" t="n">
        <v>0</v>
      </c>
      <c r="J704" t="n">
        <v>0</v>
      </c>
      <c r="K704" t="n">
        <v>0</v>
      </c>
      <c r="L704" t="n">
        <v>0</v>
      </c>
      <c r="M704" t="n">
        <v>0</v>
      </c>
      <c r="N704" t="n">
        <v>0</v>
      </c>
      <c r="O704" t="n">
        <v>0</v>
      </c>
      <c r="P704" t="n">
        <v>0</v>
      </c>
      <c r="Q704" t="n">
        <v>0</v>
      </c>
      <c r="R704" s="2" t="inlineStr"/>
    </row>
    <row r="705" ht="15" customHeight="1">
      <c r="A705" t="inlineStr">
        <is>
          <t>A 60306-2025</t>
        </is>
      </c>
      <c r="B705" s="1" t="n">
        <v>45994.68326388889</v>
      </c>
      <c r="C705" s="1" t="n">
        <v>46003</v>
      </c>
      <c r="D705" t="inlineStr">
        <is>
          <t>ÖSTERGÖTLANDS LÄN</t>
        </is>
      </c>
      <c r="E705" t="inlineStr">
        <is>
          <t>LINKÖPING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52111-2025</t>
        </is>
      </c>
      <c r="B706" s="1" t="n">
        <v>45952.69527777778</v>
      </c>
      <c r="C706" s="1" t="n">
        <v>46003</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33800-2023</t>
        </is>
      </c>
      <c r="B707" s="1" t="n">
        <v>45121</v>
      </c>
      <c r="C707" s="1" t="n">
        <v>46003</v>
      </c>
      <c r="D707" t="inlineStr">
        <is>
          <t>ÖSTERGÖTLANDS LÄN</t>
        </is>
      </c>
      <c r="E707" t="inlineStr">
        <is>
          <t>LINKÖPING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47991-2023</t>
        </is>
      </c>
      <c r="B708" s="1" t="n">
        <v>45204.62655092592</v>
      </c>
      <c r="C708" s="1" t="n">
        <v>46003</v>
      </c>
      <c r="D708" t="inlineStr">
        <is>
          <t>ÖSTERGÖTLANDS LÄN</t>
        </is>
      </c>
      <c r="E708" t="inlineStr">
        <is>
          <t>LINKÖPING</t>
        </is>
      </c>
      <c r="F708" t="inlineStr">
        <is>
          <t>Allmännings- och besparingsskogar</t>
        </is>
      </c>
      <c r="G708" t="n">
        <v>7.3</v>
      </c>
      <c r="H708" t="n">
        <v>0</v>
      </c>
      <c r="I708" t="n">
        <v>0</v>
      </c>
      <c r="J708" t="n">
        <v>0</v>
      </c>
      <c r="K708" t="n">
        <v>0</v>
      </c>
      <c r="L708" t="n">
        <v>0</v>
      </c>
      <c r="M708" t="n">
        <v>0</v>
      </c>
      <c r="N708" t="n">
        <v>0</v>
      </c>
      <c r="O708" t="n">
        <v>0</v>
      </c>
      <c r="P708" t="n">
        <v>0</v>
      </c>
      <c r="Q708" t="n">
        <v>0</v>
      </c>
      <c r="R708" s="2" t="inlineStr"/>
    </row>
    <row r="709" ht="15" customHeight="1">
      <c r="A709" t="inlineStr">
        <is>
          <t>A 35178-2025</t>
        </is>
      </c>
      <c r="B709" s="1" t="n">
        <v>45852.91939814815</v>
      </c>
      <c r="C709" s="1" t="n">
        <v>46003</v>
      </c>
      <c r="D709" t="inlineStr">
        <is>
          <t>ÖSTERGÖTLANDS LÄN</t>
        </is>
      </c>
      <c r="E709" t="inlineStr">
        <is>
          <t>LINKÖPING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35174-2025</t>
        </is>
      </c>
      <c r="B710" s="1" t="n">
        <v>45852.90648148148</v>
      </c>
      <c r="C710" s="1" t="n">
        <v>46003</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26007-2025</t>
        </is>
      </c>
      <c r="B711" s="1" t="n">
        <v>45804.67081018518</v>
      </c>
      <c r="C711" s="1" t="n">
        <v>46003</v>
      </c>
      <c r="D711" t="inlineStr">
        <is>
          <t>ÖSTERGÖTLANDS LÄN</t>
        </is>
      </c>
      <c r="E711" t="inlineStr">
        <is>
          <t>LINKÖPING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35179-2025</t>
        </is>
      </c>
      <c r="B712" s="1" t="n">
        <v>45852.93737268518</v>
      </c>
      <c r="C712" s="1" t="n">
        <v>46003</v>
      </c>
      <c r="D712" t="inlineStr">
        <is>
          <t>ÖSTERGÖTLANDS LÄN</t>
        </is>
      </c>
      <c r="E712" t="inlineStr">
        <is>
          <t>LINKÖPING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35180-2025</t>
        </is>
      </c>
      <c r="B713" s="1" t="n">
        <v>45852.9413425926</v>
      </c>
      <c r="C713" s="1" t="n">
        <v>46003</v>
      </c>
      <c r="D713" t="inlineStr">
        <is>
          <t>ÖSTERGÖTLANDS LÄN</t>
        </is>
      </c>
      <c r="E713" t="inlineStr">
        <is>
          <t>LINKÖPING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35747-2025</t>
        </is>
      </c>
      <c r="B714" s="1" t="n">
        <v>45860.56385416666</v>
      </c>
      <c r="C714" s="1" t="n">
        <v>46003</v>
      </c>
      <c r="D714" t="inlineStr">
        <is>
          <t>ÖSTERGÖTLANDS LÄN</t>
        </is>
      </c>
      <c r="E714" t="inlineStr">
        <is>
          <t>LINKÖPING</t>
        </is>
      </c>
      <c r="G714" t="n">
        <v>2.4</v>
      </c>
      <c r="H714" t="n">
        <v>0</v>
      </c>
      <c r="I714" t="n">
        <v>0</v>
      </c>
      <c r="J714" t="n">
        <v>0</v>
      </c>
      <c r="K714" t="n">
        <v>0</v>
      </c>
      <c r="L714" t="n">
        <v>0</v>
      </c>
      <c r="M714" t="n">
        <v>0</v>
      </c>
      <c r="N714" t="n">
        <v>0</v>
      </c>
      <c r="O714" t="n">
        <v>0</v>
      </c>
      <c r="P714" t="n">
        <v>0</v>
      </c>
      <c r="Q714" t="n">
        <v>0</v>
      </c>
      <c r="R714" s="2" t="inlineStr"/>
    </row>
    <row r="715" ht="15" customHeight="1">
      <c r="A715" t="inlineStr">
        <is>
          <t>A 35745-2025</t>
        </is>
      </c>
      <c r="B715" s="1" t="n">
        <v>45860.54739583333</v>
      </c>
      <c r="C715" s="1" t="n">
        <v>46003</v>
      </c>
      <c r="D715" t="inlineStr">
        <is>
          <t>ÖSTERGÖTLANDS LÄN</t>
        </is>
      </c>
      <c r="E715" t="inlineStr">
        <is>
          <t>LINKÖPING</t>
        </is>
      </c>
      <c r="G715" t="n">
        <v>4.4</v>
      </c>
      <c r="H715" t="n">
        <v>0</v>
      </c>
      <c r="I715" t="n">
        <v>0</v>
      </c>
      <c r="J715" t="n">
        <v>0</v>
      </c>
      <c r="K715" t="n">
        <v>0</v>
      </c>
      <c r="L715" t="n">
        <v>0</v>
      </c>
      <c r="M715" t="n">
        <v>0</v>
      </c>
      <c r="N715" t="n">
        <v>0</v>
      </c>
      <c r="O715" t="n">
        <v>0</v>
      </c>
      <c r="P715" t="n">
        <v>0</v>
      </c>
      <c r="Q715" t="n">
        <v>0</v>
      </c>
      <c r="R715" s="2" t="inlineStr"/>
    </row>
    <row r="716" ht="15" customHeight="1">
      <c r="A716" t="inlineStr">
        <is>
          <t>A 35757-2025</t>
        </is>
      </c>
      <c r="B716" s="1" t="n">
        <v>45860.59876157407</v>
      </c>
      <c r="C716" s="1" t="n">
        <v>46003</v>
      </c>
      <c r="D716" t="inlineStr">
        <is>
          <t>ÖSTERGÖTLANDS LÄN</t>
        </is>
      </c>
      <c r="E716" t="inlineStr">
        <is>
          <t>LINKÖPING</t>
        </is>
      </c>
      <c r="G716" t="n">
        <v>5.7</v>
      </c>
      <c r="H716" t="n">
        <v>0</v>
      </c>
      <c r="I716" t="n">
        <v>0</v>
      </c>
      <c r="J716" t="n">
        <v>0</v>
      </c>
      <c r="K716" t="n">
        <v>0</v>
      </c>
      <c r="L716" t="n">
        <v>0</v>
      </c>
      <c r="M716" t="n">
        <v>0</v>
      </c>
      <c r="N716" t="n">
        <v>0</v>
      </c>
      <c r="O716" t="n">
        <v>0</v>
      </c>
      <c r="P716" t="n">
        <v>0</v>
      </c>
      <c r="Q716" t="n">
        <v>0</v>
      </c>
      <c r="R716" s="2" t="inlineStr"/>
    </row>
    <row r="717" ht="15" customHeight="1">
      <c r="A717" t="inlineStr">
        <is>
          <t>A 35759-2025</t>
        </is>
      </c>
      <c r="B717" s="1" t="n">
        <v>45860</v>
      </c>
      <c r="C717" s="1" t="n">
        <v>46003</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60703-2025</t>
        </is>
      </c>
      <c r="B718" s="1" t="n">
        <v>45996.6052662037</v>
      </c>
      <c r="C718" s="1" t="n">
        <v>46003</v>
      </c>
      <c r="D718" t="inlineStr">
        <is>
          <t>ÖSTERGÖTLANDS LÄN</t>
        </is>
      </c>
      <c r="E718" t="inlineStr">
        <is>
          <t>LINKÖPING</t>
        </is>
      </c>
      <c r="F718" t="inlineStr">
        <is>
          <t>Övriga Aktiebolag</t>
        </is>
      </c>
      <c r="G718" t="n">
        <v>1.3</v>
      </c>
      <c r="H718" t="n">
        <v>0</v>
      </c>
      <c r="I718" t="n">
        <v>0</v>
      </c>
      <c r="J718" t="n">
        <v>0</v>
      </c>
      <c r="K718" t="n">
        <v>0</v>
      </c>
      <c r="L718" t="n">
        <v>0</v>
      </c>
      <c r="M718" t="n">
        <v>0</v>
      </c>
      <c r="N718" t="n">
        <v>0</v>
      </c>
      <c r="O718" t="n">
        <v>0</v>
      </c>
      <c r="P718" t="n">
        <v>0</v>
      </c>
      <c r="Q718" t="n">
        <v>0</v>
      </c>
      <c r="R718" s="2" t="inlineStr"/>
    </row>
    <row r="719" ht="15" customHeight="1">
      <c r="A719" t="inlineStr">
        <is>
          <t>A 52800-2025</t>
        </is>
      </c>
      <c r="B719" s="1" t="n">
        <v>45957.44152777778</v>
      </c>
      <c r="C719" s="1" t="n">
        <v>46003</v>
      </c>
      <c r="D719" t="inlineStr">
        <is>
          <t>ÖSTERGÖTLANDS LÄN</t>
        </is>
      </c>
      <c r="E719" t="inlineStr">
        <is>
          <t>LINKÖPING</t>
        </is>
      </c>
      <c r="G719" t="n">
        <v>2.5</v>
      </c>
      <c r="H719" t="n">
        <v>0</v>
      </c>
      <c r="I719" t="n">
        <v>0</v>
      </c>
      <c r="J719" t="n">
        <v>0</v>
      </c>
      <c r="K719" t="n">
        <v>0</v>
      </c>
      <c r="L719" t="n">
        <v>0</v>
      </c>
      <c r="M719" t="n">
        <v>0</v>
      </c>
      <c r="N719" t="n">
        <v>0</v>
      </c>
      <c r="O719" t="n">
        <v>0</v>
      </c>
      <c r="P719" t="n">
        <v>0</v>
      </c>
      <c r="Q719" t="n">
        <v>0</v>
      </c>
      <c r="R719" s="2" t="inlineStr"/>
    </row>
    <row r="720" ht="15" customHeight="1">
      <c r="A720" t="inlineStr">
        <is>
          <t>A 52802-2025</t>
        </is>
      </c>
      <c r="B720" s="1" t="n">
        <v>45957.44295138889</v>
      </c>
      <c r="C720" s="1" t="n">
        <v>46003</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60866-2025</t>
        </is>
      </c>
      <c r="B721" s="1" t="n">
        <v>45999.53953703704</v>
      </c>
      <c r="C721" s="1" t="n">
        <v>46003</v>
      </c>
      <c r="D721" t="inlineStr">
        <is>
          <t>ÖSTERGÖTLANDS LÄN</t>
        </is>
      </c>
      <c r="E721" t="inlineStr">
        <is>
          <t>LINKÖPING</t>
        </is>
      </c>
      <c r="G721" t="n">
        <v>0.9</v>
      </c>
      <c r="H721" t="n">
        <v>0</v>
      </c>
      <c r="I721" t="n">
        <v>0</v>
      </c>
      <c r="J721" t="n">
        <v>0</v>
      </c>
      <c r="K721" t="n">
        <v>0</v>
      </c>
      <c r="L721" t="n">
        <v>0</v>
      </c>
      <c r="M721" t="n">
        <v>0</v>
      </c>
      <c r="N721" t="n">
        <v>0</v>
      </c>
      <c r="O721" t="n">
        <v>0</v>
      </c>
      <c r="P721" t="n">
        <v>0</v>
      </c>
      <c r="Q721" t="n">
        <v>0</v>
      </c>
      <c r="R721" s="2" t="inlineStr"/>
    </row>
    <row r="722" ht="15" customHeight="1">
      <c r="A722" t="inlineStr">
        <is>
          <t>A 61230-2025</t>
        </is>
      </c>
      <c r="B722" s="1" t="n">
        <v>46000.63111111111</v>
      </c>
      <c r="C722" s="1" t="n">
        <v>46003</v>
      </c>
      <c r="D722" t="inlineStr">
        <is>
          <t>ÖSTERGÖTLANDS LÄN</t>
        </is>
      </c>
      <c r="E722" t="inlineStr">
        <is>
          <t>LINKÖPING</t>
        </is>
      </c>
      <c r="F722" t="inlineStr">
        <is>
          <t>Kyrkan</t>
        </is>
      </c>
      <c r="G722" t="n">
        <v>2.1</v>
      </c>
      <c r="H722" t="n">
        <v>0</v>
      </c>
      <c r="I722" t="n">
        <v>0</v>
      </c>
      <c r="J722" t="n">
        <v>0</v>
      </c>
      <c r="K722" t="n">
        <v>0</v>
      </c>
      <c r="L722" t="n">
        <v>0</v>
      </c>
      <c r="M722" t="n">
        <v>0</v>
      </c>
      <c r="N722" t="n">
        <v>0</v>
      </c>
      <c r="O722" t="n">
        <v>0</v>
      </c>
      <c r="P722" t="n">
        <v>0</v>
      </c>
      <c r="Q722" t="n">
        <v>0</v>
      </c>
      <c r="R722" s="2" t="inlineStr"/>
    </row>
    <row r="723" ht="15" customHeight="1">
      <c r="A723" t="inlineStr">
        <is>
          <t>A 52740-2025</t>
        </is>
      </c>
      <c r="B723" s="1" t="n">
        <v>45957.37747685185</v>
      </c>
      <c r="C723" s="1" t="n">
        <v>46003</v>
      </c>
      <c r="D723" t="inlineStr">
        <is>
          <t>ÖSTERGÖTLANDS LÄN</t>
        </is>
      </c>
      <c r="E723" t="inlineStr">
        <is>
          <t>LINKÖPING</t>
        </is>
      </c>
      <c r="G723" t="n">
        <v>3.7</v>
      </c>
      <c r="H723" t="n">
        <v>0</v>
      </c>
      <c r="I723" t="n">
        <v>0</v>
      </c>
      <c r="J723" t="n">
        <v>0</v>
      </c>
      <c r="K723" t="n">
        <v>0</v>
      </c>
      <c r="L723" t="n">
        <v>0</v>
      </c>
      <c r="M723" t="n">
        <v>0</v>
      </c>
      <c r="N723" t="n">
        <v>0</v>
      </c>
      <c r="O723" t="n">
        <v>0</v>
      </c>
      <c r="P723" t="n">
        <v>0</v>
      </c>
      <c r="Q723" t="n">
        <v>0</v>
      </c>
      <c r="R723" s="2" t="inlineStr"/>
    </row>
    <row r="724" ht="15" customHeight="1">
      <c r="A724" t="inlineStr">
        <is>
          <t>A 52743-2025</t>
        </is>
      </c>
      <c r="B724" s="1" t="n">
        <v>45957.38039351852</v>
      </c>
      <c r="C724" s="1" t="n">
        <v>46003</v>
      </c>
      <c r="D724" t="inlineStr">
        <is>
          <t>ÖSTERGÖTLANDS LÄN</t>
        </is>
      </c>
      <c r="E724" t="inlineStr">
        <is>
          <t>LINKÖPING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52807-2025</t>
        </is>
      </c>
      <c r="B725" s="1" t="n">
        <v>45957.44837962963</v>
      </c>
      <c r="C725" s="1" t="n">
        <v>46003</v>
      </c>
      <c r="D725" t="inlineStr">
        <is>
          <t>ÖSTERGÖTLANDS LÄN</t>
        </is>
      </c>
      <c r="E725" t="inlineStr">
        <is>
          <t>LINKÖPING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37057-2025</t>
        </is>
      </c>
      <c r="B726" s="1" t="n">
        <v>45875.37489583333</v>
      </c>
      <c r="C726" s="1" t="n">
        <v>46003</v>
      </c>
      <c r="D726" t="inlineStr">
        <is>
          <t>ÖSTERGÖTLANDS LÄN</t>
        </is>
      </c>
      <c r="E726" t="inlineStr">
        <is>
          <t>LINKÖPING</t>
        </is>
      </c>
      <c r="G726" t="n">
        <v>3.3</v>
      </c>
      <c r="H726" t="n">
        <v>0</v>
      </c>
      <c r="I726" t="n">
        <v>0</v>
      </c>
      <c r="J726" t="n">
        <v>0</v>
      </c>
      <c r="K726" t="n">
        <v>0</v>
      </c>
      <c r="L726" t="n">
        <v>0</v>
      </c>
      <c r="M726" t="n">
        <v>0</v>
      </c>
      <c r="N726" t="n">
        <v>0</v>
      </c>
      <c r="O726" t="n">
        <v>0</v>
      </c>
      <c r="P726" t="n">
        <v>0</v>
      </c>
      <c r="Q726" t="n">
        <v>0</v>
      </c>
      <c r="R726" s="2" t="inlineStr"/>
    </row>
    <row r="727" ht="15" customHeight="1">
      <c r="A727" t="inlineStr">
        <is>
          <t>A 61447-2025</t>
        </is>
      </c>
      <c r="B727" s="1" t="n">
        <v>46001.57554398148</v>
      </c>
      <c r="C727" s="1" t="n">
        <v>46003</v>
      </c>
      <c r="D727" t="inlineStr">
        <is>
          <t>ÖSTERGÖTLANDS LÄN</t>
        </is>
      </c>
      <c r="E727" t="inlineStr">
        <is>
          <t>LINKÖPING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61643-2025</t>
        </is>
      </c>
      <c r="B728" s="1" t="n">
        <v>46002.43575231481</v>
      </c>
      <c r="C728" s="1" t="n">
        <v>46003</v>
      </c>
      <c r="D728" t="inlineStr">
        <is>
          <t>ÖSTERGÖTLANDS LÄN</t>
        </is>
      </c>
      <c r="E728" t="inlineStr">
        <is>
          <t>LINKÖPING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61645-2025</t>
        </is>
      </c>
      <c r="B729" s="1" t="n">
        <v>46002.43697916667</v>
      </c>
      <c r="C729" s="1" t="n">
        <v>46003</v>
      </c>
      <c r="D729" t="inlineStr">
        <is>
          <t>ÖSTERGÖTLANDS LÄN</t>
        </is>
      </c>
      <c r="E729" t="inlineStr">
        <is>
          <t>LINKÖPING</t>
        </is>
      </c>
      <c r="G729" t="n">
        <v>1.9</v>
      </c>
      <c r="H729" t="n">
        <v>0</v>
      </c>
      <c r="I729" t="n">
        <v>0</v>
      </c>
      <c r="J729" t="n">
        <v>0</v>
      </c>
      <c r="K729" t="n">
        <v>0</v>
      </c>
      <c r="L729" t="n">
        <v>0</v>
      </c>
      <c r="M729" t="n">
        <v>0</v>
      </c>
      <c r="N729" t="n">
        <v>0</v>
      </c>
      <c r="O729" t="n">
        <v>0</v>
      </c>
      <c r="P729" t="n">
        <v>0</v>
      </c>
      <c r="Q729" t="n">
        <v>0</v>
      </c>
      <c r="R729" s="2" t="inlineStr"/>
    </row>
    <row r="730">
      <c r="A730" t="inlineStr">
        <is>
          <t>A 25829-2025</t>
        </is>
      </c>
      <c r="B730" s="1" t="n">
        <v>45804.44505787037</v>
      </c>
      <c r="C730" s="1" t="n">
        <v>46003</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2025-12-12T10:32:16Z</dcterms:created>
  <dcterms:modified xmlns:dcterms="http://purl.org/dc/terms/" xmlns:xsi="http://www.w3.org/2001/XMLSchema-instance" xsi:type="dcterms:W3CDTF">2025-12-12T10:32:17Z</dcterms:modified>
</cp:coreProperties>
</file>