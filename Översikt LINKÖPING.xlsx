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46066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46066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46066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46066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46066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46066</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46066</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46066</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55683-2025</t>
        </is>
      </c>
      <c r="B11" s="1" t="n">
        <v>45972.4255324074</v>
      </c>
      <c r="C11" s="1" t="n">
        <v>46066</v>
      </c>
      <c r="D11" t="inlineStr">
        <is>
          <t>ÖSTERGÖTLANDS LÄN</t>
        </is>
      </c>
      <c r="E11" t="inlineStr">
        <is>
          <t>LINKÖPING</t>
        </is>
      </c>
      <c r="G11" t="n">
        <v>3.3</v>
      </c>
      <c r="H11" t="n">
        <v>2</v>
      </c>
      <c r="I11" t="n">
        <v>2</v>
      </c>
      <c r="J11" t="n">
        <v>1</v>
      </c>
      <c r="K11" t="n">
        <v>1</v>
      </c>
      <c r="L11" t="n">
        <v>0</v>
      </c>
      <c r="M11" t="n">
        <v>0</v>
      </c>
      <c r="N11" t="n">
        <v>0</v>
      </c>
      <c r="O11" t="n">
        <v>2</v>
      </c>
      <c r="P11" t="n">
        <v>1</v>
      </c>
      <c r="Q11" t="n">
        <v>4</v>
      </c>
      <c r="R11" s="2" t="inlineStr">
        <is>
          <t>Knärot
Spillkråka
Björksplintborre
Flagellkvastmossa</t>
        </is>
      </c>
      <c r="S11">
        <f>HYPERLINK("https://klasma.github.io/Logging_0580/artfynd/A 55683-2025 artfynd.xlsx", "A 55683-2025")</f>
        <v/>
      </c>
      <c r="T11">
        <f>HYPERLINK("https://klasma.github.io/Logging_0580/kartor/A 55683-2025 karta.png", "A 55683-2025")</f>
        <v/>
      </c>
      <c r="U11">
        <f>HYPERLINK("https://klasma.github.io/Logging_0580/knärot/A 55683-2025 karta knärot.png", "A 55683-2025")</f>
        <v/>
      </c>
      <c r="V11">
        <f>HYPERLINK("https://klasma.github.io/Logging_0580/klagomål/A 55683-2025 FSC-klagomål.docx", "A 55683-2025")</f>
        <v/>
      </c>
      <c r="W11">
        <f>HYPERLINK("https://klasma.github.io/Logging_0580/klagomålsmail/A 55683-2025 FSC-klagomål mail.docx", "A 55683-2025")</f>
        <v/>
      </c>
      <c r="X11">
        <f>HYPERLINK("https://klasma.github.io/Logging_0580/tillsyn/A 55683-2025 tillsynsbegäran.docx", "A 55683-2025")</f>
        <v/>
      </c>
      <c r="Y11">
        <f>HYPERLINK("https://klasma.github.io/Logging_0580/tillsynsmail/A 55683-2025 tillsynsbegäran mail.docx", "A 55683-2025")</f>
        <v/>
      </c>
      <c r="Z11">
        <f>HYPERLINK("https://klasma.github.io/Logging_0580/fåglar/A 55683-2025 prioriterade fågelarter.docx", "A 55683-2025")</f>
        <v/>
      </c>
    </row>
    <row r="12" ht="15" customHeight="1">
      <c r="A12" t="inlineStr">
        <is>
          <t>A 9192-2025</t>
        </is>
      </c>
      <c r="B12" s="1" t="n">
        <v>45714.45943287037</v>
      </c>
      <c r="C12" s="1" t="n">
        <v>46066</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46066</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46066</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46066</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46066</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46066</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46066</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46066</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38913-2023</t>
        </is>
      </c>
      <c r="B20" s="1" t="n">
        <v>45163</v>
      </c>
      <c r="C20" s="1" t="n">
        <v>46066</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46066</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46066</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46066</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46066</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27981-2022</t>
        </is>
      </c>
      <c r="B25" s="1" t="n">
        <v>44745</v>
      </c>
      <c r="C25" s="1" t="n">
        <v>46066</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46066</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3912-2026</t>
        </is>
      </c>
      <c r="B27" s="1" t="n">
        <v>46043.71958333333</v>
      </c>
      <c r="C27" s="1" t="n">
        <v>46066</v>
      </c>
      <c r="D27" t="inlineStr">
        <is>
          <t>ÖSTERGÖTLANDS LÄN</t>
        </is>
      </c>
      <c r="E27" t="inlineStr">
        <is>
          <t>LINKÖPING</t>
        </is>
      </c>
      <c r="F27" t="inlineStr">
        <is>
          <t>Kyrkan</t>
        </is>
      </c>
      <c r="G27" t="n">
        <v>6.8</v>
      </c>
      <c r="H27" t="n">
        <v>1</v>
      </c>
      <c r="I27" t="n">
        <v>1</v>
      </c>
      <c r="J27" t="n">
        <v>0</v>
      </c>
      <c r="K27" t="n">
        <v>1</v>
      </c>
      <c r="L27" t="n">
        <v>0</v>
      </c>
      <c r="M27" t="n">
        <v>0</v>
      </c>
      <c r="N27" t="n">
        <v>0</v>
      </c>
      <c r="O27" t="n">
        <v>1</v>
      </c>
      <c r="P27" t="n">
        <v>1</v>
      </c>
      <c r="Q27" t="n">
        <v>2</v>
      </c>
      <c r="R27" s="2" t="inlineStr">
        <is>
          <t>Knärot
Grönpyrola</t>
        </is>
      </c>
      <c r="S27">
        <f>HYPERLINK("https://klasma.github.io/Logging_0580/artfynd/A 3912-2026 artfynd.xlsx", "A 3912-2026")</f>
        <v/>
      </c>
      <c r="T27">
        <f>HYPERLINK("https://klasma.github.io/Logging_0580/kartor/A 3912-2026 karta.png", "A 3912-2026")</f>
        <v/>
      </c>
      <c r="U27">
        <f>HYPERLINK("https://klasma.github.io/Logging_0580/knärot/A 3912-2026 karta knärot.png", "A 3912-2026")</f>
        <v/>
      </c>
      <c r="V27">
        <f>HYPERLINK("https://klasma.github.io/Logging_0580/klagomål/A 3912-2026 FSC-klagomål.docx", "A 3912-2026")</f>
        <v/>
      </c>
      <c r="W27">
        <f>HYPERLINK("https://klasma.github.io/Logging_0580/klagomålsmail/A 3912-2026 FSC-klagomål mail.docx", "A 3912-2026")</f>
        <v/>
      </c>
      <c r="X27">
        <f>HYPERLINK("https://klasma.github.io/Logging_0580/tillsyn/A 3912-2026 tillsynsbegäran.docx", "A 3912-2026")</f>
        <v/>
      </c>
      <c r="Y27">
        <f>HYPERLINK("https://klasma.github.io/Logging_0580/tillsynsmail/A 3912-2026 tillsynsbegäran mail.docx", "A 3912-2026")</f>
        <v/>
      </c>
    </row>
    <row r="28" ht="15" customHeight="1">
      <c r="A28" t="inlineStr">
        <is>
          <t>A 27795-2025</t>
        </is>
      </c>
      <c r="B28" s="1" t="n">
        <v>45816.7908912037</v>
      </c>
      <c r="C28" s="1" t="n">
        <v>46066</v>
      </c>
      <c r="D28" t="inlineStr">
        <is>
          <t>ÖSTERGÖTLANDS LÄN</t>
        </is>
      </c>
      <c r="E28" t="inlineStr">
        <is>
          <t>LINKÖPING</t>
        </is>
      </c>
      <c r="G28" t="n">
        <v>5</v>
      </c>
      <c r="H28" t="n">
        <v>0</v>
      </c>
      <c r="I28" t="n">
        <v>0</v>
      </c>
      <c r="J28" t="n">
        <v>2</v>
      </c>
      <c r="K28" t="n">
        <v>0</v>
      </c>
      <c r="L28" t="n">
        <v>0</v>
      </c>
      <c r="M28" t="n">
        <v>0</v>
      </c>
      <c r="N28" t="n">
        <v>0</v>
      </c>
      <c r="O28" t="n">
        <v>2</v>
      </c>
      <c r="P28" t="n">
        <v>0</v>
      </c>
      <c r="Q28" t="n">
        <v>2</v>
      </c>
      <c r="R28" s="2" t="inlineStr">
        <is>
          <t>Svinrot
Ängsskära</t>
        </is>
      </c>
      <c r="S28">
        <f>HYPERLINK("https://klasma.github.io/Logging_0580/artfynd/A 27795-2025 artfynd.xlsx", "A 27795-2025")</f>
        <v/>
      </c>
      <c r="T28">
        <f>HYPERLINK("https://klasma.github.io/Logging_0580/kartor/A 27795-2025 karta.png", "A 27795-2025")</f>
        <v/>
      </c>
      <c r="V28">
        <f>HYPERLINK("https://klasma.github.io/Logging_0580/klagomål/A 27795-2025 FSC-klagomål.docx", "A 27795-2025")</f>
        <v/>
      </c>
      <c r="W28">
        <f>HYPERLINK("https://klasma.github.io/Logging_0580/klagomålsmail/A 27795-2025 FSC-klagomål mail.docx", "A 27795-2025")</f>
        <v/>
      </c>
      <c r="X28">
        <f>HYPERLINK("https://klasma.github.io/Logging_0580/tillsyn/A 27795-2025 tillsynsbegäran.docx", "A 27795-2025")</f>
        <v/>
      </c>
      <c r="Y28">
        <f>HYPERLINK("https://klasma.github.io/Logging_0580/tillsynsmail/A 27795-2025 tillsynsbegäran mail.docx", "A 27795-2025")</f>
        <v/>
      </c>
    </row>
    <row r="29" ht="15" customHeight="1">
      <c r="A29" t="inlineStr">
        <is>
          <t>A 14879-2024</t>
        </is>
      </c>
      <c r="B29" s="1" t="n">
        <v>45398</v>
      </c>
      <c r="C29" s="1" t="n">
        <v>46066</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46066</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25985-2025</t>
        </is>
      </c>
      <c r="B31" s="1" t="n">
        <v>45804.64479166667</v>
      </c>
      <c r="C31" s="1" t="n">
        <v>46066</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46066</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58068-2021</t>
        </is>
      </c>
      <c r="B33" s="1" t="n">
        <v>44487</v>
      </c>
      <c r="C33" s="1" t="n">
        <v>46066</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22040-2023</t>
        </is>
      </c>
      <c r="B34" s="1" t="n">
        <v>45068</v>
      </c>
      <c r="C34" s="1" t="n">
        <v>46066</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49188-2024</t>
        </is>
      </c>
      <c r="B35" s="1" t="n">
        <v>45595</v>
      </c>
      <c r="C35" s="1" t="n">
        <v>46066</v>
      </c>
      <c r="D35" t="inlineStr">
        <is>
          <t>ÖSTERGÖTLANDS LÄN</t>
        </is>
      </c>
      <c r="E35" t="inlineStr">
        <is>
          <t>LINKÖPING</t>
        </is>
      </c>
      <c r="G35" t="n">
        <v>3.1</v>
      </c>
      <c r="H35" t="n">
        <v>0</v>
      </c>
      <c r="I35" t="n">
        <v>0</v>
      </c>
      <c r="J35" t="n">
        <v>0</v>
      </c>
      <c r="K35" t="n">
        <v>0</v>
      </c>
      <c r="L35" t="n">
        <v>1</v>
      </c>
      <c r="M35" t="n">
        <v>1</v>
      </c>
      <c r="N35" t="n">
        <v>0</v>
      </c>
      <c r="O35" t="n">
        <v>2</v>
      </c>
      <c r="P35" t="n">
        <v>2</v>
      </c>
      <c r="Q35" t="n">
        <v>2</v>
      </c>
      <c r="R35" s="2" t="inlineStr">
        <is>
          <t>Skogsalm
Ask</t>
        </is>
      </c>
      <c r="S35">
        <f>HYPERLINK("https://klasma.github.io/Logging_0580/artfynd/A 49188-2024 artfynd.xlsx", "A 49188-2024")</f>
        <v/>
      </c>
      <c r="T35">
        <f>HYPERLINK("https://klasma.github.io/Logging_0580/kartor/A 49188-2024 karta.png", "A 49188-2024")</f>
        <v/>
      </c>
      <c r="V35">
        <f>HYPERLINK("https://klasma.github.io/Logging_0580/klagomål/A 49188-2024 FSC-klagomål.docx", "A 49188-2024")</f>
        <v/>
      </c>
      <c r="W35">
        <f>HYPERLINK("https://klasma.github.io/Logging_0580/klagomålsmail/A 49188-2024 FSC-klagomål mail.docx", "A 49188-2024")</f>
        <v/>
      </c>
      <c r="X35">
        <f>HYPERLINK("https://klasma.github.io/Logging_0580/tillsyn/A 49188-2024 tillsynsbegäran.docx", "A 49188-2024")</f>
        <v/>
      </c>
      <c r="Y35">
        <f>HYPERLINK("https://klasma.github.io/Logging_0580/tillsynsmail/A 49188-2024 tillsynsbegäran mail.docx", "A 49188-2024")</f>
        <v/>
      </c>
    </row>
    <row r="36" ht="15" customHeight="1">
      <c r="A36" t="inlineStr">
        <is>
          <t>A 50048-2025</t>
        </is>
      </c>
      <c r="B36" s="1" t="n">
        <v>45941</v>
      </c>
      <c r="C36" s="1" t="n">
        <v>46066</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11613-2025</t>
        </is>
      </c>
      <c r="B37" s="1" t="n">
        <v>45727.44623842592</v>
      </c>
      <c r="C37" s="1" t="n">
        <v>46066</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20292-2025</t>
        </is>
      </c>
      <c r="B38" s="1" t="n">
        <v>45774.7449537037</v>
      </c>
      <c r="C38" s="1" t="n">
        <v>46066</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46066</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41751-2023</t>
        </is>
      </c>
      <c r="B40" s="1" t="n">
        <v>45176</v>
      </c>
      <c r="C40" s="1" t="n">
        <v>46066</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42858-2023</t>
        </is>
      </c>
      <c r="B41" s="1" t="n">
        <v>45177</v>
      </c>
      <c r="C41" s="1" t="n">
        <v>46066</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55344-2024</t>
        </is>
      </c>
      <c r="B42" s="1" t="n">
        <v>45621.7202662037</v>
      </c>
      <c r="C42" s="1" t="n">
        <v>46066</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21326-2025</t>
        </is>
      </c>
      <c r="B43" s="1" t="n">
        <v>45782.35407407407</v>
      </c>
      <c r="C43" s="1" t="n">
        <v>46066</v>
      </c>
      <c r="D43" t="inlineStr">
        <is>
          <t>ÖSTERGÖTLANDS LÄN</t>
        </is>
      </c>
      <c r="E43" t="inlineStr">
        <is>
          <t>LINKÖPING</t>
        </is>
      </c>
      <c r="G43" t="n">
        <v>4.9</v>
      </c>
      <c r="H43" t="n">
        <v>2</v>
      </c>
      <c r="I43" t="n">
        <v>0</v>
      </c>
      <c r="J43" t="n">
        <v>0</v>
      </c>
      <c r="K43" t="n">
        <v>0</v>
      </c>
      <c r="L43" t="n">
        <v>0</v>
      </c>
      <c r="M43" t="n">
        <v>0</v>
      </c>
      <c r="N43" t="n">
        <v>0</v>
      </c>
      <c r="O43" t="n">
        <v>0</v>
      </c>
      <c r="P43" t="n">
        <v>0</v>
      </c>
      <c r="Q43" t="n">
        <v>2</v>
      </c>
      <c r="R43" s="2" t="inlineStr">
        <is>
          <t>Blåsippa
Revlummer</t>
        </is>
      </c>
      <c r="S43">
        <f>HYPERLINK("https://klasma.github.io/Logging_0580/artfynd/A 21326-2025 artfynd.xlsx", "A 21326-2025")</f>
        <v/>
      </c>
      <c r="T43">
        <f>HYPERLINK("https://klasma.github.io/Logging_0580/kartor/A 21326-2025 karta.png", "A 21326-2025")</f>
        <v/>
      </c>
      <c r="V43">
        <f>HYPERLINK("https://klasma.github.io/Logging_0580/klagomål/A 21326-2025 FSC-klagomål.docx", "A 21326-2025")</f>
        <v/>
      </c>
      <c r="W43">
        <f>HYPERLINK("https://klasma.github.io/Logging_0580/klagomålsmail/A 21326-2025 FSC-klagomål mail.docx", "A 21326-2025")</f>
        <v/>
      </c>
      <c r="X43">
        <f>HYPERLINK("https://klasma.github.io/Logging_0580/tillsyn/A 21326-2025 tillsynsbegäran.docx", "A 21326-2025")</f>
        <v/>
      </c>
      <c r="Y43">
        <f>HYPERLINK("https://klasma.github.io/Logging_0580/tillsynsmail/A 21326-2025 tillsynsbegäran mail.docx", "A 21326-2025")</f>
        <v/>
      </c>
    </row>
    <row r="44" ht="15" customHeight="1">
      <c r="A44" t="inlineStr">
        <is>
          <t>A 38129-2021</t>
        </is>
      </c>
      <c r="B44" s="1" t="n">
        <v>44405.37199074074</v>
      </c>
      <c r="C44" s="1" t="n">
        <v>46066</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46066</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46066</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46066</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46066</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46066</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46066</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1716-2023</t>
        </is>
      </c>
      <c r="B51" s="1" t="n">
        <v>44938</v>
      </c>
      <c r="C51" s="1" t="n">
        <v>46066</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931-2025</t>
        </is>
      </c>
      <c r="B52" s="1" t="n">
        <v>45665.88498842593</v>
      </c>
      <c r="C52" s="1" t="n">
        <v>46066</v>
      </c>
      <c r="D52" t="inlineStr">
        <is>
          <t>ÖSTERGÖTLANDS LÄN</t>
        </is>
      </c>
      <c r="E52" t="inlineStr">
        <is>
          <t>LINKÖPING</t>
        </is>
      </c>
      <c r="F52" t="inlineStr">
        <is>
          <t>Övriga Aktiebolag</t>
        </is>
      </c>
      <c r="G52" t="n">
        <v>0.8</v>
      </c>
      <c r="H52" t="n">
        <v>0</v>
      </c>
      <c r="I52" t="n">
        <v>0</v>
      </c>
      <c r="J52" t="n">
        <v>1</v>
      </c>
      <c r="K52" t="n">
        <v>0</v>
      </c>
      <c r="L52" t="n">
        <v>0</v>
      </c>
      <c r="M52" t="n">
        <v>0</v>
      </c>
      <c r="N52" t="n">
        <v>0</v>
      </c>
      <c r="O52" t="n">
        <v>1</v>
      </c>
      <c r="P52" t="n">
        <v>0</v>
      </c>
      <c r="Q52" t="n">
        <v>1</v>
      </c>
      <c r="R52" s="2" t="inlineStr">
        <is>
          <t>Tallticka</t>
        </is>
      </c>
      <c r="S52">
        <f>HYPERLINK("https://klasma.github.io/Logging_0580/artfynd/A 931-2025 artfynd.xlsx", "A 931-2025")</f>
        <v/>
      </c>
      <c r="T52">
        <f>HYPERLINK("https://klasma.github.io/Logging_0580/kartor/A 931-2025 karta.png", "A 931-2025")</f>
        <v/>
      </c>
      <c r="V52">
        <f>HYPERLINK("https://klasma.github.io/Logging_0580/klagomål/A 931-2025 FSC-klagomål.docx", "A 931-2025")</f>
        <v/>
      </c>
      <c r="W52">
        <f>HYPERLINK("https://klasma.github.io/Logging_0580/klagomålsmail/A 931-2025 FSC-klagomål mail.docx", "A 931-2025")</f>
        <v/>
      </c>
      <c r="X52">
        <f>HYPERLINK("https://klasma.github.io/Logging_0580/tillsyn/A 931-2025 tillsynsbegäran.docx", "A 931-2025")</f>
        <v/>
      </c>
      <c r="Y52">
        <f>HYPERLINK("https://klasma.github.io/Logging_0580/tillsynsmail/A 931-2025 tillsynsbegäran mail.docx", "A 931-2025")</f>
        <v/>
      </c>
    </row>
    <row r="53" ht="15" customHeight="1">
      <c r="A53" t="inlineStr">
        <is>
          <t>A 1213-2023</t>
        </is>
      </c>
      <c r="B53" s="1" t="n">
        <v>44930</v>
      </c>
      <c r="C53" s="1" t="n">
        <v>46066</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46066</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59948-2022</t>
        </is>
      </c>
      <c r="B55" s="1" t="n">
        <v>44909</v>
      </c>
      <c r="C55" s="1" t="n">
        <v>46066</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7186-2026</t>
        </is>
      </c>
      <c r="B56" s="1" t="n">
        <v>46058.49090277778</v>
      </c>
      <c r="C56" s="1" t="n">
        <v>46066</v>
      </c>
      <c r="D56" t="inlineStr">
        <is>
          <t>ÖSTERGÖTLANDS LÄN</t>
        </is>
      </c>
      <c r="E56" t="inlineStr">
        <is>
          <t>LINKÖPING</t>
        </is>
      </c>
      <c r="G56" t="n">
        <v>5.5</v>
      </c>
      <c r="H56" t="n">
        <v>0</v>
      </c>
      <c r="I56" t="n">
        <v>1</v>
      </c>
      <c r="J56" t="n">
        <v>0</v>
      </c>
      <c r="K56" t="n">
        <v>0</v>
      </c>
      <c r="L56" t="n">
        <v>0</v>
      </c>
      <c r="M56" t="n">
        <v>0</v>
      </c>
      <c r="N56" t="n">
        <v>0</v>
      </c>
      <c r="O56" t="n">
        <v>0</v>
      </c>
      <c r="P56" t="n">
        <v>0</v>
      </c>
      <c r="Q56" t="n">
        <v>1</v>
      </c>
      <c r="R56" s="2" t="inlineStr">
        <is>
          <t>Grönpyrola</t>
        </is>
      </c>
      <c r="S56">
        <f>HYPERLINK("https://klasma.github.io/Logging_0580/artfynd/A 7186-2026 artfynd.xlsx", "A 7186-2026")</f>
        <v/>
      </c>
      <c r="T56">
        <f>HYPERLINK("https://klasma.github.io/Logging_0580/kartor/A 7186-2026 karta.png", "A 7186-2026")</f>
        <v/>
      </c>
      <c r="V56">
        <f>HYPERLINK("https://klasma.github.io/Logging_0580/klagomål/A 7186-2026 FSC-klagomål.docx", "A 7186-2026")</f>
        <v/>
      </c>
      <c r="W56">
        <f>HYPERLINK("https://klasma.github.io/Logging_0580/klagomålsmail/A 7186-2026 FSC-klagomål mail.docx", "A 7186-2026")</f>
        <v/>
      </c>
      <c r="X56">
        <f>HYPERLINK("https://klasma.github.io/Logging_0580/tillsyn/A 7186-2026 tillsynsbegäran.docx", "A 7186-2026")</f>
        <v/>
      </c>
      <c r="Y56">
        <f>HYPERLINK("https://klasma.github.io/Logging_0580/tillsynsmail/A 7186-2026 tillsynsbegäran mail.docx", "A 7186-2026")</f>
        <v/>
      </c>
    </row>
    <row r="57" ht="15" customHeight="1">
      <c r="A57" t="inlineStr">
        <is>
          <t>A 22526-2025</t>
        </is>
      </c>
      <c r="B57" s="1" t="n">
        <v>45786.78096064815</v>
      </c>
      <c r="C57" s="1" t="n">
        <v>46066</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27403-2025</t>
        </is>
      </c>
      <c r="B58" s="1" t="n">
        <v>45812.72518518518</v>
      </c>
      <c r="C58" s="1" t="n">
        <v>46066</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37683-2024</t>
        </is>
      </c>
      <c r="B59" s="1" t="n">
        <v>45541.59120370371</v>
      </c>
      <c r="C59" s="1" t="n">
        <v>46066</v>
      </c>
      <c r="D59" t="inlineStr">
        <is>
          <t>ÖSTERGÖTLANDS LÄN</t>
        </is>
      </c>
      <c r="E59" t="inlineStr">
        <is>
          <t>LINKÖPING</t>
        </is>
      </c>
      <c r="G59" t="n">
        <v>0.6</v>
      </c>
      <c r="H59" t="n">
        <v>0</v>
      </c>
      <c r="I59" t="n">
        <v>1</v>
      </c>
      <c r="J59" t="n">
        <v>0</v>
      </c>
      <c r="K59" t="n">
        <v>0</v>
      </c>
      <c r="L59" t="n">
        <v>0</v>
      </c>
      <c r="M59" t="n">
        <v>0</v>
      </c>
      <c r="N59" t="n">
        <v>0</v>
      </c>
      <c r="O59" t="n">
        <v>0</v>
      </c>
      <c r="P59" t="n">
        <v>0</v>
      </c>
      <c r="Q59" t="n">
        <v>1</v>
      </c>
      <c r="R59" s="2" t="inlineStr">
        <is>
          <t>Tibast</t>
        </is>
      </c>
      <c r="S59">
        <f>HYPERLINK("https://klasma.github.io/Logging_0580/artfynd/A 37683-2024 artfynd.xlsx", "A 37683-2024")</f>
        <v/>
      </c>
      <c r="T59">
        <f>HYPERLINK("https://klasma.github.io/Logging_0580/kartor/A 37683-2024 karta.png", "A 37683-2024")</f>
        <v/>
      </c>
      <c r="V59">
        <f>HYPERLINK("https://klasma.github.io/Logging_0580/klagomål/A 37683-2024 FSC-klagomål.docx", "A 37683-2024")</f>
        <v/>
      </c>
      <c r="W59">
        <f>HYPERLINK("https://klasma.github.io/Logging_0580/klagomålsmail/A 37683-2024 FSC-klagomål mail.docx", "A 37683-2024")</f>
        <v/>
      </c>
      <c r="X59">
        <f>HYPERLINK("https://klasma.github.io/Logging_0580/tillsyn/A 37683-2024 tillsynsbegäran.docx", "A 37683-2024")</f>
        <v/>
      </c>
      <c r="Y59">
        <f>HYPERLINK("https://klasma.github.io/Logging_0580/tillsynsmail/A 37683-2024 tillsynsbegäran mail.docx", "A 37683-2024")</f>
        <v/>
      </c>
    </row>
    <row r="60" ht="15" customHeight="1">
      <c r="A60" t="inlineStr">
        <is>
          <t>A 56651-2023</t>
        </is>
      </c>
      <c r="B60" s="1" t="n">
        <v>45243</v>
      </c>
      <c r="C60" s="1" t="n">
        <v>46066</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17444-2025</t>
        </is>
      </c>
      <c r="B61" s="1" t="n">
        <v>45757.43452546297</v>
      </c>
      <c r="C61" s="1" t="n">
        <v>46066</v>
      </c>
      <c r="D61" t="inlineStr">
        <is>
          <t>ÖSTERGÖTLANDS LÄN</t>
        </is>
      </c>
      <c r="E61" t="inlineStr">
        <is>
          <t>LINKÖPING</t>
        </is>
      </c>
      <c r="G61" t="n">
        <v>1.3</v>
      </c>
      <c r="H61" t="n">
        <v>1</v>
      </c>
      <c r="I61" t="n">
        <v>0</v>
      </c>
      <c r="J61" t="n">
        <v>1</v>
      </c>
      <c r="K61" t="n">
        <v>0</v>
      </c>
      <c r="L61" t="n">
        <v>0</v>
      </c>
      <c r="M61" t="n">
        <v>0</v>
      </c>
      <c r="N61" t="n">
        <v>0</v>
      </c>
      <c r="O61" t="n">
        <v>1</v>
      </c>
      <c r="P61" t="n">
        <v>0</v>
      </c>
      <c r="Q61" t="n">
        <v>1</v>
      </c>
      <c r="R61" s="2" t="inlineStr">
        <is>
          <t>Dårgräsfjäril</t>
        </is>
      </c>
      <c r="S61">
        <f>HYPERLINK("https://klasma.github.io/Logging_0580/artfynd/A 17444-2025 artfynd.xlsx", "A 17444-2025")</f>
        <v/>
      </c>
      <c r="T61">
        <f>HYPERLINK("https://klasma.github.io/Logging_0580/kartor/A 17444-2025 karta.png", "A 17444-2025")</f>
        <v/>
      </c>
      <c r="V61">
        <f>HYPERLINK("https://klasma.github.io/Logging_0580/klagomål/A 17444-2025 FSC-klagomål.docx", "A 17444-2025")</f>
        <v/>
      </c>
      <c r="W61">
        <f>HYPERLINK("https://klasma.github.io/Logging_0580/klagomålsmail/A 17444-2025 FSC-klagomål mail.docx", "A 17444-2025")</f>
        <v/>
      </c>
      <c r="X61">
        <f>HYPERLINK("https://klasma.github.io/Logging_0580/tillsyn/A 17444-2025 tillsynsbegäran.docx", "A 17444-2025")</f>
        <v/>
      </c>
      <c r="Y61">
        <f>HYPERLINK("https://klasma.github.io/Logging_0580/tillsynsmail/A 17444-2025 tillsynsbegäran mail.docx", "A 17444-2025")</f>
        <v/>
      </c>
    </row>
    <row r="62" ht="15" customHeight="1">
      <c r="A62" t="inlineStr">
        <is>
          <t>A 36723-2023</t>
        </is>
      </c>
      <c r="B62" s="1" t="n">
        <v>45153</v>
      </c>
      <c r="C62" s="1" t="n">
        <v>46066</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5911-2022</t>
        </is>
      </c>
      <c r="B63" s="1" t="n">
        <v>44597</v>
      </c>
      <c r="C63" s="1" t="n">
        <v>46066</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90-2024</t>
        </is>
      </c>
      <c r="B64" s="1" t="n">
        <v>45293</v>
      </c>
      <c r="C64" s="1" t="n">
        <v>46066</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40315-2024</t>
        </is>
      </c>
      <c r="B65" s="1" t="n">
        <v>45554.7571875</v>
      </c>
      <c r="C65" s="1" t="n">
        <v>46066</v>
      </c>
      <c r="D65" t="inlineStr">
        <is>
          <t>ÖSTERGÖTLANDS LÄN</t>
        </is>
      </c>
      <c r="E65" t="inlineStr">
        <is>
          <t>LINKÖPING</t>
        </is>
      </c>
      <c r="F65" t="inlineStr">
        <is>
          <t>Allmännings- och besparingsskogar</t>
        </is>
      </c>
      <c r="G65" t="n">
        <v>15.8</v>
      </c>
      <c r="H65" t="n">
        <v>0</v>
      </c>
      <c r="I65" t="n">
        <v>0</v>
      </c>
      <c r="J65" t="n">
        <v>0</v>
      </c>
      <c r="K65" t="n">
        <v>0</v>
      </c>
      <c r="L65" t="n">
        <v>0</v>
      </c>
      <c r="M65" t="n">
        <v>1</v>
      </c>
      <c r="N65" t="n">
        <v>0</v>
      </c>
      <c r="O65" t="n">
        <v>1</v>
      </c>
      <c r="P65" t="n">
        <v>1</v>
      </c>
      <c r="Q65" t="n">
        <v>1</v>
      </c>
      <c r="R65" s="2" t="inlineStr">
        <is>
          <t>Skogsalm</t>
        </is>
      </c>
      <c r="S65">
        <f>HYPERLINK("https://klasma.github.io/Logging_0580/artfynd/A 40315-2024 artfynd.xlsx", "A 40315-2024")</f>
        <v/>
      </c>
      <c r="T65">
        <f>HYPERLINK("https://klasma.github.io/Logging_0580/kartor/A 40315-2024 karta.png", "A 40315-2024")</f>
        <v/>
      </c>
      <c r="V65">
        <f>HYPERLINK("https://klasma.github.io/Logging_0580/klagomål/A 40315-2024 FSC-klagomål.docx", "A 40315-2024")</f>
        <v/>
      </c>
      <c r="W65">
        <f>HYPERLINK("https://klasma.github.io/Logging_0580/klagomålsmail/A 40315-2024 FSC-klagomål mail.docx", "A 40315-2024")</f>
        <v/>
      </c>
      <c r="X65">
        <f>HYPERLINK("https://klasma.github.io/Logging_0580/tillsyn/A 40315-2024 tillsynsbegäran.docx", "A 40315-2024")</f>
        <v/>
      </c>
      <c r="Y65">
        <f>HYPERLINK("https://klasma.github.io/Logging_0580/tillsynsmail/A 40315-2024 tillsynsbegäran mail.docx", "A 40315-2024")</f>
        <v/>
      </c>
    </row>
    <row r="66" ht="15" customHeight="1">
      <c r="A66" t="inlineStr">
        <is>
          <t>A 43989-2025</t>
        </is>
      </c>
      <c r="B66" s="1" t="n">
        <v>45915.44128472222</v>
      </c>
      <c r="C66" s="1" t="n">
        <v>46066</v>
      </c>
      <c r="D66" t="inlineStr">
        <is>
          <t>ÖSTERGÖTLANDS LÄN</t>
        </is>
      </c>
      <c r="E66" t="inlineStr">
        <is>
          <t>LINKÖPING</t>
        </is>
      </c>
      <c r="F66" t="inlineStr">
        <is>
          <t>Allmännings- och besparingsskogar</t>
        </is>
      </c>
      <c r="G66" t="n">
        <v>3.5</v>
      </c>
      <c r="H66" t="n">
        <v>0</v>
      </c>
      <c r="I66" t="n">
        <v>0</v>
      </c>
      <c r="J66" t="n">
        <v>1</v>
      </c>
      <c r="K66" t="n">
        <v>0</v>
      </c>
      <c r="L66" t="n">
        <v>0</v>
      </c>
      <c r="M66" t="n">
        <v>0</v>
      </c>
      <c r="N66" t="n">
        <v>0</v>
      </c>
      <c r="O66" t="n">
        <v>1</v>
      </c>
      <c r="P66" t="n">
        <v>0</v>
      </c>
      <c r="Q66" t="n">
        <v>1</v>
      </c>
      <c r="R66" s="2" t="inlineStr">
        <is>
          <t>Kavelhirs</t>
        </is>
      </c>
      <c r="S66">
        <f>HYPERLINK("https://klasma.github.io/Logging_0580/artfynd/A 43989-2025 artfynd.xlsx", "A 43989-2025")</f>
        <v/>
      </c>
      <c r="T66">
        <f>HYPERLINK("https://klasma.github.io/Logging_0580/kartor/A 43989-2025 karta.png", "A 43989-2025")</f>
        <v/>
      </c>
      <c r="V66">
        <f>HYPERLINK("https://klasma.github.io/Logging_0580/klagomål/A 43989-2025 FSC-klagomål.docx", "A 43989-2025")</f>
        <v/>
      </c>
      <c r="W66">
        <f>HYPERLINK("https://klasma.github.io/Logging_0580/klagomålsmail/A 43989-2025 FSC-klagomål mail.docx", "A 43989-2025")</f>
        <v/>
      </c>
      <c r="X66">
        <f>HYPERLINK("https://klasma.github.io/Logging_0580/tillsyn/A 43989-2025 tillsynsbegäran.docx", "A 43989-2025")</f>
        <v/>
      </c>
      <c r="Y66">
        <f>HYPERLINK("https://klasma.github.io/Logging_0580/tillsynsmail/A 43989-2025 tillsynsbegäran mail.docx", "A 43989-2025")</f>
        <v/>
      </c>
    </row>
    <row r="67" ht="15" customHeight="1">
      <c r="A67" t="inlineStr">
        <is>
          <t>A 44760-2025</t>
        </is>
      </c>
      <c r="B67" s="1" t="n">
        <v>45917.71873842592</v>
      </c>
      <c r="C67" s="1" t="n">
        <v>46066</v>
      </c>
      <c r="D67" t="inlineStr">
        <is>
          <t>ÖSTERGÖTLANDS LÄN</t>
        </is>
      </c>
      <c r="E67" t="inlineStr">
        <is>
          <t>LINKÖPING</t>
        </is>
      </c>
      <c r="G67" t="n">
        <v>0.9</v>
      </c>
      <c r="H67" t="n">
        <v>0</v>
      </c>
      <c r="I67" t="n">
        <v>0</v>
      </c>
      <c r="J67" t="n">
        <v>1</v>
      </c>
      <c r="K67" t="n">
        <v>0</v>
      </c>
      <c r="L67" t="n">
        <v>0</v>
      </c>
      <c r="M67" t="n">
        <v>0</v>
      </c>
      <c r="N67" t="n">
        <v>0</v>
      </c>
      <c r="O67" t="n">
        <v>1</v>
      </c>
      <c r="P67" t="n">
        <v>0</v>
      </c>
      <c r="Q67" t="n">
        <v>1</v>
      </c>
      <c r="R67" s="2" t="inlineStr">
        <is>
          <t>Tallticka</t>
        </is>
      </c>
      <c r="S67">
        <f>HYPERLINK("https://klasma.github.io/Logging_0580/artfynd/A 44760-2025 artfynd.xlsx", "A 44760-2025")</f>
        <v/>
      </c>
      <c r="T67">
        <f>HYPERLINK("https://klasma.github.io/Logging_0580/kartor/A 44760-2025 karta.png", "A 44760-2025")</f>
        <v/>
      </c>
      <c r="V67">
        <f>HYPERLINK("https://klasma.github.io/Logging_0580/klagomål/A 44760-2025 FSC-klagomål.docx", "A 44760-2025")</f>
        <v/>
      </c>
      <c r="W67">
        <f>HYPERLINK("https://klasma.github.io/Logging_0580/klagomålsmail/A 44760-2025 FSC-klagomål mail.docx", "A 44760-2025")</f>
        <v/>
      </c>
      <c r="X67">
        <f>HYPERLINK("https://klasma.github.io/Logging_0580/tillsyn/A 44760-2025 tillsynsbegäran.docx", "A 44760-2025")</f>
        <v/>
      </c>
      <c r="Y67">
        <f>HYPERLINK("https://klasma.github.io/Logging_0580/tillsynsmail/A 44760-2025 tillsynsbegäran mail.docx", "A 44760-2025")</f>
        <v/>
      </c>
    </row>
    <row r="68" ht="15" customHeight="1">
      <c r="A68" t="inlineStr">
        <is>
          <t>A 15290-2025</t>
        </is>
      </c>
      <c r="B68" s="1" t="n">
        <v>45745.45288194445</v>
      </c>
      <c r="C68" s="1" t="n">
        <v>46066</v>
      </c>
      <c r="D68" t="inlineStr">
        <is>
          <t>ÖSTERGÖTLANDS LÄN</t>
        </is>
      </c>
      <c r="E68" t="inlineStr">
        <is>
          <t>LINKÖPING</t>
        </is>
      </c>
      <c r="G68" t="n">
        <v>18.4</v>
      </c>
      <c r="H68" t="n">
        <v>1</v>
      </c>
      <c r="I68" t="n">
        <v>0</v>
      </c>
      <c r="J68" t="n">
        <v>1</v>
      </c>
      <c r="K68" t="n">
        <v>0</v>
      </c>
      <c r="L68" t="n">
        <v>0</v>
      </c>
      <c r="M68" t="n">
        <v>0</v>
      </c>
      <c r="N68" t="n">
        <v>0</v>
      </c>
      <c r="O68" t="n">
        <v>1</v>
      </c>
      <c r="P68" t="n">
        <v>0</v>
      </c>
      <c r="Q68" t="n">
        <v>1</v>
      </c>
      <c r="R68" s="2" t="inlineStr">
        <is>
          <t>Havsörn</t>
        </is>
      </c>
      <c r="S68">
        <f>HYPERLINK("https://klasma.github.io/Logging_0580/artfynd/A 15290-2025 artfynd.xlsx", "A 15290-2025")</f>
        <v/>
      </c>
      <c r="T68">
        <f>HYPERLINK("https://klasma.github.io/Logging_0580/kartor/A 15290-2025 karta.png", "A 15290-2025")</f>
        <v/>
      </c>
      <c r="V68">
        <f>HYPERLINK("https://klasma.github.io/Logging_0580/klagomål/A 15290-2025 FSC-klagomål.docx", "A 15290-2025")</f>
        <v/>
      </c>
      <c r="W68">
        <f>HYPERLINK("https://klasma.github.io/Logging_0580/klagomålsmail/A 15290-2025 FSC-klagomål mail.docx", "A 15290-2025")</f>
        <v/>
      </c>
      <c r="X68">
        <f>HYPERLINK("https://klasma.github.io/Logging_0580/tillsyn/A 15290-2025 tillsynsbegäran.docx", "A 15290-2025")</f>
        <v/>
      </c>
      <c r="Y68">
        <f>HYPERLINK("https://klasma.github.io/Logging_0580/tillsynsmail/A 15290-2025 tillsynsbegäran mail.docx", "A 15290-2025")</f>
        <v/>
      </c>
      <c r="Z68">
        <f>HYPERLINK("https://klasma.github.io/Logging_0580/fåglar/A 15290-2025 prioriterade fågelarter.docx", "A 15290-2025")</f>
        <v/>
      </c>
    </row>
    <row r="69" ht="15" customHeight="1">
      <c r="A69" t="inlineStr">
        <is>
          <t>A 34881-2023</t>
        </is>
      </c>
      <c r="B69" s="1" t="n">
        <v>45140</v>
      </c>
      <c r="C69" s="1" t="n">
        <v>46066</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Tallticka</t>
        </is>
      </c>
      <c r="S69">
        <f>HYPERLINK("https://klasma.github.io/Logging_0580/artfynd/A 34881-2023 artfynd.xlsx", "A 34881-2023")</f>
        <v/>
      </c>
      <c r="T69">
        <f>HYPERLINK("https://klasma.github.io/Logging_0580/kartor/A 34881-2023 karta.png", "A 34881-2023")</f>
        <v/>
      </c>
      <c r="U69">
        <f>HYPERLINK("https://klasma.github.io/Logging_0580/knärot/A 34881-2023 karta knärot.png", "A 34881-2023")</f>
        <v/>
      </c>
      <c r="V69">
        <f>HYPERLINK("https://klasma.github.io/Logging_0580/klagomål/A 34881-2023 FSC-klagomål.docx", "A 34881-2023")</f>
        <v/>
      </c>
      <c r="W69">
        <f>HYPERLINK("https://klasma.github.io/Logging_0580/klagomålsmail/A 34881-2023 FSC-klagomål mail.docx", "A 34881-2023")</f>
        <v/>
      </c>
      <c r="X69">
        <f>HYPERLINK("https://klasma.github.io/Logging_0580/tillsyn/A 34881-2023 tillsynsbegäran.docx", "A 34881-2023")</f>
        <v/>
      </c>
      <c r="Y69">
        <f>HYPERLINK("https://klasma.github.io/Logging_0580/tillsynsmail/A 34881-2023 tillsynsbegäran mail.docx", "A 34881-2023")</f>
        <v/>
      </c>
    </row>
    <row r="70" ht="15" customHeight="1">
      <c r="A70" t="inlineStr">
        <is>
          <t>A 48347-2025</t>
        </is>
      </c>
      <c r="B70" s="1" t="n">
        <v>45932</v>
      </c>
      <c r="C70" s="1" t="n">
        <v>46066</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50471-2024</t>
        </is>
      </c>
      <c r="B71" s="1" t="n">
        <v>45601.47166666666</v>
      </c>
      <c r="C71" s="1" t="n">
        <v>46066</v>
      </c>
      <c r="D71" t="inlineStr">
        <is>
          <t>ÖSTERGÖTLANDS LÄN</t>
        </is>
      </c>
      <c r="E71" t="inlineStr">
        <is>
          <t>LINKÖPING</t>
        </is>
      </c>
      <c r="F71" t="inlineStr">
        <is>
          <t>Övriga Aktiebolag</t>
        </is>
      </c>
      <c r="G71" t="n">
        <v>2</v>
      </c>
      <c r="H71" t="n">
        <v>0</v>
      </c>
      <c r="I71" t="n">
        <v>1</v>
      </c>
      <c r="J71" t="n">
        <v>0</v>
      </c>
      <c r="K71" t="n">
        <v>0</v>
      </c>
      <c r="L71" t="n">
        <v>0</v>
      </c>
      <c r="M71" t="n">
        <v>0</v>
      </c>
      <c r="N71" t="n">
        <v>0</v>
      </c>
      <c r="O71" t="n">
        <v>0</v>
      </c>
      <c r="P71" t="n">
        <v>0</v>
      </c>
      <c r="Q71" t="n">
        <v>1</v>
      </c>
      <c r="R71" s="2" t="inlineStr">
        <is>
          <t>Västlig hakmossa</t>
        </is>
      </c>
      <c r="S71">
        <f>HYPERLINK("https://klasma.github.io/Logging_0580/artfynd/A 50471-2024 artfynd.xlsx", "A 50471-2024")</f>
        <v/>
      </c>
      <c r="T71">
        <f>HYPERLINK("https://klasma.github.io/Logging_0580/kartor/A 50471-2024 karta.png", "A 50471-2024")</f>
        <v/>
      </c>
      <c r="V71">
        <f>HYPERLINK("https://klasma.github.io/Logging_0580/klagomål/A 50471-2024 FSC-klagomål.docx", "A 50471-2024")</f>
        <v/>
      </c>
      <c r="W71">
        <f>HYPERLINK("https://klasma.github.io/Logging_0580/klagomålsmail/A 50471-2024 FSC-klagomål mail.docx", "A 50471-2024")</f>
        <v/>
      </c>
      <c r="X71">
        <f>HYPERLINK("https://klasma.github.io/Logging_0580/tillsyn/A 50471-2024 tillsynsbegäran.docx", "A 50471-2024")</f>
        <v/>
      </c>
      <c r="Y71">
        <f>HYPERLINK("https://klasma.github.io/Logging_0580/tillsynsmail/A 50471-2024 tillsynsbegäran mail.docx", "A 50471-2024")</f>
        <v/>
      </c>
    </row>
    <row r="72" ht="15" customHeight="1">
      <c r="A72" t="inlineStr">
        <is>
          <t>A 48353-2025</t>
        </is>
      </c>
      <c r="B72" s="1" t="n">
        <v>45932</v>
      </c>
      <c r="C72" s="1" t="n">
        <v>46066</v>
      </c>
      <c r="D72" t="inlineStr">
        <is>
          <t>ÖSTERGÖTLANDS LÄN</t>
        </is>
      </c>
      <c r="E72" t="inlineStr">
        <is>
          <t>LINKÖPING</t>
        </is>
      </c>
      <c r="F72" t="inlineStr">
        <is>
          <t>Övriga Aktiebolag</t>
        </is>
      </c>
      <c r="G72" t="n">
        <v>4.5</v>
      </c>
      <c r="H72" t="n">
        <v>1</v>
      </c>
      <c r="I72" t="n">
        <v>0</v>
      </c>
      <c r="J72" t="n">
        <v>1</v>
      </c>
      <c r="K72" t="n">
        <v>0</v>
      </c>
      <c r="L72" t="n">
        <v>0</v>
      </c>
      <c r="M72" t="n">
        <v>0</v>
      </c>
      <c r="N72" t="n">
        <v>0</v>
      </c>
      <c r="O72" t="n">
        <v>1</v>
      </c>
      <c r="P72" t="n">
        <v>0</v>
      </c>
      <c r="Q72" t="n">
        <v>1</v>
      </c>
      <c r="R72" s="2" t="inlineStr">
        <is>
          <t>Entita</t>
        </is>
      </c>
      <c r="S72">
        <f>HYPERLINK("https://klasma.github.io/Logging_0580/artfynd/A 48353-2025 artfynd.xlsx", "A 48353-2025")</f>
        <v/>
      </c>
      <c r="T72">
        <f>HYPERLINK("https://klasma.github.io/Logging_0580/kartor/A 48353-2025 karta.png", "A 48353-2025")</f>
        <v/>
      </c>
      <c r="V72">
        <f>HYPERLINK("https://klasma.github.io/Logging_0580/klagomål/A 48353-2025 FSC-klagomål.docx", "A 48353-2025")</f>
        <v/>
      </c>
      <c r="W72">
        <f>HYPERLINK("https://klasma.github.io/Logging_0580/klagomålsmail/A 48353-2025 FSC-klagomål mail.docx", "A 48353-2025")</f>
        <v/>
      </c>
      <c r="X72">
        <f>HYPERLINK("https://klasma.github.io/Logging_0580/tillsyn/A 48353-2025 tillsynsbegäran.docx", "A 48353-2025")</f>
        <v/>
      </c>
      <c r="Y72">
        <f>HYPERLINK("https://klasma.github.io/Logging_0580/tillsynsmail/A 48353-2025 tillsynsbegäran mail.docx", "A 48353-2025")</f>
        <v/>
      </c>
      <c r="Z72">
        <f>HYPERLINK("https://klasma.github.io/Logging_0580/fåglar/A 48353-2025 prioriterade fågelarter.docx", "A 48353-2025")</f>
        <v/>
      </c>
    </row>
    <row r="73" ht="15" customHeight="1">
      <c r="A73" t="inlineStr">
        <is>
          <t>A 48273-2025</t>
        </is>
      </c>
      <c r="B73" s="1" t="n">
        <v>45932</v>
      </c>
      <c r="C73" s="1" t="n">
        <v>46066</v>
      </c>
      <c r="D73" t="inlineStr">
        <is>
          <t>ÖSTERGÖTLANDS LÄN</t>
        </is>
      </c>
      <c r="E73" t="inlineStr">
        <is>
          <t>LINKÖPING</t>
        </is>
      </c>
      <c r="F73" t="inlineStr">
        <is>
          <t>Övriga Aktiebolag</t>
        </is>
      </c>
      <c r="G73" t="n">
        <v>4.6</v>
      </c>
      <c r="H73" t="n">
        <v>0</v>
      </c>
      <c r="I73" t="n">
        <v>0</v>
      </c>
      <c r="J73" t="n">
        <v>1</v>
      </c>
      <c r="K73" t="n">
        <v>0</v>
      </c>
      <c r="L73" t="n">
        <v>0</v>
      </c>
      <c r="M73" t="n">
        <v>0</v>
      </c>
      <c r="N73" t="n">
        <v>0</v>
      </c>
      <c r="O73" t="n">
        <v>1</v>
      </c>
      <c r="P73" t="n">
        <v>0</v>
      </c>
      <c r="Q73" t="n">
        <v>1</v>
      </c>
      <c r="R73" s="2" t="inlineStr">
        <is>
          <t>Barrviolspindling</t>
        </is>
      </c>
      <c r="S73">
        <f>HYPERLINK("https://klasma.github.io/Logging_0580/artfynd/A 48273-2025 artfynd.xlsx", "A 48273-2025")</f>
        <v/>
      </c>
      <c r="T73">
        <f>HYPERLINK("https://klasma.github.io/Logging_0580/kartor/A 48273-2025 karta.png", "A 48273-2025")</f>
        <v/>
      </c>
      <c r="V73">
        <f>HYPERLINK("https://klasma.github.io/Logging_0580/klagomål/A 48273-2025 FSC-klagomål.docx", "A 48273-2025")</f>
        <v/>
      </c>
      <c r="W73">
        <f>HYPERLINK("https://klasma.github.io/Logging_0580/klagomålsmail/A 48273-2025 FSC-klagomål mail.docx", "A 48273-2025")</f>
        <v/>
      </c>
      <c r="X73">
        <f>HYPERLINK("https://klasma.github.io/Logging_0580/tillsyn/A 48273-2025 tillsynsbegäran.docx", "A 48273-2025")</f>
        <v/>
      </c>
      <c r="Y73">
        <f>HYPERLINK("https://klasma.github.io/Logging_0580/tillsynsmail/A 48273-2025 tillsynsbegäran mail.docx", "A 48273-2025")</f>
        <v/>
      </c>
    </row>
    <row r="74" ht="15" customHeight="1">
      <c r="A74" t="inlineStr">
        <is>
          <t>A 48298-2025</t>
        </is>
      </c>
      <c r="B74" s="1" t="n">
        <v>45932</v>
      </c>
      <c r="C74" s="1" t="n">
        <v>46066</v>
      </c>
      <c r="D74" t="inlineStr">
        <is>
          <t>ÖSTERGÖTLANDS LÄN</t>
        </is>
      </c>
      <c r="E74" t="inlineStr">
        <is>
          <t>LINKÖPING</t>
        </is>
      </c>
      <c r="F74" t="inlineStr">
        <is>
          <t>Övriga Aktiebolag</t>
        </is>
      </c>
      <c r="G74" t="n">
        <v>1.7</v>
      </c>
      <c r="H74" t="n">
        <v>0</v>
      </c>
      <c r="I74" t="n">
        <v>1</v>
      </c>
      <c r="J74" t="n">
        <v>0</v>
      </c>
      <c r="K74" t="n">
        <v>0</v>
      </c>
      <c r="L74" t="n">
        <v>0</v>
      </c>
      <c r="M74" t="n">
        <v>0</v>
      </c>
      <c r="N74" t="n">
        <v>0</v>
      </c>
      <c r="O74" t="n">
        <v>0</v>
      </c>
      <c r="P74" t="n">
        <v>0</v>
      </c>
      <c r="Q74" t="n">
        <v>1</v>
      </c>
      <c r="R74" s="2" t="inlineStr">
        <is>
          <t>Västlig hakmossa</t>
        </is>
      </c>
      <c r="S74">
        <f>HYPERLINK("https://klasma.github.io/Logging_0580/artfynd/A 48298-2025 artfynd.xlsx", "A 48298-2025")</f>
        <v/>
      </c>
      <c r="T74">
        <f>HYPERLINK("https://klasma.github.io/Logging_0580/kartor/A 48298-2025 karta.png", "A 48298-2025")</f>
        <v/>
      </c>
      <c r="V74">
        <f>HYPERLINK("https://klasma.github.io/Logging_0580/klagomål/A 48298-2025 FSC-klagomål.docx", "A 48298-2025")</f>
        <v/>
      </c>
      <c r="W74">
        <f>HYPERLINK("https://klasma.github.io/Logging_0580/klagomålsmail/A 48298-2025 FSC-klagomål mail.docx", "A 48298-2025")</f>
        <v/>
      </c>
      <c r="X74">
        <f>HYPERLINK("https://klasma.github.io/Logging_0580/tillsyn/A 48298-2025 tillsynsbegäran.docx", "A 48298-2025")</f>
        <v/>
      </c>
      <c r="Y74">
        <f>HYPERLINK("https://klasma.github.io/Logging_0580/tillsynsmail/A 48298-2025 tillsynsbegäran mail.docx", "A 48298-2025")</f>
        <v/>
      </c>
    </row>
    <row r="75" ht="15" customHeight="1">
      <c r="A75" t="inlineStr">
        <is>
          <t>A 17389-2021</t>
        </is>
      </c>
      <c r="B75" s="1" t="n">
        <v>44298.96792824074</v>
      </c>
      <c r="C75" s="1" t="n">
        <v>46066</v>
      </c>
      <c r="D75" t="inlineStr">
        <is>
          <t>ÖSTERGÖTLANDS LÄN</t>
        </is>
      </c>
      <c r="E75" t="inlineStr">
        <is>
          <t>LINKÖPING</t>
        </is>
      </c>
      <c r="G75" t="n">
        <v>5.1</v>
      </c>
      <c r="H75" t="n">
        <v>0</v>
      </c>
      <c r="I75" t="n">
        <v>1</v>
      </c>
      <c r="J75" t="n">
        <v>0</v>
      </c>
      <c r="K75" t="n">
        <v>0</v>
      </c>
      <c r="L75" t="n">
        <v>0</v>
      </c>
      <c r="M75" t="n">
        <v>0</v>
      </c>
      <c r="N75" t="n">
        <v>0</v>
      </c>
      <c r="O75" t="n">
        <v>0</v>
      </c>
      <c r="P75" t="n">
        <v>0</v>
      </c>
      <c r="Q75" t="n">
        <v>1</v>
      </c>
      <c r="R75" s="2" t="inlineStr">
        <is>
          <t>Blomkålssvamp</t>
        </is>
      </c>
      <c r="S75">
        <f>HYPERLINK("https://klasma.github.io/Logging_0580/artfynd/A 17389-2021 artfynd.xlsx", "A 17389-2021")</f>
        <v/>
      </c>
      <c r="T75">
        <f>HYPERLINK("https://klasma.github.io/Logging_0580/kartor/A 17389-2021 karta.png", "A 17389-2021")</f>
        <v/>
      </c>
      <c r="V75">
        <f>HYPERLINK("https://klasma.github.io/Logging_0580/klagomål/A 17389-2021 FSC-klagomål.docx", "A 17389-2021")</f>
        <v/>
      </c>
      <c r="W75">
        <f>HYPERLINK("https://klasma.github.io/Logging_0580/klagomålsmail/A 17389-2021 FSC-klagomål mail.docx", "A 17389-2021")</f>
        <v/>
      </c>
      <c r="X75">
        <f>HYPERLINK("https://klasma.github.io/Logging_0580/tillsyn/A 17389-2021 tillsynsbegäran.docx", "A 17389-2021")</f>
        <v/>
      </c>
      <c r="Y75">
        <f>HYPERLINK("https://klasma.github.io/Logging_0580/tillsynsmail/A 17389-2021 tillsynsbegäran mail.docx", "A 17389-2021")</f>
        <v/>
      </c>
    </row>
    <row r="76" ht="15" customHeight="1">
      <c r="A76" t="inlineStr">
        <is>
          <t>A 56128-2022</t>
        </is>
      </c>
      <c r="B76" s="1" t="n">
        <v>44889</v>
      </c>
      <c r="C76" s="1" t="n">
        <v>46066</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50034-2025</t>
        </is>
      </c>
      <c r="B77" s="1" t="n">
        <v>45941</v>
      </c>
      <c r="C77" s="1" t="n">
        <v>46066</v>
      </c>
      <c r="D77" t="inlineStr">
        <is>
          <t>ÖSTERGÖTLANDS LÄN</t>
        </is>
      </c>
      <c r="E77" t="inlineStr">
        <is>
          <t>LINKÖPING</t>
        </is>
      </c>
      <c r="G77" t="n">
        <v>6.2</v>
      </c>
      <c r="H77" t="n">
        <v>0</v>
      </c>
      <c r="I77" t="n">
        <v>0</v>
      </c>
      <c r="J77" t="n">
        <v>0</v>
      </c>
      <c r="K77" t="n">
        <v>0</v>
      </c>
      <c r="L77" t="n">
        <v>0</v>
      </c>
      <c r="M77" t="n">
        <v>1</v>
      </c>
      <c r="N77" t="n">
        <v>0</v>
      </c>
      <c r="O77" t="n">
        <v>1</v>
      </c>
      <c r="P77" t="n">
        <v>1</v>
      </c>
      <c r="Q77" t="n">
        <v>1</v>
      </c>
      <c r="R77" s="2" t="inlineStr">
        <is>
          <t>Skogsalm</t>
        </is>
      </c>
      <c r="S77">
        <f>HYPERLINK("https://klasma.github.io/Logging_0580/artfynd/A 50034-2025 artfynd.xlsx", "A 50034-2025")</f>
        <v/>
      </c>
      <c r="T77">
        <f>HYPERLINK("https://klasma.github.io/Logging_0580/kartor/A 50034-2025 karta.png", "A 50034-2025")</f>
        <v/>
      </c>
      <c r="V77">
        <f>HYPERLINK("https://klasma.github.io/Logging_0580/klagomål/A 50034-2025 FSC-klagomål.docx", "A 50034-2025")</f>
        <v/>
      </c>
      <c r="W77">
        <f>HYPERLINK("https://klasma.github.io/Logging_0580/klagomålsmail/A 50034-2025 FSC-klagomål mail.docx", "A 50034-2025")</f>
        <v/>
      </c>
      <c r="X77">
        <f>HYPERLINK("https://klasma.github.io/Logging_0580/tillsyn/A 50034-2025 tillsynsbegäran.docx", "A 50034-2025")</f>
        <v/>
      </c>
      <c r="Y77">
        <f>HYPERLINK("https://klasma.github.io/Logging_0580/tillsynsmail/A 50034-2025 tillsynsbegäran mail.docx", "A 50034-2025")</f>
        <v/>
      </c>
    </row>
    <row r="78" ht="15" customHeight="1">
      <c r="A78" t="inlineStr">
        <is>
          <t>A 40309-2024</t>
        </is>
      </c>
      <c r="B78" s="1" t="n">
        <v>45554.724375</v>
      </c>
      <c r="C78" s="1" t="n">
        <v>46066</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54835-2023</t>
        </is>
      </c>
      <c r="B79" s="1" t="n">
        <v>45236</v>
      </c>
      <c r="C79" s="1" t="n">
        <v>46066</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126-2024</t>
        </is>
      </c>
      <c r="B80" s="1" t="n">
        <v>45294</v>
      </c>
      <c r="C80" s="1" t="n">
        <v>46066</v>
      </c>
      <c r="D80" t="inlineStr">
        <is>
          <t>ÖSTERGÖTLANDS LÄN</t>
        </is>
      </c>
      <c r="E80" t="inlineStr">
        <is>
          <t>LINKÖPING</t>
        </is>
      </c>
      <c r="G80" t="n">
        <v>1</v>
      </c>
      <c r="H80" t="n">
        <v>0</v>
      </c>
      <c r="I80" t="n">
        <v>1</v>
      </c>
      <c r="J80" t="n">
        <v>0</v>
      </c>
      <c r="K80" t="n">
        <v>0</v>
      </c>
      <c r="L80" t="n">
        <v>0</v>
      </c>
      <c r="M80" t="n">
        <v>0</v>
      </c>
      <c r="N80" t="n">
        <v>0</v>
      </c>
      <c r="O80" t="n">
        <v>0</v>
      </c>
      <c r="P80" t="n">
        <v>0</v>
      </c>
      <c r="Q80" t="n">
        <v>1</v>
      </c>
      <c r="R80" s="2" t="inlineStr">
        <is>
          <t>Blåmossa</t>
        </is>
      </c>
      <c r="S80">
        <f>HYPERLINK("https://klasma.github.io/Logging_0580/artfynd/A 126-2024 artfynd.xlsx", "A 126-2024")</f>
        <v/>
      </c>
      <c r="T80">
        <f>HYPERLINK("https://klasma.github.io/Logging_0580/kartor/A 126-2024 karta.png", "A 126-2024")</f>
        <v/>
      </c>
      <c r="V80">
        <f>HYPERLINK("https://klasma.github.io/Logging_0580/klagomål/A 126-2024 FSC-klagomål.docx", "A 126-2024")</f>
        <v/>
      </c>
      <c r="W80">
        <f>HYPERLINK("https://klasma.github.io/Logging_0580/klagomålsmail/A 126-2024 FSC-klagomål mail.docx", "A 126-2024")</f>
        <v/>
      </c>
      <c r="X80">
        <f>HYPERLINK("https://klasma.github.io/Logging_0580/tillsyn/A 126-2024 tillsynsbegäran.docx", "A 126-2024")</f>
        <v/>
      </c>
      <c r="Y80">
        <f>HYPERLINK("https://klasma.github.io/Logging_0580/tillsynsmail/A 126-2024 tillsynsbegäran mail.docx", "A 126-2024")</f>
        <v/>
      </c>
    </row>
    <row r="81" ht="15" customHeight="1">
      <c r="A81" t="inlineStr">
        <is>
          <t>A 56112-2025</t>
        </is>
      </c>
      <c r="B81" s="1" t="n">
        <v>45973.73625</v>
      </c>
      <c r="C81" s="1" t="n">
        <v>46066</v>
      </c>
      <c r="D81" t="inlineStr">
        <is>
          <t>ÖSTERGÖTLANDS LÄN</t>
        </is>
      </c>
      <c r="E81" t="inlineStr">
        <is>
          <t>LINKÖPING</t>
        </is>
      </c>
      <c r="G81" t="n">
        <v>0.6</v>
      </c>
      <c r="H81" t="n">
        <v>0</v>
      </c>
      <c r="I81" t="n">
        <v>0</v>
      </c>
      <c r="J81" t="n">
        <v>1</v>
      </c>
      <c r="K81" t="n">
        <v>0</v>
      </c>
      <c r="L81" t="n">
        <v>0</v>
      </c>
      <c r="M81" t="n">
        <v>0</v>
      </c>
      <c r="N81" t="n">
        <v>0</v>
      </c>
      <c r="O81" t="n">
        <v>1</v>
      </c>
      <c r="P81" t="n">
        <v>0</v>
      </c>
      <c r="Q81" t="n">
        <v>1</v>
      </c>
      <c r="R81" s="2" t="inlineStr">
        <is>
          <t>Solvända</t>
        </is>
      </c>
      <c r="S81">
        <f>HYPERLINK("https://klasma.github.io/Logging_0580/artfynd/A 56112-2025 artfynd.xlsx", "A 56112-2025")</f>
        <v/>
      </c>
      <c r="T81">
        <f>HYPERLINK("https://klasma.github.io/Logging_0580/kartor/A 56112-2025 karta.png", "A 56112-2025")</f>
        <v/>
      </c>
      <c r="V81">
        <f>HYPERLINK("https://klasma.github.io/Logging_0580/klagomål/A 56112-2025 FSC-klagomål.docx", "A 56112-2025")</f>
        <v/>
      </c>
      <c r="W81">
        <f>HYPERLINK("https://klasma.github.io/Logging_0580/klagomålsmail/A 56112-2025 FSC-klagomål mail.docx", "A 56112-2025")</f>
        <v/>
      </c>
      <c r="X81">
        <f>HYPERLINK("https://klasma.github.io/Logging_0580/tillsyn/A 56112-2025 tillsynsbegäran.docx", "A 56112-2025")</f>
        <v/>
      </c>
      <c r="Y81">
        <f>HYPERLINK("https://klasma.github.io/Logging_0580/tillsynsmail/A 56112-2025 tillsynsbegäran mail.docx", "A 56112-2025")</f>
        <v/>
      </c>
    </row>
    <row r="82" ht="15" customHeight="1">
      <c r="A82" t="inlineStr">
        <is>
          <t>A 59474-2025</t>
        </is>
      </c>
      <c r="B82" s="1" t="n">
        <v>45989.58512731481</v>
      </c>
      <c r="C82" s="1" t="n">
        <v>46066</v>
      </c>
      <c r="D82" t="inlineStr">
        <is>
          <t>ÖSTERGÖTLANDS LÄN</t>
        </is>
      </c>
      <c r="E82" t="inlineStr">
        <is>
          <t>LINKÖPING</t>
        </is>
      </c>
      <c r="G82" t="n">
        <v>8</v>
      </c>
      <c r="H82" t="n">
        <v>0</v>
      </c>
      <c r="I82" t="n">
        <v>1</v>
      </c>
      <c r="J82" t="n">
        <v>0</v>
      </c>
      <c r="K82" t="n">
        <v>0</v>
      </c>
      <c r="L82" t="n">
        <v>0</v>
      </c>
      <c r="M82" t="n">
        <v>0</v>
      </c>
      <c r="N82" t="n">
        <v>0</v>
      </c>
      <c r="O82" t="n">
        <v>0</v>
      </c>
      <c r="P82" t="n">
        <v>0</v>
      </c>
      <c r="Q82" t="n">
        <v>1</v>
      </c>
      <c r="R82" s="2" t="inlineStr">
        <is>
          <t>Fällmossa</t>
        </is>
      </c>
      <c r="S82">
        <f>HYPERLINK("https://klasma.github.io/Logging_0580/artfynd/A 59474-2025 artfynd.xlsx", "A 59474-2025")</f>
        <v/>
      </c>
      <c r="T82">
        <f>HYPERLINK("https://klasma.github.io/Logging_0580/kartor/A 59474-2025 karta.png", "A 59474-2025")</f>
        <v/>
      </c>
      <c r="V82">
        <f>HYPERLINK("https://klasma.github.io/Logging_0580/klagomål/A 59474-2025 FSC-klagomål.docx", "A 59474-2025")</f>
        <v/>
      </c>
      <c r="W82">
        <f>HYPERLINK("https://klasma.github.io/Logging_0580/klagomålsmail/A 59474-2025 FSC-klagomål mail.docx", "A 59474-2025")</f>
        <v/>
      </c>
      <c r="X82">
        <f>HYPERLINK("https://klasma.github.io/Logging_0580/tillsyn/A 59474-2025 tillsynsbegäran.docx", "A 59474-2025")</f>
        <v/>
      </c>
      <c r="Y82">
        <f>HYPERLINK("https://klasma.github.io/Logging_0580/tillsynsmail/A 59474-2025 tillsynsbegäran mail.docx", "A 59474-2025")</f>
        <v/>
      </c>
    </row>
    <row r="83" ht="15" customHeight="1">
      <c r="A83" t="inlineStr">
        <is>
          <t>A 60311-2025</t>
        </is>
      </c>
      <c r="B83" s="1" t="n">
        <v>45994</v>
      </c>
      <c r="C83" s="1" t="n">
        <v>46066</v>
      </c>
      <c r="D83" t="inlineStr">
        <is>
          <t>ÖSTERGÖTLANDS LÄN</t>
        </is>
      </c>
      <c r="E83" t="inlineStr">
        <is>
          <t>LINKÖPING</t>
        </is>
      </c>
      <c r="G83" t="n">
        <v>1.9</v>
      </c>
      <c r="H83" t="n">
        <v>0</v>
      </c>
      <c r="I83" t="n">
        <v>0</v>
      </c>
      <c r="J83" t="n">
        <v>1</v>
      </c>
      <c r="K83" t="n">
        <v>0</v>
      </c>
      <c r="L83" t="n">
        <v>0</v>
      </c>
      <c r="M83" t="n">
        <v>0</v>
      </c>
      <c r="N83" t="n">
        <v>0</v>
      </c>
      <c r="O83" t="n">
        <v>1</v>
      </c>
      <c r="P83" t="n">
        <v>0</v>
      </c>
      <c r="Q83" t="n">
        <v>1</v>
      </c>
      <c r="R83" s="2" t="inlineStr">
        <is>
          <t>Gammelekslav</t>
        </is>
      </c>
      <c r="S83">
        <f>HYPERLINK("https://klasma.github.io/Logging_0580/artfynd/A 60311-2025 artfynd.xlsx", "A 60311-2025")</f>
        <v/>
      </c>
      <c r="T83">
        <f>HYPERLINK("https://klasma.github.io/Logging_0580/kartor/A 60311-2025 karta.png", "A 60311-2025")</f>
        <v/>
      </c>
      <c r="V83">
        <f>HYPERLINK("https://klasma.github.io/Logging_0580/klagomål/A 60311-2025 FSC-klagomål.docx", "A 60311-2025")</f>
        <v/>
      </c>
      <c r="W83">
        <f>HYPERLINK("https://klasma.github.io/Logging_0580/klagomålsmail/A 60311-2025 FSC-klagomål mail.docx", "A 60311-2025")</f>
        <v/>
      </c>
      <c r="X83">
        <f>HYPERLINK("https://klasma.github.io/Logging_0580/tillsyn/A 60311-2025 tillsynsbegäran.docx", "A 60311-2025")</f>
        <v/>
      </c>
      <c r="Y83">
        <f>HYPERLINK("https://klasma.github.io/Logging_0580/tillsynsmail/A 60311-2025 tillsynsbegäran mail.docx", "A 60311-2025")</f>
        <v/>
      </c>
    </row>
    <row r="84" ht="15" customHeight="1">
      <c r="A84" t="inlineStr">
        <is>
          <t>A 3395-2023</t>
        </is>
      </c>
      <c r="B84" s="1" t="n">
        <v>44949</v>
      </c>
      <c r="C84" s="1" t="n">
        <v>46066</v>
      </c>
      <c r="D84" t="inlineStr">
        <is>
          <t>ÖSTERGÖTLANDS LÄN</t>
        </is>
      </c>
      <c r="E84" t="inlineStr">
        <is>
          <t>LINKÖPING</t>
        </is>
      </c>
      <c r="G84" t="n">
        <v>2</v>
      </c>
      <c r="H84" t="n">
        <v>0</v>
      </c>
      <c r="I84" t="n">
        <v>0</v>
      </c>
      <c r="J84" t="n">
        <v>1</v>
      </c>
      <c r="K84" t="n">
        <v>0</v>
      </c>
      <c r="L84" t="n">
        <v>0</v>
      </c>
      <c r="M84" t="n">
        <v>0</v>
      </c>
      <c r="N84" t="n">
        <v>0</v>
      </c>
      <c r="O84" t="n">
        <v>1</v>
      </c>
      <c r="P84" t="n">
        <v>0</v>
      </c>
      <c r="Q84" t="n">
        <v>1</v>
      </c>
      <c r="R84" s="2" t="inlineStr">
        <is>
          <t>Sommarfibbla</t>
        </is>
      </c>
      <c r="S84">
        <f>HYPERLINK("https://klasma.github.io/Logging_0580/artfynd/A 3395-2023 artfynd.xlsx", "A 3395-2023")</f>
        <v/>
      </c>
      <c r="T84">
        <f>HYPERLINK("https://klasma.github.io/Logging_0580/kartor/A 3395-2023 karta.png", "A 3395-2023")</f>
        <v/>
      </c>
      <c r="V84">
        <f>HYPERLINK("https://klasma.github.io/Logging_0580/klagomål/A 3395-2023 FSC-klagomål.docx", "A 3395-2023")</f>
        <v/>
      </c>
      <c r="W84">
        <f>HYPERLINK("https://klasma.github.io/Logging_0580/klagomålsmail/A 3395-2023 FSC-klagomål mail.docx", "A 3395-2023")</f>
        <v/>
      </c>
      <c r="X84">
        <f>HYPERLINK("https://klasma.github.io/Logging_0580/tillsyn/A 3395-2023 tillsynsbegäran.docx", "A 3395-2023")</f>
        <v/>
      </c>
      <c r="Y84">
        <f>HYPERLINK("https://klasma.github.io/Logging_0580/tillsynsmail/A 3395-2023 tillsynsbegäran mail.docx", "A 3395-2023")</f>
        <v/>
      </c>
    </row>
    <row r="85" ht="15" customHeight="1">
      <c r="A85" t="inlineStr">
        <is>
          <t>A 19103-2021</t>
        </is>
      </c>
      <c r="B85" s="1" t="n">
        <v>44308</v>
      </c>
      <c r="C85" s="1" t="n">
        <v>46066</v>
      </c>
      <c r="D85" t="inlineStr">
        <is>
          <t>ÖSTERGÖTLANDS LÄN</t>
        </is>
      </c>
      <c r="E85" t="inlineStr">
        <is>
          <t>LINKÖPING</t>
        </is>
      </c>
      <c r="G85" t="n">
        <v>4.7</v>
      </c>
      <c r="H85" t="n">
        <v>0</v>
      </c>
      <c r="I85" t="n">
        <v>0</v>
      </c>
      <c r="J85" t="n">
        <v>1</v>
      </c>
      <c r="K85" t="n">
        <v>0</v>
      </c>
      <c r="L85" t="n">
        <v>0</v>
      </c>
      <c r="M85" t="n">
        <v>0</v>
      </c>
      <c r="N85" t="n">
        <v>0</v>
      </c>
      <c r="O85" t="n">
        <v>1</v>
      </c>
      <c r="P85" t="n">
        <v>0</v>
      </c>
      <c r="Q85" t="n">
        <v>1</v>
      </c>
      <c r="R85" s="2" t="inlineStr">
        <is>
          <t>Tallticka</t>
        </is>
      </c>
      <c r="S85">
        <f>HYPERLINK("https://klasma.github.io/Logging_0580/artfynd/A 19103-2021 artfynd.xlsx", "A 19103-2021")</f>
        <v/>
      </c>
      <c r="T85">
        <f>HYPERLINK("https://klasma.github.io/Logging_0580/kartor/A 19103-2021 karta.png", "A 19103-2021")</f>
        <v/>
      </c>
      <c r="V85">
        <f>HYPERLINK("https://klasma.github.io/Logging_0580/klagomål/A 19103-2021 FSC-klagomål.docx", "A 19103-2021")</f>
        <v/>
      </c>
      <c r="W85">
        <f>HYPERLINK("https://klasma.github.io/Logging_0580/klagomålsmail/A 19103-2021 FSC-klagomål mail.docx", "A 19103-2021")</f>
        <v/>
      </c>
      <c r="X85">
        <f>HYPERLINK("https://klasma.github.io/Logging_0580/tillsyn/A 19103-2021 tillsynsbegäran.docx", "A 19103-2021")</f>
        <v/>
      </c>
      <c r="Y85">
        <f>HYPERLINK("https://klasma.github.io/Logging_0580/tillsynsmail/A 19103-2021 tillsynsbegäran mail.docx", "A 19103-2021")</f>
        <v/>
      </c>
    </row>
    <row r="86" ht="15" customHeight="1">
      <c r="A86" t="inlineStr">
        <is>
          <t>A 50806-2023</t>
        </is>
      </c>
      <c r="B86" s="1" t="n">
        <v>45217</v>
      </c>
      <c r="C86" s="1" t="n">
        <v>46066</v>
      </c>
      <c r="D86" t="inlineStr">
        <is>
          <t>ÖSTERGÖTLANDS LÄN</t>
        </is>
      </c>
      <c r="E86" t="inlineStr">
        <is>
          <t>LINKÖPING</t>
        </is>
      </c>
      <c r="F86" t="inlineStr">
        <is>
          <t>Övriga Aktiebolag</t>
        </is>
      </c>
      <c r="G86" t="n">
        <v>0.7</v>
      </c>
      <c r="H86" t="n">
        <v>1</v>
      </c>
      <c r="I86" t="n">
        <v>0</v>
      </c>
      <c r="J86" t="n">
        <v>0</v>
      </c>
      <c r="K86" t="n">
        <v>0</v>
      </c>
      <c r="L86" t="n">
        <v>0</v>
      </c>
      <c r="M86" t="n">
        <v>0</v>
      </c>
      <c r="N86" t="n">
        <v>0</v>
      </c>
      <c r="O86" t="n">
        <v>0</v>
      </c>
      <c r="P86" t="n">
        <v>0</v>
      </c>
      <c r="Q86" t="n">
        <v>1</v>
      </c>
      <c r="R86" s="2" t="inlineStr">
        <is>
          <t>Gullviva</t>
        </is>
      </c>
      <c r="S86">
        <f>HYPERLINK("https://klasma.github.io/Logging_0580/artfynd/A 50806-2023 artfynd.xlsx", "A 50806-2023")</f>
        <v/>
      </c>
      <c r="T86">
        <f>HYPERLINK("https://klasma.github.io/Logging_0580/kartor/A 50806-2023 karta.png", "A 50806-2023")</f>
        <v/>
      </c>
      <c r="V86">
        <f>HYPERLINK("https://klasma.github.io/Logging_0580/klagomål/A 50806-2023 FSC-klagomål.docx", "A 50806-2023")</f>
        <v/>
      </c>
      <c r="W86">
        <f>HYPERLINK("https://klasma.github.io/Logging_0580/klagomålsmail/A 50806-2023 FSC-klagomål mail.docx", "A 50806-2023")</f>
        <v/>
      </c>
      <c r="X86">
        <f>HYPERLINK("https://klasma.github.io/Logging_0580/tillsyn/A 50806-2023 tillsynsbegäran.docx", "A 50806-2023")</f>
        <v/>
      </c>
      <c r="Y86">
        <f>HYPERLINK("https://klasma.github.io/Logging_0580/tillsynsmail/A 50806-2023 tillsynsbegäran mail.docx", "A 50806-2023")</f>
        <v/>
      </c>
    </row>
    <row r="87" ht="15" customHeight="1">
      <c r="A87" t="inlineStr">
        <is>
          <t>A 39457-2023</t>
        </is>
      </c>
      <c r="B87" s="1" t="n">
        <v>45166</v>
      </c>
      <c r="C87" s="1" t="n">
        <v>46066</v>
      </c>
      <c r="D87" t="inlineStr">
        <is>
          <t>ÖSTERGÖTLANDS LÄN</t>
        </is>
      </c>
      <c r="E87" t="inlineStr">
        <is>
          <t>LINKÖPING</t>
        </is>
      </c>
      <c r="G87" t="n">
        <v>2.1</v>
      </c>
      <c r="H87" t="n">
        <v>1</v>
      </c>
      <c r="I87" t="n">
        <v>0</v>
      </c>
      <c r="J87" t="n">
        <v>0</v>
      </c>
      <c r="K87" t="n">
        <v>0</v>
      </c>
      <c r="L87" t="n">
        <v>0</v>
      </c>
      <c r="M87" t="n">
        <v>0</v>
      </c>
      <c r="N87" t="n">
        <v>0</v>
      </c>
      <c r="O87" t="n">
        <v>0</v>
      </c>
      <c r="P87" t="n">
        <v>0</v>
      </c>
      <c r="Q87" t="n">
        <v>1</v>
      </c>
      <c r="R87" s="2" t="inlineStr">
        <is>
          <t>Sparvuggla</t>
        </is>
      </c>
      <c r="S87">
        <f>HYPERLINK("https://klasma.github.io/Logging_0580/artfynd/A 39457-2023 artfynd.xlsx", "A 39457-2023")</f>
        <v/>
      </c>
      <c r="T87">
        <f>HYPERLINK("https://klasma.github.io/Logging_0580/kartor/A 39457-2023 karta.png", "A 39457-2023")</f>
        <v/>
      </c>
      <c r="V87">
        <f>HYPERLINK("https://klasma.github.io/Logging_0580/klagomål/A 39457-2023 FSC-klagomål.docx", "A 39457-2023")</f>
        <v/>
      </c>
      <c r="W87">
        <f>HYPERLINK("https://klasma.github.io/Logging_0580/klagomålsmail/A 39457-2023 FSC-klagomål mail.docx", "A 39457-2023")</f>
        <v/>
      </c>
      <c r="X87">
        <f>HYPERLINK("https://klasma.github.io/Logging_0580/tillsyn/A 39457-2023 tillsynsbegäran.docx", "A 39457-2023")</f>
        <v/>
      </c>
      <c r="Y87">
        <f>HYPERLINK("https://klasma.github.io/Logging_0580/tillsynsmail/A 39457-2023 tillsynsbegäran mail.docx", "A 39457-2023")</f>
        <v/>
      </c>
      <c r="Z87">
        <f>HYPERLINK("https://klasma.github.io/Logging_0580/fåglar/A 39457-2023 prioriterade fågelarter.docx", "A 39457-2023")</f>
        <v/>
      </c>
    </row>
    <row r="88" ht="15" customHeight="1">
      <c r="A88" t="inlineStr">
        <is>
          <t>A 35948-2023</t>
        </is>
      </c>
      <c r="B88" s="1" t="n">
        <v>45148</v>
      </c>
      <c r="C88" s="1" t="n">
        <v>46066</v>
      </c>
      <c r="D88" t="inlineStr">
        <is>
          <t>ÖSTERGÖTLANDS LÄN</t>
        </is>
      </c>
      <c r="E88" t="inlineStr">
        <is>
          <t>LINKÖPING</t>
        </is>
      </c>
      <c r="G88" t="n">
        <v>1.9</v>
      </c>
      <c r="H88" t="n">
        <v>0</v>
      </c>
      <c r="I88" t="n">
        <v>1</v>
      </c>
      <c r="J88" t="n">
        <v>0</v>
      </c>
      <c r="K88" t="n">
        <v>0</v>
      </c>
      <c r="L88" t="n">
        <v>0</v>
      </c>
      <c r="M88" t="n">
        <v>0</v>
      </c>
      <c r="N88" t="n">
        <v>0</v>
      </c>
      <c r="O88" t="n">
        <v>0</v>
      </c>
      <c r="P88" t="n">
        <v>0</v>
      </c>
      <c r="Q88" t="n">
        <v>1</v>
      </c>
      <c r="R88" s="2" t="inlineStr">
        <is>
          <t>Brun nållav</t>
        </is>
      </c>
      <c r="S88">
        <f>HYPERLINK("https://klasma.github.io/Logging_0580/artfynd/A 35948-2023 artfynd.xlsx", "A 35948-2023")</f>
        <v/>
      </c>
      <c r="T88">
        <f>HYPERLINK("https://klasma.github.io/Logging_0580/kartor/A 35948-2023 karta.png", "A 35948-2023")</f>
        <v/>
      </c>
      <c r="V88">
        <f>HYPERLINK("https://klasma.github.io/Logging_0580/klagomål/A 35948-2023 FSC-klagomål.docx", "A 35948-2023")</f>
        <v/>
      </c>
      <c r="W88">
        <f>HYPERLINK("https://klasma.github.io/Logging_0580/klagomålsmail/A 35948-2023 FSC-klagomål mail.docx", "A 35948-2023")</f>
        <v/>
      </c>
      <c r="X88">
        <f>HYPERLINK("https://klasma.github.io/Logging_0580/tillsyn/A 35948-2023 tillsynsbegäran.docx", "A 35948-2023")</f>
        <v/>
      </c>
      <c r="Y88">
        <f>HYPERLINK("https://klasma.github.io/Logging_0580/tillsynsmail/A 35948-2023 tillsynsbegäran mail.docx", "A 35948-2023")</f>
        <v/>
      </c>
    </row>
    <row r="89" ht="15" customHeight="1">
      <c r="A89" t="inlineStr">
        <is>
          <t>A 62071-2023</t>
        </is>
      </c>
      <c r="B89" s="1" t="n">
        <v>45266.73542824074</v>
      </c>
      <c r="C89" s="1" t="n">
        <v>46066</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3397-2023</t>
        </is>
      </c>
      <c r="B90" s="1" t="n">
        <v>44949</v>
      </c>
      <c r="C90" s="1" t="n">
        <v>46066</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20295-2025</t>
        </is>
      </c>
      <c r="B91" s="1" t="n">
        <v>45774.74846064814</v>
      </c>
      <c r="C91" s="1" t="n">
        <v>46066</v>
      </c>
      <c r="D91" t="inlineStr">
        <is>
          <t>ÖSTERGÖTLANDS LÄN</t>
        </is>
      </c>
      <c r="E91" t="inlineStr">
        <is>
          <t>LINKÖPING</t>
        </is>
      </c>
      <c r="G91" t="n">
        <v>3</v>
      </c>
      <c r="H91" t="n">
        <v>0</v>
      </c>
      <c r="I91" t="n">
        <v>0</v>
      </c>
      <c r="J91" t="n">
        <v>1</v>
      </c>
      <c r="K91" t="n">
        <v>0</v>
      </c>
      <c r="L91" t="n">
        <v>0</v>
      </c>
      <c r="M91" t="n">
        <v>0</v>
      </c>
      <c r="N91" t="n">
        <v>0</v>
      </c>
      <c r="O91" t="n">
        <v>1</v>
      </c>
      <c r="P91" t="n">
        <v>0</v>
      </c>
      <c r="Q91" t="n">
        <v>1</v>
      </c>
      <c r="R91" s="2" t="inlineStr">
        <is>
          <t>Tallticka</t>
        </is>
      </c>
      <c r="S91">
        <f>HYPERLINK("https://klasma.github.io/Logging_0580/artfynd/A 20295-2025 artfynd.xlsx", "A 20295-2025")</f>
        <v/>
      </c>
      <c r="T91">
        <f>HYPERLINK("https://klasma.github.io/Logging_0580/kartor/A 20295-2025 karta.png", "A 20295-2025")</f>
        <v/>
      </c>
      <c r="V91">
        <f>HYPERLINK("https://klasma.github.io/Logging_0580/klagomål/A 20295-2025 FSC-klagomål.docx", "A 20295-2025")</f>
        <v/>
      </c>
      <c r="W91">
        <f>HYPERLINK("https://klasma.github.io/Logging_0580/klagomålsmail/A 20295-2025 FSC-klagomål mail.docx", "A 20295-2025")</f>
        <v/>
      </c>
      <c r="X91">
        <f>HYPERLINK("https://klasma.github.io/Logging_0580/tillsyn/A 20295-2025 tillsynsbegäran.docx", "A 20295-2025")</f>
        <v/>
      </c>
      <c r="Y91">
        <f>HYPERLINK("https://klasma.github.io/Logging_0580/tillsynsmail/A 20295-2025 tillsynsbegäran mail.docx", "A 20295-2025")</f>
        <v/>
      </c>
    </row>
    <row r="92" ht="15" customHeight="1">
      <c r="A92" t="inlineStr">
        <is>
          <t>A 60573-2021</t>
        </is>
      </c>
      <c r="B92" s="1" t="n">
        <v>44496</v>
      </c>
      <c r="C92" s="1" t="n">
        <v>46066</v>
      </c>
      <c r="D92" t="inlineStr">
        <is>
          <t>ÖSTERGÖTLANDS LÄN</t>
        </is>
      </c>
      <c r="E92" t="inlineStr">
        <is>
          <t>LINKÖPING</t>
        </is>
      </c>
      <c r="F92" t="inlineStr">
        <is>
          <t>Övriga Aktiebolag</t>
        </is>
      </c>
      <c r="G92" t="n">
        <v>5.6</v>
      </c>
      <c r="H92" t="n">
        <v>0</v>
      </c>
      <c r="I92" t="n">
        <v>0</v>
      </c>
      <c r="J92" t="n">
        <v>1</v>
      </c>
      <c r="K92" t="n">
        <v>0</v>
      </c>
      <c r="L92" t="n">
        <v>0</v>
      </c>
      <c r="M92" t="n">
        <v>0</v>
      </c>
      <c r="N92" t="n">
        <v>0</v>
      </c>
      <c r="O92" t="n">
        <v>1</v>
      </c>
      <c r="P92" t="n">
        <v>0</v>
      </c>
      <c r="Q92" t="n">
        <v>1</v>
      </c>
      <c r="R92" s="2" t="inlineStr">
        <is>
          <t>Sommarfibbla</t>
        </is>
      </c>
      <c r="S92">
        <f>HYPERLINK("https://klasma.github.io/Logging_0580/artfynd/A 60573-2021 artfynd.xlsx", "A 60573-2021")</f>
        <v/>
      </c>
      <c r="T92">
        <f>HYPERLINK("https://klasma.github.io/Logging_0580/kartor/A 60573-2021 karta.png", "A 60573-2021")</f>
        <v/>
      </c>
      <c r="V92">
        <f>HYPERLINK("https://klasma.github.io/Logging_0580/klagomål/A 60573-2021 FSC-klagomål.docx", "A 60573-2021")</f>
        <v/>
      </c>
      <c r="W92">
        <f>HYPERLINK("https://klasma.github.io/Logging_0580/klagomålsmail/A 60573-2021 FSC-klagomål mail.docx", "A 60573-2021")</f>
        <v/>
      </c>
      <c r="X92">
        <f>HYPERLINK("https://klasma.github.io/Logging_0580/tillsyn/A 60573-2021 tillsynsbegäran.docx", "A 60573-2021")</f>
        <v/>
      </c>
      <c r="Y92">
        <f>HYPERLINK("https://klasma.github.io/Logging_0580/tillsynsmail/A 60573-2021 tillsynsbegäran mail.docx", "A 60573-2021")</f>
        <v/>
      </c>
    </row>
    <row r="93" ht="15" customHeight="1">
      <c r="A93" t="inlineStr">
        <is>
          <t>A 41749-2023</t>
        </is>
      </c>
      <c r="B93" s="1" t="n">
        <v>45176</v>
      </c>
      <c r="C93" s="1" t="n">
        <v>46066</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41749-2023 artfynd.xlsx", "A 41749-2023")</f>
        <v/>
      </c>
      <c r="T93">
        <f>HYPERLINK("https://klasma.github.io/Logging_0580/kartor/A 41749-2023 karta.png", "A 41749-2023")</f>
        <v/>
      </c>
      <c r="V93">
        <f>HYPERLINK("https://klasma.github.io/Logging_0580/klagomål/A 41749-2023 FSC-klagomål.docx", "A 41749-2023")</f>
        <v/>
      </c>
      <c r="W93">
        <f>HYPERLINK("https://klasma.github.io/Logging_0580/klagomålsmail/A 41749-2023 FSC-klagomål mail.docx", "A 41749-2023")</f>
        <v/>
      </c>
      <c r="X93">
        <f>HYPERLINK("https://klasma.github.io/Logging_0580/tillsyn/A 41749-2023 tillsynsbegäran.docx", "A 41749-2023")</f>
        <v/>
      </c>
      <c r="Y93">
        <f>HYPERLINK("https://klasma.github.io/Logging_0580/tillsynsmail/A 41749-2023 tillsynsbegäran mail.docx", "A 41749-2023")</f>
        <v/>
      </c>
    </row>
    <row r="94" ht="15" customHeight="1">
      <c r="A94" t="inlineStr">
        <is>
          <t>A 38881-2021</t>
        </is>
      </c>
      <c r="B94" s="1" t="n">
        <v>44411.46893518518</v>
      </c>
      <c r="C94" s="1" t="n">
        <v>46066</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46066</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46066</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46066</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46066</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46066</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46066</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46066</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46066</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46066</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46066</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46066</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46066</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46066</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46066</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46066</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46066</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46066</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46066</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46066</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46066</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46066</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46066</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40437-2021</t>
        </is>
      </c>
      <c r="B117" s="1" t="n">
        <v>44419</v>
      </c>
      <c r="C117" s="1" t="n">
        <v>46066</v>
      </c>
      <c r="D117" t="inlineStr">
        <is>
          <t>ÖSTERGÖTLANDS LÄN</t>
        </is>
      </c>
      <c r="E117" t="inlineStr">
        <is>
          <t>LINKÖPING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17497-2022</t>
        </is>
      </c>
      <c r="B118" s="1" t="n">
        <v>44679</v>
      </c>
      <c r="C118" s="1" t="n">
        <v>46066</v>
      </c>
      <c r="D118" t="inlineStr">
        <is>
          <t>ÖSTERGÖTLANDS LÄN</t>
        </is>
      </c>
      <c r="E118" t="inlineStr">
        <is>
          <t>LINKÖPING</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17500-2022</t>
        </is>
      </c>
      <c r="B119" s="1" t="n">
        <v>44679</v>
      </c>
      <c r="C119" s="1" t="n">
        <v>46066</v>
      </c>
      <c r="D119" t="inlineStr">
        <is>
          <t>ÖSTERGÖTLANDS LÄN</t>
        </is>
      </c>
      <c r="E119" t="inlineStr">
        <is>
          <t>LINKÖPING</t>
        </is>
      </c>
      <c r="F119" t="inlineStr">
        <is>
          <t>Kommuner</t>
        </is>
      </c>
      <c r="G119" t="n">
        <v>1.8</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46066</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46066</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46066</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46066</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46066</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46066</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46066</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46066</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46066</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46066</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46066</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46066</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46066</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46416-2021</t>
        </is>
      </c>
      <c r="B133" s="1" t="n">
        <v>44442</v>
      </c>
      <c r="C133" s="1" t="n">
        <v>46066</v>
      </c>
      <c r="D133" t="inlineStr">
        <is>
          <t>ÖSTERGÖTLANDS LÄN</t>
        </is>
      </c>
      <c r="E133" t="inlineStr">
        <is>
          <t>LINKÖPING</t>
        </is>
      </c>
      <c r="G133" t="n">
        <v>2.3</v>
      </c>
      <c r="H133" t="n">
        <v>0</v>
      </c>
      <c r="I133" t="n">
        <v>0</v>
      </c>
      <c r="J133" t="n">
        <v>0</v>
      </c>
      <c r="K133" t="n">
        <v>0</v>
      </c>
      <c r="L133" t="n">
        <v>0</v>
      </c>
      <c r="M133" t="n">
        <v>0</v>
      </c>
      <c r="N133" t="n">
        <v>0</v>
      </c>
      <c r="O133" t="n">
        <v>0</v>
      </c>
      <c r="P133" t="n">
        <v>0</v>
      </c>
      <c r="Q133" t="n">
        <v>0</v>
      </c>
      <c r="R133" s="2" t="inlineStr"/>
    </row>
    <row r="134" ht="15" customHeight="1">
      <c r="A134" t="inlineStr">
        <is>
          <t>A 58258-2021</t>
        </is>
      </c>
      <c r="B134" s="1" t="n">
        <v>44487</v>
      </c>
      <c r="C134" s="1" t="n">
        <v>46066</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46066</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58287-2021</t>
        </is>
      </c>
      <c r="B136" s="1" t="n">
        <v>44487</v>
      </c>
      <c r="C136" s="1" t="n">
        <v>46066</v>
      </c>
      <c r="D136" t="inlineStr">
        <is>
          <t>ÖSTERGÖTLANDS LÄN</t>
        </is>
      </c>
      <c r="E136" t="inlineStr">
        <is>
          <t>LINKÖPING</t>
        </is>
      </c>
      <c r="F136" t="inlineStr">
        <is>
          <t>Övriga Aktiebolag</t>
        </is>
      </c>
      <c r="G136" t="n">
        <v>1.5</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46066</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52966-2021</t>
        </is>
      </c>
      <c r="B138" s="1" t="n">
        <v>44467</v>
      </c>
      <c r="C138" s="1" t="n">
        <v>46066</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46066</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46066</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46066</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46066</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46066</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46066</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46066</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46066</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46066</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46066</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46066</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9935-2021</t>
        </is>
      </c>
      <c r="B150" s="1" t="n">
        <v>44253</v>
      </c>
      <c r="C150" s="1" t="n">
        <v>46066</v>
      </c>
      <c r="D150" t="inlineStr">
        <is>
          <t>ÖSTERGÖTLANDS LÄN</t>
        </is>
      </c>
      <c r="E150" t="inlineStr">
        <is>
          <t>LINKÖPING</t>
        </is>
      </c>
      <c r="G150" t="n">
        <v>4.5</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46066</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46066</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46066</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46066</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46066</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46066</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46066</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13922-2021</t>
        </is>
      </c>
      <c r="B158" s="1" t="n">
        <v>44277.45946759259</v>
      </c>
      <c r="C158" s="1" t="n">
        <v>46066</v>
      </c>
      <c r="D158" t="inlineStr">
        <is>
          <t>ÖSTERGÖTLANDS LÄN</t>
        </is>
      </c>
      <c r="E158" t="inlineStr">
        <is>
          <t>LINKÖPING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46066</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46066</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46066</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46066</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46066</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46066</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46066</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46066</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46066</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46066</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46066</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46066</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46066</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46066</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46066</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46066</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46066</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46066</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46066</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46066</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46066</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46066</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46066</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46066</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46066</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46066</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46066</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46066</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46066</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46066</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46066</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46066</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46066</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12412-2022</t>
        </is>
      </c>
      <c r="B192" s="1" t="n">
        <v>44638</v>
      </c>
      <c r="C192" s="1" t="n">
        <v>46066</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46066</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46066</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46066</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46066</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46066</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34558-2022</t>
        </is>
      </c>
      <c r="B198" s="1" t="n">
        <v>44794.57594907407</v>
      </c>
      <c r="C198" s="1" t="n">
        <v>46066</v>
      </c>
      <c r="D198" t="inlineStr">
        <is>
          <t>ÖSTERGÖTLANDS LÄN</t>
        </is>
      </c>
      <c r="E198" t="inlineStr">
        <is>
          <t>LINKÖPING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63489-2023</t>
        </is>
      </c>
      <c r="B199" s="1" t="n">
        <v>45274.66761574074</v>
      </c>
      <c r="C199" s="1" t="n">
        <v>46066</v>
      </c>
      <c r="D199" t="inlineStr">
        <is>
          <t>ÖSTERGÖTLANDS LÄN</t>
        </is>
      </c>
      <c r="E199" t="inlineStr">
        <is>
          <t>LINKÖPING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22772-2024</t>
        </is>
      </c>
      <c r="B200" s="1" t="n">
        <v>45448.46712962963</v>
      </c>
      <c r="C200" s="1" t="n">
        <v>46066</v>
      </c>
      <c r="D200" t="inlineStr">
        <is>
          <t>ÖSTERGÖTLANDS LÄN</t>
        </is>
      </c>
      <c r="E200" t="inlineStr">
        <is>
          <t>LINKÖPING</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54845-2023</t>
        </is>
      </c>
      <c r="B201" s="1" t="n">
        <v>45236</v>
      </c>
      <c r="C201" s="1" t="n">
        <v>46066</v>
      </c>
      <c r="D201" t="inlineStr">
        <is>
          <t>ÖSTERGÖTLANDS LÄN</t>
        </is>
      </c>
      <c r="E201" t="inlineStr">
        <is>
          <t>LINKÖPING</t>
        </is>
      </c>
      <c r="F201" t="inlineStr">
        <is>
          <t>Övriga Aktiebolag</t>
        </is>
      </c>
      <c r="G201" t="n">
        <v>5.7</v>
      </c>
      <c r="H201" t="n">
        <v>0</v>
      </c>
      <c r="I201" t="n">
        <v>0</v>
      </c>
      <c r="J201" t="n">
        <v>0</v>
      </c>
      <c r="K201" t="n">
        <v>0</v>
      </c>
      <c r="L201" t="n">
        <v>0</v>
      </c>
      <c r="M201" t="n">
        <v>0</v>
      </c>
      <c r="N201" t="n">
        <v>0</v>
      </c>
      <c r="O201" t="n">
        <v>0</v>
      </c>
      <c r="P201" t="n">
        <v>0</v>
      </c>
      <c r="Q201" t="n">
        <v>0</v>
      </c>
      <c r="R201" s="2" t="inlineStr"/>
    </row>
    <row r="202" ht="15" customHeight="1">
      <c r="A202" t="inlineStr">
        <is>
          <t>A 62488-2023</t>
        </is>
      </c>
      <c r="B202" s="1" t="n">
        <v>45268.5847337963</v>
      </c>
      <c r="C202" s="1" t="n">
        <v>46066</v>
      </c>
      <c r="D202" t="inlineStr">
        <is>
          <t>ÖSTERGÖTLANDS LÄN</t>
        </is>
      </c>
      <c r="E202" t="inlineStr">
        <is>
          <t>LINKÖPING</t>
        </is>
      </c>
      <c r="G202" t="n">
        <v>4.1</v>
      </c>
      <c r="H202" t="n">
        <v>0</v>
      </c>
      <c r="I202" t="n">
        <v>0</v>
      </c>
      <c r="J202" t="n">
        <v>0</v>
      </c>
      <c r="K202" t="n">
        <v>0</v>
      </c>
      <c r="L202" t="n">
        <v>0</v>
      </c>
      <c r="M202" t="n">
        <v>0</v>
      </c>
      <c r="N202" t="n">
        <v>0</v>
      </c>
      <c r="O202" t="n">
        <v>0</v>
      </c>
      <c r="P202" t="n">
        <v>0</v>
      </c>
      <c r="Q202" t="n">
        <v>0</v>
      </c>
      <c r="R202" s="2" t="inlineStr"/>
    </row>
    <row r="203" ht="15" customHeight="1">
      <c r="A203" t="inlineStr">
        <is>
          <t>A 28266-2024</t>
        </is>
      </c>
      <c r="B203" s="1" t="n">
        <v>45477.43600694444</v>
      </c>
      <c r="C203" s="1" t="n">
        <v>46066</v>
      </c>
      <c r="D203" t="inlineStr">
        <is>
          <t>ÖSTERGÖTLANDS LÄN</t>
        </is>
      </c>
      <c r="E203" t="inlineStr">
        <is>
          <t>LINKÖPING</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24351-2024</t>
        </is>
      </c>
      <c r="B204" s="1" t="n">
        <v>45457.59011574074</v>
      </c>
      <c r="C204" s="1" t="n">
        <v>46066</v>
      </c>
      <c r="D204" t="inlineStr">
        <is>
          <t>ÖSTERGÖTLANDS LÄN</t>
        </is>
      </c>
      <c r="E204" t="inlineStr">
        <is>
          <t>LINKÖPING</t>
        </is>
      </c>
      <c r="G204" t="n">
        <v>11.9</v>
      </c>
      <c r="H204" t="n">
        <v>0</v>
      </c>
      <c r="I204" t="n">
        <v>0</v>
      </c>
      <c r="J204" t="n">
        <v>0</v>
      </c>
      <c r="K204" t="n">
        <v>0</v>
      </c>
      <c r="L204" t="n">
        <v>0</v>
      </c>
      <c r="M204" t="n">
        <v>0</v>
      </c>
      <c r="N204" t="n">
        <v>0</v>
      </c>
      <c r="O204" t="n">
        <v>0</v>
      </c>
      <c r="P204" t="n">
        <v>0</v>
      </c>
      <c r="Q204" t="n">
        <v>0</v>
      </c>
      <c r="R204" s="2" t="inlineStr"/>
    </row>
    <row r="205" ht="15" customHeight="1">
      <c r="A205" t="inlineStr">
        <is>
          <t>A 20455-2024</t>
        </is>
      </c>
      <c r="B205" s="1" t="n">
        <v>45435.65314814815</v>
      </c>
      <c r="C205" s="1" t="n">
        <v>46066</v>
      </c>
      <c r="D205" t="inlineStr">
        <is>
          <t>ÖSTERGÖTLANDS LÄN</t>
        </is>
      </c>
      <c r="E205" t="inlineStr">
        <is>
          <t>LINKÖPING</t>
        </is>
      </c>
      <c r="G205" t="n">
        <v>2.6</v>
      </c>
      <c r="H205" t="n">
        <v>0</v>
      </c>
      <c r="I205" t="n">
        <v>0</v>
      </c>
      <c r="J205" t="n">
        <v>0</v>
      </c>
      <c r="K205" t="n">
        <v>0</v>
      </c>
      <c r="L205" t="n">
        <v>0</v>
      </c>
      <c r="M205" t="n">
        <v>0</v>
      </c>
      <c r="N205" t="n">
        <v>0</v>
      </c>
      <c r="O205" t="n">
        <v>0</v>
      </c>
      <c r="P205" t="n">
        <v>0</v>
      </c>
      <c r="Q205" t="n">
        <v>0</v>
      </c>
      <c r="R205" s="2" t="inlineStr"/>
    </row>
    <row r="206" ht="15" customHeight="1">
      <c r="A206" t="inlineStr">
        <is>
          <t>A 224-2024</t>
        </is>
      </c>
      <c r="B206" s="1" t="n">
        <v>45294</v>
      </c>
      <c r="C206" s="1" t="n">
        <v>46066</v>
      </c>
      <c r="D206" t="inlineStr">
        <is>
          <t>ÖSTERGÖTLANDS LÄN</t>
        </is>
      </c>
      <c r="E206" t="inlineStr">
        <is>
          <t>LINKÖPING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46066</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3008-2023</t>
        </is>
      </c>
      <c r="B208" s="1" t="n">
        <v>44945.79784722222</v>
      </c>
      <c r="C208" s="1" t="n">
        <v>46066</v>
      </c>
      <c r="D208" t="inlineStr">
        <is>
          <t>ÖSTERGÖTLANDS LÄN</t>
        </is>
      </c>
      <c r="E208" t="inlineStr">
        <is>
          <t>LINKÖPING</t>
        </is>
      </c>
      <c r="G208" t="n">
        <v>19.3</v>
      </c>
      <c r="H208" t="n">
        <v>0</v>
      </c>
      <c r="I208" t="n">
        <v>0</v>
      </c>
      <c r="J208" t="n">
        <v>0</v>
      </c>
      <c r="K208" t="n">
        <v>0</v>
      </c>
      <c r="L208" t="n">
        <v>0</v>
      </c>
      <c r="M208" t="n">
        <v>0</v>
      </c>
      <c r="N208" t="n">
        <v>0</v>
      </c>
      <c r="O208" t="n">
        <v>0</v>
      </c>
      <c r="P208" t="n">
        <v>0</v>
      </c>
      <c r="Q208" t="n">
        <v>0</v>
      </c>
      <c r="R208" s="2" t="inlineStr"/>
    </row>
    <row r="209" ht="15" customHeight="1">
      <c r="A209" t="inlineStr">
        <is>
          <t>A 12035-2025</t>
        </is>
      </c>
      <c r="B209" s="1" t="n">
        <v>45728.64946759259</v>
      </c>
      <c r="C209" s="1" t="n">
        <v>46066</v>
      </c>
      <c r="D209" t="inlineStr">
        <is>
          <t>ÖSTERGÖTLANDS LÄN</t>
        </is>
      </c>
      <c r="E209" t="inlineStr">
        <is>
          <t>LINKÖPING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34877-2023</t>
        </is>
      </c>
      <c r="B210" s="1" t="n">
        <v>45140</v>
      </c>
      <c r="C210" s="1" t="n">
        <v>46066</v>
      </c>
      <c r="D210" t="inlineStr">
        <is>
          <t>ÖSTERGÖTLANDS LÄN</t>
        </is>
      </c>
      <c r="E210" t="inlineStr">
        <is>
          <t>LINKÖPING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52796-2023</t>
        </is>
      </c>
      <c r="B211" s="1" t="n">
        <v>45219</v>
      </c>
      <c r="C211" s="1" t="n">
        <v>46066</v>
      </c>
      <c r="D211" t="inlineStr">
        <is>
          <t>ÖSTERGÖTLANDS LÄN</t>
        </is>
      </c>
      <c r="E211" t="inlineStr">
        <is>
          <t>LINKÖPING</t>
        </is>
      </c>
      <c r="F211" t="inlineStr">
        <is>
          <t>Övriga statliga verk och myndigheter</t>
        </is>
      </c>
      <c r="G211" t="n">
        <v>3.9</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46066</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30855-2022</t>
        </is>
      </c>
      <c r="B213" s="1" t="n">
        <v>44767</v>
      </c>
      <c r="C213" s="1" t="n">
        <v>46066</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46066</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46066</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52220-2023</t>
        </is>
      </c>
      <c r="B216" s="1" t="n">
        <v>45217</v>
      </c>
      <c r="C216" s="1" t="n">
        <v>46066</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52225-2023</t>
        </is>
      </c>
      <c r="B217" s="1" t="n">
        <v>45217</v>
      </c>
      <c r="C217" s="1" t="n">
        <v>46066</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46066</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46066</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46066</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52412-2023</t>
        </is>
      </c>
      <c r="B221" s="1" t="n">
        <v>45225.27888888889</v>
      </c>
      <c r="C221" s="1" t="n">
        <v>46066</v>
      </c>
      <c r="D221" t="inlineStr">
        <is>
          <t>ÖSTERGÖTLANDS LÄN</t>
        </is>
      </c>
      <c r="E221" t="inlineStr">
        <is>
          <t>LINKÖPING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52413-2023</t>
        </is>
      </c>
      <c r="B222" s="1" t="n">
        <v>45225.27950231481</v>
      </c>
      <c r="C222" s="1" t="n">
        <v>46066</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7354-2025</t>
        </is>
      </c>
      <c r="B223" s="1" t="n">
        <v>45704.41174768518</v>
      </c>
      <c r="C223" s="1" t="n">
        <v>46066</v>
      </c>
      <c r="D223" t="inlineStr">
        <is>
          <t>ÖSTERGÖTLANDS LÄN</t>
        </is>
      </c>
      <c r="E223" t="inlineStr">
        <is>
          <t>LINKÖPING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34928-2023</t>
        </is>
      </c>
      <c r="B224" s="1" t="n">
        <v>45142</v>
      </c>
      <c r="C224" s="1" t="n">
        <v>46066</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22771-2024</t>
        </is>
      </c>
      <c r="B225" s="1" t="n">
        <v>45448.46574074074</v>
      </c>
      <c r="C225" s="1" t="n">
        <v>46066</v>
      </c>
      <c r="D225" t="inlineStr">
        <is>
          <t>ÖSTERGÖTLANDS LÄN</t>
        </is>
      </c>
      <c r="E225" t="inlineStr">
        <is>
          <t>LINKÖPING</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1263-2024</t>
        </is>
      </c>
      <c r="B226" s="1" t="n">
        <v>45302</v>
      </c>
      <c r="C226" s="1" t="n">
        <v>46066</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52531-2023</t>
        </is>
      </c>
      <c r="B227" s="1" t="n">
        <v>45225</v>
      </c>
      <c r="C227" s="1" t="n">
        <v>46066</v>
      </c>
      <c r="D227" t="inlineStr">
        <is>
          <t>ÖSTERGÖTLANDS LÄN</t>
        </is>
      </c>
      <c r="E227" t="inlineStr">
        <is>
          <t>LINKÖPING</t>
        </is>
      </c>
      <c r="F227" t="inlineStr">
        <is>
          <t>Övriga Aktiebolag</t>
        </is>
      </c>
      <c r="G227" t="n">
        <v>1</v>
      </c>
      <c r="H227" t="n">
        <v>0</v>
      </c>
      <c r="I227" t="n">
        <v>0</v>
      </c>
      <c r="J227" t="n">
        <v>0</v>
      </c>
      <c r="K227" t="n">
        <v>0</v>
      </c>
      <c r="L227" t="n">
        <v>0</v>
      </c>
      <c r="M227" t="n">
        <v>0</v>
      </c>
      <c r="N227" t="n">
        <v>0</v>
      </c>
      <c r="O227" t="n">
        <v>0</v>
      </c>
      <c r="P227" t="n">
        <v>0</v>
      </c>
      <c r="Q227" t="n">
        <v>0</v>
      </c>
      <c r="R227" s="2" t="inlineStr"/>
    </row>
    <row r="228" ht="15" customHeight="1">
      <c r="A228" t="inlineStr">
        <is>
          <t>A 20291-2025</t>
        </is>
      </c>
      <c r="B228" s="1" t="n">
        <v>45774.74288194445</v>
      </c>
      <c r="C228" s="1" t="n">
        <v>46066</v>
      </c>
      <c r="D228" t="inlineStr">
        <is>
          <t>ÖSTERGÖTLANDS LÄN</t>
        </is>
      </c>
      <c r="E228" t="inlineStr">
        <is>
          <t>LINKÖPING</t>
        </is>
      </c>
      <c r="G228" t="n">
        <v>2.3</v>
      </c>
      <c r="H228" t="n">
        <v>0</v>
      </c>
      <c r="I228" t="n">
        <v>0</v>
      </c>
      <c r="J228" t="n">
        <v>0</v>
      </c>
      <c r="K228" t="n">
        <v>0</v>
      </c>
      <c r="L228" t="n">
        <v>0</v>
      </c>
      <c r="M228" t="n">
        <v>0</v>
      </c>
      <c r="N228" t="n">
        <v>0</v>
      </c>
      <c r="O228" t="n">
        <v>0</v>
      </c>
      <c r="P228" t="n">
        <v>0</v>
      </c>
      <c r="Q228" t="n">
        <v>0</v>
      </c>
      <c r="R228" s="2" t="inlineStr"/>
    </row>
    <row r="229" ht="15" customHeight="1">
      <c r="A229" t="inlineStr">
        <is>
          <t>A 20293-2025</t>
        </is>
      </c>
      <c r="B229" s="1" t="n">
        <v>45774.74611111111</v>
      </c>
      <c r="C229" s="1" t="n">
        <v>46066</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55945-2024</t>
        </is>
      </c>
      <c r="B230" s="1" t="n">
        <v>45623.61754629629</v>
      </c>
      <c r="C230" s="1" t="n">
        <v>46066</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63665-2023</t>
        </is>
      </c>
      <c r="B231" s="1" t="n">
        <v>45275</v>
      </c>
      <c r="C231" s="1" t="n">
        <v>46066</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33867-2023</t>
        </is>
      </c>
      <c r="B232" s="1" t="n">
        <v>45133.94640046296</v>
      </c>
      <c r="C232" s="1" t="n">
        <v>46066</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3041-2024</t>
        </is>
      </c>
      <c r="B233" s="1" t="n">
        <v>45316.34875</v>
      </c>
      <c r="C233" s="1" t="n">
        <v>46066</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50963-2021</t>
        </is>
      </c>
      <c r="B234" s="1" t="n">
        <v>44460</v>
      </c>
      <c r="C234" s="1" t="n">
        <v>46066</v>
      </c>
      <c r="D234" t="inlineStr">
        <is>
          <t>ÖSTERGÖTLANDS LÄN</t>
        </is>
      </c>
      <c r="E234" t="inlineStr">
        <is>
          <t>LINKÖPING</t>
        </is>
      </c>
      <c r="G234" t="n">
        <v>4.4</v>
      </c>
      <c r="H234" t="n">
        <v>0</v>
      </c>
      <c r="I234" t="n">
        <v>0</v>
      </c>
      <c r="J234" t="n">
        <v>0</v>
      </c>
      <c r="K234" t="n">
        <v>0</v>
      </c>
      <c r="L234" t="n">
        <v>0</v>
      </c>
      <c r="M234" t="n">
        <v>0</v>
      </c>
      <c r="N234" t="n">
        <v>0</v>
      </c>
      <c r="O234" t="n">
        <v>0</v>
      </c>
      <c r="P234" t="n">
        <v>0</v>
      </c>
      <c r="Q234" t="n">
        <v>0</v>
      </c>
      <c r="R234" s="2" t="inlineStr"/>
    </row>
    <row r="235" ht="15" customHeight="1">
      <c r="A235" t="inlineStr">
        <is>
          <t>A 61307-2021</t>
        </is>
      </c>
      <c r="B235" s="1" t="n">
        <v>44498.63928240741</v>
      </c>
      <c r="C235" s="1" t="n">
        <v>46066</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61325-2021</t>
        </is>
      </c>
      <c r="B236" s="1" t="n">
        <v>44498.66814814815</v>
      </c>
      <c r="C236" s="1" t="n">
        <v>46066</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30985-2022</t>
        </is>
      </c>
      <c r="B237" s="1" t="n">
        <v>44768</v>
      </c>
      <c r="C237" s="1" t="n">
        <v>46066</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38317-2024</t>
        </is>
      </c>
      <c r="B238" s="1" t="n">
        <v>45545.65766203704</v>
      </c>
      <c r="C238" s="1" t="n">
        <v>46066</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16665-2023</t>
        </is>
      </c>
      <c r="B239" s="1" t="n">
        <v>45030.5583912037</v>
      </c>
      <c r="C239" s="1" t="n">
        <v>46066</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46066</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48699-2024</t>
        </is>
      </c>
      <c r="B241" s="1" t="n">
        <v>45593.52091435185</v>
      </c>
      <c r="C241" s="1" t="n">
        <v>46066</v>
      </c>
      <c r="D241" t="inlineStr">
        <is>
          <t>ÖSTERGÖTLANDS LÄN</t>
        </is>
      </c>
      <c r="E241" t="inlineStr">
        <is>
          <t>LINKÖPING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60001-2022</t>
        </is>
      </c>
      <c r="B242" s="1" t="n">
        <v>44909.47087962963</v>
      </c>
      <c r="C242" s="1" t="n">
        <v>46066</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60013-2022</t>
        </is>
      </c>
      <c r="B243" s="1" t="n">
        <v>44909.47482638889</v>
      </c>
      <c r="C243" s="1" t="n">
        <v>46066</v>
      </c>
      <c r="D243" t="inlineStr">
        <is>
          <t>ÖSTERGÖTLANDS LÄN</t>
        </is>
      </c>
      <c r="E243" t="inlineStr">
        <is>
          <t>LINKÖPING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1211-2023</t>
        </is>
      </c>
      <c r="B244" s="1" t="n">
        <v>44930</v>
      </c>
      <c r="C244" s="1" t="n">
        <v>46066</v>
      </c>
      <c r="D244" t="inlineStr">
        <is>
          <t>ÖSTERGÖTLANDS LÄN</t>
        </is>
      </c>
      <c r="E244" t="inlineStr">
        <is>
          <t>LINKÖPING</t>
        </is>
      </c>
      <c r="F244" t="inlineStr">
        <is>
          <t>Övriga statliga verk och myndigheter</t>
        </is>
      </c>
      <c r="G244" t="n">
        <v>7.9</v>
      </c>
      <c r="H244" t="n">
        <v>0</v>
      </c>
      <c r="I244" t="n">
        <v>0</v>
      </c>
      <c r="J244" t="n">
        <v>0</v>
      </c>
      <c r="K244" t="n">
        <v>0</v>
      </c>
      <c r="L244" t="n">
        <v>0</v>
      </c>
      <c r="M244" t="n">
        <v>0</v>
      </c>
      <c r="N244" t="n">
        <v>0</v>
      </c>
      <c r="O244" t="n">
        <v>0</v>
      </c>
      <c r="P244" t="n">
        <v>0</v>
      </c>
      <c r="Q244" t="n">
        <v>0</v>
      </c>
      <c r="R244" s="2" t="inlineStr"/>
    </row>
    <row r="245" ht="15" customHeight="1">
      <c r="A245" t="inlineStr">
        <is>
          <t>A 38136-2023</t>
        </is>
      </c>
      <c r="B245" s="1" t="n">
        <v>45161.37310185185</v>
      </c>
      <c r="C245" s="1" t="n">
        <v>46066</v>
      </c>
      <c r="D245" t="inlineStr">
        <is>
          <t>ÖSTERGÖTLANDS LÄN</t>
        </is>
      </c>
      <c r="E245" t="inlineStr">
        <is>
          <t>LINKÖPING</t>
        </is>
      </c>
      <c r="G245" t="n">
        <v>5.6</v>
      </c>
      <c r="H245" t="n">
        <v>0</v>
      </c>
      <c r="I245" t="n">
        <v>0</v>
      </c>
      <c r="J245" t="n">
        <v>0</v>
      </c>
      <c r="K245" t="n">
        <v>0</v>
      </c>
      <c r="L245" t="n">
        <v>0</v>
      </c>
      <c r="M245" t="n">
        <v>0</v>
      </c>
      <c r="N245" t="n">
        <v>0</v>
      </c>
      <c r="O245" t="n">
        <v>0</v>
      </c>
      <c r="P245" t="n">
        <v>0</v>
      </c>
      <c r="Q245" t="n">
        <v>0</v>
      </c>
      <c r="R245" s="2" t="inlineStr"/>
    </row>
    <row r="246" ht="15" customHeight="1">
      <c r="A246" t="inlineStr">
        <is>
          <t>A 7133-2026</t>
        </is>
      </c>
      <c r="B246" s="1" t="n">
        <v>46057</v>
      </c>
      <c r="C246" s="1" t="n">
        <v>46066</v>
      </c>
      <c r="D246" t="inlineStr">
        <is>
          <t>ÖSTERGÖTLANDS LÄN</t>
        </is>
      </c>
      <c r="E246" t="inlineStr">
        <is>
          <t>LINKÖPING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13911-2025</t>
        </is>
      </c>
      <c r="B247" s="1" t="n">
        <v>45737.64784722222</v>
      </c>
      <c r="C247" s="1" t="n">
        <v>46066</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12317-2025</t>
        </is>
      </c>
      <c r="B248" s="1" t="n">
        <v>45729.8487037037</v>
      </c>
      <c r="C248" s="1" t="n">
        <v>46066</v>
      </c>
      <c r="D248" t="inlineStr">
        <is>
          <t>ÖSTERGÖTLANDS LÄN</t>
        </is>
      </c>
      <c r="E248" t="inlineStr">
        <is>
          <t>LINKÖPING</t>
        </is>
      </c>
      <c r="G248" t="n">
        <v>8</v>
      </c>
      <c r="H248" t="n">
        <v>0</v>
      </c>
      <c r="I248" t="n">
        <v>0</v>
      </c>
      <c r="J248" t="n">
        <v>0</v>
      </c>
      <c r="K248" t="n">
        <v>0</v>
      </c>
      <c r="L248" t="n">
        <v>0</v>
      </c>
      <c r="M248" t="n">
        <v>0</v>
      </c>
      <c r="N248" t="n">
        <v>0</v>
      </c>
      <c r="O248" t="n">
        <v>0</v>
      </c>
      <c r="P248" t="n">
        <v>0</v>
      </c>
      <c r="Q248" t="n">
        <v>0</v>
      </c>
      <c r="R248" s="2" t="inlineStr"/>
    </row>
    <row r="249" ht="15" customHeight="1">
      <c r="A249" t="inlineStr">
        <is>
          <t>A 44280-2024</t>
        </is>
      </c>
      <c r="B249" s="1" t="n">
        <v>45573.49461805556</v>
      </c>
      <c r="C249" s="1" t="n">
        <v>46066</v>
      </c>
      <c r="D249" t="inlineStr">
        <is>
          <t>ÖSTERGÖTLANDS LÄN</t>
        </is>
      </c>
      <c r="E249" t="inlineStr">
        <is>
          <t>LINKÖPING</t>
        </is>
      </c>
      <c r="G249" t="n">
        <v>5.3</v>
      </c>
      <c r="H249" t="n">
        <v>0</v>
      </c>
      <c r="I249" t="n">
        <v>0</v>
      </c>
      <c r="J249" t="n">
        <v>0</v>
      </c>
      <c r="K249" t="n">
        <v>0</v>
      </c>
      <c r="L249" t="n">
        <v>0</v>
      </c>
      <c r="M249" t="n">
        <v>0</v>
      </c>
      <c r="N249" t="n">
        <v>0</v>
      </c>
      <c r="O249" t="n">
        <v>0</v>
      </c>
      <c r="P249" t="n">
        <v>0</v>
      </c>
      <c r="Q249" t="n">
        <v>0</v>
      </c>
      <c r="R249" s="2" t="inlineStr"/>
    </row>
    <row r="250" ht="15" customHeight="1">
      <c r="A250" t="inlineStr">
        <is>
          <t>A 36557-2023</t>
        </is>
      </c>
      <c r="B250" s="1" t="n">
        <v>45153</v>
      </c>
      <c r="C250" s="1" t="n">
        <v>46066</v>
      </c>
      <c r="D250" t="inlineStr">
        <is>
          <t>ÖSTERGÖTLANDS LÄN</t>
        </is>
      </c>
      <c r="E250" t="inlineStr">
        <is>
          <t>LINKÖPING</t>
        </is>
      </c>
      <c r="F250" t="inlineStr">
        <is>
          <t>Övriga Aktiebolag</t>
        </is>
      </c>
      <c r="G250" t="n">
        <v>3.1</v>
      </c>
      <c r="H250" t="n">
        <v>0</v>
      </c>
      <c r="I250" t="n">
        <v>0</v>
      </c>
      <c r="J250" t="n">
        <v>0</v>
      </c>
      <c r="K250" t="n">
        <v>0</v>
      </c>
      <c r="L250" t="n">
        <v>0</v>
      </c>
      <c r="M250" t="n">
        <v>0</v>
      </c>
      <c r="N250" t="n">
        <v>0</v>
      </c>
      <c r="O250" t="n">
        <v>0</v>
      </c>
      <c r="P250" t="n">
        <v>0</v>
      </c>
      <c r="Q250" t="n">
        <v>0</v>
      </c>
      <c r="R250" s="2" t="inlineStr"/>
    </row>
    <row r="251" ht="15" customHeight="1">
      <c r="A251" t="inlineStr">
        <is>
          <t>A 2085-2024</t>
        </is>
      </c>
      <c r="B251" s="1" t="n">
        <v>45309</v>
      </c>
      <c r="C251" s="1" t="n">
        <v>46066</v>
      </c>
      <c r="D251" t="inlineStr">
        <is>
          <t>ÖSTERGÖTLANDS LÄN</t>
        </is>
      </c>
      <c r="E251" t="inlineStr">
        <is>
          <t>LINKÖPING</t>
        </is>
      </c>
      <c r="G251" t="n">
        <v>4.5</v>
      </c>
      <c r="H251" t="n">
        <v>0</v>
      </c>
      <c r="I251" t="n">
        <v>0</v>
      </c>
      <c r="J251" t="n">
        <v>0</v>
      </c>
      <c r="K251" t="n">
        <v>0</v>
      </c>
      <c r="L251" t="n">
        <v>0</v>
      </c>
      <c r="M251" t="n">
        <v>0</v>
      </c>
      <c r="N251" t="n">
        <v>0</v>
      </c>
      <c r="O251" t="n">
        <v>0</v>
      </c>
      <c r="P251" t="n">
        <v>0</v>
      </c>
      <c r="Q251" t="n">
        <v>0</v>
      </c>
      <c r="R251" s="2" t="inlineStr"/>
    </row>
    <row r="252" ht="15" customHeight="1">
      <c r="A252" t="inlineStr">
        <is>
          <t>A 30468-2023</t>
        </is>
      </c>
      <c r="B252" s="1" t="n">
        <v>45111.58732638889</v>
      </c>
      <c r="C252" s="1" t="n">
        <v>46066</v>
      </c>
      <c r="D252" t="inlineStr">
        <is>
          <t>ÖSTERGÖTLANDS LÄN</t>
        </is>
      </c>
      <c r="E252" t="inlineStr">
        <is>
          <t>LINKÖPING</t>
        </is>
      </c>
      <c r="G252" t="n">
        <v>10.1</v>
      </c>
      <c r="H252" t="n">
        <v>0</v>
      </c>
      <c r="I252" t="n">
        <v>0</v>
      </c>
      <c r="J252" t="n">
        <v>0</v>
      </c>
      <c r="K252" t="n">
        <v>0</v>
      </c>
      <c r="L252" t="n">
        <v>0</v>
      </c>
      <c r="M252" t="n">
        <v>0</v>
      </c>
      <c r="N252" t="n">
        <v>0</v>
      </c>
      <c r="O252" t="n">
        <v>0</v>
      </c>
      <c r="P252" t="n">
        <v>0</v>
      </c>
      <c r="Q252" t="n">
        <v>0</v>
      </c>
      <c r="R252" s="2" t="inlineStr"/>
    </row>
    <row r="253" ht="15" customHeight="1">
      <c r="A253" t="inlineStr">
        <is>
          <t>A 38715-2023</t>
        </is>
      </c>
      <c r="B253" s="1" t="n">
        <v>45160</v>
      </c>
      <c r="C253" s="1" t="n">
        <v>46066</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34864-2023</t>
        </is>
      </c>
      <c r="B254" s="1" t="n">
        <v>45141</v>
      </c>
      <c r="C254" s="1" t="n">
        <v>46066</v>
      </c>
      <c r="D254" t="inlineStr">
        <is>
          <t>ÖSTERGÖTLANDS LÄN</t>
        </is>
      </c>
      <c r="E254" t="inlineStr">
        <is>
          <t>LINKÖPING</t>
        </is>
      </c>
      <c r="G254" t="n">
        <v>3.3</v>
      </c>
      <c r="H254" t="n">
        <v>0</v>
      </c>
      <c r="I254" t="n">
        <v>0</v>
      </c>
      <c r="J254" t="n">
        <v>0</v>
      </c>
      <c r="K254" t="n">
        <v>0</v>
      </c>
      <c r="L254" t="n">
        <v>0</v>
      </c>
      <c r="M254" t="n">
        <v>0</v>
      </c>
      <c r="N254" t="n">
        <v>0</v>
      </c>
      <c r="O254" t="n">
        <v>0</v>
      </c>
      <c r="P254" t="n">
        <v>0</v>
      </c>
      <c r="Q254" t="n">
        <v>0</v>
      </c>
      <c r="R254" s="2" t="inlineStr"/>
    </row>
    <row r="255" ht="15" customHeight="1">
      <c r="A255" t="inlineStr">
        <is>
          <t>A 46687-2021</t>
        </is>
      </c>
      <c r="B255" s="1" t="n">
        <v>44445</v>
      </c>
      <c r="C255" s="1" t="n">
        <v>46066</v>
      </c>
      <c r="D255" t="inlineStr">
        <is>
          <t>ÖSTERGÖTLANDS LÄN</t>
        </is>
      </c>
      <c r="E255" t="inlineStr">
        <is>
          <t>LINKÖPING</t>
        </is>
      </c>
      <c r="F255" t="inlineStr">
        <is>
          <t>Övriga statliga verk och myndigheter</t>
        </is>
      </c>
      <c r="G255" t="n">
        <v>2.3</v>
      </c>
      <c r="H255" t="n">
        <v>0</v>
      </c>
      <c r="I255" t="n">
        <v>0</v>
      </c>
      <c r="J255" t="n">
        <v>0</v>
      </c>
      <c r="K255" t="n">
        <v>0</v>
      </c>
      <c r="L255" t="n">
        <v>0</v>
      </c>
      <c r="M255" t="n">
        <v>0</v>
      </c>
      <c r="N255" t="n">
        <v>0</v>
      </c>
      <c r="O255" t="n">
        <v>0</v>
      </c>
      <c r="P255" t="n">
        <v>0</v>
      </c>
      <c r="Q255" t="n">
        <v>0</v>
      </c>
      <c r="R255" s="2" t="inlineStr"/>
    </row>
    <row r="256" ht="15" customHeight="1">
      <c r="A256" t="inlineStr">
        <is>
          <t>A 17103-2025</t>
        </is>
      </c>
      <c r="B256" s="1" t="n">
        <v>45755.66143518518</v>
      </c>
      <c r="C256" s="1" t="n">
        <v>46066</v>
      </c>
      <c r="D256" t="inlineStr">
        <is>
          <t>ÖSTERGÖTLANDS LÄN</t>
        </is>
      </c>
      <c r="E256" t="inlineStr">
        <is>
          <t>LINKÖPING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26002-2025</t>
        </is>
      </c>
      <c r="B257" s="1" t="n">
        <v>45804.66534722222</v>
      </c>
      <c r="C257" s="1" t="n">
        <v>46066</v>
      </c>
      <c r="D257" t="inlineStr">
        <is>
          <t>ÖSTERGÖTLANDS LÄN</t>
        </is>
      </c>
      <c r="E257" t="inlineStr">
        <is>
          <t>LINKÖPING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40618-2021</t>
        </is>
      </c>
      <c r="B258" s="1" t="n">
        <v>44420.49575231481</v>
      </c>
      <c r="C258" s="1" t="n">
        <v>46066</v>
      </c>
      <c r="D258" t="inlineStr">
        <is>
          <t>ÖSTERGÖTLANDS LÄN</t>
        </is>
      </c>
      <c r="E258" t="inlineStr">
        <is>
          <t>LINKÖPING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3008-2023</t>
        </is>
      </c>
      <c r="B259" s="1" t="n">
        <v>44945.79784722222</v>
      </c>
      <c r="C259" s="1" t="n">
        <v>46066</v>
      </c>
      <c r="D259" t="inlineStr">
        <is>
          <t>ÖSTERGÖTLANDS LÄN</t>
        </is>
      </c>
      <c r="E259" t="inlineStr">
        <is>
          <t>LINKÖPING</t>
        </is>
      </c>
      <c r="G259" t="n">
        <v>19.3</v>
      </c>
      <c r="H259" t="n">
        <v>0</v>
      </c>
      <c r="I259" t="n">
        <v>0</v>
      </c>
      <c r="J259" t="n">
        <v>0</v>
      </c>
      <c r="K259" t="n">
        <v>0</v>
      </c>
      <c r="L259" t="n">
        <v>0</v>
      </c>
      <c r="M259" t="n">
        <v>0</v>
      </c>
      <c r="N259" t="n">
        <v>0</v>
      </c>
      <c r="O259" t="n">
        <v>0</v>
      </c>
      <c r="P259" t="n">
        <v>0</v>
      </c>
      <c r="Q259" t="n">
        <v>0</v>
      </c>
      <c r="R259" s="2" t="inlineStr"/>
    </row>
    <row r="260" ht="15" customHeight="1">
      <c r="A260" t="inlineStr">
        <is>
          <t>A 56180-2024</t>
        </is>
      </c>
      <c r="B260" s="1" t="n">
        <v>45624.56611111111</v>
      </c>
      <c r="C260" s="1" t="n">
        <v>46066</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25996-2025</t>
        </is>
      </c>
      <c r="B261" s="1" t="n">
        <v>45804.65851851852</v>
      </c>
      <c r="C261" s="1" t="n">
        <v>46066</v>
      </c>
      <c r="D261" t="inlineStr">
        <is>
          <t>ÖSTERGÖTLANDS LÄN</t>
        </is>
      </c>
      <c r="E261" t="inlineStr">
        <is>
          <t>LINKÖPING</t>
        </is>
      </c>
      <c r="G261" t="n">
        <v>3.2</v>
      </c>
      <c r="H261" t="n">
        <v>0</v>
      </c>
      <c r="I261" t="n">
        <v>0</v>
      </c>
      <c r="J261" t="n">
        <v>0</v>
      </c>
      <c r="K261" t="n">
        <v>0</v>
      </c>
      <c r="L261" t="n">
        <v>0</v>
      </c>
      <c r="M261" t="n">
        <v>0</v>
      </c>
      <c r="N261" t="n">
        <v>0</v>
      </c>
      <c r="O261" t="n">
        <v>0</v>
      </c>
      <c r="P261" t="n">
        <v>0</v>
      </c>
      <c r="Q261" t="n">
        <v>0</v>
      </c>
      <c r="R261" s="2" t="inlineStr"/>
    </row>
    <row r="262" ht="15" customHeight="1">
      <c r="A262" t="inlineStr">
        <is>
          <t>A 30471-2023</t>
        </is>
      </c>
      <c r="B262" s="1" t="n">
        <v>45111.58931712963</v>
      </c>
      <c r="C262" s="1" t="n">
        <v>46066</v>
      </c>
      <c r="D262" t="inlineStr">
        <is>
          <t>ÖSTERGÖTLANDS LÄN</t>
        </is>
      </c>
      <c r="E262" t="inlineStr">
        <is>
          <t>LINKÖPING</t>
        </is>
      </c>
      <c r="G262" t="n">
        <v>2.9</v>
      </c>
      <c r="H262" t="n">
        <v>0</v>
      </c>
      <c r="I262" t="n">
        <v>0</v>
      </c>
      <c r="J262" t="n">
        <v>0</v>
      </c>
      <c r="K262" t="n">
        <v>0</v>
      </c>
      <c r="L262" t="n">
        <v>0</v>
      </c>
      <c r="M262" t="n">
        <v>0</v>
      </c>
      <c r="N262" t="n">
        <v>0</v>
      </c>
      <c r="O262" t="n">
        <v>0</v>
      </c>
      <c r="P262" t="n">
        <v>0</v>
      </c>
      <c r="Q262" t="n">
        <v>0</v>
      </c>
      <c r="R262" s="2" t="inlineStr"/>
    </row>
    <row r="263" ht="15" customHeight="1">
      <c r="A263" t="inlineStr">
        <is>
          <t>A 227-2024</t>
        </is>
      </c>
      <c r="B263" s="1" t="n">
        <v>45294.73603009259</v>
      </c>
      <c r="C263" s="1" t="n">
        <v>46066</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44155-2024</t>
        </is>
      </c>
      <c r="B264" s="1" t="n">
        <v>45572.68226851852</v>
      </c>
      <c r="C264" s="1" t="n">
        <v>46066</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30434-2024</t>
        </is>
      </c>
      <c r="B265" s="1" t="n">
        <v>45491.69811342593</v>
      </c>
      <c r="C265" s="1" t="n">
        <v>46066</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56917-2022</t>
        </is>
      </c>
      <c r="B266" s="1" t="n">
        <v>44894</v>
      </c>
      <c r="C266" s="1" t="n">
        <v>46066</v>
      </c>
      <c r="D266" t="inlineStr">
        <is>
          <t>ÖSTERGÖTLANDS LÄN</t>
        </is>
      </c>
      <c r="E266" t="inlineStr">
        <is>
          <t>LINKÖPING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57766-2023</t>
        </is>
      </c>
      <c r="B267" s="1" t="n">
        <v>45246</v>
      </c>
      <c r="C267" s="1" t="n">
        <v>46066</v>
      </c>
      <c r="D267" t="inlineStr">
        <is>
          <t>ÖSTERGÖTLANDS LÄN</t>
        </is>
      </c>
      <c r="E267" t="inlineStr">
        <is>
          <t>LINKÖPING</t>
        </is>
      </c>
      <c r="F267" t="inlineStr">
        <is>
          <t>Allmännings- och besparingsskogar</t>
        </is>
      </c>
      <c r="G267" t="n">
        <v>12.8</v>
      </c>
      <c r="H267" t="n">
        <v>0</v>
      </c>
      <c r="I267" t="n">
        <v>0</v>
      </c>
      <c r="J267" t="n">
        <v>0</v>
      </c>
      <c r="K267" t="n">
        <v>0</v>
      </c>
      <c r="L267" t="n">
        <v>0</v>
      </c>
      <c r="M267" t="n">
        <v>0</v>
      </c>
      <c r="N267" t="n">
        <v>0</v>
      </c>
      <c r="O267" t="n">
        <v>0</v>
      </c>
      <c r="P267" t="n">
        <v>0</v>
      </c>
      <c r="Q267" t="n">
        <v>0</v>
      </c>
      <c r="R267" s="2" t="inlineStr"/>
    </row>
    <row r="268" ht="15" customHeight="1">
      <c r="A268" t="inlineStr">
        <is>
          <t>A 39438-2025</t>
        </is>
      </c>
      <c r="B268" s="1" t="n">
        <v>45889.68641203704</v>
      </c>
      <c r="C268" s="1" t="n">
        <v>46066</v>
      </c>
      <c r="D268" t="inlineStr">
        <is>
          <t>ÖSTERGÖTLANDS LÄN</t>
        </is>
      </c>
      <c r="E268" t="inlineStr">
        <is>
          <t>LINKÖPING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25568-2024</t>
        </is>
      </c>
      <c r="B269" s="1" t="n">
        <v>45463.58699074074</v>
      </c>
      <c r="C269" s="1" t="n">
        <v>46066</v>
      </c>
      <c r="D269" t="inlineStr">
        <is>
          <t>ÖSTERGÖTLANDS LÄN</t>
        </is>
      </c>
      <c r="E269" t="inlineStr">
        <is>
          <t>LINKÖPING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27264-2025</t>
        </is>
      </c>
      <c r="B270" s="1" t="n">
        <v>45812.4794212963</v>
      </c>
      <c r="C270" s="1" t="n">
        <v>46066</v>
      </c>
      <c r="D270" t="inlineStr">
        <is>
          <t>ÖSTERGÖTLANDS LÄN</t>
        </is>
      </c>
      <c r="E270" t="inlineStr">
        <is>
          <t>LINKÖPING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27950-2025</t>
        </is>
      </c>
      <c r="B271" s="1" t="n">
        <v>45817.52960648148</v>
      </c>
      <c r="C271" s="1" t="n">
        <v>46066</v>
      </c>
      <c r="D271" t="inlineStr">
        <is>
          <t>ÖSTERGÖTLANDS LÄN</t>
        </is>
      </c>
      <c r="E271" t="inlineStr">
        <is>
          <t>LINKÖPING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22833-2023</t>
        </is>
      </c>
      <c r="B272" s="1" t="n">
        <v>45071</v>
      </c>
      <c r="C272" s="1" t="n">
        <v>46066</v>
      </c>
      <c r="D272" t="inlineStr">
        <is>
          <t>ÖSTERGÖTLANDS LÄN</t>
        </is>
      </c>
      <c r="E272" t="inlineStr">
        <is>
          <t>LINKÖPING</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27797-2025</t>
        </is>
      </c>
      <c r="B273" s="1" t="n">
        <v>45816.80521990741</v>
      </c>
      <c r="C273" s="1" t="n">
        <v>46066</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27798-2025</t>
        </is>
      </c>
      <c r="B274" s="1" t="n">
        <v>45816.81532407407</v>
      </c>
      <c r="C274" s="1" t="n">
        <v>46066</v>
      </c>
      <c r="D274" t="inlineStr">
        <is>
          <t>ÖSTERGÖTLANDS LÄN</t>
        </is>
      </c>
      <c r="E274" t="inlineStr">
        <is>
          <t>LINKÖPING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2997-2025</t>
        </is>
      </c>
      <c r="B275" s="1" t="n">
        <v>45678.54631944445</v>
      </c>
      <c r="C275" s="1" t="n">
        <v>46066</v>
      </c>
      <c r="D275" t="inlineStr">
        <is>
          <t>ÖSTERGÖTLANDS LÄN</t>
        </is>
      </c>
      <c r="E275" t="inlineStr">
        <is>
          <t>LINKÖPING</t>
        </is>
      </c>
      <c r="G275" t="n">
        <v>2.7</v>
      </c>
      <c r="H275" t="n">
        <v>0</v>
      </c>
      <c r="I275" t="n">
        <v>0</v>
      </c>
      <c r="J275" t="n">
        <v>0</v>
      </c>
      <c r="K275" t="n">
        <v>0</v>
      </c>
      <c r="L275" t="n">
        <v>0</v>
      </c>
      <c r="M275" t="n">
        <v>0</v>
      </c>
      <c r="N275" t="n">
        <v>0</v>
      </c>
      <c r="O275" t="n">
        <v>0</v>
      </c>
      <c r="P275" t="n">
        <v>0</v>
      </c>
      <c r="Q275" t="n">
        <v>0</v>
      </c>
      <c r="R275" s="2" t="inlineStr"/>
    </row>
    <row r="276" ht="15" customHeight="1">
      <c r="A276" t="inlineStr">
        <is>
          <t>A 28200-2025</t>
        </is>
      </c>
      <c r="B276" s="1" t="n">
        <v>45818.4428125</v>
      </c>
      <c r="C276" s="1" t="n">
        <v>46066</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39074-2025</t>
        </is>
      </c>
      <c r="B277" s="1" t="n">
        <v>45888</v>
      </c>
      <c r="C277" s="1" t="n">
        <v>46066</v>
      </c>
      <c r="D277" t="inlineStr">
        <is>
          <t>ÖSTERGÖTLANDS LÄN</t>
        </is>
      </c>
      <c r="E277" t="inlineStr">
        <is>
          <t>LINKÖPING</t>
        </is>
      </c>
      <c r="G277" t="n">
        <v>2.9</v>
      </c>
      <c r="H277" t="n">
        <v>0</v>
      </c>
      <c r="I277" t="n">
        <v>0</v>
      </c>
      <c r="J277" t="n">
        <v>0</v>
      </c>
      <c r="K277" t="n">
        <v>0</v>
      </c>
      <c r="L277" t="n">
        <v>0</v>
      </c>
      <c r="M277" t="n">
        <v>0</v>
      </c>
      <c r="N277" t="n">
        <v>0</v>
      </c>
      <c r="O277" t="n">
        <v>0</v>
      </c>
      <c r="P277" t="n">
        <v>0</v>
      </c>
      <c r="Q277" t="n">
        <v>0</v>
      </c>
      <c r="R277" s="2" t="inlineStr"/>
    </row>
    <row r="278" ht="15" customHeight="1">
      <c r="A278" t="inlineStr">
        <is>
          <t>A 72567-2021</t>
        </is>
      </c>
      <c r="B278" s="1" t="n">
        <v>44546.45023148148</v>
      </c>
      <c r="C278" s="1" t="n">
        <v>46066</v>
      </c>
      <c r="D278" t="inlineStr">
        <is>
          <t>ÖSTERGÖTLANDS LÄN</t>
        </is>
      </c>
      <c r="E278" t="inlineStr">
        <is>
          <t>LINKÖPING</t>
        </is>
      </c>
      <c r="G278" t="n">
        <v>1.6</v>
      </c>
      <c r="H278" t="n">
        <v>0</v>
      </c>
      <c r="I278" t="n">
        <v>0</v>
      </c>
      <c r="J278" t="n">
        <v>0</v>
      </c>
      <c r="K278" t="n">
        <v>0</v>
      </c>
      <c r="L278" t="n">
        <v>0</v>
      </c>
      <c r="M278" t="n">
        <v>0</v>
      </c>
      <c r="N278" t="n">
        <v>0</v>
      </c>
      <c r="O278" t="n">
        <v>0</v>
      </c>
      <c r="P278" t="n">
        <v>0</v>
      </c>
      <c r="Q278" t="n">
        <v>0</v>
      </c>
      <c r="R278" s="2" t="inlineStr"/>
    </row>
    <row r="279" ht="15" customHeight="1">
      <c r="A279" t="inlineStr">
        <is>
          <t>A 28204-2025</t>
        </is>
      </c>
      <c r="B279" s="1" t="n">
        <v>45818.4477662037</v>
      </c>
      <c r="C279" s="1" t="n">
        <v>46066</v>
      </c>
      <c r="D279" t="inlineStr">
        <is>
          <t>ÖSTERGÖTLANDS LÄN</t>
        </is>
      </c>
      <c r="E279" t="inlineStr">
        <is>
          <t>LINKÖPING</t>
        </is>
      </c>
      <c r="G279" t="n">
        <v>2.9</v>
      </c>
      <c r="H279" t="n">
        <v>0</v>
      </c>
      <c r="I279" t="n">
        <v>0</v>
      </c>
      <c r="J279" t="n">
        <v>0</v>
      </c>
      <c r="K279" t="n">
        <v>0</v>
      </c>
      <c r="L279" t="n">
        <v>0</v>
      </c>
      <c r="M279" t="n">
        <v>0</v>
      </c>
      <c r="N279" t="n">
        <v>0</v>
      </c>
      <c r="O279" t="n">
        <v>0</v>
      </c>
      <c r="P279" t="n">
        <v>0</v>
      </c>
      <c r="Q279" t="n">
        <v>0</v>
      </c>
      <c r="R279" s="2" t="inlineStr"/>
    </row>
    <row r="280" ht="15" customHeight="1">
      <c r="A280" t="inlineStr">
        <is>
          <t>A 28416-2025</t>
        </is>
      </c>
      <c r="B280" s="1" t="n">
        <v>45819.35346064815</v>
      </c>
      <c r="C280" s="1" t="n">
        <v>46066</v>
      </c>
      <c r="D280" t="inlineStr">
        <is>
          <t>ÖSTERGÖTLANDS LÄN</t>
        </is>
      </c>
      <c r="E280" t="inlineStr">
        <is>
          <t>LINKÖPING</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41345-2021</t>
        </is>
      </c>
      <c r="B281" s="1" t="n">
        <v>44424.61851851852</v>
      </c>
      <c r="C281" s="1" t="n">
        <v>46066</v>
      </c>
      <c r="D281" t="inlineStr">
        <is>
          <t>ÖSTERGÖTLANDS LÄN</t>
        </is>
      </c>
      <c r="E281" t="inlineStr">
        <is>
          <t>LINKÖPING</t>
        </is>
      </c>
      <c r="F281" t="inlineStr">
        <is>
          <t>Sveaskog</t>
        </is>
      </c>
      <c r="G281" t="n">
        <v>6.3</v>
      </c>
      <c r="H281" t="n">
        <v>0</v>
      </c>
      <c r="I281" t="n">
        <v>0</v>
      </c>
      <c r="J281" t="n">
        <v>0</v>
      </c>
      <c r="K281" t="n">
        <v>0</v>
      </c>
      <c r="L281" t="n">
        <v>0</v>
      </c>
      <c r="M281" t="n">
        <v>0</v>
      </c>
      <c r="N281" t="n">
        <v>0</v>
      </c>
      <c r="O281" t="n">
        <v>0</v>
      </c>
      <c r="P281" t="n">
        <v>0</v>
      </c>
      <c r="Q281" t="n">
        <v>0</v>
      </c>
      <c r="R281" s="2" t="inlineStr"/>
    </row>
    <row r="282" ht="15" customHeight="1">
      <c r="A282" t="inlineStr">
        <is>
          <t>A 13266-2025</t>
        </is>
      </c>
      <c r="B282" s="1" t="n">
        <v>45735.53318287037</v>
      </c>
      <c r="C282" s="1" t="n">
        <v>46066</v>
      </c>
      <c r="D282" t="inlineStr">
        <is>
          <t>ÖSTERGÖTLANDS LÄN</t>
        </is>
      </c>
      <c r="E282" t="inlineStr">
        <is>
          <t>LINKÖPING</t>
        </is>
      </c>
      <c r="G282" t="n">
        <v>3.1</v>
      </c>
      <c r="H282" t="n">
        <v>0</v>
      </c>
      <c r="I282" t="n">
        <v>0</v>
      </c>
      <c r="J282" t="n">
        <v>0</v>
      </c>
      <c r="K282" t="n">
        <v>0</v>
      </c>
      <c r="L282" t="n">
        <v>0</v>
      </c>
      <c r="M282" t="n">
        <v>0</v>
      </c>
      <c r="N282" t="n">
        <v>0</v>
      </c>
      <c r="O282" t="n">
        <v>0</v>
      </c>
      <c r="P282" t="n">
        <v>0</v>
      </c>
      <c r="Q282" t="n">
        <v>0</v>
      </c>
      <c r="R282" s="2" t="inlineStr"/>
    </row>
    <row r="283" ht="15" customHeight="1">
      <c r="A283" t="inlineStr">
        <is>
          <t>A 16213-2025</t>
        </is>
      </c>
      <c r="B283" s="1" t="n">
        <v>45750.62740740741</v>
      </c>
      <c r="C283" s="1" t="n">
        <v>46066</v>
      </c>
      <c r="D283" t="inlineStr">
        <is>
          <t>ÖSTERGÖTLANDS LÄN</t>
        </is>
      </c>
      <c r="E283" t="inlineStr">
        <is>
          <t>LINKÖPING</t>
        </is>
      </c>
      <c r="G283" t="n">
        <v>3.4</v>
      </c>
      <c r="H283" t="n">
        <v>0</v>
      </c>
      <c r="I283" t="n">
        <v>0</v>
      </c>
      <c r="J283" t="n">
        <v>0</v>
      </c>
      <c r="K283" t="n">
        <v>0</v>
      </c>
      <c r="L283" t="n">
        <v>0</v>
      </c>
      <c r="M283" t="n">
        <v>0</v>
      </c>
      <c r="N283" t="n">
        <v>0</v>
      </c>
      <c r="O283" t="n">
        <v>0</v>
      </c>
      <c r="P283" t="n">
        <v>0</v>
      </c>
      <c r="Q283" t="n">
        <v>0</v>
      </c>
      <c r="R283" s="2" t="inlineStr"/>
    </row>
    <row r="284" ht="15" customHeight="1">
      <c r="A284" t="inlineStr">
        <is>
          <t>A 28398-2025</t>
        </is>
      </c>
      <c r="B284" s="1" t="n">
        <v>45819.34208333334</v>
      </c>
      <c r="C284" s="1" t="n">
        <v>46066</v>
      </c>
      <c r="D284" t="inlineStr">
        <is>
          <t>ÖSTERGÖTLANDS LÄN</t>
        </is>
      </c>
      <c r="E284" t="inlineStr">
        <is>
          <t>LINKÖPING</t>
        </is>
      </c>
      <c r="F284" t="inlineStr">
        <is>
          <t>Sveaskog</t>
        </is>
      </c>
      <c r="G284" t="n">
        <v>7.9</v>
      </c>
      <c r="H284" t="n">
        <v>0</v>
      </c>
      <c r="I284" t="n">
        <v>0</v>
      </c>
      <c r="J284" t="n">
        <v>0</v>
      </c>
      <c r="K284" t="n">
        <v>0</v>
      </c>
      <c r="L284" t="n">
        <v>0</v>
      </c>
      <c r="M284" t="n">
        <v>0</v>
      </c>
      <c r="N284" t="n">
        <v>0</v>
      </c>
      <c r="O284" t="n">
        <v>0</v>
      </c>
      <c r="P284" t="n">
        <v>0</v>
      </c>
      <c r="Q284" t="n">
        <v>0</v>
      </c>
      <c r="R284" s="2" t="inlineStr"/>
    </row>
    <row r="285" ht="15" customHeight="1">
      <c r="A285" t="inlineStr">
        <is>
          <t>A 28209-2025</t>
        </is>
      </c>
      <c r="B285" s="1" t="n">
        <v>45818.45112268518</v>
      </c>
      <c r="C285" s="1" t="n">
        <v>46066</v>
      </c>
      <c r="D285" t="inlineStr">
        <is>
          <t>ÖSTERGÖTLANDS LÄN</t>
        </is>
      </c>
      <c r="E285" t="inlineStr">
        <is>
          <t>LINKÖPING</t>
        </is>
      </c>
      <c r="G285" t="n">
        <v>4.2</v>
      </c>
      <c r="H285" t="n">
        <v>0</v>
      </c>
      <c r="I285" t="n">
        <v>0</v>
      </c>
      <c r="J285" t="n">
        <v>0</v>
      </c>
      <c r="K285" t="n">
        <v>0</v>
      </c>
      <c r="L285" t="n">
        <v>0</v>
      </c>
      <c r="M285" t="n">
        <v>0</v>
      </c>
      <c r="N285" t="n">
        <v>0</v>
      </c>
      <c r="O285" t="n">
        <v>0</v>
      </c>
      <c r="P285" t="n">
        <v>0</v>
      </c>
      <c r="Q285" t="n">
        <v>0</v>
      </c>
      <c r="R285" s="2" t="inlineStr"/>
    </row>
    <row r="286" ht="15" customHeight="1">
      <c r="A286" t="inlineStr">
        <is>
          <t>A 29027-2025</t>
        </is>
      </c>
      <c r="B286" s="1" t="n">
        <v>45821.4375462963</v>
      </c>
      <c r="C286" s="1" t="n">
        <v>46066</v>
      </c>
      <c r="D286" t="inlineStr">
        <is>
          <t>ÖSTERGÖTLANDS LÄN</t>
        </is>
      </c>
      <c r="E286" t="inlineStr">
        <is>
          <t>LINKÖPING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29411-2025</t>
        </is>
      </c>
      <c r="B287" s="1" t="n">
        <v>45824.6219212963</v>
      </c>
      <c r="C287" s="1" t="n">
        <v>46066</v>
      </c>
      <c r="D287" t="inlineStr">
        <is>
          <t>ÖSTERGÖTLANDS LÄN</t>
        </is>
      </c>
      <c r="E287" t="inlineStr">
        <is>
          <t>LINKÖPING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46225-2021</t>
        </is>
      </c>
      <c r="B288" s="1" t="n">
        <v>44442</v>
      </c>
      <c r="C288" s="1" t="n">
        <v>46066</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25776-2021</t>
        </is>
      </c>
      <c r="B289" s="1" t="n">
        <v>44343</v>
      </c>
      <c r="C289" s="1" t="n">
        <v>46066</v>
      </c>
      <c r="D289" t="inlineStr">
        <is>
          <t>ÖSTERGÖTLANDS LÄN</t>
        </is>
      </c>
      <c r="E289" t="inlineStr">
        <is>
          <t>LINKÖPING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29393-2025</t>
        </is>
      </c>
      <c r="B290" s="1" t="n">
        <v>45824.6057175926</v>
      </c>
      <c r="C290" s="1" t="n">
        <v>46066</v>
      </c>
      <c r="D290" t="inlineStr">
        <is>
          <t>ÖSTERGÖTLANDS LÄN</t>
        </is>
      </c>
      <c r="E290" t="inlineStr">
        <is>
          <t>LINKÖPING</t>
        </is>
      </c>
      <c r="F290" t="inlineStr">
        <is>
          <t>Sveaskog</t>
        </is>
      </c>
      <c r="G290" t="n">
        <v>24.6</v>
      </c>
      <c r="H290" t="n">
        <v>0</v>
      </c>
      <c r="I290" t="n">
        <v>0</v>
      </c>
      <c r="J290" t="n">
        <v>0</v>
      </c>
      <c r="K290" t="n">
        <v>0</v>
      </c>
      <c r="L290" t="n">
        <v>0</v>
      </c>
      <c r="M290" t="n">
        <v>0</v>
      </c>
      <c r="N290" t="n">
        <v>0</v>
      </c>
      <c r="O290" t="n">
        <v>0</v>
      </c>
      <c r="P290" t="n">
        <v>0</v>
      </c>
      <c r="Q290" t="n">
        <v>0</v>
      </c>
      <c r="R290" s="2" t="inlineStr"/>
    </row>
    <row r="291" ht="15" customHeight="1">
      <c r="A291" t="inlineStr">
        <is>
          <t>A 51484-2023</t>
        </is>
      </c>
      <c r="B291" s="1" t="n">
        <v>45222</v>
      </c>
      <c r="C291" s="1" t="n">
        <v>46066</v>
      </c>
      <c r="D291" t="inlineStr">
        <is>
          <t>ÖSTERGÖTLANDS LÄN</t>
        </is>
      </c>
      <c r="E291" t="inlineStr">
        <is>
          <t>LINKÖPING</t>
        </is>
      </c>
      <c r="F291" t="inlineStr">
        <is>
          <t>Övriga Aktiebolag</t>
        </is>
      </c>
      <c r="G291" t="n">
        <v>7.7</v>
      </c>
      <c r="H291" t="n">
        <v>0</v>
      </c>
      <c r="I291" t="n">
        <v>0</v>
      </c>
      <c r="J291" t="n">
        <v>0</v>
      </c>
      <c r="K291" t="n">
        <v>0</v>
      </c>
      <c r="L291" t="n">
        <v>0</v>
      </c>
      <c r="M291" t="n">
        <v>0</v>
      </c>
      <c r="N291" t="n">
        <v>0</v>
      </c>
      <c r="O291" t="n">
        <v>0</v>
      </c>
      <c r="P291" t="n">
        <v>0</v>
      </c>
      <c r="Q291" t="n">
        <v>0</v>
      </c>
      <c r="R291" s="2" t="inlineStr"/>
    </row>
    <row r="292" ht="15" customHeight="1">
      <c r="A292" t="inlineStr">
        <is>
          <t>A 29599-2025</t>
        </is>
      </c>
      <c r="B292" s="1" t="n">
        <v>45825.41101851852</v>
      </c>
      <c r="C292" s="1" t="n">
        <v>46066</v>
      </c>
      <c r="D292" t="inlineStr">
        <is>
          <t>ÖSTERGÖTLANDS LÄN</t>
        </is>
      </c>
      <c r="E292" t="inlineStr">
        <is>
          <t>LINKÖPING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17898-2022</t>
        </is>
      </c>
      <c r="B293" s="1" t="n">
        <v>44683</v>
      </c>
      <c r="C293" s="1" t="n">
        <v>46066</v>
      </c>
      <c r="D293" t="inlineStr">
        <is>
          <t>ÖSTERGÖTLANDS LÄN</t>
        </is>
      </c>
      <c r="E293" t="inlineStr">
        <is>
          <t>LINKÖPING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63487-2023</t>
        </is>
      </c>
      <c r="B294" s="1" t="n">
        <v>45274.66712962963</v>
      </c>
      <c r="C294" s="1" t="n">
        <v>46066</v>
      </c>
      <c r="D294" t="inlineStr">
        <is>
          <t>ÖSTERGÖTLANDS LÄN</t>
        </is>
      </c>
      <c r="E294" t="inlineStr">
        <is>
          <t>LINKÖPING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35463-2023</t>
        </is>
      </c>
      <c r="B295" s="1" t="n">
        <v>45146</v>
      </c>
      <c r="C295" s="1" t="n">
        <v>46066</v>
      </c>
      <c r="D295" t="inlineStr">
        <is>
          <t>ÖSTERGÖTLANDS LÄN</t>
        </is>
      </c>
      <c r="E295" t="inlineStr">
        <is>
          <t>LINKÖPING</t>
        </is>
      </c>
      <c r="F295" t="inlineStr">
        <is>
          <t>Övriga Aktiebolag</t>
        </is>
      </c>
      <c r="G295" t="n">
        <v>1.8</v>
      </c>
      <c r="H295" t="n">
        <v>0</v>
      </c>
      <c r="I295" t="n">
        <v>0</v>
      </c>
      <c r="J295" t="n">
        <v>0</v>
      </c>
      <c r="K295" t="n">
        <v>0</v>
      </c>
      <c r="L295" t="n">
        <v>0</v>
      </c>
      <c r="M295" t="n">
        <v>0</v>
      </c>
      <c r="N295" t="n">
        <v>0</v>
      </c>
      <c r="O295" t="n">
        <v>0</v>
      </c>
      <c r="P295" t="n">
        <v>0</v>
      </c>
      <c r="Q295" t="n">
        <v>0</v>
      </c>
      <c r="R295" s="2" t="inlineStr"/>
    </row>
    <row r="296" ht="15" customHeight="1">
      <c r="A296" t="inlineStr">
        <is>
          <t>A 30355-2025</t>
        </is>
      </c>
      <c r="B296" s="1" t="n">
        <v>45827</v>
      </c>
      <c r="C296" s="1" t="n">
        <v>46066</v>
      </c>
      <c r="D296" t="inlineStr">
        <is>
          <t>ÖSTERGÖTLANDS LÄN</t>
        </is>
      </c>
      <c r="E296" t="inlineStr">
        <is>
          <t>LINKÖPING</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30353-2025</t>
        </is>
      </c>
      <c r="B297" s="1" t="n">
        <v>45827</v>
      </c>
      <c r="C297" s="1" t="n">
        <v>46066</v>
      </c>
      <c r="D297" t="inlineStr">
        <is>
          <t>ÖSTERGÖTLANDS LÄN</t>
        </is>
      </c>
      <c r="E297" t="inlineStr">
        <is>
          <t>LINKÖPING</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55632-2022</t>
        </is>
      </c>
      <c r="B298" s="1" t="n">
        <v>44888</v>
      </c>
      <c r="C298" s="1" t="n">
        <v>46066</v>
      </c>
      <c r="D298" t="inlineStr">
        <is>
          <t>ÖSTERGÖTLANDS LÄN</t>
        </is>
      </c>
      <c r="E298" t="inlineStr">
        <is>
          <t>LINKÖPING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63559-2023</t>
        </is>
      </c>
      <c r="B299" s="1" t="n">
        <v>45275.35924768518</v>
      </c>
      <c r="C299" s="1" t="n">
        <v>46066</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40169-2025</t>
        </is>
      </c>
      <c r="B300" s="1" t="n">
        <v>45894.62824074074</v>
      </c>
      <c r="C300" s="1" t="n">
        <v>46066</v>
      </c>
      <c r="D300" t="inlineStr">
        <is>
          <t>ÖSTERGÖTLANDS LÄN</t>
        </is>
      </c>
      <c r="E300" t="inlineStr">
        <is>
          <t>LINKÖPING</t>
        </is>
      </c>
      <c r="G300" t="n">
        <v>2.8</v>
      </c>
      <c r="H300" t="n">
        <v>0</v>
      </c>
      <c r="I300" t="n">
        <v>0</v>
      </c>
      <c r="J300" t="n">
        <v>0</v>
      </c>
      <c r="K300" t="n">
        <v>0</v>
      </c>
      <c r="L300" t="n">
        <v>0</v>
      </c>
      <c r="M300" t="n">
        <v>0</v>
      </c>
      <c r="N300" t="n">
        <v>0</v>
      </c>
      <c r="O300" t="n">
        <v>0</v>
      </c>
      <c r="P300" t="n">
        <v>0</v>
      </c>
      <c r="Q300" t="n">
        <v>0</v>
      </c>
      <c r="R300" s="2" t="inlineStr"/>
    </row>
    <row r="301" ht="15" customHeight="1">
      <c r="A301" t="inlineStr">
        <is>
          <t>A 58114-2021</t>
        </is>
      </c>
      <c r="B301" s="1" t="n">
        <v>44487</v>
      </c>
      <c r="C301" s="1" t="n">
        <v>46066</v>
      </c>
      <c r="D301" t="inlineStr">
        <is>
          <t>ÖSTERGÖTLANDS LÄN</t>
        </is>
      </c>
      <c r="E301" t="inlineStr">
        <is>
          <t>LINKÖPING</t>
        </is>
      </c>
      <c r="F301" t="inlineStr">
        <is>
          <t>Övriga Aktiebolag</t>
        </is>
      </c>
      <c r="G301" t="n">
        <v>0.8</v>
      </c>
      <c r="H301" t="n">
        <v>0</v>
      </c>
      <c r="I301" t="n">
        <v>0</v>
      </c>
      <c r="J301" t="n">
        <v>0</v>
      </c>
      <c r="K301" t="n">
        <v>0</v>
      </c>
      <c r="L301" t="n">
        <v>0</v>
      </c>
      <c r="M301" t="n">
        <v>0</v>
      </c>
      <c r="N301" t="n">
        <v>0</v>
      </c>
      <c r="O301" t="n">
        <v>0</v>
      </c>
      <c r="P301" t="n">
        <v>0</v>
      </c>
      <c r="Q301" t="n">
        <v>0</v>
      </c>
      <c r="R301" s="2" t="inlineStr"/>
    </row>
    <row r="302" ht="15" customHeight="1">
      <c r="A302" t="inlineStr">
        <is>
          <t>A 55944-2024</t>
        </is>
      </c>
      <c r="B302" s="1" t="n">
        <v>45623.61640046296</v>
      </c>
      <c r="C302" s="1" t="n">
        <v>46066</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55947-2024</t>
        </is>
      </c>
      <c r="B303" s="1" t="n">
        <v>45623</v>
      </c>
      <c r="C303" s="1" t="n">
        <v>46066</v>
      </c>
      <c r="D303" t="inlineStr">
        <is>
          <t>ÖSTERGÖTLANDS LÄN</t>
        </is>
      </c>
      <c r="E303" t="inlineStr">
        <is>
          <t>LINKÖPING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31581-2025</t>
        </is>
      </c>
      <c r="B304" s="1" t="n">
        <v>45833.6840162037</v>
      </c>
      <c r="C304" s="1" t="n">
        <v>46066</v>
      </c>
      <c r="D304" t="inlineStr">
        <is>
          <t>ÖSTERGÖTLANDS LÄN</t>
        </is>
      </c>
      <c r="E304" t="inlineStr">
        <is>
          <t>LINKÖPING</t>
        </is>
      </c>
      <c r="G304" t="n">
        <v>2.6</v>
      </c>
      <c r="H304" t="n">
        <v>0</v>
      </c>
      <c r="I304" t="n">
        <v>0</v>
      </c>
      <c r="J304" t="n">
        <v>0</v>
      </c>
      <c r="K304" t="n">
        <v>0</v>
      </c>
      <c r="L304" t="n">
        <v>0</v>
      </c>
      <c r="M304" t="n">
        <v>0</v>
      </c>
      <c r="N304" t="n">
        <v>0</v>
      </c>
      <c r="O304" t="n">
        <v>0</v>
      </c>
      <c r="P304" t="n">
        <v>0</v>
      </c>
      <c r="Q304" t="n">
        <v>0</v>
      </c>
      <c r="R304" s="2" t="inlineStr"/>
    </row>
    <row r="305" ht="15" customHeight="1">
      <c r="A305" t="inlineStr">
        <is>
          <t>A 31585-2025</t>
        </is>
      </c>
      <c r="B305" s="1" t="n">
        <v>45833.68815972222</v>
      </c>
      <c r="C305" s="1" t="n">
        <v>46066</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3374-2023</t>
        </is>
      </c>
      <c r="B306" s="1" t="n">
        <v>44949</v>
      </c>
      <c r="C306" s="1" t="n">
        <v>46066</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24151-2024</t>
        </is>
      </c>
      <c r="B307" s="1" t="n">
        <v>45456.67717592593</v>
      </c>
      <c r="C307" s="1" t="n">
        <v>46066</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14576-2023</t>
        </is>
      </c>
      <c r="B308" s="1" t="n">
        <v>45013</v>
      </c>
      <c r="C308" s="1" t="n">
        <v>46066</v>
      </c>
      <c r="D308" t="inlineStr">
        <is>
          <t>ÖSTERGÖTLANDS LÄN</t>
        </is>
      </c>
      <c r="E308" t="inlineStr">
        <is>
          <t>LINKÖPING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32723-2025</t>
        </is>
      </c>
      <c r="B309" s="1" t="n">
        <v>45838</v>
      </c>
      <c r="C309" s="1" t="n">
        <v>46066</v>
      </c>
      <c r="D309" t="inlineStr">
        <is>
          <t>ÖSTERGÖTLANDS LÄN</t>
        </is>
      </c>
      <c r="E309" t="inlineStr">
        <is>
          <t>LINKÖPING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74160-2021</t>
        </is>
      </c>
      <c r="B310" s="1" t="n">
        <v>44558</v>
      </c>
      <c r="C310" s="1" t="n">
        <v>46066</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27766-2022</t>
        </is>
      </c>
      <c r="B311" s="1" t="n">
        <v>44743.53112268518</v>
      </c>
      <c r="C311" s="1" t="n">
        <v>46066</v>
      </c>
      <c r="D311" t="inlineStr">
        <is>
          <t>ÖSTERGÖTLANDS LÄN</t>
        </is>
      </c>
      <c r="E311" t="inlineStr">
        <is>
          <t>LINKÖPING</t>
        </is>
      </c>
      <c r="G311" t="n">
        <v>2</v>
      </c>
      <c r="H311" t="n">
        <v>0</v>
      </c>
      <c r="I311" t="n">
        <v>0</v>
      </c>
      <c r="J311" t="n">
        <v>0</v>
      </c>
      <c r="K311" t="n">
        <v>0</v>
      </c>
      <c r="L311" t="n">
        <v>0</v>
      </c>
      <c r="M311" t="n">
        <v>0</v>
      </c>
      <c r="N311" t="n">
        <v>0</v>
      </c>
      <c r="O311" t="n">
        <v>0</v>
      </c>
      <c r="P311" t="n">
        <v>0</v>
      </c>
      <c r="Q311" t="n">
        <v>0</v>
      </c>
      <c r="R311" s="2" t="inlineStr"/>
    </row>
    <row r="312" ht="15" customHeight="1">
      <c r="A312" t="inlineStr">
        <is>
          <t>A 53641-2023</t>
        </is>
      </c>
      <c r="B312" s="1" t="n">
        <v>45230</v>
      </c>
      <c r="C312" s="1" t="n">
        <v>46066</v>
      </c>
      <c r="D312" t="inlineStr">
        <is>
          <t>ÖSTERGÖTLANDS LÄN</t>
        </is>
      </c>
      <c r="E312" t="inlineStr">
        <is>
          <t>LINKÖPING</t>
        </is>
      </c>
      <c r="G312" t="n">
        <v>1.7</v>
      </c>
      <c r="H312" t="n">
        <v>0</v>
      </c>
      <c r="I312" t="n">
        <v>0</v>
      </c>
      <c r="J312" t="n">
        <v>0</v>
      </c>
      <c r="K312" t="n">
        <v>0</v>
      </c>
      <c r="L312" t="n">
        <v>0</v>
      </c>
      <c r="M312" t="n">
        <v>0</v>
      </c>
      <c r="N312" t="n">
        <v>0</v>
      </c>
      <c r="O312" t="n">
        <v>0</v>
      </c>
      <c r="P312" t="n">
        <v>0</v>
      </c>
      <c r="Q312" t="n">
        <v>0</v>
      </c>
      <c r="R312" s="2" t="inlineStr"/>
    </row>
    <row r="313" ht="15" customHeight="1">
      <c r="A313" t="inlineStr">
        <is>
          <t>A 33000-2023</t>
        </is>
      </c>
      <c r="B313" s="1" t="n">
        <v>45125</v>
      </c>
      <c r="C313" s="1" t="n">
        <v>46066</v>
      </c>
      <c r="D313" t="inlineStr">
        <is>
          <t>ÖSTERGÖTLANDS LÄN</t>
        </is>
      </c>
      <c r="E313" t="inlineStr">
        <is>
          <t>LINKÖPING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52892-2024</t>
        </is>
      </c>
      <c r="B314" s="1" t="n">
        <v>45610</v>
      </c>
      <c r="C314" s="1" t="n">
        <v>46066</v>
      </c>
      <c r="D314" t="inlineStr">
        <is>
          <t>ÖSTERGÖTLANDS LÄN</t>
        </is>
      </c>
      <c r="E314" t="inlineStr">
        <is>
          <t>LINKÖPING</t>
        </is>
      </c>
      <c r="G314" t="n">
        <v>4.2</v>
      </c>
      <c r="H314" t="n">
        <v>0</v>
      </c>
      <c r="I314" t="n">
        <v>0</v>
      </c>
      <c r="J314" t="n">
        <v>0</v>
      </c>
      <c r="K314" t="n">
        <v>0</v>
      </c>
      <c r="L314" t="n">
        <v>0</v>
      </c>
      <c r="M314" t="n">
        <v>0</v>
      </c>
      <c r="N314" t="n">
        <v>0</v>
      </c>
      <c r="O314" t="n">
        <v>0</v>
      </c>
      <c r="P314" t="n">
        <v>0</v>
      </c>
      <c r="Q314" t="n">
        <v>0</v>
      </c>
      <c r="R314" s="2" t="inlineStr"/>
    </row>
    <row r="315" ht="15" customHeight="1">
      <c r="A315" t="inlineStr">
        <is>
          <t>A 33947-2025</t>
        </is>
      </c>
      <c r="B315" s="1" t="n">
        <v>45842.65444444444</v>
      </c>
      <c r="C315" s="1" t="n">
        <v>46066</v>
      </c>
      <c r="D315" t="inlineStr">
        <is>
          <t>ÖSTERGÖTLANDS LÄN</t>
        </is>
      </c>
      <c r="E315" t="inlineStr">
        <is>
          <t>LINKÖPING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53529-2024</t>
        </is>
      </c>
      <c r="B316" s="1" t="n">
        <v>45614</v>
      </c>
      <c r="C316" s="1" t="n">
        <v>46066</v>
      </c>
      <c r="D316" t="inlineStr">
        <is>
          <t>ÖSTERGÖTLANDS LÄN</t>
        </is>
      </c>
      <c r="E316" t="inlineStr">
        <is>
          <t>LINKÖPING</t>
        </is>
      </c>
      <c r="G316" t="n">
        <v>6.7</v>
      </c>
      <c r="H316" t="n">
        <v>0</v>
      </c>
      <c r="I316" t="n">
        <v>0</v>
      </c>
      <c r="J316" t="n">
        <v>0</v>
      </c>
      <c r="K316" t="n">
        <v>0</v>
      </c>
      <c r="L316" t="n">
        <v>0</v>
      </c>
      <c r="M316" t="n">
        <v>0</v>
      </c>
      <c r="N316" t="n">
        <v>0</v>
      </c>
      <c r="O316" t="n">
        <v>0</v>
      </c>
      <c r="P316" t="n">
        <v>0</v>
      </c>
      <c r="Q316" t="n">
        <v>0</v>
      </c>
      <c r="R316" s="2" t="inlineStr"/>
    </row>
    <row r="317" ht="15" customHeight="1">
      <c r="A317" t="inlineStr">
        <is>
          <t>A 62012-2024</t>
        </is>
      </c>
      <c r="B317" s="1" t="n">
        <v>45655.79679398148</v>
      </c>
      <c r="C317" s="1" t="n">
        <v>46066</v>
      </c>
      <c r="D317" t="inlineStr">
        <is>
          <t>ÖSTERGÖTLANDS LÄN</t>
        </is>
      </c>
      <c r="E317" t="inlineStr">
        <is>
          <t>LINKÖPING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30521-2024</t>
        </is>
      </c>
      <c r="B318" s="1" t="n">
        <v>45492</v>
      </c>
      <c r="C318" s="1" t="n">
        <v>46066</v>
      </c>
      <c r="D318" t="inlineStr">
        <is>
          <t>ÖSTERGÖTLANDS LÄN</t>
        </is>
      </c>
      <c r="E318" t="inlineStr">
        <is>
          <t>LINKÖPING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51191-2022</t>
        </is>
      </c>
      <c r="B319" s="1" t="n">
        <v>44865</v>
      </c>
      <c r="C319" s="1" t="n">
        <v>46066</v>
      </c>
      <c r="D319" t="inlineStr">
        <is>
          <t>ÖSTERGÖTLANDS LÄN</t>
        </is>
      </c>
      <c r="E319" t="inlineStr">
        <is>
          <t>LINKÖPING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20469-2025</t>
        </is>
      </c>
      <c r="B320" s="1" t="n">
        <v>45775</v>
      </c>
      <c r="C320" s="1" t="n">
        <v>46066</v>
      </c>
      <c r="D320" t="inlineStr">
        <is>
          <t>ÖSTERGÖTLANDS LÄN</t>
        </is>
      </c>
      <c r="E320" t="inlineStr">
        <is>
          <t>LINKÖPING</t>
        </is>
      </c>
      <c r="F320" t="inlineStr">
        <is>
          <t>Kyrkan</t>
        </is>
      </c>
      <c r="G320" t="n">
        <v>6.1</v>
      </c>
      <c r="H320" t="n">
        <v>0</v>
      </c>
      <c r="I320" t="n">
        <v>0</v>
      </c>
      <c r="J320" t="n">
        <v>0</v>
      </c>
      <c r="K320" t="n">
        <v>0</v>
      </c>
      <c r="L320" t="n">
        <v>0</v>
      </c>
      <c r="M320" t="n">
        <v>0</v>
      </c>
      <c r="N320" t="n">
        <v>0</v>
      </c>
      <c r="O320" t="n">
        <v>0</v>
      </c>
      <c r="P320" t="n">
        <v>0</v>
      </c>
      <c r="Q320" t="n">
        <v>0</v>
      </c>
      <c r="R320" s="2" t="inlineStr"/>
    </row>
    <row r="321" ht="15" customHeight="1">
      <c r="A321" t="inlineStr">
        <is>
          <t>A 41511-2025</t>
        </is>
      </c>
      <c r="B321" s="1" t="n">
        <v>45901.53839120371</v>
      </c>
      <c r="C321" s="1" t="n">
        <v>46066</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12289-2025</t>
        </is>
      </c>
      <c r="B322" s="1" t="n">
        <v>45729</v>
      </c>
      <c r="C322" s="1" t="n">
        <v>46066</v>
      </c>
      <c r="D322" t="inlineStr">
        <is>
          <t>ÖSTERGÖTLANDS LÄN</t>
        </is>
      </c>
      <c r="E322" t="inlineStr">
        <is>
          <t>LINKÖPING</t>
        </is>
      </c>
      <c r="F322" t="inlineStr">
        <is>
          <t>Övriga statliga verk och myndigheter</t>
        </is>
      </c>
      <c r="G322" t="n">
        <v>6.5</v>
      </c>
      <c r="H322" t="n">
        <v>0</v>
      </c>
      <c r="I322" t="n">
        <v>0</v>
      </c>
      <c r="J322" t="n">
        <v>0</v>
      </c>
      <c r="K322" t="n">
        <v>0</v>
      </c>
      <c r="L322" t="n">
        <v>0</v>
      </c>
      <c r="M322" t="n">
        <v>0</v>
      </c>
      <c r="N322" t="n">
        <v>0</v>
      </c>
      <c r="O322" t="n">
        <v>0</v>
      </c>
      <c r="P322" t="n">
        <v>0</v>
      </c>
      <c r="Q322" t="n">
        <v>0</v>
      </c>
      <c r="R322" s="2" t="inlineStr"/>
    </row>
    <row r="323" ht="15" customHeight="1">
      <c r="A323" t="inlineStr">
        <is>
          <t>A 9434-2024</t>
        </is>
      </c>
      <c r="B323" s="1" t="n">
        <v>45359</v>
      </c>
      <c r="C323" s="1" t="n">
        <v>46066</v>
      </c>
      <c r="D323" t="inlineStr">
        <is>
          <t>ÖSTERGÖTLANDS LÄN</t>
        </is>
      </c>
      <c r="E323" t="inlineStr">
        <is>
          <t>LINKÖPING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42054-2022</t>
        </is>
      </c>
      <c r="B324" s="1" t="n">
        <v>44830</v>
      </c>
      <c r="C324" s="1" t="n">
        <v>46066</v>
      </c>
      <c r="D324" t="inlineStr">
        <is>
          <t>ÖSTERGÖTLANDS LÄN</t>
        </is>
      </c>
      <c r="E324" t="inlineStr">
        <is>
          <t>LINKÖPING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50182-2023</t>
        </is>
      </c>
      <c r="B325" s="1" t="n">
        <v>45208</v>
      </c>
      <c r="C325" s="1" t="n">
        <v>46066</v>
      </c>
      <c r="D325" t="inlineStr">
        <is>
          <t>ÖSTERGÖTLANDS LÄN</t>
        </is>
      </c>
      <c r="E325" t="inlineStr">
        <is>
          <t>LINKÖPING</t>
        </is>
      </c>
      <c r="G325" t="n">
        <v>2.5</v>
      </c>
      <c r="H325" t="n">
        <v>0</v>
      </c>
      <c r="I325" t="n">
        <v>0</v>
      </c>
      <c r="J325" t="n">
        <v>0</v>
      </c>
      <c r="K325" t="n">
        <v>0</v>
      </c>
      <c r="L325" t="n">
        <v>0</v>
      </c>
      <c r="M325" t="n">
        <v>0</v>
      </c>
      <c r="N325" t="n">
        <v>0</v>
      </c>
      <c r="O325" t="n">
        <v>0</v>
      </c>
      <c r="P325" t="n">
        <v>0</v>
      </c>
      <c r="Q325" t="n">
        <v>0</v>
      </c>
      <c r="R325" s="2" t="inlineStr"/>
    </row>
    <row r="326" ht="15" customHeight="1">
      <c r="A326" t="inlineStr">
        <is>
          <t>A 33800-2023</t>
        </is>
      </c>
      <c r="B326" s="1" t="n">
        <v>45121</v>
      </c>
      <c r="C326" s="1" t="n">
        <v>46066</v>
      </c>
      <c r="D326" t="inlineStr">
        <is>
          <t>ÖSTERGÖTLANDS LÄN</t>
        </is>
      </c>
      <c r="E326" t="inlineStr">
        <is>
          <t>LINKÖPING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26007-2025</t>
        </is>
      </c>
      <c r="B327" s="1" t="n">
        <v>45804.67081018518</v>
      </c>
      <c r="C327" s="1" t="n">
        <v>46066</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35174-2025</t>
        </is>
      </c>
      <c r="B328" s="1" t="n">
        <v>45852.90648148148</v>
      </c>
      <c r="C328" s="1" t="n">
        <v>46066</v>
      </c>
      <c r="D328" t="inlineStr">
        <is>
          <t>ÖSTERGÖTLANDS LÄN</t>
        </is>
      </c>
      <c r="E328" t="inlineStr">
        <is>
          <t>LINKÖPING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35781-2023</t>
        </is>
      </c>
      <c r="B329" s="1" t="n">
        <v>45147</v>
      </c>
      <c r="C329" s="1" t="n">
        <v>46066</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47991-2023</t>
        </is>
      </c>
      <c r="B330" s="1" t="n">
        <v>45204.62655092592</v>
      </c>
      <c r="C330" s="1" t="n">
        <v>46066</v>
      </c>
      <c r="D330" t="inlineStr">
        <is>
          <t>ÖSTERGÖTLANDS LÄN</t>
        </is>
      </c>
      <c r="E330" t="inlineStr">
        <is>
          <t>LINKÖPING</t>
        </is>
      </c>
      <c r="F330" t="inlineStr">
        <is>
          <t>Allmännings- och besparingsskogar</t>
        </is>
      </c>
      <c r="G330" t="n">
        <v>7.3</v>
      </c>
      <c r="H330" t="n">
        <v>0</v>
      </c>
      <c r="I330" t="n">
        <v>0</v>
      </c>
      <c r="J330" t="n">
        <v>0</v>
      </c>
      <c r="K330" t="n">
        <v>0</v>
      </c>
      <c r="L330" t="n">
        <v>0</v>
      </c>
      <c r="M330" t="n">
        <v>0</v>
      </c>
      <c r="N330" t="n">
        <v>0</v>
      </c>
      <c r="O330" t="n">
        <v>0</v>
      </c>
      <c r="P330" t="n">
        <v>0</v>
      </c>
      <c r="Q330" t="n">
        <v>0</v>
      </c>
      <c r="R330" s="2" t="inlineStr"/>
    </row>
    <row r="331" ht="15" customHeight="1">
      <c r="A331" t="inlineStr">
        <is>
          <t>A 35179-2025</t>
        </is>
      </c>
      <c r="B331" s="1" t="n">
        <v>45852.93737268518</v>
      </c>
      <c r="C331" s="1" t="n">
        <v>46066</v>
      </c>
      <c r="D331" t="inlineStr">
        <is>
          <t>ÖSTERGÖTLANDS LÄN</t>
        </is>
      </c>
      <c r="E331" t="inlineStr">
        <is>
          <t>LINKÖPING</t>
        </is>
      </c>
      <c r="G331" t="n">
        <v>2.2</v>
      </c>
      <c r="H331" t="n">
        <v>0</v>
      </c>
      <c r="I331" t="n">
        <v>0</v>
      </c>
      <c r="J331" t="n">
        <v>0</v>
      </c>
      <c r="K331" t="n">
        <v>0</v>
      </c>
      <c r="L331" t="n">
        <v>0</v>
      </c>
      <c r="M331" t="n">
        <v>0</v>
      </c>
      <c r="N331" t="n">
        <v>0</v>
      </c>
      <c r="O331" t="n">
        <v>0</v>
      </c>
      <c r="P331" t="n">
        <v>0</v>
      </c>
      <c r="Q331" t="n">
        <v>0</v>
      </c>
      <c r="R331" s="2" t="inlineStr"/>
    </row>
    <row r="332" ht="15" customHeight="1">
      <c r="A332" t="inlineStr">
        <is>
          <t>A 35180-2025</t>
        </is>
      </c>
      <c r="B332" s="1" t="n">
        <v>45852.9413425926</v>
      </c>
      <c r="C332" s="1" t="n">
        <v>46066</v>
      </c>
      <c r="D332" t="inlineStr">
        <is>
          <t>ÖSTERGÖTLANDS LÄN</t>
        </is>
      </c>
      <c r="E332" t="inlineStr">
        <is>
          <t>LINKÖPING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35178-2025</t>
        </is>
      </c>
      <c r="B333" s="1" t="n">
        <v>45852.91939814815</v>
      </c>
      <c r="C333" s="1" t="n">
        <v>46066</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41706-2025</t>
        </is>
      </c>
      <c r="B334" s="1" t="n">
        <v>45902.42209490741</v>
      </c>
      <c r="C334" s="1" t="n">
        <v>46066</v>
      </c>
      <c r="D334" t="inlineStr">
        <is>
          <t>ÖSTERGÖTLANDS LÄN</t>
        </is>
      </c>
      <c r="E334" t="inlineStr">
        <is>
          <t>LINKÖPING</t>
        </is>
      </c>
      <c r="G334" t="n">
        <v>1.9</v>
      </c>
      <c r="H334" t="n">
        <v>0</v>
      </c>
      <c r="I334" t="n">
        <v>0</v>
      </c>
      <c r="J334" t="n">
        <v>0</v>
      </c>
      <c r="K334" t="n">
        <v>0</v>
      </c>
      <c r="L334" t="n">
        <v>0</v>
      </c>
      <c r="M334" t="n">
        <v>0</v>
      </c>
      <c r="N334" t="n">
        <v>0</v>
      </c>
      <c r="O334" t="n">
        <v>0</v>
      </c>
      <c r="P334" t="n">
        <v>0</v>
      </c>
      <c r="Q334" t="n">
        <v>0</v>
      </c>
      <c r="R334" s="2" t="inlineStr"/>
    </row>
    <row r="335" ht="15" customHeight="1">
      <c r="A335" t="inlineStr">
        <is>
          <t>A 6387-2022</t>
        </is>
      </c>
      <c r="B335" s="1" t="n">
        <v>44600</v>
      </c>
      <c r="C335" s="1" t="n">
        <v>46066</v>
      </c>
      <c r="D335" t="inlineStr">
        <is>
          <t>ÖSTERGÖTLANDS LÄN</t>
        </is>
      </c>
      <c r="E335" t="inlineStr">
        <is>
          <t>LINKÖPING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48707-2023</t>
        </is>
      </c>
      <c r="B336" s="1" t="n">
        <v>45202</v>
      </c>
      <c r="C336" s="1" t="n">
        <v>46066</v>
      </c>
      <c r="D336" t="inlineStr">
        <is>
          <t>ÖSTERGÖTLANDS LÄN</t>
        </is>
      </c>
      <c r="E336" t="inlineStr">
        <is>
          <t>LINKÖPING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3042-2024</t>
        </is>
      </c>
      <c r="B337" s="1" t="n">
        <v>45316.35028935185</v>
      </c>
      <c r="C337" s="1" t="n">
        <v>46066</v>
      </c>
      <c r="D337" t="inlineStr">
        <is>
          <t>ÖSTERGÖTLANDS LÄN</t>
        </is>
      </c>
      <c r="E337" t="inlineStr">
        <is>
          <t>LINKÖPING</t>
        </is>
      </c>
      <c r="G337" t="n">
        <v>3.1</v>
      </c>
      <c r="H337" t="n">
        <v>0</v>
      </c>
      <c r="I337" t="n">
        <v>0</v>
      </c>
      <c r="J337" t="n">
        <v>0</v>
      </c>
      <c r="K337" t="n">
        <v>0</v>
      </c>
      <c r="L337" t="n">
        <v>0</v>
      </c>
      <c r="M337" t="n">
        <v>0</v>
      </c>
      <c r="N337" t="n">
        <v>0</v>
      </c>
      <c r="O337" t="n">
        <v>0</v>
      </c>
      <c r="P337" t="n">
        <v>0</v>
      </c>
      <c r="Q337" t="n">
        <v>0</v>
      </c>
      <c r="R337" s="2" t="inlineStr"/>
    </row>
    <row r="338" ht="15" customHeight="1">
      <c r="A338" t="inlineStr">
        <is>
          <t>A 35757-2025</t>
        </is>
      </c>
      <c r="B338" s="1" t="n">
        <v>45860.59876157407</v>
      </c>
      <c r="C338" s="1" t="n">
        <v>46066</v>
      </c>
      <c r="D338" t="inlineStr">
        <is>
          <t>ÖSTERGÖTLANDS LÄN</t>
        </is>
      </c>
      <c r="E338" t="inlineStr">
        <is>
          <t>LINKÖPING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35745-2025</t>
        </is>
      </c>
      <c r="B339" s="1" t="n">
        <v>45860.54739583333</v>
      </c>
      <c r="C339" s="1" t="n">
        <v>46066</v>
      </c>
      <c r="D339" t="inlineStr">
        <is>
          <t>ÖSTERGÖTLANDS LÄN</t>
        </is>
      </c>
      <c r="E339" t="inlineStr">
        <is>
          <t>LINKÖPING</t>
        </is>
      </c>
      <c r="G339" t="n">
        <v>4.4</v>
      </c>
      <c r="H339" t="n">
        <v>0</v>
      </c>
      <c r="I339" t="n">
        <v>0</v>
      </c>
      <c r="J339" t="n">
        <v>0</v>
      </c>
      <c r="K339" t="n">
        <v>0</v>
      </c>
      <c r="L339" t="n">
        <v>0</v>
      </c>
      <c r="M339" t="n">
        <v>0</v>
      </c>
      <c r="N339" t="n">
        <v>0</v>
      </c>
      <c r="O339" t="n">
        <v>0</v>
      </c>
      <c r="P339" t="n">
        <v>0</v>
      </c>
      <c r="Q339" t="n">
        <v>0</v>
      </c>
      <c r="R339" s="2" t="inlineStr"/>
    </row>
    <row r="340" ht="15" customHeight="1">
      <c r="A340" t="inlineStr">
        <is>
          <t>A 29293-2025</t>
        </is>
      </c>
      <c r="B340" s="1" t="n">
        <v>45824</v>
      </c>
      <c r="C340" s="1" t="n">
        <v>46066</v>
      </c>
      <c r="D340" t="inlineStr">
        <is>
          <t>ÖSTERGÖTLANDS LÄN</t>
        </is>
      </c>
      <c r="E340" t="inlineStr">
        <is>
          <t>LINKÖPING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35747-2025</t>
        </is>
      </c>
      <c r="B341" s="1" t="n">
        <v>45860.56385416666</v>
      </c>
      <c r="C341" s="1" t="n">
        <v>46066</v>
      </c>
      <c r="D341" t="inlineStr">
        <is>
          <t>ÖSTERGÖTLANDS LÄN</t>
        </is>
      </c>
      <c r="E341" t="inlineStr">
        <is>
          <t>LINKÖPING</t>
        </is>
      </c>
      <c r="G341" t="n">
        <v>2.4</v>
      </c>
      <c r="H341" t="n">
        <v>0</v>
      </c>
      <c r="I341" t="n">
        <v>0</v>
      </c>
      <c r="J341" t="n">
        <v>0</v>
      </c>
      <c r="K341" t="n">
        <v>0</v>
      </c>
      <c r="L341" t="n">
        <v>0</v>
      </c>
      <c r="M341" t="n">
        <v>0</v>
      </c>
      <c r="N341" t="n">
        <v>0</v>
      </c>
      <c r="O341" t="n">
        <v>0</v>
      </c>
      <c r="P341" t="n">
        <v>0</v>
      </c>
      <c r="Q341" t="n">
        <v>0</v>
      </c>
      <c r="R341" s="2" t="inlineStr"/>
    </row>
    <row r="342" ht="15" customHeight="1">
      <c r="A342" t="inlineStr">
        <is>
          <t>A 42624-2025</t>
        </is>
      </c>
      <c r="B342" s="1" t="n">
        <v>45905</v>
      </c>
      <c r="C342" s="1" t="n">
        <v>46066</v>
      </c>
      <c r="D342" t="inlineStr">
        <is>
          <t>ÖSTERGÖTLANDS LÄN</t>
        </is>
      </c>
      <c r="E342" t="inlineStr">
        <is>
          <t>LINKÖPING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42626-2025</t>
        </is>
      </c>
      <c r="B343" s="1" t="n">
        <v>45905</v>
      </c>
      <c r="C343" s="1" t="n">
        <v>46066</v>
      </c>
      <c r="D343" t="inlineStr">
        <is>
          <t>ÖSTERGÖTLANDS LÄN</t>
        </is>
      </c>
      <c r="E343" t="inlineStr">
        <is>
          <t>LINKÖPING</t>
        </is>
      </c>
      <c r="G343" t="n">
        <v>3.6</v>
      </c>
      <c r="H343" t="n">
        <v>0</v>
      </c>
      <c r="I343" t="n">
        <v>0</v>
      </c>
      <c r="J343" t="n">
        <v>0</v>
      </c>
      <c r="K343" t="n">
        <v>0</v>
      </c>
      <c r="L343" t="n">
        <v>0</v>
      </c>
      <c r="M343" t="n">
        <v>0</v>
      </c>
      <c r="N343" t="n">
        <v>0</v>
      </c>
      <c r="O343" t="n">
        <v>0</v>
      </c>
      <c r="P343" t="n">
        <v>0</v>
      </c>
      <c r="Q343" t="n">
        <v>0</v>
      </c>
      <c r="R343" s="2" t="inlineStr"/>
    </row>
    <row r="344" ht="15" customHeight="1">
      <c r="A344" t="inlineStr">
        <is>
          <t>A 12089-2025</t>
        </is>
      </c>
      <c r="B344" s="1" t="n">
        <v>45729</v>
      </c>
      <c r="C344" s="1" t="n">
        <v>46066</v>
      </c>
      <c r="D344" t="inlineStr">
        <is>
          <t>ÖSTERGÖTLANDS LÄN</t>
        </is>
      </c>
      <c r="E344" t="inlineStr">
        <is>
          <t>LINKÖPING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35759-2025</t>
        </is>
      </c>
      <c r="B345" s="1" t="n">
        <v>45860</v>
      </c>
      <c r="C345" s="1" t="n">
        <v>46066</v>
      </c>
      <c r="D345" t="inlineStr">
        <is>
          <t>ÖSTERGÖTLANDS LÄN</t>
        </is>
      </c>
      <c r="E345" t="inlineStr">
        <is>
          <t>LINKÖPING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15658-2023</t>
        </is>
      </c>
      <c r="B346" s="1" t="n">
        <v>45021.41194444444</v>
      </c>
      <c r="C346" s="1" t="n">
        <v>46066</v>
      </c>
      <c r="D346" t="inlineStr">
        <is>
          <t>ÖSTERGÖTLANDS LÄN</t>
        </is>
      </c>
      <c r="E346" t="inlineStr">
        <is>
          <t>LINKÖPING</t>
        </is>
      </c>
      <c r="G346" t="n">
        <v>1.4</v>
      </c>
      <c r="H346" t="n">
        <v>0</v>
      </c>
      <c r="I346" t="n">
        <v>0</v>
      </c>
      <c r="J346" t="n">
        <v>0</v>
      </c>
      <c r="K346" t="n">
        <v>0</v>
      </c>
      <c r="L346" t="n">
        <v>0</v>
      </c>
      <c r="M346" t="n">
        <v>0</v>
      </c>
      <c r="N346" t="n">
        <v>0</v>
      </c>
      <c r="O346" t="n">
        <v>0</v>
      </c>
      <c r="P346" t="n">
        <v>0</v>
      </c>
      <c r="Q346" t="n">
        <v>0</v>
      </c>
      <c r="R346" s="2" t="inlineStr"/>
    </row>
    <row r="347" ht="15" customHeight="1">
      <c r="A347" t="inlineStr">
        <is>
          <t>A 42623-2025</t>
        </is>
      </c>
      <c r="B347" s="1" t="n">
        <v>45905</v>
      </c>
      <c r="C347" s="1" t="n">
        <v>46066</v>
      </c>
      <c r="D347" t="inlineStr">
        <is>
          <t>ÖSTERGÖTLANDS LÄN</t>
        </is>
      </c>
      <c r="E347" t="inlineStr">
        <is>
          <t>LINKÖPING</t>
        </is>
      </c>
      <c r="G347" t="n">
        <v>1.9</v>
      </c>
      <c r="H347" t="n">
        <v>0</v>
      </c>
      <c r="I347" t="n">
        <v>0</v>
      </c>
      <c r="J347" t="n">
        <v>0</v>
      </c>
      <c r="K347" t="n">
        <v>0</v>
      </c>
      <c r="L347" t="n">
        <v>0</v>
      </c>
      <c r="M347" t="n">
        <v>0</v>
      </c>
      <c r="N347" t="n">
        <v>0</v>
      </c>
      <c r="O347" t="n">
        <v>0</v>
      </c>
      <c r="P347" t="n">
        <v>0</v>
      </c>
      <c r="Q347" t="n">
        <v>0</v>
      </c>
      <c r="R347" s="2" t="inlineStr"/>
    </row>
    <row r="348" ht="15" customHeight="1">
      <c r="A348" t="inlineStr">
        <is>
          <t>A 38886-2024</t>
        </is>
      </c>
      <c r="B348" s="1" t="n">
        <v>45547.66443287037</v>
      </c>
      <c r="C348" s="1" t="n">
        <v>46066</v>
      </c>
      <c r="D348" t="inlineStr">
        <is>
          <t>ÖSTERGÖTLANDS LÄN</t>
        </is>
      </c>
      <c r="E348" t="inlineStr">
        <is>
          <t>LINKÖPING</t>
        </is>
      </c>
      <c r="G348" t="n">
        <v>5.3</v>
      </c>
      <c r="H348" t="n">
        <v>0</v>
      </c>
      <c r="I348" t="n">
        <v>0</v>
      </c>
      <c r="J348" t="n">
        <v>0</v>
      </c>
      <c r="K348" t="n">
        <v>0</v>
      </c>
      <c r="L348" t="n">
        <v>0</v>
      </c>
      <c r="M348" t="n">
        <v>0</v>
      </c>
      <c r="N348" t="n">
        <v>0</v>
      </c>
      <c r="O348" t="n">
        <v>0</v>
      </c>
      <c r="P348" t="n">
        <v>0</v>
      </c>
      <c r="Q348" t="n">
        <v>0</v>
      </c>
      <c r="R348" s="2" t="inlineStr"/>
    </row>
    <row r="349" ht="15" customHeight="1">
      <c r="A349" t="inlineStr">
        <is>
          <t>A 51583-2024</t>
        </is>
      </c>
      <c r="B349" s="1" t="n">
        <v>45604.6397337963</v>
      </c>
      <c r="C349" s="1" t="n">
        <v>46066</v>
      </c>
      <c r="D349" t="inlineStr">
        <is>
          <t>ÖSTERGÖTLANDS LÄN</t>
        </is>
      </c>
      <c r="E349" t="inlineStr">
        <is>
          <t>LINKÖPING</t>
        </is>
      </c>
      <c r="F349" t="inlineStr">
        <is>
          <t>Övriga Aktiebolag</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64694-2023</t>
        </is>
      </c>
      <c r="B350" s="1" t="n">
        <v>45281</v>
      </c>
      <c r="C350" s="1" t="n">
        <v>46066</v>
      </c>
      <c r="D350" t="inlineStr">
        <is>
          <t>ÖSTERGÖTLANDS LÄN</t>
        </is>
      </c>
      <c r="E350" t="inlineStr">
        <is>
          <t>LINKÖPING</t>
        </is>
      </c>
      <c r="F350" t="inlineStr">
        <is>
          <t>Övriga statliga verk och myndigheter</t>
        </is>
      </c>
      <c r="G350" t="n">
        <v>4.9</v>
      </c>
      <c r="H350" t="n">
        <v>0</v>
      </c>
      <c r="I350" t="n">
        <v>0</v>
      </c>
      <c r="J350" t="n">
        <v>0</v>
      </c>
      <c r="K350" t="n">
        <v>0</v>
      </c>
      <c r="L350" t="n">
        <v>0</v>
      </c>
      <c r="M350" t="n">
        <v>0</v>
      </c>
      <c r="N350" t="n">
        <v>0</v>
      </c>
      <c r="O350" t="n">
        <v>0</v>
      </c>
      <c r="P350" t="n">
        <v>0</v>
      </c>
      <c r="Q350" t="n">
        <v>0</v>
      </c>
      <c r="R350" s="2" t="inlineStr"/>
    </row>
    <row r="351" ht="15" customHeight="1">
      <c r="A351" t="inlineStr">
        <is>
          <t>A 32602-2022</t>
        </is>
      </c>
      <c r="B351" s="1" t="n">
        <v>44783.43192129629</v>
      </c>
      <c r="C351" s="1" t="n">
        <v>46066</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62321-2022</t>
        </is>
      </c>
      <c r="B352" s="1" t="n">
        <v>44916</v>
      </c>
      <c r="C352" s="1" t="n">
        <v>46066</v>
      </c>
      <c r="D352" t="inlineStr">
        <is>
          <t>ÖSTERGÖTLANDS LÄN</t>
        </is>
      </c>
      <c r="E352" t="inlineStr">
        <is>
          <t>LINKÖPING</t>
        </is>
      </c>
      <c r="F352" t="inlineStr">
        <is>
          <t>Kommuner</t>
        </is>
      </c>
      <c r="G352" t="n">
        <v>5.3</v>
      </c>
      <c r="H352" t="n">
        <v>0</v>
      </c>
      <c r="I352" t="n">
        <v>0</v>
      </c>
      <c r="J352" t="n">
        <v>0</v>
      </c>
      <c r="K352" t="n">
        <v>0</v>
      </c>
      <c r="L352" t="n">
        <v>0</v>
      </c>
      <c r="M352" t="n">
        <v>0</v>
      </c>
      <c r="N352" t="n">
        <v>0</v>
      </c>
      <c r="O352" t="n">
        <v>0</v>
      </c>
      <c r="P352" t="n">
        <v>0</v>
      </c>
      <c r="Q352" t="n">
        <v>0</v>
      </c>
      <c r="R352" s="2" t="inlineStr"/>
    </row>
    <row r="353" ht="15" customHeight="1">
      <c r="A353" t="inlineStr">
        <is>
          <t>A 1084-2023</t>
        </is>
      </c>
      <c r="B353" s="1" t="n">
        <v>44929</v>
      </c>
      <c r="C353" s="1" t="n">
        <v>46066</v>
      </c>
      <c r="D353" t="inlineStr">
        <is>
          <t>ÖSTERGÖTLANDS LÄN</t>
        </is>
      </c>
      <c r="E353" t="inlineStr">
        <is>
          <t>LINKÖPING</t>
        </is>
      </c>
      <c r="G353" t="n">
        <v>10.4</v>
      </c>
      <c r="H353" t="n">
        <v>0</v>
      </c>
      <c r="I353" t="n">
        <v>0</v>
      </c>
      <c r="J353" t="n">
        <v>0</v>
      </c>
      <c r="K353" t="n">
        <v>0</v>
      </c>
      <c r="L353" t="n">
        <v>0</v>
      </c>
      <c r="M353" t="n">
        <v>0</v>
      </c>
      <c r="N353" t="n">
        <v>0</v>
      </c>
      <c r="O353" t="n">
        <v>0</v>
      </c>
      <c r="P353" t="n">
        <v>0</v>
      </c>
      <c r="Q353" t="n">
        <v>0</v>
      </c>
      <c r="R353" s="2" t="inlineStr"/>
    </row>
    <row r="354" ht="15" customHeight="1">
      <c r="A354" t="inlineStr">
        <is>
          <t>A 267-2023</t>
        </is>
      </c>
      <c r="B354" s="1" t="n">
        <v>44928.80907407407</v>
      </c>
      <c r="C354" s="1" t="n">
        <v>46066</v>
      </c>
      <c r="D354" t="inlineStr">
        <is>
          <t>ÖSTERGÖTLANDS LÄN</t>
        </is>
      </c>
      <c r="E354" t="inlineStr">
        <is>
          <t>LINKÖPING</t>
        </is>
      </c>
      <c r="G354" t="n">
        <v>2.7</v>
      </c>
      <c r="H354" t="n">
        <v>0</v>
      </c>
      <c r="I354" t="n">
        <v>0</v>
      </c>
      <c r="J354" t="n">
        <v>0</v>
      </c>
      <c r="K354" t="n">
        <v>0</v>
      </c>
      <c r="L354" t="n">
        <v>0</v>
      </c>
      <c r="M354" t="n">
        <v>0</v>
      </c>
      <c r="N354" t="n">
        <v>0</v>
      </c>
      <c r="O354" t="n">
        <v>0</v>
      </c>
      <c r="P354" t="n">
        <v>0</v>
      </c>
      <c r="Q354" t="n">
        <v>0</v>
      </c>
      <c r="R354" s="2" t="inlineStr"/>
    </row>
    <row r="355" ht="15" customHeight="1">
      <c r="A355" t="inlineStr">
        <is>
          <t>A 940-2023</t>
        </is>
      </c>
      <c r="B355" s="1" t="n">
        <v>44933</v>
      </c>
      <c r="C355" s="1" t="n">
        <v>46066</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6369-2023</t>
        </is>
      </c>
      <c r="B356" s="1" t="n">
        <v>44965.61106481482</v>
      </c>
      <c r="C356" s="1" t="n">
        <v>46066</v>
      </c>
      <c r="D356" t="inlineStr">
        <is>
          <t>ÖSTERGÖTLANDS LÄN</t>
        </is>
      </c>
      <c r="E356" t="inlineStr">
        <is>
          <t>LINKÖPING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30980-2022</t>
        </is>
      </c>
      <c r="B357" s="1" t="n">
        <v>44768</v>
      </c>
      <c r="C357" s="1" t="n">
        <v>46066</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60007-2022</t>
        </is>
      </c>
      <c r="B358" s="1" t="n">
        <v>44909.47282407407</v>
      </c>
      <c r="C358" s="1" t="n">
        <v>46066</v>
      </c>
      <c r="D358" t="inlineStr">
        <is>
          <t>ÖSTERGÖTLANDS LÄN</t>
        </is>
      </c>
      <c r="E358" t="inlineStr">
        <is>
          <t>LINKÖPING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50799-2022</t>
        </is>
      </c>
      <c r="B359" s="1" t="n">
        <v>44862</v>
      </c>
      <c r="C359" s="1" t="n">
        <v>46066</v>
      </c>
      <c r="D359" t="inlineStr">
        <is>
          <t>ÖSTERGÖTLANDS LÄN</t>
        </is>
      </c>
      <c r="E359" t="inlineStr">
        <is>
          <t>LINKÖPING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56064-2022</t>
        </is>
      </c>
      <c r="B360" s="1" t="n">
        <v>44889.59107638889</v>
      </c>
      <c r="C360" s="1" t="n">
        <v>46066</v>
      </c>
      <c r="D360" t="inlineStr">
        <is>
          <t>ÖSTERGÖTLANDS LÄN</t>
        </is>
      </c>
      <c r="E360" t="inlineStr">
        <is>
          <t>LINKÖPING</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47703-2023</t>
        </is>
      </c>
      <c r="B361" s="1" t="n">
        <v>45203</v>
      </c>
      <c r="C361" s="1" t="n">
        <v>46066</v>
      </c>
      <c r="D361" t="inlineStr">
        <is>
          <t>ÖSTERGÖTLANDS LÄN</t>
        </is>
      </c>
      <c r="E361" t="inlineStr">
        <is>
          <t>LINKÖPING</t>
        </is>
      </c>
      <c r="G361" t="n">
        <v>4.1</v>
      </c>
      <c r="H361" t="n">
        <v>0</v>
      </c>
      <c r="I361" t="n">
        <v>0</v>
      </c>
      <c r="J361" t="n">
        <v>0</v>
      </c>
      <c r="K361" t="n">
        <v>0</v>
      </c>
      <c r="L361" t="n">
        <v>0</v>
      </c>
      <c r="M361" t="n">
        <v>0</v>
      </c>
      <c r="N361" t="n">
        <v>0</v>
      </c>
      <c r="O361" t="n">
        <v>0</v>
      </c>
      <c r="P361" t="n">
        <v>0</v>
      </c>
      <c r="Q361" t="n">
        <v>0</v>
      </c>
      <c r="R361" s="2" t="inlineStr"/>
    </row>
    <row r="362" ht="15" customHeight="1">
      <c r="A362" t="inlineStr">
        <is>
          <t>A 37057-2025</t>
        </is>
      </c>
      <c r="B362" s="1" t="n">
        <v>45875.37489583333</v>
      </c>
      <c r="C362" s="1" t="n">
        <v>46066</v>
      </c>
      <c r="D362" t="inlineStr">
        <is>
          <t>ÖSTERGÖTLANDS LÄN</t>
        </is>
      </c>
      <c r="E362" t="inlineStr">
        <is>
          <t>LINKÖPING</t>
        </is>
      </c>
      <c r="G362" t="n">
        <v>3.3</v>
      </c>
      <c r="H362" t="n">
        <v>0</v>
      </c>
      <c r="I362" t="n">
        <v>0</v>
      </c>
      <c r="J362" t="n">
        <v>0</v>
      </c>
      <c r="K362" t="n">
        <v>0</v>
      </c>
      <c r="L362" t="n">
        <v>0</v>
      </c>
      <c r="M362" t="n">
        <v>0</v>
      </c>
      <c r="N362" t="n">
        <v>0</v>
      </c>
      <c r="O362" t="n">
        <v>0</v>
      </c>
      <c r="P362" t="n">
        <v>0</v>
      </c>
      <c r="Q362" t="n">
        <v>0</v>
      </c>
      <c r="R362" s="2" t="inlineStr"/>
    </row>
    <row r="363" ht="15" customHeight="1">
      <c r="A363" t="inlineStr">
        <is>
          <t>A 16111-2022</t>
        </is>
      </c>
      <c r="B363" s="1" t="n">
        <v>44665</v>
      </c>
      <c r="C363" s="1" t="n">
        <v>46066</v>
      </c>
      <c r="D363" t="inlineStr">
        <is>
          <t>ÖSTERGÖTLANDS LÄN</t>
        </is>
      </c>
      <c r="E363" t="inlineStr">
        <is>
          <t>LINKÖPING</t>
        </is>
      </c>
      <c r="F363" t="inlineStr">
        <is>
          <t>Övriga Aktiebolag</t>
        </is>
      </c>
      <c r="G363" t="n">
        <v>2.9</v>
      </c>
      <c r="H363" t="n">
        <v>0</v>
      </c>
      <c r="I363" t="n">
        <v>0</v>
      </c>
      <c r="J363" t="n">
        <v>0</v>
      </c>
      <c r="K363" t="n">
        <v>0</v>
      </c>
      <c r="L363" t="n">
        <v>0</v>
      </c>
      <c r="M363" t="n">
        <v>0</v>
      </c>
      <c r="N363" t="n">
        <v>0</v>
      </c>
      <c r="O363" t="n">
        <v>0</v>
      </c>
      <c r="P363" t="n">
        <v>0</v>
      </c>
      <c r="Q363" t="n">
        <v>0</v>
      </c>
      <c r="R363" s="2" t="inlineStr"/>
    </row>
    <row r="364" ht="15" customHeight="1">
      <c r="A364" t="inlineStr">
        <is>
          <t>A 48962-2022</t>
        </is>
      </c>
      <c r="B364" s="1" t="n">
        <v>44860.31635416667</v>
      </c>
      <c r="C364" s="1" t="n">
        <v>46066</v>
      </c>
      <c r="D364" t="inlineStr">
        <is>
          <t>ÖSTERGÖTLANDS LÄN</t>
        </is>
      </c>
      <c r="E364" t="inlineStr">
        <is>
          <t>LINKÖPING</t>
        </is>
      </c>
      <c r="G364" t="n">
        <v>2.9</v>
      </c>
      <c r="H364" t="n">
        <v>0</v>
      </c>
      <c r="I364" t="n">
        <v>0</v>
      </c>
      <c r="J364" t="n">
        <v>0</v>
      </c>
      <c r="K364" t="n">
        <v>0</v>
      </c>
      <c r="L364" t="n">
        <v>0</v>
      </c>
      <c r="M364" t="n">
        <v>0</v>
      </c>
      <c r="N364" t="n">
        <v>0</v>
      </c>
      <c r="O364" t="n">
        <v>0</v>
      </c>
      <c r="P364" t="n">
        <v>0</v>
      </c>
      <c r="Q364" t="n">
        <v>0</v>
      </c>
      <c r="R364" s="2" t="inlineStr"/>
    </row>
    <row r="365" ht="15" customHeight="1">
      <c r="A365" t="inlineStr">
        <is>
          <t>A 27891-2021</t>
        </is>
      </c>
      <c r="B365" s="1" t="n">
        <v>44354.65108796296</v>
      </c>
      <c r="C365" s="1" t="n">
        <v>46066</v>
      </c>
      <c r="D365" t="inlineStr">
        <is>
          <t>ÖSTERGÖTLANDS LÄN</t>
        </is>
      </c>
      <c r="E365" t="inlineStr">
        <is>
          <t>LINKÖPING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1268-2023</t>
        </is>
      </c>
      <c r="B366" s="1" t="n">
        <v>44936</v>
      </c>
      <c r="C366" s="1" t="n">
        <v>46066</v>
      </c>
      <c r="D366" t="inlineStr">
        <is>
          <t>ÖSTERGÖTLANDS LÄN</t>
        </is>
      </c>
      <c r="E366" t="inlineStr">
        <is>
          <t>LINKÖPING</t>
        </is>
      </c>
      <c r="G366" t="n">
        <v>4.6</v>
      </c>
      <c r="H366" t="n">
        <v>0</v>
      </c>
      <c r="I366" t="n">
        <v>0</v>
      </c>
      <c r="J366" t="n">
        <v>0</v>
      </c>
      <c r="K366" t="n">
        <v>0</v>
      </c>
      <c r="L366" t="n">
        <v>0</v>
      </c>
      <c r="M366" t="n">
        <v>0</v>
      </c>
      <c r="N366" t="n">
        <v>0</v>
      </c>
      <c r="O366" t="n">
        <v>0</v>
      </c>
      <c r="P366" t="n">
        <v>0</v>
      </c>
      <c r="Q366" t="n">
        <v>0</v>
      </c>
      <c r="R366" s="2" t="inlineStr"/>
    </row>
    <row r="367" ht="15" customHeight="1">
      <c r="A367" t="inlineStr">
        <is>
          <t>A 62687-2023</t>
        </is>
      </c>
      <c r="B367" s="1" t="n">
        <v>45271</v>
      </c>
      <c r="C367" s="1" t="n">
        <v>46066</v>
      </c>
      <c r="D367" t="inlineStr">
        <is>
          <t>ÖSTERGÖTLANDS LÄN</t>
        </is>
      </c>
      <c r="E367" t="inlineStr">
        <is>
          <t>LINKÖPING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34641-2022</t>
        </is>
      </c>
      <c r="B368" s="1" t="n">
        <v>44795</v>
      </c>
      <c r="C368" s="1" t="n">
        <v>46066</v>
      </c>
      <c r="D368" t="inlineStr">
        <is>
          <t>ÖSTERGÖTLANDS LÄN</t>
        </is>
      </c>
      <c r="E368" t="inlineStr">
        <is>
          <t>LINKÖPING</t>
        </is>
      </c>
      <c r="G368" t="n">
        <v>2.4</v>
      </c>
      <c r="H368" t="n">
        <v>0</v>
      </c>
      <c r="I368" t="n">
        <v>0</v>
      </c>
      <c r="J368" t="n">
        <v>0</v>
      </c>
      <c r="K368" t="n">
        <v>0</v>
      </c>
      <c r="L368" t="n">
        <v>0</v>
      </c>
      <c r="M368" t="n">
        <v>0</v>
      </c>
      <c r="N368" t="n">
        <v>0</v>
      </c>
      <c r="O368" t="n">
        <v>0</v>
      </c>
      <c r="P368" t="n">
        <v>0</v>
      </c>
      <c r="Q368" t="n">
        <v>0</v>
      </c>
      <c r="R368" s="2" t="inlineStr"/>
    </row>
    <row r="369" ht="15" customHeight="1">
      <c r="A369" t="inlineStr">
        <is>
          <t>A 25829-2025</t>
        </is>
      </c>
      <c r="B369" s="1" t="n">
        <v>45804.44505787037</v>
      </c>
      <c r="C369" s="1" t="n">
        <v>46066</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38046-2025</t>
        </is>
      </c>
      <c r="B370" s="1" t="n">
        <v>45882.39939814815</v>
      </c>
      <c r="C370" s="1" t="n">
        <v>46066</v>
      </c>
      <c r="D370" t="inlineStr">
        <is>
          <t>ÖSTERGÖTLANDS LÄN</t>
        </is>
      </c>
      <c r="E370" t="inlineStr">
        <is>
          <t>LINKÖPING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938-2023</t>
        </is>
      </c>
      <c r="B371" s="1" t="n">
        <v>44933</v>
      </c>
      <c r="C371" s="1" t="n">
        <v>46066</v>
      </c>
      <c r="D371" t="inlineStr">
        <is>
          <t>ÖSTERGÖTLANDS LÄN</t>
        </is>
      </c>
      <c r="E371" t="inlineStr">
        <is>
          <t>LINKÖPING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2389-2023</t>
        </is>
      </c>
      <c r="B372" s="1" t="n">
        <v>44942</v>
      </c>
      <c r="C372" s="1" t="n">
        <v>46066</v>
      </c>
      <c r="D372" t="inlineStr">
        <is>
          <t>ÖSTERGÖTLANDS LÄN</t>
        </is>
      </c>
      <c r="E372" t="inlineStr">
        <is>
          <t>LINKÖPING</t>
        </is>
      </c>
      <c r="G372" t="n">
        <v>3.3</v>
      </c>
      <c r="H372" t="n">
        <v>0</v>
      </c>
      <c r="I372" t="n">
        <v>0</v>
      </c>
      <c r="J372" t="n">
        <v>0</v>
      </c>
      <c r="K372" t="n">
        <v>0</v>
      </c>
      <c r="L372" t="n">
        <v>0</v>
      </c>
      <c r="M372" t="n">
        <v>0</v>
      </c>
      <c r="N372" t="n">
        <v>0</v>
      </c>
      <c r="O372" t="n">
        <v>0</v>
      </c>
      <c r="P372" t="n">
        <v>0</v>
      </c>
      <c r="Q372" t="n">
        <v>0</v>
      </c>
      <c r="R372" s="2" t="inlineStr"/>
    </row>
    <row r="373" ht="15" customHeight="1">
      <c r="A373" t="inlineStr">
        <is>
          <t>A 48-2024</t>
        </is>
      </c>
      <c r="B373" s="1" t="n">
        <v>45293</v>
      </c>
      <c r="C373" s="1" t="n">
        <v>46066</v>
      </c>
      <c r="D373" t="inlineStr">
        <is>
          <t>ÖSTERGÖTLANDS LÄN</t>
        </is>
      </c>
      <c r="E373" t="inlineStr">
        <is>
          <t>LINKÖPING</t>
        </is>
      </c>
      <c r="G373" t="n">
        <v>4.6</v>
      </c>
      <c r="H373" t="n">
        <v>0</v>
      </c>
      <c r="I373" t="n">
        <v>0</v>
      </c>
      <c r="J373" t="n">
        <v>0</v>
      </c>
      <c r="K373" t="n">
        <v>0</v>
      </c>
      <c r="L373" t="n">
        <v>0</v>
      </c>
      <c r="M373" t="n">
        <v>0</v>
      </c>
      <c r="N373" t="n">
        <v>0</v>
      </c>
      <c r="O373" t="n">
        <v>0</v>
      </c>
      <c r="P373" t="n">
        <v>0</v>
      </c>
      <c r="Q373" t="n">
        <v>0</v>
      </c>
      <c r="R373" s="2" t="inlineStr"/>
    </row>
    <row r="374" ht="15" customHeight="1">
      <c r="A374" t="inlineStr">
        <is>
          <t>A 45771-2023</t>
        </is>
      </c>
      <c r="B374" s="1" t="n">
        <v>45195.4384375</v>
      </c>
      <c r="C374" s="1" t="n">
        <v>46066</v>
      </c>
      <c r="D374" t="inlineStr">
        <is>
          <t>ÖSTERGÖTLANDS LÄN</t>
        </is>
      </c>
      <c r="E374" t="inlineStr">
        <is>
          <t>LINKÖPING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30547-2023</t>
        </is>
      </c>
      <c r="B375" s="1" t="n">
        <v>45111.75905092592</v>
      </c>
      <c r="C375" s="1" t="n">
        <v>46066</v>
      </c>
      <c r="D375" t="inlineStr">
        <is>
          <t>ÖSTERGÖTLANDS LÄN</t>
        </is>
      </c>
      <c r="E375" t="inlineStr">
        <is>
          <t>LINKÖPING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40502-2024</t>
        </is>
      </c>
      <c r="B376" s="1" t="n">
        <v>45555.57263888889</v>
      </c>
      <c r="C376" s="1" t="n">
        <v>46066</v>
      </c>
      <c r="D376" t="inlineStr">
        <is>
          <t>ÖSTERGÖTLANDS LÄN</t>
        </is>
      </c>
      <c r="E376" t="inlineStr">
        <is>
          <t>LINKÖPING</t>
        </is>
      </c>
      <c r="F376" t="inlineStr">
        <is>
          <t>Allmännings- och besparingsskogar</t>
        </is>
      </c>
      <c r="G376" t="n">
        <v>17.5</v>
      </c>
      <c r="H376" t="n">
        <v>0</v>
      </c>
      <c r="I376" t="n">
        <v>0</v>
      </c>
      <c r="J376" t="n">
        <v>0</v>
      </c>
      <c r="K376" t="n">
        <v>0</v>
      </c>
      <c r="L376" t="n">
        <v>0</v>
      </c>
      <c r="M376" t="n">
        <v>0</v>
      </c>
      <c r="N376" t="n">
        <v>0</v>
      </c>
      <c r="O376" t="n">
        <v>0</v>
      </c>
      <c r="P376" t="n">
        <v>0</v>
      </c>
      <c r="Q376" t="n">
        <v>0</v>
      </c>
      <c r="R376" s="2" t="inlineStr"/>
    </row>
    <row r="377" ht="15" customHeight="1">
      <c r="A377" t="inlineStr">
        <is>
          <t>A 44170-2025</t>
        </is>
      </c>
      <c r="B377" s="1" t="n">
        <v>45915.59864583334</v>
      </c>
      <c r="C377" s="1" t="n">
        <v>46066</v>
      </c>
      <c r="D377" t="inlineStr">
        <is>
          <t>ÖSTERGÖTLANDS LÄN</t>
        </is>
      </c>
      <c r="E377" t="inlineStr">
        <is>
          <t>LINKÖPING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43755-2025</t>
        </is>
      </c>
      <c r="B378" s="1" t="n">
        <v>45912.47329861111</v>
      </c>
      <c r="C378" s="1" t="n">
        <v>46066</v>
      </c>
      <c r="D378" t="inlineStr">
        <is>
          <t>ÖSTERGÖTLANDS LÄN</t>
        </is>
      </c>
      <c r="E378" t="inlineStr">
        <is>
          <t>LINKÖPING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43758-2025</t>
        </is>
      </c>
      <c r="B379" s="1" t="n">
        <v>45912.47711805555</v>
      </c>
      <c r="C379" s="1" t="n">
        <v>46066</v>
      </c>
      <c r="D379" t="inlineStr">
        <is>
          <t>ÖSTERGÖTLANDS LÄN</t>
        </is>
      </c>
      <c r="E379" t="inlineStr">
        <is>
          <t>LINKÖPING</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43753-2025</t>
        </is>
      </c>
      <c r="B380" s="1" t="n">
        <v>45912.4715625</v>
      </c>
      <c r="C380" s="1" t="n">
        <v>46066</v>
      </c>
      <c r="D380" t="inlineStr">
        <is>
          <t>ÖSTERGÖTLANDS LÄN</t>
        </is>
      </c>
      <c r="E380" t="inlineStr">
        <is>
          <t>LINKÖPING</t>
        </is>
      </c>
      <c r="F380" t="inlineStr">
        <is>
          <t>Sveaskog</t>
        </is>
      </c>
      <c r="G380" t="n">
        <v>1.9</v>
      </c>
      <c r="H380" t="n">
        <v>0</v>
      </c>
      <c r="I380" t="n">
        <v>0</v>
      </c>
      <c r="J380" t="n">
        <v>0</v>
      </c>
      <c r="K380" t="n">
        <v>0</v>
      </c>
      <c r="L380" t="n">
        <v>0</v>
      </c>
      <c r="M380" t="n">
        <v>0</v>
      </c>
      <c r="N380" t="n">
        <v>0</v>
      </c>
      <c r="O380" t="n">
        <v>0</v>
      </c>
      <c r="P380" t="n">
        <v>0</v>
      </c>
      <c r="Q380" t="n">
        <v>0</v>
      </c>
      <c r="R380" s="2" t="inlineStr"/>
    </row>
    <row r="381" ht="15" customHeight="1">
      <c r="A381" t="inlineStr">
        <is>
          <t>A 24464-2023</t>
        </is>
      </c>
      <c r="B381" s="1" t="n">
        <v>45082.58068287037</v>
      </c>
      <c r="C381" s="1" t="n">
        <v>46066</v>
      </c>
      <c r="D381" t="inlineStr">
        <is>
          <t>ÖSTERGÖTLANDS LÄN</t>
        </is>
      </c>
      <c r="E381" t="inlineStr">
        <is>
          <t>LINKÖPING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24467-2023</t>
        </is>
      </c>
      <c r="B382" s="1" t="n">
        <v>45082</v>
      </c>
      <c r="C382" s="1" t="n">
        <v>46066</v>
      </c>
      <c r="D382" t="inlineStr">
        <is>
          <t>ÖSTERGÖTLANDS LÄN</t>
        </is>
      </c>
      <c r="E382" t="inlineStr">
        <is>
          <t>LINKÖPING</t>
        </is>
      </c>
      <c r="G382" t="n">
        <v>2.4</v>
      </c>
      <c r="H382" t="n">
        <v>0</v>
      </c>
      <c r="I382" t="n">
        <v>0</v>
      </c>
      <c r="J382" t="n">
        <v>0</v>
      </c>
      <c r="K382" t="n">
        <v>0</v>
      </c>
      <c r="L382" t="n">
        <v>0</v>
      </c>
      <c r="M382" t="n">
        <v>0</v>
      </c>
      <c r="N382" t="n">
        <v>0</v>
      </c>
      <c r="O382" t="n">
        <v>0</v>
      </c>
      <c r="P382" t="n">
        <v>0</v>
      </c>
      <c r="Q382" t="n">
        <v>0</v>
      </c>
      <c r="R382" s="2" t="inlineStr"/>
    </row>
    <row r="383" ht="15" customHeight="1">
      <c r="A383" t="inlineStr">
        <is>
          <t>A 48389-2024</t>
        </is>
      </c>
      <c r="B383" s="1" t="n">
        <v>45590.59991898148</v>
      </c>
      <c r="C383" s="1" t="n">
        <v>46066</v>
      </c>
      <c r="D383" t="inlineStr">
        <is>
          <t>ÖSTERGÖTLANDS LÄN</t>
        </is>
      </c>
      <c r="E383" t="inlineStr">
        <is>
          <t>LINKÖPING</t>
        </is>
      </c>
      <c r="G383" t="n">
        <v>2.6</v>
      </c>
      <c r="H383" t="n">
        <v>0</v>
      </c>
      <c r="I383" t="n">
        <v>0</v>
      </c>
      <c r="J383" t="n">
        <v>0</v>
      </c>
      <c r="K383" t="n">
        <v>0</v>
      </c>
      <c r="L383" t="n">
        <v>0</v>
      </c>
      <c r="M383" t="n">
        <v>0</v>
      </c>
      <c r="N383" t="n">
        <v>0</v>
      </c>
      <c r="O383" t="n">
        <v>0</v>
      </c>
      <c r="P383" t="n">
        <v>0</v>
      </c>
      <c r="Q383" t="n">
        <v>0</v>
      </c>
      <c r="R383" s="2" t="inlineStr"/>
    </row>
    <row r="384" ht="15" customHeight="1">
      <c r="A384" t="inlineStr">
        <is>
          <t>A 56792-2023</t>
        </is>
      </c>
      <c r="B384" s="1" t="n">
        <v>45244</v>
      </c>
      <c r="C384" s="1" t="n">
        <v>46066</v>
      </c>
      <c r="D384" t="inlineStr">
        <is>
          <t>ÖSTERGÖTLANDS LÄN</t>
        </is>
      </c>
      <c r="E384" t="inlineStr">
        <is>
          <t>LINKÖPING</t>
        </is>
      </c>
      <c r="F384" t="inlineStr">
        <is>
          <t>Övriga Aktiebolag</t>
        </is>
      </c>
      <c r="G384" t="n">
        <v>0.9</v>
      </c>
      <c r="H384" t="n">
        <v>0</v>
      </c>
      <c r="I384" t="n">
        <v>0</v>
      </c>
      <c r="J384" t="n">
        <v>0</v>
      </c>
      <c r="K384" t="n">
        <v>0</v>
      </c>
      <c r="L384" t="n">
        <v>0</v>
      </c>
      <c r="M384" t="n">
        <v>0</v>
      </c>
      <c r="N384" t="n">
        <v>0</v>
      </c>
      <c r="O384" t="n">
        <v>0</v>
      </c>
      <c r="P384" t="n">
        <v>0</v>
      </c>
      <c r="Q384" t="n">
        <v>0</v>
      </c>
      <c r="R384" s="2" t="inlineStr"/>
    </row>
    <row r="385" ht="15" customHeight="1">
      <c r="A385" t="inlineStr">
        <is>
          <t>A 44759-2025</t>
        </is>
      </c>
      <c r="B385" s="1" t="n">
        <v>45917.7152662037</v>
      </c>
      <c r="C385" s="1" t="n">
        <v>46066</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39017-2021</t>
        </is>
      </c>
      <c r="B386" s="1" t="n">
        <v>44412</v>
      </c>
      <c r="C386" s="1" t="n">
        <v>46066</v>
      </c>
      <c r="D386" t="inlineStr">
        <is>
          <t>ÖSTERGÖTLANDS LÄN</t>
        </is>
      </c>
      <c r="E386" t="inlineStr">
        <is>
          <t>LINKÖPING</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44764-2025</t>
        </is>
      </c>
      <c r="B387" s="1" t="n">
        <v>45917.72821759259</v>
      </c>
      <c r="C387" s="1" t="n">
        <v>46066</v>
      </c>
      <c r="D387" t="inlineStr">
        <is>
          <t>ÖSTERGÖTLANDS LÄN</t>
        </is>
      </c>
      <c r="E387" t="inlineStr">
        <is>
          <t>LINKÖPING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61281-2021</t>
        </is>
      </c>
      <c r="B388" s="1" t="n">
        <v>44498.60736111111</v>
      </c>
      <c r="C388" s="1" t="n">
        <v>46066</v>
      </c>
      <c r="D388" t="inlineStr">
        <is>
          <t>ÖSTERGÖTLANDS LÄN</t>
        </is>
      </c>
      <c r="E388" t="inlineStr">
        <is>
          <t>LINKÖPING</t>
        </is>
      </c>
      <c r="G388" t="n">
        <v>4.5</v>
      </c>
      <c r="H388" t="n">
        <v>0</v>
      </c>
      <c r="I388" t="n">
        <v>0</v>
      </c>
      <c r="J388" t="n">
        <v>0</v>
      </c>
      <c r="K388" t="n">
        <v>0</v>
      </c>
      <c r="L388" t="n">
        <v>0</v>
      </c>
      <c r="M388" t="n">
        <v>0</v>
      </c>
      <c r="N388" t="n">
        <v>0</v>
      </c>
      <c r="O388" t="n">
        <v>0</v>
      </c>
      <c r="P388" t="n">
        <v>0</v>
      </c>
      <c r="Q388" t="n">
        <v>0</v>
      </c>
      <c r="R388" s="2" t="inlineStr"/>
    </row>
    <row r="389" ht="15" customHeight="1">
      <c r="A389" t="inlineStr">
        <is>
          <t>A 1260-2023</t>
        </is>
      </c>
      <c r="B389" s="1" t="n">
        <v>44936</v>
      </c>
      <c r="C389" s="1" t="n">
        <v>46066</v>
      </c>
      <c r="D389" t="inlineStr">
        <is>
          <t>ÖSTERGÖTLANDS LÄN</t>
        </is>
      </c>
      <c r="E389" t="inlineStr">
        <is>
          <t>LINKÖPING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25292-2021</t>
        </is>
      </c>
      <c r="B390" s="1" t="n">
        <v>44342</v>
      </c>
      <c r="C390" s="1" t="n">
        <v>46066</v>
      </c>
      <c r="D390" t="inlineStr">
        <is>
          <t>ÖSTERGÖTLANDS LÄN</t>
        </is>
      </c>
      <c r="E390" t="inlineStr">
        <is>
          <t>LINKÖPING</t>
        </is>
      </c>
      <c r="F390" t="inlineStr">
        <is>
          <t>Övriga Aktiebolag</t>
        </is>
      </c>
      <c r="G390" t="n">
        <v>12.8</v>
      </c>
      <c r="H390" t="n">
        <v>0</v>
      </c>
      <c r="I390" t="n">
        <v>0</v>
      </c>
      <c r="J390" t="n">
        <v>0</v>
      </c>
      <c r="K390" t="n">
        <v>0</v>
      </c>
      <c r="L390" t="n">
        <v>0</v>
      </c>
      <c r="M390" t="n">
        <v>0</v>
      </c>
      <c r="N390" t="n">
        <v>0</v>
      </c>
      <c r="O390" t="n">
        <v>0</v>
      </c>
      <c r="P390" t="n">
        <v>0</v>
      </c>
      <c r="Q390" t="n">
        <v>0</v>
      </c>
      <c r="R390" s="2" t="inlineStr"/>
    </row>
    <row r="391" ht="15" customHeight="1">
      <c r="A391" t="inlineStr">
        <is>
          <t>A 1355-2023</t>
        </is>
      </c>
      <c r="B391" s="1" t="n">
        <v>44931</v>
      </c>
      <c r="C391" s="1" t="n">
        <v>46066</v>
      </c>
      <c r="D391" t="inlineStr">
        <is>
          <t>ÖSTERGÖTLANDS LÄN</t>
        </is>
      </c>
      <c r="E391" t="inlineStr">
        <is>
          <t>LINKÖPING</t>
        </is>
      </c>
      <c r="G391" t="n">
        <v>4</v>
      </c>
      <c r="H391" t="n">
        <v>0</v>
      </c>
      <c r="I391" t="n">
        <v>0</v>
      </c>
      <c r="J391" t="n">
        <v>0</v>
      </c>
      <c r="K391" t="n">
        <v>0</v>
      </c>
      <c r="L391" t="n">
        <v>0</v>
      </c>
      <c r="M391" t="n">
        <v>0</v>
      </c>
      <c r="N391" t="n">
        <v>0</v>
      </c>
      <c r="O391" t="n">
        <v>0</v>
      </c>
      <c r="P391" t="n">
        <v>0</v>
      </c>
      <c r="Q391" t="n">
        <v>0</v>
      </c>
      <c r="R391" s="2" t="inlineStr"/>
    </row>
    <row r="392" ht="15" customHeight="1">
      <c r="A392" t="inlineStr">
        <is>
          <t>A 63935-2021</t>
        </is>
      </c>
      <c r="B392" s="1" t="n">
        <v>44509</v>
      </c>
      <c r="C392" s="1" t="n">
        <v>46066</v>
      </c>
      <c r="D392" t="inlineStr">
        <is>
          <t>ÖSTERGÖTLANDS LÄN</t>
        </is>
      </c>
      <c r="E392" t="inlineStr">
        <is>
          <t>LINKÖPING</t>
        </is>
      </c>
      <c r="F392" t="inlineStr">
        <is>
          <t>Övriga statliga verk och myndigheter</t>
        </is>
      </c>
      <c r="G392" t="n">
        <v>2.8</v>
      </c>
      <c r="H392" t="n">
        <v>0</v>
      </c>
      <c r="I392" t="n">
        <v>0</v>
      </c>
      <c r="J392" t="n">
        <v>0</v>
      </c>
      <c r="K392" t="n">
        <v>0</v>
      </c>
      <c r="L392" t="n">
        <v>0</v>
      </c>
      <c r="M392" t="n">
        <v>0</v>
      </c>
      <c r="N392" t="n">
        <v>0</v>
      </c>
      <c r="O392" t="n">
        <v>0</v>
      </c>
      <c r="P392" t="n">
        <v>0</v>
      </c>
      <c r="Q392" t="n">
        <v>0</v>
      </c>
      <c r="R392" s="2" t="inlineStr"/>
    </row>
    <row r="393" ht="15" customHeight="1">
      <c r="A393" t="inlineStr">
        <is>
          <t>A 38971-2025</t>
        </is>
      </c>
      <c r="B393" s="1" t="n">
        <v>45887.71827546296</v>
      </c>
      <c r="C393" s="1" t="n">
        <v>46066</v>
      </c>
      <c r="D393" t="inlineStr">
        <is>
          <t>ÖSTERGÖTLANDS LÄN</t>
        </is>
      </c>
      <c r="E393" t="inlineStr">
        <is>
          <t>LINKÖPING</t>
        </is>
      </c>
      <c r="G393" t="n">
        <v>3.9</v>
      </c>
      <c r="H393" t="n">
        <v>0</v>
      </c>
      <c r="I393" t="n">
        <v>0</v>
      </c>
      <c r="J393" t="n">
        <v>0</v>
      </c>
      <c r="K393" t="n">
        <v>0</v>
      </c>
      <c r="L393" t="n">
        <v>0</v>
      </c>
      <c r="M393" t="n">
        <v>0</v>
      </c>
      <c r="N393" t="n">
        <v>0</v>
      </c>
      <c r="O393" t="n">
        <v>0</v>
      </c>
      <c r="P393" t="n">
        <v>0</v>
      </c>
      <c r="Q393" t="n">
        <v>0</v>
      </c>
      <c r="R393" s="2" t="inlineStr"/>
    </row>
    <row r="394" ht="15" customHeight="1">
      <c r="A394" t="inlineStr">
        <is>
          <t>A 55345-2021</t>
        </is>
      </c>
      <c r="B394" s="1" t="n">
        <v>44475</v>
      </c>
      <c r="C394" s="1" t="n">
        <v>46066</v>
      </c>
      <c r="D394" t="inlineStr">
        <is>
          <t>ÖSTERGÖTLANDS LÄN</t>
        </is>
      </c>
      <c r="E394" t="inlineStr">
        <is>
          <t>LINKÖPING</t>
        </is>
      </c>
      <c r="G394" t="n">
        <v>5.7</v>
      </c>
      <c r="H394" t="n">
        <v>0</v>
      </c>
      <c r="I394" t="n">
        <v>0</v>
      </c>
      <c r="J394" t="n">
        <v>0</v>
      </c>
      <c r="K394" t="n">
        <v>0</v>
      </c>
      <c r="L394" t="n">
        <v>0</v>
      </c>
      <c r="M394" t="n">
        <v>0</v>
      </c>
      <c r="N394" t="n">
        <v>0</v>
      </c>
      <c r="O394" t="n">
        <v>0</v>
      </c>
      <c r="P394" t="n">
        <v>0</v>
      </c>
      <c r="Q394" t="n">
        <v>0</v>
      </c>
      <c r="R394" s="2" t="inlineStr"/>
    </row>
    <row r="395" ht="15" customHeight="1">
      <c r="A395" t="inlineStr">
        <is>
          <t>A 45112-2025</t>
        </is>
      </c>
      <c r="B395" s="1" t="n">
        <v>45919</v>
      </c>
      <c r="C395" s="1" t="n">
        <v>46066</v>
      </c>
      <c r="D395" t="inlineStr">
        <is>
          <t>ÖSTERGÖTLANDS LÄN</t>
        </is>
      </c>
      <c r="E395" t="inlineStr">
        <is>
          <t>LINKÖPING</t>
        </is>
      </c>
      <c r="G395" t="n">
        <v>3.5</v>
      </c>
      <c r="H395" t="n">
        <v>0</v>
      </c>
      <c r="I395" t="n">
        <v>0</v>
      </c>
      <c r="J395" t="n">
        <v>0</v>
      </c>
      <c r="K395" t="n">
        <v>0</v>
      </c>
      <c r="L395" t="n">
        <v>0</v>
      </c>
      <c r="M395" t="n">
        <v>0</v>
      </c>
      <c r="N395" t="n">
        <v>0</v>
      </c>
      <c r="O395" t="n">
        <v>0</v>
      </c>
      <c r="P395" t="n">
        <v>0</v>
      </c>
      <c r="Q395" t="n">
        <v>0</v>
      </c>
      <c r="R395" s="2" t="inlineStr"/>
    </row>
    <row r="396" ht="15" customHeight="1">
      <c r="A396" t="inlineStr">
        <is>
          <t>A 3007-2025</t>
        </is>
      </c>
      <c r="B396" s="1" t="n">
        <v>45678.56328703704</v>
      </c>
      <c r="C396" s="1" t="n">
        <v>46066</v>
      </c>
      <c r="D396" t="inlineStr">
        <is>
          <t>ÖSTERGÖTLANDS LÄN</t>
        </is>
      </c>
      <c r="E396" t="inlineStr">
        <is>
          <t>LINKÖPING</t>
        </is>
      </c>
      <c r="G396" t="n">
        <v>3.1</v>
      </c>
      <c r="H396" t="n">
        <v>0</v>
      </c>
      <c r="I396" t="n">
        <v>0</v>
      </c>
      <c r="J396" t="n">
        <v>0</v>
      </c>
      <c r="K396" t="n">
        <v>0</v>
      </c>
      <c r="L396" t="n">
        <v>0</v>
      </c>
      <c r="M396" t="n">
        <v>0</v>
      </c>
      <c r="N396" t="n">
        <v>0</v>
      </c>
      <c r="O396" t="n">
        <v>0</v>
      </c>
      <c r="P396" t="n">
        <v>0</v>
      </c>
      <c r="Q396" t="n">
        <v>0</v>
      </c>
      <c r="R396" s="2" t="inlineStr"/>
    </row>
    <row r="397" ht="15" customHeight="1">
      <c r="A397" t="inlineStr">
        <is>
          <t>A 10492-2022</t>
        </is>
      </c>
      <c r="B397" s="1" t="n">
        <v>44623.6377199074</v>
      </c>
      <c r="C397" s="1" t="n">
        <v>46066</v>
      </c>
      <c r="D397" t="inlineStr">
        <is>
          <t>ÖSTERGÖTLANDS LÄN</t>
        </is>
      </c>
      <c r="E397" t="inlineStr">
        <is>
          <t>LINKÖPING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30465-2023</t>
        </is>
      </c>
      <c r="B398" s="1" t="n">
        <v>45111</v>
      </c>
      <c r="C398" s="1" t="n">
        <v>46066</v>
      </c>
      <c r="D398" t="inlineStr">
        <is>
          <t>ÖSTERGÖTLANDS LÄN</t>
        </is>
      </c>
      <c r="E398" t="inlineStr">
        <is>
          <t>LINKÖPING</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39021-2021</t>
        </is>
      </c>
      <c r="B399" s="1" t="n">
        <v>44412</v>
      </c>
      <c r="C399" s="1" t="n">
        <v>46066</v>
      </c>
      <c r="D399" t="inlineStr">
        <is>
          <t>ÖSTERGÖTLANDS LÄN</t>
        </is>
      </c>
      <c r="E399" t="inlineStr">
        <is>
          <t>LINKÖPING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62353-2022</t>
        </is>
      </c>
      <c r="B400" s="1" t="n">
        <v>44923</v>
      </c>
      <c r="C400" s="1" t="n">
        <v>46066</v>
      </c>
      <c r="D400" t="inlineStr">
        <is>
          <t>ÖSTERGÖTLANDS LÄN</t>
        </is>
      </c>
      <c r="E400" t="inlineStr">
        <is>
          <t>LINKÖPING</t>
        </is>
      </c>
      <c r="F400" t="inlineStr">
        <is>
          <t>Allmännings- och besparingsskogar</t>
        </is>
      </c>
      <c r="G400" t="n">
        <v>1.7</v>
      </c>
      <c r="H400" t="n">
        <v>0</v>
      </c>
      <c r="I400" t="n">
        <v>0</v>
      </c>
      <c r="J400" t="n">
        <v>0</v>
      </c>
      <c r="K400" t="n">
        <v>0</v>
      </c>
      <c r="L400" t="n">
        <v>0</v>
      </c>
      <c r="M400" t="n">
        <v>0</v>
      </c>
      <c r="N400" t="n">
        <v>0</v>
      </c>
      <c r="O400" t="n">
        <v>0</v>
      </c>
      <c r="P400" t="n">
        <v>0</v>
      </c>
      <c r="Q400" t="n">
        <v>0</v>
      </c>
      <c r="R400" s="2" t="inlineStr"/>
    </row>
    <row r="401" ht="15" customHeight="1">
      <c r="A401" t="inlineStr">
        <is>
          <t>A 30111-2024</t>
        </is>
      </c>
      <c r="B401" s="1" t="n">
        <v>45489.46947916667</v>
      </c>
      <c r="C401" s="1" t="n">
        <v>46066</v>
      </c>
      <c r="D401" t="inlineStr">
        <is>
          <t>ÖSTERGÖTLANDS LÄN</t>
        </is>
      </c>
      <c r="E401" t="inlineStr">
        <is>
          <t>LINKÖPING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30119-2024</t>
        </is>
      </c>
      <c r="B402" s="1" t="n">
        <v>45489</v>
      </c>
      <c r="C402" s="1" t="n">
        <v>46066</v>
      </c>
      <c r="D402" t="inlineStr">
        <is>
          <t>ÖSTERGÖTLANDS LÄN</t>
        </is>
      </c>
      <c r="E402" t="inlineStr">
        <is>
          <t>LINKÖPING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29411-2023</t>
        </is>
      </c>
      <c r="B403" s="1" t="n">
        <v>45106.46225694445</v>
      </c>
      <c r="C403" s="1" t="n">
        <v>46066</v>
      </c>
      <c r="D403" t="inlineStr">
        <is>
          <t>ÖSTERGÖTLANDS LÄN</t>
        </is>
      </c>
      <c r="E403" t="inlineStr">
        <is>
          <t>LINKÖPING</t>
        </is>
      </c>
      <c r="G403" t="n">
        <v>2.5</v>
      </c>
      <c r="H403" t="n">
        <v>0</v>
      </c>
      <c r="I403" t="n">
        <v>0</v>
      </c>
      <c r="J403" t="n">
        <v>0</v>
      </c>
      <c r="K403" t="n">
        <v>0</v>
      </c>
      <c r="L403" t="n">
        <v>0</v>
      </c>
      <c r="M403" t="n">
        <v>0</v>
      </c>
      <c r="N403" t="n">
        <v>0</v>
      </c>
      <c r="O403" t="n">
        <v>0</v>
      </c>
      <c r="P403" t="n">
        <v>0</v>
      </c>
      <c r="Q403" t="n">
        <v>0</v>
      </c>
      <c r="R403" s="2" t="inlineStr"/>
    </row>
    <row r="404" ht="15" customHeight="1">
      <c r="A404" t="inlineStr">
        <is>
          <t>A 29412-2023</t>
        </is>
      </c>
      <c r="B404" s="1" t="n">
        <v>45106.46359953703</v>
      </c>
      <c r="C404" s="1" t="n">
        <v>46066</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45634-2025</t>
        </is>
      </c>
      <c r="B405" s="1" t="n">
        <v>45922.85089120371</v>
      </c>
      <c r="C405" s="1" t="n">
        <v>46066</v>
      </c>
      <c r="D405" t="inlineStr">
        <is>
          <t>ÖSTERGÖTLANDS LÄN</t>
        </is>
      </c>
      <c r="E405" t="inlineStr">
        <is>
          <t>LINKÖPING</t>
        </is>
      </c>
      <c r="F405" t="inlineStr">
        <is>
          <t>Övriga Aktiebolag</t>
        </is>
      </c>
      <c r="G405" t="n">
        <v>0.3</v>
      </c>
      <c r="H405" t="n">
        <v>0</v>
      </c>
      <c r="I405" t="n">
        <v>0</v>
      </c>
      <c r="J405" t="n">
        <v>0</v>
      </c>
      <c r="K405" t="n">
        <v>0</v>
      </c>
      <c r="L405" t="n">
        <v>0</v>
      </c>
      <c r="M405" t="n">
        <v>0</v>
      </c>
      <c r="N405" t="n">
        <v>0</v>
      </c>
      <c r="O405" t="n">
        <v>0</v>
      </c>
      <c r="P405" t="n">
        <v>0</v>
      </c>
      <c r="Q405" t="n">
        <v>0</v>
      </c>
      <c r="R405" s="2" t="inlineStr"/>
    </row>
    <row r="406" ht="15" customHeight="1">
      <c r="A406" t="inlineStr">
        <is>
          <t>A 31792-2021</t>
        </is>
      </c>
      <c r="B406" s="1" t="n">
        <v>44369</v>
      </c>
      <c r="C406" s="1" t="n">
        <v>46066</v>
      </c>
      <c r="D406" t="inlineStr">
        <is>
          <t>ÖSTERGÖTLANDS LÄN</t>
        </is>
      </c>
      <c r="E406" t="inlineStr">
        <is>
          <t>LINKÖPING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421-2024</t>
        </is>
      </c>
      <c r="B407" s="1" t="n">
        <v>45296.51877314815</v>
      </c>
      <c r="C407" s="1" t="n">
        <v>46066</v>
      </c>
      <c r="D407" t="inlineStr">
        <is>
          <t>ÖSTERGÖTLANDS LÄN</t>
        </is>
      </c>
      <c r="E407" t="inlineStr">
        <is>
          <t>LINKÖPING</t>
        </is>
      </c>
      <c r="G407" t="n">
        <v>3.7</v>
      </c>
      <c r="H407" t="n">
        <v>0</v>
      </c>
      <c r="I407" t="n">
        <v>0</v>
      </c>
      <c r="J407" t="n">
        <v>0</v>
      </c>
      <c r="K407" t="n">
        <v>0</v>
      </c>
      <c r="L407" t="n">
        <v>0</v>
      </c>
      <c r="M407" t="n">
        <v>0</v>
      </c>
      <c r="N407" t="n">
        <v>0</v>
      </c>
      <c r="O407" t="n">
        <v>0</v>
      </c>
      <c r="P407" t="n">
        <v>0</v>
      </c>
      <c r="Q407" t="n">
        <v>0</v>
      </c>
      <c r="R407" s="2" t="inlineStr"/>
    </row>
    <row r="408" ht="15" customHeight="1">
      <c r="A408" t="inlineStr">
        <is>
          <t>A 22043-2023</t>
        </is>
      </c>
      <c r="B408" s="1" t="n">
        <v>45069.39050925926</v>
      </c>
      <c r="C408" s="1" t="n">
        <v>46066</v>
      </c>
      <c r="D408" t="inlineStr">
        <is>
          <t>ÖSTERGÖTLANDS LÄN</t>
        </is>
      </c>
      <c r="E408" t="inlineStr">
        <is>
          <t>LINKÖPING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61532-2021</t>
        </is>
      </c>
      <c r="B409" s="1" t="n">
        <v>44501</v>
      </c>
      <c r="C409" s="1" t="n">
        <v>46066</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14028-2024</t>
        </is>
      </c>
      <c r="B410" s="1" t="n">
        <v>45392</v>
      </c>
      <c r="C410" s="1" t="n">
        <v>46066</v>
      </c>
      <c r="D410" t="inlineStr">
        <is>
          <t>ÖSTERGÖTLANDS LÄN</t>
        </is>
      </c>
      <c r="E410" t="inlineStr">
        <is>
          <t>LINKÖPING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40431-2024</t>
        </is>
      </c>
      <c r="B411" s="1" t="n">
        <v>45555.47070601852</v>
      </c>
      <c r="C411" s="1" t="n">
        <v>46066</v>
      </c>
      <c r="D411" t="inlineStr">
        <is>
          <t>ÖSTERGÖTLANDS LÄN</t>
        </is>
      </c>
      <c r="E411" t="inlineStr">
        <is>
          <t>LINKÖPING</t>
        </is>
      </c>
      <c r="F411" t="inlineStr">
        <is>
          <t>Allmännings- och besparingsskogar</t>
        </is>
      </c>
      <c r="G411" t="n">
        <v>2.9</v>
      </c>
      <c r="H411" t="n">
        <v>0</v>
      </c>
      <c r="I411" t="n">
        <v>0</v>
      </c>
      <c r="J411" t="n">
        <v>0</v>
      </c>
      <c r="K411" t="n">
        <v>0</v>
      </c>
      <c r="L411" t="n">
        <v>0</v>
      </c>
      <c r="M411" t="n">
        <v>0</v>
      </c>
      <c r="N411" t="n">
        <v>0</v>
      </c>
      <c r="O411" t="n">
        <v>0</v>
      </c>
      <c r="P411" t="n">
        <v>0</v>
      </c>
      <c r="Q411" t="n">
        <v>0</v>
      </c>
      <c r="R411" s="2" t="inlineStr"/>
    </row>
    <row r="412" ht="15" customHeight="1">
      <c r="A412" t="inlineStr">
        <is>
          <t>A 45792-2025</t>
        </is>
      </c>
      <c r="B412" s="1" t="n">
        <v>45923.56998842592</v>
      </c>
      <c r="C412" s="1" t="n">
        <v>46066</v>
      </c>
      <c r="D412" t="inlineStr">
        <is>
          <t>ÖSTERGÖTLANDS LÄN</t>
        </is>
      </c>
      <c r="E412" t="inlineStr">
        <is>
          <t>LINKÖPING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45804-2025</t>
        </is>
      </c>
      <c r="B413" s="1" t="n">
        <v>45923.5819675926</v>
      </c>
      <c r="C413" s="1" t="n">
        <v>46066</v>
      </c>
      <c r="D413" t="inlineStr">
        <is>
          <t>ÖSTERGÖTLANDS LÄN</t>
        </is>
      </c>
      <c r="E413" t="inlineStr">
        <is>
          <t>LINKÖPING</t>
        </is>
      </c>
      <c r="G413" t="n">
        <v>3.3</v>
      </c>
      <c r="H413" t="n">
        <v>0</v>
      </c>
      <c r="I413" t="n">
        <v>0</v>
      </c>
      <c r="J413" t="n">
        <v>0</v>
      </c>
      <c r="K413" t="n">
        <v>0</v>
      </c>
      <c r="L413" t="n">
        <v>0</v>
      </c>
      <c r="M413" t="n">
        <v>0</v>
      </c>
      <c r="N413" t="n">
        <v>0</v>
      </c>
      <c r="O413" t="n">
        <v>0</v>
      </c>
      <c r="P413" t="n">
        <v>0</v>
      </c>
      <c r="Q413" t="n">
        <v>0</v>
      </c>
      <c r="R413" s="2" t="inlineStr"/>
    </row>
    <row r="414" ht="15" customHeight="1">
      <c r="A414" t="inlineStr">
        <is>
          <t>A 46426-2025</t>
        </is>
      </c>
      <c r="B414" s="1" t="n">
        <v>45925.6012962963</v>
      </c>
      <c r="C414" s="1" t="n">
        <v>46066</v>
      </c>
      <c r="D414" t="inlineStr">
        <is>
          <t>ÖSTERGÖTLANDS LÄN</t>
        </is>
      </c>
      <c r="E414" t="inlineStr">
        <is>
          <t>LINKÖPING</t>
        </is>
      </c>
      <c r="G414" t="n">
        <v>4.4</v>
      </c>
      <c r="H414" t="n">
        <v>0</v>
      </c>
      <c r="I414" t="n">
        <v>0</v>
      </c>
      <c r="J414" t="n">
        <v>0</v>
      </c>
      <c r="K414" t="n">
        <v>0</v>
      </c>
      <c r="L414" t="n">
        <v>0</v>
      </c>
      <c r="M414" t="n">
        <v>0</v>
      </c>
      <c r="N414" t="n">
        <v>0</v>
      </c>
      <c r="O414" t="n">
        <v>0</v>
      </c>
      <c r="P414" t="n">
        <v>0</v>
      </c>
      <c r="Q414" t="n">
        <v>0</v>
      </c>
      <c r="R414" s="2" t="inlineStr"/>
    </row>
    <row r="415" ht="15" customHeight="1">
      <c r="A415" t="inlineStr">
        <is>
          <t>A 46428-2025</t>
        </is>
      </c>
      <c r="B415" s="1" t="n">
        <v>45925.60758101852</v>
      </c>
      <c r="C415" s="1" t="n">
        <v>46066</v>
      </c>
      <c r="D415" t="inlineStr">
        <is>
          <t>ÖSTERGÖTLANDS LÄN</t>
        </is>
      </c>
      <c r="E415" t="inlineStr">
        <is>
          <t>LINKÖPING</t>
        </is>
      </c>
      <c r="G415" t="n">
        <v>3</v>
      </c>
      <c r="H415" t="n">
        <v>0</v>
      </c>
      <c r="I415" t="n">
        <v>0</v>
      </c>
      <c r="J415" t="n">
        <v>0</v>
      </c>
      <c r="K415" t="n">
        <v>0</v>
      </c>
      <c r="L415" t="n">
        <v>0</v>
      </c>
      <c r="M415" t="n">
        <v>0</v>
      </c>
      <c r="N415" t="n">
        <v>0</v>
      </c>
      <c r="O415" t="n">
        <v>0</v>
      </c>
      <c r="P415" t="n">
        <v>0</v>
      </c>
      <c r="Q415" t="n">
        <v>0</v>
      </c>
      <c r="R415" s="2" t="inlineStr"/>
    </row>
    <row r="416" ht="15" customHeight="1">
      <c r="A416" t="inlineStr">
        <is>
          <t>A 60860-2024</t>
        </is>
      </c>
      <c r="B416" s="1" t="n">
        <v>45644.6893287037</v>
      </c>
      <c r="C416" s="1" t="n">
        <v>46066</v>
      </c>
      <c r="D416" t="inlineStr">
        <is>
          <t>ÖSTERGÖTLANDS LÄN</t>
        </is>
      </c>
      <c r="E416" t="inlineStr">
        <is>
          <t>LINKÖPING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46377-2025</t>
        </is>
      </c>
      <c r="B417" s="1" t="n">
        <v>45925.51773148148</v>
      </c>
      <c r="C417" s="1" t="n">
        <v>46066</v>
      </c>
      <c r="D417" t="inlineStr">
        <is>
          <t>ÖSTERGÖTLANDS LÄN</t>
        </is>
      </c>
      <c r="E417" t="inlineStr">
        <is>
          <t>LINKÖPING</t>
        </is>
      </c>
      <c r="G417" t="n">
        <v>3.1</v>
      </c>
      <c r="H417" t="n">
        <v>0</v>
      </c>
      <c r="I417" t="n">
        <v>0</v>
      </c>
      <c r="J417" t="n">
        <v>0</v>
      </c>
      <c r="K417" t="n">
        <v>0</v>
      </c>
      <c r="L417" t="n">
        <v>0</v>
      </c>
      <c r="M417" t="n">
        <v>0</v>
      </c>
      <c r="N417" t="n">
        <v>0</v>
      </c>
      <c r="O417" t="n">
        <v>0</v>
      </c>
      <c r="P417" t="n">
        <v>0</v>
      </c>
      <c r="Q417" t="n">
        <v>0</v>
      </c>
      <c r="R417" s="2" t="inlineStr"/>
    </row>
    <row r="418" ht="15" customHeight="1">
      <c r="A418" t="inlineStr">
        <is>
          <t>A 2697-2023</t>
        </is>
      </c>
      <c r="B418" s="1" t="n">
        <v>44944</v>
      </c>
      <c r="C418" s="1" t="n">
        <v>46066</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45806-2024</t>
        </is>
      </c>
      <c r="B419" s="1" t="n">
        <v>45579.69619212963</v>
      </c>
      <c r="C419" s="1" t="n">
        <v>46066</v>
      </c>
      <c r="D419" t="inlineStr">
        <is>
          <t>ÖSTERGÖTLANDS LÄN</t>
        </is>
      </c>
      <c r="E419" t="inlineStr">
        <is>
          <t>LINKÖPING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56756-2023</t>
        </is>
      </c>
      <c r="B420" s="1" t="n">
        <v>45244</v>
      </c>
      <c r="C420" s="1" t="n">
        <v>46066</v>
      </c>
      <c r="D420" t="inlineStr">
        <is>
          <t>ÖSTERGÖTLANDS LÄN</t>
        </is>
      </c>
      <c r="E420" t="inlineStr">
        <is>
          <t>LINKÖPING</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46847-2025</t>
        </is>
      </c>
      <c r="B421" s="1" t="n">
        <v>45928.69971064815</v>
      </c>
      <c r="C421" s="1" t="n">
        <v>46066</v>
      </c>
      <c r="D421" t="inlineStr">
        <is>
          <t>ÖSTERGÖTLANDS LÄN</t>
        </is>
      </c>
      <c r="E421" t="inlineStr">
        <is>
          <t>LINKÖPING</t>
        </is>
      </c>
      <c r="G421" t="n">
        <v>4.6</v>
      </c>
      <c r="H421" t="n">
        <v>0</v>
      </c>
      <c r="I421" t="n">
        <v>0</v>
      </c>
      <c r="J421" t="n">
        <v>0</v>
      </c>
      <c r="K421" t="n">
        <v>0</v>
      </c>
      <c r="L421" t="n">
        <v>0</v>
      </c>
      <c r="M421" t="n">
        <v>0</v>
      </c>
      <c r="N421" t="n">
        <v>0</v>
      </c>
      <c r="O421" t="n">
        <v>0</v>
      </c>
      <c r="P421" t="n">
        <v>0</v>
      </c>
      <c r="Q421" t="n">
        <v>0</v>
      </c>
      <c r="R421" s="2" t="inlineStr"/>
    </row>
    <row r="422" ht="15" customHeight="1">
      <c r="A422" t="inlineStr">
        <is>
          <t>A 47233-2025</t>
        </is>
      </c>
      <c r="B422" s="1" t="n">
        <v>45930.40612268518</v>
      </c>
      <c r="C422" s="1" t="n">
        <v>46066</v>
      </c>
      <c r="D422" t="inlineStr">
        <is>
          <t>ÖSTERGÖTLANDS LÄN</t>
        </is>
      </c>
      <c r="E422" t="inlineStr">
        <is>
          <t>LINKÖPING</t>
        </is>
      </c>
      <c r="G422" t="n">
        <v>4.3</v>
      </c>
      <c r="H422" t="n">
        <v>0</v>
      </c>
      <c r="I422" t="n">
        <v>0</v>
      </c>
      <c r="J422" t="n">
        <v>0</v>
      </c>
      <c r="K422" t="n">
        <v>0</v>
      </c>
      <c r="L422" t="n">
        <v>0</v>
      </c>
      <c r="M422" t="n">
        <v>0</v>
      </c>
      <c r="N422" t="n">
        <v>0</v>
      </c>
      <c r="O422" t="n">
        <v>0</v>
      </c>
      <c r="P422" t="n">
        <v>0</v>
      </c>
      <c r="Q422" t="n">
        <v>0</v>
      </c>
      <c r="R422" s="2" t="inlineStr"/>
    </row>
    <row r="423" ht="15" customHeight="1">
      <c r="A423" t="inlineStr">
        <is>
          <t>A 47606-2025</t>
        </is>
      </c>
      <c r="B423" s="1" t="n">
        <v>45931.46402777778</v>
      </c>
      <c r="C423" s="1" t="n">
        <v>46066</v>
      </c>
      <c r="D423" t="inlineStr">
        <is>
          <t>ÖSTERGÖTLANDS LÄN</t>
        </is>
      </c>
      <c r="E423" t="inlineStr">
        <is>
          <t>LINKÖPING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60985-2023</t>
        </is>
      </c>
      <c r="B424" s="1" t="n">
        <v>45261.48429398148</v>
      </c>
      <c r="C424" s="1" t="n">
        <v>46066</v>
      </c>
      <c r="D424" t="inlineStr">
        <is>
          <t>ÖSTERGÖTLANDS LÄN</t>
        </is>
      </c>
      <c r="E424" t="inlineStr">
        <is>
          <t>LINKÖPING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47304-2025</t>
        </is>
      </c>
      <c r="B425" s="1" t="n">
        <v>45930.52037037037</v>
      </c>
      <c r="C425" s="1" t="n">
        <v>46066</v>
      </c>
      <c r="D425" t="inlineStr">
        <is>
          <t>ÖSTERGÖTLANDS LÄN</t>
        </is>
      </c>
      <c r="E425" t="inlineStr">
        <is>
          <t>LINKÖPING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24904-2024</t>
        </is>
      </c>
      <c r="B426" s="1" t="n">
        <v>45461</v>
      </c>
      <c r="C426" s="1" t="n">
        <v>46066</v>
      </c>
      <c r="D426" t="inlineStr">
        <is>
          <t>ÖSTERGÖTLANDS LÄN</t>
        </is>
      </c>
      <c r="E426" t="inlineStr">
        <is>
          <t>LINKÖPING</t>
        </is>
      </c>
      <c r="G426" t="n">
        <v>3.8</v>
      </c>
      <c r="H426" t="n">
        <v>0</v>
      </c>
      <c r="I426" t="n">
        <v>0</v>
      </c>
      <c r="J426" t="n">
        <v>0</v>
      </c>
      <c r="K426" t="n">
        <v>0</v>
      </c>
      <c r="L426" t="n">
        <v>0</v>
      </c>
      <c r="M426" t="n">
        <v>0</v>
      </c>
      <c r="N426" t="n">
        <v>0</v>
      </c>
      <c r="O426" t="n">
        <v>0</v>
      </c>
      <c r="P426" t="n">
        <v>0</v>
      </c>
      <c r="Q426" t="n">
        <v>0</v>
      </c>
      <c r="R426" s="2" t="inlineStr"/>
    </row>
    <row r="427" ht="15" customHeight="1">
      <c r="A427" t="inlineStr">
        <is>
          <t>A 55009-2023</t>
        </is>
      </c>
      <c r="B427" s="1" t="n">
        <v>45237</v>
      </c>
      <c r="C427" s="1" t="n">
        <v>46066</v>
      </c>
      <c r="D427" t="inlineStr">
        <is>
          <t>ÖSTERGÖTLANDS LÄN</t>
        </is>
      </c>
      <c r="E427" t="inlineStr">
        <is>
          <t>LINKÖPING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34872-2023</t>
        </is>
      </c>
      <c r="B428" s="1" t="n">
        <v>45140</v>
      </c>
      <c r="C428" s="1" t="n">
        <v>46066</v>
      </c>
      <c r="D428" t="inlineStr">
        <is>
          <t>ÖSTERGÖTLANDS LÄN</t>
        </is>
      </c>
      <c r="E428" t="inlineStr">
        <is>
          <t>LINKÖPING</t>
        </is>
      </c>
      <c r="G428" t="n">
        <v>4.8</v>
      </c>
      <c r="H428" t="n">
        <v>0</v>
      </c>
      <c r="I428" t="n">
        <v>0</v>
      </c>
      <c r="J428" t="n">
        <v>0</v>
      </c>
      <c r="K428" t="n">
        <v>0</v>
      </c>
      <c r="L428" t="n">
        <v>0</v>
      </c>
      <c r="M428" t="n">
        <v>0</v>
      </c>
      <c r="N428" t="n">
        <v>0</v>
      </c>
      <c r="O428" t="n">
        <v>0</v>
      </c>
      <c r="P428" t="n">
        <v>0</v>
      </c>
      <c r="Q428" t="n">
        <v>0</v>
      </c>
      <c r="R428" s="2" t="inlineStr"/>
    </row>
    <row r="429" ht="15" customHeight="1">
      <c r="A429" t="inlineStr">
        <is>
          <t>A 36336-2022</t>
        </is>
      </c>
      <c r="B429" s="1" t="n">
        <v>44803</v>
      </c>
      <c r="C429" s="1" t="n">
        <v>46066</v>
      </c>
      <c r="D429" t="inlineStr">
        <is>
          <t>ÖSTERGÖTLANDS LÄN</t>
        </is>
      </c>
      <c r="E429" t="inlineStr">
        <is>
          <t>LINKÖPING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48343-2025</t>
        </is>
      </c>
      <c r="B430" s="1" t="n">
        <v>45932</v>
      </c>
      <c r="C430" s="1" t="n">
        <v>46066</v>
      </c>
      <c r="D430" t="inlineStr">
        <is>
          <t>ÖSTERGÖTLANDS LÄN</t>
        </is>
      </c>
      <c r="E430" t="inlineStr">
        <is>
          <t>LINKÖPING</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48266-2025</t>
        </is>
      </c>
      <c r="B431" s="1" t="n">
        <v>45932</v>
      </c>
      <c r="C431" s="1" t="n">
        <v>46066</v>
      </c>
      <c r="D431" t="inlineStr">
        <is>
          <t>ÖSTERGÖTLANDS LÄN</t>
        </is>
      </c>
      <c r="E431" t="inlineStr">
        <is>
          <t>LINKÖPING</t>
        </is>
      </c>
      <c r="F431" t="inlineStr">
        <is>
          <t>Övriga Aktiebolag</t>
        </is>
      </c>
      <c r="G431" t="n">
        <v>0.5</v>
      </c>
      <c r="H431" t="n">
        <v>0</v>
      </c>
      <c r="I431" t="n">
        <v>0</v>
      </c>
      <c r="J431" t="n">
        <v>0</v>
      </c>
      <c r="K431" t="n">
        <v>0</v>
      </c>
      <c r="L431" t="n">
        <v>0</v>
      </c>
      <c r="M431" t="n">
        <v>0</v>
      </c>
      <c r="N431" t="n">
        <v>0</v>
      </c>
      <c r="O431" t="n">
        <v>0</v>
      </c>
      <c r="P431" t="n">
        <v>0</v>
      </c>
      <c r="Q431" t="n">
        <v>0</v>
      </c>
      <c r="R431" s="2" t="inlineStr"/>
    </row>
    <row r="432" ht="15" customHeight="1">
      <c r="A432" t="inlineStr">
        <is>
          <t>A 25097-2023</t>
        </is>
      </c>
      <c r="B432" s="1" t="n">
        <v>45086</v>
      </c>
      <c r="C432" s="1" t="n">
        <v>46066</v>
      </c>
      <c r="D432" t="inlineStr">
        <is>
          <t>ÖSTERGÖTLANDS LÄN</t>
        </is>
      </c>
      <c r="E432" t="inlineStr">
        <is>
          <t>LINKÖPING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48254-2025</t>
        </is>
      </c>
      <c r="B433" s="1" t="n">
        <v>45932</v>
      </c>
      <c r="C433" s="1" t="n">
        <v>46066</v>
      </c>
      <c r="D433" t="inlineStr">
        <is>
          <t>ÖSTERGÖTLANDS LÄN</t>
        </is>
      </c>
      <c r="E433" t="inlineStr">
        <is>
          <t>LINKÖPING</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10461-2023</t>
        </is>
      </c>
      <c r="B434" s="1" t="n">
        <v>44987.5969212963</v>
      </c>
      <c r="C434" s="1" t="n">
        <v>46066</v>
      </c>
      <c r="D434" t="inlineStr">
        <is>
          <t>ÖSTERGÖTLANDS LÄN</t>
        </is>
      </c>
      <c r="E434" t="inlineStr">
        <is>
          <t>LINKÖPING</t>
        </is>
      </c>
      <c r="G434" t="n">
        <v>7.8</v>
      </c>
      <c r="H434" t="n">
        <v>0</v>
      </c>
      <c r="I434" t="n">
        <v>0</v>
      </c>
      <c r="J434" t="n">
        <v>0</v>
      </c>
      <c r="K434" t="n">
        <v>0</v>
      </c>
      <c r="L434" t="n">
        <v>0</v>
      </c>
      <c r="M434" t="n">
        <v>0</v>
      </c>
      <c r="N434" t="n">
        <v>0</v>
      </c>
      <c r="O434" t="n">
        <v>0</v>
      </c>
      <c r="P434" t="n">
        <v>0</v>
      </c>
      <c r="Q434" t="n">
        <v>0</v>
      </c>
      <c r="R434" s="2" t="inlineStr"/>
    </row>
    <row r="435" ht="15" customHeight="1">
      <c r="A435" t="inlineStr">
        <is>
          <t>A 50386-2021</t>
        </is>
      </c>
      <c r="B435" s="1" t="n">
        <v>44459</v>
      </c>
      <c r="C435" s="1" t="n">
        <v>46066</v>
      </c>
      <c r="D435" t="inlineStr">
        <is>
          <t>ÖSTERGÖTLANDS LÄN</t>
        </is>
      </c>
      <c r="E435" t="inlineStr">
        <is>
          <t>LINKÖPING</t>
        </is>
      </c>
      <c r="G435" t="n">
        <v>2.3</v>
      </c>
      <c r="H435" t="n">
        <v>0</v>
      </c>
      <c r="I435" t="n">
        <v>0</v>
      </c>
      <c r="J435" t="n">
        <v>0</v>
      </c>
      <c r="K435" t="n">
        <v>0</v>
      </c>
      <c r="L435" t="n">
        <v>0</v>
      </c>
      <c r="M435" t="n">
        <v>0</v>
      </c>
      <c r="N435" t="n">
        <v>0</v>
      </c>
      <c r="O435" t="n">
        <v>0</v>
      </c>
      <c r="P435" t="n">
        <v>0</v>
      </c>
      <c r="Q435" t="n">
        <v>0</v>
      </c>
      <c r="R435" s="2" t="inlineStr"/>
    </row>
    <row r="436" ht="15" customHeight="1">
      <c r="A436" t="inlineStr">
        <is>
          <t>A 350-2022</t>
        </is>
      </c>
      <c r="B436" s="1" t="n">
        <v>44565</v>
      </c>
      <c r="C436" s="1" t="n">
        <v>46066</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18891-2022</t>
        </is>
      </c>
      <c r="B437" s="1" t="n">
        <v>44690</v>
      </c>
      <c r="C437" s="1" t="n">
        <v>46066</v>
      </c>
      <c r="D437" t="inlineStr">
        <is>
          <t>ÖSTERGÖTLANDS LÄN</t>
        </is>
      </c>
      <c r="E437" t="inlineStr">
        <is>
          <t>LINKÖPING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49455-2025</t>
        </is>
      </c>
      <c r="B438" s="1" t="n">
        <v>45938</v>
      </c>
      <c r="C438" s="1" t="n">
        <v>46066</v>
      </c>
      <c r="D438" t="inlineStr">
        <is>
          <t>ÖSTERGÖTLANDS LÄN</t>
        </is>
      </c>
      <c r="E438" t="inlineStr">
        <is>
          <t>LINKÖPING</t>
        </is>
      </c>
      <c r="F438" t="inlineStr">
        <is>
          <t>Övriga Aktiebolag</t>
        </is>
      </c>
      <c r="G438" t="n">
        <v>5.9</v>
      </c>
      <c r="H438" t="n">
        <v>0</v>
      </c>
      <c r="I438" t="n">
        <v>0</v>
      </c>
      <c r="J438" t="n">
        <v>0</v>
      </c>
      <c r="K438" t="n">
        <v>0</v>
      </c>
      <c r="L438" t="n">
        <v>0</v>
      </c>
      <c r="M438" t="n">
        <v>0</v>
      </c>
      <c r="N438" t="n">
        <v>0</v>
      </c>
      <c r="O438" t="n">
        <v>0</v>
      </c>
      <c r="P438" t="n">
        <v>0</v>
      </c>
      <c r="Q438" t="n">
        <v>0</v>
      </c>
      <c r="R438" s="2" t="inlineStr"/>
    </row>
    <row r="439" ht="15" customHeight="1">
      <c r="A439" t="inlineStr">
        <is>
          <t>A 30976-2022</t>
        </is>
      </c>
      <c r="B439" s="1" t="n">
        <v>44768</v>
      </c>
      <c r="C439" s="1" t="n">
        <v>46066</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49605-2025</t>
        </is>
      </c>
      <c r="B440" s="1" t="n">
        <v>45938</v>
      </c>
      <c r="C440" s="1" t="n">
        <v>46066</v>
      </c>
      <c r="D440" t="inlineStr">
        <is>
          <t>ÖSTERGÖTLANDS LÄN</t>
        </is>
      </c>
      <c r="E440" t="inlineStr">
        <is>
          <t>LINKÖPING</t>
        </is>
      </c>
      <c r="F440" t="inlineStr">
        <is>
          <t>Övriga Aktiebolag</t>
        </is>
      </c>
      <c r="G440" t="n">
        <v>3.3</v>
      </c>
      <c r="H440" t="n">
        <v>0</v>
      </c>
      <c r="I440" t="n">
        <v>0</v>
      </c>
      <c r="J440" t="n">
        <v>0</v>
      </c>
      <c r="K440" t="n">
        <v>0</v>
      </c>
      <c r="L440" t="n">
        <v>0</v>
      </c>
      <c r="M440" t="n">
        <v>0</v>
      </c>
      <c r="N440" t="n">
        <v>0</v>
      </c>
      <c r="O440" t="n">
        <v>0</v>
      </c>
      <c r="P440" t="n">
        <v>0</v>
      </c>
      <c r="Q440" t="n">
        <v>0</v>
      </c>
      <c r="R440" s="2" t="inlineStr"/>
    </row>
    <row r="441" ht="15" customHeight="1">
      <c r="A441" t="inlineStr">
        <is>
          <t>A 49663-2025</t>
        </is>
      </c>
      <c r="B441" s="1" t="n">
        <v>45938</v>
      </c>
      <c r="C441" s="1" t="n">
        <v>46066</v>
      </c>
      <c r="D441" t="inlineStr">
        <is>
          <t>ÖSTERGÖTLANDS LÄN</t>
        </is>
      </c>
      <c r="E441" t="inlineStr">
        <is>
          <t>LINKÖPING</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55736-2022</t>
        </is>
      </c>
      <c r="B442" s="1" t="n">
        <v>44888</v>
      </c>
      <c r="C442" s="1" t="n">
        <v>46066</v>
      </c>
      <c r="D442" t="inlineStr">
        <is>
          <t>ÖSTERGÖTLANDS LÄN</t>
        </is>
      </c>
      <c r="E442" t="inlineStr">
        <is>
          <t>LINKÖPING</t>
        </is>
      </c>
      <c r="G442" t="n">
        <v>5.5</v>
      </c>
      <c r="H442" t="n">
        <v>0</v>
      </c>
      <c r="I442" t="n">
        <v>0</v>
      </c>
      <c r="J442" t="n">
        <v>0</v>
      </c>
      <c r="K442" t="n">
        <v>0</v>
      </c>
      <c r="L442" t="n">
        <v>0</v>
      </c>
      <c r="M442" t="n">
        <v>0</v>
      </c>
      <c r="N442" t="n">
        <v>0</v>
      </c>
      <c r="O442" t="n">
        <v>0</v>
      </c>
      <c r="P442" t="n">
        <v>0</v>
      </c>
      <c r="Q442" t="n">
        <v>0</v>
      </c>
      <c r="R442" s="2" t="inlineStr"/>
    </row>
    <row r="443" ht="15" customHeight="1">
      <c r="A443" t="inlineStr">
        <is>
          <t>A 49632-2025</t>
        </is>
      </c>
      <c r="B443" s="1" t="n">
        <v>45938</v>
      </c>
      <c r="C443" s="1" t="n">
        <v>46066</v>
      </c>
      <c r="D443" t="inlineStr">
        <is>
          <t>ÖSTERGÖTLANDS LÄN</t>
        </is>
      </c>
      <c r="E443" t="inlineStr">
        <is>
          <t>LINKÖPING</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49647-2025</t>
        </is>
      </c>
      <c r="B444" s="1" t="n">
        <v>45938</v>
      </c>
      <c r="C444" s="1" t="n">
        <v>46066</v>
      </c>
      <c r="D444" t="inlineStr">
        <is>
          <t>ÖSTERGÖTLANDS LÄN</t>
        </is>
      </c>
      <c r="E444" t="inlineStr">
        <is>
          <t>LINKÖPING</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49652-2025</t>
        </is>
      </c>
      <c r="B445" s="1" t="n">
        <v>45938</v>
      </c>
      <c r="C445" s="1" t="n">
        <v>46066</v>
      </c>
      <c r="D445" t="inlineStr">
        <is>
          <t>ÖSTERGÖTLANDS LÄN</t>
        </is>
      </c>
      <c r="E445" t="inlineStr">
        <is>
          <t>LINKÖPING</t>
        </is>
      </c>
      <c r="F445" t="inlineStr">
        <is>
          <t>Övriga Aktiebolag</t>
        </is>
      </c>
      <c r="G445" t="n">
        <v>1.8</v>
      </c>
      <c r="H445" t="n">
        <v>0</v>
      </c>
      <c r="I445" t="n">
        <v>0</v>
      </c>
      <c r="J445" t="n">
        <v>0</v>
      </c>
      <c r="K445" t="n">
        <v>0</v>
      </c>
      <c r="L445" t="n">
        <v>0</v>
      </c>
      <c r="M445" t="n">
        <v>0</v>
      </c>
      <c r="N445" t="n">
        <v>0</v>
      </c>
      <c r="O445" t="n">
        <v>0</v>
      </c>
      <c r="P445" t="n">
        <v>0</v>
      </c>
      <c r="Q445" t="n">
        <v>0</v>
      </c>
      <c r="R445" s="2" t="inlineStr"/>
    </row>
    <row r="446" ht="15" customHeight="1">
      <c r="A446" t="inlineStr">
        <is>
          <t>A 49654-2025</t>
        </is>
      </c>
      <c r="B446" s="1" t="n">
        <v>45938</v>
      </c>
      <c r="C446" s="1" t="n">
        <v>46066</v>
      </c>
      <c r="D446" t="inlineStr">
        <is>
          <t>ÖSTERGÖTLANDS LÄN</t>
        </is>
      </c>
      <c r="E446" t="inlineStr">
        <is>
          <t>LINKÖPING</t>
        </is>
      </c>
      <c r="F446" t="inlineStr">
        <is>
          <t>Övriga Aktiebolag</t>
        </is>
      </c>
      <c r="G446" t="n">
        <v>3.1</v>
      </c>
      <c r="H446" t="n">
        <v>0</v>
      </c>
      <c r="I446" t="n">
        <v>0</v>
      </c>
      <c r="J446" t="n">
        <v>0</v>
      </c>
      <c r="K446" t="n">
        <v>0</v>
      </c>
      <c r="L446" t="n">
        <v>0</v>
      </c>
      <c r="M446" t="n">
        <v>0</v>
      </c>
      <c r="N446" t="n">
        <v>0</v>
      </c>
      <c r="O446" t="n">
        <v>0</v>
      </c>
      <c r="P446" t="n">
        <v>0</v>
      </c>
      <c r="Q446" t="n">
        <v>0</v>
      </c>
      <c r="R446" s="2" t="inlineStr"/>
    </row>
    <row r="447" ht="15" customHeight="1">
      <c r="A447" t="inlineStr">
        <is>
          <t>A 49615-2025</t>
        </is>
      </c>
      <c r="B447" s="1" t="n">
        <v>45938</v>
      </c>
      <c r="C447" s="1" t="n">
        <v>46066</v>
      </c>
      <c r="D447" t="inlineStr">
        <is>
          <t>ÖSTERGÖTLANDS LÄN</t>
        </is>
      </c>
      <c r="E447" t="inlineStr">
        <is>
          <t>LINKÖPING</t>
        </is>
      </c>
      <c r="F447" t="inlineStr">
        <is>
          <t>Övriga Aktiebolag</t>
        </is>
      </c>
      <c r="G447" t="n">
        <v>1.6</v>
      </c>
      <c r="H447" t="n">
        <v>0</v>
      </c>
      <c r="I447" t="n">
        <v>0</v>
      </c>
      <c r="J447" t="n">
        <v>0</v>
      </c>
      <c r="K447" t="n">
        <v>0</v>
      </c>
      <c r="L447" t="n">
        <v>0</v>
      </c>
      <c r="M447" t="n">
        <v>0</v>
      </c>
      <c r="N447" t="n">
        <v>0</v>
      </c>
      <c r="O447" t="n">
        <v>0</v>
      </c>
      <c r="P447" t="n">
        <v>0</v>
      </c>
      <c r="Q447" t="n">
        <v>0</v>
      </c>
      <c r="R447" s="2" t="inlineStr"/>
    </row>
    <row r="448" ht="15" customHeight="1">
      <c r="A448" t="inlineStr">
        <is>
          <t>A 49619-2025</t>
        </is>
      </c>
      <c r="B448" s="1" t="n">
        <v>45938</v>
      </c>
      <c r="C448" s="1" t="n">
        <v>46066</v>
      </c>
      <c r="D448" t="inlineStr">
        <is>
          <t>ÖSTERGÖTLANDS LÄN</t>
        </is>
      </c>
      <c r="E448" t="inlineStr">
        <is>
          <t>LINKÖPING</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49629-2025</t>
        </is>
      </c>
      <c r="B449" s="1" t="n">
        <v>45938</v>
      </c>
      <c r="C449" s="1" t="n">
        <v>46066</v>
      </c>
      <c r="D449" t="inlineStr">
        <is>
          <t>ÖSTERGÖTLANDS LÄN</t>
        </is>
      </c>
      <c r="E449" t="inlineStr">
        <is>
          <t>LINKÖPING</t>
        </is>
      </c>
      <c r="F449" t="inlineStr">
        <is>
          <t>Övriga Aktiebolag</t>
        </is>
      </c>
      <c r="G449" t="n">
        <v>4.5</v>
      </c>
      <c r="H449" t="n">
        <v>0</v>
      </c>
      <c r="I449" t="n">
        <v>0</v>
      </c>
      <c r="J449" t="n">
        <v>0</v>
      </c>
      <c r="K449" t="n">
        <v>0</v>
      </c>
      <c r="L449" t="n">
        <v>0</v>
      </c>
      <c r="M449" t="n">
        <v>0</v>
      </c>
      <c r="N449" t="n">
        <v>0</v>
      </c>
      <c r="O449" t="n">
        <v>0</v>
      </c>
      <c r="P449" t="n">
        <v>0</v>
      </c>
      <c r="Q449" t="n">
        <v>0</v>
      </c>
      <c r="R449" s="2" t="inlineStr"/>
    </row>
    <row r="450" ht="15" customHeight="1">
      <c r="A450" t="inlineStr">
        <is>
          <t>A 10194-2023</t>
        </is>
      </c>
      <c r="B450" s="1" t="n">
        <v>44986.52277777778</v>
      </c>
      <c r="C450" s="1" t="n">
        <v>46066</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49650-2025</t>
        </is>
      </c>
      <c r="B451" s="1" t="n">
        <v>45938</v>
      </c>
      <c r="C451" s="1" t="n">
        <v>46066</v>
      </c>
      <c r="D451" t="inlineStr">
        <is>
          <t>ÖSTERGÖTLANDS LÄN</t>
        </is>
      </c>
      <c r="E451" t="inlineStr">
        <is>
          <t>LINKÖPING</t>
        </is>
      </c>
      <c r="F451" t="inlineStr">
        <is>
          <t>Övriga Aktiebolag</t>
        </is>
      </c>
      <c r="G451" t="n">
        <v>1.5</v>
      </c>
      <c r="H451" t="n">
        <v>0</v>
      </c>
      <c r="I451" t="n">
        <v>0</v>
      </c>
      <c r="J451" t="n">
        <v>0</v>
      </c>
      <c r="K451" t="n">
        <v>0</v>
      </c>
      <c r="L451" t="n">
        <v>0</v>
      </c>
      <c r="M451" t="n">
        <v>0</v>
      </c>
      <c r="N451" t="n">
        <v>0</v>
      </c>
      <c r="O451" t="n">
        <v>0</v>
      </c>
      <c r="P451" t="n">
        <v>0</v>
      </c>
      <c r="Q451" t="n">
        <v>0</v>
      </c>
      <c r="R451" s="2" t="inlineStr"/>
    </row>
    <row r="452" ht="15" customHeight="1">
      <c r="A452" t="inlineStr">
        <is>
          <t>A 49633-2025</t>
        </is>
      </c>
      <c r="B452" s="1" t="n">
        <v>45938</v>
      </c>
      <c r="C452" s="1" t="n">
        <v>46066</v>
      </c>
      <c r="D452" t="inlineStr">
        <is>
          <t>ÖSTERGÖTLANDS LÄN</t>
        </is>
      </c>
      <c r="E452" t="inlineStr">
        <is>
          <t>LINKÖPING</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40983-2025</t>
        </is>
      </c>
      <c r="B453" s="1" t="n">
        <v>45898</v>
      </c>
      <c r="C453" s="1" t="n">
        <v>46066</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50056-2025</t>
        </is>
      </c>
      <c r="B454" s="1" t="n">
        <v>45941</v>
      </c>
      <c r="C454" s="1" t="n">
        <v>46066</v>
      </c>
      <c r="D454" t="inlineStr">
        <is>
          <t>ÖSTERGÖTLANDS LÄN</t>
        </is>
      </c>
      <c r="E454" t="inlineStr">
        <is>
          <t>LINKÖPING</t>
        </is>
      </c>
      <c r="G454" t="n">
        <v>0.3</v>
      </c>
      <c r="H454" t="n">
        <v>0</v>
      </c>
      <c r="I454" t="n">
        <v>0</v>
      </c>
      <c r="J454" t="n">
        <v>0</v>
      </c>
      <c r="K454" t="n">
        <v>0</v>
      </c>
      <c r="L454" t="n">
        <v>0</v>
      </c>
      <c r="M454" t="n">
        <v>0</v>
      </c>
      <c r="N454" t="n">
        <v>0</v>
      </c>
      <c r="O454" t="n">
        <v>0</v>
      </c>
      <c r="P454" t="n">
        <v>0</v>
      </c>
      <c r="Q454" t="n">
        <v>0</v>
      </c>
      <c r="R454" s="2" t="inlineStr"/>
    </row>
    <row r="455" ht="15" customHeight="1">
      <c r="A455" t="inlineStr">
        <is>
          <t>A 50667-2025</t>
        </is>
      </c>
      <c r="B455" s="1" t="n">
        <v>45945</v>
      </c>
      <c r="C455" s="1" t="n">
        <v>46066</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7702-2023</t>
        </is>
      </c>
      <c r="B456" s="1" t="n">
        <v>44967</v>
      </c>
      <c r="C456" s="1" t="n">
        <v>46066</v>
      </c>
      <c r="D456" t="inlineStr">
        <is>
          <t>ÖSTERGÖTLANDS LÄN</t>
        </is>
      </c>
      <c r="E456" t="inlineStr">
        <is>
          <t>LINKÖPING</t>
        </is>
      </c>
      <c r="F456" t="inlineStr">
        <is>
          <t>Övriga statliga verk och myndigheter</t>
        </is>
      </c>
      <c r="G456" t="n">
        <v>8</v>
      </c>
      <c r="H456" t="n">
        <v>0</v>
      </c>
      <c r="I456" t="n">
        <v>0</v>
      </c>
      <c r="J456" t="n">
        <v>0</v>
      </c>
      <c r="K456" t="n">
        <v>0</v>
      </c>
      <c r="L456" t="n">
        <v>0</v>
      </c>
      <c r="M456" t="n">
        <v>0</v>
      </c>
      <c r="N456" t="n">
        <v>0</v>
      </c>
      <c r="O456" t="n">
        <v>0</v>
      </c>
      <c r="P456" t="n">
        <v>0</v>
      </c>
      <c r="Q456" t="n">
        <v>0</v>
      </c>
      <c r="R456" s="2" t="inlineStr"/>
    </row>
    <row r="457" ht="15" customHeight="1">
      <c r="A457" t="inlineStr">
        <is>
          <t>A 42000-2023</t>
        </is>
      </c>
      <c r="B457" s="1" t="n">
        <v>45177</v>
      </c>
      <c r="C457" s="1" t="n">
        <v>46066</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31534-2023</t>
        </is>
      </c>
      <c r="B458" s="1" t="n">
        <v>45116</v>
      </c>
      <c r="C458" s="1" t="n">
        <v>46066</v>
      </c>
      <c r="D458" t="inlineStr">
        <is>
          <t>ÖSTERGÖTLANDS LÄN</t>
        </is>
      </c>
      <c r="E458" t="inlineStr">
        <is>
          <t>LINKÖPING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35427-2023</t>
        </is>
      </c>
      <c r="B459" s="1" t="n">
        <v>45146</v>
      </c>
      <c r="C459" s="1" t="n">
        <v>46066</v>
      </c>
      <c r="D459" t="inlineStr">
        <is>
          <t>ÖSTERGÖTLANDS LÄN</t>
        </is>
      </c>
      <c r="E459" t="inlineStr">
        <is>
          <t>LINKÖPING</t>
        </is>
      </c>
      <c r="F459" t="inlineStr">
        <is>
          <t>Övriga Aktiebolag</t>
        </is>
      </c>
      <c r="G459" t="n">
        <v>2.5</v>
      </c>
      <c r="H459" t="n">
        <v>0</v>
      </c>
      <c r="I459" t="n">
        <v>0</v>
      </c>
      <c r="J459" t="n">
        <v>0</v>
      </c>
      <c r="K459" t="n">
        <v>0</v>
      </c>
      <c r="L459" t="n">
        <v>0</v>
      </c>
      <c r="M459" t="n">
        <v>0</v>
      </c>
      <c r="N459" t="n">
        <v>0</v>
      </c>
      <c r="O459" t="n">
        <v>0</v>
      </c>
      <c r="P459" t="n">
        <v>0</v>
      </c>
      <c r="Q459" t="n">
        <v>0</v>
      </c>
      <c r="R459" s="2" t="inlineStr"/>
    </row>
    <row r="460" ht="15" customHeight="1">
      <c r="A460" t="inlineStr">
        <is>
          <t>A 36725-2023</t>
        </is>
      </c>
      <c r="B460" s="1" t="n">
        <v>45153.68471064815</v>
      </c>
      <c r="C460" s="1" t="n">
        <v>46066</v>
      </c>
      <c r="D460" t="inlineStr">
        <is>
          <t>ÖSTERGÖTLANDS LÄN</t>
        </is>
      </c>
      <c r="E460" t="inlineStr">
        <is>
          <t>LINKÖPING</t>
        </is>
      </c>
      <c r="F460" t="inlineStr">
        <is>
          <t>Allmännings- och besparingsskogar</t>
        </is>
      </c>
      <c r="G460" t="n">
        <v>2.6</v>
      </c>
      <c r="H460" t="n">
        <v>0</v>
      </c>
      <c r="I460" t="n">
        <v>0</v>
      </c>
      <c r="J460" t="n">
        <v>0</v>
      </c>
      <c r="K460" t="n">
        <v>0</v>
      </c>
      <c r="L460" t="n">
        <v>0</v>
      </c>
      <c r="M460" t="n">
        <v>0</v>
      </c>
      <c r="N460" t="n">
        <v>0</v>
      </c>
      <c r="O460" t="n">
        <v>0</v>
      </c>
      <c r="P460" t="n">
        <v>0</v>
      </c>
      <c r="Q460" t="n">
        <v>0</v>
      </c>
      <c r="R460" s="2" t="inlineStr"/>
    </row>
    <row r="461" ht="15" customHeight="1">
      <c r="A461" t="inlineStr">
        <is>
          <t>A 53639-2023</t>
        </is>
      </c>
      <c r="B461" s="1" t="n">
        <v>45230.59686342593</v>
      </c>
      <c r="C461" s="1" t="n">
        <v>46066</v>
      </c>
      <c r="D461" t="inlineStr">
        <is>
          <t>ÖSTERGÖTLANDS LÄN</t>
        </is>
      </c>
      <c r="E461" t="inlineStr">
        <is>
          <t>LINKÖPING</t>
        </is>
      </c>
      <c r="G461" t="n">
        <v>2.3</v>
      </c>
      <c r="H461" t="n">
        <v>0</v>
      </c>
      <c r="I461" t="n">
        <v>0</v>
      </c>
      <c r="J461" t="n">
        <v>0</v>
      </c>
      <c r="K461" t="n">
        <v>0</v>
      </c>
      <c r="L461" t="n">
        <v>0</v>
      </c>
      <c r="M461" t="n">
        <v>0</v>
      </c>
      <c r="N461" t="n">
        <v>0</v>
      </c>
      <c r="O461" t="n">
        <v>0</v>
      </c>
      <c r="P461" t="n">
        <v>0</v>
      </c>
      <c r="Q461" t="n">
        <v>0</v>
      </c>
      <c r="R461" s="2" t="inlineStr"/>
    </row>
    <row r="462" ht="15" customHeight="1">
      <c r="A462" t="inlineStr">
        <is>
          <t>A 1657-2024</t>
        </is>
      </c>
      <c r="B462" s="1" t="n">
        <v>45306.82501157407</v>
      </c>
      <c r="C462" s="1" t="n">
        <v>46066</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50784-2022</t>
        </is>
      </c>
      <c r="B463" s="1" t="n">
        <v>44862</v>
      </c>
      <c r="C463" s="1" t="n">
        <v>46066</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26803-2024</t>
        </is>
      </c>
      <c r="B464" s="1" t="n">
        <v>45470</v>
      </c>
      <c r="C464" s="1" t="n">
        <v>46066</v>
      </c>
      <c r="D464" t="inlineStr">
        <is>
          <t>ÖSTERGÖTLANDS LÄN</t>
        </is>
      </c>
      <c r="E464" t="inlineStr">
        <is>
          <t>LINKÖPING</t>
        </is>
      </c>
      <c r="F464" t="inlineStr">
        <is>
          <t>Allmännings- och besparingsskogar</t>
        </is>
      </c>
      <c r="G464" t="n">
        <v>4.5</v>
      </c>
      <c r="H464" t="n">
        <v>0</v>
      </c>
      <c r="I464" t="n">
        <v>0</v>
      </c>
      <c r="J464" t="n">
        <v>0</v>
      </c>
      <c r="K464" t="n">
        <v>0</v>
      </c>
      <c r="L464" t="n">
        <v>0</v>
      </c>
      <c r="M464" t="n">
        <v>0</v>
      </c>
      <c r="N464" t="n">
        <v>0</v>
      </c>
      <c r="O464" t="n">
        <v>0</v>
      </c>
      <c r="P464" t="n">
        <v>0</v>
      </c>
      <c r="Q464" t="n">
        <v>0</v>
      </c>
      <c r="R464" s="2" t="inlineStr"/>
    </row>
    <row r="465" ht="15" customHeight="1">
      <c r="A465" t="inlineStr">
        <is>
          <t>A 19187-2021</t>
        </is>
      </c>
      <c r="B465" s="1" t="n">
        <v>44308</v>
      </c>
      <c r="C465" s="1" t="n">
        <v>46066</v>
      </c>
      <c r="D465" t="inlineStr">
        <is>
          <t>ÖSTERGÖTLANDS LÄN</t>
        </is>
      </c>
      <c r="E465" t="inlineStr">
        <is>
          <t>LINKÖPING</t>
        </is>
      </c>
      <c r="F465" t="inlineStr">
        <is>
          <t>Allmännings- och besparingsskogar</t>
        </is>
      </c>
      <c r="G465" t="n">
        <v>20</v>
      </c>
      <c r="H465" t="n">
        <v>0</v>
      </c>
      <c r="I465" t="n">
        <v>0</v>
      </c>
      <c r="J465" t="n">
        <v>0</v>
      </c>
      <c r="K465" t="n">
        <v>0</v>
      </c>
      <c r="L465" t="n">
        <v>0</v>
      </c>
      <c r="M465" t="n">
        <v>0</v>
      </c>
      <c r="N465" t="n">
        <v>0</v>
      </c>
      <c r="O465" t="n">
        <v>0</v>
      </c>
      <c r="P465" t="n">
        <v>0</v>
      </c>
      <c r="Q465" t="n">
        <v>0</v>
      </c>
      <c r="R465" s="2" t="inlineStr"/>
    </row>
    <row r="466" ht="15" customHeight="1">
      <c r="A466" t="inlineStr">
        <is>
          <t>A 51802-2025</t>
        </is>
      </c>
      <c r="B466" s="1" t="n">
        <v>45950</v>
      </c>
      <c r="C466" s="1" t="n">
        <v>46066</v>
      </c>
      <c r="D466" t="inlineStr">
        <is>
          <t>ÖSTERGÖTLANDS LÄN</t>
        </is>
      </c>
      <c r="E466" t="inlineStr">
        <is>
          <t>LINKÖPING</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60472-2022</t>
        </is>
      </c>
      <c r="B467" s="1" t="n">
        <v>44911.41037037037</v>
      </c>
      <c r="C467" s="1" t="n">
        <v>46066</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43934-2023</t>
        </is>
      </c>
      <c r="B468" s="1" t="n">
        <v>45187</v>
      </c>
      <c r="C468" s="1" t="n">
        <v>46066</v>
      </c>
      <c r="D468" t="inlineStr">
        <is>
          <t>ÖSTERGÖTLANDS LÄN</t>
        </is>
      </c>
      <c r="E468" t="inlineStr">
        <is>
          <t>LINKÖPING</t>
        </is>
      </c>
      <c r="F468" t="inlineStr">
        <is>
          <t>Övriga Aktiebolag</t>
        </is>
      </c>
      <c r="G468" t="n">
        <v>3.8</v>
      </c>
      <c r="H468" t="n">
        <v>0</v>
      </c>
      <c r="I468" t="n">
        <v>0</v>
      </c>
      <c r="J468" t="n">
        <v>0</v>
      </c>
      <c r="K468" t="n">
        <v>0</v>
      </c>
      <c r="L468" t="n">
        <v>0</v>
      </c>
      <c r="M468" t="n">
        <v>0</v>
      </c>
      <c r="N468" t="n">
        <v>0</v>
      </c>
      <c r="O468" t="n">
        <v>0</v>
      </c>
      <c r="P468" t="n">
        <v>0</v>
      </c>
      <c r="Q468" t="n">
        <v>0</v>
      </c>
      <c r="R468" s="2" t="inlineStr"/>
    </row>
    <row r="469" ht="15" customHeight="1">
      <c r="A469" t="inlineStr">
        <is>
          <t>A 22774-2024</t>
        </is>
      </c>
      <c r="B469" s="1" t="n">
        <v>45448.46924768519</v>
      </c>
      <c r="C469" s="1" t="n">
        <v>46066</v>
      </c>
      <c r="D469" t="inlineStr">
        <is>
          <t>ÖSTERGÖTLANDS LÄN</t>
        </is>
      </c>
      <c r="E469" t="inlineStr">
        <is>
          <t>LINKÖPING</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22778-2024</t>
        </is>
      </c>
      <c r="B470" s="1" t="n">
        <v>45448.47233796296</v>
      </c>
      <c r="C470" s="1" t="n">
        <v>46066</v>
      </c>
      <c r="D470" t="inlineStr">
        <is>
          <t>ÖSTERGÖTLANDS LÄN</t>
        </is>
      </c>
      <c r="E470" t="inlineStr">
        <is>
          <t>LINKÖPING</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1209-2023</t>
        </is>
      </c>
      <c r="B471" s="1" t="n">
        <v>44930</v>
      </c>
      <c r="C471" s="1" t="n">
        <v>46066</v>
      </c>
      <c r="D471" t="inlineStr">
        <is>
          <t>ÖSTERGÖTLANDS LÄN</t>
        </is>
      </c>
      <c r="E471" t="inlineStr">
        <is>
          <t>LINKÖPING</t>
        </is>
      </c>
      <c r="F471" t="inlineStr">
        <is>
          <t>Övriga statliga verk och myndigheter</t>
        </is>
      </c>
      <c r="G471" t="n">
        <v>25.8</v>
      </c>
      <c r="H471" t="n">
        <v>0</v>
      </c>
      <c r="I471" t="n">
        <v>0</v>
      </c>
      <c r="J471" t="n">
        <v>0</v>
      </c>
      <c r="K471" t="n">
        <v>0</v>
      </c>
      <c r="L471" t="n">
        <v>0</v>
      </c>
      <c r="M471" t="n">
        <v>0</v>
      </c>
      <c r="N471" t="n">
        <v>0</v>
      </c>
      <c r="O471" t="n">
        <v>0</v>
      </c>
      <c r="P471" t="n">
        <v>0</v>
      </c>
      <c r="Q471" t="n">
        <v>0</v>
      </c>
      <c r="R471" s="2" t="inlineStr"/>
    </row>
    <row r="472" ht="15" customHeight="1">
      <c r="A472" t="inlineStr">
        <is>
          <t>A 10407-2025</t>
        </is>
      </c>
      <c r="B472" s="1" t="n">
        <v>45720.62863425926</v>
      </c>
      <c r="C472" s="1" t="n">
        <v>46066</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11590-2023</t>
        </is>
      </c>
      <c r="B473" s="1" t="n">
        <v>44994.36689814815</v>
      </c>
      <c r="C473" s="1" t="n">
        <v>46066</v>
      </c>
      <c r="D473" t="inlineStr">
        <is>
          <t>ÖSTERGÖTLANDS LÄN</t>
        </is>
      </c>
      <c r="E473" t="inlineStr">
        <is>
          <t>LINKÖPING</t>
        </is>
      </c>
      <c r="G473" t="n">
        <v>3.1</v>
      </c>
      <c r="H473" t="n">
        <v>0</v>
      </c>
      <c r="I473" t="n">
        <v>0</v>
      </c>
      <c r="J473" t="n">
        <v>0</v>
      </c>
      <c r="K473" t="n">
        <v>0</v>
      </c>
      <c r="L473" t="n">
        <v>0</v>
      </c>
      <c r="M473" t="n">
        <v>0</v>
      </c>
      <c r="N473" t="n">
        <v>0</v>
      </c>
      <c r="O473" t="n">
        <v>0</v>
      </c>
      <c r="P473" t="n">
        <v>0</v>
      </c>
      <c r="Q473" t="n">
        <v>0</v>
      </c>
      <c r="R473" s="2" t="inlineStr"/>
    </row>
    <row r="474" ht="15" customHeight="1">
      <c r="A474" t="inlineStr">
        <is>
          <t>A 19169-2023</t>
        </is>
      </c>
      <c r="B474" s="1" t="n">
        <v>45044</v>
      </c>
      <c r="C474" s="1" t="n">
        <v>46066</v>
      </c>
      <c r="D474" t="inlineStr">
        <is>
          <t>ÖSTERGÖTLANDS LÄN</t>
        </is>
      </c>
      <c r="E474" t="inlineStr">
        <is>
          <t>LINKÖPING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52111-2025</t>
        </is>
      </c>
      <c r="B475" s="1" t="n">
        <v>45952.69527777778</v>
      </c>
      <c r="C475" s="1" t="n">
        <v>46066</v>
      </c>
      <c r="D475" t="inlineStr">
        <is>
          <t>ÖSTERGÖTLANDS LÄN</t>
        </is>
      </c>
      <c r="E475" t="inlineStr">
        <is>
          <t>LINKÖPING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672-2024</t>
        </is>
      </c>
      <c r="B476" s="1" t="n">
        <v>45300</v>
      </c>
      <c r="C476" s="1" t="n">
        <v>46066</v>
      </c>
      <c r="D476" t="inlineStr">
        <is>
          <t>ÖSTERGÖTLANDS LÄN</t>
        </is>
      </c>
      <c r="E476" t="inlineStr">
        <is>
          <t>LINKÖPING</t>
        </is>
      </c>
      <c r="F476" t="inlineStr">
        <is>
          <t>Sveaskog</t>
        </is>
      </c>
      <c r="G476" t="n">
        <v>4.5</v>
      </c>
      <c r="H476" t="n">
        <v>0</v>
      </c>
      <c r="I476" t="n">
        <v>0</v>
      </c>
      <c r="J476" t="n">
        <v>0</v>
      </c>
      <c r="K476" t="n">
        <v>0</v>
      </c>
      <c r="L476" t="n">
        <v>0</v>
      </c>
      <c r="M476" t="n">
        <v>0</v>
      </c>
      <c r="N476" t="n">
        <v>0</v>
      </c>
      <c r="O476" t="n">
        <v>0</v>
      </c>
      <c r="P476" t="n">
        <v>0</v>
      </c>
      <c r="Q476" t="n">
        <v>0</v>
      </c>
      <c r="R476" s="2" t="inlineStr"/>
    </row>
    <row r="477" ht="15" customHeight="1">
      <c r="A477" t="inlineStr">
        <is>
          <t>A 55493-2021</t>
        </is>
      </c>
      <c r="B477" s="1" t="n">
        <v>44475.61988425926</v>
      </c>
      <c r="C477" s="1" t="n">
        <v>46066</v>
      </c>
      <c r="D477" t="inlineStr">
        <is>
          <t>ÖSTERGÖTLANDS LÄN</t>
        </is>
      </c>
      <c r="E477" t="inlineStr">
        <is>
          <t>LINKÖPING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14093-2024</t>
        </is>
      </c>
      <c r="B478" s="1" t="n">
        <v>45392.60278935185</v>
      </c>
      <c r="C478" s="1" t="n">
        <v>46066</v>
      </c>
      <c r="D478" t="inlineStr">
        <is>
          <t>ÖSTERGÖTLANDS LÄN</t>
        </is>
      </c>
      <c r="E478" t="inlineStr">
        <is>
          <t>LINKÖPING</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62019-2024</t>
        </is>
      </c>
      <c r="B479" s="1" t="n">
        <v>45655.82</v>
      </c>
      <c r="C479" s="1" t="n">
        <v>46066</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52740-2025</t>
        </is>
      </c>
      <c r="B480" s="1" t="n">
        <v>45957.37747685185</v>
      </c>
      <c r="C480" s="1" t="n">
        <v>46066</v>
      </c>
      <c r="D480" t="inlineStr">
        <is>
          <t>ÖSTERGÖTLANDS LÄN</t>
        </is>
      </c>
      <c r="E480" t="inlineStr">
        <is>
          <t>LINKÖPING</t>
        </is>
      </c>
      <c r="G480" t="n">
        <v>3.7</v>
      </c>
      <c r="H480" t="n">
        <v>0</v>
      </c>
      <c r="I480" t="n">
        <v>0</v>
      </c>
      <c r="J480" t="n">
        <v>0</v>
      </c>
      <c r="K480" t="n">
        <v>0</v>
      </c>
      <c r="L480" t="n">
        <v>0</v>
      </c>
      <c r="M480" t="n">
        <v>0</v>
      </c>
      <c r="N480" t="n">
        <v>0</v>
      </c>
      <c r="O480" t="n">
        <v>0</v>
      </c>
      <c r="P480" t="n">
        <v>0</v>
      </c>
      <c r="Q480" t="n">
        <v>0</v>
      </c>
      <c r="R480" s="2" t="inlineStr"/>
    </row>
    <row r="481" ht="15" customHeight="1">
      <c r="A481" t="inlineStr">
        <is>
          <t>A 25119-2023</t>
        </is>
      </c>
      <c r="B481" s="1" t="n">
        <v>45086.42326388889</v>
      </c>
      <c r="C481" s="1" t="n">
        <v>46066</v>
      </c>
      <c r="D481" t="inlineStr">
        <is>
          <t>ÖSTERGÖTLANDS LÄN</t>
        </is>
      </c>
      <c r="E481" t="inlineStr">
        <is>
          <t>LINKÖPING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57396-2021</t>
        </is>
      </c>
      <c r="B482" s="1" t="n">
        <v>44483.56151620371</v>
      </c>
      <c r="C482" s="1" t="n">
        <v>46066</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52800-2025</t>
        </is>
      </c>
      <c r="B483" s="1" t="n">
        <v>45957.44152777778</v>
      </c>
      <c r="C483" s="1" t="n">
        <v>46066</v>
      </c>
      <c r="D483" t="inlineStr">
        <is>
          <t>ÖSTERGÖTLANDS LÄN</t>
        </is>
      </c>
      <c r="E483" t="inlineStr">
        <is>
          <t>LINKÖPING</t>
        </is>
      </c>
      <c r="G483" t="n">
        <v>2.5</v>
      </c>
      <c r="H483" t="n">
        <v>0</v>
      </c>
      <c r="I483" t="n">
        <v>0</v>
      </c>
      <c r="J483" t="n">
        <v>0</v>
      </c>
      <c r="K483" t="n">
        <v>0</v>
      </c>
      <c r="L483" t="n">
        <v>0</v>
      </c>
      <c r="M483" t="n">
        <v>0</v>
      </c>
      <c r="N483" t="n">
        <v>0</v>
      </c>
      <c r="O483" t="n">
        <v>0</v>
      </c>
      <c r="P483" t="n">
        <v>0</v>
      </c>
      <c r="Q483" t="n">
        <v>0</v>
      </c>
      <c r="R483" s="2" t="inlineStr"/>
    </row>
    <row r="484" ht="15" customHeight="1">
      <c r="A484" t="inlineStr">
        <is>
          <t>A 52802-2025</t>
        </is>
      </c>
      <c r="B484" s="1" t="n">
        <v>45957.44295138889</v>
      </c>
      <c r="C484" s="1" t="n">
        <v>46066</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51571-2024</t>
        </is>
      </c>
      <c r="B485" s="1" t="n">
        <v>45604</v>
      </c>
      <c r="C485" s="1" t="n">
        <v>46066</v>
      </c>
      <c r="D485" t="inlineStr">
        <is>
          <t>ÖSTERGÖTLANDS LÄN</t>
        </is>
      </c>
      <c r="E485" t="inlineStr">
        <is>
          <t>LINKÖPING</t>
        </is>
      </c>
      <c r="F485" t="inlineStr">
        <is>
          <t>Övriga Aktiebolag</t>
        </is>
      </c>
      <c r="G485" t="n">
        <v>1.4</v>
      </c>
      <c r="H485" t="n">
        <v>0</v>
      </c>
      <c r="I485" t="n">
        <v>0</v>
      </c>
      <c r="J485" t="n">
        <v>0</v>
      </c>
      <c r="K485" t="n">
        <v>0</v>
      </c>
      <c r="L485" t="n">
        <v>0</v>
      </c>
      <c r="M485" t="n">
        <v>0</v>
      </c>
      <c r="N485" t="n">
        <v>0</v>
      </c>
      <c r="O485" t="n">
        <v>0</v>
      </c>
      <c r="P485" t="n">
        <v>0</v>
      </c>
      <c r="Q485" t="n">
        <v>0</v>
      </c>
      <c r="R485" s="2" t="inlineStr"/>
    </row>
    <row r="486" ht="15" customHeight="1">
      <c r="A486" t="inlineStr">
        <is>
          <t>A 17143-2025</t>
        </is>
      </c>
      <c r="B486" s="1" t="n">
        <v>45755.92731481481</v>
      </c>
      <c r="C486" s="1" t="n">
        <v>46066</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52743-2025</t>
        </is>
      </c>
      <c r="B487" s="1" t="n">
        <v>45957.38039351852</v>
      </c>
      <c r="C487" s="1" t="n">
        <v>46066</v>
      </c>
      <c r="D487" t="inlineStr">
        <is>
          <t>ÖSTERGÖTLANDS LÄN</t>
        </is>
      </c>
      <c r="E487" t="inlineStr">
        <is>
          <t>LINKÖPING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52807-2025</t>
        </is>
      </c>
      <c r="B488" s="1" t="n">
        <v>45957.44837962963</v>
      </c>
      <c r="C488" s="1" t="n">
        <v>46066</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17124-2025</t>
        </is>
      </c>
      <c r="B489" s="1" t="n">
        <v>45755.69678240741</v>
      </c>
      <c r="C489" s="1" t="n">
        <v>46066</v>
      </c>
      <c r="D489" t="inlineStr">
        <is>
          <t>ÖSTERGÖTLANDS LÄN</t>
        </is>
      </c>
      <c r="E489" t="inlineStr">
        <is>
          <t>LINKÖPING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17126-2025</t>
        </is>
      </c>
      <c r="B490" s="1" t="n">
        <v>45755.70814814815</v>
      </c>
      <c r="C490" s="1" t="n">
        <v>46066</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31640-2023</t>
        </is>
      </c>
      <c r="B491" s="1" t="n">
        <v>45117</v>
      </c>
      <c r="C491" s="1" t="n">
        <v>46066</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11790-2024</t>
        </is>
      </c>
      <c r="B492" s="1" t="n">
        <v>45374</v>
      </c>
      <c r="C492" s="1" t="n">
        <v>46066</v>
      </c>
      <c r="D492" t="inlineStr">
        <is>
          <t>ÖSTERGÖTLANDS LÄN</t>
        </is>
      </c>
      <c r="E492" t="inlineStr">
        <is>
          <t>LINKÖPING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61281-2021</t>
        </is>
      </c>
      <c r="B493" s="1" t="n">
        <v>44498.60736111111</v>
      </c>
      <c r="C493" s="1" t="n">
        <v>46066</v>
      </c>
      <c r="D493" t="inlineStr">
        <is>
          <t>ÖSTERGÖTLANDS LÄN</t>
        </is>
      </c>
      <c r="E493" t="inlineStr">
        <is>
          <t>LINKÖPING</t>
        </is>
      </c>
      <c r="G493" t="n">
        <v>4.5</v>
      </c>
      <c r="H493" t="n">
        <v>0</v>
      </c>
      <c r="I493" t="n">
        <v>0</v>
      </c>
      <c r="J493" t="n">
        <v>0</v>
      </c>
      <c r="K493" t="n">
        <v>0</v>
      </c>
      <c r="L493" t="n">
        <v>0</v>
      </c>
      <c r="M493" t="n">
        <v>0</v>
      </c>
      <c r="N493" t="n">
        <v>0</v>
      </c>
      <c r="O493" t="n">
        <v>0</v>
      </c>
      <c r="P493" t="n">
        <v>0</v>
      </c>
      <c r="Q493" t="n">
        <v>0</v>
      </c>
      <c r="R493" s="2" t="inlineStr"/>
    </row>
    <row r="494" ht="15" customHeight="1">
      <c r="A494" t="inlineStr">
        <is>
          <t>A 54332-2025</t>
        </is>
      </c>
      <c r="B494" s="1" t="n">
        <v>45965.34915509259</v>
      </c>
      <c r="C494" s="1" t="n">
        <v>46066</v>
      </c>
      <c r="D494" t="inlineStr">
        <is>
          <t>ÖSTERGÖTLANDS LÄN</t>
        </is>
      </c>
      <c r="E494" t="inlineStr">
        <is>
          <t>LINKÖPING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54329-2025</t>
        </is>
      </c>
      <c r="B495" s="1" t="n">
        <v>45965.34706018519</v>
      </c>
      <c r="C495" s="1" t="n">
        <v>46066</v>
      </c>
      <c r="D495" t="inlineStr">
        <is>
          <t>ÖSTERGÖTLANDS LÄN</t>
        </is>
      </c>
      <c r="E495" t="inlineStr">
        <is>
          <t>LINKÖPING</t>
        </is>
      </c>
      <c r="F495" t="inlineStr">
        <is>
          <t>Sveaskog</t>
        </is>
      </c>
      <c r="G495" t="n">
        <v>5.1</v>
      </c>
      <c r="H495" t="n">
        <v>0</v>
      </c>
      <c r="I495" t="n">
        <v>0</v>
      </c>
      <c r="J495" t="n">
        <v>0</v>
      </c>
      <c r="K495" t="n">
        <v>0</v>
      </c>
      <c r="L495" t="n">
        <v>0</v>
      </c>
      <c r="M495" t="n">
        <v>0</v>
      </c>
      <c r="N495" t="n">
        <v>0</v>
      </c>
      <c r="O495" t="n">
        <v>0</v>
      </c>
      <c r="P495" t="n">
        <v>0</v>
      </c>
      <c r="Q495" t="n">
        <v>0</v>
      </c>
      <c r="R495" s="2" t="inlineStr"/>
    </row>
    <row r="496" ht="15" customHeight="1">
      <c r="A496" t="inlineStr">
        <is>
          <t>A 6206-2024</t>
        </is>
      </c>
      <c r="B496" s="1" t="n">
        <v>45337.5977662037</v>
      </c>
      <c r="C496" s="1" t="n">
        <v>46066</v>
      </c>
      <c r="D496" t="inlineStr">
        <is>
          <t>ÖSTERGÖTLANDS LÄN</t>
        </is>
      </c>
      <c r="E496" t="inlineStr">
        <is>
          <t>LINKÖPING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168-2024</t>
        </is>
      </c>
      <c r="B497" s="1" t="n">
        <v>45294</v>
      </c>
      <c r="C497" s="1" t="n">
        <v>46066</v>
      </c>
      <c r="D497" t="inlineStr">
        <is>
          <t>ÖSTERGÖTLANDS LÄN</t>
        </is>
      </c>
      <c r="E497" t="inlineStr">
        <is>
          <t>LINKÖPING</t>
        </is>
      </c>
      <c r="F497" t="inlineStr">
        <is>
          <t>Allmännings- och besparingsskogar</t>
        </is>
      </c>
      <c r="G497" t="n">
        <v>8.9</v>
      </c>
      <c r="H497" t="n">
        <v>0</v>
      </c>
      <c r="I497" t="n">
        <v>0</v>
      </c>
      <c r="J497" t="n">
        <v>0</v>
      </c>
      <c r="K497" t="n">
        <v>0</v>
      </c>
      <c r="L497" t="n">
        <v>0</v>
      </c>
      <c r="M497" t="n">
        <v>0</v>
      </c>
      <c r="N497" t="n">
        <v>0</v>
      </c>
      <c r="O497" t="n">
        <v>0</v>
      </c>
      <c r="P497" t="n">
        <v>0</v>
      </c>
      <c r="Q497" t="n">
        <v>0</v>
      </c>
      <c r="R497" s="2" t="inlineStr"/>
    </row>
    <row r="498" ht="15" customHeight="1">
      <c r="A498" t="inlineStr">
        <is>
          <t>A 51919-2024</t>
        </is>
      </c>
      <c r="B498" s="1" t="n">
        <v>45607.60791666667</v>
      </c>
      <c r="C498" s="1" t="n">
        <v>46066</v>
      </c>
      <c r="D498" t="inlineStr">
        <is>
          <t>ÖSTERGÖTLANDS LÄN</t>
        </is>
      </c>
      <c r="E498" t="inlineStr">
        <is>
          <t>LINKÖPING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56623-2024</t>
        </is>
      </c>
      <c r="B499" s="1" t="n">
        <v>45625</v>
      </c>
      <c r="C499" s="1" t="n">
        <v>46066</v>
      </c>
      <c r="D499" t="inlineStr">
        <is>
          <t>ÖSTERGÖTLANDS LÄN</t>
        </is>
      </c>
      <c r="E499" t="inlineStr">
        <is>
          <t>LINKÖPING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11330-2023</t>
        </is>
      </c>
      <c r="B500" s="1" t="n">
        <v>44993.24648148148</v>
      </c>
      <c r="C500" s="1" t="n">
        <v>46066</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63304-2021</t>
        </is>
      </c>
      <c r="B501" s="1" t="n">
        <v>44508.4396412037</v>
      </c>
      <c r="C501" s="1" t="n">
        <v>46066</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54333-2025</t>
        </is>
      </c>
      <c r="B502" s="1" t="n">
        <v>45965.35090277778</v>
      </c>
      <c r="C502" s="1" t="n">
        <v>46066</v>
      </c>
      <c r="D502" t="inlineStr">
        <is>
          <t>ÖSTERGÖTLANDS LÄN</t>
        </is>
      </c>
      <c r="E502" t="inlineStr">
        <is>
          <t>LINKÖPING</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14528-2025</t>
        </is>
      </c>
      <c r="B503" s="1" t="n">
        <v>45741</v>
      </c>
      <c r="C503" s="1" t="n">
        <v>46066</v>
      </c>
      <c r="D503" t="inlineStr">
        <is>
          <t>ÖSTERGÖTLANDS LÄN</t>
        </is>
      </c>
      <c r="E503" t="inlineStr">
        <is>
          <t>LINKÖPING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3530-2024</t>
        </is>
      </c>
      <c r="B504" s="1" t="n">
        <v>45320.54717592592</v>
      </c>
      <c r="C504" s="1" t="n">
        <v>46066</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62073-2023</t>
        </is>
      </c>
      <c r="B505" s="1" t="n">
        <v>45266.73844907407</v>
      </c>
      <c r="C505" s="1" t="n">
        <v>46066</v>
      </c>
      <c r="D505" t="inlineStr">
        <is>
          <t>ÖSTERGÖTLANDS LÄN</t>
        </is>
      </c>
      <c r="E505" t="inlineStr">
        <is>
          <t>LINKÖPING</t>
        </is>
      </c>
      <c r="F505" t="inlineStr">
        <is>
          <t>Allmännings- och besparingsskogar</t>
        </is>
      </c>
      <c r="G505" t="n">
        <v>1.8</v>
      </c>
      <c r="H505" t="n">
        <v>0</v>
      </c>
      <c r="I505" t="n">
        <v>0</v>
      </c>
      <c r="J505" t="n">
        <v>0</v>
      </c>
      <c r="K505" t="n">
        <v>0</v>
      </c>
      <c r="L505" t="n">
        <v>0</v>
      </c>
      <c r="M505" t="n">
        <v>0</v>
      </c>
      <c r="N505" t="n">
        <v>0</v>
      </c>
      <c r="O505" t="n">
        <v>0</v>
      </c>
      <c r="P505" t="n">
        <v>0</v>
      </c>
      <c r="Q505" t="n">
        <v>0</v>
      </c>
      <c r="R505" s="2" t="inlineStr"/>
    </row>
    <row r="506" ht="15" customHeight="1">
      <c r="A506" t="inlineStr">
        <is>
          <t>A 5872-2025</t>
        </is>
      </c>
      <c r="B506" s="1" t="n">
        <v>45695.36659722222</v>
      </c>
      <c r="C506" s="1" t="n">
        <v>46066</v>
      </c>
      <c r="D506" t="inlineStr">
        <is>
          <t>ÖSTERGÖTLANDS LÄN</t>
        </is>
      </c>
      <c r="E506" t="inlineStr">
        <is>
          <t>LINKÖPING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53814-2023</t>
        </is>
      </c>
      <c r="B507" s="1" t="n">
        <v>45231</v>
      </c>
      <c r="C507" s="1" t="n">
        <v>46066</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3432-2023</t>
        </is>
      </c>
      <c r="B508" s="1" t="n">
        <v>44949</v>
      </c>
      <c r="C508" s="1" t="n">
        <v>46066</v>
      </c>
      <c r="D508" t="inlineStr">
        <is>
          <t>ÖSTERGÖTLANDS LÄN</t>
        </is>
      </c>
      <c r="E508" t="inlineStr">
        <is>
          <t>LINKÖPING</t>
        </is>
      </c>
      <c r="G508" t="n">
        <v>1.9</v>
      </c>
      <c r="H508" t="n">
        <v>0</v>
      </c>
      <c r="I508" t="n">
        <v>0</v>
      </c>
      <c r="J508" t="n">
        <v>0</v>
      </c>
      <c r="K508" t="n">
        <v>0</v>
      </c>
      <c r="L508" t="n">
        <v>0</v>
      </c>
      <c r="M508" t="n">
        <v>0</v>
      </c>
      <c r="N508" t="n">
        <v>0</v>
      </c>
      <c r="O508" t="n">
        <v>0</v>
      </c>
      <c r="P508" t="n">
        <v>0</v>
      </c>
      <c r="Q508" t="n">
        <v>0</v>
      </c>
      <c r="R508" s="2" t="inlineStr"/>
    </row>
    <row r="509" ht="15" customHeight="1">
      <c r="A509" t="inlineStr">
        <is>
          <t>A 55102-2025</t>
        </is>
      </c>
      <c r="B509" s="1" t="n">
        <v>45968.35410879629</v>
      </c>
      <c r="C509" s="1" t="n">
        <v>46066</v>
      </c>
      <c r="D509" t="inlineStr">
        <is>
          <t>ÖSTERGÖTLANDS LÄN</t>
        </is>
      </c>
      <c r="E509" t="inlineStr">
        <is>
          <t>LINKÖPING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55132-2025</t>
        </is>
      </c>
      <c r="B510" s="1" t="n">
        <v>45968.41912037037</v>
      </c>
      <c r="C510" s="1" t="n">
        <v>46066</v>
      </c>
      <c r="D510" t="inlineStr">
        <is>
          <t>ÖSTERGÖTLANDS LÄN</t>
        </is>
      </c>
      <c r="E510" t="inlineStr">
        <is>
          <t>LINKÖPING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54425-2022</t>
        </is>
      </c>
      <c r="B511" s="1" t="n">
        <v>44882.57453703704</v>
      </c>
      <c r="C511" s="1" t="n">
        <v>46066</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54428-2022</t>
        </is>
      </c>
      <c r="B512" s="1" t="n">
        <v>44882.57643518518</v>
      </c>
      <c r="C512" s="1" t="n">
        <v>46066</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55109-2025</t>
        </is>
      </c>
      <c r="B513" s="1" t="n">
        <v>45968.37731481482</v>
      </c>
      <c r="C513" s="1" t="n">
        <v>46066</v>
      </c>
      <c r="D513" t="inlineStr">
        <is>
          <t>ÖSTERGÖTLANDS LÄN</t>
        </is>
      </c>
      <c r="E513" t="inlineStr">
        <is>
          <t>LINKÖPING</t>
        </is>
      </c>
      <c r="G513" t="n">
        <v>3.2</v>
      </c>
      <c r="H513" t="n">
        <v>0</v>
      </c>
      <c r="I513" t="n">
        <v>0</v>
      </c>
      <c r="J513" t="n">
        <v>0</v>
      </c>
      <c r="K513" t="n">
        <v>0</v>
      </c>
      <c r="L513" t="n">
        <v>0</v>
      </c>
      <c r="M513" t="n">
        <v>0</v>
      </c>
      <c r="N513" t="n">
        <v>0</v>
      </c>
      <c r="O513" t="n">
        <v>0</v>
      </c>
      <c r="P513" t="n">
        <v>0</v>
      </c>
      <c r="Q513" t="n">
        <v>0</v>
      </c>
      <c r="R513" s="2" t="inlineStr"/>
    </row>
    <row r="514" ht="15" customHeight="1">
      <c r="A514" t="inlineStr">
        <is>
          <t>A 55165-2025</t>
        </is>
      </c>
      <c r="B514" s="1" t="n">
        <v>45968.48194444444</v>
      </c>
      <c r="C514" s="1" t="n">
        <v>46066</v>
      </c>
      <c r="D514" t="inlineStr">
        <is>
          <t>ÖSTERGÖTLANDS LÄN</t>
        </is>
      </c>
      <c r="E514" t="inlineStr">
        <is>
          <t>LINKÖPING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660-2023</t>
        </is>
      </c>
      <c r="B515" s="1" t="n">
        <v>44930</v>
      </c>
      <c r="C515" s="1" t="n">
        <v>46066</v>
      </c>
      <c r="D515" t="inlineStr">
        <is>
          <t>ÖSTERGÖTLANDS LÄN</t>
        </is>
      </c>
      <c r="E515" t="inlineStr">
        <is>
          <t>LINKÖPING</t>
        </is>
      </c>
      <c r="F515" t="inlineStr">
        <is>
          <t>Kyrkan</t>
        </is>
      </c>
      <c r="G515" t="n">
        <v>1.6</v>
      </c>
      <c r="H515" t="n">
        <v>0</v>
      </c>
      <c r="I515" t="n">
        <v>0</v>
      </c>
      <c r="J515" t="n">
        <v>0</v>
      </c>
      <c r="K515" t="n">
        <v>0</v>
      </c>
      <c r="L515" t="n">
        <v>0</v>
      </c>
      <c r="M515" t="n">
        <v>0</v>
      </c>
      <c r="N515" t="n">
        <v>0</v>
      </c>
      <c r="O515" t="n">
        <v>0</v>
      </c>
      <c r="P515" t="n">
        <v>0</v>
      </c>
      <c r="Q515" t="n">
        <v>0</v>
      </c>
      <c r="R515" s="2" t="inlineStr"/>
    </row>
    <row r="516" ht="15" customHeight="1">
      <c r="A516" t="inlineStr">
        <is>
          <t>A 62501-2023</t>
        </is>
      </c>
      <c r="B516" s="1" t="n">
        <v>45268</v>
      </c>
      <c r="C516" s="1" t="n">
        <v>46066</v>
      </c>
      <c r="D516" t="inlineStr">
        <is>
          <t>ÖSTERGÖTLANDS LÄN</t>
        </is>
      </c>
      <c r="E516" t="inlineStr">
        <is>
          <t>LINKÖPING</t>
        </is>
      </c>
      <c r="G516" t="n">
        <v>7.4</v>
      </c>
      <c r="H516" t="n">
        <v>0</v>
      </c>
      <c r="I516" t="n">
        <v>0</v>
      </c>
      <c r="J516" t="n">
        <v>0</v>
      </c>
      <c r="K516" t="n">
        <v>0</v>
      </c>
      <c r="L516" t="n">
        <v>0</v>
      </c>
      <c r="M516" t="n">
        <v>0</v>
      </c>
      <c r="N516" t="n">
        <v>0</v>
      </c>
      <c r="O516" t="n">
        <v>0</v>
      </c>
      <c r="P516" t="n">
        <v>0</v>
      </c>
      <c r="Q516" t="n">
        <v>0</v>
      </c>
      <c r="R516" s="2" t="inlineStr"/>
    </row>
    <row r="517" ht="15" customHeight="1">
      <c r="A517" t="inlineStr">
        <is>
          <t>A 13413-2023</t>
        </is>
      </c>
      <c r="B517" s="1" t="n">
        <v>45005.58341435185</v>
      </c>
      <c r="C517" s="1" t="n">
        <v>46066</v>
      </c>
      <c r="D517" t="inlineStr">
        <is>
          <t>ÖSTERGÖTLANDS LÄN</t>
        </is>
      </c>
      <c r="E517" t="inlineStr">
        <is>
          <t>LINKÖPING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26620-2023</t>
        </is>
      </c>
      <c r="B518" s="1" t="n">
        <v>45092.70390046296</v>
      </c>
      <c r="C518" s="1" t="n">
        <v>46066</v>
      </c>
      <c r="D518" t="inlineStr">
        <is>
          <t>ÖSTERGÖTLANDS LÄN</t>
        </is>
      </c>
      <c r="E518" t="inlineStr">
        <is>
          <t>LINKÖPING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56113-2025</t>
        </is>
      </c>
      <c r="B519" s="1" t="n">
        <v>45973.73924768518</v>
      </c>
      <c r="C519" s="1" t="n">
        <v>46066</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56105-2025</t>
        </is>
      </c>
      <c r="B520" s="1" t="n">
        <v>45973.72855324074</v>
      </c>
      <c r="C520" s="1" t="n">
        <v>46066</v>
      </c>
      <c r="D520" t="inlineStr">
        <is>
          <t>ÖSTERGÖTLANDS LÄN</t>
        </is>
      </c>
      <c r="E520" t="inlineStr">
        <is>
          <t>LINKÖPING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56403-2025</t>
        </is>
      </c>
      <c r="B521" s="1" t="n">
        <v>45974</v>
      </c>
      <c r="C521" s="1" t="n">
        <v>46066</v>
      </c>
      <c r="D521" t="inlineStr">
        <is>
          <t>ÖSTERGÖTLANDS LÄN</t>
        </is>
      </c>
      <c r="E521" t="inlineStr">
        <is>
          <t>LINKÖPING</t>
        </is>
      </c>
      <c r="G521" t="n">
        <v>3.3</v>
      </c>
      <c r="H521" t="n">
        <v>0</v>
      </c>
      <c r="I521" t="n">
        <v>0</v>
      </c>
      <c r="J521" t="n">
        <v>0</v>
      </c>
      <c r="K521" t="n">
        <v>0</v>
      </c>
      <c r="L521" t="n">
        <v>0</v>
      </c>
      <c r="M521" t="n">
        <v>0</v>
      </c>
      <c r="N521" t="n">
        <v>0</v>
      </c>
      <c r="O521" t="n">
        <v>0</v>
      </c>
      <c r="P521" t="n">
        <v>0</v>
      </c>
      <c r="Q521" t="n">
        <v>0</v>
      </c>
      <c r="R521" s="2" t="inlineStr"/>
    </row>
    <row r="522" ht="15" customHeight="1">
      <c r="A522" t="inlineStr">
        <is>
          <t>A 16462-2021</t>
        </is>
      </c>
      <c r="B522" s="1" t="n">
        <v>44293</v>
      </c>
      <c r="C522" s="1" t="n">
        <v>46066</v>
      </c>
      <c r="D522" t="inlineStr">
        <is>
          <t>ÖSTERGÖTLANDS LÄN</t>
        </is>
      </c>
      <c r="E522" t="inlineStr">
        <is>
          <t>LINKÖPING</t>
        </is>
      </c>
      <c r="F522" t="inlineStr">
        <is>
          <t>Allmännings- och besparingsskogar</t>
        </is>
      </c>
      <c r="G522" t="n">
        <v>24.7</v>
      </c>
      <c r="H522" t="n">
        <v>0</v>
      </c>
      <c r="I522" t="n">
        <v>0</v>
      </c>
      <c r="J522" t="n">
        <v>0</v>
      </c>
      <c r="K522" t="n">
        <v>0</v>
      </c>
      <c r="L522" t="n">
        <v>0</v>
      </c>
      <c r="M522" t="n">
        <v>0</v>
      </c>
      <c r="N522" t="n">
        <v>0</v>
      </c>
      <c r="O522" t="n">
        <v>0</v>
      </c>
      <c r="P522" t="n">
        <v>0</v>
      </c>
      <c r="Q522" t="n">
        <v>0</v>
      </c>
      <c r="R522" s="2" t="inlineStr"/>
    </row>
    <row r="523" ht="15" customHeight="1">
      <c r="A523" t="inlineStr">
        <is>
          <t>A 56704-2025</t>
        </is>
      </c>
      <c r="B523" s="1" t="n">
        <v>45977.50608796296</v>
      </c>
      <c r="C523" s="1" t="n">
        <v>46066</v>
      </c>
      <c r="D523" t="inlineStr">
        <is>
          <t>ÖSTERGÖTLANDS LÄN</t>
        </is>
      </c>
      <c r="E523" t="inlineStr">
        <is>
          <t>LINKÖPING</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46066</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63638-2023</t>
        </is>
      </c>
      <c r="B525" s="1" t="n">
        <v>45275</v>
      </c>
      <c r="C525" s="1" t="n">
        <v>46066</v>
      </c>
      <c r="D525" t="inlineStr">
        <is>
          <t>ÖSTERGÖTLANDS LÄN</t>
        </is>
      </c>
      <c r="E525" t="inlineStr">
        <is>
          <t>LINKÖPING</t>
        </is>
      </c>
      <c r="F525" t="inlineStr">
        <is>
          <t>Övriga Aktiebolag</t>
        </is>
      </c>
      <c r="G525" t="n">
        <v>2.4</v>
      </c>
      <c r="H525" t="n">
        <v>0</v>
      </c>
      <c r="I525" t="n">
        <v>0</v>
      </c>
      <c r="J525" t="n">
        <v>0</v>
      </c>
      <c r="K525" t="n">
        <v>0</v>
      </c>
      <c r="L525" t="n">
        <v>0</v>
      </c>
      <c r="M525" t="n">
        <v>0</v>
      </c>
      <c r="N525" t="n">
        <v>0</v>
      </c>
      <c r="O525" t="n">
        <v>0</v>
      </c>
      <c r="P525" t="n">
        <v>0</v>
      </c>
      <c r="Q525" t="n">
        <v>0</v>
      </c>
      <c r="R525" s="2" t="inlineStr"/>
    </row>
    <row r="526" ht="15" customHeight="1">
      <c r="A526" t="inlineStr">
        <is>
          <t>A 63658-2023</t>
        </is>
      </c>
      <c r="B526" s="1" t="n">
        <v>45275</v>
      </c>
      <c r="C526" s="1" t="n">
        <v>46066</v>
      </c>
      <c r="D526" t="inlineStr">
        <is>
          <t>ÖSTERGÖTLANDS LÄN</t>
        </is>
      </c>
      <c r="E526" t="inlineStr">
        <is>
          <t>LINKÖPING</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16820-2024</t>
        </is>
      </c>
      <c r="B527" s="1" t="n">
        <v>45411.46809027778</v>
      </c>
      <c r="C527" s="1" t="n">
        <v>46066</v>
      </c>
      <c r="D527" t="inlineStr">
        <is>
          <t>ÖSTERGÖTLANDS LÄN</t>
        </is>
      </c>
      <c r="E527" t="inlineStr">
        <is>
          <t>LINKÖPING</t>
        </is>
      </c>
      <c r="G527" t="n">
        <v>1</v>
      </c>
      <c r="H527" t="n">
        <v>0</v>
      </c>
      <c r="I527" t="n">
        <v>0</v>
      </c>
      <c r="J527" t="n">
        <v>0</v>
      </c>
      <c r="K527" t="n">
        <v>0</v>
      </c>
      <c r="L527" t="n">
        <v>0</v>
      </c>
      <c r="M527" t="n">
        <v>0</v>
      </c>
      <c r="N527" t="n">
        <v>0</v>
      </c>
      <c r="O527" t="n">
        <v>0</v>
      </c>
      <c r="P527" t="n">
        <v>0</v>
      </c>
      <c r="Q527" t="n">
        <v>0</v>
      </c>
      <c r="R527" s="2" t="inlineStr"/>
    </row>
    <row r="528" ht="15" customHeight="1">
      <c r="A528" t="inlineStr">
        <is>
          <t>A 4456-2024</t>
        </is>
      </c>
      <c r="B528" s="1" t="n">
        <v>45327.52847222222</v>
      </c>
      <c r="C528" s="1" t="n">
        <v>46066</v>
      </c>
      <c r="D528" t="inlineStr">
        <is>
          <t>ÖSTERGÖTLANDS LÄN</t>
        </is>
      </c>
      <c r="E528" t="inlineStr">
        <is>
          <t>LINKÖPING</t>
        </is>
      </c>
      <c r="G528" t="n">
        <v>2.7</v>
      </c>
      <c r="H528" t="n">
        <v>0</v>
      </c>
      <c r="I528" t="n">
        <v>0</v>
      </c>
      <c r="J528" t="n">
        <v>0</v>
      </c>
      <c r="K528" t="n">
        <v>0</v>
      </c>
      <c r="L528" t="n">
        <v>0</v>
      </c>
      <c r="M528" t="n">
        <v>0</v>
      </c>
      <c r="N528" t="n">
        <v>0</v>
      </c>
      <c r="O528" t="n">
        <v>0</v>
      </c>
      <c r="P528" t="n">
        <v>0</v>
      </c>
      <c r="Q528" t="n">
        <v>0</v>
      </c>
      <c r="R528" s="2" t="inlineStr"/>
    </row>
    <row r="529" ht="15" customHeight="1">
      <c r="A529" t="inlineStr">
        <is>
          <t>A 20298-2025</t>
        </is>
      </c>
      <c r="B529" s="1" t="n">
        <v>45774.75024305555</v>
      </c>
      <c r="C529" s="1" t="n">
        <v>46066</v>
      </c>
      <c r="D529" t="inlineStr">
        <is>
          <t>ÖSTERGÖTLANDS LÄN</t>
        </is>
      </c>
      <c r="E529" t="inlineStr">
        <is>
          <t>LINKÖPING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15121-2022</t>
        </is>
      </c>
      <c r="B530" s="1" t="n">
        <v>44658</v>
      </c>
      <c r="C530" s="1" t="n">
        <v>46066</v>
      </c>
      <c r="D530" t="inlineStr">
        <is>
          <t>ÖSTERGÖTLANDS LÄN</t>
        </is>
      </c>
      <c r="E530" t="inlineStr">
        <is>
          <t>LINKÖPING</t>
        </is>
      </c>
      <c r="G530" t="n">
        <v>1</v>
      </c>
      <c r="H530" t="n">
        <v>0</v>
      </c>
      <c r="I530" t="n">
        <v>0</v>
      </c>
      <c r="J530" t="n">
        <v>0</v>
      </c>
      <c r="K530" t="n">
        <v>0</v>
      </c>
      <c r="L530" t="n">
        <v>0</v>
      </c>
      <c r="M530" t="n">
        <v>0</v>
      </c>
      <c r="N530" t="n">
        <v>0</v>
      </c>
      <c r="O530" t="n">
        <v>0</v>
      </c>
      <c r="P530" t="n">
        <v>0</v>
      </c>
      <c r="Q530" t="n">
        <v>0</v>
      </c>
      <c r="R530" s="2" t="inlineStr"/>
    </row>
    <row r="531" ht="15" customHeight="1">
      <c r="A531" t="inlineStr">
        <is>
          <t>A 50743-2023</t>
        </is>
      </c>
      <c r="B531" s="1" t="n">
        <v>45217</v>
      </c>
      <c r="C531" s="1" t="n">
        <v>46066</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13687-2025</t>
        </is>
      </c>
      <c r="B532" s="1" t="n">
        <v>45737.31425925926</v>
      </c>
      <c r="C532" s="1" t="n">
        <v>46066</v>
      </c>
      <c r="D532" t="inlineStr">
        <is>
          <t>ÖSTERGÖTLANDS LÄN</t>
        </is>
      </c>
      <c r="E532" t="inlineStr">
        <is>
          <t>LINKÖPING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13695-2025</t>
        </is>
      </c>
      <c r="B533" s="1" t="n">
        <v>45737.32219907407</v>
      </c>
      <c r="C533" s="1" t="n">
        <v>46066</v>
      </c>
      <c r="D533" t="inlineStr">
        <is>
          <t>ÖSTERGÖTLANDS LÄN</t>
        </is>
      </c>
      <c r="E533" t="inlineStr">
        <is>
          <t>LINKÖPING</t>
        </is>
      </c>
      <c r="G533" t="n">
        <v>5.3</v>
      </c>
      <c r="H533" t="n">
        <v>0</v>
      </c>
      <c r="I533" t="n">
        <v>0</v>
      </c>
      <c r="J533" t="n">
        <v>0</v>
      </c>
      <c r="K533" t="n">
        <v>0</v>
      </c>
      <c r="L533" t="n">
        <v>0</v>
      </c>
      <c r="M533" t="n">
        <v>0</v>
      </c>
      <c r="N533" t="n">
        <v>0</v>
      </c>
      <c r="O533" t="n">
        <v>0</v>
      </c>
      <c r="P533" t="n">
        <v>0</v>
      </c>
      <c r="Q533" t="n">
        <v>0</v>
      </c>
      <c r="R533" s="2" t="inlineStr"/>
    </row>
    <row r="534" ht="15" customHeight="1">
      <c r="A534" t="inlineStr">
        <is>
          <t>A 20294-2025</t>
        </is>
      </c>
      <c r="B534" s="1" t="n">
        <v>45774.74667824074</v>
      </c>
      <c r="C534" s="1" t="n">
        <v>46066</v>
      </c>
      <c r="D534" t="inlineStr">
        <is>
          <t>ÖSTERGÖTLANDS LÄN</t>
        </is>
      </c>
      <c r="E534" t="inlineStr">
        <is>
          <t>LINKÖPING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17128-2025</t>
        </is>
      </c>
      <c r="B535" s="1" t="n">
        <v>45755.72622685185</v>
      </c>
      <c r="C535" s="1" t="n">
        <v>46066</v>
      </c>
      <c r="D535" t="inlineStr">
        <is>
          <t>ÖSTERGÖTLANDS LÄN</t>
        </is>
      </c>
      <c r="E535" t="inlineStr">
        <is>
          <t>LINKÖPING</t>
        </is>
      </c>
      <c r="G535" t="n">
        <v>2.9</v>
      </c>
      <c r="H535" t="n">
        <v>0</v>
      </c>
      <c r="I535" t="n">
        <v>0</v>
      </c>
      <c r="J535" t="n">
        <v>0</v>
      </c>
      <c r="K535" t="n">
        <v>0</v>
      </c>
      <c r="L535" t="n">
        <v>0</v>
      </c>
      <c r="M535" t="n">
        <v>0</v>
      </c>
      <c r="N535" t="n">
        <v>0</v>
      </c>
      <c r="O535" t="n">
        <v>0</v>
      </c>
      <c r="P535" t="n">
        <v>0</v>
      </c>
      <c r="Q535" t="n">
        <v>0</v>
      </c>
      <c r="R535" s="2" t="inlineStr"/>
    </row>
    <row r="536" ht="15" customHeight="1">
      <c r="A536" t="inlineStr">
        <is>
          <t>A 52125-2022</t>
        </is>
      </c>
      <c r="B536" s="1" t="n">
        <v>44873</v>
      </c>
      <c r="C536" s="1" t="n">
        <v>46066</v>
      </c>
      <c r="D536" t="inlineStr">
        <is>
          <t>ÖSTERGÖTLANDS LÄN</t>
        </is>
      </c>
      <c r="E536" t="inlineStr">
        <is>
          <t>LINKÖPING</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27343-2023</t>
        </is>
      </c>
      <c r="B537" s="1" t="n">
        <v>45096</v>
      </c>
      <c r="C537" s="1" t="n">
        <v>46066</v>
      </c>
      <c r="D537" t="inlineStr">
        <is>
          <t>ÖSTERGÖTLANDS LÄN</t>
        </is>
      </c>
      <c r="E537" t="inlineStr">
        <is>
          <t>LINKÖPING</t>
        </is>
      </c>
      <c r="F537" t="inlineStr">
        <is>
          <t>Allmännings- och besparingsskogar</t>
        </is>
      </c>
      <c r="G537" t="n">
        <v>6.9</v>
      </c>
      <c r="H537" t="n">
        <v>0</v>
      </c>
      <c r="I537" t="n">
        <v>0</v>
      </c>
      <c r="J537" t="n">
        <v>0</v>
      </c>
      <c r="K537" t="n">
        <v>0</v>
      </c>
      <c r="L537" t="n">
        <v>0</v>
      </c>
      <c r="M537" t="n">
        <v>0</v>
      </c>
      <c r="N537" t="n">
        <v>0</v>
      </c>
      <c r="O537" t="n">
        <v>0</v>
      </c>
      <c r="P537" t="n">
        <v>0</v>
      </c>
      <c r="Q537" t="n">
        <v>0</v>
      </c>
      <c r="R537" s="2" t="inlineStr"/>
    </row>
    <row r="538" ht="15" customHeight="1">
      <c r="A538" t="inlineStr">
        <is>
          <t>A 58802-2025</t>
        </is>
      </c>
      <c r="B538" s="1" t="n">
        <v>45986.8768287037</v>
      </c>
      <c r="C538" s="1" t="n">
        <v>46066</v>
      </c>
      <c r="D538" t="inlineStr">
        <is>
          <t>ÖSTERGÖTLANDS LÄN</t>
        </is>
      </c>
      <c r="E538" t="inlineStr">
        <is>
          <t>LINKÖPING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55004-2025</t>
        </is>
      </c>
      <c r="B539" s="1" t="n">
        <v>45967</v>
      </c>
      <c r="C539" s="1" t="n">
        <v>46066</v>
      </c>
      <c r="D539" t="inlineStr">
        <is>
          <t>ÖSTERGÖTLANDS LÄN</t>
        </is>
      </c>
      <c r="E539" t="inlineStr">
        <is>
          <t>LINKÖPING</t>
        </is>
      </c>
      <c r="G539" t="n">
        <v>2.5</v>
      </c>
      <c r="H539" t="n">
        <v>0</v>
      </c>
      <c r="I539" t="n">
        <v>0</v>
      </c>
      <c r="J539" t="n">
        <v>0</v>
      </c>
      <c r="K539" t="n">
        <v>0</v>
      </c>
      <c r="L539" t="n">
        <v>0</v>
      </c>
      <c r="M539" t="n">
        <v>0</v>
      </c>
      <c r="N539" t="n">
        <v>0</v>
      </c>
      <c r="O539" t="n">
        <v>0</v>
      </c>
      <c r="P539" t="n">
        <v>0</v>
      </c>
      <c r="Q539" t="n">
        <v>0</v>
      </c>
      <c r="R539" s="2" t="inlineStr"/>
    </row>
    <row r="540" ht="15" customHeight="1">
      <c r="A540" t="inlineStr">
        <is>
          <t>A 22842-2023</t>
        </is>
      </c>
      <c r="B540" s="1" t="n">
        <v>45071</v>
      </c>
      <c r="C540" s="1" t="n">
        <v>46066</v>
      </c>
      <c r="D540" t="inlineStr">
        <is>
          <t>ÖSTERGÖTLANDS LÄN</t>
        </is>
      </c>
      <c r="E540" t="inlineStr">
        <is>
          <t>LINKÖPING</t>
        </is>
      </c>
      <c r="F540" t="inlineStr">
        <is>
          <t>Kommuner</t>
        </is>
      </c>
      <c r="G540" t="n">
        <v>1.3</v>
      </c>
      <c r="H540" t="n">
        <v>0</v>
      </c>
      <c r="I540" t="n">
        <v>0</v>
      </c>
      <c r="J540" t="n">
        <v>0</v>
      </c>
      <c r="K540" t="n">
        <v>0</v>
      </c>
      <c r="L540" t="n">
        <v>0</v>
      </c>
      <c r="M540" t="n">
        <v>0</v>
      </c>
      <c r="N540" t="n">
        <v>0</v>
      </c>
      <c r="O540" t="n">
        <v>0</v>
      </c>
      <c r="P540" t="n">
        <v>0</v>
      </c>
      <c r="Q540" t="n">
        <v>0</v>
      </c>
      <c r="R540" s="2" t="inlineStr"/>
    </row>
    <row r="541" ht="15" customHeight="1">
      <c r="A541" t="inlineStr">
        <is>
          <t>A 14520-2025</t>
        </is>
      </c>
      <c r="B541" s="1" t="n">
        <v>45741</v>
      </c>
      <c r="C541" s="1" t="n">
        <v>46066</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31548-2022</t>
        </is>
      </c>
      <c r="B542" s="1" t="n">
        <v>44775.39832175926</v>
      </c>
      <c r="C542" s="1" t="n">
        <v>46066</v>
      </c>
      <c r="D542" t="inlineStr">
        <is>
          <t>ÖSTERGÖTLANDS LÄN</t>
        </is>
      </c>
      <c r="E542" t="inlineStr">
        <is>
          <t>LINKÖPING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59205-2025</t>
        </is>
      </c>
      <c r="B543" s="1" t="n">
        <v>45988.60721064815</v>
      </c>
      <c r="C543" s="1" t="n">
        <v>46066</v>
      </c>
      <c r="D543" t="inlineStr">
        <is>
          <t>ÖSTERGÖTLANDS LÄN</t>
        </is>
      </c>
      <c r="E543" t="inlineStr">
        <is>
          <t>LINKÖPING</t>
        </is>
      </c>
      <c r="F543" t="inlineStr">
        <is>
          <t>Sveaskog</t>
        </is>
      </c>
      <c r="G543" t="n">
        <v>11.3</v>
      </c>
      <c r="H543" t="n">
        <v>0</v>
      </c>
      <c r="I543" t="n">
        <v>0</v>
      </c>
      <c r="J543" t="n">
        <v>0</v>
      </c>
      <c r="K543" t="n">
        <v>0</v>
      </c>
      <c r="L543" t="n">
        <v>0</v>
      </c>
      <c r="M543" t="n">
        <v>0</v>
      </c>
      <c r="N543" t="n">
        <v>0</v>
      </c>
      <c r="O543" t="n">
        <v>0</v>
      </c>
      <c r="P543" t="n">
        <v>0</v>
      </c>
      <c r="Q543" t="n">
        <v>0</v>
      </c>
      <c r="R543" s="2" t="inlineStr"/>
    </row>
    <row r="544" ht="15" customHeight="1">
      <c r="A544" t="inlineStr">
        <is>
          <t>A 62017-2024</t>
        </is>
      </c>
      <c r="B544" s="1" t="n">
        <v>45655.81140046296</v>
      </c>
      <c r="C544" s="1" t="n">
        <v>46066</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17785-2023</t>
        </is>
      </c>
      <c r="B545" s="1" t="n">
        <v>45037.55094907407</v>
      </c>
      <c r="C545" s="1" t="n">
        <v>46066</v>
      </c>
      <c r="D545" t="inlineStr">
        <is>
          <t>ÖSTERGÖTLANDS LÄN</t>
        </is>
      </c>
      <c r="E545" t="inlineStr">
        <is>
          <t>LINKÖPING</t>
        </is>
      </c>
      <c r="F545" t="inlineStr">
        <is>
          <t>Allmännings- och besparingsskogar</t>
        </is>
      </c>
      <c r="G545" t="n">
        <v>3.1</v>
      </c>
      <c r="H545" t="n">
        <v>0</v>
      </c>
      <c r="I545" t="n">
        <v>0</v>
      </c>
      <c r="J545" t="n">
        <v>0</v>
      </c>
      <c r="K545" t="n">
        <v>0</v>
      </c>
      <c r="L545" t="n">
        <v>0</v>
      </c>
      <c r="M545" t="n">
        <v>0</v>
      </c>
      <c r="N545" t="n">
        <v>0</v>
      </c>
      <c r="O545" t="n">
        <v>0</v>
      </c>
      <c r="P545" t="n">
        <v>0</v>
      </c>
      <c r="Q545" t="n">
        <v>0</v>
      </c>
      <c r="R545" s="2" t="inlineStr"/>
    </row>
    <row r="546" ht="15" customHeight="1">
      <c r="A546" t="inlineStr">
        <is>
          <t>A 858-2026</t>
        </is>
      </c>
      <c r="B546" s="1" t="n">
        <v>46030.41200231481</v>
      </c>
      <c r="C546" s="1" t="n">
        <v>46066</v>
      </c>
      <c r="D546" t="inlineStr">
        <is>
          <t>ÖSTERGÖTLANDS LÄN</t>
        </is>
      </c>
      <c r="E546" t="inlineStr">
        <is>
          <t>LINKÖPING</t>
        </is>
      </c>
      <c r="G546" t="n">
        <v>1.9</v>
      </c>
      <c r="H546" t="n">
        <v>0</v>
      </c>
      <c r="I546" t="n">
        <v>0</v>
      </c>
      <c r="J546" t="n">
        <v>0</v>
      </c>
      <c r="K546" t="n">
        <v>0</v>
      </c>
      <c r="L546" t="n">
        <v>0</v>
      </c>
      <c r="M546" t="n">
        <v>0</v>
      </c>
      <c r="N546" t="n">
        <v>0</v>
      </c>
      <c r="O546" t="n">
        <v>0</v>
      </c>
      <c r="P546" t="n">
        <v>0</v>
      </c>
      <c r="Q546" t="n">
        <v>0</v>
      </c>
      <c r="R546" s="2" t="inlineStr"/>
    </row>
    <row r="547" ht="15" customHeight="1">
      <c r="A547" t="inlineStr">
        <is>
          <t>A 860-2026</t>
        </is>
      </c>
      <c r="B547" s="1" t="n">
        <v>46030.41974537037</v>
      </c>
      <c r="C547" s="1" t="n">
        <v>46066</v>
      </c>
      <c r="D547" t="inlineStr">
        <is>
          <t>ÖSTERGÖTLANDS LÄN</t>
        </is>
      </c>
      <c r="E547" t="inlineStr">
        <is>
          <t>LINKÖPING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873-2026</t>
        </is>
      </c>
      <c r="B548" s="1" t="n">
        <v>46030.43818287037</v>
      </c>
      <c r="C548" s="1" t="n">
        <v>46066</v>
      </c>
      <c r="D548" t="inlineStr">
        <is>
          <t>ÖSTERGÖTLANDS LÄN</t>
        </is>
      </c>
      <c r="E548" t="inlineStr">
        <is>
          <t>LINKÖPING</t>
        </is>
      </c>
      <c r="G548" t="n">
        <v>4.1</v>
      </c>
      <c r="H548" t="n">
        <v>0</v>
      </c>
      <c r="I548" t="n">
        <v>0</v>
      </c>
      <c r="J548" t="n">
        <v>0</v>
      </c>
      <c r="K548" t="n">
        <v>0</v>
      </c>
      <c r="L548" t="n">
        <v>0</v>
      </c>
      <c r="M548" t="n">
        <v>0</v>
      </c>
      <c r="N548" t="n">
        <v>0</v>
      </c>
      <c r="O548" t="n">
        <v>0</v>
      </c>
      <c r="P548" t="n">
        <v>0</v>
      </c>
      <c r="Q548" t="n">
        <v>0</v>
      </c>
      <c r="R548" s="2" t="inlineStr"/>
    </row>
    <row r="549" ht="15" customHeight="1">
      <c r="A549" t="inlineStr">
        <is>
          <t>A 944-2026</t>
        </is>
      </c>
      <c r="B549" s="1" t="n">
        <v>46030.53461805556</v>
      </c>
      <c r="C549" s="1" t="n">
        <v>46066</v>
      </c>
      <c r="D549" t="inlineStr">
        <is>
          <t>ÖSTERGÖTLANDS LÄN</t>
        </is>
      </c>
      <c r="E549" t="inlineStr">
        <is>
          <t>LINKÖPING</t>
        </is>
      </c>
      <c r="F549" t="inlineStr">
        <is>
          <t>Allmännings- och besparingsskogar</t>
        </is>
      </c>
      <c r="G549" t="n">
        <v>0.9</v>
      </c>
      <c r="H549" t="n">
        <v>0</v>
      </c>
      <c r="I549" t="n">
        <v>0</v>
      </c>
      <c r="J549" t="n">
        <v>0</v>
      </c>
      <c r="K549" t="n">
        <v>0</v>
      </c>
      <c r="L549" t="n">
        <v>0</v>
      </c>
      <c r="M549" t="n">
        <v>0</v>
      </c>
      <c r="N549" t="n">
        <v>0</v>
      </c>
      <c r="O549" t="n">
        <v>0</v>
      </c>
      <c r="P549" t="n">
        <v>0</v>
      </c>
      <c r="Q549" t="n">
        <v>0</v>
      </c>
      <c r="R549" s="2" t="inlineStr"/>
    </row>
    <row r="550" ht="15" customHeight="1">
      <c r="A550" t="inlineStr">
        <is>
          <t>A 1223-2026</t>
        </is>
      </c>
      <c r="B550" s="1" t="n">
        <v>46031.40233796297</v>
      </c>
      <c r="C550" s="1" t="n">
        <v>46066</v>
      </c>
      <c r="D550" t="inlineStr">
        <is>
          <t>ÖSTERGÖTLANDS LÄN</t>
        </is>
      </c>
      <c r="E550" t="inlineStr">
        <is>
          <t>LINKÖPING</t>
        </is>
      </c>
      <c r="G550" t="n">
        <v>1</v>
      </c>
      <c r="H550" t="n">
        <v>0</v>
      </c>
      <c r="I550" t="n">
        <v>0</v>
      </c>
      <c r="J550" t="n">
        <v>0</v>
      </c>
      <c r="K550" t="n">
        <v>0</v>
      </c>
      <c r="L550" t="n">
        <v>0</v>
      </c>
      <c r="M550" t="n">
        <v>0</v>
      </c>
      <c r="N550" t="n">
        <v>0</v>
      </c>
      <c r="O550" t="n">
        <v>0</v>
      </c>
      <c r="P550" t="n">
        <v>0</v>
      </c>
      <c r="Q550" t="n">
        <v>0</v>
      </c>
      <c r="R550" s="2" t="inlineStr"/>
    </row>
    <row r="551" ht="15" customHeight="1">
      <c r="A551" t="inlineStr">
        <is>
          <t>A 59472-2025</t>
        </is>
      </c>
      <c r="B551" s="1" t="n">
        <v>45989.58321759259</v>
      </c>
      <c r="C551" s="1" t="n">
        <v>46066</v>
      </c>
      <c r="D551" t="inlineStr">
        <is>
          <t>ÖSTERGÖTLANDS LÄN</t>
        </is>
      </c>
      <c r="E551" t="inlineStr">
        <is>
          <t>LINKÖPING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859-2026</t>
        </is>
      </c>
      <c r="B552" s="1" t="n">
        <v>46030.41450231482</v>
      </c>
      <c r="C552" s="1" t="n">
        <v>46066</v>
      </c>
      <c r="D552" t="inlineStr">
        <is>
          <t>ÖSTERGÖTLANDS LÄN</t>
        </is>
      </c>
      <c r="E552" t="inlineStr">
        <is>
          <t>LINKÖPING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62686-2023</t>
        </is>
      </c>
      <c r="B553" s="1" t="n">
        <v>45271</v>
      </c>
      <c r="C553" s="1" t="n">
        <v>46066</v>
      </c>
      <c r="D553" t="inlineStr">
        <is>
          <t>ÖSTERGÖTLANDS LÄN</t>
        </is>
      </c>
      <c r="E553" t="inlineStr">
        <is>
          <t>LINKÖPING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856-2026</t>
        </is>
      </c>
      <c r="B554" s="1" t="n">
        <v>46030.40644675926</v>
      </c>
      <c r="C554" s="1" t="n">
        <v>46066</v>
      </c>
      <c r="D554" t="inlineStr">
        <is>
          <t>ÖSTERGÖTLANDS LÄN</t>
        </is>
      </c>
      <c r="E554" t="inlineStr">
        <is>
          <t>LINKÖPING</t>
        </is>
      </c>
      <c r="G554" t="n">
        <v>6.4</v>
      </c>
      <c r="H554" t="n">
        <v>0</v>
      </c>
      <c r="I554" t="n">
        <v>0</v>
      </c>
      <c r="J554" t="n">
        <v>0</v>
      </c>
      <c r="K554" t="n">
        <v>0</v>
      </c>
      <c r="L554" t="n">
        <v>0</v>
      </c>
      <c r="M554" t="n">
        <v>0</v>
      </c>
      <c r="N554" t="n">
        <v>0</v>
      </c>
      <c r="O554" t="n">
        <v>0</v>
      </c>
      <c r="P554" t="n">
        <v>0</v>
      </c>
      <c r="Q554" t="n">
        <v>0</v>
      </c>
      <c r="R554" s="2" t="inlineStr"/>
    </row>
    <row r="555" ht="15" customHeight="1">
      <c r="A555" t="inlineStr">
        <is>
          <t>A 42044-2023</t>
        </is>
      </c>
      <c r="B555" s="1" t="n">
        <v>45177</v>
      </c>
      <c r="C555" s="1" t="n">
        <v>46066</v>
      </c>
      <c r="D555" t="inlineStr">
        <is>
          <t>ÖSTERGÖTLANDS LÄN</t>
        </is>
      </c>
      <c r="E555" t="inlineStr">
        <is>
          <t>LINKÖPING</t>
        </is>
      </c>
      <c r="G555" t="n">
        <v>3.9</v>
      </c>
      <c r="H555" t="n">
        <v>0</v>
      </c>
      <c r="I555" t="n">
        <v>0</v>
      </c>
      <c r="J555" t="n">
        <v>0</v>
      </c>
      <c r="K555" t="n">
        <v>0</v>
      </c>
      <c r="L555" t="n">
        <v>0</v>
      </c>
      <c r="M555" t="n">
        <v>0</v>
      </c>
      <c r="N555" t="n">
        <v>0</v>
      </c>
      <c r="O555" t="n">
        <v>0</v>
      </c>
      <c r="P555" t="n">
        <v>0</v>
      </c>
      <c r="Q555" t="n">
        <v>0</v>
      </c>
      <c r="R555" s="2" t="inlineStr"/>
    </row>
    <row r="556" ht="15" customHeight="1">
      <c r="A556" t="inlineStr">
        <is>
          <t>A 49656-2021</t>
        </is>
      </c>
      <c r="B556" s="1" t="n">
        <v>44454</v>
      </c>
      <c r="C556" s="1" t="n">
        <v>46066</v>
      </c>
      <c r="D556" t="inlineStr">
        <is>
          <t>ÖSTERGÖTLANDS LÄN</t>
        </is>
      </c>
      <c r="E556" t="inlineStr">
        <is>
          <t>LINKÖPING</t>
        </is>
      </c>
      <c r="G556" t="n">
        <v>2.3</v>
      </c>
      <c r="H556" t="n">
        <v>0</v>
      </c>
      <c r="I556" t="n">
        <v>0</v>
      </c>
      <c r="J556" t="n">
        <v>0</v>
      </c>
      <c r="K556" t="n">
        <v>0</v>
      </c>
      <c r="L556" t="n">
        <v>0</v>
      </c>
      <c r="M556" t="n">
        <v>0</v>
      </c>
      <c r="N556" t="n">
        <v>0</v>
      </c>
      <c r="O556" t="n">
        <v>0</v>
      </c>
      <c r="P556" t="n">
        <v>0</v>
      </c>
      <c r="Q556" t="n">
        <v>0</v>
      </c>
      <c r="R556" s="2" t="inlineStr"/>
    </row>
    <row r="557" ht="15" customHeight="1">
      <c r="A557" t="inlineStr">
        <is>
          <t>A 940-2026</t>
        </is>
      </c>
      <c r="B557" s="1" t="n">
        <v>46030.53052083333</v>
      </c>
      <c r="C557" s="1" t="n">
        <v>46066</v>
      </c>
      <c r="D557" t="inlineStr">
        <is>
          <t>ÖSTERGÖTLANDS LÄN</t>
        </is>
      </c>
      <c r="E557" t="inlineStr">
        <is>
          <t>LINKÖPING</t>
        </is>
      </c>
      <c r="F557" t="inlineStr">
        <is>
          <t>Allmännings- och besparingsskogar</t>
        </is>
      </c>
      <c r="G557" t="n">
        <v>2.9</v>
      </c>
      <c r="H557" t="n">
        <v>0</v>
      </c>
      <c r="I557" t="n">
        <v>0</v>
      </c>
      <c r="J557" t="n">
        <v>0</v>
      </c>
      <c r="K557" t="n">
        <v>0</v>
      </c>
      <c r="L557" t="n">
        <v>0</v>
      </c>
      <c r="M557" t="n">
        <v>0</v>
      </c>
      <c r="N557" t="n">
        <v>0</v>
      </c>
      <c r="O557" t="n">
        <v>0</v>
      </c>
      <c r="P557" t="n">
        <v>0</v>
      </c>
      <c r="Q557" t="n">
        <v>0</v>
      </c>
      <c r="R557" s="2" t="inlineStr"/>
    </row>
    <row r="558" ht="15" customHeight="1">
      <c r="A558" t="inlineStr">
        <is>
          <t>A 38230-2023</t>
        </is>
      </c>
      <c r="B558" s="1" t="n">
        <v>45161.55373842592</v>
      </c>
      <c r="C558" s="1" t="n">
        <v>46066</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45442-2024</t>
        </is>
      </c>
      <c r="B559" s="1" t="n">
        <v>45576.64189814815</v>
      </c>
      <c r="C559" s="1" t="n">
        <v>46066</v>
      </c>
      <c r="D559" t="inlineStr">
        <is>
          <t>ÖSTERGÖTLANDS LÄN</t>
        </is>
      </c>
      <c r="E559" t="inlineStr">
        <is>
          <t>LINKÖPING</t>
        </is>
      </c>
      <c r="G559" t="n">
        <v>1.8</v>
      </c>
      <c r="H559" t="n">
        <v>0</v>
      </c>
      <c r="I559" t="n">
        <v>0</v>
      </c>
      <c r="J559" t="n">
        <v>0</v>
      </c>
      <c r="K559" t="n">
        <v>0</v>
      </c>
      <c r="L559" t="n">
        <v>0</v>
      </c>
      <c r="M559" t="n">
        <v>0</v>
      </c>
      <c r="N559" t="n">
        <v>0</v>
      </c>
      <c r="O559" t="n">
        <v>0</v>
      </c>
      <c r="P559" t="n">
        <v>0</v>
      </c>
      <c r="Q559" t="n">
        <v>0</v>
      </c>
      <c r="R559" s="2" t="inlineStr"/>
    </row>
    <row r="560" ht="15" customHeight="1">
      <c r="A560" t="inlineStr">
        <is>
          <t>A 60087-2025</t>
        </is>
      </c>
      <c r="B560" s="1" t="n">
        <v>45993.71726851852</v>
      </c>
      <c r="C560" s="1" t="n">
        <v>46066</v>
      </c>
      <c r="D560" t="inlineStr">
        <is>
          <t>ÖSTERGÖTLANDS LÄN</t>
        </is>
      </c>
      <c r="E560" t="inlineStr">
        <is>
          <t>LINKÖPING</t>
        </is>
      </c>
      <c r="G560" t="n">
        <v>1</v>
      </c>
      <c r="H560" t="n">
        <v>0</v>
      </c>
      <c r="I560" t="n">
        <v>0</v>
      </c>
      <c r="J560" t="n">
        <v>0</v>
      </c>
      <c r="K560" t="n">
        <v>0</v>
      </c>
      <c r="L560" t="n">
        <v>0</v>
      </c>
      <c r="M560" t="n">
        <v>0</v>
      </c>
      <c r="N560" t="n">
        <v>0</v>
      </c>
      <c r="O560" t="n">
        <v>0</v>
      </c>
      <c r="P560" t="n">
        <v>0</v>
      </c>
      <c r="Q560" t="n">
        <v>0</v>
      </c>
      <c r="R560" s="2" t="inlineStr"/>
    </row>
    <row r="561" ht="15" customHeight="1">
      <c r="A561" t="inlineStr">
        <is>
          <t>A 4908-2023</t>
        </is>
      </c>
      <c r="B561" s="1" t="n">
        <v>44958</v>
      </c>
      <c r="C561" s="1" t="n">
        <v>46066</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1265-2023</t>
        </is>
      </c>
      <c r="B562" s="1" t="n">
        <v>44936</v>
      </c>
      <c r="C562" s="1" t="n">
        <v>46066</v>
      </c>
      <c r="D562" t="inlineStr">
        <is>
          <t>ÖSTERGÖTLANDS LÄN</t>
        </is>
      </c>
      <c r="E562" t="inlineStr">
        <is>
          <t>LINKÖPING</t>
        </is>
      </c>
      <c r="G562" t="n">
        <v>2.3</v>
      </c>
      <c r="H562" t="n">
        <v>0</v>
      </c>
      <c r="I562" t="n">
        <v>0</v>
      </c>
      <c r="J562" t="n">
        <v>0</v>
      </c>
      <c r="K562" t="n">
        <v>0</v>
      </c>
      <c r="L562" t="n">
        <v>0</v>
      </c>
      <c r="M562" t="n">
        <v>0</v>
      </c>
      <c r="N562" t="n">
        <v>0</v>
      </c>
      <c r="O562" t="n">
        <v>0</v>
      </c>
      <c r="P562" t="n">
        <v>0</v>
      </c>
      <c r="Q562" t="n">
        <v>0</v>
      </c>
      <c r="R562" s="2" t="inlineStr"/>
    </row>
    <row r="563" ht="15" customHeight="1">
      <c r="A563" t="inlineStr">
        <is>
          <t>A 2030-2026</t>
        </is>
      </c>
      <c r="B563" s="1" t="n">
        <v>46035.73590277778</v>
      </c>
      <c r="C563" s="1" t="n">
        <v>46066</v>
      </c>
      <c r="D563" t="inlineStr">
        <is>
          <t>ÖSTERGÖTLANDS LÄN</t>
        </is>
      </c>
      <c r="E563" t="inlineStr">
        <is>
          <t>LINKÖPING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12411-2022</t>
        </is>
      </c>
      <c r="B564" s="1" t="n">
        <v>44638.21601851852</v>
      </c>
      <c r="C564" s="1" t="n">
        <v>46066</v>
      </c>
      <c r="D564" t="inlineStr">
        <is>
          <t>ÖSTERGÖTLANDS LÄN</t>
        </is>
      </c>
      <c r="E564" t="inlineStr">
        <is>
          <t>LINKÖPING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2031-2026</t>
        </is>
      </c>
      <c r="B565" s="1" t="n">
        <v>46035.74182870371</v>
      </c>
      <c r="C565" s="1" t="n">
        <v>46066</v>
      </c>
      <c r="D565" t="inlineStr">
        <is>
          <t>ÖSTERGÖTLANDS LÄN</t>
        </is>
      </c>
      <c r="E565" t="inlineStr">
        <is>
          <t>LINKÖPING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60306-2025</t>
        </is>
      </c>
      <c r="B566" s="1" t="n">
        <v>45994.68326388889</v>
      </c>
      <c r="C566" s="1" t="n">
        <v>46066</v>
      </c>
      <c r="D566" t="inlineStr">
        <is>
          <t>ÖSTERGÖTLANDS LÄN</t>
        </is>
      </c>
      <c r="E566" t="inlineStr">
        <is>
          <t>LINKÖPING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23491-2024</t>
        </is>
      </c>
      <c r="B567" s="1" t="n">
        <v>45453</v>
      </c>
      <c r="C567" s="1" t="n">
        <v>46066</v>
      </c>
      <c r="D567" t="inlineStr">
        <is>
          <t>ÖSTERGÖTLANDS LÄN</t>
        </is>
      </c>
      <c r="E567" t="inlineStr">
        <is>
          <t>LINKÖPING</t>
        </is>
      </c>
      <c r="G567" t="n">
        <v>2.2</v>
      </c>
      <c r="H567" t="n">
        <v>0</v>
      </c>
      <c r="I567" t="n">
        <v>0</v>
      </c>
      <c r="J567" t="n">
        <v>0</v>
      </c>
      <c r="K567" t="n">
        <v>0</v>
      </c>
      <c r="L567" t="n">
        <v>0</v>
      </c>
      <c r="M567" t="n">
        <v>0</v>
      </c>
      <c r="N567" t="n">
        <v>0</v>
      </c>
      <c r="O567" t="n">
        <v>0</v>
      </c>
      <c r="P567" t="n">
        <v>0</v>
      </c>
      <c r="Q567" t="n">
        <v>0</v>
      </c>
      <c r="R567" s="2" t="inlineStr"/>
    </row>
    <row r="568" ht="15" customHeight="1">
      <c r="A568" t="inlineStr">
        <is>
          <t>A 70-2024</t>
        </is>
      </c>
      <c r="B568" s="1" t="n">
        <v>45293</v>
      </c>
      <c r="C568" s="1" t="n">
        <v>46066</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6054-2022</t>
        </is>
      </c>
      <c r="B569" s="1" t="n">
        <v>44599.53623842593</v>
      </c>
      <c r="C569" s="1" t="n">
        <v>46066</v>
      </c>
      <c r="D569" t="inlineStr">
        <is>
          <t>ÖSTERGÖTLANDS LÄN</t>
        </is>
      </c>
      <c r="E569" t="inlineStr">
        <is>
          <t>LINKÖPING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31725-2022</t>
        </is>
      </c>
      <c r="B570" s="1" t="n">
        <v>44776.48541666667</v>
      </c>
      <c r="C570" s="1" t="n">
        <v>46066</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60284-2025</t>
        </is>
      </c>
      <c r="B571" s="1" t="n">
        <v>45994.64373842593</v>
      </c>
      <c r="C571" s="1" t="n">
        <v>46066</v>
      </c>
      <c r="D571" t="inlineStr">
        <is>
          <t>ÖSTERGÖTLANDS LÄN</t>
        </is>
      </c>
      <c r="E571" t="inlineStr">
        <is>
          <t>LINKÖPING</t>
        </is>
      </c>
      <c r="G571" t="n">
        <v>3.5</v>
      </c>
      <c r="H571" t="n">
        <v>0</v>
      </c>
      <c r="I571" t="n">
        <v>0</v>
      </c>
      <c r="J571" t="n">
        <v>0</v>
      </c>
      <c r="K571" t="n">
        <v>0</v>
      </c>
      <c r="L571" t="n">
        <v>0</v>
      </c>
      <c r="M571" t="n">
        <v>0</v>
      </c>
      <c r="N571" t="n">
        <v>0</v>
      </c>
      <c r="O571" t="n">
        <v>0</v>
      </c>
      <c r="P571" t="n">
        <v>0</v>
      </c>
      <c r="Q571" t="n">
        <v>0</v>
      </c>
      <c r="R571" s="2" t="inlineStr"/>
    </row>
    <row r="572" ht="15" customHeight="1">
      <c r="A572" t="inlineStr">
        <is>
          <t>A 57391-2023</t>
        </is>
      </c>
      <c r="B572" s="1" t="n">
        <v>45245</v>
      </c>
      <c r="C572" s="1" t="n">
        <v>46066</v>
      </c>
      <c r="D572" t="inlineStr">
        <is>
          <t>ÖSTERGÖTLANDS LÄN</t>
        </is>
      </c>
      <c r="E572" t="inlineStr">
        <is>
          <t>LINKÖPING</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7992-2023</t>
        </is>
      </c>
      <c r="B573" s="1" t="n">
        <v>44970</v>
      </c>
      <c r="C573" s="1" t="n">
        <v>46066</v>
      </c>
      <c r="D573" t="inlineStr">
        <is>
          <t>ÖSTERGÖTLANDS LÄN</t>
        </is>
      </c>
      <c r="E573" t="inlineStr">
        <is>
          <t>LINKÖPING</t>
        </is>
      </c>
      <c r="F573" t="inlineStr">
        <is>
          <t>Kommuner</t>
        </is>
      </c>
      <c r="G573" t="n">
        <v>1</v>
      </c>
      <c r="H573" t="n">
        <v>0</v>
      </c>
      <c r="I573" t="n">
        <v>0</v>
      </c>
      <c r="J573" t="n">
        <v>0</v>
      </c>
      <c r="K573" t="n">
        <v>0</v>
      </c>
      <c r="L573" t="n">
        <v>0</v>
      </c>
      <c r="M573" t="n">
        <v>0</v>
      </c>
      <c r="N573" t="n">
        <v>0</v>
      </c>
      <c r="O573" t="n">
        <v>0</v>
      </c>
      <c r="P573" t="n">
        <v>0</v>
      </c>
      <c r="Q573" t="n">
        <v>0</v>
      </c>
      <c r="R573" s="2" t="inlineStr"/>
    </row>
    <row r="574" ht="15" customHeight="1">
      <c r="A574" t="inlineStr">
        <is>
          <t>A 3044-2026</t>
        </is>
      </c>
      <c r="B574" s="1" t="n">
        <v>46038.73855324074</v>
      </c>
      <c r="C574" s="1" t="n">
        <v>46066</v>
      </c>
      <c r="D574" t="inlineStr">
        <is>
          <t>ÖSTERGÖTLANDS LÄN</t>
        </is>
      </c>
      <c r="E574" t="inlineStr">
        <is>
          <t>LINKÖPING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3043-2026</t>
        </is>
      </c>
      <c r="B575" s="1" t="n">
        <v>46038.73675925926</v>
      </c>
      <c r="C575" s="1" t="n">
        <v>46066</v>
      </c>
      <c r="D575" t="inlineStr">
        <is>
          <t>ÖSTERGÖTLANDS LÄN</t>
        </is>
      </c>
      <c r="E575" t="inlineStr">
        <is>
          <t>LINKÖPING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3046-2026</t>
        </is>
      </c>
      <c r="B576" s="1" t="n">
        <v>46038.74182870371</v>
      </c>
      <c r="C576" s="1" t="n">
        <v>46066</v>
      </c>
      <c r="D576" t="inlineStr">
        <is>
          <t>ÖSTERGÖTLANDS LÄN</t>
        </is>
      </c>
      <c r="E576" t="inlineStr">
        <is>
          <t>LINKÖPING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13689-2025</t>
        </is>
      </c>
      <c r="B577" s="1" t="n">
        <v>45737.31590277778</v>
      </c>
      <c r="C577" s="1" t="n">
        <v>46066</v>
      </c>
      <c r="D577" t="inlineStr">
        <is>
          <t>ÖSTERGÖTLANDS LÄN</t>
        </is>
      </c>
      <c r="E577" t="inlineStr">
        <is>
          <t>LINKÖPING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13696-2025</t>
        </is>
      </c>
      <c r="B578" s="1" t="n">
        <v>45737.32273148148</v>
      </c>
      <c r="C578" s="1" t="n">
        <v>46066</v>
      </c>
      <c r="D578" t="inlineStr">
        <is>
          <t>ÖSTERGÖTLANDS LÄN</t>
        </is>
      </c>
      <c r="E578" t="inlineStr">
        <is>
          <t>LINKÖPING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1924-2024</t>
        </is>
      </c>
      <c r="B579" s="1" t="n">
        <v>45308</v>
      </c>
      <c r="C579" s="1" t="n">
        <v>46066</v>
      </c>
      <c r="D579" t="inlineStr">
        <is>
          <t>ÖSTERGÖTLANDS LÄN</t>
        </is>
      </c>
      <c r="E579" t="inlineStr">
        <is>
          <t>LINKÖPING</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60703-2025</t>
        </is>
      </c>
      <c r="B580" s="1" t="n">
        <v>45996.6052662037</v>
      </c>
      <c r="C580" s="1" t="n">
        <v>46066</v>
      </c>
      <c r="D580" t="inlineStr">
        <is>
          <t>ÖSTERGÖTLANDS LÄN</t>
        </is>
      </c>
      <c r="E580" t="inlineStr">
        <is>
          <t>LINKÖPING</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3045-2026</t>
        </is>
      </c>
      <c r="B581" s="1" t="n">
        <v>46038.74047453704</v>
      </c>
      <c r="C581" s="1" t="n">
        <v>46066</v>
      </c>
      <c r="D581" t="inlineStr">
        <is>
          <t>ÖSTERGÖTLANDS LÄN</t>
        </is>
      </c>
      <c r="E581" t="inlineStr">
        <is>
          <t>LINKÖPING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60866-2025</t>
        </is>
      </c>
      <c r="B582" s="1" t="n">
        <v>45999</v>
      </c>
      <c r="C582" s="1" t="n">
        <v>46066</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32346-2023</t>
        </is>
      </c>
      <c r="B583" s="1" t="n">
        <v>45120</v>
      </c>
      <c r="C583" s="1" t="n">
        <v>46066</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50508-2024</t>
        </is>
      </c>
      <c r="B584" s="1" t="n">
        <v>45601.53907407408</v>
      </c>
      <c r="C584" s="1" t="n">
        <v>46066</v>
      </c>
      <c r="D584" t="inlineStr">
        <is>
          <t>ÖSTERGÖTLANDS LÄN</t>
        </is>
      </c>
      <c r="E584" t="inlineStr">
        <is>
          <t>LINKÖPING</t>
        </is>
      </c>
      <c r="F584" t="inlineStr">
        <is>
          <t>Övriga Aktiebolag</t>
        </is>
      </c>
      <c r="G584" t="n">
        <v>2</v>
      </c>
      <c r="H584" t="n">
        <v>0</v>
      </c>
      <c r="I584" t="n">
        <v>0</v>
      </c>
      <c r="J584" t="n">
        <v>0</v>
      </c>
      <c r="K584" t="n">
        <v>0</v>
      </c>
      <c r="L584" t="n">
        <v>0</v>
      </c>
      <c r="M584" t="n">
        <v>0</v>
      </c>
      <c r="N584" t="n">
        <v>0</v>
      </c>
      <c r="O584" t="n">
        <v>0</v>
      </c>
      <c r="P584" t="n">
        <v>0</v>
      </c>
      <c r="Q584" t="n">
        <v>0</v>
      </c>
      <c r="R584" s="2" t="inlineStr"/>
    </row>
    <row r="585" ht="15" customHeight="1">
      <c r="A585" t="inlineStr">
        <is>
          <t>A 7808-2022</t>
        </is>
      </c>
      <c r="B585" s="1" t="n">
        <v>44608</v>
      </c>
      <c r="C585" s="1" t="n">
        <v>46066</v>
      </c>
      <c r="D585" t="inlineStr">
        <is>
          <t>ÖSTERGÖTLANDS LÄN</t>
        </is>
      </c>
      <c r="E585" t="inlineStr">
        <is>
          <t>LINKÖPING</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27844-2024</t>
        </is>
      </c>
      <c r="B586" s="1" t="n">
        <v>45475.63047453704</v>
      </c>
      <c r="C586" s="1" t="n">
        <v>46066</v>
      </c>
      <c r="D586" t="inlineStr">
        <is>
          <t>ÖSTERGÖTLANDS LÄN</t>
        </is>
      </c>
      <c r="E586" t="inlineStr">
        <is>
          <t>LINKÖPING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40810-2022</t>
        </is>
      </c>
      <c r="B587" s="1" t="n">
        <v>44824</v>
      </c>
      <c r="C587" s="1" t="n">
        <v>46066</v>
      </c>
      <c r="D587" t="inlineStr">
        <is>
          <t>ÖSTERGÖTLANDS LÄN</t>
        </is>
      </c>
      <c r="E587" t="inlineStr">
        <is>
          <t>LINKÖPING</t>
        </is>
      </c>
      <c r="G587" t="n">
        <v>2.8</v>
      </c>
      <c r="H587" t="n">
        <v>0</v>
      </c>
      <c r="I587" t="n">
        <v>0</v>
      </c>
      <c r="J587" t="n">
        <v>0</v>
      </c>
      <c r="K587" t="n">
        <v>0</v>
      </c>
      <c r="L587" t="n">
        <v>0</v>
      </c>
      <c r="M587" t="n">
        <v>0</v>
      </c>
      <c r="N587" t="n">
        <v>0</v>
      </c>
      <c r="O587" t="n">
        <v>0</v>
      </c>
      <c r="P587" t="n">
        <v>0</v>
      </c>
      <c r="Q587" t="n">
        <v>0</v>
      </c>
      <c r="R587" s="2" t="inlineStr"/>
    </row>
    <row r="588" ht="15" customHeight="1">
      <c r="A588" t="inlineStr">
        <is>
          <t>A 51559-2024</t>
        </is>
      </c>
      <c r="B588" s="1" t="n">
        <v>45604.61431712963</v>
      </c>
      <c r="C588" s="1" t="n">
        <v>46066</v>
      </c>
      <c r="D588" t="inlineStr">
        <is>
          <t>ÖSTERGÖTLANDS LÄN</t>
        </is>
      </c>
      <c r="E588" t="inlineStr">
        <is>
          <t>LINKÖPING</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61230-2025</t>
        </is>
      </c>
      <c r="B589" s="1" t="n">
        <v>46000.63111111111</v>
      </c>
      <c r="C589" s="1" t="n">
        <v>46066</v>
      </c>
      <c r="D589" t="inlineStr">
        <is>
          <t>ÖSTERGÖTLANDS LÄN</t>
        </is>
      </c>
      <c r="E589" t="inlineStr">
        <is>
          <t>LINKÖPING</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49979-2022</t>
        </is>
      </c>
      <c r="B590" s="1" t="n">
        <v>44865</v>
      </c>
      <c r="C590" s="1" t="n">
        <v>46066</v>
      </c>
      <c r="D590" t="inlineStr">
        <is>
          <t>ÖSTERGÖTLANDS LÄN</t>
        </is>
      </c>
      <c r="E590" t="inlineStr">
        <is>
          <t>LINKÖPING</t>
        </is>
      </c>
      <c r="F590" t="inlineStr">
        <is>
          <t>Övriga Aktiebolag</t>
        </is>
      </c>
      <c r="G590" t="n">
        <v>11.4</v>
      </c>
      <c r="H590" t="n">
        <v>0</v>
      </c>
      <c r="I590" t="n">
        <v>0</v>
      </c>
      <c r="J590" t="n">
        <v>0</v>
      </c>
      <c r="K590" t="n">
        <v>0</v>
      </c>
      <c r="L590" t="n">
        <v>0</v>
      </c>
      <c r="M590" t="n">
        <v>0</v>
      </c>
      <c r="N590" t="n">
        <v>0</v>
      </c>
      <c r="O590" t="n">
        <v>0</v>
      </c>
      <c r="P590" t="n">
        <v>0</v>
      </c>
      <c r="Q590" t="n">
        <v>0</v>
      </c>
      <c r="R590" s="2" t="inlineStr"/>
    </row>
    <row r="591" ht="15" customHeight="1">
      <c r="A591" t="inlineStr">
        <is>
          <t>A 39219-2021</t>
        </is>
      </c>
      <c r="B591" s="1" t="n">
        <v>44413</v>
      </c>
      <c r="C591" s="1" t="n">
        <v>46066</v>
      </c>
      <c r="D591" t="inlineStr">
        <is>
          <t>ÖSTERGÖTLANDS LÄN</t>
        </is>
      </c>
      <c r="E591" t="inlineStr">
        <is>
          <t>LINKÖPING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39224-2021</t>
        </is>
      </c>
      <c r="B592" s="1" t="n">
        <v>44413</v>
      </c>
      <c r="C592" s="1" t="n">
        <v>46066</v>
      </c>
      <c r="D592" t="inlineStr">
        <is>
          <t>ÖSTERGÖTLANDS LÄN</t>
        </is>
      </c>
      <c r="E592" t="inlineStr">
        <is>
          <t>LINKÖPING</t>
        </is>
      </c>
      <c r="G592" t="n">
        <v>2.1</v>
      </c>
      <c r="H592" t="n">
        <v>0</v>
      </c>
      <c r="I592" t="n">
        <v>0</v>
      </c>
      <c r="J592" t="n">
        <v>0</v>
      </c>
      <c r="K592" t="n">
        <v>0</v>
      </c>
      <c r="L592" t="n">
        <v>0</v>
      </c>
      <c r="M592" t="n">
        <v>0</v>
      </c>
      <c r="N592" t="n">
        <v>0</v>
      </c>
      <c r="O592" t="n">
        <v>0</v>
      </c>
      <c r="P592" t="n">
        <v>0</v>
      </c>
      <c r="Q592" t="n">
        <v>0</v>
      </c>
      <c r="R592" s="2" t="inlineStr"/>
    </row>
    <row r="593" ht="15" customHeight="1">
      <c r="A593" t="inlineStr">
        <is>
          <t>A 62495-2023</t>
        </is>
      </c>
      <c r="B593" s="1" t="n">
        <v>45268.59717592593</v>
      </c>
      <c r="C593" s="1" t="n">
        <v>46066</v>
      </c>
      <c r="D593" t="inlineStr">
        <is>
          <t>ÖSTERGÖTLANDS LÄN</t>
        </is>
      </c>
      <c r="E593" t="inlineStr">
        <is>
          <t>LINKÖPING</t>
        </is>
      </c>
      <c r="G593" t="n">
        <v>4.1</v>
      </c>
      <c r="H593" t="n">
        <v>0</v>
      </c>
      <c r="I593" t="n">
        <v>0</v>
      </c>
      <c r="J593" t="n">
        <v>0</v>
      </c>
      <c r="K593" t="n">
        <v>0</v>
      </c>
      <c r="L593" t="n">
        <v>0</v>
      </c>
      <c r="M593" t="n">
        <v>0</v>
      </c>
      <c r="N593" t="n">
        <v>0</v>
      </c>
      <c r="O593" t="n">
        <v>0</v>
      </c>
      <c r="P593" t="n">
        <v>0</v>
      </c>
      <c r="Q593" t="n">
        <v>0</v>
      </c>
      <c r="R593" s="2" t="inlineStr"/>
    </row>
    <row r="594" ht="15" customHeight="1">
      <c r="A594" t="inlineStr">
        <is>
          <t>A 29413-2023</t>
        </is>
      </c>
      <c r="B594" s="1" t="n">
        <v>45106.46465277778</v>
      </c>
      <c r="C594" s="1" t="n">
        <v>46066</v>
      </c>
      <c r="D594" t="inlineStr">
        <is>
          <t>ÖSTERGÖTLANDS LÄN</t>
        </is>
      </c>
      <c r="E594" t="inlineStr">
        <is>
          <t>LINKÖPING</t>
        </is>
      </c>
      <c r="G594" t="n">
        <v>8</v>
      </c>
      <c r="H594" t="n">
        <v>0</v>
      </c>
      <c r="I594" t="n">
        <v>0</v>
      </c>
      <c r="J594" t="n">
        <v>0</v>
      </c>
      <c r="K594" t="n">
        <v>0</v>
      </c>
      <c r="L594" t="n">
        <v>0</v>
      </c>
      <c r="M594" t="n">
        <v>0</v>
      </c>
      <c r="N594" t="n">
        <v>0</v>
      </c>
      <c r="O594" t="n">
        <v>0</v>
      </c>
      <c r="P594" t="n">
        <v>0</v>
      </c>
      <c r="Q594" t="n">
        <v>0</v>
      </c>
      <c r="R594" s="2" t="inlineStr"/>
    </row>
    <row r="595" ht="15" customHeight="1">
      <c r="A595" t="inlineStr">
        <is>
          <t>A 25948-2023</t>
        </is>
      </c>
      <c r="B595" s="1" t="n">
        <v>45090</v>
      </c>
      <c r="C595" s="1" t="n">
        <v>46066</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1627-2023</t>
        </is>
      </c>
      <c r="B596" s="1" t="n">
        <v>44937</v>
      </c>
      <c r="C596" s="1" t="n">
        <v>46066</v>
      </c>
      <c r="D596" t="inlineStr">
        <is>
          <t>ÖSTERGÖTLANDS LÄN</t>
        </is>
      </c>
      <c r="E596" t="inlineStr">
        <is>
          <t>LINKÖPING</t>
        </is>
      </c>
      <c r="G596" t="n">
        <v>10.8</v>
      </c>
      <c r="H596" t="n">
        <v>0</v>
      </c>
      <c r="I596" t="n">
        <v>0</v>
      </c>
      <c r="J596" t="n">
        <v>0</v>
      </c>
      <c r="K596" t="n">
        <v>0</v>
      </c>
      <c r="L596" t="n">
        <v>0</v>
      </c>
      <c r="M596" t="n">
        <v>0</v>
      </c>
      <c r="N596" t="n">
        <v>0</v>
      </c>
      <c r="O596" t="n">
        <v>0</v>
      </c>
      <c r="P596" t="n">
        <v>0</v>
      </c>
      <c r="Q596" t="n">
        <v>0</v>
      </c>
      <c r="R596" s="2" t="inlineStr"/>
    </row>
    <row r="597" ht="15" customHeight="1">
      <c r="A597" t="inlineStr">
        <is>
          <t>A 30481-2023</t>
        </is>
      </c>
      <c r="B597" s="1" t="n">
        <v>45111</v>
      </c>
      <c r="C597" s="1" t="n">
        <v>46066</v>
      </c>
      <c r="D597" t="inlineStr">
        <is>
          <t>ÖSTERGÖTLANDS LÄN</t>
        </is>
      </c>
      <c r="E597" t="inlineStr">
        <is>
          <t>LINKÖPING</t>
        </is>
      </c>
      <c r="F597" t="inlineStr">
        <is>
          <t>Övriga Aktiebolag</t>
        </is>
      </c>
      <c r="G597" t="n">
        <v>2</v>
      </c>
      <c r="H597" t="n">
        <v>0</v>
      </c>
      <c r="I597" t="n">
        <v>0</v>
      </c>
      <c r="J597" t="n">
        <v>0</v>
      </c>
      <c r="K597" t="n">
        <v>0</v>
      </c>
      <c r="L597" t="n">
        <v>0</v>
      </c>
      <c r="M597" t="n">
        <v>0</v>
      </c>
      <c r="N597" t="n">
        <v>0</v>
      </c>
      <c r="O597" t="n">
        <v>0</v>
      </c>
      <c r="P597" t="n">
        <v>0</v>
      </c>
      <c r="Q597" t="n">
        <v>0</v>
      </c>
      <c r="R597" s="2" t="inlineStr"/>
    </row>
    <row r="598" ht="15" customHeight="1">
      <c r="A598" t="inlineStr">
        <is>
          <t>A 61447-2025</t>
        </is>
      </c>
      <c r="B598" s="1" t="n">
        <v>46001.57554398148</v>
      </c>
      <c r="C598" s="1" t="n">
        <v>46066</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21782-2024</t>
        </is>
      </c>
      <c r="B599" s="1" t="n">
        <v>45442.63368055555</v>
      </c>
      <c r="C599" s="1" t="n">
        <v>46066</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11671-2023</t>
        </is>
      </c>
      <c r="B600" s="1" t="n">
        <v>44994.48125</v>
      </c>
      <c r="C600" s="1" t="n">
        <v>46066</v>
      </c>
      <c r="D600" t="inlineStr">
        <is>
          <t>ÖSTERGÖTLANDS LÄN</t>
        </is>
      </c>
      <c r="E600" t="inlineStr">
        <is>
          <t>LINKÖPING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4469-2026</t>
        </is>
      </c>
      <c r="B601" s="1" t="n">
        <v>46045.65662037037</v>
      </c>
      <c r="C601" s="1" t="n">
        <v>46066</v>
      </c>
      <c r="D601" t="inlineStr">
        <is>
          <t>ÖSTERGÖTLANDS LÄN</t>
        </is>
      </c>
      <c r="E601" t="inlineStr">
        <is>
          <t>LINKÖPING</t>
        </is>
      </c>
      <c r="F601" t="inlineStr">
        <is>
          <t>Övriga Aktiebolag</t>
        </is>
      </c>
      <c r="G601" t="n">
        <v>3.8</v>
      </c>
      <c r="H601" t="n">
        <v>0</v>
      </c>
      <c r="I601" t="n">
        <v>0</v>
      </c>
      <c r="J601" t="n">
        <v>0</v>
      </c>
      <c r="K601" t="n">
        <v>0</v>
      </c>
      <c r="L601" t="n">
        <v>0</v>
      </c>
      <c r="M601" t="n">
        <v>0</v>
      </c>
      <c r="N601" t="n">
        <v>0</v>
      </c>
      <c r="O601" t="n">
        <v>0</v>
      </c>
      <c r="P601" t="n">
        <v>0</v>
      </c>
      <c r="Q601" t="n">
        <v>0</v>
      </c>
      <c r="R601" s="2" t="inlineStr"/>
    </row>
    <row r="602" ht="15" customHeight="1">
      <c r="A602" t="inlineStr">
        <is>
          <t>A 61899-2025</t>
        </is>
      </c>
      <c r="B602" s="1" t="n">
        <v>46003.46635416667</v>
      </c>
      <c r="C602" s="1" t="n">
        <v>46066</v>
      </c>
      <c r="D602" t="inlineStr">
        <is>
          <t>ÖSTERGÖTLANDS LÄN</t>
        </is>
      </c>
      <c r="E602" t="inlineStr">
        <is>
          <t>LINKÖPING</t>
        </is>
      </c>
      <c r="G602" t="n">
        <v>2.4</v>
      </c>
      <c r="H602" t="n">
        <v>0</v>
      </c>
      <c r="I602" t="n">
        <v>0</v>
      </c>
      <c r="J602" t="n">
        <v>0</v>
      </c>
      <c r="K602" t="n">
        <v>0</v>
      </c>
      <c r="L602" t="n">
        <v>0</v>
      </c>
      <c r="M602" t="n">
        <v>0</v>
      </c>
      <c r="N602" t="n">
        <v>0</v>
      </c>
      <c r="O602" t="n">
        <v>0</v>
      </c>
      <c r="P602" t="n">
        <v>0</v>
      </c>
      <c r="Q602" t="n">
        <v>0</v>
      </c>
      <c r="R602" s="2" t="inlineStr"/>
    </row>
    <row r="603" ht="15" customHeight="1">
      <c r="A603" t="inlineStr">
        <is>
          <t>A 3013-2023</t>
        </is>
      </c>
      <c r="B603" s="1" t="n">
        <v>44945.8092824074</v>
      </c>
      <c r="C603" s="1" t="n">
        <v>46066</v>
      </c>
      <c r="D603" t="inlineStr">
        <is>
          <t>ÖSTERGÖTLANDS LÄN</t>
        </is>
      </c>
      <c r="E603" t="inlineStr">
        <is>
          <t>LINKÖPING</t>
        </is>
      </c>
      <c r="G603" t="n">
        <v>5.2</v>
      </c>
      <c r="H603" t="n">
        <v>0</v>
      </c>
      <c r="I603" t="n">
        <v>0</v>
      </c>
      <c r="J603" t="n">
        <v>0</v>
      </c>
      <c r="K603" t="n">
        <v>0</v>
      </c>
      <c r="L603" t="n">
        <v>0</v>
      </c>
      <c r="M603" t="n">
        <v>0</v>
      </c>
      <c r="N603" t="n">
        <v>0</v>
      </c>
      <c r="O603" t="n">
        <v>0</v>
      </c>
      <c r="P603" t="n">
        <v>0</v>
      </c>
      <c r="Q603" t="n">
        <v>0</v>
      </c>
      <c r="R603" s="2" t="inlineStr"/>
    </row>
    <row r="604" ht="15" customHeight="1">
      <c r="A604" t="inlineStr">
        <is>
          <t>A 49747-2024</t>
        </is>
      </c>
      <c r="B604" s="1" t="n">
        <v>45596</v>
      </c>
      <c r="C604" s="1" t="n">
        <v>46066</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42997-2021</t>
        </is>
      </c>
      <c r="B605" s="1" t="n">
        <v>44431.45556712963</v>
      </c>
      <c r="C605" s="1" t="n">
        <v>46066</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3011-2023</t>
        </is>
      </c>
      <c r="B606" s="1" t="n">
        <v>44945</v>
      </c>
      <c r="C606" s="1" t="n">
        <v>46066</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23735-2023</t>
        </is>
      </c>
      <c r="B607" s="1" t="n">
        <v>45077</v>
      </c>
      <c r="C607" s="1" t="n">
        <v>46066</v>
      </c>
      <c r="D607" t="inlineStr">
        <is>
          <t>ÖSTERGÖTLANDS LÄN</t>
        </is>
      </c>
      <c r="E607" t="inlineStr">
        <is>
          <t>LINKÖPING</t>
        </is>
      </c>
      <c r="G607" t="n">
        <v>1.7</v>
      </c>
      <c r="H607" t="n">
        <v>0</v>
      </c>
      <c r="I607" t="n">
        <v>0</v>
      </c>
      <c r="J607" t="n">
        <v>0</v>
      </c>
      <c r="K607" t="n">
        <v>0</v>
      </c>
      <c r="L607" t="n">
        <v>0</v>
      </c>
      <c r="M607" t="n">
        <v>0</v>
      </c>
      <c r="N607" t="n">
        <v>0</v>
      </c>
      <c r="O607" t="n">
        <v>0</v>
      </c>
      <c r="P607" t="n">
        <v>0</v>
      </c>
      <c r="Q607" t="n">
        <v>0</v>
      </c>
      <c r="R607" s="2" t="inlineStr"/>
    </row>
    <row r="608" ht="15" customHeight="1">
      <c r="A608" t="inlineStr">
        <is>
          <t>A 61643-2025</t>
        </is>
      </c>
      <c r="B608" s="1" t="n">
        <v>46002.43575231481</v>
      </c>
      <c r="C608" s="1" t="n">
        <v>46066</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61645-2025</t>
        </is>
      </c>
      <c r="B609" s="1" t="n">
        <v>46002.43697916667</v>
      </c>
      <c r="C609" s="1" t="n">
        <v>46066</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5099-2026</t>
        </is>
      </c>
      <c r="B610" s="1" t="n">
        <v>46049.56158564815</v>
      </c>
      <c r="C610" s="1" t="n">
        <v>46066</v>
      </c>
      <c r="D610" t="inlineStr">
        <is>
          <t>ÖSTERGÖTLANDS LÄN</t>
        </is>
      </c>
      <c r="E610" t="inlineStr">
        <is>
          <t>LINKÖPING</t>
        </is>
      </c>
      <c r="G610" t="n">
        <v>5</v>
      </c>
      <c r="H610" t="n">
        <v>0</v>
      </c>
      <c r="I610" t="n">
        <v>0</v>
      </c>
      <c r="J610" t="n">
        <v>0</v>
      </c>
      <c r="K610" t="n">
        <v>0</v>
      </c>
      <c r="L610" t="n">
        <v>0</v>
      </c>
      <c r="M610" t="n">
        <v>0</v>
      </c>
      <c r="N610" t="n">
        <v>0</v>
      </c>
      <c r="O610" t="n">
        <v>0</v>
      </c>
      <c r="P610" t="n">
        <v>0</v>
      </c>
      <c r="Q610" t="n">
        <v>0</v>
      </c>
      <c r="R610" s="2" t="inlineStr"/>
    </row>
    <row r="611" ht="15" customHeight="1">
      <c r="A611" t="inlineStr">
        <is>
          <t>A 927-2026</t>
        </is>
      </c>
      <c r="B611" s="1" t="n">
        <v>46030.50560185185</v>
      </c>
      <c r="C611" s="1" t="n">
        <v>46066</v>
      </c>
      <c r="D611" t="inlineStr">
        <is>
          <t>ÖSTERGÖTLANDS LÄN</t>
        </is>
      </c>
      <c r="E611" t="inlineStr">
        <is>
          <t>LINKÖPING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45821-2024</t>
        </is>
      </c>
      <c r="B612" s="1" t="n">
        <v>45579.75803240741</v>
      </c>
      <c r="C612" s="1" t="n">
        <v>46066</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62515-2025</t>
        </is>
      </c>
      <c r="B613" s="1" t="n">
        <v>46007.60548611111</v>
      </c>
      <c r="C613" s="1" t="n">
        <v>46066</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5545-2026</t>
        </is>
      </c>
      <c r="B614" s="1" t="n">
        <v>46050.70089120371</v>
      </c>
      <c r="C614" s="1" t="n">
        <v>46066</v>
      </c>
      <c r="D614" t="inlineStr">
        <is>
          <t>ÖSTERGÖTLANDS LÄN</t>
        </is>
      </c>
      <c r="E614" t="inlineStr">
        <is>
          <t>LINKÖPING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53647-2021</t>
        </is>
      </c>
      <c r="B615" s="1" t="n">
        <v>44469</v>
      </c>
      <c r="C615" s="1" t="n">
        <v>46066</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62791-2025</t>
        </is>
      </c>
      <c r="B616" s="1" t="n">
        <v>46008.63266203704</v>
      </c>
      <c r="C616" s="1" t="n">
        <v>46066</v>
      </c>
      <c r="D616" t="inlineStr">
        <is>
          <t>ÖSTERGÖTLANDS LÄN</t>
        </is>
      </c>
      <c r="E616" t="inlineStr">
        <is>
          <t>LINKÖPING</t>
        </is>
      </c>
      <c r="G616" t="n">
        <v>2.4</v>
      </c>
      <c r="H616" t="n">
        <v>0</v>
      </c>
      <c r="I616" t="n">
        <v>0</v>
      </c>
      <c r="J616" t="n">
        <v>0</v>
      </c>
      <c r="K616" t="n">
        <v>0</v>
      </c>
      <c r="L616" t="n">
        <v>0</v>
      </c>
      <c r="M616" t="n">
        <v>0</v>
      </c>
      <c r="N616" t="n">
        <v>0</v>
      </c>
      <c r="O616" t="n">
        <v>0</v>
      </c>
      <c r="P616" t="n">
        <v>0</v>
      </c>
      <c r="Q616" t="n">
        <v>0</v>
      </c>
      <c r="R616" s="2" t="inlineStr"/>
    </row>
    <row r="617" ht="15" customHeight="1">
      <c r="A617" t="inlineStr">
        <is>
          <t>A 62686-2025</t>
        </is>
      </c>
      <c r="B617" s="1" t="n">
        <v>46008.46769675926</v>
      </c>
      <c r="C617" s="1" t="n">
        <v>46066</v>
      </c>
      <c r="D617" t="inlineStr">
        <is>
          <t>ÖSTERGÖTLANDS LÄN</t>
        </is>
      </c>
      <c r="E617" t="inlineStr">
        <is>
          <t>LINKÖPING</t>
        </is>
      </c>
      <c r="G617" t="n">
        <v>7.6</v>
      </c>
      <c r="H617" t="n">
        <v>0</v>
      </c>
      <c r="I617" t="n">
        <v>0</v>
      </c>
      <c r="J617" t="n">
        <v>0</v>
      </c>
      <c r="K617" t="n">
        <v>0</v>
      </c>
      <c r="L617" t="n">
        <v>0</v>
      </c>
      <c r="M617" t="n">
        <v>0</v>
      </c>
      <c r="N617" t="n">
        <v>0</v>
      </c>
      <c r="O617" t="n">
        <v>0</v>
      </c>
      <c r="P617" t="n">
        <v>0</v>
      </c>
      <c r="Q617" t="n">
        <v>0</v>
      </c>
      <c r="R617" s="2" t="inlineStr"/>
    </row>
    <row r="618" ht="15" customHeight="1">
      <c r="A618" t="inlineStr">
        <is>
          <t>A 6599-2023</t>
        </is>
      </c>
      <c r="B618" s="1" t="n">
        <v>44966.52603009259</v>
      </c>
      <c r="C618" s="1" t="n">
        <v>46066</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63147-2025</t>
        </is>
      </c>
      <c r="B619" s="1" t="n">
        <v>46010.35003472222</v>
      </c>
      <c r="C619" s="1" t="n">
        <v>46066</v>
      </c>
      <c r="D619" t="inlineStr">
        <is>
          <t>ÖSTERGÖTLANDS LÄN</t>
        </is>
      </c>
      <c r="E619" t="inlineStr">
        <is>
          <t>LINKÖPING</t>
        </is>
      </c>
      <c r="G619" t="n">
        <v>4</v>
      </c>
      <c r="H619" t="n">
        <v>0</v>
      </c>
      <c r="I619" t="n">
        <v>0</v>
      </c>
      <c r="J619" t="n">
        <v>0</v>
      </c>
      <c r="K619" t="n">
        <v>0</v>
      </c>
      <c r="L619" t="n">
        <v>0</v>
      </c>
      <c r="M619" t="n">
        <v>0</v>
      </c>
      <c r="N619" t="n">
        <v>0</v>
      </c>
      <c r="O619" t="n">
        <v>0</v>
      </c>
      <c r="P619" t="n">
        <v>0</v>
      </c>
      <c r="Q619" t="n">
        <v>0</v>
      </c>
      <c r="R619" s="2" t="inlineStr"/>
    </row>
    <row r="620" ht="15" customHeight="1">
      <c r="A620" t="inlineStr">
        <is>
          <t>A 35735-2023</t>
        </is>
      </c>
      <c r="B620" s="1" t="n">
        <v>45147</v>
      </c>
      <c r="C620" s="1" t="n">
        <v>46066</v>
      </c>
      <c r="D620" t="inlineStr">
        <is>
          <t>ÖSTERGÖTLANDS LÄN</t>
        </is>
      </c>
      <c r="E620" t="inlineStr">
        <is>
          <t>LINKÖPING</t>
        </is>
      </c>
      <c r="G620" t="n">
        <v>2.8</v>
      </c>
      <c r="H620" t="n">
        <v>0</v>
      </c>
      <c r="I620" t="n">
        <v>0</v>
      </c>
      <c r="J620" t="n">
        <v>0</v>
      </c>
      <c r="K620" t="n">
        <v>0</v>
      </c>
      <c r="L620" t="n">
        <v>0</v>
      </c>
      <c r="M620" t="n">
        <v>0</v>
      </c>
      <c r="N620" t="n">
        <v>0</v>
      </c>
      <c r="O620" t="n">
        <v>0</v>
      </c>
      <c r="P620" t="n">
        <v>0</v>
      </c>
      <c r="Q620" t="n">
        <v>0</v>
      </c>
      <c r="R620" s="2" t="inlineStr"/>
    </row>
    <row r="621" ht="15" customHeight="1">
      <c r="A621" t="inlineStr">
        <is>
          <t>A 45831-2024</t>
        </is>
      </c>
      <c r="B621" s="1" t="n">
        <v>45579.90508101852</v>
      </c>
      <c r="C621" s="1" t="n">
        <v>46066</v>
      </c>
      <c r="D621" t="inlineStr">
        <is>
          <t>ÖSTERGÖTLANDS LÄN</t>
        </is>
      </c>
      <c r="E621" t="inlineStr">
        <is>
          <t>LINKÖPING</t>
        </is>
      </c>
      <c r="G621" t="n">
        <v>1.9</v>
      </c>
      <c r="H621" t="n">
        <v>0</v>
      </c>
      <c r="I621" t="n">
        <v>0</v>
      </c>
      <c r="J621" t="n">
        <v>0</v>
      </c>
      <c r="K621" t="n">
        <v>0</v>
      </c>
      <c r="L621" t="n">
        <v>0</v>
      </c>
      <c r="M621" t="n">
        <v>0</v>
      </c>
      <c r="N621" t="n">
        <v>0</v>
      </c>
      <c r="O621" t="n">
        <v>0</v>
      </c>
      <c r="P621" t="n">
        <v>0</v>
      </c>
      <c r="Q621" t="n">
        <v>0</v>
      </c>
      <c r="R621" s="2" t="inlineStr"/>
    </row>
    <row r="622" ht="15" customHeight="1">
      <c r="A622" t="inlineStr">
        <is>
          <t>A 6164-2026</t>
        </is>
      </c>
      <c r="B622" s="1" t="n">
        <v>46055.32596064815</v>
      </c>
      <c r="C622" s="1" t="n">
        <v>46066</v>
      </c>
      <c r="D622" t="inlineStr">
        <is>
          <t>ÖSTERGÖTLANDS LÄN</t>
        </is>
      </c>
      <c r="E622" t="inlineStr">
        <is>
          <t>LINKÖPING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17157-2024</t>
        </is>
      </c>
      <c r="B623" s="1" t="n">
        <v>45412.70567129629</v>
      </c>
      <c r="C623" s="1" t="n">
        <v>46066</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37154-2023</t>
        </is>
      </c>
      <c r="B624" s="1" t="n">
        <v>45155</v>
      </c>
      <c r="C624" s="1" t="n">
        <v>46066</v>
      </c>
      <c r="D624" t="inlineStr">
        <is>
          <t>ÖSTERGÖTLANDS LÄN</t>
        </is>
      </c>
      <c r="E624" t="inlineStr">
        <is>
          <t>LINKÖPING</t>
        </is>
      </c>
      <c r="G624" t="n">
        <v>1.7</v>
      </c>
      <c r="H624" t="n">
        <v>0</v>
      </c>
      <c r="I624" t="n">
        <v>0</v>
      </c>
      <c r="J624" t="n">
        <v>0</v>
      </c>
      <c r="K624" t="n">
        <v>0</v>
      </c>
      <c r="L624" t="n">
        <v>0</v>
      </c>
      <c r="M624" t="n">
        <v>0</v>
      </c>
      <c r="N624" t="n">
        <v>0</v>
      </c>
      <c r="O624" t="n">
        <v>0</v>
      </c>
      <c r="P624" t="n">
        <v>0</v>
      </c>
      <c r="Q624" t="n">
        <v>0</v>
      </c>
      <c r="R624" s="2" t="inlineStr"/>
    </row>
    <row r="625" ht="15" customHeight="1">
      <c r="A625" t="inlineStr">
        <is>
          <t>A 53812-2023</t>
        </is>
      </c>
      <c r="B625" s="1" t="n">
        <v>45231.39583333334</v>
      </c>
      <c r="C625" s="1" t="n">
        <v>46066</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53830-2023</t>
        </is>
      </c>
      <c r="B626" s="1" t="n">
        <v>45230</v>
      </c>
      <c r="C626" s="1" t="n">
        <v>46066</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56841-2023</t>
        </is>
      </c>
      <c r="B627" s="1" t="n">
        <v>45244</v>
      </c>
      <c r="C627" s="1" t="n">
        <v>46066</v>
      </c>
      <c r="D627" t="inlineStr">
        <is>
          <t>ÖSTERGÖTLANDS LÄN</t>
        </is>
      </c>
      <c r="E627" t="inlineStr">
        <is>
          <t>LINKÖPING</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56741-2023</t>
        </is>
      </c>
      <c r="B628" s="1" t="n">
        <v>45244</v>
      </c>
      <c r="C628" s="1" t="n">
        <v>46066</v>
      </c>
      <c r="D628" t="inlineStr">
        <is>
          <t>ÖSTERGÖTLANDS LÄN</t>
        </is>
      </c>
      <c r="E628" t="inlineStr">
        <is>
          <t>LINKÖPING</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6384-2026</t>
        </is>
      </c>
      <c r="B629" s="1" t="n">
        <v>46055.63732638889</v>
      </c>
      <c r="C629" s="1" t="n">
        <v>46066</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53816-2023</t>
        </is>
      </c>
      <c r="B630" s="1" t="n">
        <v>45231.40012731482</v>
      </c>
      <c r="C630" s="1" t="n">
        <v>46066</v>
      </c>
      <c r="D630" t="inlineStr">
        <is>
          <t>ÖSTERGÖTLANDS LÄN</t>
        </is>
      </c>
      <c r="E630" t="inlineStr">
        <is>
          <t>LINKÖPING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63144-2025</t>
        </is>
      </c>
      <c r="B631" s="1" t="n">
        <v>46010.34716435185</v>
      </c>
      <c r="C631" s="1" t="n">
        <v>46066</v>
      </c>
      <c r="D631" t="inlineStr">
        <is>
          <t>ÖSTERGÖTLANDS LÄN</t>
        </is>
      </c>
      <c r="E631" t="inlineStr">
        <is>
          <t>LINKÖPING</t>
        </is>
      </c>
      <c r="G631" t="n">
        <v>0.9</v>
      </c>
      <c r="H631" t="n">
        <v>0</v>
      </c>
      <c r="I631" t="n">
        <v>0</v>
      </c>
      <c r="J631" t="n">
        <v>0</v>
      </c>
      <c r="K631" t="n">
        <v>0</v>
      </c>
      <c r="L631" t="n">
        <v>0</v>
      </c>
      <c r="M631" t="n">
        <v>0</v>
      </c>
      <c r="N631" t="n">
        <v>0</v>
      </c>
      <c r="O631" t="n">
        <v>0</v>
      </c>
      <c r="P631" t="n">
        <v>0</v>
      </c>
      <c r="Q631" t="n">
        <v>0</v>
      </c>
      <c r="R631" s="2" t="inlineStr"/>
    </row>
    <row r="632" ht="15" customHeight="1">
      <c r="A632" t="inlineStr">
        <is>
          <t>A 63935-2021</t>
        </is>
      </c>
      <c r="B632" s="1" t="n">
        <v>44509</v>
      </c>
      <c r="C632" s="1" t="n">
        <v>46066</v>
      </c>
      <c r="D632" t="inlineStr">
        <is>
          <t>ÖSTERGÖTLANDS LÄN</t>
        </is>
      </c>
      <c r="E632" t="inlineStr">
        <is>
          <t>LINKÖPING</t>
        </is>
      </c>
      <c r="F632" t="inlineStr">
        <is>
          <t>Övriga statliga verk och myndigheter</t>
        </is>
      </c>
      <c r="G632" t="n">
        <v>2.8</v>
      </c>
      <c r="H632" t="n">
        <v>0</v>
      </c>
      <c r="I632" t="n">
        <v>0</v>
      </c>
      <c r="J632" t="n">
        <v>0</v>
      </c>
      <c r="K632" t="n">
        <v>0</v>
      </c>
      <c r="L632" t="n">
        <v>0</v>
      </c>
      <c r="M632" t="n">
        <v>0</v>
      </c>
      <c r="N632" t="n">
        <v>0</v>
      </c>
      <c r="O632" t="n">
        <v>0</v>
      </c>
      <c r="P632" t="n">
        <v>0</v>
      </c>
      <c r="Q632" t="n">
        <v>0</v>
      </c>
      <c r="R632" s="2" t="inlineStr"/>
    </row>
    <row r="633" ht="15" customHeight="1">
      <c r="A633" t="inlineStr">
        <is>
          <t>A 6726-2024</t>
        </is>
      </c>
      <c r="B633" s="1" t="n">
        <v>45341</v>
      </c>
      <c r="C633" s="1" t="n">
        <v>46066</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3007-2023</t>
        </is>
      </c>
      <c r="B634" s="1" t="n">
        <v>44945</v>
      </c>
      <c r="C634" s="1" t="n">
        <v>46066</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18145-2021</t>
        </is>
      </c>
      <c r="B635" s="1" t="n">
        <v>44302</v>
      </c>
      <c r="C635" s="1" t="n">
        <v>46066</v>
      </c>
      <c r="D635" t="inlineStr">
        <is>
          <t>ÖSTERGÖTLANDS LÄN</t>
        </is>
      </c>
      <c r="E635" t="inlineStr">
        <is>
          <t>LINKÖPING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29309-2024</t>
        </is>
      </c>
      <c r="B636" s="1" t="n">
        <v>45483</v>
      </c>
      <c r="C636" s="1" t="n">
        <v>46066</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53411-2023</t>
        </is>
      </c>
      <c r="B637" s="1" t="n">
        <v>45229.81049768518</v>
      </c>
      <c r="C637" s="1" t="n">
        <v>46066</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26788-2022</t>
        </is>
      </c>
      <c r="B638" s="1" t="n">
        <v>44740</v>
      </c>
      <c r="C638" s="1" t="n">
        <v>46066</v>
      </c>
      <c r="D638" t="inlineStr">
        <is>
          <t>ÖSTERGÖTLANDS LÄN</t>
        </is>
      </c>
      <c r="E638" t="inlineStr">
        <is>
          <t>LINKÖPING</t>
        </is>
      </c>
      <c r="G638" t="n">
        <v>3.2</v>
      </c>
      <c r="H638" t="n">
        <v>0</v>
      </c>
      <c r="I638" t="n">
        <v>0</v>
      </c>
      <c r="J638" t="n">
        <v>0</v>
      </c>
      <c r="K638" t="n">
        <v>0</v>
      </c>
      <c r="L638" t="n">
        <v>0</v>
      </c>
      <c r="M638" t="n">
        <v>0</v>
      </c>
      <c r="N638" t="n">
        <v>0</v>
      </c>
      <c r="O638" t="n">
        <v>0</v>
      </c>
      <c r="P638" t="n">
        <v>0</v>
      </c>
      <c r="Q638" t="n">
        <v>0</v>
      </c>
      <c r="R638" s="2" t="inlineStr"/>
    </row>
    <row r="639" ht="15" customHeight="1">
      <c r="A639" t="inlineStr">
        <is>
          <t>A 24462-2023</t>
        </is>
      </c>
      <c r="B639" s="1" t="n">
        <v>45082</v>
      </c>
      <c r="C639" s="1" t="n">
        <v>46066</v>
      </c>
      <c r="D639" t="inlineStr">
        <is>
          <t>ÖSTERGÖTLANDS LÄN</t>
        </is>
      </c>
      <c r="E639" t="inlineStr">
        <is>
          <t>LINKÖPING</t>
        </is>
      </c>
      <c r="G639" t="n">
        <v>3.5</v>
      </c>
      <c r="H639" t="n">
        <v>0</v>
      </c>
      <c r="I639" t="n">
        <v>0</v>
      </c>
      <c r="J639" t="n">
        <v>0</v>
      </c>
      <c r="K639" t="n">
        <v>0</v>
      </c>
      <c r="L639" t="n">
        <v>0</v>
      </c>
      <c r="M639" t="n">
        <v>0</v>
      </c>
      <c r="N639" t="n">
        <v>0</v>
      </c>
      <c r="O639" t="n">
        <v>0</v>
      </c>
      <c r="P639" t="n">
        <v>0</v>
      </c>
      <c r="Q639" t="n">
        <v>0</v>
      </c>
      <c r="R639" s="2" t="inlineStr"/>
    </row>
    <row r="640" ht="15" customHeight="1">
      <c r="A640" t="inlineStr">
        <is>
          <t>A 62015-2024</t>
        </is>
      </c>
      <c r="B640" s="1" t="n">
        <v>45655.80457175926</v>
      </c>
      <c r="C640" s="1" t="n">
        <v>46066</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10741-2023</t>
        </is>
      </c>
      <c r="B641" s="1" t="n">
        <v>44988.70084490741</v>
      </c>
      <c r="C641" s="1" t="n">
        <v>46066</v>
      </c>
      <c r="D641" t="inlineStr">
        <is>
          <t>ÖSTERGÖTLANDS LÄN</t>
        </is>
      </c>
      <c r="E641" t="inlineStr">
        <is>
          <t>LINKÖPING</t>
        </is>
      </c>
      <c r="F641" t="inlineStr">
        <is>
          <t>Allmännings- och besparingsskogar</t>
        </is>
      </c>
      <c r="G641" t="n">
        <v>11.2</v>
      </c>
      <c r="H641" t="n">
        <v>0</v>
      </c>
      <c r="I641" t="n">
        <v>0</v>
      </c>
      <c r="J641" t="n">
        <v>0</v>
      </c>
      <c r="K641" t="n">
        <v>0</v>
      </c>
      <c r="L641" t="n">
        <v>0</v>
      </c>
      <c r="M641" t="n">
        <v>0</v>
      </c>
      <c r="N641" t="n">
        <v>0</v>
      </c>
      <c r="O641" t="n">
        <v>0</v>
      </c>
      <c r="P641" t="n">
        <v>0</v>
      </c>
      <c r="Q641" t="n">
        <v>0</v>
      </c>
      <c r="R641" s="2" t="inlineStr"/>
    </row>
    <row r="642" ht="15" customHeight="1">
      <c r="A642" t="inlineStr">
        <is>
          <t>A 43473-2024</t>
        </is>
      </c>
      <c r="B642" s="1" t="n">
        <v>45568</v>
      </c>
      <c r="C642" s="1" t="n">
        <v>46066</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43475-2024</t>
        </is>
      </c>
      <c r="B643" s="1" t="n">
        <v>45568</v>
      </c>
      <c r="C643" s="1" t="n">
        <v>46066</v>
      </c>
      <c r="D643" t="inlineStr">
        <is>
          <t>ÖSTERGÖTLANDS LÄN</t>
        </is>
      </c>
      <c r="E643" t="inlineStr">
        <is>
          <t>LINKÖPING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1207-2023</t>
        </is>
      </c>
      <c r="B644" s="1" t="n">
        <v>44930</v>
      </c>
      <c r="C644" s="1" t="n">
        <v>46066</v>
      </c>
      <c r="D644" t="inlineStr">
        <is>
          <t>ÖSTERGÖTLANDS LÄN</t>
        </is>
      </c>
      <c r="E644" t="inlineStr">
        <is>
          <t>LINKÖPING</t>
        </is>
      </c>
      <c r="F644" t="inlineStr">
        <is>
          <t>Övriga statliga verk och myndigheter</t>
        </is>
      </c>
      <c r="G644" t="n">
        <v>32.8</v>
      </c>
      <c r="H644" t="n">
        <v>0</v>
      </c>
      <c r="I644" t="n">
        <v>0</v>
      </c>
      <c r="J644" t="n">
        <v>0</v>
      </c>
      <c r="K644" t="n">
        <v>0</v>
      </c>
      <c r="L644" t="n">
        <v>0</v>
      </c>
      <c r="M644" t="n">
        <v>0</v>
      </c>
      <c r="N644" t="n">
        <v>0</v>
      </c>
      <c r="O644" t="n">
        <v>0</v>
      </c>
      <c r="P644" t="n">
        <v>0</v>
      </c>
      <c r="Q644" t="n">
        <v>0</v>
      </c>
      <c r="R644" s="2" t="inlineStr"/>
    </row>
    <row r="645" ht="15" customHeight="1">
      <c r="A645" t="inlineStr">
        <is>
          <t>A 29859-2024</t>
        </is>
      </c>
      <c r="B645" s="1" t="n">
        <v>45485.6846412037</v>
      </c>
      <c r="C645" s="1" t="n">
        <v>46066</v>
      </c>
      <c r="D645" t="inlineStr">
        <is>
          <t>ÖSTERGÖTLANDS LÄN</t>
        </is>
      </c>
      <c r="E645" t="inlineStr">
        <is>
          <t>LINKÖPING</t>
        </is>
      </c>
      <c r="G645" t="n">
        <v>0.4</v>
      </c>
      <c r="H645" t="n">
        <v>0</v>
      </c>
      <c r="I645" t="n">
        <v>0</v>
      </c>
      <c r="J645" t="n">
        <v>0</v>
      </c>
      <c r="K645" t="n">
        <v>0</v>
      </c>
      <c r="L645" t="n">
        <v>0</v>
      </c>
      <c r="M645" t="n">
        <v>0</v>
      </c>
      <c r="N645" t="n">
        <v>0</v>
      </c>
      <c r="O645" t="n">
        <v>0</v>
      </c>
      <c r="P645" t="n">
        <v>0</v>
      </c>
      <c r="Q645" t="n">
        <v>0</v>
      </c>
      <c r="R645" s="2" t="inlineStr"/>
    </row>
    <row r="646" ht="15" customHeight="1">
      <c r="A646" t="inlineStr">
        <is>
          <t>A 45819-2024</t>
        </is>
      </c>
      <c r="B646" s="1" t="n">
        <v>45579.7454050926</v>
      </c>
      <c r="C646" s="1" t="n">
        <v>46066</v>
      </c>
      <c r="D646" t="inlineStr">
        <is>
          <t>ÖSTERGÖTLANDS LÄN</t>
        </is>
      </c>
      <c r="E646" t="inlineStr">
        <is>
          <t>LINKÖPING</t>
        </is>
      </c>
      <c r="G646" t="n">
        <v>5</v>
      </c>
      <c r="H646" t="n">
        <v>0</v>
      </c>
      <c r="I646" t="n">
        <v>0</v>
      </c>
      <c r="J646" t="n">
        <v>0</v>
      </c>
      <c r="K646" t="n">
        <v>0</v>
      </c>
      <c r="L646" t="n">
        <v>0</v>
      </c>
      <c r="M646" t="n">
        <v>0</v>
      </c>
      <c r="N646" t="n">
        <v>0</v>
      </c>
      <c r="O646" t="n">
        <v>0</v>
      </c>
      <c r="P646" t="n">
        <v>0</v>
      </c>
      <c r="Q646" t="n">
        <v>0</v>
      </c>
      <c r="R646" s="2" t="inlineStr"/>
    </row>
    <row r="647" ht="15" customHeight="1">
      <c r="A647" t="inlineStr">
        <is>
          <t>A 15748-2025</t>
        </is>
      </c>
      <c r="B647" s="1" t="n">
        <v>45748.55282407408</v>
      </c>
      <c r="C647" s="1" t="n">
        <v>46066</v>
      </c>
      <c r="D647" t="inlineStr">
        <is>
          <t>ÖSTERGÖTLANDS LÄN</t>
        </is>
      </c>
      <c r="E647" t="inlineStr">
        <is>
          <t>LINKÖPING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15754-2025</t>
        </is>
      </c>
      <c r="B648" s="1" t="n">
        <v>45748.56105324074</v>
      </c>
      <c r="C648" s="1" t="n">
        <v>46066</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46066</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53797-2023</t>
        </is>
      </c>
      <c r="B650" s="1" t="n">
        <v>45230</v>
      </c>
      <c r="C650" s="1" t="n">
        <v>46066</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55345-2021</t>
        </is>
      </c>
      <c r="B651" s="1" t="n">
        <v>44475</v>
      </c>
      <c r="C651" s="1" t="n">
        <v>46066</v>
      </c>
      <c r="D651" t="inlineStr">
        <is>
          <t>ÖSTERGÖTLANDS LÄN</t>
        </is>
      </c>
      <c r="E651" t="inlineStr">
        <is>
          <t>LINKÖPING</t>
        </is>
      </c>
      <c r="G651" t="n">
        <v>5.7</v>
      </c>
      <c r="H651" t="n">
        <v>0</v>
      </c>
      <c r="I651" t="n">
        <v>0</v>
      </c>
      <c r="J651" t="n">
        <v>0</v>
      </c>
      <c r="K651" t="n">
        <v>0</v>
      </c>
      <c r="L651" t="n">
        <v>0</v>
      </c>
      <c r="M651" t="n">
        <v>0</v>
      </c>
      <c r="N651" t="n">
        <v>0</v>
      </c>
      <c r="O651" t="n">
        <v>0</v>
      </c>
      <c r="P651" t="n">
        <v>0</v>
      </c>
      <c r="Q651" t="n">
        <v>0</v>
      </c>
      <c r="R651" s="2" t="inlineStr"/>
    </row>
    <row r="652" ht="15" customHeight="1">
      <c r="A652" t="inlineStr">
        <is>
          <t>A 10198-2023</t>
        </is>
      </c>
      <c r="B652" s="1" t="n">
        <v>44986.54665509259</v>
      </c>
      <c r="C652" s="1" t="n">
        <v>46066</v>
      </c>
      <c r="D652" t="inlineStr">
        <is>
          <t>ÖSTERGÖTLANDS LÄN</t>
        </is>
      </c>
      <c r="E652" t="inlineStr">
        <is>
          <t>LINKÖPING</t>
        </is>
      </c>
      <c r="G652" t="n">
        <v>4.6</v>
      </c>
      <c r="H652" t="n">
        <v>0</v>
      </c>
      <c r="I652" t="n">
        <v>0</v>
      </c>
      <c r="J652" t="n">
        <v>0</v>
      </c>
      <c r="K652" t="n">
        <v>0</v>
      </c>
      <c r="L652" t="n">
        <v>0</v>
      </c>
      <c r="M652" t="n">
        <v>0</v>
      </c>
      <c r="N652" t="n">
        <v>0</v>
      </c>
      <c r="O652" t="n">
        <v>0</v>
      </c>
      <c r="P652" t="n">
        <v>0</v>
      </c>
      <c r="Q652" t="n">
        <v>0</v>
      </c>
      <c r="R652" s="2" t="inlineStr"/>
    </row>
    <row r="653" ht="15" customHeight="1">
      <c r="A653" t="inlineStr">
        <is>
          <t>A 4298-2023</t>
        </is>
      </c>
      <c r="B653" s="1" t="n">
        <v>44953</v>
      </c>
      <c r="C653" s="1" t="n">
        <v>46066</v>
      </c>
      <c r="D653" t="inlineStr">
        <is>
          <t>ÖSTERGÖTLANDS LÄN</t>
        </is>
      </c>
      <c r="E653" t="inlineStr">
        <is>
          <t>LINKÖPING</t>
        </is>
      </c>
      <c r="G653" t="n">
        <v>2.8</v>
      </c>
      <c r="H653" t="n">
        <v>0</v>
      </c>
      <c r="I653" t="n">
        <v>0</v>
      </c>
      <c r="J653" t="n">
        <v>0</v>
      </c>
      <c r="K653" t="n">
        <v>0</v>
      </c>
      <c r="L653" t="n">
        <v>0</v>
      </c>
      <c r="M653" t="n">
        <v>0</v>
      </c>
      <c r="N653" t="n">
        <v>0</v>
      </c>
      <c r="O653" t="n">
        <v>0</v>
      </c>
      <c r="P653" t="n">
        <v>0</v>
      </c>
      <c r="Q653" t="n">
        <v>0</v>
      </c>
      <c r="R653" s="2" t="inlineStr"/>
    </row>
    <row r="654" ht="15" customHeight="1">
      <c r="A654" t="inlineStr">
        <is>
          <t>A 12428-2024</t>
        </is>
      </c>
      <c r="B654" s="1" t="n">
        <v>45379</v>
      </c>
      <c r="C654" s="1" t="n">
        <v>46066</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26618-2023</t>
        </is>
      </c>
      <c r="B655" s="1" t="n">
        <v>45092.70306712963</v>
      </c>
      <c r="C655" s="1" t="n">
        <v>46066</v>
      </c>
      <c r="D655" t="inlineStr">
        <is>
          <t>ÖSTERGÖTLANDS LÄN</t>
        </is>
      </c>
      <c r="E655" t="inlineStr">
        <is>
          <t>LINKÖPING</t>
        </is>
      </c>
      <c r="G655" t="n">
        <v>6.9</v>
      </c>
      <c r="H655" t="n">
        <v>0</v>
      </c>
      <c r="I655" t="n">
        <v>0</v>
      </c>
      <c r="J655" t="n">
        <v>0</v>
      </c>
      <c r="K655" t="n">
        <v>0</v>
      </c>
      <c r="L655" t="n">
        <v>0</v>
      </c>
      <c r="M655" t="n">
        <v>0</v>
      </c>
      <c r="N655" t="n">
        <v>0</v>
      </c>
      <c r="O655" t="n">
        <v>0</v>
      </c>
      <c r="P655" t="n">
        <v>0</v>
      </c>
      <c r="Q655" t="n">
        <v>0</v>
      </c>
      <c r="R655" s="2" t="inlineStr"/>
    </row>
    <row r="656" ht="15" customHeight="1">
      <c r="A656" t="inlineStr">
        <is>
          <t>A 34930-2023</t>
        </is>
      </c>
      <c r="B656" s="1" t="n">
        <v>45142</v>
      </c>
      <c r="C656" s="1" t="n">
        <v>46066</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670-2024</t>
        </is>
      </c>
      <c r="B657" s="1" t="n">
        <v>45300.3408912037</v>
      </c>
      <c r="C657" s="1" t="n">
        <v>46066</v>
      </c>
      <c r="D657" t="inlineStr">
        <is>
          <t>ÖSTERGÖTLANDS LÄN</t>
        </is>
      </c>
      <c r="E657" t="inlineStr">
        <is>
          <t>LINKÖPING</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63845-2021</t>
        </is>
      </c>
      <c r="B658" s="1" t="n">
        <v>44509</v>
      </c>
      <c r="C658" s="1" t="n">
        <v>46066</v>
      </c>
      <c r="D658" t="inlineStr">
        <is>
          <t>ÖSTERGÖTLANDS LÄN</t>
        </is>
      </c>
      <c r="E658" t="inlineStr">
        <is>
          <t>LINKÖPING</t>
        </is>
      </c>
      <c r="G658" t="n">
        <v>5</v>
      </c>
      <c r="H658" t="n">
        <v>0</v>
      </c>
      <c r="I658" t="n">
        <v>0</v>
      </c>
      <c r="J658" t="n">
        <v>0</v>
      </c>
      <c r="K658" t="n">
        <v>0</v>
      </c>
      <c r="L658" t="n">
        <v>0</v>
      </c>
      <c r="M658" t="n">
        <v>0</v>
      </c>
      <c r="N658" t="n">
        <v>0</v>
      </c>
      <c r="O658" t="n">
        <v>0</v>
      </c>
      <c r="P658" t="n">
        <v>0</v>
      </c>
      <c r="Q658" t="n">
        <v>0</v>
      </c>
      <c r="R658" s="2" t="inlineStr"/>
    </row>
    <row r="659" ht="15" customHeight="1">
      <c r="A659" t="inlineStr">
        <is>
          <t>A 54034-2022</t>
        </is>
      </c>
      <c r="B659" s="1" t="n">
        <v>44881</v>
      </c>
      <c r="C659" s="1" t="n">
        <v>46066</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36336-2023</t>
        </is>
      </c>
      <c r="B660" s="1" t="n">
        <v>45152.45078703704</v>
      </c>
      <c r="C660" s="1" t="n">
        <v>46066</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48829-2023</t>
        </is>
      </c>
      <c r="B661" s="1" t="n">
        <v>45209.38177083333</v>
      </c>
      <c r="C661" s="1" t="n">
        <v>46066</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48186-2022</t>
        </is>
      </c>
      <c r="B662" s="1" t="n">
        <v>44858</v>
      </c>
      <c r="C662" s="1" t="n">
        <v>46066</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63669-2023</t>
        </is>
      </c>
      <c r="B663" s="1" t="n">
        <v>45275</v>
      </c>
      <c r="C663" s="1" t="n">
        <v>46066</v>
      </c>
      <c r="D663" t="inlineStr">
        <is>
          <t>ÖSTERGÖTLANDS LÄN</t>
        </is>
      </c>
      <c r="E663" t="inlineStr">
        <is>
          <t>LINKÖPING</t>
        </is>
      </c>
      <c r="F663" t="inlineStr">
        <is>
          <t>Övriga Aktiebolag</t>
        </is>
      </c>
      <c r="G663" t="n">
        <v>3</v>
      </c>
      <c r="H663" t="n">
        <v>0</v>
      </c>
      <c r="I663" t="n">
        <v>0</v>
      </c>
      <c r="J663" t="n">
        <v>0</v>
      </c>
      <c r="K663" t="n">
        <v>0</v>
      </c>
      <c r="L663" t="n">
        <v>0</v>
      </c>
      <c r="M663" t="n">
        <v>0</v>
      </c>
      <c r="N663" t="n">
        <v>0</v>
      </c>
      <c r="O663" t="n">
        <v>0</v>
      </c>
      <c r="P663" t="n">
        <v>0</v>
      </c>
      <c r="Q663" t="n">
        <v>0</v>
      </c>
      <c r="R663" s="2" t="inlineStr"/>
    </row>
    <row r="664" ht="15" customHeight="1">
      <c r="A664" t="inlineStr">
        <is>
          <t>A 24586-2024</t>
        </is>
      </c>
      <c r="B664" s="1" t="n">
        <v>45460.46664351852</v>
      </c>
      <c r="C664" s="1" t="n">
        <v>46066</v>
      </c>
      <c r="D664" t="inlineStr">
        <is>
          <t>ÖSTERGÖTLANDS LÄN</t>
        </is>
      </c>
      <c r="E664" t="inlineStr">
        <is>
          <t>LINKÖPING</t>
        </is>
      </c>
      <c r="G664" t="n">
        <v>4</v>
      </c>
      <c r="H664" t="n">
        <v>0</v>
      </c>
      <c r="I664" t="n">
        <v>0</v>
      </c>
      <c r="J664" t="n">
        <v>0</v>
      </c>
      <c r="K664" t="n">
        <v>0</v>
      </c>
      <c r="L664" t="n">
        <v>0</v>
      </c>
      <c r="M664" t="n">
        <v>0</v>
      </c>
      <c r="N664" t="n">
        <v>0</v>
      </c>
      <c r="O664" t="n">
        <v>0</v>
      </c>
      <c r="P664" t="n">
        <v>0</v>
      </c>
      <c r="Q664" t="n">
        <v>0</v>
      </c>
      <c r="R664" s="2" t="inlineStr"/>
    </row>
    <row r="665" ht="15" customHeight="1">
      <c r="A665" t="inlineStr">
        <is>
          <t>A 59576-2024</t>
        </is>
      </c>
      <c r="B665" s="1" t="n">
        <v>45638.66378472222</v>
      </c>
      <c r="C665" s="1" t="n">
        <v>46066</v>
      </c>
      <c r="D665" t="inlineStr">
        <is>
          <t>ÖSTERGÖTLANDS LÄN</t>
        </is>
      </c>
      <c r="E665" t="inlineStr">
        <is>
          <t>LINKÖPING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59642-2024</t>
        </is>
      </c>
      <c r="B666" s="1" t="n">
        <v>45639.31511574074</v>
      </c>
      <c r="C666" s="1" t="n">
        <v>46066</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59674-2024</t>
        </is>
      </c>
      <c r="B667" s="1" t="n">
        <v>45639</v>
      </c>
      <c r="C667" s="1" t="n">
        <v>46066</v>
      </c>
      <c r="D667" t="inlineStr">
        <is>
          <t>ÖSTERGÖTLANDS LÄN</t>
        </is>
      </c>
      <c r="E667" t="inlineStr">
        <is>
          <t>LINKÖPING</t>
        </is>
      </c>
      <c r="G667" t="n">
        <v>6.3</v>
      </c>
      <c r="H667" t="n">
        <v>0</v>
      </c>
      <c r="I667" t="n">
        <v>0</v>
      </c>
      <c r="J667" t="n">
        <v>0</v>
      </c>
      <c r="K667" t="n">
        <v>0</v>
      </c>
      <c r="L667" t="n">
        <v>0</v>
      </c>
      <c r="M667" t="n">
        <v>0</v>
      </c>
      <c r="N667" t="n">
        <v>0</v>
      </c>
      <c r="O667" t="n">
        <v>0</v>
      </c>
      <c r="P667" t="n">
        <v>0</v>
      </c>
      <c r="Q667" t="n">
        <v>0</v>
      </c>
      <c r="R667" s="2" t="inlineStr"/>
    </row>
    <row r="668" ht="15" customHeight="1">
      <c r="A668" t="inlineStr">
        <is>
          <t>A 18916-2024</t>
        </is>
      </c>
      <c r="B668" s="1" t="n">
        <v>45427.39541666667</v>
      </c>
      <c r="C668" s="1" t="n">
        <v>46066</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11084-2022</t>
        </is>
      </c>
      <c r="B669" s="1" t="n">
        <v>44628</v>
      </c>
      <c r="C669" s="1" t="n">
        <v>46066</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10203-2023</t>
        </is>
      </c>
      <c r="B670" s="1" t="n">
        <v>44986.55711805556</v>
      </c>
      <c r="C670" s="1" t="n">
        <v>46066</v>
      </c>
      <c r="D670" t="inlineStr">
        <is>
          <t>ÖSTERGÖTLANDS LÄN</t>
        </is>
      </c>
      <c r="E670" t="inlineStr">
        <is>
          <t>LINKÖPING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2618-2023</t>
        </is>
      </c>
      <c r="B671" s="1" t="n">
        <v>44944.35847222222</v>
      </c>
      <c r="C671" s="1" t="n">
        <v>46066</v>
      </c>
      <c r="D671" t="inlineStr">
        <is>
          <t>ÖSTERGÖTLANDS LÄN</t>
        </is>
      </c>
      <c r="E671" t="inlineStr">
        <is>
          <t>LINKÖPING</t>
        </is>
      </c>
      <c r="G671" t="n">
        <v>4.3</v>
      </c>
      <c r="H671" t="n">
        <v>0</v>
      </c>
      <c r="I671" t="n">
        <v>0</v>
      </c>
      <c r="J671" t="n">
        <v>0</v>
      </c>
      <c r="K671" t="n">
        <v>0</v>
      </c>
      <c r="L671" t="n">
        <v>0</v>
      </c>
      <c r="M671" t="n">
        <v>0</v>
      </c>
      <c r="N671" t="n">
        <v>0</v>
      </c>
      <c r="O671" t="n">
        <v>0</v>
      </c>
      <c r="P671" t="n">
        <v>0</v>
      </c>
      <c r="Q671" t="n">
        <v>0</v>
      </c>
      <c r="R671" s="2" t="inlineStr"/>
    </row>
    <row r="672" ht="15" customHeight="1">
      <c r="A672" t="inlineStr">
        <is>
          <t>A 62020-2024</t>
        </is>
      </c>
      <c r="B672" s="1" t="n">
        <v>45655.83563657408</v>
      </c>
      <c r="C672" s="1" t="n">
        <v>46066</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62021-2024</t>
        </is>
      </c>
      <c r="B673" s="1" t="n">
        <v>45655.84232638889</v>
      </c>
      <c r="C673" s="1" t="n">
        <v>46066</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1362-2023</t>
        </is>
      </c>
      <c r="B674" s="1" t="n">
        <v>44931</v>
      </c>
      <c r="C674" s="1" t="n">
        <v>46066</v>
      </c>
      <c r="D674" t="inlineStr">
        <is>
          <t>ÖSTERGÖTLANDS LÄN</t>
        </is>
      </c>
      <c r="E674" t="inlineStr">
        <is>
          <t>LINKÖPING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49928-2024</t>
        </is>
      </c>
      <c r="B675" s="1" t="n">
        <v>45597.57811342592</v>
      </c>
      <c r="C675" s="1" t="n">
        <v>46066</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3627-2023</t>
        </is>
      </c>
      <c r="B676" s="1" t="n">
        <v>44950.64782407408</v>
      </c>
      <c r="C676" s="1" t="n">
        <v>46066</v>
      </c>
      <c r="D676" t="inlineStr">
        <is>
          <t>ÖSTERGÖTLANDS LÄN</t>
        </is>
      </c>
      <c r="E676" t="inlineStr">
        <is>
          <t>LINKÖPING</t>
        </is>
      </c>
      <c r="G676" t="n">
        <v>3.1</v>
      </c>
      <c r="H676" t="n">
        <v>0</v>
      </c>
      <c r="I676" t="n">
        <v>0</v>
      </c>
      <c r="J676" t="n">
        <v>0</v>
      </c>
      <c r="K676" t="n">
        <v>0</v>
      </c>
      <c r="L676" t="n">
        <v>0</v>
      </c>
      <c r="M676" t="n">
        <v>0</v>
      </c>
      <c r="N676" t="n">
        <v>0</v>
      </c>
      <c r="O676" t="n">
        <v>0</v>
      </c>
      <c r="P676" t="n">
        <v>0</v>
      </c>
      <c r="Q676" t="n">
        <v>0</v>
      </c>
      <c r="R676" s="2" t="inlineStr"/>
    </row>
    <row r="677" ht="15" customHeight="1">
      <c r="A677" t="inlineStr">
        <is>
          <t>A 51405-2023</t>
        </is>
      </c>
      <c r="B677" s="1" t="n">
        <v>45219</v>
      </c>
      <c r="C677" s="1" t="n">
        <v>46066</v>
      </c>
      <c r="D677" t="inlineStr">
        <is>
          <t>ÖSTERGÖTLANDS LÄN</t>
        </is>
      </c>
      <c r="E677" t="inlineStr">
        <is>
          <t>LINKÖPING</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11601-2023</t>
        </is>
      </c>
      <c r="B678" s="1" t="n">
        <v>44994</v>
      </c>
      <c r="C678" s="1" t="n">
        <v>46066</v>
      </c>
      <c r="D678" t="inlineStr">
        <is>
          <t>ÖSTERGÖTLANDS LÄN</t>
        </is>
      </c>
      <c r="E678" t="inlineStr">
        <is>
          <t>LINKÖPING</t>
        </is>
      </c>
      <c r="G678" t="n">
        <v>1.7</v>
      </c>
      <c r="H678" t="n">
        <v>0</v>
      </c>
      <c r="I678" t="n">
        <v>0</v>
      </c>
      <c r="J678" t="n">
        <v>0</v>
      </c>
      <c r="K678" t="n">
        <v>0</v>
      </c>
      <c r="L678" t="n">
        <v>0</v>
      </c>
      <c r="M678" t="n">
        <v>0</v>
      </c>
      <c r="N678" t="n">
        <v>0</v>
      </c>
      <c r="O678" t="n">
        <v>0</v>
      </c>
      <c r="P678" t="n">
        <v>0</v>
      </c>
      <c r="Q678" t="n">
        <v>0</v>
      </c>
      <c r="R678" s="2" t="inlineStr"/>
    </row>
    <row r="679" ht="15" customHeight="1">
      <c r="A679" t="inlineStr">
        <is>
          <t>A 40338-2024</t>
        </is>
      </c>
      <c r="B679" s="1" t="n">
        <v>45555.32940972222</v>
      </c>
      <c r="C679" s="1" t="n">
        <v>46066</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167-2024</t>
        </is>
      </c>
      <c r="B680" s="1" t="n">
        <v>45294</v>
      </c>
      <c r="C680" s="1" t="n">
        <v>46066</v>
      </c>
      <c r="D680" t="inlineStr">
        <is>
          <t>ÖSTERGÖTLANDS LÄN</t>
        </is>
      </c>
      <c r="E680" t="inlineStr">
        <is>
          <t>LINKÖPING</t>
        </is>
      </c>
      <c r="F680" t="inlineStr">
        <is>
          <t>Allmännings- och besparingsskogar</t>
        </is>
      </c>
      <c r="G680" t="n">
        <v>11.6</v>
      </c>
      <c r="H680" t="n">
        <v>0</v>
      </c>
      <c r="I680" t="n">
        <v>0</v>
      </c>
      <c r="J680" t="n">
        <v>0</v>
      </c>
      <c r="K680" t="n">
        <v>0</v>
      </c>
      <c r="L680" t="n">
        <v>0</v>
      </c>
      <c r="M680" t="n">
        <v>0</v>
      </c>
      <c r="N680" t="n">
        <v>0</v>
      </c>
      <c r="O680" t="n">
        <v>0</v>
      </c>
      <c r="P680" t="n">
        <v>0</v>
      </c>
      <c r="Q680" t="n">
        <v>0</v>
      </c>
      <c r="R680" s="2" t="inlineStr"/>
    </row>
    <row r="681" ht="15" customHeight="1">
      <c r="A681" t="inlineStr">
        <is>
          <t>A 27186-2021</t>
        </is>
      </c>
      <c r="B681" s="1" t="n">
        <v>44350.67715277777</v>
      </c>
      <c r="C681" s="1" t="n">
        <v>46066</v>
      </c>
      <c r="D681" t="inlineStr">
        <is>
          <t>ÖSTERGÖTLANDS LÄN</t>
        </is>
      </c>
      <c r="E681" t="inlineStr">
        <is>
          <t>LINKÖPING</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7343-2025</t>
        </is>
      </c>
      <c r="B682" s="1" t="n">
        <v>45703.67853009259</v>
      </c>
      <c r="C682" s="1" t="n">
        <v>46066</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48271-2023</t>
        </is>
      </c>
      <c r="B683" s="1" t="n">
        <v>45205</v>
      </c>
      <c r="C683" s="1" t="n">
        <v>46066</v>
      </c>
      <c r="D683" t="inlineStr">
        <is>
          <t>ÖSTERGÖTLANDS LÄN</t>
        </is>
      </c>
      <c r="E683" t="inlineStr">
        <is>
          <t>LINKÖPING</t>
        </is>
      </c>
      <c r="G683" t="n">
        <v>3</v>
      </c>
      <c r="H683" t="n">
        <v>0</v>
      </c>
      <c r="I683" t="n">
        <v>0</v>
      </c>
      <c r="J683" t="n">
        <v>0</v>
      </c>
      <c r="K683" t="n">
        <v>0</v>
      </c>
      <c r="L683" t="n">
        <v>0</v>
      </c>
      <c r="M683" t="n">
        <v>0</v>
      </c>
      <c r="N683" t="n">
        <v>0</v>
      </c>
      <c r="O683" t="n">
        <v>0</v>
      </c>
      <c r="P683" t="n">
        <v>0</v>
      </c>
      <c r="Q683" t="n">
        <v>0</v>
      </c>
      <c r="R683" s="2" t="inlineStr"/>
    </row>
    <row r="684" ht="15" customHeight="1">
      <c r="A684" t="inlineStr">
        <is>
          <t>A 12720-2022</t>
        </is>
      </c>
      <c r="B684" s="1" t="n">
        <v>44641</v>
      </c>
      <c r="C684" s="1" t="n">
        <v>46066</v>
      </c>
      <c r="D684" t="inlineStr">
        <is>
          <t>ÖSTERGÖTLANDS LÄN</t>
        </is>
      </c>
      <c r="E684" t="inlineStr">
        <is>
          <t>LINKÖPING</t>
        </is>
      </c>
      <c r="F684" t="inlineStr">
        <is>
          <t>Övriga Aktiebolag</t>
        </is>
      </c>
      <c r="G684" t="n">
        <v>2</v>
      </c>
      <c r="H684" t="n">
        <v>0</v>
      </c>
      <c r="I684" t="n">
        <v>0</v>
      </c>
      <c r="J684" t="n">
        <v>0</v>
      </c>
      <c r="K684" t="n">
        <v>0</v>
      </c>
      <c r="L684" t="n">
        <v>0</v>
      </c>
      <c r="M684" t="n">
        <v>0</v>
      </c>
      <c r="N684" t="n">
        <v>0</v>
      </c>
      <c r="O684" t="n">
        <v>0</v>
      </c>
      <c r="P684" t="n">
        <v>0</v>
      </c>
      <c r="Q684" t="n">
        <v>0</v>
      </c>
      <c r="R684" s="2" t="inlineStr"/>
    </row>
    <row r="685" ht="15" customHeight="1">
      <c r="A685" t="inlineStr">
        <is>
          <t>A 62018-2024</t>
        </is>
      </c>
      <c r="B685" s="1" t="n">
        <v>45655.81387731482</v>
      </c>
      <c r="C685" s="1" t="n">
        <v>46066</v>
      </c>
      <c r="D685" t="inlineStr">
        <is>
          <t>ÖSTERGÖTLANDS LÄN</t>
        </is>
      </c>
      <c r="E685" t="inlineStr">
        <is>
          <t>LINKÖPING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30551-2023</t>
        </is>
      </c>
      <c r="B686" s="1" t="n">
        <v>45111</v>
      </c>
      <c r="C686" s="1" t="n">
        <v>46066</v>
      </c>
      <c r="D686" t="inlineStr">
        <is>
          <t>ÖSTERGÖTLANDS LÄN</t>
        </is>
      </c>
      <c r="E686" t="inlineStr">
        <is>
          <t>LINKÖPING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30860-2022</t>
        </is>
      </c>
      <c r="B687" s="1" t="n">
        <v>44767</v>
      </c>
      <c r="C687" s="1" t="n">
        <v>46066</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60004-2022</t>
        </is>
      </c>
      <c r="B688" s="1" t="n">
        <v>44909.47206018519</v>
      </c>
      <c r="C688" s="1" t="n">
        <v>46066</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60010-2022</t>
        </is>
      </c>
      <c r="B689" s="1" t="n">
        <v>44909.4740625</v>
      </c>
      <c r="C689" s="1" t="n">
        <v>46066</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53827-2023</t>
        </is>
      </c>
      <c r="B690" s="1" t="n">
        <v>45230</v>
      </c>
      <c r="C690" s="1" t="n">
        <v>46066</v>
      </c>
      <c r="D690" t="inlineStr">
        <is>
          <t>ÖSTERGÖTLANDS LÄN</t>
        </is>
      </c>
      <c r="E690" t="inlineStr">
        <is>
          <t>LINKÖPING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4256-2022</t>
        </is>
      </c>
      <c r="B691" s="1" t="n">
        <v>44588</v>
      </c>
      <c r="C691" s="1" t="n">
        <v>46066</v>
      </c>
      <c r="D691" t="inlineStr">
        <is>
          <t>ÖSTERGÖTLANDS LÄN</t>
        </is>
      </c>
      <c r="E691" t="inlineStr">
        <is>
          <t>LINKÖPING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61649-2023</t>
        </is>
      </c>
      <c r="B692" s="1" t="n">
        <v>45265</v>
      </c>
      <c r="C692" s="1" t="n">
        <v>46066</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223-2024</t>
        </is>
      </c>
      <c r="B693" s="1" t="n">
        <v>45294.72739583333</v>
      </c>
      <c r="C693" s="1" t="n">
        <v>46066</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19464-2024</t>
        </is>
      </c>
      <c r="B694" s="1" t="n">
        <v>45429</v>
      </c>
      <c r="C694" s="1" t="n">
        <v>46066</v>
      </c>
      <c r="D694" t="inlineStr">
        <is>
          <t>ÖSTERGÖTLANDS LÄN</t>
        </is>
      </c>
      <c r="E694" t="inlineStr">
        <is>
          <t>LINKÖPING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630-2024</t>
        </is>
      </c>
      <c r="B695" s="1" t="n">
        <v>45299.67736111111</v>
      </c>
      <c r="C695" s="1" t="n">
        <v>46066</v>
      </c>
      <c r="D695" t="inlineStr">
        <is>
          <t>ÖSTERGÖTLANDS LÄN</t>
        </is>
      </c>
      <c r="E695" t="inlineStr">
        <is>
          <t>LINKÖPING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30433-2024</t>
        </is>
      </c>
      <c r="B696" s="1" t="n">
        <v>45491.69741898148</v>
      </c>
      <c r="C696" s="1" t="n">
        <v>46066</v>
      </c>
      <c r="D696" t="inlineStr">
        <is>
          <t>ÖSTERGÖTLANDS LÄN</t>
        </is>
      </c>
      <c r="E696" t="inlineStr">
        <is>
          <t>LINKÖPING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63528-2023</t>
        </is>
      </c>
      <c r="B697" s="1" t="n">
        <v>45274.94810185185</v>
      </c>
      <c r="C697" s="1" t="n">
        <v>46066</v>
      </c>
      <c r="D697" t="inlineStr">
        <is>
          <t>ÖSTERGÖTLANDS LÄN</t>
        </is>
      </c>
      <c r="E697" t="inlineStr">
        <is>
          <t>LINKÖPING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61936-2023</t>
        </is>
      </c>
      <c r="B698" s="1" t="n">
        <v>45266.54534722222</v>
      </c>
      <c r="C698" s="1" t="n">
        <v>46066</v>
      </c>
      <c r="D698" t="inlineStr">
        <is>
          <t>ÖSTERGÖTLANDS LÄN</t>
        </is>
      </c>
      <c r="E698" t="inlineStr">
        <is>
          <t>LINKÖPING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62492-2023</t>
        </is>
      </c>
      <c r="B699" s="1" t="n">
        <v>45268.58987268519</v>
      </c>
      <c r="C699" s="1" t="n">
        <v>46066</v>
      </c>
      <c r="D699" t="inlineStr">
        <is>
          <t>ÖSTERGÖTLANDS LÄN</t>
        </is>
      </c>
      <c r="E699" t="inlineStr">
        <is>
          <t>LINKÖPING</t>
        </is>
      </c>
      <c r="G699" t="n">
        <v>1.8</v>
      </c>
      <c r="H699" t="n">
        <v>0</v>
      </c>
      <c r="I699" t="n">
        <v>0</v>
      </c>
      <c r="J699" t="n">
        <v>0</v>
      </c>
      <c r="K699" t="n">
        <v>0</v>
      </c>
      <c r="L699" t="n">
        <v>0</v>
      </c>
      <c r="M699" t="n">
        <v>0</v>
      </c>
      <c r="N699" t="n">
        <v>0</v>
      </c>
      <c r="O699" t="n">
        <v>0</v>
      </c>
      <c r="P699" t="n">
        <v>0</v>
      </c>
      <c r="Q699" t="n">
        <v>0</v>
      </c>
      <c r="R699" s="2" t="inlineStr"/>
    </row>
    <row r="700" ht="15" customHeight="1">
      <c r="A700" t="inlineStr">
        <is>
          <t>A 674-2024</t>
        </is>
      </c>
      <c r="B700" s="1" t="n">
        <v>45300.34408564815</v>
      </c>
      <c r="C700" s="1" t="n">
        <v>46066</v>
      </c>
      <c r="D700" t="inlineStr">
        <is>
          <t>ÖSTERGÖTLANDS LÄN</t>
        </is>
      </c>
      <c r="E700" t="inlineStr">
        <is>
          <t>LINKÖPING</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6782-2024</t>
        </is>
      </c>
      <c r="B701" s="1" t="n">
        <v>45342</v>
      </c>
      <c r="C701" s="1" t="n">
        <v>46066</v>
      </c>
      <c r="D701" t="inlineStr">
        <is>
          <t>ÖSTERGÖTLANDS LÄN</t>
        </is>
      </c>
      <c r="E701" t="inlineStr">
        <is>
          <t>LINKÖPING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10094-2024</t>
        </is>
      </c>
      <c r="B702" s="1" t="n">
        <v>45364</v>
      </c>
      <c r="C702" s="1" t="n">
        <v>46066</v>
      </c>
      <c r="D702" t="inlineStr">
        <is>
          <t>ÖSTERGÖTLANDS LÄN</t>
        </is>
      </c>
      <c r="E702" t="inlineStr">
        <is>
          <t>LINKÖPING</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63684-2023</t>
        </is>
      </c>
      <c r="B703" s="1" t="n">
        <v>45275</v>
      </c>
      <c r="C703" s="1" t="n">
        <v>46066</v>
      </c>
      <c r="D703" t="inlineStr">
        <is>
          <t>ÖSTERGÖTLANDS LÄN</t>
        </is>
      </c>
      <c r="E703" t="inlineStr">
        <is>
          <t>LINKÖPING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63688-2023</t>
        </is>
      </c>
      <c r="B704" s="1" t="n">
        <v>45275</v>
      </c>
      <c r="C704" s="1" t="n">
        <v>46066</v>
      </c>
      <c r="D704" t="inlineStr">
        <is>
          <t>ÖSTERGÖTLANDS LÄN</t>
        </is>
      </c>
      <c r="E704" t="inlineStr">
        <is>
          <t>LINKÖPING</t>
        </is>
      </c>
      <c r="F704" t="inlineStr">
        <is>
          <t>Övriga Aktiebolag</t>
        </is>
      </c>
      <c r="G704" t="n">
        <v>2.4</v>
      </c>
      <c r="H704" t="n">
        <v>0</v>
      </c>
      <c r="I704" t="n">
        <v>0</v>
      </c>
      <c r="J704" t="n">
        <v>0</v>
      </c>
      <c r="K704" t="n">
        <v>0</v>
      </c>
      <c r="L704" t="n">
        <v>0</v>
      </c>
      <c r="M704" t="n">
        <v>0</v>
      </c>
      <c r="N704" t="n">
        <v>0</v>
      </c>
      <c r="O704" t="n">
        <v>0</v>
      </c>
      <c r="P704" t="n">
        <v>0</v>
      </c>
      <c r="Q704" t="n">
        <v>0</v>
      </c>
      <c r="R704" s="2" t="inlineStr"/>
    </row>
    <row r="705" ht="15" customHeight="1">
      <c r="A705" t="inlineStr">
        <is>
          <t>A 63691-2023</t>
        </is>
      </c>
      <c r="B705" s="1" t="n">
        <v>45275</v>
      </c>
      <c r="C705" s="1" t="n">
        <v>46066</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36657-2023</t>
        </is>
      </c>
      <c r="B706" s="1" t="n">
        <v>45153.5702662037</v>
      </c>
      <c r="C706" s="1" t="n">
        <v>46066</v>
      </c>
      <c r="D706" t="inlineStr">
        <is>
          <t>ÖSTERGÖTLANDS LÄN</t>
        </is>
      </c>
      <c r="E706" t="inlineStr">
        <is>
          <t>LINKÖPING</t>
        </is>
      </c>
      <c r="F706" t="inlineStr">
        <is>
          <t>Allmännings- och besparingsskogar</t>
        </is>
      </c>
      <c r="G706" t="n">
        <v>2</v>
      </c>
      <c r="H706" t="n">
        <v>0</v>
      </c>
      <c r="I706" t="n">
        <v>0</v>
      </c>
      <c r="J706" t="n">
        <v>0</v>
      </c>
      <c r="K706" t="n">
        <v>0</v>
      </c>
      <c r="L706" t="n">
        <v>0</v>
      </c>
      <c r="M706" t="n">
        <v>0</v>
      </c>
      <c r="N706" t="n">
        <v>0</v>
      </c>
      <c r="O706" t="n">
        <v>0</v>
      </c>
      <c r="P706" t="n">
        <v>0</v>
      </c>
      <c r="Q706" t="n">
        <v>0</v>
      </c>
      <c r="R706" s="2" t="inlineStr"/>
    </row>
    <row r="707" ht="15" customHeight="1">
      <c r="A707" t="inlineStr">
        <is>
          <t>A 14667-2024</t>
        </is>
      </c>
      <c r="B707" s="1" t="n">
        <v>45397.42005787037</v>
      </c>
      <c r="C707" s="1" t="n">
        <v>46066</v>
      </c>
      <c r="D707" t="inlineStr">
        <is>
          <t>ÖSTERGÖTLANDS LÄN</t>
        </is>
      </c>
      <c r="E707" t="inlineStr">
        <is>
          <t>LINKÖPING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15714-2024</t>
        </is>
      </c>
      <c r="B708" s="1" t="n">
        <v>45404.48288194444</v>
      </c>
      <c r="C708" s="1" t="n">
        <v>46066</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37715-2022</t>
        </is>
      </c>
      <c r="B709" s="1" t="n">
        <v>44810</v>
      </c>
      <c r="C709" s="1" t="n">
        <v>46066</v>
      </c>
      <c r="D709" t="inlineStr">
        <is>
          <t>ÖSTERGÖTLANDS LÄN</t>
        </is>
      </c>
      <c r="E709" t="inlineStr">
        <is>
          <t>LINKÖPING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30429-2024</t>
        </is>
      </c>
      <c r="B710" s="1" t="n">
        <v>45491.68972222223</v>
      </c>
      <c r="C710" s="1" t="n">
        <v>46066</v>
      </c>
      <c r="D710" t="inlineStr">
        <is>
          <t>ÖSTERGÖTLANDS LÄN</t>
        </is>
      </c>
      <c r="E710" t="inlineStr">
        <is>
          <t>LINKÖPING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30435-2024</t>
        </is>
      </c>
      <c r="B711" s="1" t="n">
        <v>45491.69962962963</v>
      </c>
      <c r="C711" s="1" t="n">
        <v>46066</v>
      </c>
      <c r="D711" t="inlineStr">
        <is>
          <t>ÖSTERGÖTLANDS LÄN</t>
        </is>
      </c>
      <c r="E711" t="inlineStr">
        <is>
          <t>LINKÖPING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38231-2022</t>
        </is>
      </c>
      <c r="B712" s="1" t="n">
        <v>44812</v>
      </c>
      <c r="C712" s="1" t="n">
        <v>46066</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34557-2022</t>
        </is>
      </c>
      <c r="B713" s="1" t="n">
        <v>44794.57074074074</v>
      </c>
      <c r="C713" s="1" t="n">
        <v>46066</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13011-2022</t>
        </is>
      </c>
      <c r="B714" s="1" t="n">
        <v>44643</v>
      </c>
      <c r="C714" s="1" t="n">
        <v>46066</v>
      </c>
      <c r="D714" t="inlineStr">
        <is>
          <t>ÖSTERGÖTLANDS LÄN</t>
        </is>
      </c>
      <c r="E714" t="inlineStr">
        <is>
          <t>LINKÖPING</t>
        </is>
      </c>
      <c r="G714" t="n">
        <v>3.7</v>
      </c>
      <c r="H714" t="n">
        <v>0</v>
      </c>
      <c r="I714" t="n">
        <v>0</v>
      </c>
      <c r="J714" t="n">
        <v>0</v>
      </c>
      <c r="K714" t="n">
        <v>0</v>
      </c>
      <c r="L714" t="n">
        <v>0</v>
      </c>
      <c r="M714" t="n">
        <v>0</v>
      </c>
      <c r="N714" t="n">
        <v>0</v>
      </c>
      <c r="O714" t="n">
        <v>0</v>
      </c>
      <c r="P714" t="n">
        <v>0</v>
      </c>
      <c r="Q714" t="n">
        <v>0</v>
      </c>
      <c r="R714" s="2" t="inlineStr"/>
    </row>
    <row r="715" ht="15" customHeight="1">
      <c r="A715" t="inlineStr">
        <is>
          <t>A 617-2024</t>
        </is>
      </c>
      <c r="B715" s="1" t="n">
        <v>45299.66028935185</v>
      </c>
      <c r="C715" s="1" t="n">
        <v>46066</v>
      </c>
      <c r="D715" t="inlineStr">
        <is>
          <t>ÖSTERGÖTLANDS LÄN</t>
        </is>
      </c>
      <c r="E715" t="inlineStr">
        <is>
          <t>LINKÖPING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19362-2023</t>
        </is>
      </c>
      <c r="B716" s="1" t="n">
        <v>45049</v>
      </c>
      <c r="C716" s="1" t="n">
        <v>46066</v>
      </c>
      <c r="D716" t="inlineStr">
        <is>
          <t>ÖSTERGÖTLANDS LÄN</t>
        </is>
      </c>
      <c r="E716" t="inlineStr">
        <is>
          <t>LINKÖPING</t>
        </is>
      </c>
      <c r="G716" t="n">
        <v>0.1</v>
      </c>
      <c r="H716" t="n">
        <v>0</v>
      </c>
      <c r="I716" t="n">
        <v>0</v>
      </c>
      <c r="J716" t="n">
        <v>0</v>
      </c>
      <c r="K716" t="n">
        <v>0</v>
      </c>
      <c r="L716" t="n">
        <v>0</v>
      </c>
      <c r="M716" t="n">
        <v>0</v>
      </c>
      <c r="N716" t="n">
        <v>0</v>
      </c>
      <c r="O716" t="n">
        <v>0</v>
      </c>
      <c r="P716" t="n">
        <v>0</v>
      </c>
      <c r="Q716" t="n">
        <v>0</v>
      </c>
      <c r="R716" s="2" t="inlineStr"/>
    </row>
    <row r="717" ht="15" customHeight="1">
      <c r="A717" t="inlineStr">
        <is>
          <t>A 19132-2023</t>
        </is>
      </c>
      <c r="B717" s="1" t="n">
        <v>45048.54754629629</v>
      </c>
      <c r="C717" s="1" t="n">
        <v>46066</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31635-2023</t>
        </is>
      </c>
      <c r="B718" s="1" t="n">
        <v>45105</v>
      </c>
      <c r="C718" s="1" t="n">
        <v>46066</v>
      </c>
      <c r="D718" t="inlineStr">
        <is>
          <t>ÖSTERGÖTLANDS LÄN</t>
        </is>
      </c>
      <c r="E718" t="inlineStr">
        <is>
          <t>LINKÖPING</t>
        </is>
      </c>
      <c r="F718" t="inlineStr">
        <is>
          <t>Övriga statliga verk och myndigheter</t>
        </is>
      </c>
      <c r="G718" t="n">
        <v>4.6</v>
      </c>
      <c r="H718" t="n">
        <v>0</v>
      </c>
      <c r="I718" t="n">
        <v>0</v>
      </c>
      <c r="J718" t="n">
        <v>0</v>
      </c>
      <c r="K718" t="n">
        <v>0</v>
      </c>
      <c r="L718" t="n">
        <v>0</v>
      </c>
      <c r="M718" t="n">
        <v>0</v>
      </c>
      <c r="N718" t="n">
        <v>0</v>
      </c>
      <c r="O718" t="n">
        <v>0</v>
      </c>
      <c r="P718" t="n">
        <v>0</v>
      </c>
      <c r="Q718" t="n">
        <v>0</v>
      </c>
      <c r="R718" s="2" t="inlineStr"/>
    </row>
    <row r="719" ht="15" customHeight="1">
      <c r="A719" t="inlineStr">
        <is>
          <t>A 20296-2025</t>
        </is>
      </c>
      <c r="B719" s="1" t="n">
        <v>45774.74922453704</v>
      </c>
      <c r="C719" s="1" t="n">
        <v>46066</v>
      </c>
      <c r="D719" t="inlineStr">
        <is>
          <t>ÖSTERGÖTLANDS LÄN</t>
        </is>
      </c>
      <c r="E719" t="inlineStr">
        <is>
          <t>LINKÖPING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22770-2024</t>
        </is>
      </c>
      <c r="B720" s="1" t="n">
        <v>45448.4634375</v>
      </c>
      <c r="C720" s="1" t="n">
        <v>46066</v>
      </c>
      <c r="D720" t="inlineStr">
        <is>
          <t>ÖSTERGÖTLANDS LÄN</t>
        </is>
      </c>
      <c r="E720" t="inlineStr">
        <is>
          <t>LINKÖPING</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11595-2025</t>
        </is>
      </c>
      <c r="B721" s="1" t="n">
        <v>45727.41893518518</v>
      </c>
      <c r="C721" s="1" t="n">
        <v>46066</v>
      </c>
      <c r="D721" t="inlineStr">
        <is>
          <t>ÖSTERGÖTLANDS LÄN</t>
        </is>
      </c>
      <c r="E721" t="inlineStr">
        <is>
          <t>LINKÖPING</t>
        </is>
      </c>
      <c r="G721" t="n">
        <v>6.6</v>
      </c>
      <c r="H721" t="n">
        <v>0</v>
      </c>
      <c r="I721" t="n">
        <v>0</v>
      </c>
      <c r="J721" t="n">
        <v>0</v>
      </c>
      <c r="K721" t="n">
        <v>0</v>
      </c>
      <c r="L721" t="n">
        <v>0</v>
      </c>
      <c r="M721" t="n">
        <v>0</v>
      </c>
      <c r="N721" t="n">
        <v>0</v>
      </c>
      <c r="O721" t="n">
        <v>0</v>
      </c>
      <c r="P721" t="n">
        <v>0</v>
      </c>
      <c r="Q721" t="n">
        <v>0</v>
      </c>
      <c r="R721" s="2" t="inlineStr"/>
    </row>
    <row r="722" ht="15" customHeight="1">
      <c r="A722" t="inlineStr">
        <is>
          <t>A 48839-2022</t>
        </is>
      </c>
      <c r="B722" s="1" t="n">
        <v>44859</v>
      </c>
      <c r="C722" s="1" t="n">
        <v>46066</v>
      </c>
      <c r="D722" t="inlineStr">
        <is>
          <t>ÖSTERGÖTLANDS LÄN</t>
        </is>
      </c>
      <c r="E722" t="inlineStr">
        <is>
          <t>LINKÖPING</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8967-2025</t>
        </is>
      </c>
      <c r="B723" s="1" t="n">
        <v>45712</v>
      </c>
      <c r="C723" s="1" t="n">
        <v>46066</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63678-2023</t>
        </is>
      </c>
      <c r="B724" s="1" t="n">
        <v>45275.64769675926</v>
      </c>
      <c r="C724" s="1" t="n">
        <v>46066</v>
      </c>
      <c r="D724" t="inlineStr">
        <is>
          <t>ÖSTERGÖTLANDS LÄN</t>
        </is>
      </c>
      <c r="E724" t="inlineStr">
        <is>
          <t>LINKÖPING</t>
        </is>
      </c>
      <c r="F724" t="inlineStr">
        <is>
          <t>Övriga Aktiebolag</t>
        </is>
      </c>
      <c r="G724" t="n">
        <v>0.4</v>
      </c>
      <c r="H724" t="n">
        <v>0</v>
      </c>
      <c r="I724" t="n">
        <v>0</v>
      </c>
      <c r="J724" t="n">
        <v>0</v>
      </c>
      <c r="K724" t="n">
        <v>0</v>
      </c>
      <c r="L724" t="n">
        <v>0</v>
      </c>
      <c r="M724" t="n">
        <v>0</v>
      </c>
      <c r="N724" t="n">
        <v>0</v>
      </c>
      <c r="O724" t="n">
        <v>0</v>
      </c>
      <c r="P724" t="n">
        <v>0</v>
      </c>
      <c r="Q724" t="n">
        <v>0</v>
      </c>
      <c r="R724" s="2" t="inlineStr"/>
    </row>
    <row r="725" ht="15" customHeight="1">
      <c r="A725" t="inlineStr">
        <is>
          <t>A 1844-2025</t>
        </is>
      </c>
      <c r="B725" s="1" t="n">
        <v>45671.57730324074</v>
      </c>
      <c r="C725" s="1" t="n">
        <v>46066</v>
      </c>
      <c r="D725" t="inlineStr">
        <is>
          <t>ÖSTERGÖTLANDS LÄN</t>
        </is>
      </c>
      <c r="E725" t="inlineStr">
        <is>
          <t>LINKÖPING</t>
        </is>
      </c>
      <c r="G725" t="n">
        <v>2</v>
      </c>
      <c r="H725" t="n">
        <v>0</v>
      </c>
      <c r="I725" t="n">
        <v>0</v>
      </c>
      <c r="J725" t="n">
        <v>0</v>
      </c>
      <c r="K725" t="n">
        <v>0</v>
      </c>
      <c r="L725" t="n">
        <v>0</v>
      </c>
      <c r="M725" t="n">
        <v>0</v>
      </c>
      <c r="N725" t="n">
        <v>0</v>
      </c>
      <c r="O725" t="n">
        <v>0</v>
      </c>
      <c r="P725" t="n">
        <v>0</v>
      </c>
      <c r="Q725" t="n">
        <v>0</v>
      </c>
      <c r="R725" s="2" t="inlineStr"/>
    </row>
    <row r="726" ht="15" customHeight="1">
      <c r="A726" t="inlineStr">
        <is>
          <t>A 21165-2025</t>
        </is>
      </c>
      <c r="B726" s="1" t="n">
        <v>45779.39417824074</v>
      </c>
      <c r="C726" s="1" t="n">
        <v>46066</v>
      </c>
      <c r="D726" t="inlineStr">
        <is>
          <t>ÖSTERGÖTLANDS LÄN</t>
        </is>
      </c>
      <c r="E726" t="inlineStr">
        <is>
          <t>LINKÖPING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21155-2025</t>
        </is>
      </c>
      <c r="B727" s="1" t="n">
        <v>45779.37586805555</v>
      </c>
      <c r="C727" s="1" t="n">
        <v>46066</v>
      </c>
      <c r="D727" t="inlineStr">
        <is>
          <t>ÖSTERGÖTLANDS LÄN</t>
        </is>
      </c>
      <c r="E727" t="inlineStr">
        <is>
          <t>LINKÖPING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22264-2025</t>
        </is>
      </c>
      <c r="B728" s="1" t="n">
        <v>45785</v>
      </c>
      <c r="C728" s="1" t="n">
        <v>46066</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9473-2024</t>
        </is>
      </c>
      <c r="B729" s="1" t="n">
        <v>45359.55474537037</v>
      </c>
      <c r="C729" s="1" t="n">
        <v>46066</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6859-2024</t>
        </is>
      </c>
      <c r="B730" s="1" t="n">
        <v>45342</v>
      </c>
      <c r="C730" s="1" t="n">
        <v>46066</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44287-2024</t>
        </is>
      </c>
      <c r="B731" s="1" t="n">
        <v>45573.50582175926</v>
      </c>
      <c r="C731" s="1" t="n">
        <v>46066</v>
      </c>
      <c r="D731" t="inlineStr">
        <is>
          <t>ÖSTERGÖTLANDS LÄN</t>
        </is>
      </c>
      <c r="E731" t="inlineStr">
        <is>
          <t>LINKÖPING</t>
        </is>
      </c>
      <c r="G731" t="n">
        <v>12.7</v>
      </c>
      <c r="H731" t="n">
        <v>0</v>
      </c>
      <c r="I731" t="n">
        <v>0</v>
      </c>
      <c r="J731" t="n">
        <v>0</v>
      </c>
      <c r="K731" t="n">
        <v>0</v>
      </c>
      <c r="L731" t="n">
        <v>0</v>
      </c>
      <c r="M731" t="n">
        <v>0</v>
      </c>
      <c r="N731" t="n">
        <v>0</v>
      </c>
      <c r="O731" t="n">
        <v>0</v>
      </c>
      <c r="P731" t="n">
        <v>0</v>
      </c>
      <c r="Q731" t="n">
        <v>0</v>
      </c>
      <c r="R731" s="2" t="inlineStr"/>
    </row>
    <row r="732" ht="15" customHeight="1">
      <c r="A732" t="inlineStr">
        <is>
          <t>A 22364-2025</t>
        </is>
      </c>
      <c r="B732" s="1" t="n">
        <v>45786.46930555555</v>
      </c>
      <c r="C732" s="1" t="n">
        <v>46066</v>
      </c>
      <c r="D732" t="inlineStr">
        <is>
          <t>ÖSTERGÖTLANDS LÄN</t>
        </is>
      </c>
      <c r="E732" t="inlineStr">
        <is>
          <t>LINKÖPING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572-2025</t>
        </is>
      </c>
      <c r="B733" s="1" t="n">
        <v>45664.56349537037</v>
      </c>
      <c r="C733" s="1" t="n">
        <v>46066</v>
      </c>
      <c r="D733" t="inlineStr">
        <is>
          <t>ÖSTERGÖTLANDS LÄN</t>
        </is>
      </c>
      <c r="E733" t="inlineStr">
        <is>
          <t>LINKÖPING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10797-2024</t>
        </is>
      </c>
      <c r="B734" s="1" t="n">
        <v>45369.6190162037</v>
      </c>
      <c r="C734" s="1" t="n">
        <v>46066</v>
      </c>
      <c r="D734" t="inlineStr">
        <is>
          <t>ÖSTERGÖTLANDS LÄN</t>
        </is>
      </c>
      <c r="E734" t="inlineStr">
        <is>
          <t>LINKÖPING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38580-2024</t>
        </is>
      </c>
      <c r="B735" s="1" t="n">
        <v>45546.64825231482</v>
      </c>
      <c r="C735" s="1" t="n">
        <v>46066</v>
      </c>
      <c r="D735" t="inlineStr">
        <is>
          <t>ÖSTERGÖTLANDS LÄN</t>
        </is>
      </c>
      <c r="E735" t="inlineStr">
        <is>
          <t>LINKÖPING</t>
        </is>
      </c>
      <c r="G735" t="n">
        <v>4.8</v>
      </c>
      <c r="H735" t="n">
        <v>0</v>
      </c>
      <c r="I735" t="n">
        <v>0</v>
      </c>
      <c r="J735" t="n">
        <v>0</v>
      </c>
      <c r="K735" t="n">
        <v>0</v>
      </c>
      <c r="L735" t="n">
        <v>0</v>
      </c>
      <c r="M735" t="n">
        <v>0</v>
      </c>
      <c r="N735" t="n">
        <v>0</v>
      </c>
      <c r="O735" t="n">
        <v>0</v>
      </c>
      <c r="P735" t="n">
        <v>0</v>
      </c>
      <c r="Q735" t="n">
        <v>0</v>
      </c>
      <c r="R735" s="2" t="inlineStr"/>
    </row>
    <row r="736" ht="15" customHeight="1">
      <c r="A736" t="inlineStr">
        <is>
          <t>A 57752-2023</t>
        </is>
      </c>
      <c r="B736" s="1" t="n">
        <v>45246.78474537037</v>
      </c>
      <c r="C736" s="1" t="n">
        <v>46066</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29312-2024</t>
        </is>
      </c>
      <c r="B737" s="1" t="n">
        <v>45483</v>
      </c>
      <c r="C737" s="1" t="n">
        <v>46066</v>
      </c>
      <c r="D737" t="inlineStr">
        <is>
          <t>ÖSTERGÖTLANDS LÄN</t>
        </is>
      </c>
      <c r="E737" t="inlineStr">
        <is>
          <t>LINKÖPING</t>
        </is>
      </c>
      <c r="G737" t="n">
        <v>2.1</v>
      </c>
      <c r="H737" t="n">
        <v>0</v>
      </c>
      <c r="I737" t="n">
        <v>0</v>
      </c>
      <c r="J737" t="n">
        <v>0</v>
      </c>
      <c r="K737" t="n">
        <v>0</v>
      </c>
      <c r="L737" t="n">
        <v>0</v>
      </c>
      <c r="M737" t="n">
        <v>0</v>
      </c>
      <c r="N737" t="n">
        <v>0</v>
      </c>
      <c r="O737" t="n">
        <v>0</v>
      </c>
      <c r="P737" t="n">
        <v>0</v>
      </c>
      <c r="Q737" t="n">
        <v>0</v>
      </c>
      <c r="R737" s="2" t="inlineStr"/>
    </row>
    <row r="738" ht="15" customHeight="1">
      <c r="A738" t="inlineStr">
        <is>
          <t>A 23120-2025</t>
        </is>
      </c>
      <c r="B738" s="1" t="n">
        <v>45791.37481481482</v>
      </c>
      <c r="C738" s="1" t="n">
        <v>46066</v>
      </c>
      <c r="D738" t="inlineStr">
        <is>
          <t>ÖSTERGÖTLANDS LÄN</t>
        </is>
      </c>
      <c r="E738" t="inlineStr">
        <is>
          <t>LINKÖPING</t>
        </is>
      </c>
      <c r="G738" t="n">
        <v>2.9</v>
      </c>
      <c r="H738" t="n">
        <v>0</v>
      </c>
      <c r="I738" t="n">
        <v>0</v>
      </c>
      <c r="J738" t="n">
        <v>0</v>
      </c>
      <c r="K738" t="n">
        <v>0</v>
      </c>
      <c r="L738" t="n">
        <v>0</v>
      </c>
      <c r="M738" t="n">
        <v>0</v>
      </c>
      <c r="N738" t="n">
        <v>0</v>
      </c>
      <c r="O738" t="n">
        <v>0</v>
      </c>
      <c r="P738" t="n">
        <v>0</v>
      </c>
      <c r="Q738" t="n">
        <v>0</v>
      </c>
      <c r="R738" s="2" t="inlineStr"/>
    </row>
    <row r="739">
      <c r="A739" t="inlineStr">
        <is>
          <t>A 23768-2025</t>
        </is>
      </c>
      <c r="B739" s="1" t="n">
        <v>45793.47493055555</v>
      </c>
      <c r="C739" s="1" t="n">
        <v>46066</v>
      </c>
      <c r="D739" t="inlineStr">
        <is>
          <t>ÖSTERGÖTLANDS LÄN</t>
        </is>
      </c>
      <c r="E739" t="inlineStr">
        <is>
          <t>LINKÖPING</t>
        </is>
      </c>
      <c r="G739" t="n">
        <v>3.4</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2026-02-13T11:04:22Z</dcterms:created>
  <dcterms:modified xmlns:dcterms="http://purl.org/dc/terms/" xmlns:xsi="http://www.w3.org/2001/XMLSchema-instance" xsi:type="dcterms:W3CDTF">2026-02-13T11:04:22Z</dcterms:modified>
</cp:coreProperties>
</file>