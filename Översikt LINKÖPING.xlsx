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46113</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46113</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46113</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46113</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46113</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46113</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9192-2025</t>
        </is>
      </c>
      <c r="B14" s="1" t="n">
        <v>45714.45943287037</v>
      </c>
      <c r="C14" s="1" t="n">
        <v>46113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48329-2025</t>
        </is>
      </c>
      <c r="B15" s="1" t="n">
        <v>45932</v>
      </c>
      <c r="C15" s="1" t="n">
        <v>46113</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46113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46113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46113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38913-2023</t>
        </is>
      </c>
      <c r="B19" s="1" t="n">
        <v>45163</v>
      </c>
      <c r="C19" s="1" t="n">
        <v>46113</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17275-2025</t>
        </is>
      </c>
      <c r="B20" s="1" t="n">
        <v>45756.55734953703</v>
      </c>
      <c r="C20" s="1" t="n">
        <v>46113</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11097-2026</t>
        </is>
      </c>
      <c r="B21" s="1" t="n">
        <v>46079.64511574074</v>
      </c>
      <c r="C21" s="1" t="n">
        <v>46113</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46113</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6353-2026</t>
        </is>
      </c>
      <c r="B23" s="1" t="n">
        <v>46055.61385416667</v>
      </c>
      <c r="C23" s="1" t="n">
        <v>46113</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55341-2024</t>
        </is>
      </c>
      <c r="B24" s="1" t="n">
        <v>45621.71255787037</v>
      </c>
      <c r="C24" s="1" t="n">
        <v>46113</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46113</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46113</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58068-2021</t>
        </is>
      </c>
      <c r="B27" s="1" t="n">
        <v>44487</v>
      </c>
      <c r="C27" s="1" t="n">
        <v>46113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46113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20297-2025</t>
        </is>
      </c>
      <c r="B29" s="1" t="n">
        <v>45774.74971064815</v>
      </c>
      <c r="C29" s="1" t="n">
        <v>46113</v>
      </c>
      <c r="D29" t="inlineStr">
        <is>
          <t>ÖSTERGÖTLANDS LÄN</t>
        </is>
      </c>
      <c r="E29" t="inlineStr">
        <is>
          <t>LINKÖPING</t>
        </is>
      </c>
      <c r="G29" t="n">
        <v>1.5</v>
      </c>
      <c r="H29" t="n">
        <v>1</v>
      </c>
      <c r="I29" t="n">
        <v>1</v>
      </c>
      <c r="J29" t="n">
        <v>0</v>
      </c>
      <c r="K29" t="n">
        <v>0</v>
      </c>
      <c r="L29" t="n">
        <v>0</v>
      </c>
      <c r="M29" t="n">
        <v>0</v>
      </c>
      <c r="N29" t="n">
        <v>0</v>
      </c>
      <c r="O29" t="n">
        <v>0</v>
      </c>
      <c r="P29" t="n">
        <v>0</v>
      </c>
      <c r="Q29" t="n">
        <v>2</v>
      </c>
      <c r="R29" s="2" t="inlineStr">
        <is>
          <t>Blanksvart trämyra
Blåsippa</t>
        </is>
      </c>
      <c r="S29">
        <f>HYPERLINK("https://klasma.github.io/Logging_0580/artfynd/A 20297-2025 artfynd.xlsx", "A 20297-2025")</f>
        <v/>
      </c>
      <c r="T29">
        <f>HYPERLINK("https://klasma.github.io/Logging_0580/kartor/A 20297-2025 karta.png", "A 20297-2025")</f>
        <v/>
      </c>
      <c r="V29">
        <f>HYPERLINK("https://klasma.github.io/Logging_0580/klagomål/A 20297-2025 FSC-klagomål.docx", "A 20297-2025")</f>
        <v/>
      </c>
      <c r="W29">
        <f>HYPERLINK("https://klasma.github.io/Logging_0580/klagomålsmail/A 20297-2025 FSC-klagomål mail.docx", "A 20297-2025")</f>
        <v/>
      </c>
      <c r="X29">
        <f>HYPERLINK("https://klasma.github.io/Logging_0580/tillsyn/A 20297-2025 tillsynsbegäran.docx", "A 20297-2025")</f>
        <v/>
      </c>
      <c r="Y29">
        <f>HYPERLINK("https://klasma.github.io/Logging_0580/tillsynsmail/A 20297-2025 tillsynsbegäran mail.docx", "A 20297-2025")</f>
        <v/>
      </c>
    </row>
    <row r="30" ht="15" customHeight="1">
      <c r="A30" t="inlineStr">
        <is>
          <t>A 49188-2024</t>
        </is>
      </c>
      <c r="B30" s="1" t="n">
        <v>45595</v>
      </c>
      <c r="C30" s="1" t="n">
        <v>46113</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58068-2021</t>
        </is>
      </c>
      <c r="B31" s="1" t="n">
        <v>44487</v>
      </c>
      <c r="C31" s="1" t="n">
        <v>46113</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50048-2025</t>
        </is>
      </c>
      <c r="B32" s="1" t="n">
        <v>45941</v>
      </c>
      <c r="C32" s="1" t="n">
        <v>46113</v>
      </c>
      <c r="D32" t="inlineStr">
        <is>
          <t>ÖSTERGÖTLANDS LÄN</t>
        </is>
      </c>
      <c r="E32" t="inlineStr">
        <is>
          <t>LINKÖPING</t>
        </is>
      </c>
      <c r="G32" t="n">
        <v>2.4</v>
      </c>
      <c r="H32" t="n">
        <v>2</v>
      </c>
      <c r="I32" t="n">
        <v>0</v>
      </c>
      <c r="J32" t="n">
        <v>1</v>
      </c>
      <c r="K32" t="n">
        <v>0</v>
      </c>
      <c r="L32" t="n">
        <v>0</v>
      </c>
      <c r="M32" t="n">
        <v>0</v>
      </c>
      <c r="N32" t="n">
        <v>0</v>
      </c>
      <c r="O32" t="n">
        <v>1</v>
      </c>
      <c r="P32" t="n">
        <v>0</v>
      </c>
      <c r="Q32" t="n">
        <v>2</v>
      </c>
      <c r="R32" s="2" t="inlineStr">
        <is>
          <t>Gulsparv
Trädlärka</t>
        </is>
      </c>
      <c r="S32">
        <f>HYPERLINK("https://klasma.github.io/Logging_0580/artfynd/A 50048-2025 artfynd.xlsx", "A 50048-2025")</f>
        <v/>
      </c>
      <c r="T32">
        <f>HYPERLINK("https://klasma.github.io/Logging_0580/kartor/A 50048-2025 karta.png", "A 50048-2025")</f>
        <v/>
      </c>
      <c r="V32">
        <f>HYPERLINK("https://klasma.github.io/Logging_0580/klagomål/A 50048-2025 FSC-klagomål.docx", "A 50048-2025")</f>
        <v/>
      </c>
      <c r="W32">
        <f>HYPERLINK("https://klasma.github.io/Logging_0580/klagomålsmail/A 50048-2025 FSC-klagomål mail.docx", "A 50048-2025")</f>
        <v/>
      </c>
      <c r="X32">
        <f>HYPERLINK("https://klasma.github.io/Logging_0580/tillsyn/A 50048-2025 tillsynsbegäran.docx", "A 50048-2025")</f>
        <v/>
      </c>
      <c r="Y32">
        <f>HYPERLINK("https://klasma.github.io/Logging_0580/tillsynsmail/A 50048-2025 tillsynsbegäran mail.docx", "A 50048-2025")</f>
        <v/>
      </c>
      <c r="Z32">
        <f>HYPERLINK("https://klasma.github.io/Logging_0580/fåglar/A 50048-2025 prioriterade fågelarter.docx", "A 50048-2025")</f>
        <v/>
      </c>
    </row>
    <row r="33" ht="15" customHeight="1">
      <c r="A33" t="inlineStr">
        <is>
          <t>A 27795-2025</t>
        </is>
      </c>
      <c r="B33" s="1" t="n">
        <v>45816.7908912037</v>
      </c>
      <c r="C33" s="1" t="n">
        <v>46113</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42858-2023</t>
        </is>
      </c>
      <c r="B34" s="1" t="n">
        <v>45177</v>
      </c>
      <c r="C34" s="1" t="n">
        <v>46113</v>
      </c>
      <c r="D34" t="inlineStr">
        <is>
          <t>ÖSTERGÖTLANDS LÄN</t>
        </is>
      </c>
      <c r="E34" t="inlineStr">
        <is>
          <t>LINKÖPING</t>
        </is>
      </c>
      <c r="G34" t="n">
        <v>5.3</v>
      </c>
      <c r="H34" t="n">
        <v>1</v>
      </c>
      <c r="I34" t="n">
        <v>0</v>
      </c>
      <c r="J34" t="n">
        <v>1</v>
      </c>
      <c r="K34" t="n">
        <v>0</v>
      </c>
      <c r="L34" t="n">
        <v>0</v>
      </c>
      <c r="M34" t="n">
        <v>0</v>
      </c>
      <c r="N34" t="n">
        <v>0</v>
      </c>
      <c r="O34" t="n">
        <v>1</v>
      </c>
      <c r="P34" t="n">
        <v>0</v>
      </c>
      <c r="Q34" t="n">
        <v>2</v>
      </c>
      <c r="R34" s="2" t="inlineStr">
        <is>
          <t>Svinrot
Skogsödla</t>
        </is>
      </c>
      <c r="S34">
        <f>HYPERLINK("https://klasma.github.io/Logging_0580/artfynd/A 42858-2023 artfynd.xlsx", "A 42858-2023")</f>
        <v/>
      </c>
      <c r="T34">
        <f>HYPERLINK("https://klasma.github.io/Logging_0580/kartor/A 42858-2023 karta.png", "A 42858-2023")</f>
        <v/>
      </c>
      <c r="V34">
        <f>HYPERLINK("https://klasma.github.io/Logging_0580/klagomål/A 42858-2023 FSC-klagomål.docx", "A 42858-2023")</f>
        <v/>
      </c>
      <c r="W34">
        <f>HYPERLINK("https://klasma.github.io/Logging_0580/klagomålsmail/A 42858-2023 FSC-klagomål mail.docx", "A 42858-2023")</f>
        <v/>
      </c>
      <c r="X34">
        <f>HYPERLINK("https://klasma.github.io/Logging_0580/tillsyn/A 42858-2023 tillsynsbegäran.docx", "A 42858-2023")</f>
        <v/>
      </c>
      <c r="Y34">
        <f>HYPERLINK("https://klasma.github.io/Logging_0580/tillsynsmail/A 42858-2023 tillsynsbegäran mail.docx", "A 42858-2023")</f>
        <v/>
      </c>
    </row>
    <row r="35" ht="15" customHeight="1">
      <c r="A35" t="inlineStr">
        <is>
          <t>A 11613-2025</t>
        </is>
      </c>
      <c r="B35" s="1" t="n">
        <v>45727.44623842592</v>
      </c>
      <c r="C35" s="1" t="n">
        <v>46113</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41751-2023</t>
        </is>
      </c>
      <c r="B36" s="1" t="n">
        <v>45176</v>
      </c>
      <c r="C36" s="1" t="n">
        <v>46113</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25985-2025</t>
        </is>
      </c>
      <c r="B37" s="1" t="n">
        <v>45804.64479166667</v>
      </c>
      <c r="C37" s="1" t="n">
        <v>46113</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3912-2026</t>
        </is>
      </c>
      <c r="B38" s="1" t="n">
        <v>46043.71958333333</v>
      </c>
      <c r="C38" s="1" t="n">
        <v>46113</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8818-2025</t>
        </is>
      </c>
      <c r="B39" s="1" t="n">
        <v>45712</v>
      </c>
      <c r="C39" s="1" t="n">
        <v>46113</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12494-2026</t>
        </is>
      </c>
      <c r="B40" s="1" t="n">
        <v>46090.56896990741</v>
      </c>
      <c r="C40" s="1" t="n">
        <v>46113</v>
      </c>
      <c r="D40" t="inlineStr">
        <is>
          <t>ÖSTERGÖTLANDS LÄN</t>
        </is>
      </c>
      <c r="E40" t="inlineStr">
        <is>
          <t>LINKÖPING</t>
        </is>
      </c>
      <c r="G40" t="n">
        <v>3.4</v>
      </c>
      <c r="H40" t="n">
        <v>0</v>
      </c>
      <c r="I40" t="n">
        <v>0</v>
      </c>
      <c r="J40" t="n">
        <v>1</v>
      </c>
      <c r="K40" t="n">
        <v>1</v>
      </c>
      <c r="L40" t="n">
        <v>0</v>
      </c>
      <c r="M40" t="n">
        <v>0</v>
      </c>
      <c r="N40" t="n">
        <v>0</v>
      </c>
      <c r="O40" t="n">
        <v>2</v>
      </c>
      <c r="P40" t="n">
        <v>1</v>
      </c>
      <c r="Q40" t="n">
        <v>2</v>
      </c>
      <c r="R40" s="2" t="inlineStr">
        <is>
          <t>Slåttergubbe
Svinrot</t>
        </is>
      </c>
      <c r="S40">
        <f>HYPERLINK("https://klasma.github.io/Logging_0580/artfynd/A 12494-2026 artfynd.xlsx", "A 12494-2026")</f>
        <v/>
      </c>
      <c r="T40">
        <f>HYPERLINK("https://klasma.github.io/Logging_0580/kartor/A 12494-2026 karta.png", "A 12494-2026")</f>
        <v/>
      </c>
      <c r="V40">
        <f>HYPERLINK("https://klasma.github.io/Logging_0580/klagomål/A 12494-2026 FSC-klagomål.docx", "A 12494-2026")</f>
        <v/>
      </c>
      <c r="W40">
        <f>HYPERLINK("https://klasma.github.io/Logging_0580/klagomålsmail/A 12494-2026 FSC-klagomål mail.docx", "A 12494-2026")</f>
        <v/>
      </c>
      <c r="X40">
        <f>HYPERLINK("https://klasma.github.io/Logging_0580/tillsyn/A 12494-2026 tillsynsbegäran.docx", "A 12494-2026")</f>
        <v/>
      </c>
      <c r="Y40">
        <f>HYPERLINK("https://klasma.github.io/Logging_0580/tillsynsmail/A 12494-2026 tillsynsbegäran mail.docx", "A 12494-2026")</f>
        <v/>
      </c>
    </row>
    <row r="41" ht="15" customHeight="1">
      <c r="A41" t="inlineStr">
        <is>
          <t>A 14879-2024</t>
        </is>
      </c>
      <c r="B41" s="1" t="n">
        <v>45398</v>
      </c>
      <c r="C41" s="1" t="n">
        <v>46113</v>
      </c>
      <c r="D41" t="inlineStr">
        <is>
          <t>ÖSTERGÖTLANDS LÄN</t>
        </is>
      </c>
      <c r="E41" t="inlineStr">
        <is>
          <t>LINKÖPING</t>
        </is>
      </c>
      <c r="F41" t="inlineStr">
        <is>
          <t>Övriga Aktiebolag</t>
        </is>
      </c>
      <c r="G41" t="n">
        <v>1.7</v>
      </c>
      <c r="H41" t="n">
        <v>1</v>
      </c>
      <c r="I41" t="n">
        <v>1</v>
      </c>
      <c r="J41" t="n">
        <v>0</v>
      </c>
      <c r="K41" t="n">
        <v>0</v>
      </c>
      <c r="L41" t="n">
        <v>0</v>
      </c>
      <c r="M41" t="n">
        <v>0</v>
      </c>
      <c r="N41" t="n">
        <v>0</v>
      </c>
      <c r="O41" t="n">
        <v>0</v>
      </c>
      <c r="P41" t="n">
        <v>0</v>
      </c>
      <c r="Q41" t="n">
        <v>2</v>
      </c>
      <c r="R41" s="2" t="inlineStr">
        <is>
          <t>Svart trolldruva
Grönvit nattviol</t>
        </is>
      </c>
      <c r="S41">
        <f>HYPERLINK("https://klasma.github.io/Logging_0580/artfynd/A 14879-2024 artfynd.xlsx", "A 14879-2024")</f>
        <v/>
      </c>
      <c r="T41">
        <f>HYPERLINK("https://klasma.github.io/Logging_0580/kartor/A 14879-2024 karta.png", "A 14879-2024")</f>
        <v/>
      </c>
      <c r="V41">
        <f>HYPERLINK("https://klasma.github.io/Logging_0580/klagomål/A 14879-2024 FSC-klagomål.docx", "A 14879-2024")</f>
        <v/>
      </c>
      <c r="W41">
        <f>HYPERLINK("https://klasma.github.io/Logging_0580/klagomålsmail/A 14879-2024 FSC-klagomål mail.docx", "A 14879-2024")</f>
        <v/>
      </c>
      <c r="X41">
        <f>HYPERLINK("https://klasma.github.io/Logging_0580/tillsyn/A 14879-2024 tillsynsbegäran.docx", "A 14879-2024")</f>
        <v/>
      </c>
      <c r="Y41">
        <f>HYPERLINK("https://klasma.github.io/Logging_0580/tillsynsmail/A 14879-2024 tillsynsbegäran mail.docx", "A 14879-2024")</f>
        <v/>
      </c>
    </row>
    <row r="42" ht="15" customHeight="1">
      <c r="A42" t="inlineStr">
        <is>
          <t>A 55344-2024</t>
        </is>
      </c>
      <c r="B42" s="1" t="n">
        <v>45621.7202662037</v>
      </c>
      <c r="C42" s="1" t="n">
        <v>46113</v>
      </c>
      <c r="D42" t="inlineStr">
        <is>
          <t>ÖSTERGÖTLANDS LÄN</t>
        </is>
      </c>
      <c r="E42" t="inlineStr">
        <is>
          <t>LINKÖPING</t>
        </is>
      </c>
      <c r="G42" t="n">
        <v>6.6</v>
      </c>
      <c r="H42" t="n">
        <v>0</v>
      </c>
      <c r="I42" t="n">
        <v>0</v>
      </c>
      <c r="J42" t="n">
        <v>2</v>
      </c>
      <c r="K42" t="n">
        <v>0</v>
      </c>
      <c r="L42" t="n">
        <v>0</v>
      </c>
      <c r="M42" t="n">
        <v>0</v>
      </c>
      <c r="N42" t="n">
        <v>0</v>
      </c>
      <c r="O42" t="n">
        <v>2</v>
      </c>
      <c r="P42" t="n">
        <v>0</v>
      </c>
      <c r="Q42" t="n">
        <v>2</v>
      </c>
      <c r="R42" s="2" t="inlineStr">
        <is>
          <t>Kandelabersvamp
Stjärnnästing</t>
        </is>
      </c>
      <c r="S42">
        <f>HYPERLINK("https://klasma.github.io/Logging_0580/artfynd/A 55344-2024 artfynd.xlsx", "A 55344-2024")</f>
        <v/>
      </c>
      <c r="T42">
        <f>HYPERLINK("https://klasma.github.io/Logging_0580/kartor/A 55344-2024 karta.png", "A 55344-2024")</f>
        <v/>
      </c>
      <c r="V42">
        <f>HYPERLINK("https://klasma.github.io/Logging_0580/klagomål/A 55344-2024 FSC-klagomål.docx", "A 55344-2024")</f>
        <v/>
      </c>
      <c r="W42">
        <f>HYPERLINK("https://klasma.github.io/Logging_0580/klagomålsmail/A 55344-2024 FSC-klagomål mail.docx", "A 55344-2024")</f>
        <v/>
      </c>
      <c r="X42">
        <f>HYPERLINK("https://klasma.github.io/Logging_0580/tillsyn/A 55344-2024 tillsynsbegäran.docx", "A 55344-2024")</f>
        <v/>
      </c>
      <c r="Y42">
        <f>HYPERLINK("https://klasma.github.io/Logging_0580/tillsynsmail/A 55344-2024 tillsynsbegäran mail.docx", "A 55344-2024")</f>
        <v/>
      </c>
    </row>
    <row r="43" ht="15" customHeight="1">
      <c r="A43" t="inlineStr">
        <is>
          <t>A 15844-2026</t>
        </is>
      </c>
      <c r="B43" s="1" t="n">
        <v>46107.56542824074</v>
      </c>
      <c r="C43" s="1" t="n">
        <v>46113</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15856-2026</t>
        </is>
      </c>
      <c r="B44" s="1" t="n">
        <v>46107.57620370371</v>
      </c>
      <c r="C44" s="1" t="n">
        <v>46113</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20292-2025</t>
        </is>
      </c>
      <c r="B45" s="1" t="n">
        <v>45774.7449537037</v>
      </c>
      <c r="C45" s="1" t="n">
        <v>46113</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22040-2023</t>
        </is>
      </c>
      <c r="B46" s="1" t="n">
        <v>45068</v>
      </c>
      <c r="C46" s="1" t="n">
        <v>46113</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50404-2023</t>
        </is>
      </c>
      <c r="B47" s="1" t="n">
        <v>45216</v>
      </c>
      <c r="C47" s="1" t="n">
        <v>46113</v>
      </c>
      <c r="D47" t="inlineStr">
        <is>
          <t>ÖSTERGÖTLANDS LÄN</t>
        </is>
      </c>
      <c r="E47" t="inlineStr">
        <is>
          <t>LINKÖPING</t>
        </is>
      </c>
      <c r="G47" t="n">
        <v>1.2</v>
      </c>
      <c r="H47" t="n">
        <v>1</v>
      </c>
      <c r="I47" t="n">
        <v>1</v>
      </c>
      <c r="J47" t="n">
        <v>0</v>
      </c>
      <c r="K47" t="n">
        <v>0</v>
      </c>
      <c r="L47" t="n">
        <v>0</v>
      </c>
      <c r="M47" t="n">
        <v>0</v>
      </c>
      <c r="N47" t="n">
        <v>0</v>
      </c>
      <c r="O47" t="n">
        <v>0</v>
      </c>
      <c r="P47" t="n">
        <v>0</v>
      </c>
      <c r="Q47" t="n">
        <v>2</v>
      </c>
      <c r="R47" s="2" t="inlineStr">
        <is>
          <t>Hasselticka
Gullviva</t>
        </is>
      </c>
      <c r="S47">
        <f>HYPERLINK("https://klasma.github.io/Logging_0580/artfynd/A 50404-2023 artfynd.xlsx", "A 50404-2023")</f>
        <v/>
      </c>
      <c r="T47">
        <f>HYPERLINK("https://klasma.github.io/Logging_0580/kartor/A 50404-2023 karta.png", "A 50404-2023")</f>
        <v/>
      </c>
      <c r="V47">
        <f>HYPERLINK("https://klasma.github.io/Logging_0580/klagomål/A 50404-2023 FSC-klagomål.docx", "A 50404-2023")</f>
        <v/>
      </c>
      <c r="W47">
        <f>HYPERLINK("https://klasma.github.io/Logging_0580/klagomålsmail/A 50404-2023 FSC-klagomål mail.docx", "A 50404-2023")</f>
        <v/>
      </c>
      <c r="X47">
        <f>HYPERLINK("https://klasma.github.io/Logging_0580/tillsyn/A 50404-2023 tillsynsbegäran.docx", "A 50404-2023")</f>
        <v/>
      </c>
      <c r="Y47">
        <f>HYPERLINK("https://klasma.github.io/Logging_0580/tillsynsmail/A 50404-2023 tillsynsbegäran mail.docx", "A 50404-2023")</f>
        <v/>
      </c>
    </row>
    <row r="48" ht="15" customHeight="1">
      <c r="A48" t="inlineStr">
        <is>
          <t>A 21326-2025</t>
        </is>
      </c>
      <c r="B48" s="1" t="n">
        <v>45782.35407407407</v>
      </c>
      <c r="C48" s="1" t="n">
        <v>46113</v>
      </c>
      <c r="D48" t="inlineStr">
        <is>
          <t>ÖSTERGÖTLANDS LÄN</t>
        </is>
      </c>
      <c r="E48" t="inlineStr">
        <is>
          <t>LINKÖPING</t>
        </is>
      </c>
      <c r="G48" t="n">
        <v>4.9</v>
      </c>
      <c r="H48" t="n">
        <v>2</v>
      </c>
      <c r="I48" t="n">
        <v>0</v>
      </c>
      <c r="J48" t="n">
        <v>0</v>
      </c>
      <c r="K48" t="n">
        <v>0</v>
      </c>
      <c r="L48" t="n">
        <v>0</v>
      </c>
      <c r="M48" t="n">
        <v>0</v>
      </c>
      <c r="N48" t="n">
        <v>0</v>
      </c>
      <c r="O48" t="n">
        <v>0</v>
      </c>
      <c r="P48" t="n">
        <v>0</v>
      </c>
      <c r="Q48" t="n">
        <v>2</v>
      </c>
      <c r="R48" s="2" t="inlineStr">
        <is>
          <t>Blåsippa
Revlummer</t>
        </is>
      </c>
      <c r="S48">
        <f>HYPERLINK("https://klasma.github.io/Logging_0580/artfynd/A 21326-2025 artfynd.xlsx", "A 21326-2025")</f>
        <v/>
      </c>
      <c r="T48">
        <f>HYPERLINK("https://klasma.github.io/Logging_0580/kartor/A 21326-2025 karta.png", "A 21326-2025")</f>
        <v/>
      </c>
      <c r="V48">
        <f>HYPERLINK("https://klasma.github.io/Logging_0580/klagomål/A 21326-2025 FSC-klagomål.docx", "A 21326-2025")</f>
        <v/>
      </c>
      <c r="W48">
        <f>HYPERLINK("https://klasma.github.io/Logging_0580/klagomålsmail/A 21326-2025 FSC-klagomål mail.docx", "A 21326-2025")</f>
        <v/>
      </c>
      <c r="X48">
        <f>HYPERLINK("https://klasma.github.io/Logging_0580/tillsyn/A 21326-2025 tillsynsbegäran.docx", "A 21326-2025")</f>
        <v/>
      </c>
      <c r="Y48">
        <f>HYPERLINK("https://klasma.github.io/Logging_0580/tillsynsmail/A 21326-2025 tillsynsbegäran mail.docx", "A 21326-2025")</f>
        <v/>
      </c>
    </row>
    <row r="49" ht="15" customHeight="1">
      <c r="A49" t="inlineStr">
        <is>
          <t>A 38129-2021</t>
        </is>
      </c>
      <c r="B49" s="1" t="n">
        <v>44405.37199074074</v>
      </c>
      <c r="C49" s="1" t="n">
        <v>46113</v>
      </c>
      <c r="D49" t="inlineStr">
        <is>
          <t>ÖSTERGÖTLANDS LÄN</t>
        </is>
      </c>
      <c r="E49" t="inlineStr">
        <is>
          <t>LINKÖPING</t>
        </is>
      </c>
      <c r="G49" t="n">
        <v>1.8</v>
      </c>
      <c r="H49" t="n">
        <v>1</v>
      </c>
      <c r="I49" t="n">
        <v>0</v>
      </c>
      <c r="J49" t="n">
        <v>1</v>
      </c>
      <c r="K49" t="n">
        <v>0</v>
      </c>
      <c r="L49" t="n">
        <v>0</v>
      </c>
      <c r="M49" t="n">
        <v>0</v>
      </c>
      <c r="N49" t="n">
        <v>0</v>
      </c>
      <c r="O49" t="n">
        <v>1</v>
      </c>
      <c r="P49" t="n">
        <v>0</v>
      </c>
      <c r="Q49" t="n">
        <v>1</v>
      </c>
      <c r="R49" s="2" t="inlineStr">
        <is>
          <t>Spillkråka</t>
        </is>
      </c>
      <c r="S49">
        <f>HYPERLINK("https://klasma.github.io/Logging_0580/artfynd/A 38129-2021 artfynd.xlsx", "A 38129-2021")</f>
        <v/>
      </c>
      <c r="T49">
        <f>HYPERLINK("https://klasma.github.io/Logging_0580/kartor/A 38129-2021 karta.png", "A 38129-2021")</f>
        <v/>
      </c>
      <c r="V49">
        <f>HYPERLINK("https://klasma.github.io/Logging_0580/klagomål/A 38129-2021 FSC-klagomål.docx", "A 38129-2021")</f>
        <v/>
      </c>
      <c r="W49">
        <f>HYPERLINK("https://klasma.github.io/Logging_0580/klagomålsmail/A 38129-2021 FSC-klagomål mail.docx", "A 38129-2021")</f>
        <v/>
      </c>
      <c r="X49">
        <f>HYPERLINK("https://klasma.github.io/Logging_0580/tillsyn/A 38129-2021 tillsynsbegäran.docx", "A 38129-2021")</f>
        <v/>
      </c>
      <c r="Y49">
        <f>HYPERLINK("https://klasma.github.io/Logging_0580/tillsynsmail/A 38129-2021 tillsynsbegäran mail.docx", "A 38129-2021")</f>
        <v/>
      </c>
      <c r="Z49">
        <f>HYPERLINK("https://klasma.github.io/Logging_0580/fåglar/A 38129-2021 prioriterade fågelarter.docx", "A 38129-2021")</f>
        <v/>
      </c>
    </row>
    <row r="50" ht="15" customHeight="1">
      <c r="A50" t="inlineStr">
        <is>
          <t>A 17513-2022</t>
        </is>
      </c>
      <c r="B50" s="1" t="n">
        <v>44679</v>
      </c>
      <c r="C50" s="1" t="n">
        <v>46113</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46113</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46113</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41749-2023</t>
        </is>
      </c>
      <c r="B53" s="1" t="n">
        <v>45176</v>
      </c>
      <c r="C53" s="1" t="n">
        <v>46113</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56250-2021</t>
        </is>
      </c>
      <c r="B54" s="1" t="n">
        <v>44479</v>
      </c>
      <c r="C54" s="1" t="n">
        <v>46113</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50471-2024</t>
        </is>
      </c>
      <c r="B55" s="1" t="n">
        <v>45601.47166666666</v>
      </c>
      <c r="C55" s="1" t="n">
        <v>46113</v>
      </c>
      <c r="D55" t="inlineStr">
        <is>
          <t>ÖSTERGÖTLANDS LÄN</t>
        </is>
      </c>
      <c r="E55" t="inlineStr">
        <is>
          <t>LINKÖPING</t>
        </is>
      </c>
      <c r="F55" t="inlineStr">
        <is>
          <t>Övriga Aktiebolag</t>
        </is>
      </c>
      <c r="G55" t="n">
        <v>2</v>
      </c>
      <c r="H55" t="n">
        <v>0</v>
      </c>
      <c r="I55" t="n">
        <v>1</v>
      </c>
      <c r="J55" t="n">
        <v>0</v>
      </c>
      <c r="K55" t="n">
        <v>0</v>
      </c>
      <c r="L55" t="n">
        <v>0</v>
      </c>
      <c r="M55" t="n">
        <v>0</v>
      </c>
      <c r="N55" t="n">
        <v>0</v>
      </c>
      <c r="O55" t="n">
        <v>0</v>
      </c>
      <c r="P55" t="n">
        <v>0</v>
      </c>
      <c r="Q55" t="n">
        <v>1</v>
      </c>
      <c r="R55" s="2" t="inlineStr">
        <is>
          <t>Västlig hakmossa</t>
        </is>
      </c>
      <c r="S55">
        <f>HYPERLINK("https://klasma.github.io/Logging_0580/artfynd/A 50471-2024 artfynd.xlsx", "A 50471-2024")</f>
        <v/>
      </c>
      <c r="T55">
        <f>HYPERLINK("https://klasma.github.io/Logging_0580/kartor/A 50471-2024 karta.png", "A 50471-2024")</f>
        <v/>
      </c>
      <c r="V55">
        <f>HYPERLINK("https://klasma.github.io/Logging_0580/klagomål/A 50471-2024 FSC-klagomål.docx", "A 50471-2024")</f>
        <v/>
      </c>
      <c r="W55">
        <f>HYPERLINK("https://klasma.github.io/Logging_0580/klagomålsmail/A 50471-2024 FSC-klagomål mail.docx", "A 50471-2024")</f>
        <v/>
      </c>
      <c r="X55">
        <f>HYPERLINK("https://klasma.github.io/Logging_0580/tillsyn/A 50471-2024 tillsynsbegäran.docx", "A 50471-2024")</f>
        <v/>
      </c>
      <c r="Y55">
        <f>HYPERLINK("https://klasma.github.io/Logging_0580/tillsynsmail/A 50471-2024 tillsynsbegäran mail.docx", "A 50471-2024")</f>
        <v/>
      </c>
    </row>
    <row r="56" ht="15" customHeight="1">
      <c r="A56" t="inlineStr">
        <is>
          <t>A 71127-2021</t>
        </is>
      </c>
      <c r="B56" s="1" t="n">
        <v>44537</v>
      </c>
      <c r="C56" s="1" t="n">
        <v>46113</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22526-2025</t>
        </is>
      </c>
      <c r="B57" s="1" t="n">
        <v>45786.78096064815</v>
      </c>
      <c r="C57" s="1" t="n">
        <v>46113</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50806-2023</t>
        </is>
      </c>
      <c r="B58" s="1" t="n">
        <v>45217</v>
      </c>
      <c r="C58" s="1" t="n">
        <v>46113</v>
      </c>
      <c r="D58" t="inlineStr">
        <is>
          <t>ÖSTERGÖTLANDS LÄN</t>
        </is>
      </c>
      <c r="E58" t="inlineStr">
        <is>
          <t>LINKÖPING</t>
        </is>
      </c>
      <c r="F58" t="inlineStr">
        <is>
          <t>Övriga Aktiebolag</t>
        </is>
      </c>
      <c r="G58" t="n">
        <v>0.7</v>
      </c>
      <c r="H58" t="n">
        <v>1</v>
      </c>
      <c r="I58" t="n">
        <v>0</v>
      </c>
      <c r="J58" t="n">
        <v>0</v>
      </c>
      <c r="K58" t="n">
        <v>0</v>
      </c>
      <c r="L58" t="n">
        <v>0</v>
      </c>
      <c r="M58" t="n">
        <v>0</v>
      </c>
      <c r="N58" t="n">
        <v>0</v>
      </c>
      <c r="O58" t="n">
        <v>0</v>
      </c>
      <c r="P58" t="n">
        <v>0</v>
      </c>
      <c r="Q58" t="n">
        <v>1</v>
      </c>
      <c r="R58" s="2" t="inlineStr">
        <is>
          <t>Gullviva</t>
        </is>
      </c>
      <c r="S58">
        <f>HYPERLINK("https://klasma.github.io/Logging_0580/artfynd/A 50806-2023 artfynd.xlsx", "A 50806-2023")</f>
        <v/>
      </c>
      <c r="T58">
        <f>HYPERLINK("https://klasma.github.io/Logging_0580/kartor/A 50806-2023 karta.png", "A 50806-2023")</f>
        <v/>
      </c>
      <c r="V58">
        <f>HYPERLINK("https://klasma.github.io/Logging_0580/klagomål/A 50806-2023 FSC-klagomål.docx", "A 50806-2023")</f>
        <v/>
      </c>
      <c r="W58">
        <f>HYPERLINK("https://klasma.github.io/Logging_0580/klagomålsmail/A 50806-2023 FSC-klagomål mail.docx", "A 50806-2023")</f>
        <v/>
      </c>
      <c r="X58">
        <f>HYPERLINK("https://klasma.github.io/Logging_0580/tillsyn/A 50806-2023 tillsynsbegäran.docx", "A 50806-2023")</f>
        <v/>
      </c>
      <c r="Y58">
        <f>HYPERLINK("https://klasma.github.io/Logging_0580/tillsynsmail/A 50806-2023 tillsynsbegäran mail.docx", "A 50806-2023")</f>
        <v/>
      </c>
    </row>
    <row r="59" ht="15" customHeight="1">
      <c r="A59" t="inlineStr">
        <is>
          <t>A 17389-2021</t>
        </is>
      </c>
      <c r="B59" s="1" t="n">
        <v>44298.96792824074</v>
      </c>
      <c r="C59" s="1" t="n">
        <v>46113</v>
      </c>
      <c r="D59" t="inlineStr">
        <is>
          <t>ÖSTERGÖTLANDS LÄN</t>
        </is>
      </c>
      <c r="E59" t="inlineStr">
        <is>
          <t>LINKÖPING</t>
        </is>
      </c>
      <c r="G59" t="n">
        <v>5.1</v>
      </c>
      <c r="H59" t="n">
        <v>0</v>
      </c>
      <c r="I59" t="n">
        <v>1</v>
      </c>
      <c r="J59" t="n">
        <v>0</v>
      </c>
      <c r="K59" t="n">
        <v>0</v>
      </c>
      <c r="L59" t="n">
        <v>0</v>
      </c>
      <c r="M59" t="n">
        <v>0</v>
      </c>
      <c r="N59" t="n">
        <v>0</v>
      </c>
      <c r="O59" t="n">
        <v>0</v>
      </c>
      <c r="P59" t="n">
        <v>0</v>
      </c>
      <c r="Q59" t="n">
        <v>1</v>
      </c>
      <c r="R59" s="2" t="inlineStr">
        <is>
          <t>Blomkålssvamp</t>
        </is>
      </c>
      <c r="S59">
        <f>HYPERLINK("https://klasma.github.io/Logging_0580/artfynd/A 17389-2021 artfynd.xlsx", "A 17389-2021")</f>
        <v/>
      </c>
      <c r="T59">
        <f>HYPERLINK("https://klasma.github.io/Logging_0580/kartor/A 17389-2021 karta.png", "A 17389-2021")</f>
        <v/>
      </c>
      <c r="V59">
        <f>HYPERLINK("https://klasma.github.io/Logging_0580/klagomål/A 17389-2021 FSC-klagomål.docx", "A 17389-2021")</f>
        <v/>
      </c>
      <c r="W59">
        <f>HYPERLINK("https://klasma.github.io/Logging_0580/klagomålsmail/A 17389-2021 FSC-klagomål mail.docx", "A 17389-2021")</f>
        <v/>
      </c>
      <c r="X59">
        <f>HYPERLINK("https://klasma.github.io/Logging_0580/tillsyn/A 17389-2021 tillsynsbegäran.docx", "A 17389-2021")</f>
        <v/>
      </c>
      <c r="Y59">
        <f>HYPERLINK("https://klasma.github.io/Logging_0580/tillsynsmail/A 17389-2021 tillsynsbegäran mail.docx", "A 17389-2021")</f>
        <v/>
      </c>
    </row>
    <row r="60" ht="15" customHeight="1">
      <c r="A60" t="inlineStr">
        <is>
          <t>A 40315-2024</t>
        </is>
      </c>
      <c r="B60" s="1" t="n">
        <v>45554.7571875</v>
      </c>
      <c r="C60" s="1" t="n">
        <v>46113</v>
      </c>
      <c r="D60" t="inlineStr">
        <is>
          <t>ÖSTERGÖTLANDS LÄN</t>
        </is>
      </c>
      <c r="E60" t="inlineStr">
        <is>
          <t>LINKÖPING</t>
        </is>
      </c>
      <c r="F60" t="inlineStr">
        <is>
          <t>Allmännings- och besparingsskogar</t>
        </is>
      </c>
      <c r="G60" t="n">
        <v>15.8</v>
      </c>
      <c r="H60" t="n">
        <v>0</v>
      </c>
      <c r="I60" t="n">
        <v>0</v>
      </c>
      <c r="J60" t="n">
        <v>0</v>
      </c>
      <c r="K60" t="n">
        <v>0</v>
      </c>
      <c r="L60" t="n">
        <v>0</v>
      </c>
      <c r="M60" t="n">
        <v>1</v>
      </c>
      <c r="N60" t="n">
        <v>0</v>
      </c>
      <c r="O60" t="n">
        <v>1</v>
      </c>
      <c r="P60" t="n">
        <v>1</v>
      </c>
      <c r="Q60" t="n">
        <v>1</v>
      </c>
      <c r="R60" s="2" t="inlineStr">
        <is>
          <t>Skogsalm</t>
        </is>
      </c>
      <c r="S60">
        <f>HYPERLINK("https://klasma.github.io/Logging_0580/artfynd/A 40315-2024 artfynd.xlsx", "A 40315-2024")</f>
        <v/>
      </c>
      <c r="T60">
        <f>HYPERLINK("https://klasma.github.io/Logging_0580/kartor/A 40315-2024 karta.png", "A 40315-2024")</f>
        <v/>
      </c>
      <c r="V60">
        <f>HYPERLINK("https://klasma.github.io/Logging_0580/klagomål/A 40315-2024 FSC-klagomål.docx", "A 40315-2024")</f>
        <v/>
      </c>
      <c r="W60">
        <f>HYPERLINK("https://klasma.github.io/Logging_0580/klagomålsmail/A 40315-2024 FSC-klagomål mail.docx", "A 40315-2024")</f>
        <v/>
      </c>
      <c r="X60">
        <f>HYPERLINK("https://klasma.github.io/Logging_0580/tillsyn/A 40315-2024 tillsynsbegäran.docx", "A 40315-2024")</f>
        <v/>
      </c>
      <c r="Y60">
        <f>HYPERLINK("https://klasma.github.io/Logging_0580/tillsynsmail/A 40315-2024 tillsynsbegäran mail.docx", "A 40315-2024")</f>
        <v/>
      </c>
    </row>
    <row r="61" ht="15" customHeight="1">
      <c r="A61" t="inlineStr">
        <is>
          <t>A 60573-2021</t>
        </is>
      </c>
      <c r="B61" s="1" t="n">
        <v>44496</v>
      </c>
      <c r="C61" s="1" t="n">
        <v>46113</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43989-2025</t>
        </is>
      </c>
      <c r="B62" s="1" t="n">
        <v>45915.44128472222</v>
      </c>
      <c r="C62" s="1" t="n">
        <v>46113</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46113</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48273-2025</t>
        </is>
      </c>
      <c r="B64" s="1" t="n">
        <v>45932</v>
      </c>
      <c r="C64" s="1" t="n">
        <v>46113</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46113</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46113</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46113</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1213-2023</t>
        </is>
      </c>
      <c r="B68" s="1" t="n">
        <v>44930</v>
      </c>
      <c r="C68" s="1" t="n">
        <v>46113</v>
      </c>
      <c r="D68" t="inlineStr">
        <is>
          <t>ÖSTERGÖTLANDS LÄN</t>
        </is>
      </c>
      <c r="E68" t="inlineStr">
        <is>
          <t>LINKÖPING</t>
        </is>
      </c>
      <c r="F68" t="inlineStr">
        <is>
          <t>Övriga statliga verk och myndigheter</t>
        </is>
      </c>
      <c r="G68" t="n">
        <v>17.8</v>
      </c>
      <c r="H68" t="n">
        <v>0</v>
      </c>
      <c r="I68" t="n">
        <v>1</v>
      </c>
      <c r="J68" t="n">
        <v>0</v>
      </c>
      <c r="K68" t="n">
        <v>0</v>
      </c>
      <c r="L68" t="n">
        <v>0</v>
      </c>
      <c r="M68" t="n">
        <v>0</v>
      </c>
      <c r="N68" t="n">
        <v>0</v>
      </c>
      <c r="O68" t="n">
        <v>0</v>
      </c>
      <c r="P68" t="n">
        <v>0</v>
      </c>
      <c r="Q68" t="n">
        <v>1</v>
      </c>
      <c r="R68" s="2" t="inlineStr">
        <is>
          <t>Stubbspretmossa</t>
        </is>
      </c>
      <c r="S68">
        <f>HYPERLINK("https://klasma.github.io/Logging_0580/artfynd/A 1213-2023 artfynd.xlsx", "A 1213-2023")</f>
        <v/>
      </c>
      <c r="T68">
        <f>HYPERLINK("https://klasma.github.io/Logging_0580/kartor/A 1213-2023 karta.png", "A 1213-2023")</f>
        <v/>
      </c>
      <c r="V68">
        <f>HYPERLINK("https://klasma.github.io/Logging_0580/klagomål/A 1213-2023 FSC-klagomål.docx", "A 1213-2023")</f>
        <v/>
      </c>
      <c r="W68">
        <f>HYPERLINK("https://klasma.github.io/Logging_0580/klagomålsmail/A 1213-2023 FSC-klagomål mail.docx", "A 1213-2023")</f>
        <v/>
      </c>
      <c r="X68">
        <f>HYPERLINK("https://klasma.github.io/Logging_0580/tillsyn/A 1213-2023 tillsynsbegäran.docx", "A 1213-2023")</f>
        <v/>
      </c>
      <c r="Y68">
        <f>HYPERLINK("https://klasma.github.io/Logging_0580/tillsynsmail/A 1213-2023 tillsynsbegäran mail.docx", "A 1213-2023")</f>
        <v/>
      </c>
    </row>
    <row r="69" ht="15" customHeight="1">
      <c r="A69" t="inlineStr">
        <is>
          <t>A 5911-2022</t>
        </is>
      </c>
      <c r="B69" s="1" t="n">
        <v>44597</v>
      </c>
      <c r="C69" s="1" t="n">
        <v>46113</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56128-2022</t>
        </is>
      </c>
      <c r="B70" s="1" t="n">
        <v>44889</v>
      </c>
      <c r="C70" s="1" t="n">
        <v>46113</v>
      </c>
      <c r="D70" t="inlineStr">
        <is>
          <t>ÖSTERGÖTLANDS LÄN</t>
        </is>
      </c>
      <c r="E70" t="inlineStr">
        <is>
          <t>LINKÖPING</t>
        </is>
      </c>
      <c r="G70" t="n">
        <v>2</v>
      </c>
      <c r="H70" t="n">
        <v>0</v>
      </c>
      <c r="I70" t="n">
        <v>1</v>
      </c>
      <c r="J70" t="n">
        <v>0</v>
      </c>
      <c r="K70" t="n">
        <v>0</v>
      </c>
      <c r="L70" t="n">
        <v>0</v>
      </c>
      <c r="M70" t="n">
        <v>0</v>
      </c>
      <c r="N70" t="n">
        <v>0</v>
      </c>
      <c r="O70" t="n">
        <v>0</v>
      </c>
      <c r="P70" t="n">
        <v>0</v>
      </c>
      <c r="Q70" t="n">
        <v>1</v>
      </c>
      <c r="R70" s="2" t="inlineStr">
        <is>
          <t>Tibast</t>
        </is>
      </c>
      <c r="S70">
        <f>HYPERLINK("https://klasma.github.io/Logging_0580/artfynd/A 56128-2022 artfynd.xlsx", "A 56128-2022")</f>
        <v/>
      </c>
      <c r="T70">
        <f>HYPERLINK("https://klasma.github.io/Logging_0580/kartor/A 56128-2022 karta.png", "A 56128-2022")</f>
        <v/>
      </c>
      <c r="V70">
        <f>HYPERLINK("https://klasma.github.io/Logging_0580/klagomål/A 56128-2022 FSC-klagomål.docx", "A 56128-2022")</f>
        <v/>
      </c>
      <c r="W70">
        <f>HYPERLINK("https://klasma.github.io/Logging_0580/klagomålsmail/A 56128-2022 FSC-klagomål mail.docx", "A 56128-2022")</f>
        <v/>
      </c>
      <c r="X70">
        <f>HYPERLINK("https://klasma.github.io/Logging_0580/tillsyn/A 56128-2022 tillsynsbegäran.docx", "A 56128-2022")</f>
        <v/>
      </c>
      <c r="Y70">
        <f>HYPERLINK("https://klasma.github.io/Logging_0580/tillsynsmail/A 56128-2022 tillsynsbegäran mail.docx", "A 56128-2022")</f>
        <v/>
      </c>
    </row>
    <row r="71" ht="15" customHeight="1">
      <c r="A71" t="inlineStr">
        <is>
          <t>A 50034-2025</t>
        </is>
      </c>
      <c r="B71" s="1" t="n">
        <v>45941</v>
      </c>
      <c r="C71" s="1" t="n">
        <v>46113</v>
      </c>
      <c r="D71" t="inlineStr">
        <is>
          <t>ÖSTERGÖTLANDS LÄN</t>
        </is>
      </c>
      <c r="E71" t="inlineStr">
        <is>
          <t>LINKÖPING</t>
        </is>
      </c>
      <c r="G71" t="n">
        <v>6.2</v>
      </c>
      <c r="H71" t="n">
        <v>0</v>
      </c>
      <c r="I71" t="n">
        <v>0</v>
      </c>
      <c r="J71" t="n">
        <v>0</v>
      </c>
      <c r="K71" t="n">
        <v>0</v>
      </c>
      <c r="L71" t="n">
        <v>0</v>
      </c>
      <c r="M71" t="n">
        <v>1</v>
      </c>
      <c r="N71" t="n">
        <v>0</v>
      </c>
      <c r="O71" t="n">
        <v>1</v>
      </c>
      <c r="P71" t="n">
        <v>1</v>
      </c>
      <c r="Q71" t="n">
        <v>1</v>
      </c>
      <c r="R71" s="2" t="inlineStr">
        <is>
          <t>Skogsalm</t>
        </is>
      </c>
      <c r="S71">
        <f>HYPERLINK("https://klasma.github.io/Logging_0580/artfynd/A 50034-2025 artfynd.xlsx", "A 50034-2025")</f>
        <v/>
      </c>
      <c r="T71">
        <f>HYPERLINK("https://klasma.github.io/Logging_0580/kartor/A 50034-2025 karta.png", "A 50034-2025")</f>
        <v/>
      </c>
      <c r="V71">
        <f>HYPERLINK("https://klasma.github.io/Logging_0580/klagomål/A 50034-2025 FSC-klagomål.docx", "A 50034-2025")</f>
        <v/>
      </c>
      <c r="W71">
        <f>HYPERLINK("https://klasma.github.io/Logging_0580/klagomålsmail/A 50034-2025 FSC-klagomål mail.docx", "A 50034-2025")</f>
        <v/>
      </c>
      <c r="X71">
        <f>HYPERLINK("https://klasma.github.io/Logging_0580/tillsyn/A 50034-2025 tillsynsbegäran.docx", "A 50034-2025")</f>
        <v/>
      </c>
      <c r="Y71">
        <f>HYPERLINK("https://klasma.github.io/Logging_0580/tillsynsmail/A 50034-2025 tillsynsbegäran mail.docx", "A 50034-2025")</f>
        <v/>
      </c>
    </row>
    <row r="72" ht="15" customHeight="1">
      <c r="A72" t="inlineStr">
        <is>
          <t>A 27403-2025</t>
        </is>
      </c>
      <c r="B72" s="1" t="n">
        <v>45812.72518518518</v>
      </c>
      <c r="C72" s="1" t="n">
        <v>46113</v>
      </c>
      <c r="D72" t="inlineStr">
        <is>
          <t>ÖSTERGÖTLANDS LÄN</t>
        </is>
      </c>
      <c r="E72" t="inlineStr">
        <is>
          <t>LINKÖPING</t>
        </is>
      </c>
      <c r="G72" t="n">
        <v>1.4</v>
      </c>
      <c r="H72" t="n">
        <v>0</v>
      </c>
      <c r="I72" t="n">
        <v>0</v>
      </c>
      <c r="J72" t="n">
        <v>1</v>
      </c>
      <c r="K72" t="n">
        <v>0</v>
      </c>
      <c r="L72" t="n">
        <v>0</v>
      </c>
      <c r="M72" t="n">
        <v>0</v>
      </c>
      <c r="N72" t="n">
        <v>0</v>
      </c>
      <c r="O72" t="n">
        <v>1</v>
      </c>
      <c r="P72" t="n">
        <v>0</v>
      </c>
      <c r="Q72" t="n">
        <v>1</v>
      </c>
      <c r="R72" s="2" t="inlineStr">
        <is>
          <t>Tallticka</t>
        </is>
      </c>
      <c r="S72">
        <f>HYPERLINK("https://klasma.github.io/Logging_0580/artfynd/A 27403-2025 artfynd.xlsx", "A 27403-2025")</f>
        <v/>
      </c>
      <c r="T72">
        <f>HYPERLINK("https://klasma.github.io/Logging_0580/kartor/A 27403-2025 karta.png", "A 27403-2025")</f>
        <v/>
      </c>
      <c r="V72">
        <f>HYPERLINK("https://klasma.github.io/Logging_0580/klagomål/A 27403-2025 FSC-klagomål.docx", "A 27403-2025")</f>
        <v/>
      </c>
      <c r="W72">
        <f>HYPERLINK("https://klasma.github.io/Logging_0580/klagomålsmail/A 27403-2025 FSC-klagomål mail.docx", "A 27403-2025")</f>
        <v/>
      </c>
      <c r="X72">
        <f>HYPERLINK("https://klasma.github.io/Logging_0580/tillsyn/A 27403-2025 tillsynsbegäran.docx", "A 27403-2025")</f>
        <v/>
      </c>
      <c r="Y72">
        <f>HYPERLINK("https://klasma.github.io/Logging_0580/tillsynsmail/A 27403-2025 tillsynsbegäran mail.docx", "A 27403-2025")</f>
        <v/>
      </c>
    </row>
    <row r="73" ht="15" customHeight="1">
      <c r="A73" t="inlineStr">
        <is>
          <t>A 54835-2023</t>
        </is>
      </c>
      <c r="B73" s="1" t="n">
        <v>45236</v>
      </c>
      <c r="C73" s="1" t="n">
        <v>46113</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29393-2025</t>
        </is>
      </c>
      <c r="B74" s="1" t="n">
        <v>45824.6057175926</v>
      </c>
      <c r="C74" s="1" t="n">
        <v>46113</v>
      </c>
      <c r="D74" t="inlineStr">
        <is>
          <t>ÖSTERGÖTLANDS LÄN</t>
        </is>
      </c>
      <c r="E74" t="inlineStr">
        <is>
          <t>LINKÖPING</t>
        </is>
      </c>
      <c r="F74" t="inlineStr">
        <is>
          <t>Sveaskog</t>
        </is>
      </c>
      <c r="G74" t="n">
        <v>24.6</v>
      </c>
      <c r="H74" t="n">
        <v>1</v>
      </c>
      <c r="I74" t="n">
        <v>0</v>
      </c>
      <c r="J74" t="n">
        <v>0</v>
      </c>
      <c r="K74" t="n">
        <v>1</v>
      </c>
      <c r="L74" t="n">
        <v>0</v>
      </c>
      <c r="M74" t="n">
        <v>0</v>
      </c>
      <c r="N74" t="n">
        <v>0</v>
      </c>
      <c r="O74" t="n">
        <v>1</v>
      </c>
      <c r="P74" t="n">
        <v>1</v>
      </c>
      <c r="Q74" t="n">
        <v>1</v>
      </c>
      <c r="R74" s="2" t="inlineStr">
        <is>
          <t>Skogsgås</t>
        </is>
      </c>
      <c r="S74">
        <f>HYPERLINK("https://klasma.github.io/Logging_0580/artfynd/A 29393-2025 artfynd.xlsx", "A 29393-2025")</f>
        <v/>
      </c>
      <c r="T74">
        <f>HYPERLINK("https://klasma.github.io/Logging_0580/kartor/A 29393-2025 karta.png", "A 29393-2025")</f>
        <v/>
      </c>
      <c r="V74">
        <f>HYPERLINK("https://klasma.github.io/Logging_0580/klagomål/A 29393-2025 FSC-klagomål.docx", "A 29393-2025")</f>
        <v/>
      </c>
      <c r="W74">
        <f>HYPERLINK("https://klasma.github.io/Logging_0580/klagomålsmail/A 29393-2025 FSC-klagomål mail.docx", "A 29393-2025")</f>
        <v/>
      </c>
      <c r="X74">
        <f>HYPERLINK("https://klasma.github.io/Logging_0580/tillsyn/A 29393-2025 tillsynsbegäran.docx", "A 29393-2025")</f>
        <v/>
      </c>
      <c r="Y74">
        <f>HYPERLINK("https://klasma.github.io/Logging_0580/tillsynsmail/A 29393-2025 tillsynsbegäran mail.docx", "A 29393-2025")</f>
        <v/>
      </c>
      <c r="Z74">
        <f>HYPERLINK("https://klasma.github.io/Logging_0580/fåglar/A 29393-2025 prioriterade fågelarter.docx", "A 29393-2025")</f>
        <v/>
      </c>
    </row>
    <row r="75" ht="15" customHeight="1">
      <c r="A75" t="inlineStr">
        <is>
          <t>A 34881-2023</t>
        </is>
      </c>
      <c r="B75" s="1" t="n">
        <v>45140</v>
      </c>
      <c r="C75" s="1" t="n">
        <v>46113</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56112-2025</t>
        </is>
      </c>
      <c r="B76" s="1" t="n">
        <v>45973.73625</v>
      </c>
      <c r="C76" s="1" t="n">
        <v>46113</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19103-2021</t>
        </is>
      </c>
      <c r="B77" s="1" t="n">
        <v>44308</v>
      </c>
      <c r="C77" s="1" t="n">
        <v>46113</v>
      </c>
      <c r="D77" t="inlineStr">
        <is>
          <t>ÖSTERGÖTLANDS LÄN</t>
        </is>
      </c>
      <c r="E77" t="inlineStr">
        <is>
          <t>LINKÖPING</t>
        </is>
      </c>
      <c r="G77" t="n">
        <v>4.7</v>
      </c>
      <c r="H77" t="n">
        <v>0</v>
      </c>
      <c r="I77" t="n">
        <v>0</v>
      </c>
      <c r="J77" t="n">
        <v>1</v>
      </c>
      <c r="K77" t="n">
        <v>0</v>
      </c>
      <c r="L77" t="n">
        <v>0</v>
      </c>
      <c r="M77" t="n">
        <v>0</v>
      </c>
      <c r="N77" t="n">
        <v>0</v>
      </c>
      <c r="O77" t="n">
        <v>1</v>
      </c>
      <c r="P77" t="n">
        <v>0</v>
      </c>
      <c r="Q77" t="n">
        <v>1</v>
      </c>
      <c r="R77" s="2" t="inlineStr">
        <is>
          <t>Tallticka</t>
        </is>
      </c>
      <c r="S77">
        <f>HYPERLINK("https://klasma.github.io/Logging_0580/artfynd/A 19103-2021 artfynd.xlsx", "A 19103-2021")</f>
        <v/>
      </c>
      <c r="T77">
        <f>HYPERLINK("https://klasma.github.io/Logging_0580/kartor/A 19103-2021 karta.png", "A 19103-2021")</f>
        <v/>
      </c>
      <c r="V77">
        <f>HYPERLINK("https://klasma.github.io/Logging_0580/klagomål/A 19103-2021 FSC-klagomål.docx", "A 19103-2021")</f>
        <v/>
      </c>
      <c r="W77">
        <f>HYPERLINK("https://klasma.github.io/Logging_0580/klagomålsmail/A 19103-2021 FSC-klagomål mail.docx", "A 19103-2021")</f>
        <v/>
      </c>
      <c r="X77">
        <f>HYPERLINK("https://klasma.github.io/Logging_0580/tillsyn/A 19103-2021 tillsynsbegäran.docx", "A 19103-2021")</f>
        <v/>
      </c>
      <c r="Y77">
        <f>HYPERLINK("https://klasma.github.io/Logging_0580/tillsynsmail/A 19103-2021 tillsynsbegäran mail.docx", "A 19103-2021")</f>
        <v/>
      </c>
    </row>
    <row r="78" ht="15" customHeight="1">
      <c r="A78" t="inlineStr">
        <is>
          <t>A 45317-2023</t>
        </is>
      </c>
      <c r="B78" s="1" t="n">
        <v>45191.74868055555</v>
      </c>
      <c r="C78" s="1" t="n">
        <v>46113</v>
      </c>
      <c r="D78" t="inlineStr">
        <is>
          <t>ÖSTERGÖTLANDS LÄN</t>
        </is>
      </c>
      <c r="E78" t="inlineStr">
        <is>
          <t>LINKÖPING</t>
        </is>
      </c>
      <c r="F78" t="inlineStr">
        <is>
          <t>Allmännings- och besparingsskogar</t>
        </is>
      </c>
      <c r="G78" t="n">
        <v>29.3</v>
      </c>
      <c r="H78" t="n">
        <v>0</v>
      </c>
      <c r="I78" t="n">
        <v>0</v>
      </c>
      <c r="J78" t="n">
        <v>1</v>
      </c>
      <c r="K78" t="n">
        <v>0</v>
      </c>
      <c r="L78" t="n">
        <v>0</v>
      </c>
      <c r="M78" t="n">
        <v>0</v>
      </c>
      <c r="N78" t="n">
        <v>0</v>
      </c>
      <c r="O78" t="n">
        <v>1</v>
      </c>
      <c r="P78" t="n">
        <v>0</v>
      </c>
      <c r="Q78" t="n">
        <v>1</v>
      </c>
      <c r="R78" s="2" t="inlineStr">
        <is>
          <t>Svinrot</t>
        </is>
      </c>
      <c r="S78">
        <f>HYPERLINK("https://klasma.github.io/Logging_0580/artfynd/A 45317-2023 artfynd.xlsx", "A 45317-2023")</f>
        <v/>
      </c>
      <c r="T78">
        <f>HYPERLINK("https://klasma.github.io/Logging_0580/kartor/A 45317-2023 karta.png", "A 45317-2023")</f>
        <v/>
      </c>
      <c r="V78">
        <f>HYPERLINK("https://klasma.github.io/Logging_0580/klagomål/A 45317-2023 FSC-klagomål.docx", "A 45317-2023")</f>
        <v/>
      </c>
      <c r="W78">
        <f>HYPERLINK("https://klasma.github.io/Logging_0580/klagomålsmail/A 45317-2023 FSC-klagomål mail.docx", "A 45317-2023")</f>
        <v/>
      </c>
      <c r="X78">
        <f>HYPERLINK("https://klasma.github.io/Logging_0580/tillsyn/A 45317-2023 tillsynsbegäran.docx", "A 45317-2023")</f>
        <v/>
      </c>
      <c r="Y78">
        <f>HYPERLINK("https://klasma.github.io/Logging_0580/tillsynsmail/A 45317-2023 tillsynsbegäran mail.docx", "A 45317-2023")</f>
        <v/>
      </c>
    </row>
    <row r="79" ht="15" customHeight="1">
      <c r="A79" t="inlineStr">
        <is>
          <t>A 20295-2025</t>
        </is>
      </c>
      <c r="B79" s="1" t="n">
        <v>45774.74846064814</v>
      </c>
      <c r="C79" s="1" t="n">
        <v>46113</v>
      </c>
      <c r="D79" t="inlineStr">
        <is>
          <t>ÖSTERGÖTLANDS LÄN</t>
        </is>
      </c>
      <c r="E79" t="inlineStr">
        <is>
          <t>LINKÖPING</t>
        </is>
      </c>
      <c r="G79" t="n">
        <v>3</v>
      </c>
      <c r="H79" t="n">
        <v>0</v>
      </c>
      <c r="I79" t="n">
        <v>0</v>
      </c>
      <c r="J79" t="n">
        <v>1</v>
      </c>
      <c r="K79" t="n">
        <v>0</v>
      </c>
      <c r="L79" t="n">
        <v>0</v>
      </c>
      <c r="M79" t="n">
        <v>0</v>
      </c>
      <c r="N79" t="n">
        <v>0</v>
      </c>
      <c r="O79" t="n">
        <v>1</v>
      </c>
      <c r="P79" t="n">
        <v>0</v>
      </c>
      <c r="Q79" t="n">
        <v>1</v>
      </c>
      <c r="R79" s="2" t="inlineStr">
        <is>
          <t>Tallticka</t>
        </is>
      </c>
      <c r="S79">
        <f>HYPERLINK("https://klasma.github.io/Logging_0580/artfynd/A 20295-2025 artfynd.xlsx", "A 20295-2025")</f>
        <v/>
      </c>
      <c r="T79">
        <f>HYPERLINK("https://klasma.github.io/Logging_0580/kartor/A 20295-2025 karta.png", "A 20295-2025")</f>
        <v/>
      </c>
      <c r="V79">
        <f>HYPERLINK("https://klasma.github.io/Logging_0580/klagomål/A 20295-2025 FSC-klagomål.docx", "A 20295-2025")</f>
        <v/>
      </c>
      <c r="W79">
        <f>HYPERLINK("https://klasma.github.io/Logging_0580/klagomålsmail/A 20295-2025 FSC-klagomål mail.docx", "A 20295-2025")</f>
        <v/>
      </c>
      <c r="X79">
        <f>HYPERLINK("https://klasma.github.io/Logging_0580/tillsyn/A 20295-2025 tillsynsbegäran.docx", "A 20295-2025")</f>
        <v/>
      </c>
      <c r="Y79">
        <f>HYPERLINK("https://klasma.github.io/Logging_0580/tillsynsmail/A 20295-2025 tillsynsbegäran mail.docx", "A 20295-2025")</f>
        <v/>
      </c>
    </row>
    <row r="80" ht="15" customHeight="1">
      <c r="A80" t="inlineStr">
        <is>
          <t>A 37683-2024</t>
        </is>
      </c>
      <c r="B80" s="1" t="n">
        <v>45541.59120370371</v>
      </c>
      <c r="C80" s="1" t="n">
        <v>46113</v>
      </c>
      <c r="D80" t="inlineStr">
        <is>
          <t>ÖSTERGÖTLANDS LÄN</t>
        </is>
      </c>
      <c r="E80" t="inlineStr">
        <is>
          <t>LINKÖPING</t>
        </is>
      </c>
      <c r="G80" t="n">
        <v>0.6</v>
      </c>
      <c r="H80" t="n">
        <v>0</v>
      </c>
      <c r="I80" t="n">
        <v>1</v>
      </c>
      <c r="J80" t="n">
        <v>0</v>
      </c>
      <c r="K80" t="n">
        <v>0</v>
      </c>
      <c r="L80" t="n">
        <v>0</v>
      </c>
      <c r="M80" t="n">
        <v>0</v>
      </c>
      <c r="N80" t="n">
        <v>0</v>
      </c>
      <c r="O80" t="n">
        <v>0</v>
      </c>
      <c r="P80" t="n">
        <v>0</v>
      </c>
      <c r="Q80" t="n">
        <v>1</v>
      </c>
      <c r="R80" s="2" t="inlineStr">
        <is>
          <t>Tibast</t>
        </is>
      </c>
      <c r="S80">
        <f>HYPERLINK("https://klasma.github.io/Logging_0580/artfynd/A 37683-2024 artfynd.xlsx", "A 37683-2024")</f>
        <v/>
      </c>
      <c r="T80">
        <f>HYPERLINK("https://klasma.github.io/Logging_0580/kartor/A 37683-2024 karta.png", "A 37683-2024")</f>
        <v/>
      </c>
      <c r="V80">
        <f>HYPERLINK("https://klasma.github.io/Logging_0580/klagomål/A 37683-2024 FSC-klagomål.docx", "A 37683-2024")</f>
        <v/>
      </c>
      <c r="W80">
        <f>HYPERLINK("https://klasma.github.io/Logging_0580/klagomålsmail/A 37683-2024 FSC-klagomål mail.docx", "A 37683-2024")</f>
        <v/>
      </c>
      <c r="X80">
        <f>HYPERLINK("https://klasma.github.io/Logging_0580/tillsyn/A 37683-2024 tillsynsbegäran.docx", "A 37683-2024")</f>
        <v/>
      </c>
      <c r="Y80">
        <f>HYPERLINK("https://klasma.github.io/Logging_0580/tillsynsmail/A 37683-2024 tillsynsbegäran mail.docx", "A 37683-2024")</f>
        <v/>
      </c>
    </row>
    <row r="81" ht="15" customHeight="1">
      <c r="A81" t="inlineStr">
        <is>
          <t>A 35948-2023</t>
        </is>
      </c>
      <c r="B81" s="1" t="n">
        <v>45148</v>
      </c>
      <c r="C81" s="1" t="n">
        <v>46113</v>
      </c>
      <c r="D81" t="inlineStr">
        <is>
          <t>ÖSTERGÖTLANDS LÄN</t>
        </is>
      </c>
      <c r="E81" t="inlineStr">
        <is>
          <t>LINKÖPING</t>
        </is>
      </c>
      <c r="G81" t="n">
        <v>1.9</v>
      </c>
      <c r="H81" t="n">
        <v>0</v>
      </c>
      <c r="I81" t="n">
        <v>1</v>
      </c>
      <c r="J81" t="n">
        <v>0</v>
      </c>
      <c r="K81" t="n">
        <v>0</v>
      </c>
      <c r="L81" t="n">
        <v>0</v>
      </c>
      <c r="M81" t="n">
        <v>0</v>
      </c>
      <c r="N81" t="n">
        <v>0</v>
      </c>
      <c r="O81" t="n">
        <v>0</v>
      </c>
      <c r="P81" t="n">
        <v>0</v>
      </c>
      <c r="Q81" t="n">
        <v>1</v>
      </c>
      <c r="R81" s="2" t="inlineStr">
        <is>
          <t>Brun nållav</t>
        </is>
      </c>
      <c r="S81">
        <f>HYPERLINK("https://klasma.github.io/Logging_0580/artfynd/A 35948-2023 artfynd.xlsx", "A 35948-2023")</f>
        <v/>
      </c>
      <c r="T81">
        <f>HYPERLINK("https://klasma.github.io/Logging_0580/kartor/A 35948-2023 karta.png", "A 35948-2023")</f>
        <v/>
      </c>
      <c r="V81">
        <f>HYPERLINK("https://klasma.github.io/Logging_0580/klagomål/A 35948-2023 FSC-klagomål.docx", "A 35948-2023")</f>
        <v/>
      </c>
      <c r="W81">
        <f>HYPERLINK("https://klasma.github.io/Logging_0580/klagomålsmail/A 35948-2023 FSC-klagomål mail.docx", "A 35948-2023")</f>
        <v/>
      </c>
      <c r="X81">
        <f>HYPERLINK("https://klasma.github.io/Logging_0580/tillsyn/A 35948-2023 tillsynsbegäran.docx", "A 35948-2023")</f>
        <v/>
      </c>
      <c r="Y81">
        <f>HYPERLINK("https://klasma.github.io/Logging_0580/tillsynsmail/A 35948-2023 tillsynsbegäran mail.docx", "A 35948-2023")</f>
        <v/>
      </c>
    </row>
    <row r="82" ht="15" customHeight="1">
      <c r="A82" t="inlineStr">
        <is>
          <t>A 59474-2025</t>
        </is>
      </c>
      <c r="B82" s="1" t="n">
        <v>45989.58512731481</v>
      </c>
      <c r="C82" s="1" t="n">
        <v>46113</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60311-2025</t>
        </is>
      </c>
      <c r="B83" s="1" t="n">
        <v>45994</v>
      </c>
      <c r="C83" s="1" t="n">
        <v>46113</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56651-2023</t>
        </is>
      </c>
      <c r="B84" s="1" t="n">
        <v>45243</v>
      </c>
      <c r="C84" s="1" t="n">
        <v>46113</v>
      </c>
      <c r="D84" t="inlineStr">
        <is>
          <t>ÖSTERGÖTLANDS LÄN</t>
        </is>
      </c>
      <c r="E84" t="inlineStr">
        <is>
          <t>LINKÖPING</t>
        </is>
      </c>
      <c r="F84" t="inlineStr">
        <is>
          <t>Övriga Aktiebolag</t>
        </is>
      </c>
      <c r="G84" t="n">
        <v>2.3</v>
      </c>
      <c r="H84" t="n">
        <v>0</v>
      </c>
      <c r="I84" t="n">
        <v>0</v>
      </c>
      <c r="J84" t="n">
        <v>1</v>
      </c>
      <c r="K84" t="n">
        <v>0</v>
      </c>
      <c r="L84" t="n">
        <v>0</v>
      </c>
      <c r="M84" t="n">
        <v>0</v>
      </c>
      <c r="N84" t="n">
        <v>0</v>
      </c>
      <c r="O84" t="n">
        <v>1</v>
      </c>
      <c r="P84" t="n">
        <v>0</v>
      </c>
      <c r="Q84" t="n">
        <v>1</v>
      </c>
      <c r="R84" s="2" t="inlineStr">
        <is>
          <t>Gul dropplav</t>
        </is>
      </c>
      <c r="S84">
        <f>HYPERLINK("https://klasma.github.io/Logging_0580/artfynd/A 56651-2023 artfynd.xlsx", "A 56651-2023")</f>
        <v/>
      </c>
      <c r="T84">
        <f>HYPERLINK("https://klasma.github.io/Logging_0580/kartor/A 56651-2023 karta.png", "A 56651-2023")</f>
        <v/>
      </c>
      <c r="V84">
        <f>HYPERLINK("https://klasma.github.io/Logging_0580/klagomål/A 56651-2023 FSC-klagomål.docx", "A 56651-2023")</f>
        <v/>
      </c>
      <c r="W84">
        <f>HYPERLINK("https://klasma.github.io/Logging_0580/klagomålsmail/A 56651-2023 FSC-klagomål mail.docx", "A 56651-2023")</f>
        <v/>
      </c>
      <c r="X84">
        <f>HYPERLINK("https://klasma.github.io/Logging_0580/tillsyn/A 56651-2023 tillsynsbegäran.docx", "A 56651-2023")</f>
        <v/>
      </c>
      <c r="Y84">
        <f>HYPERLINK("https://klasma.github.io/Logging_0580/tillsynsmail/A 56651-2023 tillsynsbegäran mail.docx", "A 56651-2023")</f>
        <v/>
      </c>
    </row>
    <row r="85" ht="15" customHeight="1">
      <c r="A85" t="inlineStr">
        <is>
          <t>A 59948-2022</t>
        </is>
      </c>
      <c r="B85" s="1" t="n">
        <v>44909</v>
      </c>
      <c r="C85" s="1" t="n">
        <v>46113</v>
      </c>
      <c r="D85" t="inlineStr">
        <is>
          <t>ÖSTERGÖTLANDS LÄN</t>
        </is>
      </c>
      <c r="E85" t="inlineStr">
        <is>
          <t>LINKÖPING</t>
        </is>
      </c>
      <c r="G85" t="n">
        <v>6.7</v>
      </c>
      <c r="H85" t="n">
        <v>0</v>
      </c>
      <c r="I85" t="n">
        <v>0</v>
      </c>
      <c r="J85" t="n">
        <v>0</v>
      </c>
      <c r="K85" t="n">
        <v>0</v>
      </c>
      <c r="L85" t="n">
        <v>0</v>
      </c>
      <c r="M85" t="n">
        <v>1</v>
      </c>
      <c r="N85" t="n">
        <v>0</v>
      </c>
      <c r="O85" t="n">
        <v>1</v>
      </c>
      <c r="P85" t="n">
        <v>1</v>
      </c>
      <c r="Q85" t="n">
        <v>1</v>
      </c>
      <c r="R85" s="2" t="inlineStr">
        <is>
          <t>Skogsalm</t>
        </is>
      </c>
      <c r="S85">
        <f>HYPERLINK("https://klasma.github.io/Logging_0580/artfynd/A 59948-2022 artfynd.xlsx", "A 59948-2022")</f>
        <v/>
      </c>
      <c r="T85">
        <f>HYPERLINK("https://klasma.github.io/Logging_0580/kartor/A 59948-2022 karta.png", "A 59948-2022")</f>
        <v/>
      </c>
      <c r="V85">
        <f>HYPERLINK("https://klasma.github.io/Logging_0580/klagomål/A 59948-2022 FSC-klagomål.docx", "A 59948-2022")</f>
        <v/>
      </c>
      <c r="W85">
        <f>HYPERLINK("https://klasma.github.io/Logging_0580/klagomålsmail/A 59948-2022 FSC-klagomål mail.docx", "A 59948-2022")</f>
        <v/>
      </c>
      <c r="X85">
        <f>HYPERLINK("https://klasma.github.io/Logging_0580/tillsyn/A 59948-2022 tillsynsbegäran.docx", "A 59948-2022")</f>
        <v/>
      </c>
      <c r="Y85">
        <f>HYPERLINK("https://klasma.github.io/Logging_0580/tillsynsmail/A 59948-2022 tillsynsbegäran mail.docx", "A 59948-2022")</f>
        <v/>
      </c>
    </row>
    <row r="86" ht="15" customHeight="1">
      <c r="A86" t="inlineStr">
        <is>
          <t>A 39457-2023</t>
        </is>
      </c>
      <c r="B86" s="1" t="n">
        <v>45166</v>
      </c>
      <c r="C86" s="1" t="n">
        <v>46113</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36723-2023</t>
        </is>
      </c>
      <c r="B87" s="1" t="n">
        <v>45153</v>
      </c>
      <c r="C87" s="1" t="n">
        <v>46113</v>
      </c>
      <c r="D87" t="inlineStr">
        <is>
          <t>ÖSTERGÖTLANDS LÄN</t>
        </is>
      </c>
      <c r="E87" t="inlineStr">
        <is>
          <t>LINKÖPING</t>
        </is>
      </c>
      <c r="F87" t="inlineStr">
        <is>
          <t>Allmännings- och besparingsskogar</t>
        </is>
      </c>
      <c r="G87" t="n">
        <v>9.9</v>
      </c>
      <c r="H87" t="n">
        <v>0</v>
      </c>
      <c r="I87" t="n">
        <v>0</v>
      </c>
      <c r="J87" t="n">
        <v>0</v>
      </c>
      <c r="K87" t="n">
        <v>1</v>
      </c>
      <c r="L87" t="n">
        <v>0</v>
      </c>
      <c r="M87" t="n">
        <v>0</v>
      </c>
      <c r="N87" t="n">
        <v>0</v>
      </c>
      <c r="O87" t="n">
        <v>1</v>
      </c>
      <c r="P87" t="n">
        <v>1</v>
      </c>
      <c r="Q87" t="n">
        <v>1</v>
      </c>
      <c r="R87" s="2" t="inlineStr">
        <is>
          <t>Bitter taggsvamp</t>
        </is>
      </c>
      <c r="S87">
        <f>HYPERLINK("https://klasma.github.io/Logging_0580/artfynd/A 36723-2023 artfynd.xlsx", "A 36723-2023")</f>
        <v/>
      </c>
      <c r="T87">
        <f>HYPERLINK("https://klasma.github.io/Logging_0580/kartor/A 36723-2023 karta.png", "A 36723-2023")</f>
        <v/>
      </c>
      <c r="V87">
        <f>HYPERLINK("https://klasma.github.io/Logging_0580/klagomål/A 36723-2023 FSC-klagomål.docx", "A 36723-2023")</f>
        <v/>
      </c>
      <c r="W87">
        <f>HYPERLINK("https://klasma.github.io/Logging_0580/klagomålsmail/A 36723-2023 FSC-klagomål mail.docx", "A 36723-2023")</f>
        <v/>
      </c>
      <c r="X87">
        <f>HYPERLINK("https://klasma.github.io/Logging_0580/tillsyn/A 36723-2023 tillsynsbegäran.docx", "A 36723-2023")</f>
        <v/>
      </c>
      <c r="Y87">
        <f>HYPERLINK("https://klasma.github.io/Logging_0580/tillsynsmail/A 36723-2023 tillsynsbegäran mail.docx", "A 36723-2023")</f>
        <v/>
      </c>
    </row>
    <row r="88" ht="15" customHeight="1">
      <c r="A88" t="inlineStr">
        <is>
          <t>A 62071-2023</t>
        </is>
      </c>
      <c r="B88" s="1" t="n">
        <v>45266.73542824074</v>
      </c>
      <c r="C88" s="1" t="n">
        <v>46113</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90-2024</t>
        </is>
      </c>
      <c r="B89" s="1" t="n">
        <v>45293</v>
      </c>
      <c r="C89" s="1" t="n">
        <v>46113</v>
      </c>
      <c r="D89" t="inlineStr">
        <is>
          <t>ÖSTERGÖTLANDS LÄN</t>
        </is>
      </c>
      <c r="E89" t="inlineStr">
        <is>
          <t>LINKÖPING</t>
        </is>
      </c>
      <c r="G89" t="n">
        <v>1.8</v>
      </c>
      <c r="H89" t="n">
        <v>0</v>
      </c>
      <c r="I89" t="n">
        <v>1</v>
      </c>
      <c r="J89" t="n">
        <v>0</v>
      </c>
      <c r="K89" t="n">
        <v>0</v>
      </c>
      <c r="L89" t="n">
        <v>0</v>
      </c>
      <c r="M89" t="n">
        <v>0</v>
      </c>
      <c r="N89" t="n">
        <v>0</v>
      </c>
      <c r="O89" t="n">
        <v>0</v>
      </c>
      <c r="P89" t="n">
        <v>0</v>
      </c>
      <c r="Q89" t="n">
        <v>1</v>
      </c>
      <c r="R89" s="2" t="inlineStr">
        <is>
          <t>Grov fjädermossa</t>
        </is>
      </c>
      <c r="S89">
        <f>HYPERLINK("https://klasma.github.io/Logging_0580/artfynd/A 90-2024 artfynd.xlsx", "A 90-2024")</f>
        <v/>
      </c>
      <c r="T89">
        <f>HYPERLINK("https://klasma.github.io/Logging_0580/kartor/A 90-2024 karta.png", "A 90-2024")</f>
        <v/>
      </c>
      <c r="V89">
        <f>HYPERLINK("https://klasma.github.io/Logging_0580/klagomål/A 90-2024 FSC-klagomål.docx", "A 90-2024")</f>
        <v/>
      </c>
      <c r="W89">
        <f>HYPERLINK("https://klasma.github.io/Logging_0580/klagomålsmail/A 90-2024 FSC-klagomål mail.docx", "A 90-2024")</f>
        <v/>
      </c>
      <c r="X89">
        <f>HYPERLINK("https://klasma.github.io/Logging_0580/tillsyn/A 90-2024 tillsynsbegäran.docx", "A 90-2024")</f>
        <v/>
      </c>
      <c r="Y89">
        <f>HYPERLINK("https://klasma.github.io/Logging_0580/tillsynsmail/A 90-2024 tillsynsbegäran mail.docx", "A 90-2024")</f>
        <v/>
      </c>
    </row>
    <row r="90" ht="15" customHeight="1">
      <c r="A90" t="inlineStr">
        <is>
          <t>A 17444-2025</t>
        </is>
      </c>
      <c r="B90" s="1" t="n">
        <v>45757.43452546297</v>
      </c>
      <c r="C90" s="1" t="n">
        <v>46113</v>
      </c>
      <c r="D90" t="inlineStr">
        <is>
          <t>ÖSTERGÖTLANDS LÄN</t>
        </is>
      </c>
      <c r="E90" t="inlineStr">
        <is>
          <t>LINKÖPING</t>
        </is>
      </c>
      <c r="G90" t="n">
        <v>1.3</v>
      </c>
      <c r="H90" t="n">
        <v>1</v>
      </c>
      <c r="I90" t="n">
        <v>0</v>
      </c>
      <c r="J90" t="n">
        <v>1</v>
      </c>
      <c r="K90" t="n">
        <v>0</v>
      </c>
      <c r="L90" t="n">
        <v>0</v>
      </c>
      <c r="M90" t="n">
        <v>0</v>
      </c>
      <c r="N90" t="n">
        <v>0</v>
      </c>
      <c r="O90" t="n">
        <v>1</v>
      </c>
      <c r="P90" t="n">
        <v>0</v>
      </c>
      <c r="Q90" t="n">
        <v>1</v>
      </c>
      <c r="R90" s="2" t="inlineStr">
        <is>
          <t>Dårgräsfjäril</t>
        </is>
      </c>
      <c r="S90">
        <f>HYPERLINK("https://klasma.github.io/Logging_0580/artfynd/A 17444-2025 artfynd.xlsx", "A 17444-2025")</f>
        <v/>
      </c>
      <c r="T90">
        <f>HYPERLINK("https://klasma.github.io/Logging_0580/kartor/A 17444-2025 karta.png", "A 17444-2025")</f>
        <v/>
      </c>
      <c r="V90">
        <f>HYPERLINK("https://klasma.github.io/Logging_0580/klagomål/A 17444-2025 FSC-klagomål.docx", "A 17444-2025")</f>
        <v/>
      </c>
      <c r="W90">
        <f>HYPERLINK("https://klasma.github.io/Logging_0580/klagomålsmail/A 17444-2025 FSC-klagomål mail.docx", "A 17444-2025")</f>
        <v/>
      </c>
      <c r="X90">
        <f>HYPERLINK("https://klasma.github.io/Logging_0580/tillsyn/A 17444-2025 tillsynsbegäran.docx", "A 17444-2025")</f>
        <v/>
      </c>
      <c r="Y90">
        <f>HYPERLINK("https://klasma.github.io/Logging_0580/tillsynsmail/A 17444-2025 tillsynsbegäran mail.docx", "A 17444-2025")</f>
        <v/>
      </c>
    </row>
    <row r="91" ht="15" customHeight="1">
      <c r="A91" t="inlineStr">
        <is>
          <t>A 40309-2024</t>
        </is>
      </c>
      <c r="B91" s="1" t="n">
        <v>45554.724375</v>
      </c>
      <c r="C91" s="1" t="n">
        <v>46113</v>
      </c>
      <c r="D91" t="inlineStr">
        <is>
          <t>ÖSTERGÖTLANDS LÄN</t>
        </is>
      </c>
      <c r="E91" t="inlineStr">
        <is>
          <t>LINKÖPING</t>
        </is>
      </c>
      <c r="F91" t="inlineStr">
        <is>
          <t>Allmännings- och besparingsskogar</t>
        </is>
      </c>
      <c r="G91" t="n">
        <v>6</v>
      </c>
      <c r="H91" t="n">
        <v>0</v>
      </c>
      <c r="I91" t="n">
        <v>0</v>
      </c>
      <c r="J91" t="n">
        <v>1</v>
      </c>
      <c r="K91" t="n">
        <v>0</v>
      </c>
      <c r="L91" t="n">
        <v>0</v>
      </c>
      <c r="M91" t="n">
        <v>0</v>
      </c>
      <c r="N91" t="n">
        <v>0</v>
      </c>
      <c r="O91" t="n">
        <v>1</v>
      </c>
      <c r="P91" t="n">
        <v>0</v>
      </c>
      <c r="Q91" t="n">
        <v>1</v>
      </c>
      <c r="R91" s="2" t="inlineStr">
        <is>
          <t>Garnlav</t>
        </is>
      </c>
      <c r="S91">
        <f>HYPERLINK("https://klasma.github.io/Logging_0580/artfynd/A 40309-2024 artfynd.xlsx", "A 40309-2024")</f>
        <v/>
      </c>
      <c r="T91">
        <f>HYPERLINK("https://klasma.github.io/Logging_0580/kartor/A 40309-2024 karta.png", "A 40309-2024")</f>
        <v/>
      </c>
      <c r="V91">
        <f>HYPERLINK("https://klasma.github.io/Logging_0580/klagomål/A 40309-2024 FSC-klagomål.docx", "A 40309-2024")</f>
        <v/>
      </c>
      <c r="W91">
        <f>HYPERLINK("https://klasma.github.io/Logging_0580/klagomålsmail/A 40309-2024 FSC-klagomål mail.docx", "A 40309-2024")</f>
        <v/>
      </c>
      <c r="X91">
        <f>HYPERLINK("https://klasma.github.io/Logging_0580/tillsyn/A 40309-2024 tillsynsbegäran.docx", "A 40309-2024")</f>
        <v/>
      </c>
      <c r="Y91">
        <f>HYPERLINK("https://klasma.github.io/Logging_0580/tillsynsmail/A 40309-2024 tillsynsbegäran mail.docx", "A 40309-2024")</f>
        <v/>
      </c>
    </row>
    <row r="92" ht="15" customHeight="1">
      <c r="A92" t="inlineStr">
        <is>
          <t>A 15290-2025</t>
        </is>
      </c>
      <c r="B92" s="1" t="n">
        <v>45745.45288194445</v>
      </c>
      <c r="C92" s="1" t="n">
        <v>46113</v>
      </c>
      <c r="D92" t="inlineStr">
        <is>
          <t>ÖSTERGÖTLANDS LÄN</t>
        </is>
      </c>
      <c r="E92" t="inlineStr">
        <is>
          <t>LINKÖPING</t>
        </is>
      </c>
      <c r="G92" t="n">
        <v>18.4</v>
      </c>
      <c r="H92" t="n">
        <v>1</v>
      </c>
      <c r="I92" t="n">
        <v>0</v>
      </c>
      <c r="J92" t="n">
        <v>1</v>
      </c>
      <c r="K92" t="n">
        <v>0</v>
      </c>
      <c r="L92" t="n">
        <v>0</v>
      </c>
      <c r="M92" t="n">
        <v>0</v>
      </c>
      <c r="N92" t="n">
        <v>0</v>
      </c>
      <c r="O92" t="n">
        <v>1</v>
      </c>
      <c r="P92" t="n">
        <v>0</v>
      </c>
      <c r="Q92" t="n">
        <v>1</v>
      </c>
      <c r="R92" s="2" t="inlineStr">
        <is>
          <t>Havsörn</t>
        </is>
      </c>
      <c r="S92">
        <f>HYPERLINK("https://klasma.github.io/Logging_0580/artfynd/A 15290-2025 artfynd.xlsx", "A 15290-2025")</f>
        <v/>
      </c>
      <c r="T92">
        <f>HYPERLINK("https://klasma.github.io/Logging_0580/kartor/A 15290-2025 karta.png", "A 15290-2025")</f>
        <v/>
      </c>
      <c r="V92">
        <f>HYPERLINK("https://klasma.github.io/Logging_0580/klagomål/A 15290-2025 FSC-klagomål.docx", "A 15290-2025")</f>
        <v/>
      </c>
      <c r="W92">
        <f>HYPERLINK("https://klasma.github.io/Logging_0580/klagomålsmail/A 15290-2025 FSC-klagomål mail.docx", "A 15290-2025")</f>
        <v/>
      </c>
      <c r="X92">
        <f>HYPERLINK("https://klasma.github.io/Logging_0580/tillsyn/A 15290-2025 tillsynsbegäran.docx", "A 15290-2025")</f>
        <v/>
      </c>
      <c r="Y92">
        <f>HYPERLINK("https://klasma.github.io/Logging_0580/tillsynsmail/A 15290-2025 tillsynsbegäran mail.docx", "A 15290-2025")</f>
        <v/>
      </c>
      <c r="Z92">
        <f>HYPERLINK("https://klasma.github.io/Logging_0580/fåglar/A 15290-2025 prioriterade fågelarter.docx", "A 15290-2025")</f>
        <v/>
      </c>
    </row>
    <row r="93" ht="15" customHeight="1">
      <c r="A93" t="inlineStr">
        <is>
          <t>A 1716-2023</t>
        </is>
      </c>
      <c r="B93" s="1" t="n">
        <v>44938</v>
      </c>
      <c r="C93" s="1" t="n">
        <v>46113</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1716-2023 artfynd.xlsx", "A 1716-2023")</f>
        <v/>
      </c>
      <c r="T93">
        <f>HYPERLINK("https://klasma.github.io/Logging_0580/kartor/A 1716-2023 karta.png", "A 1716-2023")</f>
        <v/>
      </c>
      <c r="V93">
        <f>HYPERLINK("https://klasma.github.io/Logging_0580/klagomål/A 1716-2023 FSC-klagomål.docx", "A 1716-2023")</f>
        <v/>
      </c>
      <c r="W93">
        <f>HYPERLINK("https://klasma.github.io/Logging_0580/klagomålsmail/A 1716-2023 FSC-klagomål mail.docx", "A 1716-2023")</f>
        <v/>
      </c>
      <c r="X93">
        <f>HYPERLINK("https://klasma.github.io/Logging_0580/tillsyn/A 1716-2023 tillsynsbegäran.docx", "A 1716-2023")</f>
        <v/>
      </c>
      <c r="Y93">
        <f>HYPERLINK("https://klasma.github.io/Logging_0580/tillsynsmail/A 1716-2023 tillsynsbegäran mail.docx", "A 1716-2023")</f>
        <v/>
      </c>
    </row>
    <row r="94" ht="15" customHeight="1">
      <c r="A94" t="inlineStr">
        <is>
          <t>A 931-2025</t>
        </is>
      </c>
      <c r="B94" s="1" t="n">
        <v>45665.88498842593</v>
      </c>
      <c r="C94" s="1" t="n">
        <v>46113</v>
      </c>
      <c r="D94" t="inlineStr">
        <is>
          <t>ÖSTERGÖTLANDS LÄN</t>
        </is>
      </c>
      <c r="E94" t="inlineStr">
        <is>
          <t>LINKÖPING</t>
        </is>
      </c>
      <c r="F94" t="inlineStr">
        <is>
          <t>Övriga Aktiebolag</t>
        </is>
      </c>
      <c r="G94" t="n">
        <v>0.8</v>
      </c>
      <c r="H94" t="n">
        <v>0</v>
      </c>
      <c r="I94" t="n">
        <v>0</v>
      </c>
      <c r="J94" t="n">
        <v>1</v>
      </c>
      <c r="K94" t="n">
        <v>0</v>
      </c>
      <c r="L94" t="n">
        <v>0</v>
      </c>
      <c r="M94" t="n">
        <v>0</v>
      </c>
      <c r="N94" t="n">
        <v>0</v>
      </c>
      <c r="O94" t="n">
        <v>1</v>
      </c>
      <c r="P94" t="n">
        <v>0</v>
      </c>
      <c r="Q94" t="n">
        <v>1</v>
      </c>
      <c r="R94" s="2" t="inlineStr">
        <is>
          <t>Tallticka</t>
        </is>
      </c>
      <c r="S94">
        <f>HYPERLINK("https://klasma.github.io/Logging_0580/artfynd/A 931-2025 artfynd.xlsx", "A 931-2025")</f>
        <v/>
      </c>
      <c r="T94">
        <f>HYPERLINK("https://klasma.github.io/Logging_0580/kartor/A 931-2025 karta.png", "A 931-2025")</f>
        <v/>
      </c>
      <c r="V94">
        <f>HYPERLINK("https://klasma.github.io/Logging_0580/klagomål/A 931-2025 FSC-klagomål.docx", "A 931-2025")</f>
        <v/>
      </c>
      <c r="W94">
        <f>HYPERLINK("https://klasma.github.io/Logging_0580/klagomålsmail/A 931-2025 FSC-klagomål mail.docx", "A 931-2025")</f>
        <v/>
      </c>
      <c r="X94">
        <f>HYPERLINK("https://klasma.github.io/Logging_0580/tillsyn/A 931-2025 tillsynsbegäran.docx", "A 931-2025")</f>
        <v/>
      </c>
      <c r="Y94">
        <f>HYPERLINK("https://klasma.github.io/Logging_0580/tillsynsmail/A 931-2025 tillsynsbegäran mail.docx", "A 931-2025")</f>
        <v/>
      </c>
    </row>
    <row r="95" ht="15" customHeight="1">
      <c r="A95" t="inlineStr">
        <is>
          <t>A 126-2024</t>
        </is>
      </c>
      <c r="B95" s="1" t="n">
        <v>45294</v>
      </c>
      <c r="C95" s="1" t="n">
        <v>46113</v>
      </c>
      <c r="D95" t="inlineStr">
        <is>
          <t>ÖSTERGÖTLANDS LÄN</t>
        </is>
      </c>
      <c r="E95" t="inlineStr">
        <is>
          <t>LINKÖPING</t>
        </is>
      </c>
      <c r="G95" t="n">
        <v>1</v>
      </c>
      <c r="H95" t="n">
        <v>0</v>
      </c>
      <c r="I95" t="n">
        <v>1</v>
      </c>
      <c r="J95" t="n">
        <v>0</v>
      </c>
      <c r="K95" t="n">
        <v>0</v>
      </c>
      <c r="L95" t="n">
        <v>0</v>
      </c>
      <c r="M95" t="n">
        <v>0</v>
      </c>
      <c r="N95" t="n">
        <v>0</v>
      </c>
      <c r="O95" t="n">
        <v>0</v>
      </c>
      <c r="P95" t="n">
        <v>0</v>
      </c>
      <c r="Q95" t="n">
        <v>1</v>
      </c>
      <c r="R95" s="2" t="inlineStr">
        <is>
          <t>Blåmossa</t>
        </is>
      </c>
      <c r="S95">
        <f>HYPERLINK("https://klasma.github.io/Logging_0580/artfynd/A 126-2024 artfynd.xlsx", "A 126-2024")</f>
        <v/>
      </c>
      <c r="T95">
        <f>HYPERLINK("https://klasma.github.io/Logging_0580/kartor/A 126-2024 karta.png", "A 126-2024")</f>
        <v/>
      </c>
      <c r="V95">
        <f>HYPERLINK("https://klasma.github.io/Logging_0580/klagomål/A 126-2024 FSC-klagomål.docx", "A 126-2024")</f>
        <v/>
      </c>
      <c r="W95">
        <f>HYPERLINK("https://klasma.github.io/Logging_0580/klagomålsmail/A 126-2024 FSC-klagomål mail.docx", "A 126-2024")</f>
        <v/>
      </c>
      <c r="X95">
        <f>HYPERLINK("https://klasma.github.io/Logging_0580/tillsyn/A 126-2024 tillsynsbegäran.docx", "A 126-2024")</f>
        <v/>
      </c>
      <c r="Y95">
        <f>HYPERLINK("https://klasma.github.io/Logging_0580/tillsynsmail/A 126-2024 tillsynsbegäran mail.docx", "A 126-2024")</f>
        <v/>
      </c>
    </row>
    <row r="96" ht="15" customHeight="1">
      <c r="A96" t="inlineStr">
        <is>
          <t>A 3395-2023</t>
        </is>
      </c>
      <c r="B96" s="1" t="n">
        <v>44949</v>
      </c>
      <c r="C96" s="1" t="n">
        <v>46113</v>
      </c>
      <c r="D96" t="inlineStr">
        <is>
          <t>ÖSTERGÖTLANDS LÄN</t>
        </is>
      </c>
      <c r="E96" t="inlineStr">
        <is>
          <t>LINKÖPING</t>
        </is>
      </c>
      <c r="G96" t="n">
        <v>2</v>
      </c>
      <c r="H96" t="n">
        <v>0</v>
      </c>
      <c r="I96" t="n">
        <v>0</v>
      </c>
      <c r="J96" t="n">
        <v>1</v>
      </c>
      <c r="K96" t="n">
        <v>0</v>
      </c>
      <c r="L96" t="n">
        <v>0</v>
      </c>
      <c r="M96" t="n">
        <v>0</v>
      </c>
      <c r="N96" t="n">
        <v>0</v>
      </c>
      <c r="O96" t="n">
        <v>1</v>
      </c>
      <c r="P96" t="n">
        <v>0</v>
      </c>
      <c r="Q96" t="n">
        <v>1</v>
      </c>
      <c r="R96" s="2" t="inlineStr">
        <is>
          <t>Sommarfibbla</t>
        </is>
      </c>
      <c r="S96">
        <f>HYPERLINK("https://klasma.github.io/Logging_0580/artfynd/A 3395-2023 artfynd.xlsx", "A 3395-2023")</f>
        <v/>
      </c>
      <c r="T96">
        <f>HYPERLINK("https://klasma.github.io/Logging_0580/kartor/A 3395-2023 karta.png", "A 3395-2023")</f>
        <v/>
      </c>
      <c r="V96">
        <f>HYPERLINK("https://klasma.github.io/Logging_0580/klagomål/A 3395-2023 FSC-klagomål.docx", "A 3395-2023")</f>
        <v/>
      </c>
      <c r="W96">
        <f>HYPERLINK("https://klasma.github.io/Logging_0580/klagomålsmail/A 3395-2023 FSC-klagomål mail.docx", "A 3395-2023")</f>
        <v/>
      </c>
      <c r="X96">
        <f>HYPERLINK("https://klasma.github.io/Logging_0580/tillsyn/A 3395-2023 tillsynsbegäran.docx", "A 3395-2023")</f>
        <v/>
      </c>
      <c r="Y96">
        <f>HYPERLINK("https://klasma.github.io/Logging_0580/tillsynsmail/A 3395-2023 tillsynsbegäran mail.docx", "A 3395-2023")</f>
        <v/>
      </c>
    </row>
    <row r="97" ht="15" customHeight="1">
      <c r="A97" t="inlineStr">
        <is>
          <t>A 3397-2023</t>
        </is>
      </c>
      <c r="B97" s="1" t="n">
        <v>44949</v>
      </c>
      <c r="C97" s="1" t="n">
        <v>46113</v>
      </c>
      <c r="D97" t="inlineStr">
        <is>
          <t>ÖSTERGÖTLANDS LÄN</t>
        </is>
      </c>
      <c r="E97" t="inlineStr">
        <is>
          <t>LINKÖPING</t>
        </is>
      </c>
      <c r="G97" t="n">
        <v>4.1</v>
      </c>
      <c r="H97" t="n">
        <v>0</v>
      </c>
      <c r="I97" t="n">
        <v>0</v>
      </c>
      <c r="J97" t="n">
        <v>1</v>
      </c>
      <c r="K97" t="n">
        <v>0</v>
      </c>
      <c r="L97" t="n">
        <v>0</v>
      </c>
      <c r="M97" t="n">
        <v>0</v>
      </c>
      <c r="N97" t="n">
        <v>0</v>
      </c>
      <c r="O97" t="n">
        <v>1</v>
      </c>
      <c r="P97" t="n">
        <v>0</v>
      </c>
      <c r="Q97" t="n">
        <v>1</v>
      </c>
      <c r="R97" s="2" t="inlineStr">
        <is>
          <t>Svinrot</t>
        </is>
      </c>
      <c r="S97">
        <f>HYPERLINK("https://klasma.github.io/Logging_0580/artfynd/A 3397-2023 artfynd.xlsx", "A 3397-2023")</f>
        <v/>
      </c>
      <c r="T97">
        <f>HYPERLINK("https://klasma.github.io/Logging_0580/kartor/A 3397-2023 karta.png", "A 3397-2023")</f>
        <v/>
      </c>
      <c r="V97">
        <f>HYPERLINK("https://klasma.github.io/Logging_0580/klagomål/A 3397-2023 FSC-klagomål.docx", "A 3397-2023")</f>
        <v/>
      </c>
      <c r="W97">
        <f>HYPERLINK("https://klasma.github.io/Logging_0580/klagomålsmail/A 3397-2023 FSC-klagomål mail.docx", "A 3397-2023")</f>
        <v/>
      </c>
      <c r="X97">
        <f>HYPERLINK("https://klasma.github.io/Logging_0580/tillsyn/A 3397-2023 tillsynsbegäran.docx", "A 3397-2023")</f>
        <v/>
      </c>
      <c r="Y97">
        <f>HYPERLINK("https://klasma.github.io/Logging_0580/tillsynsmail/A 3397-2023 tillsynsbegäran mail.docx", "A 3397-2023")</f>
        <v/>
      </c>
    </row>
    <row r="98" ht="15" customHeight="1">
      <c r="A98" t="inlineStr">
        <is>
          <t>A 38881-2021</t>
        </is>
      </c>
      <c r="B98" s="1" t="n">
        <v>44411.46893518518</v>
      </c>
      <c r="C98" s="1" t="n">
        <v>46113</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46113</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46113</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46113</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46113</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46113</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46113</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46113</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46113</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46113</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46113</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46113</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46113</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46113</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46113</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46113</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46113</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46113</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46113</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46113</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46113</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46113</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46113</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46113</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46113</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46113</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46113</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46113</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46113</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46113</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46113</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46113</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46113</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46113</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46113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46113</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46113</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46113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46113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46113</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46113</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46113</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46113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46113</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46113</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46113</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46113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46113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46113</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46113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46113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46113</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46113</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46113</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46113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46113</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46113</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46113</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46113</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46113</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46113</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46113</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46113</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46113</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46113</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46113</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46113</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46113</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46113</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46113</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46113</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46113</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46113</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46113</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46113</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46113</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46113</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46113</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46113</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46113</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46113</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46113</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46113</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46113</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19254-2021</t>
        </is>
      </c>
      <c r="B182" s="1" t="n">
        <v>44309.38962962963</v>
      </c>
      <c r="C182" s="1" t="n">
        <v>46113</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46113</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46113</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46113</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46490-2022</t>
        </is>
      </c>
      <c r="B186" s="1" t="n">
        <v>44848</v>
      </c>
      <c r="C186" s="1" t="n">
        <v>46113</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46113</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9473-2024</t>
        </is>
      </c>
      <c r="B188" s="1" t="n">
        <v>45359.55474537037</v>
      </c>
      <c r="C188" s="1" t="n">
        <v>46113</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10797-2024</t>
        </is>
      </c>
      <c r="B189" s="1" t="n">
        <v>45369.6190162037</v>
      </c>
      <c r="C189" s="1" t="n">
        <v>46113</v>
      </c>
      <c r="D189" t="inlineStr">
        <is>
          <t>ÖSTERGÖTLANDS LÄN</t>
        </is>
      </c>
      <c r="E189" t="inlineStr">
        <is>
          <t>LINKÖPING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22264-2025</t>
        </is>
      </c>
      <c r="B190" s="1" t="n">
        <v>45785</v>
      </c>
      <c r="C190" s="1" t="n">
        <v>46113</v>
      </c>
      <c r="D190" t="inlineStr">
        <is>
          <t>ÖSTERGÖTLANDS LÄN</t>
        </is>
      </c>
      <c r="E190" t="inlineStr">
        <is>
          <t>LINKÖPING</t>
        </is>
      </c>
      <c r="G190" t="n">
        <v>1.1</v>
      </c>
      <c r="H190" t="n">
        <v>0</v>
      </c>
      <c r="I190" t="n">
        <v>0</v>
      </c>
      <c r="J190" t="n">
        <v>0</v>
      </c>
      <c r="K190" t="n">
        <v>0</v>
      </c>
      <c r="L190" t="n">
        <v>0</v>
      </c>
      <c r="M190" t="n">
        <v>0</v>
      </c>
      <c r="N190" t="n">
        <v>0</v>
      </c>
      <c r="O190" t="n">
        <v>0</v>
      </c>
      <c r="P190" t="n">
        <v>0</v>
      </c>
      <c r="Q190" t="n">
        <v>0</v>
      </c>
      <c r="R190" s="2" t="inlineStr"/>
    </row>
    <row r="191" ht="15" customHeight="1">
      <c r="A191" t="inlineStr">
        <is>
          <t>A 14028-2024</t>
        </is>
      </c>
      <c r="B191" s="1" t="n">
        <v>45392</v>
      </c>
      <c r="C191" s="1" t="n">
        <v>46113</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31732-2022</t>
        </is>
      </c>
      <c r="B192" s="1" t="n">
        <v>44776.49267361111</v>
      </c>
      <c r="C192" s="1" t="n">
        <v>46113</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6859-2024</t>
        </is>
      </c>
      <c r="B193" s="1" t="n">
        <v>45342</v>
      </c>
      <c r="C193" s="1" t="n">
        <v>46113</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3008-2023</t>
        </is>
      </c>
      <c r="B194" s="1" t="n">
        <v>44945.79784722222</v>
      </c>
      <c r="C194" s="1" t="n">
        <v>46113</v>
      </c>
      <c r="D194" t="inlineStr">
        <is>
          <t>ÖSTERGÖTLANDS LÄN</t>
        </is>
      </c>
      <c r="E194" t="inlineStr">
        <is>
          <t>LINKÖPING</t>
        </is>
      </c>
      <c r="G194" t="n">
        <v>19.3</v>
      </c>
      <c r="H194" t="n">
        <v>0</v>
      </c>
      <c r="I194" t="n">
        <v>0</v>
      </c>
      <c r="J194" t="n">
        <v>0</v>
      </c>
      <c r="K194" t="n">
        <v>0</v>
      </c>
      <c r="L194" t="n">
        <v>0</v>
      </c>
      <c r="M194" t="n">
        <v>0</v>
      </c>
      <c r="N194" t="n">
        <v>0</v>
      </c>
      <c r="O194" t="n">
        <v>0</v>
      </c>
      <c r="P194" t="n">
        <v>0</v>
      </c>
      <c r="Q194" t="n">
        <v>0</v>
      </c>
      <c r="R194" s="2" t="inlineStr"/>
    </row>
    <row r="195" ht="15" customHeight="1">
      <c r="A195" t="inlineStr">
        <is>
          <t>A 38580-2024</t>
        </is>
      </c>
      <c r="B195" s="1" t="n">
        <v>45546.64825231482</v>
      </c>
      <c r="C195" s="1" t="n">
        <v>46113</v>
      </c>
      <c r="D195" t="inlineStr">
        <is>
          <t>ÖSTERGÖTLANDS LÄN</t>
        </is>
      </c>
      <c r="E195" t="inlineStr">
        <is>
          <t>LINKÖPING</t>
        </is>
      </c>
      <c r="G195" t="n">
        <v>4.8</v>
      </c>
      <c r="H195" t="n">
        <v>0</v>
      </c>
      <c r="I195" t="n">
        <v>0</v>
      </c>
      <c r="J195" t="n">
        <v>0</v>
      </c>
      <c r="K195" t="n">
        <v>0</v>
      </c>
      <c r="L195" t="n">
        <v>0</v>
      </c>
      <c r="M195" t="n">
        <v>0</v>
      </c>
      <c r="N195" t="n">
        <v>0</v>
      </c>
      <c r="O195" t="n">
        <v>0</v>
      </c>
      <c r="P195" t="n">
        <v>0</v>
      </c>
      <c r="Q195" t="n">
        <v>0</v>
      </c>
      <c r="R195" s="2" t="inlineStr"/>
    </row>
    <row r="196" ht="15" customHeight="1">
      <c r="A196" t="inlineStr">
        <is>
          <t>A 572-2025</t>
        </is>
      </c>
      <c r="B196" s="1" t="n">
        <v>45664.56349537037</v>
      </c>
      <c r="C196" s="1" t="n">
        <v>46113</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22364-2025</t>
        </is>
      </c>
      <c r="B197" s="1" t="n">
        <v>45786.46930555555</v>
      </c>
      <c r="C197" s="1" t="n">
        <v>46113</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44287-2024</t>
        </is>
      </c>
      <c r="B198" s="1" t="n">
        <v>45573.50582175926</v>
      </c>
      <c r="C198" s="1" t="n">
        <v>46113</v>
      </c>
      <c r="D198" t="inlineStr">
        <is>
          <t>ÖSTERGÖTLANDS LÄN</t>
        </is>
      </c>
      <c r="E198" t="inlineStr">
        <is>
          <t>LINKÖPING</t>
        </is>
      </c>
      <c r="G198" t="n">
        <v>12.7</v>
      </c>
      <c r="H198" t="n">
        <v>0</v>
      </c>
      <c r="I198" t="n">
        <v>0</v>
      </c>
      <c r="J198" t="n">
        <v>0</v>
      </c>
      <c r="K198" t="n">
        <v>0</v>
      </c>
      <c r="L198" t="n">
        <v>0</v>
      </c>
      <c r="M198" t="n">
        <v>0</v>
      </c>
      <c r="N198" t="n">
        <v>0</v>
      </c>
      <c r="O198" t="n">
        <v>0</v>
      </c>
      <c r="P198" t="n">
        <v>0</v>
      </c>
      <c r="Q198" t="n">
        <v>0</v>
      </c>
      <c r="R198" s="2" t="inlineStr"/>
    </row>
    <row r="199" ht="15" customHeight="1">
      <c r="A199" t="inlineStr">
        <is>
          <t>A 55345-2021</t>
        </is>
      </c>
      <c r="B199" s="1" t="n">
        <v>44475</v>
      </c>
      <c r="C199" s="1" t="n">
        <v>46113</v>
      </c>
      <c r="D199" t="inlineStr">
        <is>
          <t>ÖSTERGÖTLANDS LÄN</t>
        </is>
      </c>
      <c r="E199" t="inlineStr">
        <is>
          <t>LINKÖPING</t>
        </is>
      </c>
      <c r="G199" t="n">
        <v>5.7</v>
      </c>
      <c r="H199" t="n">
        <v>0</v>
      </c>
      <c r="I199" t="n">
        <v>0</v>
      </c>
      <c r="J199" t="n">
        <v>0</v>
      </c>
      <c r="K199" t="n">
        <v>0</v>
      </c>
      <c r="L199" t="n">
        <v>0</v>
      </c>
      <c r="M199" t="n">
        <v>0</v>
      </c>
      <c r="N199" t="n">
        <v>0</v>
      </c>
      <c r="O199" t="n">
        <v>0</v>
      </c>
      <c r="P199" t="n">
        <v>0</v>
      </c>
      <c r="Q199" t="n">
        <v>0</v>
      </c>
      <c r="R199" s="2" t="inlineStr"/>
    </row>
    <row r="200" ht="15" customHeight="1">
      <c r="A200" t="inlineStr">
        <is>
          <t>A 61302-2021</t>
        </is>
      </c>
      <c r="B200" s="1" t="n">
        <v>44498.63189814815</v>
      </c>
      <c r="C200" s="1" t="n">
        <v>46113</v>
      </c>
      <c r="D200" t="inlineStr">
        <is>
          <t>ÖSTERGÖTLANDS LÄN</t>
        </is>
      </c>
      <c r="E200" t="inlineStr">
        <is>
          <t>LINKÖPING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29312-2024</t>
        </is>
      </c>
      <c r="B201" s="1" t="n">
        <v>45483</v>
      </c>
      <c r="C201" s="1" t="n">
        <v>46113</v>
      </c>
      <c r="D201" t="inlineStr">
        <is>
          <t>ÖSTERGÖTLANDS LÄN</t>
        </is>
      </c>
      <c r="E201" t="inlineStr">
        <is>
          <t>LINKÖPING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14667-2024</t>
        </is>
      </c>
      <c r="B202" s="1" t="n">
        <v>45397.42005787037</v>
      </c>
      <c r="C202" s="1" t="n">
        <v>46113</v>
      </c>
      <c r="D202" t="inlineStr">
        <is>
          <t>ÖSTERGÖTLANDS LÄN</t>
        </is>
      </c>
      <c r="E202" t="inlineStr">
        <is>
          <t>LINKÖPING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2697-2023</t>
        </is>
      </c>
      <c r="B203" s="1" t="n">
        <v>44944</v>
      </c>
      <c r="C203" s="1" t="n">
        <v>46113</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53641-2023</t>
        </is>
      </c>
      <c r="B204" s="1" t="n">
        <v>45230</v>
      </c>
      <c r="C204" s="1" t="n">
        <v>46113</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41426-2022</t>
        </is>
      </c>
      <c r="B205" s="1" t="n">
        <v>44826</v>
      </c>
      <c r="C205" s="1" t="n">
        <v>46113</v>
      </c>
      <c r="D205" t="inlineStr">
        <is>
          <t>ÖSTERGÖTLANDS LÄN</t>
        </is>
      </c>
      <c r="E205" t="inlineStr">
        <is>
          <t>LINKÖPING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48707-2023</t>
        </is>
      </c>
      <c r="B206" s="1" t="n">
        <v>45202</v>
      </c>
      <c r="C206" s="1" t="n">
        <v>46113</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61281-2021</t>
        </is>
      </c>
      <c r="B207" s="1" t="n">
        <v>44498.60736111111</v>
      </c>
      <c r="C207" s="1" t="n">
        <v>46113</v>
      </c>
      <c r="D207" t="inlineStr">
        <is>
          <t>ÖSTERGÖTLANDS LÄN</t>
        </is>
      </c>
      <c r="E207" t="inlineStr">
        <is>
          <t>LINKÖPING</t>
        </is>
      </c>
      <c r="G207" t="n">
        <v>4.5</v>
      </c>
      <c r="H207" t="n">
        <v>0</v>
      </c>
      <c r="I207" t="n">
        <v>0</v>
      </c>
      <c r="J207" t="n">
        <v>0</v>
      </c>
      <c r="K207" t="n">
        <v>0</v>
      </c>
      <c r="L207" t="n">
        <v>0</v>
      </c>
      <c r="M207" t="n">
        <v>0</v>
      </c>
      <c r="N207" t="n">
        <v>0</v>
      </c>
      <c r="O207" t="n">
        <v>0</v>
      </c>
      <c r="P207" t="n">
        <v>0</v>
      </c>
      <c r="Q207" t="n">
        <v>0</v>
      </c>
      <c r="R207" s="2" t="inlineStr"/>
    </row>
    <row r="208" ht="15" customHeight="1">
      <c r="A208" t="inlineStr">
        <is>
          <t>A 34162-2022</t>
        </is>
      </c>
      <c r="B208" s="1" t="n">
        <v>44791</v>
      </c>
      <c r="C208" s="1" t="n">
        <v>46113</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63935-2021</t>
        </is>
      </c>
      <c r="B209" s="1" t="n">
        <v>44509</v>
      </c>
      <c r="C209" s="1" t="n">
        <v>46113</v>
      </c>
      <c r="D209" t="inlineStr">
        <is>
          <t>ÖSTERGÖTLANDS LÄN</t>
        </is>
      </c>
      <c r="E209" t="inlineStr">
        <is>
          <t>LINKÖPING</t>
        </is>
      </c>
      <c r="F209" t="inlineStr">
        <is>
          <t>Övriga statliga verk och myndigheter</t>
        </is>
      </c>
      <c r="G209" t="n">
        <v>2.8</v>
      </c>
      <c r="H209" t="n">
        <v>0</v>
      </c>
      <c r="I209" t="n">
        <v>0</v>
      </c>
      <c r="J209" t="n">
        <v>0</v>
      </c>
      <c r="K209" t="n">
        <v>0</v>
      </c>
      <c r="L209" t="n">
        <v>0</v>
      </c>
      <c r="M209" t="n">
        <v>0</v>
      </c>
      <c r="N209" t="n">
        <v>0</v>
      </c>
      <c r="O209" t="n">
        <v>0</v>
      </c>
      <c r="P209" t="n">
        <v>0</v>
      </c>
      <c r="Q209" t="n">
        <v>0</v>
      </c>
      <c r="R209" s="2" t="inlineStr"/>
    </row>
    <row r="210" ht="15" customHeight="1">
      <c r="A210" t="inlineStr">
        <is>
          <t>A 53411-2023</t>
        </is>
      </c>
      <c r="B210" s="1" t="n">
        <v>45229.81049768518</v>
      </c>
      <c r="C210" s="1" t="n">
        <v>46113</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61298-2021</t>
        </is>
      </c>
      <c r="B211" s="1" t="n">
        <v>44498.62533564815</v>
      </c>
      <c r="C211" s="1" t="n">
        <v>46113</v>
      </c>
      <c r="D211" t="inlineStr">
        <is>
          <t>ÖSTERGÖTLANDS LÄN</t>
        </is>
      </c>
      <c r="E211" t="inlineStr">
        <is>
          <t>LINKÖPING</t>
        </is>
      </c>
      <c r="G211" t="n">
        <v>4.3</v>
      </c>
      <c r="H211" t="n">
        <v>0</v>
      </c>
      <c r="I211" t="n">
        <v>0</v>
      </c>
      <c r="J211" t="n">
        <v>0</v>
      </c>
      <c r="K211" t="n">
        <v>0</v>
      </c>
      <c r="L211" t="n">
        <v>0</v>
      </c>
      <c r="M211" t="n">
        <v>0</v>
      </c>
      <c r="N211" t="n">
        <v>0</v>
      </c>
      <c r="O211" t="n">
        <v>0</v>
      </c>
      <c r="P211" t="n">
        <v>0</v>
      </c>
      <c r="Q211" t="n">
        <v>0</v>
      </c>
      <c r="R211" s="2" t="inlineStr"/>
    </row>
    <row r="212" ht="15" customHeight="1">
      <c r="A212" t="inlineStr">
        <is>
          <t>A 61333-2021</t>
        </is>
      </c>
      <c r="B212" s="1" t="n">
        <v>44498.6764699074</v>
      </c>
      <c r="C212" s="1" t="n">
        <v>46113</v>
      </c>
      <c r="D212" t="inlineStr">
        <is>
          <t>ÖSTERGÖTLANDS LÄN</t>
        </is>
      </c>
      <c r="E212" t="inlineStr">
        <is>
          <t>LINKÖPING</t>
        </is>
      </c>
      <c r="G212" t="n">
        <v>7.5</v>
      </c>
      <c r="H212" t="n">
        <v>0</v>
      </c>
      <c r="I212" t="n">
        <v>0</v>
      </c>
      <c r="J212" t="n">
        <v>0</v>
      </c>
      <c r="K212" t="n">
        <v>0</v>
      </c>
      <c r="L212" t="n">
        <v>0</v>
      </c>
      <c r="M212" t="n">
        <v>0</v>
      </c>
      <c r="N212" t="n">
        <v>0</v>
      </c>
      <c r="O212" t="n">
        <v>0</v>
      </c>
      <c r="P212" t="n">
        <v>0</v>
      </c>
      <c r="Q212" t="n">
        <v>0</v>
      </c>
      <c r="R212" s="2" t="inlineStr"/>
    </row>
    <row r="213" ht="15" customHeight="1">
      <c r="A213" t="inlineStr">
        <is>
          <t>A 12412-2022</t>
        </is>
      </c>
      <c r="B213" s="1" t="n">
        <v>44638</v>
      </c>
      <c r="C213" s="1" t="n">
        <v>46113</v>
      </c>
      <c r="D213" t="inlineStr">
        <is>
          <t>ÖSTERGÖTLANDS LÄN</t>
        </is>
      </c>
      <c r="E213" t="inlineStr">
        <is>
          <t>LINKÖPING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56741-2023</t>
        </is>
      </c>
      <c r="B214" s="1" t="n">
        <v>45244</v>
      </c>
      <c r="C214" s="1" t="n">
        <v>46113</v>
      </c>
      <c r="D214" t="inlineStr">
        <is>
          <t>ÖSTERGÖTLANDS LÄN</t>
        </is>
      </c>
      <c r="E214" t="inlineStr">
        <is>
          <t>LINKÖPING</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25292-2021</t>
        </is>
      </c>
      <c r="B215" s="1" t="n">
        <v>44342</v>
      </c>
      <c r="C215" s="1" t="n">
        <v>46113</v>
      </c>
      <c r="D215" t="inlineStr">
        <is>
          <t>ÖSTERGÖTLANDS LÄN</t>
        </is>
      </c>
      <c r="E215" t="inlineStr">
        <is>
          <t>LINKÖPING</t>
        </is>
      </c>
      <c r="F215" t="inlineStr">
        <is>
          <t>Övriga Aktiebolag</t>
        </is>
      </c>
      <c r="G215" t="n">
        <v>12.8</v>
      </c>
      <c r="H215" t="n">
        <v>0</v>
      </c>
      <c r="I215" t="n">
        <v>0</v>
      </c>
      <c r="J215" t="n">
        <v>0</v>
      </c>
      <c r="K215" t="n">
        <v>0</v>
      </c>
      <c r="L215" t="n">
        <v>0</v>
      </c>
      <c r="M215" t="n">
        <v>0</v>
      </c>
      <c r="N215" t="n">
        <v>0</v>
      </c>
      <c r="O215" t="n">
        <v>0</v>
      </c>
      <c r="P215" t="n">
        <v>0</v>
      </c>
      <c r="Q215" t="n">
        <v>0</v>
      </c>
      <c r="R215" s="2" t="inlineStr"/>
    </row>
    <row r="216" ht="15" customHeight="1">
      <c r="A216" t="inlineStr">
        <is>
          <t>A 56792-2023</t>
        </is>
      </c>
      <c r="B216" s="1" t="n">
        <v>45244</v>
      </c>
      <c r="C216" s="1" t="n">
        <v>46113</v>
      </c>
      <c r="D216" t="inlineStr">
        <is>
          <t>ÖSTERGÖTLANDS LÄN</t>
        </is>
      </c>
      <c r="E216" t="inlineStr">
        <is>
          <t>LINKÖPING</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3007-2023</t>
        </is>
      </c>
      <c r="B217" s="1" t="n">
        <v>44945</v>
      </c>
      <c r="C217" s="1" t="n">
        <v>46113</v>
      </c>
      <c r="D217" t="inlineStr">
        <is>
          <t>ÖSTERGÖTLANDS LÄN</t>
        </is>
      </c>
      <c r="E217" t="inlineStr">
        <is>
          <t>LINKÖPING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40338-2024</t>
        </is>
      </c>
      <c r="B218" s="1" t="n">
        <v>45555.32940972222</v>
      </c>
      <c r="C218" s="1" t="n">
        <v>46113</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3013-2023</t>
        </is>
      </c>
      <c r="B219" s="1" t="n">
        <v>44945.8092824074</v>
      </c>
      <c r="C219" s="1" t="n">
        <v>46113</v>
      </c>
      <c r="D219" t="inlineStr">
        <is>
          <t>ÖSTERGÖTLANDS LÄN</t>
        </is>
      </c>
      <c r="E219" t="inlineStr">
        <is>
          <t>LINKÖPING</t>
        </is>
      </c>
      <c r="G219" t="n">
        <v>5.2</v>
      </c>
      <c r="H219" t="n">
        <v>0</v>
      </c>
      <c r="I219" t="n">
        <v>0</v>
      </c>
      <c r="J219" t="n">
        <v>0</v>
      </c>
      <c r="K219" t="n">
        <v>0</v>
      </c>
      <c r="L219" t="n">
        <v>0</v>
      </c>
      <c r="M219" t="n">
        <v>0</v>
      </c>
      <c r="N219" t="n">
        <v>0</v>
      </c>
      <c r="O219" t="n">
        <v>0</v>
      </c>
      <c r="P219" t="n">
        <v>0</v>
      </c>
      <c r="Q219" t="n">
        <v>0</v>
      </c>
      <c r="R219" s="2" t="inlineStr"/>
    </row>
    <row r="220" ht="15" customHeight="1">
      <c r="A220" t="inlineStr">
        <is>
          <t>A 23120-2025</t>
        </is>
      </c>
      <c r="B220" s="1" t="n">
        <v>45791.37481481482</v>
      </c>
      <c r="C220" s="1" t="n">
        <v>46113</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55945-2024</t>
        </is>
      </c>
      <c r="B221" s="1" t="n">
        <v>45623.61754629629</v>
      </c>
      <c r="C221" s="1" t="n">
        <v>46113</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46113</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2618-2023</t>
        </is>
      </c>
      <c r="B223" s="1" t="n">
        <v>44944.35847222222</v>
      </c>
      <c r="C223" s="1" t="n">
        <v>46113</v>
      </c>
      <c r="D223" t="inlineStr">
        <is>
          <t>ÖSTERGÖTLANDS LÄN</t>
        </is>
      </c>
      <c r="E223" t="inlineStr">
        <is>
          <t>LINKÖPING</t>
        </is>
      </c>
      <c r="G223" t="n">
        <v>4.3</v>
      </c>
      <c r="H223" t="n">
        <v>0</v>
      </c>
      <c r="I223" t="n">
        <v>0</v>
      </c>
      <c r="J223" t="n">
        <v>0</v>
      </c>
      <c r="K223" t="n">
        <v>0</v>
      </c>
      <c r="L223" t="n">
        <v>0</v>
      </c>
      <c r="M223" t="n">
        <v>0</v>
      </c>
      <c r="N223" t="n">
        <v>0</v>
      </c>
      <c r="O223" t="n">
        <v>0</v>
      </c>
      <c r="P223" t="n">
        <v>0</v>
      </c>
      <c r="Q223" t="n">
        <v>0</v>
      </c>
      <c r="R223" s="2" t="inlineStr"/>
    </row>
    <row r="224" ht="15" customHeight="1">
      <c r="A224" t="inlineStr">
        <is>
          <t>A 10203-2023</t>
        </is>
      </c>
      <c r="B224" s="1" t="n">
        <v>44986.55711805556</v>
      </c>
      <c r="C224" s="1" t="n">
        <v>46113</v>
      </c>
      <c r="D224" t="inlineStr">
        <is>
          <t>ÖSTERGÖTLANDS LÄN</t>
        </is>
      </c>
      <c r="E224" t="inlineStr">
        <is>
          <t>LINKÖPING</t>
        </is>
      </c>
      <c r="G224" t="n">
        <v>3.3</v>
      </c>
      <c r="H224" t="n">
        <v>0</v>
      </c>
      <c r="I224" t="n">
        <v>0</v>
      </c>
      <c r="J224" t="n">
        <v>0</v>
      </c>
      <c r="K224" t="n">
        <v>0</v>
      </c>
      <c r="L224" t="n">
        <v>0</v>
      </c>
      <c r="M224" t="n">
        <v>0</v>
      </c>
      <c r="N224" t="n">
        <v>0</v>
      </c>
      <c r="O224" t="n">
        <v>0</v>
      </c>
      <c r="P224" t="n">
        <v>0</v>
      </c>
      <c r="Q224" t="n">
        <v>0</v>
      </c>
      <c r="R224" s="2" t="inlineStr"/>
    </row>
    <row r="225" ht="15" customHeight="1">
      <c r="A225" t="inlineStr">
        <is>
          <t>A 34889-2023</t>
        </is>
      </c>
      <c r="B225" s="1" t="n">
        <v>45140</v>
      </c>
      <c r="C225" s="1" t="n">
        <v>46113</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34928-2023</t>
        </is>
      </c>
      <c r="B226" s="1" t="n">
        <v>45142</v>
      </c>
      <c r="C226" s="1" t="n">
        <v>46113</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48699-2024</t>
        </is>
      </c>
      <c r="B227" s="1" t="n">
        <v>45593.52091435185</v>
      </c>
      <c r="C227" s="1" t="n">
        <v>46113</v>
      </c>
      <c r="D227" t="inlineStr">
        <is>
          <t>ÖSTERGÖTLANDS LÄN</t>
        </is>
      </c>
      <c r="E227" t="inlineStr">
        <is>
          <t>LINKÖPING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39074-2025</t>
        </is>
      </c>
      <c r="B228" s="1" t="n">
        <v>45888</v>
      </c>
      <c r="C228" s="1" t="n">
        <v>46113</v>
      </c>
      <c r="D228" t="inlineStr">
        <is>
          <t>ÖSTERGÖTLANDS LÄN</t>
        </is>
      </c>
      <c r="E228" t="inlineStr">
        <is>
          <t>LINKÖPING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32255-2021</t>
        </is>
      </c>
      <c r="B229" s="1" t="n">
        <v>44371.45949074074</v>
      </c>
      <c r="C229" s="1" t="n">
        <v>46113</v>
      </c>
      <c r="D229" t="inlineStr">
        <is>
          <t>ÖSTERGÖTLANDS LÄN</t>
        </is>
      </c>
      <c r="E229" t="inlineStr">
        <is>
          <t>LINKÖPING</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1268-2023</t>
        </is>
      </c>
      <c r="B230" s="1" t="n">
        <v>44936</v>
      </c>
      <c r="C230" s="1" t="n">
        <v>46113</v>
      </c>
      <c r="D230" t="inlineStr">
        <is>
          <t>ÖSTERGÖTLANDS LÄN</t>
        </is>
      </c>
      <c r="E230" t="inlineStr">
        <is>
          <t>LINKÖPING</t>
        </is>
      </c>
      <c r="G230" t="n">
        <v>4.6</v>
      </c>
      <c r="H230" t="n">
        <v>0</v>
      </c>
      <c r="I230" t="n">
        <v>0</v>
      </c>
      <c r="J230" t="n">
        <v>0</v>
      </c>
      <c r="K230" t="n">
        <v>0</v>
      </c>
      <c r="L230" t="n">
        <v>0</v>
      </c>
      <c r="M230" t="n">
        <v>0</v>
      </c>
      <c r="N230" t="n">
        <v>0</v>
      </c>
      <c r="O230" t="n">
        <v>0</v>
      </c>
      <c r="P230" t="n">
        <v>0</v>
      </c>
      <c r="Q230" t="n">
        <v>0</v>
      </c>
      <c r="R230" s="2" t="inlineStr"/>
    </row>
    <row r="231" ht="15" customHeight="1">
      <c r="A231" t="inlineStr">
        <is>
          <t>A 13911-2025</t>
        </is>
      </c>
      <c r="B231" s="1" t="n">
        <v>45737.64784722222</v>
      </c>
      <c r="C231" s="1" t="n">
        <v>46113</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38235-2022</t>
        </is>
      </c>
      <c r="B232" s="1" t="n">
        <v>44812</v>
      </c>
      <c r="C232" s="1" t="n">
        <v>46113</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38971-2025</t>
        </is>
      </c>
      <c r="B233" s="1" t="n">
        <v>45887.71827546296</v>
      </c>
      <c r="C233" s="1" t="n">
        <v>46113</v>
      </c>
      <c r="D233" t="inlineStr">
        <is>
          <t>ÖSTERGÖTLANDS LÄN</t>
        </is>
      </c>
      <c r="E233" t="inlineStr">
        <is>
          <t>LINKÖPING</t>
        </is>
      </c>
      <c r="G233" t="n">
        <v>3.9</v>
      </c>
      <c r="H233" t="n">
        <v>0</v>
      </c>
      <c r="I233" t="n">
        <v>0</v>
      </c>
      <c r="J233" t="n">
        <v>0</v>
      </c>
      <c r="K233" t="n">
        <v>0</v>
      </c>
      <c r="L233" t="n">
        <v>0</v>
      </c>
      <c r="M233" t="n">
        <v>0</v>
      </c>
      <c r="N233" t="n">
        <v>0</v>
      </c>
      <c r="O233" t="n">
        <v>0</v>
      </c>
      <c r="P233" t="n">
        <v>0</v>
      </c>
      <c r="Q233" t="n">
        <v>0</v>
      </c>
      <c r="R233" s="2" t="inlineStr"/>
    </row>
    <row r="234" ht="15" customHeight="1">
      <c r="A234" t="inlineStr">
        <is>
          <t>A 72567-2021</t>
        </is>
      </c>
      <c r="B234" s="1" t="n">
        <v>44546.45023148148</v>
      </c>
      <c r="C234" s="1" t="n">
        <v>46113</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34880-2022</t>
        </is>
      </c>
      <c r="B235" s="1" t="n">
        <v>44796</v>
      </c>
      <c r="C235" s="1" t="n">
        <v>46113</v>
      </c>
      <c r="D235" t="inlineStr">
        <is>
          <t>ÖSTERGÖTLANDS LÄN</t>
        </is>
      </c>
      <c r="E235" t="inlineStr">
        <is>
          <t>LINKÖPING</t>
        </is>
      </c>
      <c r="F235" t="inlineStr">
        <is>
          <t>Övriga statliga verk och myndigheter</t>
        </is>
      </c>
      <c r="G235" t="n">
        <v>4</v>
      </c>
      <c r="H235" t="n">
        <v>0</v>
      </c>
      <c r="I235" t="n">
        <v>0</v>
      </c>
      <c r="J235" t="n">
        <v>0</v>
      </c>
      <c r="K235" t="n">
        <v>0</v>
      </c>
      <c r="L235" t="n">
        <v>0</v>
      </c>
      <c r="M235" t="n">
        <v>0</v>
      </c>
      <c r="N235" t="n">
        <v>0</v>
      </c>
      <c r="O235" t="n">
        <v>0</v>
      </c>
      <c r="P235" t="n">
        <v>0</v>
      </c>
      <c r="Q235" t="n">
        <v>0</v>
      </c>
      <c r="R235" s="2" t="inlineStr"/>
    </row>
    <row r="236" ht="15" customHeight="1">
      <c r="A236" t="inlineStr">
        <is>
          <t>A 48042-2022</t>
        </is>
      </c>
      <c r="B236" s="1" t="n">
        <v>44855</v>
      </c>
      <c r="C236" s="1" t="n">
        <v>46113</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49747-2024</t>
        </is>
      </c>
      <c r="B237" s="1" t="n">
        <v>45596</v>
      </c>
      <c r="C237" s="1" t="n">
        <v>46113</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23768-2025</t>
        </is>
      </c>
      <c r="B238" s="1" t="n">
        <v>45793.47493055555</v>
      </c>
      <c r="C238" s="1" t="n">
        <v>46113</v>
      </c>
      <c r="D238" t="inlineStr">
        <is>
          <t>ÖSTERGÖTLANDS LÄN</t>
        </is>
      </c>
      <c r="E238" t="inlineStr">
        <is>
          <t>LINKÖPING</t>
        </is>
      </c>
      <c r="G238" t="n">
        <v>3.4</v>
      </c>
      <c r="H238" t="n">
        <v>0</v>
      </c>
      <c r="I238" t="n">
        <v>0</v>
      </c>
      <c r="J238" t="n">
        <v>0</v>
      </c>
      <c r="K238" t="n">
        <v>0</v>
      </c>
      <c r="L238" t="n">
        <v>0</v>
      </c>
      <c r="M238" t="n">
        <v>0</v>
      </c>
      <c r="N238" t="n">
        <v>0</v>
      </c>
      <c r="O238" t="n">
        <v>0</v>
      </c>
      <c r="P238" t="n">
        <v>0</v>
      </c>
      <c r="Q238" t="n">
        <v>0</v>
      </c>
      <c r="R238" s="2" t="inlineStr"/>
    </row>
    <row r="239" ht="15" customHeight="1">
      <c r="A239" t="inlineStr">
        <is>
          <t>A 10407-2025</t>
        </is>
      </c>
      <c r="B239" s="1" t="n">
        <v>45720.62863425926</v>
      </c>
      <c r="C239" s="1" t="n">
        <v>46113</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27264-2025</t>
        </is>
      </c>
      <c r="B240" s="1" t="n">
        <v>45812.4794212963</v>
      </c>
      <c r="C240" s="1" t="n">
        <v>46113</v>
      </c>
      <c r="D240" t="inlineStr">
        <is>
          <t>ÖSTERGÖTLANDS LÄN</t>
        </is>
      </c>
      <c r="E240" t="inlineStr">
        <is>
          <t>LINKÖPING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31725-2022</t>
        </is>
      </c>
      <c r="B241" s="1" t="n">
        <v>44776.48541666667</v>
      </c>
      <c r="C241" s="1" t="n">
        <v>46113</v>
      </c>
      <c r="D241" t="inlineStr">
        <is>
          <t>ÖSTERGÖTLANDS LÄN</t>
        </is>
      </c>
      <c r="E241" t="inlineStr">
        <is>
          <t>LINKÖPING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39021-2021</t>
        </is>
      </c>
      <c r="B242" s="1" t="n">
        <v>44412</v>
      </c>
      <c r="C242" s="1" t="n">
        <v>46113</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39438-2025</t>
        </is>
      </c>
      <c r="B243" s="1" t="n">
        <v>45889.68641203704</v>
      </c>
      <c r="C243" s="1" t="n">
        <v>46113</v>
      </c>
      <c r="D243" t="inlineStr">
        <is>
          <t>ÖSTERGÖTLANDS LÄN</t>
        </is>
      </c>
      <c r="E243" t="inlineStr">
        <is>
          <t>LINKÖPING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12035-2025</t>
        </is>
      </c>
      <c r="B244" s="1" t="n">
        <v>45728.64946759259</v>
      </c>
      <c r="C244" s="1" t="n">
        <v>46113</v>
      </c>
      <c r="D244" t="inlineStr">
        <is>
          <t>ÖSTERGÖTLANDS LÄN</t>
        </is>
      </c>
      <c r="E244" t="inlineStr">
        <is>
          <t>LINKÖPING</t>
        </is>
      </c>
      <c r="G244" t="n">
        <v>3.7</v>
      </c>
      <c r="H244" t="n">
        <v>0</v>
      </c>
      <c r="I244" t="n">
        <v>0</v>
      </c>
      <c r="J244" t="n">
        <v>0</v>
      </c>
      <c r="K244" t="n">
        <v>0</v>
      </c>
      <c r="L244" t="n">
        <v>0</v>
      </c>
      <c r="M244" t="n">
        <v>0</v>
      </c>
      <c r="N244" t="n">
        <v>0</v>
      </c>
      <c r="O244" t="n">
        <v>0</v>
      </c>
      <c r="P244" t="n">
        <v>0</v>
      </c>
      <c r="Q244" t="n">
        <v>0</v>
      </c>
      <c r="R244" s="2" t="inlineStr"/>
    </row>
    <row r="245" ht="15" customHeight="1">
      <c r="A245" t="inlineStr">
        <is>
          <t>A 40169-2025</t>
        </is>
      </c>
      <c r="B245" s="1" t="n">
        <v>45894.62824074074</v>
      </c>
      <c r="C245" s="1" t="n">
        <v>46113</v>
      </c>
      <c r="D245" t="inlineStr">
        <is>
          <t>ÖSTERGÖTLANDS LÄN</t>
        </is>
      </c>
      <c r="E245" t="inlineStr">
        <is>
          <t>LINKÖPING</t>
        </is>
      </c>
      <c r="G245" t="n">
        <v>2.8</v>
      </c>
      <c r="H245" t="n">
        <v>0</v>
      </c>
      <c r="I245" t="n">
        <v>0</v>
      </c>
      <c r="J245" t="n">
        <v>0</v>
      </c>
      <c r="K245" t="n">
        <v>0</v>
      </c>
      <c r="L245" t="n">
        <v>0</v>
      </c>
      <c r="M245" t="n">
        <v>0</v>
      </c>
      <c r="N245" t="n">
        <v>0</v>
      </c>
      <c r="O245" t="n">
        <v>0</v>
      </c>
      <c r="P245" t="n">
        <v>0</v>
      </c>
      <c r="Q245" t="n">
        <v>0</v>
      </c>
      <c r="R245" s="2" t="inlineStr"/>
    </row>
    <row r="246" ht="15" customHeight="1">
      <c r="A246" t="inlineStr">
        <is>
          <t>A 51484-2023</t>
        </is>
      </c>
      <c r="B246" s="1" t="n">
        <v>45222</v>
      </c>
      <c r="C246" s="1" t="n">
        <v>46113</v>
      </c>
      <c r="D246" t="inlineStr">
        <is>
          <t>ÖSTERGÖTLANDS LÄN</t>
        </is>
      </c>
      <c r="E246" t="inlineStr">
        <is>
          <t>LINKÖPING</t>
        </is>
      </c>
      <c r="F246" t="inlineStr">
        <is>
          <t>Övriga Aktiebolag</t>
        </is>
      </c>
      <c r="G246" t="n">
        <v>7.7</v>
      </c>
      <c r="H246" t="n">
        <v>0</v>
      </c>
      <c r="I246" t="n">
        <v>0</v>
      </c>
      <c r="J246" t="n">
        <v>0</v>
      </c>
      <c r="K246" t="n">
        <v>0</v>
      </c>
      <c r="L246" t="n">
        <v>0</v>
      </c>
      <c r="M246" t="n">
        <v>0</v>
      </c>
      <c r="N246" t="n">
        <v>0</v>
      </c>
      <c r="O246" t="n">
        <v>0</v>
      </c>
      <c r="P246" t="n">
        <v>0</v>
      </c>
      <c r="Q246" t="n">
        <v>0</v>
      </c>
      <c r="R246" s="2" t="inlineStr"/>
    </row>
    <row r="247" ht="15" customHeight="1">
      <c r="A247" t="inlineStr">
        <is>
          <t>A 2389-2023</t>
        </is>
      </c>
      <c r="B247" s="1" t="n">
        <v>44942</v>
      </c>
      <c r="C247" s="1" t="n">
        <v>46113</v>
      </c>
      <c r="D247" t="inlineStr">
        <is>
          <t>ÖSTERGÖTLANDS LÄN</t>
        </is>
      </c>
      <c r="E247" t="inlineStr">
        <is>
          <t>LINKÖPING</t>
        </is>
      </c>
      <c r="G247" t="n">
        <v>3.3</v>
      </c>
      <c r="H247" t="n">
        <v>0</v>
      </c>
      <c r="I247" t="n">
        <v>0</v>
      </c>
      <c r="J247" t="n">
        <v>0</v>
      </c>
      <c r="K247" t="n">
        <v>0</v>
      </c>
      <c r="L247" t="n">
        <v>0</v>
      </c>
      <c r="M247" t="n">
        <v>0</v>
      </c>
      <c r="N247" t="n">
        <v>0</v>
      </c>
      <c r="O247" t="n">
        <v>0</v>
      </c>
      <c r="P247" t="n">
        <v>0</v>
      </c>
      <c r="Q247" t="n">
        <v>0</v>
      </c>
      <c r="R247" s="2" t="inlineStr"/>
    </row>
    <row r="248" ht="15" customHeight="1">
      <c r="A248" t="inlineStr">
        <is>
          <t>A 3627-2023</t>
        </is>
      </c>
      <c r="B248" s="1" t="n">
        <v>44950.64782407408</v>
      </c>
      <c r="C248" s="1" t="n">
        <v>46113</v>
      </c>
      <c r="D248" t="inlineStr">
        <is>
          <t>ÖSTERGÖTLANDS LÄN</t>
        </is>
      </c>
      <c r="E248" t="inlineStr">
        <is>
          <t>LINKÖPING</t>
        </is>
      </c>
      <c r="G248" t="n">
        <v>3.1</v>
      </c>
      <c r="H248" t="n">
        <v>0</v>
      </c>
      <c r="I248" t="n">
        <v>0</v>
      </c>
      <c r="J248" t="n">
        <v>0</v>
      </c>
      <c r="K248" t="n">
        <v>0</v>
      </c>
      <c r="L248" t="n">
        <v>0</v>
      </c>
      <c r="M248" t="n">
        <v>0</v>
      </c>
      <c r="N248" t="n">
        <v>0</v>
      </c>
      <c r="O248" t="n">
        <v>0</v>
      </c>
      <c r="P248" t="n">
        <v>0</v>
      </c>
      <c r="Q248" t="n">
        <v>0</v>
      </c>
      <c r="R248" s="2" t="inlineStr"/>
    </row>
    <row r="249" ht="15" customHeight="1">
      <c r="A249" t="inlineStr">
        <is>
          <t>A 62687-2023</t>
        </is>
      </c>
      <c r="B249" s="1" t="n">
        <v>45271</v>
      </c>
      <c r="C249" s="1" t="n">
        <v>46113</v>
      </c>
      <c r="D249" t="inlineStr">
        <is>
          <t>ÖSTERGÖTLANDS LÄN</t>
        </is>
      </c>
      <c r="E249" t="inlineStr">
        <is>
          <t>LINKÖPING</t>
        </is>
      </c>
      <c r="G249" t="n">
        <v>1.4</v>
      </c>
      <c r="H249" t="n">
        <v>0</v>
      </c>
      <c r="I249" t="n">
        <v>0</v>
      </c>
      <c r="J249" t="n">
        <v>0</v>
      </c>
      <c r="K249" t="n">
        <v>0</v>
      </c>
      <c r="L249" t="n">
        <v>0</v>
      </c>
      <c r="M249" t="n">
        <v>0</v>
      </c>
      <c r="N249" t="n">
        <v>0</v>
      </c>
      <c r="O249" t="n">
        <v>0</v>
      </c>
      <c r="P249" t="n">
        <v>0</v>
      </c>
      <c r="Q249" t="n">
        <v>0</v>
      </c>
      <c r="R249" s="2" t="inlineStr"/>
    </row>
    <row r="250" ht="15" customHeight="1">
      <c r="A250" t="inlineStr">
        <is>
          <t>A 9434-2024</t>
        </is>
      </c>
      <c r="B250" s="1" t="n">
        <v>45359</v>
      </c>
      <c r="C250" s="1" t="n">
        <v>46113</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18891-2022</t>
        </is>
      </c>
      <c r="B251" s="1" t="n">
        <v>44690</v>
      </c>
      <c r="C251" s="1" t="n">
        <v>46113</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63678-2023</t>
        </is>
      </c>
      <c r="B252" s="1" t="n">
        <v>45275.64769675926</v>
      </c>
      <c r="C252" s="1" t="n">
        <v>46113</v>
      </c>
      <c r="D252" t="inlineStr">
        <is>
          <t>ÖSTERGÖTLANDS LÄN</t>
        </is>
      </c>
      <c r="E252" t="inlineStr">
        <is>
          <t>LINKÖPING</t>
        </is>
      </c>
      <c r="F252" t="inlineStr">
        <is>
          <t>Övriga Aktiebolag</t>
        </is>
      </c>
      <c r="G252" t="n">
        <v>0.4</v>
      </c>
      <c r="H252" t="n">
        <v>0</v>
      </c>
      <c r="I252" t="n">
        <v>0</v>
      </c>
      <c r="J252" t="n">
        <v>0</v>
      </c>
      <c r="K252" t="n">
        <v>0</v>
      </c>
      <c r="L252" t="n">
        <v>0</v>
      </c>
      <c r="M252" t="n">
        <v>0</v>
      </c>
      <c r="N252" t="n">
        <v>0</v>
      </c>
      <c r="O252" t="n">
        <v>0</v>
      </c>
      <c r="P252" t="n">
        <v>0</v>
      </c>
      <c r="Q252" t="n">
        <v>0</v>
      </c>
      <c r="R252" s="2" t="inlineStr"/>
    </row>
    <row r="253" ht="15" customHeight="1">
      <c r="A253" t="inlineStr">
        <is>
          <t>A 63688-2023</t>
        </is>
      </c>
      <c r="B253" s="1" t="n">
        <v>45275</v>
      </c>
      <c r="C253" s="1" t="n">
        <v>46113</v>
      </c>
      <c r="D253" t="inlineStr">
        <is>
          <t>ÖSTERGÖTLANDS LÄN</t>
        </is>
      </c>
      <c r="E253" t="inlineStr">
        <is>
          <t>LINKÖPING</t>
        </is>
      </c>
      <c r="F253" t="inlineStr">
        <is>
          <t>Övriga Aktiebolag</t>
        </is>
      </c>
      <c r="G253" t="n">
        <v>2.4</v>
      </c>
      <c r="H253" t="n">
        <v>0</v>
      </c>
      <c r="I253" t="n">
        <v>0</v>
      </c>
      <c r="J253" t="n">
        <v>0</v>
      </c>
      <c r="K253" t="n">
        <v>0</v>
      </c>
      <c r="L253" t="n">
        <v>0</v>
      </c>
      <c r="M253" t="n">
        <v>0</v>
      </c>
      <c r="N253" t="n">
        <v>0</v>
      </c>
      <c r="O253" t="n">
        <v>0</v>
      </c>
      <c r="P253" t="n">
        <v>0</v>
      </c>
      <c r="Q253" t="n">
        <v>0</v>
      </c>
      <c r="R253" s="2" t="inlineStr"/>
    </row>
    <row r="254" ht="15" customHeight="1">
      <c r="A254" t="inlineStr">
        <is>
          <t>A 63691-2023</t>
        </is>
      </c>
      <c r="B254" s="1" t="n">
        <v>45275</v>
      </c>
      <c r="C254" s="1" t="n">
        <v>46113</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34557-2022</t>
        </is>
      </c>
      <c r="B255" s="1" t="n">
        <v>44794.57074074074</v>
      </c>
      <c r="C255" s="1" t="n">
        <v>46113</v>
      </c>
      <c r="D255" t="inlineStr">
        <is>
          <t>ÖSTERGÖTLANDS LÄN</t>
        </is>
      </c>
      <c r="E255" t="inlineStr">
        <is>
          <t>LINKÖPING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17157-2024</t>
        </is>
      </c>
      <c r="B256" s="1" t="n">
        <v>45412.70567129629</v>
      </c>
      <c r="C256" s="1" t="n">
        <v>46113</v>
      </c>
      <c r="D256" t="inlineStr">
        <is>
          <t>ÖSTERGÖTLANDS LÄN</t>
        </is>
      </c>
      <c r="E256" t="inlineStr">
        <is>
          <t>LINKÖPING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26620-2023</t>
        </is>
      </c>
      <c r="B257" s="1" t="n">
        <v>45092.70390046296</v>
      </c>
      <c r="C257" s="1" t="n">
        <v>46113</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13689-2025</t>
        </is>
      </c>
      <c r="B258" s="1" t="n">
        <v>45737.31590277778</v>
      </c>
      <c r="C258" s="1" t="n">
        <v>46113</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13696-2025</t>
        </is>
      </c>
      <c r="B259" s="1" t="n">
        <v>45737.32273148148</v>
      </c>
      <c r="C259" s="1" t="n">
        <v>46113</v>
      </c>
      <c r="D259" t="inlineStr">
        <is>
          <t>ÖSTERGÖTLANDS LÄN</t>
        </is>
      </c>
      <c r="E259" t="inlineStr">
        <is>
          <t>LINKÖPING</t>
        </is>
      </c>
      <c r="G259" t="n">
        <v>3.5</v>
      </c>
      <c r="H259" t="n">
        <v>0</v>
      </c>
      <c r="I259" t="n">
        <v>0</v>
      </c>
      <c r="J259" t="n">
        <v>0</v>
      </c>
      <c r="K259" t="n">
        <v>0</v>
      </c>
      <c r="L259" t="n">
        <v>0</v>
      </c>
      <c r="M259" t="n">
        <v>0</v>
      </c>
      <c r="N259" t="n">
        <v>0</v>
      </c>
      <c r="O259" t="n">
        <v>0</v>
      </c>
      <c r="P259" t="n">
        <v>0</v>
      </c>
      <c r="Q259" t="n">
        <v>0</v>
      </c>
      <c r="R259" s="2" t="inlineStr"/>
    </row>
    <row r="260" ht="15" customHeight="1">
      <c r="A260" t="inlineStr">
        <is>
          <t>A 12428-2024</t>
        </is>
      </c>
      <c r="B260" s="1" t="n">
        <v>45379</v>
      </c>
      <c r="C260" s="1" t="n">
        <v>46113</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56180-2024</t>
        </is>
      </c>
      <c r="B261" s="1" t="n">
        <v>45624.56611111111</v>
      </c>
      <c r="C261" s="1" t="n">
        <v>46113</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938-2023</t>
        </is>
      </c>
      <c r="B262" s="1" t="n">
        <v>44933</v>
      </c>
      <c r="C262" s="1" t="n">
        <v>46113</v>
      </c>
      <c r="D262" t="inlineStr">
        <is>
          <t>ÖSTERGÖTLANDS LÄN</t>
        </is>
      </c>
      <c r="E262" t="inlineStr">
        <is>
          <t>LINKÖPING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41706-2025</t>
        </is>
      </c>
      <c r="B263" s="1" t="n">
        <v>45902.42209490741</v>
      </c>
      <c r="C263" s="1" t="n">
        <v>46113</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25418-2023</t>
        </is>
      </c>
      <c r="B264" s="1" t="n">
        <v>45089</v>
      </c>
      <c r="C264" s="1" t="n">
        <v>46113</v>
      </c>
      <c r="D264" t="inlineStr">
        <is>
          <t>ÖSTERGÖTLANDS LÄN</t>
        </is>
      </c>
      <c r="E264" t="inlineStr">
        <is>
          <t>LINKÖPING</t>
        </is>
      </c>
      <c r="F264" t="inlineStr">
        <is>
          <t>Övriga Aktiebolag</t>
        </is>
      </c>
      <c r="G264" t="n">
        <v>2.4</v>
      </c>
      <c r="H264" t="n">
        <v>0</v>
      </c>
      <c r="I264" t="n">
        <v>0</v>
      </c>
      <c r="J264" t="n">
        <v>0</v>
      </c>
      <c r="K264" t="n">
        <v>0</v>
      </c>
      <c r="L264" t="n">
        <v>0</v>
      </c>
      <c r="M264" t="n">
        <v>0</v>
      </c>
      <c r="N264" t="n">
        <v>0</v>
      </c>
      <c r="O264" t="n">
        <v>0</v>
      </c>
      <c r="P264" t="n">
        <v>0</v>
      </c>
      <c r="Q264" t="n">
        <v>0</v>
      </c>
      <c r="R264" s="2" t="inlineStr"/>
    </row>
    <row r="265" ht="15" customHeight="1">
      <c r="A265" t="inlineStr">
        <is>
          <t>A 60007-2022</t>
        </is>
      </c>
      <c r="B265" s="1" t="n">
        <v>44909.47282407407</v>
      </c>
      <c r="C265" s="1" t="n">
        <v>46113</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46225-2021</t>
        </is>
      </c>
      <c r="B266" s="1" t="n">
        <v>44442</v>
      </c>
      <c r="C266" s="1" t="n">
        <v>46113</v>
      </c>
      <c r="D266" t="inlineStr">
        <is>
          <t>ÖSTERGÖTLANDS LÄN</t>
        </is>
      </c>
      <c r="E266" t="inlineStr">
        <is>
          <t>LINKÖPING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54428-2022</t>
        </is>
      </c>
      <c r="B267" s="1" t="n">
        <v>44882.57643518518</v>
      </c>
      <c r="C267" s="1" t="n">
        <v>46113</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41511-2025</t>
        </is>
      </c>
      <c r="B268" s="1" t="n">
        <v>45901.53839120371</v>
      </c>
      <c r="C268" s="1" t="n">
        <v>46113</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11601-2023</t>
        </is>
      </c>
      <c r="B269" s="1" t="n">
        <v>44994</v>
      </c>
      <c r="C269" s="1" t="n">
        <v>46113</v>
      </c>
      <c r="D269" t="inlineStr">
        <is>
          <t>ÖSTERGÖTLANDS LÄN</t>
        </is>
      </c>
      <c r="E269" t="inlineStr">
        <is>
          <t>LINKÖPING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3042-2024</t>
        </is>
      </c>
      <c r="B270" s="1" t="n">
        <v>45316.35028935185</v>
      </c>
      <c r="C270" s="1" t="n">
        <v>46113</v>
      </c>
      <c r="D270" t="inlineStr">
        <is>
          <t>ÖSTERGÖTLANDS LÄN</t>
        </is>
      </c>
      <c r="E270" t="inlineStr">
        <is>
          <t>LINKÖPING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11790-2024</t>
        </is>
      </c>
      <c r="B271" s="1" t="n">
        <v>45374</v>
      </c>
      <c r="C271" s="1" t="n">
        <v>46113</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48962-2022</t>
        </is>
      </c>
      <c r="B272" s="1" t="n">
        <v>44860.31635416667</v>
      </c>
      <c r="C272" s="1" t="n">
        <v>46113</v>
      </c>
      <c r="D272" t="inlineStr">
        <is>
          <t>ÖSTERGÖTLANDS LÄN</t>
        </is>
      </c>
      <c r="E272" t="inlineStr">
        <is>
          <t>LINKÖPING</t>
        </is>
      </c>
      <c r="G272" t="n">
        <v>2.9</v>
      </c>
      <c r="H272" t="n">
        <v>0</v>
      </c>
      <c r="I272" t="n">
        <v>0</v>
      </c>
      <c r="J272" t="n">
        <v>0</v>
      </c>
      <c r="K272" t="n">
        <v>0</v>
      </c>
      <c r="L272" t="n">
        <v>0</v>
      </c>
      <c r="M272" t="n">
        <v>0</v>
      </c>
      <c r="N272" t="n">
        <v>0</v>
      </c>
      <c r="O272" t="n">
        <v>0</v>
      </c>
      <c r="P272" t="n">
        <v>0</v>
      </c>
      <c r="Q272" t="n">
        <v>0</v>
      </c>
      <c r="R272" s="2" t="inlineStr"/>
    </row>
    <row r="273" ht="15" customHeight="1">
      <c r="A273" t="inlineStr">
        <is>
          <t>A 53647-2021</t>
        </is>
      </c>
      <c r="B273" s="1" t="n">
        <v>44469</v>
      </c>
      <c r="C273" s="1" t="n">
        <v>46113</v>
      </c>
      <c r="D273" t="inlineStr">
        <is>
          <t>ÖSTERGÖTLANDS LÄN</t>
        </is>
      </c>
      <c r="E273" t="inlineStr">
        <is>
          <t>LINKÖPING</t>
        </is>
      </c>
      <c r="G273" t="n">
        <v>2.3</v>
      </c>
      <c r="H273" t="n">
        <v>0</v>
      </c>
      <c r="I273" t="n">
        <v>0</v>
      </c>
      <c r="J273" t="n">
        <v>0</v>
      </c>
      <c r="K273" t="n">
        <v>0</v>
      </c>
      <c r="L273" t="n">
        <v>0</v>
      </c>
      <c r="M273" t="n">
        <v>0</v>
      </c>
      <c r="N273" t="n">
        <v>0</v>
      </c>
      <c r="O273" t="n">
        <v>0</v>
      </c>
      <c r="P273" t="n">
        <v>0</v>
      </c>
      <c r="Q273" t="n">
        <v>0</v>
      </c>
      <c r="R273" s="2" t="inlineStr"/>
    </row>
    <row r="274" ht="15" customHeight="1">
      <c r="A274" t="inlineStr">
        <is>
          <t>A 22772-2024</t>
        </is>
      </c>
      <c r="B274" s="1" t="n">
        <v>45448.46712962963</v>
      </c>
      <c r="C274" s="1" t="n">
        <v>46113</v>
      </c>
      <c r="D274" t="inlineStr">
        <is>
          <t>ÖSTERGÖTLANDS LÄN</t>
        </is>
      </c>
      <c r="E274" t="inlineStr">
        <is>
          <t>LINKÖPING</t>
        </is>
      </c>
      <c r="F274" t="inlineStr">
        <is>
          <t>Sveaskog</t>
        </is>
      </c>
      <c r="G274" t="n">
        <v>3</v>
      </c>
      <c r="H274" t="n">
        <v>0</v>
      </c>
      <c r="I274" t="n">
        <v>0</v>
      </c>
      <c r="J274" t="n">
        <v>0</v>
      </c>
      <c r="K274" t="n">
        <v>0</v>
      </c>
      <c r="L274" t="n">
        <v>0</v>
      </c>
      <c r="M274" t="n">
        <v>0</v>
      </c>
      <c r="N274" t="n">
        <v>0</v>
      </c>
      <c r="O274" t="n">
        <v>0</v>
      </c>
      <c r="P274" t="n">
        <v>0</v>
      </c>
      <c r="Q274" t="n">
        <v>0</v>
      </c>
      <c r="R274" s="2" t="inlineStr"/>
    </row>
    <row r="275" ht="15" customHeight="1">
      <c r="A275" t="inlineStr">
        <is>
          <t>A 18916-2024</t>
        </is>
      </c>
      <c r="B275" s="1" t="n">
        <v>45427.39541666667</v>
      </c>
      <c r="C275" s="1" t="n">
        <v>46113</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29293-2025</t>
        </is>
      </c>
      <c r="B276" s="1" t="n">
        <v>45824</v>
      </c>
      <c r="C276" s="1" t="n">
        <v>46113</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24586-2024</t>
        </is>
      </c>
      <c r="B277" s="1" t="n">
        <v>45460.46664351852</v>
      </c>
      <c r="C277" s="1" t="n">
        <v>46113</v>
      </c>
      <c r="D277" t="inlineStr">
        <is>
          <t>ÖSTERGÖTLANDS LÄN</t>
        </is>
      </c>
      <c r="E277" t="inlineStr">
        <is>
          <t>LINKÖPING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1260-2023</t>
        </is>
      </c>
      <c r="B278" s="1" t="n">
        <v>44936</v>
      </c>
      <c r="C278" s="1" t="n">
        <v>46113</v>
      </c>
      <c r="D278" t="inlineStr">
        <is>
          <t>ÖSTERGÖTLANDS LÄN</t>
        </is>
      </c>
      <c r="E278" t="inlineStr">
        <is>
          <t>LINKÖPING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17124-2025</t>
        </is>
      </c>
      <c r="B279" s="1" t="n">
        <v>45755.69678240741</v>
      </c>
      <c r="C279" s="1" t="n">
        <v>46113</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17126-2025</t>
        </is>
      </c>
      <c r="B280" s="1" t="n">
        <v>45755.70814814815</v>
      </c>
      <c r="C280" s="1" t="n">
        <v>46113</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17143-2025</t>
        </is>
      </c>
      <c r="B281" s="1" t="n">
        <v>45755.92731481481</v>
      </c>
      <c r="C281" s="1" t="n">
        <v>46113</v>
      </c>
      <c r="D281" t="inlineStr">
        <is>
          <t>ÖSTERGÖTLANDS LÄN</t>
        </is>
      </c>
      <c r="E281" t="inlineStr">
        <is>
          <t>LINKÖPING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7702-2023</t>
        </is>
      </c>
      <c r="B282" s="1" t="n">
        <v>44967</v>
      </c>
      <c r="C282" s="1" t="n">
        <v>46113</v>
      </c>
      <c r="D282" t="inlineStr">
        <is>
          <t>ÖSTERGÖTLANDS LÄN</t>
        </is>
      </c>
      <c r="E282" t="inlineStr">
        <is>
          <t>LINKÖPING</t>
        </is>
      </c>
      <c r="F282" t="inlineStr">
        <is>
          <t>Övriga statliga verk och myndigheter</t>
        </is>
      </c>
      <c r="G282" t="n">
        <v>8</v>
      </c>
      <c r="H282" t="n">
        <v>0</v>
      </c>
      <c r="I282" t="n">
        <v>0</v>
      </c>
      <c r="J282" t="n">
        <v>0</v>
      </c>
      <c r="K282" t="n">
        <v>0</v>
      </c>
      <c r="L282" t="n">
        <v>0</v>
      </c>
      <c r="M282" t="n">
        <v>0</v>
      </c>
      <c r="N282" t="n">
        <v>0</v>
      </c>
      <c r="O282" t="n">
        <v>0</v>
      </c>
      <c r="P282" t="n">
        <v>0</v>
      </c>
      <c r="Q282" t="n">
        <v>0</v>
      </c>
      <c r="R282" s="2" t="inlineStr"/>
    </row>
    <row r="283" ht="15" customHeight="1">
      <c r="A283" t="inlineStr">
        <is>
          <t>A 674-2024</t>
        </is>
      </c>
      <c r="B283" s="1" t="n">
        <v>45300.34408564815</v>
      </c>
      <c r="C283" s="1" t="n">
        <v>46113</v>
      </c>
      <c r="D283" t="inlineStr">
        <is>
          <t>ÖSTERGÖTLANDS LÄN</t>
        </is>
      </c>
      <c r="E283" t="inlineStr">
        <is>
          <t>LINKÖPING</t>
        </is>
      </c>
      <c r="F283" t="inlineStr">
        <is>
          <t>Sveaskog</t>
        </is>
      </c>
      <c r="G283" t="n">
        <v>2.9</v>
      </c>
      <c r="H283" t="n">
        <v>0</v>
      </c>
      <c r="I283" t="n">
        <v>0</v>
      </c>
      <c r="J283" t="n">
        <v>0</v>
      </c>
      <c r="K283" t="n">
        <v>0</v>
      </c>
      <c r="L283" t="n">
        <v>0</v>
      </c>
      <c r="M283" t="n">
        <v>0</v>
      </c>
      <c r="N283" t="n">
        <v>0</v>
      </c>
      <c r="O283" t="n">
        <v>0</v>
      </c>
      <c r="P283" t="n">
        <v>0</v>
      </c>
      <c r="Q283" t="n">
        <v>0</v>
      </c>
      <c r="R283" s="2" t="inlineStr"/>
    </row>
    <row r="284" ht="15" customHeight="1">
      <c r="A284" t="inlineStr">
        <is>
          <t>A 63684-2023</t>
        </is>
      </c>
      <c r="B284" s="1" t="n">
        <v>45275</v>
      </c>
      <c r="C284" s="1" t="n">
        <v>46113</v>
      </c>
      <c r="D284" t="inlineStr">
        <is>
          <t>ÖSTERGÖTLANDS LÄN</t>
        </is>
      </c>
      <c r="E284" t="inlineStr">
        <is>
          <t>LINKÖPING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167-2024</t>
        </is>
      </c>
      <c r="B285" s="1" t="n">
        <v>45294</v>
      </c>
      <c r="C285" s="1" t="n">
        <v>46113</v>
      </c>
      <c r="D285" t="inlineStr">
        <is>
          <t>ÖSTERGÖTLANDS LÄN</t>
        </is>
      </c>
      <c r="E285" t="inlineStr">
        <is>
          <t>LINKÖPING</t>
        </is>
      </c>
      <c r="F285" t="inlineStr">
        <is>
          <t>Allmännings- och besparingsskogar</t>
        </is>
      </c>
      <c r="G285" t="n">
        <v>11.6</v>
      </c>
      <c r="H285" t="n">
        <v>0</v>
      </c>
      <c r="I285" t="n">
        <v>0</v>
      </c>
      <c r="J285" t="n">
        <v>0</v>
      </c>
      <c r="K285" t="n">
        <v>0</v>
      </c>
      <c r="L285" t="n">
        <v>0</v>
      </c>
      <c r="M285" t="n">
        <v>0</v>
      </c>
      <c r="N285" t="n">
        <v>0</v>
      </c>
      <c r="O285" t="n">
        <v>0</v>
      </c>
      <c r="P285" t="n">
        <v>0</v>
      </c>
      <c r="Q285" t="n">
        <v>0</v>
      </c>
      <c r="R285" s="2" t="inlineStr"/>
    </row>
    <row r="286" ht="15" customHeight="1">
      <c r="A286" t="inlineStr">
        <is>
          <t>A 36725-2023</t>
        </is>
      </c>
      <c r="B286" s="1" t="n">
        <v>45153.68471064815</v>
      </c>
      <c r="C286" s="1" t="n">
        <v>46113</v>
      </c>
      <c r="D286" t="inlineStr">
        <is>
          <t>ÖSTERGÖTLANDS LÄN</t>
        </is>
      </c>
      <c r="E286" t="inlineStr">
        <is>
          <t>LINKÖPING</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39017-2021</t>
        </is>
      </c>
      <c r="B287" s="1" t="n">
        <v>44412</v>
      </c>
      <c r="C287" s="1" t="n">
        <v>46113</v>
      </c>
      <c r="D287" t="inlineStr">
        <is>
          <t>ÖSTERGÖTLANDS LÄN</t>
        </is>
      </c>
      <c r="E287" t="inlineStr">
        <is>
          <t>LINKÖPING</t>
        </is>
      </c>
      <c r="F287" t="inlineStr">
        <is>
          <t>Övriga statliga verk och myndigheter</t>
        </is>
      </c>
      <c r="G287" t="n">
        <v>0.8</v>
      </c>
      <c r="H287" t="n">
        <v>0</v>
      </c>
      <c r="I287" t="n">
        <v>0</v>
      </c>
      <c r="J287" t="n">
        <v>0</v>
      </c>
      <c r="K287" t="n">
        <v>0</v>
      </c>
      <c r="L287" t="n">
        <v>0</v>
      </c>
      <c r="M287" t="n">
        <v>0</v>
      </c>
      <c r="N287" t="n">
        <v>0</v>
      </c>
      <c r="O287" t="n">
        <v>0</v>
      </c>
      <c r="P287" t="n">
        <v>0</v>
      </c>
      <c r="Q287" t="n">
        <v>0</v>
      </c>
      <c r="R287" s="2" t="inlineStr"/>
    </row>
    <row r="288" ht="15" customHeight="1">
      <c r="A288" t="inlineStr">
        <is>
          <t>A 42623-2025</t>
        </is>
      </c>
      <c r="B288" s="1" t="n">
        <v>45905</v>
      </c>
      <c r="C288" s="1" t="n">
        <v>46113</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27343-2023</t>
        </is>
      </c>
      <c r="B289" s="1" t="n">
        <v>45096</v>
      </c>
      <c r="C289" s="1" t="n">
        <v>46113</v>
      </c>
      <c r="D289" t="inlineStr">
        <is>
          <t>ÖSTERGÖTLANDS LÄN</t>
        </is>
      </c>
      <c r="E289" t="inlineStr">
        <is>
          <t>LINKÖPING</t>
        </is>
      </c>
      <c r="F289" t="inlineStr">
        <is>
          <t>Allmännings- och besparingsskogar</t>
        </is>
      </c>
      <c r="G289" t="n">
        <v>6.9</v>
      </c>
      <c r="H289" t="n">
        <v>0</v>
      </c>
      <c r="I289" t="n">
        <v>0</v>
      </c>
      <c r="J289" t="n">
        <v>0</v>
      </c>
      <c r="K289" t="n">
        <v>0</v>
      </c>
      <c r="L289" t="n">
        <v>0</v>
      </c>
      <c r="M289" t="n">
        <v>0</v>
      </c>
      <c r="N289" t="n">
        <v>0</v>
      </c>
      <c r="O289" t="n">
        <v>0</v>
      </c>
      <c r="P289" t="n">
        <v>0</v>
      </c>
      <c r="Q289" t="n">
        <v>0</v>
      </c>
      <c r="R289" s="2" t="inlineStr"/>
    </row>
    <row r="290" ht="15" customHeight="1">
      <c r="A290" t="inlineStr">
        <is>
          <t>A 16820-2024</t>
        </is>
      </c>
      <c r="B290" s="1" t="n">
        <v>45411.46809027778</v>
      </c>
      <c r="C290" s="1" t="n">
        <v>46113</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46113</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46113</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22774-2024</t>
        </is>
      </c>
      <c r="B293" s="1" t="n">
        <v>45448.46924768519</v>
      </c>
      <c r="C293" s="1" t="n">
        <v>46113</v>
      </c>
      <c r="D293" t="inlineStr">
        <is>
          <t>ÖSTERGÖTLANDS LÄN</t>
        </is>
      </c>
      <c r="E293" t="inlineStr">
        <is>
          <t>LINKÖPING</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22778-2024</t>
        </is>
      </c>
      <c r="B294" s="1" t="n">
        <v>45448.47233796296</v>
      </c>
      <c r="C294" s="1" t="n">
        <v>46113</v>
      </c>
      <c r="D294" t="inlineStr">
        <is>
          <t>ÖSTERGÖTLANDS LÄN</t>
        </is>
      </c>
      <c r="E294" t="inlineStr">
        <is>
          <t>LINKÖPING</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30980-2022</t>
        </is>
      </c>
      <c r="B295" s="1" t="n">
        <v>44768</v>
      </c>
      <c r="C295" s="1" t="n">
        <v>46113</v>
      </c>
      <c r="D295" t="inlineStr">
        <is>
          <t>ÖSTERGÖTLANDS LÄN</t>
        </is>
      </c>
      <c r="E295" t="inlineStr">
        <is>
          <t>LINKÖPING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34864-2023</t>
        </is>
      </c>
      <c r="B296" s="1" t="n">
        <v>45141</v>
      </c>
      <c r="C296" s="1" t="n">
        <v>46113</v>
      </c>
      <c r="D296" t="inlineStr">
        <is>
          <t>ÖSTERGÖTLANDS LÄN</t>
        </is>
      </c>
      <c r="E296" t="inlineStr">
        <is>
          <t>LINKÖPING</t>
        </is>
      </c>
      <c r="G296" t="n">
        <v>3.3</v>
      </c>
      <c r="H296" t="n">
        <v>0</v>
      </c>
      <c r="I296" t="n">
        <v>0</v>
      </c>
      <c r="J296" t="n">
        <v>0</v>
      </c>
      <c r="K296" t="n">
        <v>0</v>
      </c>
      <c r="L296" t="n">
        <v>0</v>
      </c>
      <c r="M296" t="n">
        <v>0</v>
      </c>
      <c r="N296" t="n">
        <v>0</v>
      </c>
      <c r="O296" t="n">
        <v>0</v>
      </c>
      <c r="P296" t="n">
        <v>0</v>
      </c>
      <c r="Q296" t="n">
        <v>0</v>
      </c>
      <c r="R296" s="2" t="inlineStr"/>
    </row>
    <row r="297" ht="15" customHeight="1">
      <c r="A297" t="inlineStr">
        <is>
          <t>A 52531-2023</t>
        </is>
      </c>
      <c r="B297" s="1" t="n">
        <v>45225</v>
      </c>
      <c r="C297" s="1" t="n">
        <v>46113</v>
      </c>
      <c r="D297" t="inlineStr">
        <is>
          <t>ÖSTERGÖTLANDS LÄN</t>
        </is>
      </c>
      <c r="E297" t="inlineStr">
        <is>
          <t>LINKÖPING</t>
        </is>
      </c>
      <c r="F297" t="inlineStr">
        <is>
          <t>Övriga Aktiebolag</t>
        </is>
      </c>
      <c r="G297" t="n">
        <v>1</v>
      </c>
      <c r="H297" t="n">
        <v>0</v>
      </c>
      <c r="I297" t="n">
        <v>0</v>
      </c>
      <c r="J297" t="n">
        <v>0</v>
      </c>
      <c r="K297" t="n">
        <v>0</v>
      </c>
      <c r="L297" t="n">
        <v>0</v>
      </c>
      <c r="M297" t="n">
        <v>0</v>
      </c>
      <c r="N297" t="n">
        <v>0</v>
      </c>
      <c r="O297" t="n">
        <v>0</v>
      </c>
      <c r="P297" t="n">
        <v>0</v>
      </c>
      <c r="Q297" t="n">
        <v>0</v>
      </c>
      <c r="R297" s="2" t="inlineStr"/>
    </row>
    <row r="298" ht="15" customHeight="1">
      <c r="A298" t="inlineStr">
        <is>
          <t>A 34930-2023</t>
        </is>
      </c>
      <c r="B298" s="1" t="n">
        <v>45142</v>
      </c>
      <c r="C298" s="1" t="n">
        <v>46113</v>
      </c>
      <c r="D298" t="inlineStr">
        <is>
          <t>ÖSTERGÖTLANDS LÄN</t>
        </is>
      </c>
      <c r="E298" t="inlineStr">
        <is>
          <t>LINKÖPING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24351-2024</t>
        </is>
      </c>
      <c r="B299" s="1" t="n">
        <v>45457.59011574074</v>
      </c>
      <c r="C299" s="1" t="n">
        <v>46113</v>
      </c>
      <c r="D299" t="inlineStr">
        <is>
          <t>ÖSTERGÖTLANDS LÄN</t>
        </is>
      </c>
      <c r="E299" t="inlineStr">
        <is>
          <t>LINKÖPING</t>
        </is>
      </c>
      <c r="G299" t="n">
        <v>11.9</v>
      </c>
      <c r="H299" t="n">
        <v>0</v>
      </c>
      <c r="I299" t="n">
        <v>0</v>
      </c>
      <c r="J299" t="n">
        <v>0</v>
      </c>
      <c r="K299" t="n">
        <v>0</v>
      </c>
      <c r="L299" t="n">
        <v>0</v>
      </c>
      <c r="M299" t="n">
        <v>0</v>
      </c>
      <c r="N299" t="n">
        <v>0</v>
      </c>
      <c r="O299" t="n">
        <v>0</v>
      </c>
      <c r="P299" t="n">
        <v>0</v>
      </c>
      <c r="Q299" t="n">
        <v>0</v>
      </c>
      <c r="R299" s="2" t="inlineStr"/>
    </row>
    <row r="300" ht="15" customHeight="1">
      <c r="A300" t="inlineStr">
        <is>
          <t>A 30985-2022</t>
        </is>
      </c>
      <c r="B300" s="1" t="n">
        <v>44768</v>
      </c>
      <c r="C300" s="1" t="n">
        <v>46113</v>
      </c>
      <c r="D300" t="inlineStr">
        <is>
          <t>ÖSTERGÖTLANDS LÄN</t>
        </is>
      </c>
      <c r="E300" t="inlineStr">
        <is>
          <t>LINKÖPING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62501-2023</t>
        </is>
      </c>
      <c r="B301" s="1" t="n">
        <v>45268</v>
      </c>
      <c r="C301" s="1" t="n">
        <v>46113</v>
      </c>
      <c r="D301" t="inlineStr">
        <is>
          <t>ÖSTERGÖTLANDS LÄN</t>
        </is>
      </c>
      <c r="E301" t="inlineStr">
        <is>
          <t>LINKÖPING</t>
        </is>
      </c>
      <c r="G301" t="n">
        <v>7.4</v>
      </c>
      <c r="H301" t="n">
        <v>0</v>
      </c>
      <c r="I301" t="n">
        <v>0</v>
      </c>
      <c r="J301" t="n">
        <v>0</v>
      </c>
      <c r="K301" t="n">
        <v>0</v>
      </c>
      <c r="L301" t="n">
        <v>0</v>
      </c>
      <c r="M301" t="n">
        <v>0</v>
      </c>
      <c r="N301" t="n">
        <v>0</v>
      </c>
      <c r="O301" t="n">
        <v>0</v>
      </c>
      <c r="P301" t="n">
        <v>0</v>
      </c>
      <c r="Q301" t="n">
        <v>0</v>
      </c>
      <c r="R301" s="2" t="inlineStr"/>
    </row>
    <row r="302" ht="15" customHeight="1">
      <c r="A302" t="inlineStr">
        <is>
          <t>A 58947-2022</t>
        </is>
      </c>
      <c r="B302" s="1" t="n">
        <v>44903.64769675926</v>
      </c>
      <c r="C302" s="1" t="n">
        <v>46113</v>
      </c>
      <c r="D302" t="inlineStr">
        <is>
          <t>ÖSTERGÖTLANDS LÄN</t>
        </is>
      </c>
      <c r="E302" t="inlineStr">
        <is>
          <t>LINKÖPING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49979-2022</t>
        </is>
      </c>
      <c r="B303" s="1" t="n">
        <v>44865</v>
      </c>
      <c r="C303" s="1" t="n">
        <v>46113</v>
      </c>
      <c r="D303" t="inlineStr">
        <is>
          <t>ÖSTERGÖTLANDS LÄN</t>
        </is>
      </c>
      <c r="E303" t="inlineStr">
        <is>
          <t>LINKÖPING</t>
        </is>
      </c>
      <c r="F303" t="inlineStr">
        <is>
          <t>Övriga Aktiebolag</t>
        </is>
      </c>
      <c r="G303" t="n">
        <v>11.4</v>
      </c>
      <c r="H303" t="n">
        <v>0</v>
      </c>
      <c r="I303" t="n">
        <v>0</v>
      </c>
      <c r="J303" t="n">
        <v>0</v>
      </c>
      <c r="K303" t="n">
        <v>0</v>
      </c>
      <c r="L303" t="n">
        <v>0</v>
      </c>
      <c r="M303" t="n">
        <v>0</v>
      </c>
      <c r="N303" t="n">
        <v>0</v>
      </c>
      <c r="O303" t="n">
        <v>0</v>
      </c>
      <c r="P303" t="n">
        <v>0</v>
      </c>
      <c r="Q303" t="n">
        <v>0</v>
      </c>
      <c r="R303" s="2" t="inlineStr"/>
    </row>
    <row r="304" ht="15" customHeight="1">
      <c r="A304" t="inlineStr">
        <is>
          <t>A 53827-2023</t>
        </is>
      </c>
      <c r="B304" s="1" t="n">
        <v>45230</v>
      </c>
      <c r="C304" s="1" t="n">
        <v>46113</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940-2023</t>
        </is>
      </c>
      <c r="B305" s="1" t="n">
        <v>44933</v>
      </c>
      <c r="C305" s="1" t="n">
        <v>46113</v>
      </c>
      <c r="D305" t="inlineStr">
        <is>
          <t>ÖSTERGÖTLANDS LÄN</t>
        </is>
      </c>
      <c r="E305" t="inlineStr">
        <is>
          <t>LINKÖPING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43755-2025</t>
        </is>
      </c>
      <c r="B306" s="1" t="n">
        <v>45912.47329861111</v>
      </c>
      <c r="C306" s="1" t="n">
        <v>46113</v>
      </c>
      <c r="D306" t="inlineStr">
        <is>
          <t>ÖSTERGÖTLANDS LÄN</t>
        </is>
      </c>
      <c r="E306" t="inlineStr">
        <is>
          <t>LINKÖPING</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7992-2023</t>
        </is>
      </c>
      <c r="B307" s="1" t="n">
        <v>44970</v>
      </c>
      <c r="C307" s="1" t="n">
        <v>46113</v>
      </c>
      <c r="D307" t="inlineStr">
        <is>
          <t>ÖSTERGÖTLANDS LÄN</t>
        </is>
      </c>
      <c r="E307" t="inlineStr">
        <is>
          <t>LINKÖPING</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45819-2024</t>
        </is>
      </c>
      <c r="B308" s="1" t="n">
        <v>45579.7454050926</v>
      </c>
      <c r="C308" s="1" t="n">
        <v>46113</v>
      </c>
      <c r="D308" t="inlineStr">
        <is>
          <t>ÖSTERGÖTLANDS LÄN</t>
        </is>
      </c>
      <c r="E308" t="inlineStr">
        <is>
          <t>LINKÖPING</t>
        </is>
      </c>
      <c r="G308" t="n">
        <v>5</v>
      </c>
      <c r="H308" t="n">
        <v>0</v>
      </c>
      <c r="I308" t="n">
        <v>0</v>
      </c>
      <c r="J308" t="n">
        <v>0</v>
      </c>
      <c r="K308" t="n">
        <v>0</v>
      </c>
      <c r="L308" t="n">
        <v>0</v>
      </c>
      <c r="M308" t="n">
        <v>0</v>
      </c>
      <c r="N308" t="n">
        <v>0</v>
      </c>
      <c r="O308" t="n">
        <v>0</v>
      </c>
      <c r="P308" t="n">
        <v>0</v>
      </c>
      <c r="Q308" t="n">
        <v>0</v>
      </c>
      <c r="R308" s="2" t="inlineStr"/>
    </row>
    <row r="309" ht="15" customHeight="1">
      <c r="A309" t="inlineStr">
        <is>
          <t>A 43753-2025</t>
        </is>
      </c>
      <c r="B309" s="1" t="n">
        <v>45912.4715625</v>
      </c>
      <c r="C309" s="1" t="n">
        <v>46113</v>
      </c>
      <c r="D309" t="inlineStr">
        <is>
          <t>ÖSTERGÖTLANDS LÄN</t>
        </is>
      </c>
      <c r="E309" t="inlineStr">
        <is>
          <t>LINKÖPING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43758-2025</t>
        </is>
      </c>
      <c r="B310" s="1" t="n">
        <v>45912.47711805555</v>
      </c>
      <c r="C310" s="1" t="n">
        <v>46113</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3041-2024</t>
        </is>
      </c>
      <c r="B311" s="1" t="n">
        <v>45316.34875</v>
      </c>
      <c r="C311" s="1" t="n">
        <v>46113</v>
      </c>
      <c r="D311" t="inlineStr">
        <is>
          <t>ÖSTERGÖTLANDS LÄN</t>
        </is>
      </c>
      <c r="E311" t="inlineStr">
        <is>
          <t>LINKÖPING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44170-2025</t>
        </is>
      </c>
      <c r="B312" s="1" t="n">
        <v>45915.59864583334</v>
      </c>
      <c r="C312" s="1" t="n">
        <v>46113</v>
      </c>
      <c r="D312" t="inlineStr">
        <is>
          <t>ÖSTERGÖTLANDS LÄN</t>
        </is>
      </c>
      <c r="E312" t="inlineStr">
        <is>
          <t>LINKÖPING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59642-2024</t>
        </is>
      </c>
      <c r="B313" s="1" t="n">
        <v>45639.31511574074</v>
      </c>
      <c r="C313" s="1" t="n">
        <v>46113</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15748-2025</t>
        </is>
      </c>
      <c r="B314" s="1" t="n">
        <v>45748.55282407408</v>
      </c>
      <c r="C314" s="1" t="n">
        <v>46113</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31792-2021</t>
        </is>
      </c>
      <c r="B315" s="1" t="n">
        <v>44369</v>
      </c>
      <c r="C315" s="1" t="n">
        <v>46113</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25097-2023</t>
        </is>
      </c>
      <c r="B316" s="1" t="n">
        <v>45086</v>
      </c>
      <c r="C316" s="1" t="n">
        <v>46113</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35735-2023</t>
        </is>
      </c>
      <c r="B317" s="1" t="n">
        <v>45147</v>
      </c>
      <c r="C317" s="1" t="n">
        <v>46113</v>
      </c>
      <c r="D317" t="inlineStr">
        <is>
          <t>ÖSTERGÖTLANDS LÄN</t>
        </is>
      </c>
      <c r="E317" t="inlineStr">
        <is>
          <t>LINKÖPING</t>
        </is>
      </c>
      <c r="G317" t="n">
        <v>2.8</v>
      </c>
      <c r="H317" t="n">
        <v>0</v>
      </c>
      <c r="I317" t="n">
        <v>0</v>
      </c>
      <c r="J317" t="n">
        <v>0</v>
      </c>
      <c r="K317" t="n">
        <v>0</v>
      </c>
      <c r="L317" t="n">
        <v>0</v>
      </c>
      <c r="M317" t="n">
        <v>0</v>
      </c>
      <c r="N317" t="n">
        <v>0</v>
      </c>
      <c r="O317" t="n">
        <v>0</v>
      </c>
      <c r="P317" t="n">
        <v>0</v>
      </c>
      <c r="Q317" t="n">
        <v>0</v>
      </c>
      <c r="R317" s="2" t="inlineStr"/>
    </row>
    <row r="318" ht="15" customHeight="1">
      <c r="A318" t="inlineStr">
        <is>
          <t>A 16462-2021</t>
        </is>
      </c>
      <c r="B318" s="1" t="n">
        <v>44293</v>
      </c>
      <c r="C318" s="1" t="n">
        <v>46113</v>
      </c>
      <c r="D318" t="inlineStr">
        <is>
          <t>ÖSTERGÖTLANDS LÄN</t>
        </is>
      </c>
      <c r="E318" t="inlineStr">
        <is>
          <t>LINKÖPING</t>
        </is>
      </c>
      <c r="F318" t="inlineStr">
        <is>
          <t>Allmännings- och besparingsskogar</t>
        </is>
      </c>
      <c r="G318" t="n">
        <v>24.7</v>
      </c>
      <c r="H318" t="n">
        <v>0</v>
      </c>
      <c r="I318" t="n">
        <v>0</v>
      </c>
      <c r="J318" t="n">
        <v>0</v>
      </c>
      <c r="K318" t="n">
        <v>0</v>
      </c>
      <c r="L318" t="n">
        <v>0</v>
      </c>
      <c r="M318" t="n">
        <v>0</v>
      </c>
      <c r="N318" t="n">
        <v>0</v>
      </c>
      <c r="O318" t="n">
        <v>0</v>
      </c>
      <c r="P318" t="n">
        <v>0</v>
      </c>
      <c r="Q318" t="n">
        <v>0</v>
      </c>
      <c r="R318" s="2" t="inlineStr"/>
    </row>
    <row r="319" ht="15" customHeight="1">
      <c r="A319" t="inlineStr">
        <is>
          <t>A 25776-2021</t>
        </is>
      </c>
      <c r="B319" s="1" t="n">
        <v>44343</v>
      </c>
      <c r="C319" s="1" t="n">
        <v>46113</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30856-2022</t>
        </is>
      </c>
      <c r="B320" s="1" t="n">
        <v>44767</v>
      </c>
      <c r="C320" s="1" t="n">
        <v>46113</v>
      </c>
      <c r="D320" t="inlineStr">
        <is>
          <t>ÖSTERGÖTLANDS LÄN</t>
        </is>
      </c>
      <c r="E320" t="inlineStr">
        <is>
          <t>LINKÖPING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3530-2024</t>
        </is>
      </c>
      <c r="B321" s="1" t="n">
        <v>45320.54717592592</v>
      </c>
      <c r="C321" s="1" t="n">
        <v>46113</v>
      </c>
      <c r="D321" t="inlineStr">
        <is>
          <t>ÖSTERGÖTLANDS LÄN</t>
        </is>
      </c>
      <c r="E321" t="inlineStr">
        <is>
          <t>LINKÖPING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19187-2021</t>
        </is>
      </c>
      <c r="B322" s="1" t="n">
        <v>44308</v>
      </c>
      <c r="C322" s="1" t="n">
        <v>46113</v>
      </c>
      <c r="D322" t="inlineStr">
        <is>
          <t>ÖSTERGÖTLANDS LÄN</t>
        </is>
      </c>
      <c r="E322" t="inlineStr">
        <is>
          <t>LINKÖPING</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62686-2023</t>
        </is>
      </c>
      <c r="B323" s="1" t="n">
        <v>45271</v>
      </c>
      <c r="C323" s="1" t="n">
        <v>46113</v>
      </c>
      <c r="D323" t="inlineStr">
        <is>
          <t>ÖSTERGÖTLANDS LÄN</t>
        </is>
      </c>
      <c r="E323" t="inlineStr">
        <is>
          <t>LINKÖPING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46113</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39219-2021</t>
        </is>
      </c>
      <c r="B325" s="1" t="n">
        <v>44413</v>
      </c>
      <c r="C325" s="1" t="n">
        <v>46113</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39224-2021</t>
        </is>
      </c>
      <c r="B326" s="1" t="n">
        <v>44413</v>
      </c>
      <c r="C326" s="1" t="n">
        <v>46113</v>
      </c>
      <c r="D326" t="inlineStr">
        <is>
          <t>ÖSTERGÖTLANDS LÄN</t>
        </is>
      </c>
      <c r="E326" t="inlineStr">
        <is>
          <t>LINKÖPING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44764-2025</t>
        </is>
      </c>
      <c r="B327" s="1" t="n">
        <v>45917.72821759259</v>
      </c>
      <c r="C327" s="1" t="n">
        <v>46113</v>
      </c>
      <c r="D327" t="inlineStr">
        <is>
          <t>ÖSTERGÖTLANDS LÄN</t>
        </is>
      </c>
      <c r="E327" t="inlineStr">
        <is>
          <t>LINKÖPING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55345-2021</t>
        </is>
      </c>
      <c r="B328" s="1" t="n">
        <v>44475</v>
      </c>
      <c r="C328" s="1" t="n">
        <v>46113</v>
      </c>
      <c r="D328" t="inlineStr">
        <is>
          <t>ÖSTERGÖTLANDS LÄN</t>
        </is>
      </c>
      <c r="E328" t="inlineStr">
        <is>
          <t>LINKÖPING</t>
        </is>
      </c>
      <c r="G328" t="n">
        <v>5.7</v>
      </c>
      <c r="H328" t="n">
        <v>0</v>
      </c>
      <c r="I328" t="n">
        <v>0</v>
      </c>
      <c r="J328" t="n">
        <v>0</v>
      </c>
      <c r="K328" t="n">
        <v>0</v>
      </c>
      <c r="L328" t="n">
        <v>0</v>
      </c>
      <c r="M328" t="n">
        <v>0</v>
      </c>
      <c r="N328" t="n">
        <v>0</v>
      </c>
      <c r="O328" t="n">
        <v>0</v>
      </c>
      <c r="P328" t="n">
        <v>0</v>
      </c>
      <c r="Q328" t="n">
        <v>0</v>
      </c>
      <c r="R328" s="2" t="inlineStr"/>
    </row>
    <row r="329" ht="15" customHeight="1">
      <c r="A329" t="inlineStr">
        <is>
          <t>A 63489-2023</t>
        </is>
      </c>
      <c r="B329" s="1" t="n">
        <v>45274.66761574074</v>
      </c>
      <c r="C329" s="1" t="n">
        <v>46113</v>
      </c>
      <c r="D329" t="inlineStr">
        <is>
          <t>ÖSTERGÖTLANDS LÄN</t>
        </is>
      </c>
      <c r="E329" t="inlineStr">
        <is>
          <t>LINKÖPING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70-2024</t>
        </is>
      </c>
      <c r="B330" s="1" t="n">
        <v>45293</v>
      </c>
      <c r="C330" s="1" t="n">
        <v>46113</v>
      </c>
      <c r="D330" t="inlineStr">
        <is>
          <t>ÖSTERGÖTLANDS LÄN</t>
        </is>
      </c>
      <c r="E330" t="inlineStr">
        <is>
          <t>LINKÖPING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6782-2024</t>
        </is>
      </c>
      <c r="B331" s="1" t="n">
        <v>45342</v>
      </c>
      <c r="C331" s="1" t="n">
        <v>46113</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617-2024</t>
        </is>
      </c>
      <c r="B332" s="1" t="n">
        <v>45299.66028935185</v>
      </c>
      <c r="C332" s="1" t="n">
        <v>46113</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43934-2023</t>
        </is>
      </c>
      <c r="B333" s="1" t="n">
        <v>45187</v>
      </c>
      <c r="C333" s="1" t="n">
        <v>46113</v>
      </c>
      <c r="D333" t="inlineStr">
        <is>
          <t>ÖSTERGÖTLANDS LÄN</t>
        </is>
      </c>
      <c r="E333" t="inlineStr">
        <is>
          <t>LINKÖPING</t>
        </is>
      </c>
      <c r="F333" t="inlineStr">
        <is>
          <t>Övriga Aktiebolag</t>
        </is>
      </c>
      <c r="G333" t="n">
        <v>3.8</v>
      </c>
      <c r="H333" t="n">
        <v>0</v>
      </c>
      <c r="I333" t="n">
        <v>0</v>
      </c>
      <c r="J333" t="n">
        <v>0</v>
      </c>
      <c r="K333" t="n">
        <v>0</v>
      </c>
      <c r="L333" t="n">
        <v>0</v>
      </c>
      <c r="M333" t="n">
        <v>0</v>
      </c>
      <c r="N333" t="n">
        <v>0</v>
      </c>
      <c r="O333" t="n">
        <v>0</v>
      </c>
      <c r="P333" t="n">
        <v>0</v>
      </c>
      <c r="Q333" t="n">
        <v>0</v>
      </c>
      <c r="R333" s="2" t="inlineStr"/>
    </row>
    <row r="334" ht="15" customHeight="1">
      <c r="A334" t="inlineStr">
        <is>
          <t>A 670-2024</t>
        </is>
      </c>
      <c r="B334" s="1" t="n">
        <v>45300.3408912037</v>
      </c>
      <c r="C334" s="1" t="n">
        <v>46113</v>
      </c>
      <c r="D334" t="inlineStr">
        <is>
          <t>ÖSTERGÖTLANDS LÄN</t>
        </is>
      </c>
      <c r="E334" t="inlineStr">
        <is>
          <t>LINKÖPING</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52125-2022</t>
        </is>
      </c>
      <c r="B335" s="1" t="n">
        <v>44873</v>
      </c>
      <c r="C335" s="1" t="n">
        <v>46113</v>
      </c>
      <c r="D335" t="inlineStr">
        <is>
          <t>ÖSTERGÖTLANDS LÄN</t>
        </is>
      </c>
      <c r="E335" t="inlineStr">
        <is>
          <t>LINKÖPING</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45112-2025</t>
        </is>
      </c>
      <c r="B336" s="1" t="n">
        <v>45919</v>
      </c>
      <c r="C336" s="1" t="n">
        <v>46113</v>
      </c>
      <c r="D336" t="inlineStr">
        <is>
          <t>ÖSTERGÖTLANDS LÄN</t>
        </is>
      </c>
      <c r="E336" t="inlineStr">
        <is>
          <t>LINKÖPING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1084-2023</t>
        </is>
      </c>
      <c r="B337" s="1" t="n">
        <v>44929</v>
      </c>
      <c r="C337" s="1" t="n">
        <v>46113</v>
      </c>
      <c r="D337" t="inlineStr">
        <is>
          <t>ÖSTERGÖTLANDS LÄN</t>
        </is>
      </c>
      <c r="E337" t="inlineStr">
        <is>
          <t>LINKÖPING</t>
        </is>
      </c>
      <c r="G337" t="n">
        <v>10.4</v>
      </c>
      <c r="H337" t="n">
        <v>0</v>
      </c>
      <c r="I337" t="n">
        <v>0</v>
      </c>
      <c r="J337" t="n">
        <v>0</v>
      </c>
      <c r="K337" t="n">
        <v>0</v>
      </c>
      <c r="L337" t="n">
        <v>0</v>
      </c>
      <c r="M337" t="n">
        <v>0</v>
      </c>
      <c r="N337" t="n">
        <v>0</v>
      </c>
      <c r="O337" t="n">
        <v>0</v>
      </c>
      <c r="P337" t="n">
        <v>0</v>
      </c>
      <c r="Q337" t="n">
        <v>0</v>
      </c>
      <c r="R337" s="2" t="inlineStr"/>
    </row>
    <row r="338" ht="15" customHeight="1">
      <c r="A338" t="inlineStr">
        <is>
          <t>A 44280-2024</t>
        </is>
      </c>
      <c r="B338" s="1" t="n">
        <v>45573.49461805556</v>
      </c>
      <c r="C338" s="1" t="n">
        <v>46113</v>
      </c>
      <c r="D338" t="inlineStr">
        <is>
          <t>ÖSTERGÖTLANDS LÄN</t>
        </is>
      </c>
      <c r="E338" t="inlineStr">
        <is>
          <t>LINKÖPING</t>
        </is>
      </c>
      <c r="G338" t="n">
        <v>5.3</v>
      </c>
      <c r="H338" t="n">
        <v>0</v>
      </c>
      <c r="I338" t="n">
        <v>0</v>
      </c>
      <c r="J338" t="n">
        <v>0</v>
      </c>
      <c r="K338" t="n">
        <v>0</v>
      </c>
      <c r="L338" t="n">
        <v>0</v>
      </c>
      <c r="M338" t="n">
        <v>0</v>
      </c>
      <c r="N338" t="n">
        <v>0</v>
      </c>
      <c r="O338" t="n">
        <v>0</v>
      </c>
      <c r="P338" t="n">
        <v>0</v>
      </c>
      <c r="Q338" t="n">
        <v>0</v>
      </c>
      <c r="R338" s="2" t="inlineStr"/>
    </row>
    <row r="339" ht="15" customHeight="1">
      <c r="A339" t="inlineStr">
        <is>
          <t>A 29859-2024</t>
        </is>
      </c>
      <c r="B339" s="1" t="n">
        <v>45485.6846412037</v>
      </c>
      <c r="C339" s="1" t="n">
        <v>46113</v>
      </c>
      <c r="D339" t="inlineStr">
        <is>
          <t>ÖSTERGÖTLANDS LÄN</t>
        </is>
      </c>
      <c r="E339" t="inlineStr">
        <is>
          <t>LINKÖPING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51571-2024</t>
        </is>
      </c>
      <c r="B340" s="1" t="n">
        <v>45604</v>
      </c>
      <c r="C340" s="1" t="n">
        <v>46113</v>
      </c>
      <c r="D340" t="inlineStr">
        <is>
          <t>ÖSTERGÖTLANDS LÄN</t>
        </is>
      </c>
      <c r="E340" t="inlineStr">
        <is>
          <t>LINKÖPING</t>
        </is>
      </c>
      <c r="F340" t="inlineStr">
        <is>
          <t>Övriga Aktiebolag</t>
        </is>
      </c>
      <c r="G340" t="n">
        <v>1.4</v>
      </c>
      <c r="H340" t="n">
        <v>0</v>
      </c>
      <c r="I340" t="n">
        <v>0</v>
      </c>
      <c r="J340" t="n">
        <v>0</v>
      </c>
      <c r="K340" t="n">
        <v>0</v>
      </c>
      <c r="L340" t="n">
        <v>0</v>
      </c>
      <c r="M340" t="n">
        <v>0</v>
      </c>
      <c r="N340" t="n">
        <v>0</v>
      </c>
      <c r="O340" t="n">
        <v>0</v>
      </c>
      <c r="P340" t="n">
        <v>0</v>
      </c>
      <c r="Q340" t="n">
        <v>0</v>
      </c>
      <c r="R340" s="2" t="inlineStr"/>
    </row>
    <row r="341" ht="15" customHeight="1">
      <c r="A341" t="inlineStr">
        <is>
          <t>A 223-2024</t>
        </is>
      </c>
      <c r="B341" s="1" t="n">
        <v>45294.72739583333</v>
      </c>
      <c r="C341" s="1" t="n">
        <v>46113</v>
      </c>
      <c r="D341" t="inlineStr">
        <is>
          <t>ÖSTERGÖTLANDS LÄN</t>
        </is>
      </c>
      <c r="E341" t="inlineStr">
        <is>
          <t>LINKÖPING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227-2024</t>
        </is>
      </c>
      <c r="B342" s="1" t="n">
        <v>45294.73603009259</v>
      </c>
      <c r="C342" s="1" t="n">
        <v>46113</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45634-2025</t>
        </is>
      </c>
      <c r="B343" s="1" t="n">
        <v>45922.85089120371</v>
      </c>
      <c r="C343" s="1" t="n">
        <v>46113</v>
      </c>
      <c r="D343" t="inlineStr">
        <is>
          <t>ÖSTERGÖTLANDS LÄN</t>
        </is>
      </c>
      <c r="E343" t="inlineStr">
        <is>
          <t>LINKÖPING</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7354-2025</t>
        </is>
      </c>
      <c r="B344" s="1" t="n">
        <v>45704.41174768518</v>
      </c>
      <c r="C344" s="1" t="n">
        <v>46113</v>
      </c>
      <c r="D344" t="inlineStr">
        <is>
          <t>ÖSTERGÖTLANDS LÄN</t>
        </is>
      </c>
      <c r="E344" t="inlineStr">
        <is>
          <t>LINKÖPING</t>
        </is>
      </c>
      <c r="G344" t="n">
        <v>4.8</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46113</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46113</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56917-2022</t>
        </is>
      </c>
      <c r="B347" s="1" t="n">
        <v>44894</v>
      </c>
      <c r="C347" s="1" t="n">
        <v>46113</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63935-2021</t>
        </is>
      </c>
      <c r="B348" s="1" t="n">
        <v>44509</v>
      </c>
      <c r="C348" s="1" t="n">
        <v>46113</v>
      </c>
      <c r="D348" t="inlineStr">
        <is>
          <t>ÖSTERGÖTLANDS LÄN</t>
        </is>
      </c>
      <c r="E348" t="inlineStr">
        <is>
          <t>LINKÖPING</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1265-2023</t>
        </is>
      </c>
      <c r="B349" s="1" t="n">
        <v>44936</v>
      </c>
      <c r="C349" s="1" t="n">
        <v>46113</v>
      </c>
      <c r="D349" t="inlineStr">
        <is>
          <t>ÖSTERGÖTLANDS LÄN</t>
        </is>
      </c>
      <c r="E349" t="inlineStr">
        <is>
          <t>LINKÖPING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1362-2023</t>
        </is>
      </c>
      <c r="B350" s="1" t="n">
        <v>44931</v>
      </c>
      <c r="C350" s="1" t="n">
        <v>46113</v>
      </c>
      <c r="D350" t="inlineStr">
        <is>
          <t>ÖSTERGÖTLANDS LÄN</t>
        </is>
      </c>
      <c r="E350" t="inlineStr">
        <is>
          <t>LINKÖPING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54034-2022</t>
        </is>
      </c>
      <c r="B351" s="1" t="n">
        <v>44881</v>
      </c>
      <c r="C351" s="1" t="n">
        <v>46113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55493-2021</t>
        </is>
      </c>
      <c r="B352" s="1" t="n">
        <v>44475.61988425926</v>
      </c>
      <c r="C352" s="1" t="n">
        <v>46113</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40810-2022</t>
        </is>
      </c>
      <c r="B353" s="1" t="n">
        <v>44824</v>
      </c>
      <c r="C353" s="1" t="n">
        <v>46113</v>
      </c>
      <c r="D353" t="inlineStr">
        <is>
          <t>ÖSTERGÖTLANDS LÄN</t>
        </is>
      </c>
      <c r="E353" t="inlineStr">
        <is>
          <t>LINKÖPING</t>
        </is>
      </c>
      <c r="G353" t="n">
        <v>2.8</v>
      </c>
      <c r="H353" t="n">
        <v>0</v>
      </c>
      <c r="I353" t="n">
        <v>0</v>
      </c>
      <c r="J353" t="n">
        <v>0</v>
      </c>
      <c r="K353" t="n">
        <v>0</v>
      </c>
      <c r="L353" t="n">
        <v>0</v>
      </c>
      <c r="M353" t="n">
        <v>0</v>
      </c>
      <c r="N353" t="n">
        <v>0</v>
      </c>
      <c r="O353" t="n">
        <v>0</v>
      </c>
      <c r="P353" t="n">
        <v>0</v>
      </c>
      <c r="Q353" t="n">
        <v>0</v>
      </c>
      <c r="R353" s="2" t="inlineStr"/>
    </row>
    <row r="354" ht="15" customHeight="1">
      <c r="A354" t="inlineStr">
        <is>
          <t>A 46428-2025</t>
        </is>
      </c>
      <c r="B354" s="1" t="n">
        <v>45925.60758101852</v>
      </c>
      <c r="C354" s="1" t="n">
        <v>46113</v>
      </c>
      <c r="D354" t="inlineStr">
        <is>
          <t>ÖSTERGÖTLANDS LÄN</t>
        </is>
      </c>
      <c r="E354" t="inlineStr">
        <is>
          <t>LINKÖPING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46426-2025</t>
        </is>
      </c>
      <c r="B355" s="1" t="n">
        <v>45925.6012962963</v>
      </c>
      <c r="C355" s="1" t="n">
        <v>46113</v>
      </c>
      <c r="D355" t="inlineStr">
        <is>
          <t>ÖSTERGÖTLANDS LÄN</t>
        </is>
      </c>
      <c r="E355" t="inlineStr">
        <is>
          <t>LINKÖPING</t>
        </is>
      </c>
      <c r="G355" t="n">
        <v>4.4</v>
      </c>
      <c r="H355" t="n">
        <v>0</v>
      </c>
      <c r="I355" t="n">
        <v>0</v>
      </c>
      <c r="J355" t="n">
        <v>0</v>
      </c>
      <c r="K355" t="n">
        <v>0</v>
      </c>
      <c r="L355" t="n">
        <v>0</v>
      </c>
      <c r="M355" t="n">
        <v>0</v>
      </c>
      <c r="N355" t="n">
        <v>0</v>
      </c>
      <c r="O355" t="n">
        <v>0</v>
      </c>
      <c r="P355" t="n">
        <v>0</v>
      </c>
      <c r="Q355" t="n">
        <v>0</v>
      </c>
      <c r="R355" s="2" t="inlineStr"/>
    </row>
    <row r="356" ht="15" customHeight="1">
      <c r="A356" t="inlineStr">
        <is>
          <t>A 6054-2022</t>
        </is>
      </c>
      <c r="B356" s="1" t="n">
        <v>44599.53623842593</v>
      </c>
      <c r="C356" s="1" t="n">
        <v>46113</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25119-2023</t>
        </is>
      </c>
      <c r="B357" s="1" t="n">
        <v>45086.42326388889</v>
      </c>
      <c r="C357" s="1" t="n">
        <v>46113</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46377-2025</t>
        </is>
      </c>
      <c r="B358" s="1" t="n">
        <v>45925.51773148148</v>
      </c>
      <c r="C358" s="1" t="n">
        <v>46113</v>
      </c>
      <c r="D358" t="inlineStr">
        <is>
          <t>ÖSTERGÖTLANDS LÄN</t>
        </is>
      </c>
      <c r="E358" t="inlineStr">
        <is>
          <t>LINKÖPING</t>
        </is>
      </c>
      <c r="G358" t="n">
        <v>3.1</v>
      </c>
      <c r="H358" t="n">
        <v>0</v>
      </c>
      <c r="I358" t="n">
        <v>0</v>
      </c>
      <c r="J358" t="n">
        <v>0</v>
      </c>
      <c r="K358" t="n">
        <v>0</v>
      </c>
      <c r="L358" t="n">
        <v>0</v>
      </c>
      <c r="M358" t="n">
        <v>0</v>
      </c>
      <c r="N358" t="n">
        <v>0</v>
      </c>
      <c r="O358" t="n">
        <v>0</v>
      </c>
      <c r="P358" t="n">
        <v>0</v>
      </c>
      <c r="Q358" t="n">
        <v>0</v>
      </c>
      <c r="R358" s="2" t="inlineStr"/>
    </row>
    <row r="359" ht="15" customHeight="1">
      <c r="A359" t="inlineStr">
        <is>
          <t>A 4456-2024</t>
        </is>
      </c>
      <c r="B359" s="1" t="n">
        <v>45327.52847222222</v>
      </c>
      <c r="C359" s="1" t="n">
        <v>46113</v>
      </c>
      <c r="D359" t="inlineStr">
        <is>
          <t>ÖSTERGÖTLANDS LÄN</t>
        </is>
      </c>
      <c r="E359" t="inlineStr">
        <is>
          <t>LINKÖPING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20298-2025</t>
        </is>
      </c>
      <c r="B360" s="1" t="n">
        <v>45774.75024305555</v>
      </c>
      <c r="C360" s="1" t="n">
        <v>46113</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58114-2021</t>
        </is>
      </c>
      <c r="B361" s="1" t="n">
        <v>44487</v>
      </c>
      <c r="C361" s="1" t="n">
        <v>46113</v>
      </c>
      <c r="D361" t="inlineStr">
        <is>
          <t>ÖSTERGÖTLANDS LÄN</t>
        </is>
      </c>
      <c r="E361" t="inlineStr">
        <is>
          <t>LINKÖPING</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47304-2025</t>
        </is>
      </c>
      <c r="B362" s="1" t="n">
        <v>45930.52037037037</v>
      </c>
      <c r="C362" s="1" t="n">
        <v>46113</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14576-2023</t>
        </is>
      </c>
      <c r="B363" s="1" t="n">
        <v>45013</v>
      </c>
      <c r="C363" s="1" t="n">
        <v>46113</v>
      </c>
      <c r="D363" t="inlineStr">
        <is>
          <t>ÖSTERGÖTLANDS LÄN</t>
        </is>
      </c>
      <c r="E363" t="inlineStr">
        <is>
          <t>LINKÖPING</t>
        </is>
      </c>
      <c r="G363" t="n">
        <v>3.2</v>
      </c>
      <c r="H363" t="n">
        <v>0</v>
      </c>
      <c r="I363" t="n">
        <v>0</v>
      </c>
      <c r="J363" t="n">
        <v>0</v>
      </c>
      <c r="K363" t="n">
        <v>0</v>
      </c>
      <c r="L363" t="n">
        <v>0</v>
      </c>
      <c r="M363" t="n">
        <v>0</v>
      </c>
      <c r="N363" t="n">
        <v>0</v>
      </c>
      <c r="O363" t="n">
        <v>0</v>
      </c>
      <c r="P363" t="n">
        <v>0</v>
      </c>
      <c r="Q363" t="n">
        <v>0</v>
      </c>
      <c r="R363" s="2" t="inlineStr"/>
    </row>
    <row r="364" ht="15" customHeight="1">
      <c r="A364" t="inlineStr">
        <is>
          <t>A 47233-2025</t>
        </is>
      </c>
      <c r="B364" s="1" t="n">
        <v>45930.40612268518</v>
      </c>
      <c r="C364" s="1" t="n">
        <v>46113</v>
      </c>
      <c r="D364" t="inlineStr">
        <is>
          <t>ÖSTERGÖTLANDS LÄN</t>
        </is>
      </c>
      <c r="E364" t="inlineStr">
        <is>
          <t>LINKÖPING</t>
        </is>
      </c>
      <c r="G364" t="n">
        <v>4.3</v>
      </c>
      <c r="H364" t="n">
        <v>0</v>
      </c>
      <c r="I364" t="n">
        <v>0</v>
      </c>
      <c r="J364" t="n">
        <v>0</v>
      </c>
      <c r="K364" t="n">
        <v>0</v>
      </c>
      <c r="L364" t="n">
        <v>0</v>
      </c>
      <c r="M364" t="n">
        <v>0</v>
      </c>
      <c r="N364" t="n">
        <v>0</v>
      </c>
      <c r="O364" t="n">
        <v>0</v>
      </c>
      <c r="P364" t="n">
        <v>0</v>
      </c>
      <c r="Q364" t="n">
        <v>0</v>
      </c>
      <c r="R364" s="2" t="inlineStr"/>
    </row>
    <row r="365" ht="15" customHeight="1">
      <c r="A365" t="inlineStr">
        <is>
          <t>A 52892-2024</t>
        </is>
      </c>
      <c r="B365" s="1" t="n">
        <v>45610</v>
      </c>
      <c r="C365" s="1" t="n">
        <v>46113</v>
      </c>
      <c r="D365" t="inlineStr">
        <is>
          <t>ÖSTERGÖTLANDS LÄN</t>
        </is>
      </c>
      <c r="E365" t="inlineStr">
        <is>
          <t>LINKÖPING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12089-2025</t>
        </is>
      </c>
      <c r="B366" s="1" t="n">
        <v>45729</v>
      </c>
      <c r="C366" s="1" t="n">
        <v>46113</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3008-2023</t>
        </is>
      </c>
      <c r="B367" s="1" t="n">
        <v>44945.79784722222</v>
      </c>
      <c r="C367" s="1" t="n">
        <v>46113</v>
      </c>
      <c r="D367" t="inlineStr">
        <is>
          <t>ÖSTERGÖTLANDS LÄN</t>
        </is>
      </c>
      <c r="E367" t="inlineStr">
        <is>
          <t>LINKÖPING</t>
        </is>
      </c>
      <c r="G367" t="n">
        <v>19.3</v>
      </c>
      <c r="H367" t="n">
        <v>0</v>
      </c>
      <c r="I367" t="n">
        <v>0</v>
      </c>
      <c r="J367" t="n">
        <v>0</v>
      </c>
      <c r="K367" t="n">
        <v>0</v>
      </c>
      <c r="L367" t="n">
        <v>0</v>
      </c>
      <c r="M367" t="n">
        <v>0</v>
      </c>
      <c r="N367" t="n">
        <v>0</v>
      </c>
      <c r="O367" t="n">
        <v>0</v>
      </c>
      <c r="P367" t="n">
        <v>0</v>
      </c>
      <c r="Q367" t="n">
        <v>0</v>
      </c>
      <c r="R367" s="2" t="inlineStr"/>
    </row>
    <row r="368" ht="15" customHeight="1">
      <c r="A368" t="inlineStr">
        <is>
          <t>A 46847-2025</t>
        </is>
      </c>
      <c r="B368" s="1" t="n">
        <v>45928.69971064815</v>
      </c>
      <c r="C368" s="1" t="n">
        <v>46113</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48343-2025</t>
        </is>
      </c>
      <c r="B369" s="1" t="n">
        <v>45932</v>
      </c>
      <c r="C369" s="1" t="n">
        <v>46113</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47606-2025</t>
        </is>
      </c>
      <c r="B370" s="1" t="n">
        <v>45931.46402777778</v>
      </c>
      <c r="C370" s="1" t="n">
        <v>46113</v>
      </c>
      <c r="D370" t="inlineStr">
        <is>
          <t>ÖSTERGÖTLANDS LÄN</t>
        </is>
      </c>
      <c r="E370" t="inlineStr">
        <is>
          <t>LINKÖPING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55736-2022</t>
        </is>
      </c>
      <c r="B371" s="1" t="n">
        <v>44888</v>
      </c>
      <c r="C371" s="1" t="n">
        <v>46113</v>
      </c>
      <c r="D371" t="inlineStr">
        <is>
          <t>ÖSTERGÖTLANDS LÄN</t>
        </is>
      </c>
      <c r="E371" t="inlineStr">
        <is>
          <t>LINKÖPING</t>
        </is>
      </c>
      <c r="G371" t="n">
        <v>5.5</v>
      </c>
      <c r="H371" t="n">
        <v>0</v>
      </c>
      <c r="I371" t="n">
        <v>0</v>
      </c>
      <c r="J371" t="n">
        <v>0</v>
      </c>
      <c r="K371" t="n">
        <v>0</v>
      </c>
      <c r="L371" t="n">
        <v>0</v>
      </c>
      <c r="M371" t="n">
        <v>0</v>
      </c>
      <c r="N371" t="n">
        <v>0</v>
      </c>
      <c r="O371" t="n">
        <v>0</v>
      </c>
      <c r="P371" t="n">
        <v>0</v>
      </c>
      <c r="Q371" t="n">
        <v>0</v>
      </c>
      <c r="R371" s="2" t="inlineStr"/>
    </row>
    <row r="372" ht="15" customHeight="1">
      <c r="A372" t="inlineStr">
        <is>
          <t>A 48254-2025</t>
        </is>
      </c>
      <c r="B372" s="1" t="n">
        <v>45932</v>
      </c>
      <c r="C372" s="1" t="n">
        <v>46113</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48266-2025</t>
        </is>
      </c>
      <c r="B373" s="1" t="n">
        <v>45932</v>
      </c>
      <c r="C373" s="1" t="n">
        <v>46113</v>
      </c>
      <c r="D373" t="inlineStr">
        <is>
          <t>ÖSTERGÖTLANDS LÄN</t>
        </is>
      </c>
      <c r="E373" t="inlineStr">
        <is>
          <t>LINKÖPING</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62321-2022</t>
        </is>
      </c>
      <c r="B374" s="1" t="n">
        <v>44916</v>
      </c>
      <c r="C374" s="1" t="n">
        <v>46113</v>
      </c>
      <c r="D374" t="inlineStr">
        <is>
          <t>ÖSTERGÖTLANDS LÄN</t>
        </is>
      </c>
      <c r="E374" t="inlineStr">
        <is>
          <t>LINKÖPING</t>
        </is>
      </c>
      <c r="F374" t="inlineStr">
        <is>
          <t>Kommuner</t>
        </is>
      </c>
      <c r="G374" t="n">
        <v>5.3</v>
      </c>
      <c r="H374" t="n">
        <v>0</v>
      </c>
      <c r="I374" t="n">
        <v>0</v>
      </c>
      <c r="J374" t="n">
        <v>0</v>
      </c>
      <c r="K374" t="n">
        <v>0</v>
      </c>
      <c r="L374" t="n">
        <v>0</v>
      </c>
      <c r="M374" t="n">
        <v>0</v>
      </c>
      <c r="N374" t="n">
        <v>0</v>
      </c>
      <c r="O374" t="n">
        <v>0</v>
      </c>
      <c r="P374" t="n">
        <v>0</v>
      </c>
      <c r="Q374" t="n">
        <v>0</v>
      </c>
      <c r="R374" s="2" t="inlineStr"/>
    </row>
    <row r="375" ht="15" customHeight="1">
      <c r="A375" t="inlineStr">
        <is>
          <t>A 30434-2024</t>
        </is>
      </c>
      <c r="B375" s="1" t="n">
        <v>45491.69811342593</v>
      </c>
      <c r="C375" s="1" t="n">
        <v>46113</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43475-2024</t>
        </is>
      </c>
      <c r="B376" s="1" t="n">
        <v>45568</v>
      </c>
      <c r="C376" s="1" t="n">
        <v>46113</v>
      </c>
      <c r="D376" t="inlineStr">
        <is>
          <t>ÖSTERGÖTLANDS LÄN</t>
        </is>
      </c>
      <c r="E376" t="inlineStr">
        <is>
          <t>LINKÖPING</t>
        </is>
      </c>
      <c r="G376" t="n">
        <v>3.2</v>
      </c>
      <c r="H376" t="n">
        <v>0</v>
      </c>
      <c r="I376" t="n">
        <v>0</v>
      </c>
      <c r="J376" t="n">
        <v>0</v>
      </c>
      <c r="K376" t="n">
        <v>0</v>
      </c>
      <c r="L376" t="n">
        <v>0</v>
      </c>
      <c r="M376" t="n">
        <v>0</v>
      </c>
      <c r="N376" t="n">
        <v>0</v>
      </c>
      <c r="O376" t="n">
        <v>0</v>
      </c>
      <c r="P376" t="n">
        <v>0</v>
      </c>
      <c r="Q376" t="n">
        <v>0</v>
      </c>
      <c r="R376" s="2" t="inlineStr"/>
    </row>
    <row r="377" ht="15" customHeight="1">
      <c r="A377" t="inlineStr">
        <is>
          <t>A 17103-2025</t>
        </is>
      </c>
      <c r="B377" s="1" t="n">
        <v>45755.66143518518</v>
      </c>
      <c r="C377" s="1" t="n">
        <v>46113</v>
      </c>
      <c r="D377" t="inlineStr">
        <is>
          <t>ÖSTERGÖTLANDS LÄN</t>
        </is>
      </c>
      <c r="E377" t="inlineStr">
        <is>
          <t>LINKÖPING</t>
        </is>
      </c>
      <c r="G377" t="n">
        <v>1.9</v>
      </c>
      <c r="H377" t="n">
        <v>0</v>
      </c>
      <c r="I377" t="n">
        <v>0</v>
      </c>
      <c r="J377" t="n">
        <v>0</v>
      </c>
      <c r="K377" t="n">
        <v>0</v>
      </c>
      <c r="L377" t="n">
        <v>0</v>
      </c>
      <c r="M377" t="n">
        <v>0</v>
      </c>
      <c r="N377" t="n">
        <v>0</v>
      </c>
      <c r="O377" t="n">
        <v>0</v>
      </c>
      <c r="P377" t="n">
        <v>0</v>
      </c>
      <c r="Q377" t="n">
        <v>0</v>
      </c>
      <c r="R377" s="2" t="inlineStr"/>
    </row>
    <row r="378" ht="15" customHeight="1">
      <c r="A378" t="inlineStr">
        <is>
          <t>A 30551-2023</t>
        </is>
      </c>
      <c r="B378" s="1" t="n">
        <v>45111</v>
      </c>
      <c r="C378" s="1" t="n">
        <v>46113</v>
      </c>
      <c r="D378" t="inlineStr">
        <is>
          <t>ÖSTERGÖTLANDS LÄN</t>
        </is>
      </c>
      <c r="E378" t="inlineStr">
        <is>
          <t>LINKÖPING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50784-2022</t>
        </is>
      </c>
      <c r="B379" s="1" t="n">
        <v>44862</v>
      </c>
      <c r="C379" s="1" t="n">
        <v>46113</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11084-2022</t>
        </is>
      </c>
      <c r="B380" s="1" t="n">
        <v>44628</v>
      </c>
      <c r="C380" s="1" t="n">
        <v>46113</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22043-2023</t>
        </is>
      </c>
      <c r="B381" s="1" t="n">
        <v>45069.39050925926</v>
      </c>
      <c r="C381" s="1" t="n">
        <v>46113</v>
      </c>
      <c r="D381" t="inlineStr">
        <is>
          <t>ÖSTERGÖTLANDS LÄN</t>
        </is>
      </c>
      <c r="E381" t="inlineStr">
        <is>
          <t>LINKÖPING</t>
        </is>
      </c>
      <c r="G381" t="n">
        <v>5.9</v>
      </c>
      <c r="H381" t="n">
        <v>0</v>
      </c>
      <c r="I381" t="n">
        <v>0</v>
      </c>
      <c r="J381" t="n">
        <v>0</v>
      </c>
      <c r="K381" t="n">
        <v>0</v>
      </c>
      <c r="L381" t="n">
        <v>0</v>
      </c>
      <c r="M381" t="n">
        <v>0</v>
      </c>
      <c r="N381" t="n">
        <v>0</v>
      </c>
      <c r="O381" t="n">
        <v>0</v>
      </c>
      <c r="P381" t="n">
        <v>0</v>
      </c>
      <c r="Q381" t="n">
        <v>0</v>
      </c>
      <c r="R381" s="2" t="inlineStr"/>
    </row>
    <row r="382" ht="15" customHeight="1">
      <c r="A382" t="inlineStr">
        <is>
          <t>A 57745-2022</t>
        </is>
      </c>
      <c r="B382" s="1" t="n">
        <v>44897.58119212963</v>
      </c>
      <c r="C382" s="1" t="n">
        <v>46113</v>
      </c>
      <c r="D382" t="inlineStr">
        <is>
          <t>ÖSTERGÖTLANDS LÄN</t>
        </is>
      </c>
      <c r="E382" t="inlineStr">
        <is>
          <t>LINKÖPING</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49656-2021</t>
        </is>
      </c>
      <c r="B383" s="1" t="n">
        <v>44454</v>
      </c>
      <c r="C383" s="1" t="n">
        <v>46113</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14520-2025</t>
        </is>
      </c>
      <c r="B384" s="1" t="n">
        <v>45741</v>
      </c>
      <c r="C384" s="1" t="n">
        <v>46113</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25996-2025</t>
        </is>
      </c>
      <c r="B385" s="1" t="n">
        <v>45804.65851851852</v>
      </c>
      <c r="C385" s="1" t="n">
        <v>46113</v>
      </c>
      <c r="D385" t="inlineStr">
        <is>
          <t>ÖSTERGÖTLANDS LÄN</t>
        </is>
      </c>
      <c r="E385" t="inlineStr">
        <is>
          <t>LINKÖPING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30465-2023</t>
        </is>
      </c>
      <c r="B386" s="1" t="n">
        <v>45111</v>
      </c>
      <c r="C386" s="1" t="n">
        <v>46113</v>
      </c>
      <c r="D386" t="inlineStr">
        <is>
          <t>ÖSTERGÖTLANDS LÄN</t>
        </is>
      </c>
      <c r="E386" t="inlineStr">
        <is>
          <t>LINKÖPING</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56064-2022</t>
        </is>
      </c>
      <c r="B387" s="1" t="n">
        <v>44889.59107638889</v>
      </c>
      <c r="C387" s="1" t="n">
        <v>46113</v>
      </c>
      <c r="D387" t="inlineStr">
        <is>
          <t>ÖSTERGÖTLANDS LÄN</t>
        </is>
      </c>
      <c r="E387" t="inlineStr">
        <is>
          <t>LINKÖPING</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49605-2025</t>
        </is>
      </c>
      <c r="B388" s="1" t="n">
        <v>45938</v>
      </c>
      <c r="C388" s="1" t="n">
        <v>46113</v>
      </c>
      <c r="D388" t="inlineStr">
        <is>
          <t>ÖSTERGÖTLANDS LÄN</t>
        </is>
      </c>
      <c r="E388" t="inlineStr">
        <is>
          <t>LINKÖPING</t>
        </is>
      </c>
      <c r="F388" t="inlineStr">
        <is>
          <t>Övriga Aktiebolag</t>
        </is>
      </c>
      <c r="G388" t="n">
        <v>3.3</v>
      </c>
      <c r="H388" t="n">
        <v>0</v>
      </c>
      <c r="I388" t="n">
        <v>0</v>
      </c>
      <c r="J388" t="n">
        <v>0</v>
      </c>
      <c r="K388" t="n">
        <v>0</v>
      </c>
      <c r="L388" t="n">
        <v>0</v>
      </c>
      <c r="M388" t="n">
        <v>0</v>
      </c>
      <c r="N388" t="n">
        <v>0</v>
      </c>
      <c r="O388" t="n">
        <v>0</v>
      </c>
      <c r="P388" t="n">
        <v>0</v>
      </c>
      <c r="Q388" t="n">
        <v>0</v>
      </c>
      <c r="R388" s="2" t="inlineStr"/>
    </row>
    <row r="389" ht="15" customHeight="1">
      <c r="A389" t="inlineStr">
        <is>
          <t>A 30521-2024</t>
        </is>
      </c>
      <c r="B389" s="1" t="n">
        <v>45492</v>
      </c>
      <c r="C389" s="1" t="n">
        <v>46113</v>
      </c>
      <c r="D389" t="inlineStr">
        <is>
          <t>ÖSTERGÖTLANDS LÄN</t>
        </is>
      </c>
      <c r="E389" t="inlineStr">
        <is>
          <t>LINKÖPING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40502-2024</t>
        </is>
      </c>
      <c r="B390" s="1" t="n">
        <v>45555.57263888889</v>
      </c>
      <c r="C390" s="1" t="n">
        <v>46113</v>
      </c>
      <c r="D390" t="inlineStr">
        <is>
          <t>ÖSTERGÖTLANDS LÄN</t>
        </is>
      </c>
      <c r="E390" t="inlineStr">
        <is>
          <t>LINKÖPING</t>
        </is>
      </c>
      <c r="F390" t="inlineStr">
        <is>
          <t>Allmännings- och besparingsskogar</t>
        </is>
      </c>
      <c r="G390" t="n">
        <v>17.5</v>
      </c>
      <c r="H390" t="n">
        <v>0</v>
      </c>
      <c r="I390" t="n">
        <v>0</v>
      </c>
      <c r="J390" t="n">
        <v>0</v>
      </c>
      <c r="K390" t="n">
        <v>0</v>
      </c>
      <c r="L390" t="n">
        <v>0</v>
      </c>
      <c r="M390" t="n">
        <v>0</v>
      </c>
      <c r="N390" t="n">
        <v>0</v>
      </c>
      <c r="O390" t="n">
        <v>0</v>
      </c>
      <c r="P390" t="n">
        <v>0</v>
      </c>
      <c r="Q390" t="n">
        <v>0</v>
      </c>
      <c r="R390" s="2" t="inlineStr"/>
    </row>
    <row r="391" ht="15" customHeight="1">
      <c r="A391" t="inlineStr">
        <is>
          <t>A 40618-2021</t>
        </is>
      </c>
      <c r="B391" s="1" t="n">
        <v>44420.49575231481</v>
      </c>
      <c r="C391" s="1" t="n">
        <v>46113</v>
      </c>
      <c r="D391" t="inlineStr">
        <is>
          <t>ÖSTERGÖTLANDS LÄN</t>
        </is>
      </c>
      <c r="E391" t="inlineStr">
        <is>
          <t>LINKÖPING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49647-2025</t>
        </is>
      </c>
      <c r="B392" s="1" t="n">
        <v>45938</v>
      </c>
      <c r="C392" s="1" t="n">
        <v>46113</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23735-2023</t>
        </is>
      </c>
      <c r="B393" s="1" t="n">
        <v>45077</v>
      </c>
      <c r="C393" s="1" t="n">
        <v>46113</v>
      </c>
      <c r="D393" t="inlineStr">
        <is>
          <t>ÖSTERGÖTLANDS LÄN</t>
        </is>
      </c>
      <c r="E393" t="inlineStr">
        <is>
          <t>LINKÖPING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350-2022</t>
        </is>
      </c>
      <c r="B394" s="1" t="n">
        <v>44565</v>
      </c>
      <c r="C394" s="1" t="n">
        <v>46113</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49633-2025</t>
        </is>
      </c>
      <c r="B395" s="1" t="n">
        <v>45938</v>
      </c>
      <c r="C395" s="1" t="n">
        <v>46113</v>
      </c>
      <c r="D395" t="inlineStr">
        <is>
          <t>ÖSTERGÖTLANDS LÄN</t>
        </is>
      </c>
      <c r="E395" t="inlineStr">
        <is>
          <t>LINKÖPING</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49663-2025</t>
        </is>
      </c>
      <c r="B396" s="1" t="n">
        <v>45938</v>
      </c>
      <c r="C396" s="1" t="n">
        <v>46113</v>
      </c>
      <c r="D396" t="inlineStr">
        <is>
          <t>ÖSTERGÖTLANDS LÄN</t>
        </is>
      </c>
      <c r="E396" t="inlineStr">
        <is>
          <t>LINKÖPING</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4256-2022</t>
        </is>
      </c>
      <c r="B397" s="1" t="n">
        <v>44588</v>
      </c>
      <c r="C397" s="1" t="n">
        <v>46113</v>
      </c>
      <c r="D397" t="inlineStr">
        <is>
          <t>ÖSTERGÖTLANDS LÄN</t>
        </is>
      </c>
      <c r="E397" t="inlineStr">
        <is>
          <t>LINKÖPING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49455-2025</t>
        </is>
      </c>
      <c r="B398" s="1" t="n">
        <v>45938</v>
      </c>
      <c r="C398" s="1" t="n">
        <v>46113</v>
      </c>
      <c r="D398" t="inlineStr">
        <is>
          <t>ÖSTERGÖTLANDS LÄN</t>
        </is>
      </c>
      <c r="E398" t="inlineStr">
        <is>
          <t>LINKÖPING</t>
        </is>
      </c>
      <c r="F398" t="inlineStr">
        <is>
          <t>Övriga Aktiebolag</t>
        </is>
      </c>
      <c r="G398" t="n">
        <v>5.9</v>
      </c>
      <c r="H398" t="n">
        <v>0</v>
      </c>
      <c r="I398" t="n">
        <v>0</v>
      </c>
      <c r="J398" t="n">
        <v>0</v>
      </c>
      <c r="K398" t="n">
        <v>0</v>
      </c>
      <c r="L398" t="n">
        <v>0</v>
      </c>
      <c r="M398" t="n">
        <v>0</v>
      </c>
      <c r="N398" t="n">
        <v>0</v>
      </c>
      <c r="O398" t="n">
        <v>0</v>
      </c>
      <c r="P398" t="n">
        <v>0</v>
      </c>
      <c r="Q398" t="n">
        <v>0</v>
      </c>
      <c r="R398" s="2" t="inlineStr"/>
    </row>
    <row r="399" ht="15" customHeight="1">
      <c r="A399" t="inlineStr">
        <is>
          <t>A 44155-2024</t>
        </is>
      </c>
      <c r="B399" s="1" t="n">
        <v>45572.68226851852</v>
      </c>
      <c r="C399" s="1" t="n">
        <v>46113</v>
      </c>
      <c r="D399" t="inlineStr">
        <is>
          <t>ÖSTERGÖTLANDS LÄN</t>
        </is>
      </c>
      <c r="E399" t="inlineStr">
        <is>
          <t>LINKÖPING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25948-2023</t>
        </is>
      </c>
      <c r="B400" s="1" t="n">
        <v>45090</v>
      </c>
      <c r="C400" s="1" t="n">
        <v>46113</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49652-2025</t>
        </is>
      </c>
      <c r="B401" s="1" t="n">
        <v>45938</v>
      </c>
      <c r="C401" s="1" t="n">
        <v>46113</v>
      </c>
      <c r="D401" t="inlineStr">
        <is>
          <t>ÖSTERGÖTLANDS LÄN</t>
        </is>
      </c>
      <c r="E401" t="inlineStr">
        <is>
          <t>LINKÖPING</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49654-2025</t>
        </is>
      </c>
      <c r="B402" s="1" t="n">
        <v>45938</v>
      </c>
      <c r="C402" s="1" t="n">
        <v>46113</v>
      </c>
      <c r="D402" t="inlineStr">
        <is>
          <t>ÖSTERGÖTLANDS LÄN</t>
        </is>
      </c>
      <c r="E402" t="inlineStr">
        <is>
          <t>LINKÖPING</t>
        </is>
      </c>
      <c r="F402" t="inlineStr">
        <is>
          <t>Övriga Aktiebolag</t>
        </is>
      </c>
      <c r="G402" t="n">
        <v>3.1</v>
      </c>
      <c r="H402" t="n">
        <v>0</v>
      </c>
      <c r="I402" t="n">
        <v>0</v>
      </c>
      <c r="J402" t="n">
        <v>0</v>
      </c>
      <c r="K402" t="n">
        <v>0</v>
      </c>
      <c r="L402" t="n">
        <v>0</v>
      </c>
      <c r="M402" t="n">
        <v>0</v>
      </c>
      <c r="N402" t="n">
        <v>0</v>
      </c>
      <c r="O402" t="n">
        <v>0</v>
      </c>
      <c r="P402" t="n">
        <v>0</v>
      </c>
      <c r="Q402" t="n">
        <v>0</v>
      </c>
      <c r="R402" s="2" t="inlineStr"/>
    </row>
    <row r="403" ht="15" customHeight="1">
      <c r="A403" t="inlineStr">
        <is>
          <t>A 49619-2025</t>
        </is>
      </c>
      <c r="B403" s="1" t="n">
        <v>45938</v>
      </c>
      <c r="C403" s="1" t="n">
        <v>46113</v>
      </c>
      <c r="D403" t="inlineStr">
        <is>
          <t>ÖSTERGÖTLANDS LÄN</t>
        </is>
      </c>
      <c r="E403" t="inlineStr">
        <is>
          <t>LINKÖPING</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49629-2025</t>
        </is>
      </c>
      <c r="B404" s="1" t="n">
        <v>45938</v>
      </c>
      <c r="C404" s="1" t="n">
        <v>46113</v>
      </c>
      <c r="D404" t="inlineStr">
        <is>
          <t>ÖSTERGÖTLANDS LÄN</t>
        </is>
      </c>
      <c r="E404" t="inlineStr">
        <is>
          <t>LINKÖPING</t>
        </is>
      </c>
      <c r="F404" t="inlineStr">
        <is>
          <t>Övriga Aktiebolag</t>
        </is>
      </c>
      <c r="G404" t="n">
        <v>4.5</v>
      </c>
      <c r="H404" t="n">
        <v>0</v>
      </c>
      <c r="I404" t="n">
        <v>0</v>
      </c>
      <c r="J404" t="n">
        <v>0</v>
      </c>
      <c r="K404" t="n">
        <v>0</v>
      </c>
      <c r="L404" t="n">
        <v>0</v>
      </c>
      <c r="M404" t="n">
        <v>0</v>
      </c>
      <c r="N404" t="n">
        <v>0</v>
      </c>
      <c r="O404" t="n">
        <v>0</v>
      </c>
      <c r="P404" t="n">
        <v>0</v>
      </c>
      <c r="Q404" t="n">
        <v>0</v>
      </c>
      <c r="R404" s="2" t="inlineStr"/>
    </row>
    <row r="405" ht="15" customHeight="1">
      <c r="A405" t="inlineStr">
        <is>
          <t>A 49650-2025</t>
        </is>
      </c>
      <c r="B405" s="1" t="n">
        <v>45938</v>
      </c>
      <c r="C405" s="1" t="n">
        <v>46113</v>
      </c>
      <c r="D405" t="inlineStr">
        <is>
          <t>ÖSTERGÖTLANDS LÄN</t>
        </is>
      </c>
      <c r="E405" t="inlineStr">
        <is>
          <t>LINKÖPING</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49632-2025</t>
        </is>
      </c>
      <c r="B406" s="1" t="n">
        <v>45938</v>
      </c>
      <c r="C406" s="1" t="n">
        <v>46113</v>
      </c>
      <c r="D406" t="inlineStr">
        <is>
          <t>ÖSTERGÖTLANDS LÄN</t>
        </is>
      </c>
      <c r="E406" t="inlineStr">
        <is>
          <t>LINKÖPING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49615-2025</t>
        </is>
      </c>
      <c r="B407" s="1" t="n">
        <v>45938</v>
      </c>
      <c r="C407" s="1" t="n">
        <v>46113</v>
      </c>
      <c r="D407" t="inlineStr">
        <is>
          <t>ÖSTERGÖTLANDS LÄN</t>
        </is>
      </c>
      <c r="E407" t="inlineStr">
        <is>
          <t>LINKÖPING</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33867-2023</t>
        </is>
      </c>
      <c r="B408" s="1" t="n">
        <v>45133.94640046296</v>
      </c>
      <c r="C408" s="1" t="n">
        <v>46113</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42997-2021</t>
        </is>
      </c>
      <c r="B409" s="1" t="n">
        <v>44431.45556712963</v>
      </c>
      <c r="C409" s="1" t="n">
        <v>46113</v>
      </c>
      <c r="D409" t="inlineStr">
        <is>
          <t>ÖSTERGÖTLANDS LÄN</t>
        </is>
      </c>
      <c r="E409" t="inlineStr">
        <is>
          <t>LINKÖPING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24462-2023</t>
        </is>
      </c>
      <c r="B410" s="1" t="n">
        <v>45082</v>
      </c>
      <c r="C410" s="1" t="n">
        <v>46113</v>
      </c>
      <c r="D410" t="inlineStr">
        <is>
          <t>ÖSTERGÖTLANDS LÄN</t>
        </is>
      </c>
      <c r="E410" t="inlineStr">
        <is>
          <t>LINKÖPING</t>
        </is>
      </c>
      <c r="G410" t="n">
        <v>3.5</v>
      </c>
      <c r="H410" t="n">
        <v>0</v>
      </c>
      <c r="I410" t="n">
        <v>0</v>
      </c>
      <c r="J410" t="n">
        <v>0</v>
      </c>
      <c r="K410" t="n">
        <v>0</v>
      </c>
      <c r="L410" t="n">
        <v>0</v>
      </c>
      <c r="M410" t="n">
        <v>0</v>
      </c>
      <c r="N410" t="n">
        <v>0</v>
      </c>
      <c r="O410" t="n">
        <v>0</v>
      </c>
      <c r="P410" t="n">
        <v>0</v>
      </c>
      <c r="Q410" t="n">
        <v>0</v>
      </c>
      <c r="R410" s="2" t="inlineStr"/>
    </row>
    <row r="411" ht="15" customHeight="1">
      <c r="A411" t="inlineStr">
        <is>
          <t>A 26002-2025</t>
        </is>
      </c>
      <c r="B411" s="1" t="n">
        <v>45804.66534722222</v>
      </c>
      <c r="C411" s="1" t="n">
        <v>46113</v>
      </c>
      <c r="D411" t="inlineStr">
        <is>
          <t>ÖSTERGÖTLANDS LÄN</t>
        </is>
      </c>
      <c r="E411" t="inlineStr">
        <is>
          <t>LINKÖPING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48829-2023</t>
        </is>
      </c>
      <c r="B412" s="1" t="n">
        <v>45209.38177083333</v>
      </c>
      <c r="C412" s="1" t="n">
        <v>46113</v>
      </c>
      <c r="D412" t="inlineStr">
        <is>
          <t>ÖSTERGÖTLANDS LÄN</t>
        </is>
      </c>
      <c r="E412" t="inlineStr">
        <is>
          <t>LINKÖPING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40983-2025</t>
        </is>
      </c>
      <c r="B413" s="1" t="n">
        <v>45898</v>
      </c>
      <c r="C413" s="1" t="n">
        <v>46113</v>
      </c>
      <c r="D413" t="inlineStr">
        <is>
          <t>ÖSTERGÖTLANDS LÄN</t>
        </is>
      </c>
      <c r="E413" t="inlineStr">
        <is>
          <t>LINKÖPING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38231-2022</t>
        </is>
      </c>
      <c r="B414" s="1" t="n">
        <v>44812</v>
      </c>
      <c r="C414" s="1" t="n">
        <v>46113</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50799-2022</t>
        </is>
      </c>
      <c r="B415" s="1" t="n">
        <v>44862</v>
      </c>
      <c r="C415" s="1" t="n">
        <v>46113</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40431-2024</t>
        </is>
      </c>
      <c r="B416" s="1" t="n">
        <v>45555.47070601852</v>
      </c>
      <c r="C416" s="1" t="n">
        <v>46113</v>
      </c>
      <c r="D416" t="inlineStr">
        <is>
          <t>ÖSTERGÖTLANDS LÄN</t>
        </is>
      </c>
      <c r="E416" t="inlineStr">
        <is>
          <t>LINKÖPING</t>
        </is>
      </c>
      <c r="F416" t="inlineStr">
        <is>
          <t>Allmännings- och besparingsskogar</t>
        </is>
      </c>
      <c r="G416" t="n">
        <v>2.9</v>
      </c>
      <c r="H416" t="n">
        <v>0</v>
      </c>
      <c r="I416" t="n">
        <v>0</v>
      </c>
      <c r="J416" t="n">
        <v>0</v>
      </c>
      <c r="K416" t="n">
        <v>0</v>
      </c>
      <c r="L416" t="n">
        <v>0</v>
      </c>
      <c r="M416" t="n">
        <v>0</v>
      </c>
      <c r="N416" t="n">
        <v>0</v>
      </c>
      <c r="O416" t="n">
        <v>0</v>
      </c>
      <c r="P416" t="n">
        <v>0</v>
      </c>
      <c r="Q416" t="n">
        <v>0</v>
      </c>
      <c r="R416" s="2" t="inlineStr"/>
    </row>
    <row r="417" ht="15" customHeight="1">
      <c r="A417" t="inlineStr">
        <is>
          <t>A 50056-2025</t>
        </is>
      </c>
      <c r="B417" s="1" t="n">
        <v>45941</v>
      </c>
      <c r="C417" s="1" t="n">
        <v>46113</v>
      </c>
      <c r="D417" t="inlineStr">
        <is>
          <t>ÖSTERGÖTLANDS LÄN</t>
        </is>
      </c>
      <c r="E417" t="inlineStr">
        <is>
          <t>LINKÖPING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267-2023</t>
        </is>
      </c>
      <c r="B418" s="1" t="n">
        <v>44928.80907407407</v>
      </c>
      <c r="C418" s="1" t="n">
        <v>46113</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26618-2023</t>
        </is>
      </c>
      <c r="B419" s="1" t="n">
        <v>45092.70306712963</v>
      </c>
      <c r="C419" s="1" t="n">
        <v>46113</v>
      </c>
      <c r="D419" t="inlineStr">
        <is>
          <t>ÖSTERGÖTLANDS LÄN</t>
        </is>
      </c>
      <c r="E419" t="inlineStr">
        <is>
          <t>LINKÖPING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63665-2023</t>
        </is>
      </c>
      <c r="B420" s="1" t="n">
        <v>45275</v>
      </c>
      <c r="C420" s="1" t="n">
        <v>46113</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50667-2025</t>
        </is>
      </c>
      <c r="B421" s="1" t="n">
        <v>45945</v>
      </c>
      <c r="C421" s="1" t="n">
        <v>46113</v>
      </c>
      <c r="D421" t="inlineStr">
        <is>
          <t>ÖSTERGÖTLANDS LÄN</t>
        </is>
      </c>
      <c r="E421" t="inlineStr">
        <is>
          <t>LINKÖPING</t>
        </is>
      </c>
      <c r="G421" t="n">
        <v>3.3</v>
      </c>
      <c r="H421" t="n">
        <v>0</v>
      </c>
      <c r="I421" t="n">
        <v>0</v>
      </c>
      <c r="J421" t="n">
        <v>0</v>
      </c>
      <c r="K421" t="n">
        <v>0</v>
      </c>
      <c r="L421" t="n">
        <v>0</v>
      </c>
      <c r="M421" t="n">
        <v>0</v>
      </c>
      <c r="N421" t="n">
        <v>0</v>
      </c>
      <c r="O421" t="n">
        <v>0</v>
      </c>
      <c r="P421" t="n">
        <v>0</v>
      </c>
      <c r="Q421" t="n">
        <v>0</v>
      </c>
      <c r="R421" s="2" t="inlineStr"/>
    </row>
    <row r="422" ht="15" customHeight="1">
      <c r="A422" t="inlineStr">
        <is>
          <t>A 30429-2024</t>
        </is>
      </c>
      <c r="B422" s="1" t="n">
        <v>45491.68972222223</v>
      </c>
      <c r="C422" s="1" t="n">
        <v>46113</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30435-2024</t>
        </is>
      </c>
      <c r="B423" s="1" t="n">
        <v>45491.69962962963</v>
      </c>
      <c r="C423" s="1" t="n">
        <v>46113</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53816-2023</t>
        </is>
      </c>
      <c r="B424" s="1" t="n">
        <v>45231.40012731482</v>
      </c>
      <c r="C424" s="1" t="n">
        <v>46113</v>
      </c>
      <c r="D424" t="inlineStr">
        <is>
          <t>ÖSTERGÖTLANDS LÄN</t>
        </is>
      </c>
      <c r="E424" t="inlineStr">
        <is>
          <t>LINKÖPING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36557-2023</t>
        </is>
      </c>
      <c r="B425" s="1" t="n">
        <v>45153</v>
      </c>
      <c r="C425" s="1" t="n">
        <v>46113</v>
      </c>
      <c r="D425" t="inlineStr">
        <is>
          <t>ÖSTERGÖTLANDS LÄN</t>
        </is>
      </c>
      <c r="E425" t="inlineStr">
        <is>
          <t>LINKÖPING</t>
        </is>
      </c>
      <c r="F425" t="inlineStr">
        <is>
          <t>Övriga Aktiebolag</t>
        </is>
      </c>
      <c r="G425" t="n">
        <v>3.1</v>
      </c>
      <c r="H425" t="n">
        <v>0</v>
      </c>
      <c r="I425" t="n">
        <v>0</v>
      </c>
      <c r="J425" t="n">
        <v>0</v>
      </c>
      <c r="K425" t="n">
        <v>0</v>
      </c>
      <c r="L425" t="n">
        <v>0</v>
      </c>
      <c r="M425" t="n">
        <v>0</v>
      </c>
      <c r="N425" t="n">
        <v>0</v>
      </c>
      <c r="O425" t="n">
        <v>0</v>
      </c>
      <c r="P425" t="n">
        <v>0</v>
      </c>
      <c r="Q425" t="n">
        <v>0</v>
      </c>
      <c r="R425" s="2" t="inlineStr"/>
    </row>
    <row r="426" ht="15" customHeight="1">
      <c r="A426" t="inlineStr">
        <is>
          <t>A 6599-2023</t>
        </is>
      </c>
      <c r="B426" s="1" t="n">
        <v>44966.52603009259</v>
      </c>
      <c r="C426" s="1" t="n">
        <v>46113</v>
      </c>
      <c r="D426" t="inlineStr">
        <is>
          <t>ÖSTERGÖTLANDS LÄN</t>
        </is>
      </c>
      <c r="E426" t="inlineStr">
        <is>
          <t>LINKÖPING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43473-2024</t>
        </is>
      </c>
      <c r="B427" s="1" t="n">
        <v>45568</v>
      </c>
      <c r="C427" s="1" t="n">
        <v>46113</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51802-2025</t>
        </is>
      </c>
      <c r="B428" s="1" t="n">
        <v>45950</v>
      </c>
      <c r="C428" s="1" t="n">
        <v>46113</v>
      </c>
      <c r="D428" t="inlineStr">
        <is>
          <t>ÖSTERGÖTLANDS LÄN</t>
        </is>
      </c>
      <c r="E428" t="inlineStr">
        <is>
          <t>LINKÖPING</t>
        </is>
      </c>
      <c r="F428" t="inlineStr">
        <is>
          <t>Övriga Aktiebolag</t>
        </is>
      </c>
      <c r="G428" t="n">
        <v>2</v>
      </c>
      <c r="H428" t="n">
        <v>0</v>
      </c>
      <c r="I428" t="n">
        <v>0</v>
      </c>
      <c r="J428" t="n">
        <v>0</v>
      </c>
      <c r="K428" t="n">
        <v>0</v>
      </c>
      <c r="L428" t="n">
        <v>0</v>
      </c>
      <c r="M428" t="n">
        <v>0</v>
      </c>
      <c r="N428" t="n">
        <v>0</v>
      </c>
      <c r="O428" t="n">
        <v>0</v>
      </c>
      <c r="P428" t="n">
        <v>0</v>
      </c>
      <c r="Q428" t="n">
        <v>0</v>
      </c>
      <c r="R428" s="2" t="inlineStr"/>
    </row>
    <row r="429" ht="15" customHeight="1">
      <c r="A429" t="inlineStr">
        <is>
          <t>A 61532-2021</t>
        </is>
      </c>
      <c r="B429" s="1" t="n">
        <v>44501</v>
      </c>
      <c r="C429" s="1" t="n">
        <v>46113</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3374-2023</t>
        </is>
      </c>
      <c r="B430" s="1" t="n">
        <v>44949</v>
      </c>
      <c r="C430" s="1" t="n">
        <v>46113</v>
      </c>
      <c r="D430" t="inlineStr">
        <is>
          <t>ÖSTERGÖTLANDS LÄN</t>
        </is>
      </c>
      <c r="E430" t="inlineStr">
        <is>
          <t>LINKÖPING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224-2024</t>
        </is>
      </c>
      <c r="B431" s="1" t="n">
        <v>45294</v>
      </c>
      <c r="C431" s="1" t="n">
        <v>46113</v>
      </c>
      <c r="D431" t="inlineStr">
        <is>
          <t>ÖSTERGÖTLANDS LÄN</t>
        </is>
      </c>
      <c r="E431" t="inlineStr">
        <is>
          <t>LINKÖPING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6726-2024</t>
        </is>
      </c>
      <c r="B432" s="1" t="n">
        <v>45341</v>
      </c>
      <c r="C432" s="1" t="n">
        <v>46113</v>
      </c>
      <c r="D432" t="inlineStr">
        <is>
          <t>ÖSTERGÖTLANDS LÄN</t>
        </is>
      </c>
      <c r="E432" t="inlineStr">
        <is>
          <t>LINKÖPING</t>
        </is>
      </c>
      <c r="G432" t="n">
        <v>2.7</v>
      </c>
      <c r="H432" t="n">
        <v>0</v>
      </c>
      <c r="I432" t="n">
        <v>0</v>
      </c>
      <c r="J432" t="n">
        <v>0</v>
      </c>
      <c r="K432" t="n">
        <v>0</v>
      </c>
      <c r="L432" t="n">
        <v>0</v>
      </c>
      <c r="M432" t="n">
        <v>0</v>
      </c>
      <c r="N432" t="n">
        <v>0</v>
      </c>
      <c r="O432" t="n">
        <v>0</v>
      </c>
      <c r="P432" t="n">
        <v>0</v>
      </c>
      <c r="Q432" t="n">
        <v>0</v>
      </c>
      <c r="R432" s="2" t="inlineStr"/>
    </row>
    <row r="433" ht="15" customHeight="1">
      <c r="A433" t="inlineStr">
        <is>
          <t>A 52111-2025</t>
        </is>
      </c>
      <c r="B433" s="1" t="n">
        <v>45952.69527777778</v>
      </c>
      <c r="C433" s="1" t="n">
        <v>46113</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53814-2023</t>
        </is>
      </c>
      <c r="B434" s="1" t="n">
        <v>45231</v>
      </c>
      <c r="C434" s="1" t="n">
        <v>46113</v>
      </c>
      <c r="D434" t="inlineStr">
        <is>
          <t>ÖSTERGÖTLANDS LÄN</t>
        </is>
      </c>
      <c r="E434" t="inlineStr">
        <is>
          <t>LINKÖPING</t>
        </is>
      </c>
      <c r="G434" t="n">
        <v>1.1</v>
      </c>
      <c r="H434" t="n">
        <v>0</v>
      </c>
      <c r="I434" t="n">
        <v>0</v>
      </c>
      <c r="J434" t="n">
        <v>0</v>
      </c>
      <c r="K434" t="n">
        <v>0</v>
      </c>
      <c r="L434" t="n">
        <v>0</v>
      </c>
      <c r="M434" t="n">
        <v>0</v>
      </c>
      <c r="N434" t="n">
        <v>0</v>
      </c>
      <c r="O434" t="n">
        <v>0</v>
      </c>
      <c r="P434" t="n">
        <v>0</v>
      </c>
      <c r="Q434" t="n">
        <v>0</v>
      </c>
      <c r="R434" s="2" t="inlineStr"/>
    </row>
    <row r="435" ht="15" customHeight="1">
      <c r="A435" t="inlineStr">
        <is>
          <t>A 60004-2022</t>
        </is>
      </c>
      <c r="B435" s="1" t="n">
        <v>44909.47206018519</v>
      </c>
      <c r="C435" s="1" t="n">
        <v>46113</v>
      </c>
      <c r="D435" t="inlineStr">
        <is>
          <t>ÖSTERGÖTLANDS LÄN</t>
        </is>
      </c>
      <c r="E435" t="inlineStr">
        <is>
          <t>LINKÖPING</t>
        </is>
      </c>
      <c r="G435" t="n">
        <v>2.2</v>
      </c>
      <c r="H435" t="n">
        <v>0</v>
      </c>
      <c r="I435" t="n">
        <v>0</v>
      </c>
      <c r="J435" t="n">
        <v>0</v>
      </c>
      <c r="K435" t="n">
        <v>0</v>
      </c>
      <c r="L435" t="n">
        <v>0</v>
      </c>
      <c r="M435" t="n">
        <v>0</v>
      </c>
      <c r="N435" t="n">
        <v>0</v>
      </c>
      <c r="O435" t="n">
        <v>0</v>
      </c>
      <c r="P435" t="n">
        <v>0</v>
      </c>
      <c r="Q435" t="n">
        <v>0</v>
      </c>
      <c r="R435" s="2" t="inlineStr"/>
    </row>
    <row r="436" ht="15" customHeight="1">
      <c r="A436" t="inlineStr">
        <is>
          <t>A 52796-2023</t>
        </is>
      </c>
      <c r="B436" s="1" t="n">
        <v>45219</v>
      </c>
      <c r="C436" s="1" t="n">
        <v>46113</v>
      </c>
      <c r="D436" t="inlineStr">
        <is>
          <t>ÖSTERGÖTLANDS LÄN</t>
        </is>
      </c>
      <c r="E436" t="inlineStr">
        <is>
          <t>LINKÖPING</t>
        </is>
      </c>
      <c r="F436" t="inlineStr">
        <is>
          <t>Övriga statliga verk och myndigheter</t>
        </is>
      </c>
      <c r="G436" t="n">
        <v>3.9</v>
      </c>
      <c r="H436" t="n">
        <v>0</v>
      </c>
      <c r="I436" t="n">
        <v>0</v>
      </c>
      <c r="J436" t="n">
        <v>0</v>
      </c>
      <c r="K436" t="n">
        <v>0</v>
      </c>
      <c r="L436" t="n">
        <v>0</v>
      </c>
      <c r="M436" t="n">
        <v>0</v>
      </c>
      <c r="N436" t="n">
        <v>0</v>
      </c>
      <c r="O436" t="n">
        <v>0</v>
      </c>
      <c r="P436" t="n">
        <v>0</v>
      </c>
      <c r="Q436" t="n">
        <v>0</v>
      </c>
      <c r="R436" s="2" t="inlineStr"/>
    </row>
    <row r="437" ht="15" customHeight="1">
      <c r="A437" t="inlineStr">
        <is>
          <t>A 50743-2023</t>
        </is>
      </c>
      <c r="B437" s="1" t="n">
        <v>45217</v>
      </c>
      <c r="C437" s="1" t="n">
        <v>46113</v>
      </c>
      <c r="D437" t="inlineStr">
        <is>
          <t>ÖSTERGÖTLANDS LÄN</t>
        </is>
      </c>
      <c r="E437" t="inlineStr">
        <is>
          <t>LINKÖPING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45771-2023</t>
        </is>
      </c>
      <c r="B438" s="1" t="n">
        <v>45195.4384375</v>
      </c>
      <c r="C438" s="1" t="n">
        <v>46113</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52800-2025</t>
        </is>
      </c>
      <c r="B439" s="1" t="n">
        <v>45957.44152777778</v>
      </c>
      <c r="C439" s="1" t="n">
        <v>46113</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52802-2025</t>
        </is>
      </c>
      <c r="B440" s="1" t="n">
        <v>45957.44295138889</v>
      </c>
      <c r="C440" s="1" t="n">
        <v>46113</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63554-2023</t>
        </is>
      </c>
      <c r="B441" s="1" t="n">
        <v>45275</v>
      </c>
      <c r="C441" s="1" t="n">
        <v>46113</v>
      </c>
      <c r="D441" t="inlineStr">
        <is>
          <t>ÖSTERGÖTLANDS LÄN</t>
        </is>
      </c>
      <c r="E441" t="inlineStr">
        <is>
          <t>LINKÖPING</t>
        </is>
      </c>
      <c r="G441" t="n">
        <v>4.3</v>
      </c>
      <c r="H441" t="n">
        <v>0</v>
      </c>
      <c r="I441" t="n">
        <v>0</v>
      </c>
      <c r="J441" t="n">
        <v>0</v>
      </c>
      <c r="K441" t="n">
        <v>0</v>
      </c>
      <c r="L441" t="n">
        <v>0</v>
      </c>
      <c r="M441" t="n">
        <v>0</v>
      </c>
      <c r="N441" t="n">
        <v>0</v>
      </c>
      <c r="O441" t="n">
        <v>0</v>
      </c>
      <c r="P441" t="n">
        <v>0</v>
      </c>
      <c r="Q441" t="n">
        <v>0</v>
      </c>
      <c r="R441" s="2" t="inlineStr"/>
    </row>
    <row r="442" ht="15" customHeight="1">
      <c r="A442" t="inlineStr">
        <is>
          <t>A 30111-2024</t>
        </is>
      </c>
      <c r="B442" s="1" t="n">
        <v>45489.46947916667</v>
      </c>
      <c r="C442" s="1" t="n">
        <v>46113</v>
      </c>
      <c r="D442" t="inlineStr">
        <is>
          <t>ÖSTERGÖTLANDS LÄN</t>
        </is>
      </c>
      <c r="E442" t="inlineStr">
        <is>
          <t>LINKÖPING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30119-2024</t>
        </is>
      </c>
      <c r="B443" s="1" t="n">
        <v>45489</v>
      </c>
      <c r="C443" s="1" t="n">
        <v>46113</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6206-2024</t>
        </is>
      </c>
      <c r="B444" s="1" t="n">
        <v>45337.5977662037</v>
      </c>
      <c r="C444" s="1" t="n">
        <v>46113</v>
      </c>
      <c r="D444" t="inlineStr">
        <is>
          <t>ÖSTERGÖTLANDS LÄN</t>
        </is>
      </c>
      <c r="E444" t="inlineStr">
        <is>
          <t>LINKÖPING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52740-2025</t>
        </is>
      </c>
      <c r="B445" s="1" t="n">
        <v>45957.37747685185</v>
      </c>
      <c r="C445" s="1" t="n">
        <v>46113</v>
      </c>
      <c r="D445" t="inlineStr">
        <is>
          <t>ÖSTERGÖTLANDS LÄN</t>
        </is>
      </c>
      <c r="E445" t="inlineStr">
        <is>
          <t>LINKÖPING</t>
        </is>
      </c>
      <c r="G445" t="n">
        <v>3.7</v>
      </c>
      <c r="H445" t="n">
        <v>0</v>
      </c>
      <c r="I445" t="n">
        <v>0</v>
      </c>
      <c r="J445" t="n">
        <v>0</v>
      </c>
      <c r="K445" t="n">
        <v>0</v>
      </c>
      <c r="L445" t="n">
        <v>0</v>
      </c>
      <c r="M445" t="n">
        <v>0</v>
      </c>
      <c r="N445" t="n">
        <v>0</v>
      </c>
      <c r="O445" t="n">
        <v>0</v>
      </c>
      <c r="P445" t="n">
        <v>0</v>
      </c>
      <c r="Q445" t="n">
        <v>0</v>
      </c>
      <c r="R445" s="2" t="inlineStr"/>
    </row>
    <row r="446" ht="15" customHeight="1">
      <c r="A446" t="inlineStr">
        <is>
          <t>A 52743-2025</t>
        </is>
      </c>
      <c r="B446" s="1" t="n">
        <v>45957.38039351852</v>
      </c>
      <c r="C446" s="1" t="n">
        <v>46113</v>
      </c>
      <c r="D446" t="inlineStr">
        <is>
          <t>ÖSTERGÖTLANDS LÄN</t>
        </is>
      </c>
      <c r="E446" t="inlineStr">
        <is>
          <t>LINKÖPING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52807-2025</t>
        </is>
      </c>
      <c r="B447" s="1" t="n">
        <v>45957.44837962963</v>
      </c>
      <c r="C447" s="1" t="n">
        <v>46113</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15714-2024</t>
        </is>
      </c>
      <c r="B448" s="1" t="n">
        <v>45404.48288194444</v>
      </c>
      <c r="C448" s="1" t="n">
        <v>46113</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30481-2023</t>
        </is>
      </c>
      <c r="B449" s="1" t="n">
        <v>45111</v>
      </c>
      <c r="C449" s="1" t="n">
        <v>46113</v>
      </c>
      <c r="D449" t="inlineStr">
        <is>
          <t>ÖSTERGÖTLANDS LÄN</t>
        </is>
      </c>
      <c r="E449" t="inlineStr">
        <is>
          <t>LINKÖPING</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74160-2021</t>
        </is>
      </c>
      <c r="B450" s="1" t="n">
        <v>44558</v>
      </c>
      <c r="C450" s="1" t="n">
        <v>46113</v>
      </c>
      <c r="D450" t="inlineStr">
        <is>
          <t>ÖSTERGÖTLANDS LÄN</t>
        </is>
      </c>
      <c r="E450" t="inlineStr">
        <is>
          <t>LINKÖPING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28200-2025</t>
        </is>
      </c>
      <c r="B451" s="1" t="n">
        <v>45818.4428125</v>
      </c>
      <c r="C451" s="1" t="n">
        <v>46113</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63559-2023</t>
        </is>
      </c>
      <c r="B452" s="1" t="n">
        <v>45275.35924768518</v>
      </c>
      <c r="C452" s="1" t="n">
        <v>46113</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23491-2024</t>
        </is>
      </c>
      <c r="B453" s="1" t="n">
        <v>45453</v>
      </c>
      <c r="C453" s="1" t="n">
        <v>46113</v>
      </c>
      <c r="D453" t="inlineStr">
        <is>
          <t>ÖSTERGÖTLANDS LÄN</t>
        </is>
      </c>
      <c r="E453" t="inlineStr">
        <is>
          <t>LINKÖPING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29309-2024</t>
        </is>
      </c>
      <c r="B454" s="1" t="n">
        <v>45483</v>
      </c>
      <c r="C454" s="1" t="n">
        <v>46113</v>
      </c>
      <c r="D454" t="inlineStr">
        <is>
          <t>ÖSTERGÖTLANDS LÄN</t>
        </is>
      </c>
      <c r="E454" t="inlineStr">
        <is>
          <t>LINKÖPING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27950-2025</t>
        </is>
      </c>
      <c r="B455" s="1" t="n">
        <v>45817.52960648148</v>
      </c>
      <c r="C455" s="1" t="n">
        <v>46113</v>
      </c>
      <c r="D455" t="inlineStr">
        <is>
          <t>ÖSTERGÖTLANDS LÄN</t>
        </is>
      </c>
      <c r="E455" t="inlineStr">
        <is>
          <t>LINKÖPING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29411-2023</t>
        </is>
      </c>
      <c r="B456" s="1" t="n">
        <v>45106.46225694445</v>
      </c>
      <c r="C456" s="1" t="n">
        <v>46113</v>
      </c>
      <c r="D456" t="inlineStr">
        <is>
          <t>ÖSTERGÖTLANDS LÄN</t>
        </is>
      </c>
      <c r="E456" t="inlineStr">
        <is>
          <t>LINKÖPING</t>
        </is>
      </c>
      <c r="G456" t="n">
        <v>2.5</v>
      </c>
      <c r="H456" t="n">
        <v>0</v>
      </c>
      <c r="I456" t="n">
        <v>0</v>
      </c>
      <c r="J456" t="n">
        <v>0</v>
      </c>
      <c r="K456" t="n">
        <v>0</v>
      </c>
      <c r="L456" t="n">
        <v>0</v>
      </c>
      <c r="M456" t="n">
        <v>0</v>
      </c>
      <c r="N456" t="n">
        <v>0</v>
      </c>
      <c r="O456" t="n">
        <v>0</v>
      </c>
      <c r="P456" t="n">
        <v>0</v>
      </c>
      <c r="Q456" t="n">
        <v>0</v>
      </c>
      <c r="R456" s="2" t="inlineStr"/>
    </row>
    <row r="457" ht="15" customHeight="1">
      <c r="A457" t="inlineStr">
        <is>
          <t>A 29412-2023</t>
        </is>
      </c>
      <c r="B457" s="1" t="n">
        <v>45106.46359953703</v>
      </c>
      <c r="C457" s="1" t="n">
        <v>46113</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29413-2023</t>
        </is>
      </c>
      <c r="B458" s="1" t="n">
        <v>45106.46465277778</v>
      </c>
      <c r="C458" s="1" t="n">
        <v>46113</v>
      </c>
      <c r="D458" t="inlineStr">
        <is>
          <t>ÖSTERGÖTLANDS LÄN</t>
        </is>
      </c>
      <c r="E458" t="inlineStr">
        <is>
          <t>LINKÖPING</t>
        </is>
      </c>
      <c r="G458" t="n">
        <v>8</v>
      </c>
      <c r="H458" t="n">
        <v>0</v>
      </c>
      <c r="I458" t="n">
        <v>0</v>
      </c>
      <c r="J458" t="n">
        <v>0</v>
      </c>
      <c r="K458" t="n">
        <v>0</v>
      </c>
      <c r="L458" t="n">
        <v>0</v>
      </c>
      <c r="M458" t="n">
        <v>0</v>
      </c>
      <c r="N458" t="n">
        <v>0</v>
      </c>
      <c r="O458" t="n">
        <v>0</v>
      </c>
      <c r="P458" t="n">
        <v>0</v>
      </c>
      <c r="Q458" t="n">
        <v>0</v>
      </c>
      <c r="R458" s="2" t="inlineStr"/>
    </row>
    <row r="459" ht="15" customHeight="1">
      <c r="A459" t="inlineStr">
        <is>
          <t>A 27797-2025</t>
        </is>
      </c>
      <c r="B459" s="1" t="n">
        <v>45816.80521990741</v>
      </c>
      <c r="C459" s="1" t="n">
        <v>46113</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27798-2025</t>
        </is>
      </c>
      <c r="B460" s="1" t="n">
        <v>45816.81532407407</v>
      </c>
      <c r="C460" s="1" t="n">
        <v>46113</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24151-2024</t>
        </is>
      </c>
      <c r="B461" s="1" t="n">
        <v>45456.67717592593</v>
      </c>
      <c r="C461" s="1" t="n">
        <v>46113</v>
      </c>
      <c r="D461" t="inlineStr">
        <is>
          <t>ÖSTERGÖTLANDS LÄN</t>
        </is>
      </c>
      <c r="E461" t="inlineStr">
        <is>
          <t>LINKÖPING</t>
        </is>
      </c>
      <c r="G461" t="n">
        <v>2.1</v>
      </c>
      <c r="H461" t="n">
        <v>0</v>
      </c>
      <c r="I461" t="n">
        <v>0</v>
      </c>
      <c r="J461" t="n">
        <v>0</v>
      </c>
      <c r="K461" t="n">
        <v>0</v>
      </c>
      <c r="L461" t="n">
        <v>0</v>
      </c>
      <c r="M461" t="n">
        <v>0</v>
      </c>
      <c r="N461" t="n">
        <v>0</v>
      </c>
      <c r="O461" t="n">
        <v>0</v>
      </c>
      <c r="P461" t="n">
        <v>0</v>
      </c>
      <c r="Q461" t="n">
        <v>0</v>
      </c>
      <c r="R461" s="2" t="inlineStr"/>
    </row>
    <row r="462" ht="15" customHeight="1">
      <c r="A462" t="inlineStr">
        <is>
          <t>A 28209-2025</t>
        </is>
      </c>
      <c r="B462" s="1" t="n">
        <v>45818.45112268518</v>
      </c>
      <c r="C462" s="1" t="n">
        <v>46113</v>
      </c>
      <c r="D462" t="inlineStr">
        <is>
          <t>ÖSTERGÖTLANDS LÄN</t>
        </is>
      </c>
      <c r="E462" t="inlineStr">
        <is>
          <t>LINKÖPING</t>
        </is>
      </c>
      <c r="G462" t="n">
        <v>4.2</v>
      </c>
      <c r="H462" t="n">
        <v>0</v>
      </c>
      <c r="I462" t="n">
        <v>0</v>
      </c>
      <c r="J462" t="n">
        <v>0</v>
      </c>
      <c r="K462" t="n">
        <v>0</v>
      </c>
      <c r="L462" t="n">
        <v>0</v>
      </c>
      <c r="M462" t="n">
        <v>0</v>
      </c>
      <c r="N462" t="n">
        <v>0</v>
      </c>
      <c r="O462" t="n">
        <v>0</v>
      </c>
      <c r="P462" t="n">
        <v>0</v>
      </c>
      <c r="Q462" t="n">
        <v>0</v>
      </c>
      <c r="R462" s="2" t="inlineStr"/>
    </row>
    <row r="463" ht="15" customHeight="1">
      <c r="A463" t="inlineStr">
        <is>
          <t>A 54333-2025</t>
        </is>
      </c>
      <c r="B463" s="1" t="n">
        <v>45965.35090277778</v>
      </c>
      <c r="C463" s="1" t="n">
        <v>46113</v>
      </c>
      <c r="D463" t="inlineStr">
        <is>
          <t>ÖSTERGÖTLANDS LÄN</t>
        </is>
      </c>
      <c r="E463" t="inlineStr">
        <is>
          <t>LINKÖPING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28204-2025</t>
        </is>
      </c>
      <c r="B464" s="1" t="n">
        <v>45818.4477662037</v>
      </c>
      <c r="C464" s="1" t="n">
        <v>46113</v>
      </c>
      <c r="D464" t="inlineStr">
        <is>
          <t>ÖSTERGÖTLANDS LÄN</t>
        </is>
      </c>
      <c r="E464" t="inlineStr">
        <is>
          <t>LINKÖPING</t>
        </is>
      </c>
      <c r="G464" t="n">
        <v>2.9</v>
      </c>
      <c r="H464" t="n">
        <v>0</v>
      </c>
      <c r="I464" t="n">
        <v>0</v>
      </c>
      <c r="J464" t="n">
        <v>0</v>
      </c>
      <c r="K464" t="n">
        <v>0</v>
      </c>
      <c r="L464" t="n">
        <v>0</v>
      </c>
      <c r="M464" t="n">
        <v>0</v>
      </c>
      <c r="N464" t="n">
        <v>0</v>
      </c>
      <c r="O464" t="n">
        <v>0</v>
      </c>
      <c r="P464" t="n">
        <v>0</v>
      </c>
      <c r="Q464" t="n">
        <v>0</v>
      </c>
      <c r="R464" s="2" t="inlineStr"/>
    </row>
    <row r="465" ht="15" customHeight="1">
      <c r="A465" t="inlineStr">
        <is>
          <t>A 63845-2021</t>
        </is>
      </c>
      <c r="B465" s="1" t="n">
        <v>44509</v>
      </c>
      <c r="C465" s="1" t="n">
        <v>46113</v>
      </c>
      <c r="D465" t="inlineStr">
        <is>
          <t>ÖSTERGÖTLANDS LÄN</t>
        </is>
      </c>
      <c r="E465" t="inlineStr">
        <is>
          <t>LINKÖPING</t>
        </is>
      </c>
      <c r="G465" t="n">
        <v>5</v>
      </c>
      <c r="H465" t="n">
        <v>0</v>
      </c>
      <c r="I465" t="n">
        <v>0</v>
      </c>
      <c r="J465" t="n">
        <v>0</v>
      </c>
      <c r="K465" t="n">
        <v>0</v>
      </c>
      <c r="L465" t="n">
        <v>0</v>
      </c>
      <c r="M465" t="n">
        <v>0</v>
      </c>
      <c r="N465" t="n">
        <v>0</v>
      </c>
      <c r="O465" t="n">
        <v>0</v>
      </c>
      <c r="P465" t="n">
        <v>0</v>
      </c>
      <c r="Q465" t="n">
        <v>0</v>
      </c>
      <c r="R465" s="2" t="inlineStr"/>
    </row>
    <row r="466" ht="15" customHeight="1">
      <c r="A466" t="inlineStr">
        <is>
          <t>A 54332-2025</t>
        </is>
      </c>
      <c r="B466" s="1" t="n">
        <v>45965.34915509259</v>
      </c>
      <c r="C466" s="1" t="n">
        <v>46113</v>
      </c>
      <c r="D466" t="inlineStr">
        <is>
          <t>ÖSTERGÖTLANDS LÄN</t>
        </is>
      </c>
      <c r="E466" t="inlineStr">
        <is>
          <t>LINKÖPING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17785-2023</t>
        </is>
      </c>
      <c r="B467" s="1" t="n">
        <v>45037.55094907407</v>
      </c>
      <c r="C467" s="1" t="n">
        <v>46113</v>
      </c>
      <c r="D467" t="inlineStr">
        <is>
          <t>ÖSTERGÖTLANDS LÄN</t>
        </is>
      </c>
      <c r="E467" t="inlineStr">
        <is>
          <t>LINKÖPING</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32346-2023</t>
        </is>
      </c>
      <c r="B468" s="1" t="n">
        <v>45120</v>
      </c>
      <c r="C468" s="1" t="n">
        <v>46113</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28398-2025</t>
        </is>
      </c>
      <c r="B469" s="1" t="n">
        <v>45819.34208333334</v>
      </c>
      <c r="C469" s="1" t="n">
        <v>46113</v>
      </c>
      <c r="D469" t="inlineStr">
        <is>
          <t>ÖSTERGÖTLANDS LÄN</t>
        </is>
      </c>
      <c r="E469" t="inlineStr">
        <is>
          <t>LINKÖPING</t>
        </is>
      </c>
      <c r="F469" t="inlineStr">
        <is>
          <t>Sveaskog</t>
        </is>
      </c>
      <c r="G469" t="n">
        <v>7.9</v>
      </c>
      <c r="H469" t="n">
        <v>0</v>
      </c>
      <c r="I469" t="n">
        <v>0</v>
      </c>
      <c r="J469" t="n">
        <v>0</v>
      </c>
      <c r="K469" t="n">
        <v>0</v>
      </c>
      <c r="L469" t="n">
        <v>0</v>
      </c>
      <c r="M469" t="n">
        <v>0</v>
      </c>
      <c r="N469" t="n">
        <v>0</v>
      </c>
      <c r="O469" t="n">
        <v>0</v>
      </c>
      <c r="P469" t="n">
        <v>0</v>
      </c>
      <c r="Q469" t="n">
        <v>0</v>
      </c>
      <c r="R469" s="2" t="inlineStr"/>
    </row>
    <row r="470" ht="15" customHeight="1">
      <c r="A470" t="inlineStr">
        <is>
          <t>A 54329-2025</t>
        </is>
      </c>
      <c r="B470" s="1" t="n">
        <v>45965.34706018519</v>
      </c>
      <c r="C470" s="1" t="n">
        <v>46113</v>
      </c>
      <c r="D470" t="inlineStr">
        <is>
          <t>ÖSTERGÖTLANDS LÄN</t>
        </is>
      </c>
      <c r="E470" t="inlineStr">
        <is>
          <t>LINKÖPING</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1627-2023</t>
        </is>
      </c>
      <c r="B471" s="1" t="n">
        <v>44937</v>
      </c>
      <c r="C471" s="1" t="n">
        <v>46113</v>
      </c>
      <c r="D471" t="inlineStr">
        <is>
          <t>ÖSTERGÖTLANDS LÄN</t>
        </is>
      </c>
      <c r="E471" t="inlineStr">
        <is>
          <t>LINKÖPING</t>
        </is>
      </c>
      <c r="G471" t="n">
        <v>10.8</v>
      </c>
      <c r="H471" t="n">
        <v>0</v>
      </c>
      <c r="I471" t="n">
        <v>0</v>
      </c>
      <c r="J471" t="n">
        <v>0</v>
      </c>
      <c r="K471" t="n">
        <v>0</v>
      </c>
      <c r="L471" t="n">
        <v>0</v>
      </c>
      <c r="M471" t="n">
        <v>0</v>
      </c>
      <c r="N471" t="n">
        <v>0</v>
      </c>
      <c r="O471" t="n">
        <v>0</v>
      </c>
      <c r="P471" t="n">
        <v>0</v>
      </c>
      <c r="Q471" t="n">
        <v>0</v>
      </c>
      <c r="R471" s="2" t="inlineStr"/>
    </row>
    <row r="472" ht="15" customHeight="1">
      <c r="A472" t="inlineStr">
        <is>
          <t>A 28416-2025</t>
        </is>
      </c>
      <c r="B472" s="1" t="n">
        <v>45819.35346064815</v>
      </c>
      <c r="C472" s="1" t="n">
        <v>46113</v>
      </c>
      <c r="D472" t="inlineStr">
        <is>
          <t>ÖSTERGÖTLANDS LÄN</t>
        </is>
      </c>
      <c r="E472" t="inlineStr">
        <is>
          <t>LINKÖPING</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55109-2025</t>
        </is>
      </c>
      <c r="B473" s="1" t="n">
        <v>45968.37731481482</v>
      </c>
      <c r="C473" s="1" t="n">
        <v>46113</v>
      </c>
      <c r="D473" t="inlineStr">
        <is>
          <t>ÖSTERGÖTLANDS LÄN</t>
        </is>
      </c>
      <c r="E473" t="inlineStr">
        <is>
          <t>LINKÖPING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16665-2023</t>
        </is>
      </c>
      <c r="B474" s="1" t="n">
        <v>45030.5583912037</v>
      </c>
      <c r="C474" s="1" t="n">
        <v>46113</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55165-2025</t>
        </is>
      </c>
      <c r="B475" s="1" t="n">
        <v>45968.48194444444</v>
      </c>
      <c r="C475" s="1" t="n">
        <v>46113</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55102-2025</t>
        </is>
      </c>
      <c r="B476" s="1" t="n">
        <v>45968.35410879629</v>
      </c>
      <c r="C476" s="1" t="n">
        <v>46113</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60860-2024</t>
        </is>
      </c>
      <c r="B477" s="1" t="n">
        <v>45644.6893287037</v>
      </c>
      <c r="C477" s="1" t="n">
        <v>46113</v>
      </c>
      <c r="D477" t="inlineStr">
        <is>
          <t>ÖSTERGÖTLANDS LÄN</t>
        </is>
      </c>
      <c r="E477" t="inlineStr">
        <is>
          <t>LINKÖPING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55132-2025</t>
        </is>
      </c>
      <c r="B478" s="1" t="n">
        <v>45968.41912037037</v>
      </c>
      <c r="C478" s="1" t="n">
        <v>46113</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31640-2023</t>
        </is>
      </c>
      <c r="B479" s="1" t="n">
        <v>45117</v>
      </c>
      <c r="C479" s="1" t="n">
        <v>46113</v>
      </c>
      <c r="D479" t="inlineStr">
        <is>
          <t>ÖSTERGÖTLANDS LÄN</t>
        </is>
      </c>
      <c r="E479" t="inlineStr">
        <is>
          <t>LINKÖPING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16213-2025</t>
        </is>
      </c>
      <c r="B480" s="1" t="n">
        <v>45750.62740740741</v>
      </c>
      <c r="C480" s="1" t="n">
        <v>46113</v>
      </c>
      <c r="D480" t="inlineStr">
        <is>
          <t>ÖSTERGÖTLANDS LÄN</t>
        </is>
      </c>
      <c r="E480" t="inlineStr">
        <is>
          <t>LINKÖPING</t>
        </is>
      </c>
      <c r="G480" t="n">
        <v>3.4</v>
      </c>
      <c r="H480" t="n">
        <v>0</v>
      </c>
      <c r="I480" t="n">
        <v>0</v>
      </c>
      <c r="J480" t="n">
        <v>0</v>
      </c>
      <c r="K480" t="n">
        <v>0</v>
      </c>
      <c r="L480" t="n">
        <v>0</v>
      </c>
      <c r="M480" t="n">
        <v>0</v>
      </c>
      <c r="N480" t="n">
        <v>0</v>
      </c>
      <c r="O480" t="n">
        <v>0</v>
      </c>
      <c r="P480" t="n">
        <v>0</v>
      </c>
      <c r="Q480" t="n">
        <v>0</v>
      </c>
      <c r="R480" s="2" t="inlineStr"/>
    </row>
    <row r="481" ht="15" customHeight="1">
      <c r="A481" t="inlineStr">
        <is>
          <t>A 29027-2025</t>
        </is>
      </c>
      <c r="B481" s="1" t="n">
        <v>45821.4375462963</v>
      </c>
      <c r="C481" s="1" t="n">
        <v>46113</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34872-2023</t>
        </is>
      </c>
      <c r="B482" s="1" t="n">
        <v>45140</v>
      </c>
      <c r="C482" s="1" t="n">
        <v>46113</v>
      </c>
      <c r="D482" t="inlineStr">
        <is>
          <t>ÖSTERGÖTLANDS LÄN</t>
        </is>
      </c>
      <c r="E482" t="inlineStr">
        <is>
          <t>LINKÖPING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33000-2023</t>
        </is>
      </c>
      <c r="B483" s="1" t="n">
        <v>45125</v>
      </c>
      <c r="C483" s="1" t="n">
        <v>46113</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29411-2025</t>
        </is>
      </c>
      <c r="B484" s="1" t="n">
        <v>45824.6219212963</v>
      </c>
      <c r="C484" s="1" t="n">
        <v>46113</v>
      </c>
      <c r="D484" t="inlineStr">
        <is>
          <t>ÖSTERGÖTLANDS LÄN</t>
        </is>
      </c>
      <c r="E484" t="inlineStr">
        <is>
          <t>LINKÖPING</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2997-2025</t>
        </is>
      </c>
      <c r="B485" s="1" t="n">
        <v>45678.54631944445</v>
      </c>
      <c r="C485" s="1" t="n">
        <v>46113</v>
      </c>
      <c r="D485" t="inlineStr">
        <is>
          <t>ÖSTERGÖTLANDS LÄN</t>
        </is>
      </c>
      <c r="E485" t="inlineStr">
        <is>
          <t>LINKÖPING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31534-2023</t>
        </is>
      </c>
      <c r="B486" s="1" t="n">
        <v>45116</v>
      </c>
      <c r="C486" s="1" t="n">
        <v>46113</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56105-2025</t>
        </is>
      </c>
      <c r="B487" s="1" t="n">
        <v>45973.72855324074</v>
      </c>
      <c r="C487" s="1" t="n">
        <v>46113</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29599-2025</t>
        </is>
      </c>
      <c r="B488" s="1" t="n">
        <v>45825.41101851852</v>
      </c>
      <c r="C488" s="1" t="n">
        <v>46113</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26803-2024</t>
        </is>
      </c>
      <c r="B489" s="1" t="n">
        <v>45470</v>
      </c>
      <c r="C489" s="1" t="n">
        <v>46113</v>
      </c>
      <c r="D489" t="inlineStr">
        <is>
          <t>ÖSTERGÖTLANDS LÄN</t>
        </is>
      </c>
      <c r="E489" t="inlineStr">
        <is>
          <t>LINKÖPING</t>
        </is>
      </c>
      <c r="F489" t="inlineStr">
        <is>
          <t>Allmännings- och besparingsskogar</t>
        </is>
      </c>
      <c r="G489" t="n">
        <v>4.5</v>
      </c>
      <c r="H489" t="n">
        <v>0</v>
      </c>
      <c r="I489" t="n">
        <v>0</v>
      </c>
      <c r="J489" t="n">
        <v>0</v>
      </c>
      <c r="K489" t="n">
        <v>0</v>
      </c>
      <c r="L489" t="n">
        <v>0</v>
      </c>
      <c r="M489" t="n">
        <v>0</v>
      </c>
      <c r="N489" t="n">
        <v>0</v>
      </c>
      <c r="O489" t="n">
        <v>0</v>
      </c>
      <c r="P489" t="n">
        <v>0</v>
      </c>
      <c r="Q489" t="n">
        <v>0</v>
      </c>
      <c r="R489" s="2" t="inlineStr"/>
    </row>
    <row r="490" ht="15" customHeight="1">
      <c r="A490" t="inlineStr">
        <is>
          <t>A 56403-2025</t>
        </is>
      </c>
      <c r="B490" s="1" t="n">
        <v>45974</v>
      </c>
      <c r="C490" s="1" t="n">
        <v>46113</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45806-2024</t>
        </is>
      </c>
      <c r="B491" s="1" t="n">
        <v>45579.69619212963</v>
      </c>
      <c r="C491" s="1" t="n">
        <v>46113</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56113-2025</t>
        </is>
      </c>
      <c r="B492" s="1" t="n">
        <v>45973.73924768518</v>
      </c>
      <c r="C492" s="1" t="n">
        <v>46113</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56704-2025</t>
        </is>
      </c>
      <c r="B493" s="1" t="n">
        <v>45977.50608796296</v>
      </c>
      <c r="C493" s="1" t="n">
        <v>46113</v>
      </c>
      <c r="D493" t="inlineStr">
        <is>
          <t>ÖSTERGÖTLANDS LÄN</t>
        </is>
      </c>
      <c r="E493" t="inlineStr">
        <is>
          <t>LINKÖPING</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37154-2023</t>
        </is>
      </c>
      <c r="B494" s="1" t="n">
        <v>45155</v>
      </c>
      <c r="C494" s="1" t="n">
        <v>46113</v>
      </c>
      <c r="D494" t="inlineStr">
        <is>
          <t>ÖSTERGÖTLANDS LÄN</t>
        </is>
      </c>
      <c r="E494" t="inlineStr">
        <is>
          <t>LINKÖPING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11330-2023</t>
        </is>
      </c>
      <c r="B495" s="1" t="n">
        <v>44993.24648148148</v>
      </c>
      <c r="C495" s="1" t="n">
        <v>46113</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42000-2023</t>
        </is>
      </c>
      <c r="B496" s="1" t="n">
        <v>45177</v>
      </c>
      <c r="C496" s="1" t="n">
        <v>46113</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30355-2025</t>
        </is>
      </c>
      <c r="B497" s="1" t="n">
        <v>45827</v>
      </c>
      <c r="C497" s="1" t="n">
        <v>46113</v>
      </c>
      <c r="D497" t="inlineStr">
        <is>
          <t>ÖSTERGÖTLANDS LÄN</t>
        </is>
      </c>
      <c r="E497" t="inlineStr">
        <is>
          <t>LINKÖPING</t>
        </is>
      </c>
      <c r="F497" t="inlineStr">
        <is>
          <t>Sveaskog</t>
        </is>
      </c>
      <c r="G497" t="n">
        <v>3.1</v>
      </c>
      <c r="H497" t="n">
        <v>0</v>
      </c>
      <c r="I497" t="n">
        <v>0</v>
      </c>
      <c r="J497" t="n">
        <v>0</v>
      </c>
      <c r="K497" t="n">
        <v>0</v>
      </c>
      <c r="L497" t="n">
        <v>0</v>
      </c>
      <c r="M497" t="n">
        <v>0</v>
      </c>
      <c r="N497" t="n">
        <v>0</v>
      </c>
      <c r="O497" t="n">
        <v>0</v>
      </c>
      <c r="P497" t="n">
        <v>0</v>
      </c>
      <c r="Q497" t="n">
        <v>0</v>
      </c>
      <c r="R497" s="2" t="inlineStr"/>
    </row>
    <row r="498" ht="15" customHeight="1">
      <c r="A498" t="inlineStr">
        <is>
          <t>A 32602-2022</t>
        </is>
      </c>
      <c r="B498" s="1" t="n">
        <v>44783.43192129629</v>
      </c>
      <c r="C498" s="1" t="n">
        <v>46113</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30353-2025</t>
        </is>
      </c>
      <c r="B499" s="1" t="n">
        <v>45827</v>
      </c>
      <c r="C499" s="1" t="n">
        <v>46113</v>
      </c>
      <c r="D499" t="inlineStr">
        <is>
          <t>ÖSTERGÖTLANDS LÄN</t>
        </is>
      </c>
      <c r="E499" t="inlineStr">
        <is>
          <t>LINKÖPING</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13413-2023</t>
        </is>
      </c>
      <c r="B500" s="1" t="n">
        <v>45005.58341435185</v>
      </c>
      <c r="C500" s="1" t="n">
        <v>46113</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63528-2023</t>
        </is>
      </c>
      <c r="B501" s="1" t="n">
        <v>45274.94810185185</v>
      </c>
      <c r="C501" s="1" t="n">
        <v>46113</v>
      </c>
      <c r="D501" t="inlineStr">
        <is>
          <t>ÖSTERGÖTLANDS LÄN</t>
        </is>
      </c>
      <c r="E501" t="inlineStr">
        <is>
          <t>LINKÖPING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63638-2023</t>
        </is>
      </c>
      <c r="B502" s="1" t="n">
        <v>45275</v>
      </c>
      <c r="C502" s="1" t="n">
        <v>46113</v>
      </c>
      <c r="D502" t="inlineStr">
        <is>
          <t>ÖSTERGÖTLANDS LÄN</t>
        </is>
      </c>
      <c r="E502" t="inlineStr">
        <is>
          <t>LINKÖPING</t>
        </is>
      </c>
      <c r="F502" t="inlineStr">
        <is>
          <t>Övriga Aktiebolag</t>
        </is>
      </c>
      <c r="G502" t="n">
        <v>2.4</v>
      </c>
      <c r="H502" t="n">
        <v>0</v>
      </c>
      <c r="I502" t="n">
        <v>0</v>
      </c>
      <c r="J502" t="n">
        <v>0</v>
      </c>
      <c r="K502" t="n">
        <v>0</v>
      </c>
      <c r="L502" t="n">
        <v>0</v>
      </c>
      <c r="M502" t="n">
        <v>0</v>
      </c>
      <c r="N502" t="n">
        <v>0</v>
      </c>
      <c r="O502" t="n">
        <v>0</v>
      </c>
      <c r="P502" t="n">
        <v>0</v>
      </c>
      <c r="Q502" t="n">
        <v>0</v>
      </c>
      <c r="R502" s="2" t="inlineStr"/>
    </row>
    <row r="503" ht="15" customHeight="1">
      <c r="A503" t="inlineStr">
        <is>
          <t>A 63658-2023</t>
        </is>
      </c>
      <c r="B503" s="1" t="n">
        <v>45275</v>
      </c>
      <c r="C503" s="1" t="n">
        <v>46113</v>
      </c>
      <c r="D503" t="inlineStr">
        <is>
          <t>ÖSTERGÖTLANDS LÄN</t>
        </is>
      </c>
      <c r="E503" t="inlineStr">
        <is>
          <t>LINKÖPING</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55004-2025</t>
        </is>
      </c>
      <c r="B504" s="1" t="n">
        <v>45967</v>
      </c>
      <c r="C504" s="1" t="n">
        <v>46113</v>
      </c>
      <c r="D504" t="inlineStr">
        <is>
          <t>ÖSTERGÖTLANDS LÄN</t>
        </is>
      </c>
      <c r="E504" t="inlineStr">
        <is>
          <t>LINKÖPING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7808-2022</t>
        </is>
      </c>
      <c r="B505" s="1" t="n">
        <v>44608</v>
      </c>
      <c r="C505" s="1" t="n">
        <v>46113</v>
      </c>
      <c r="D505" t="inlineStr">
        <is>
          <t>ÖSTERGÖTLANDS LÄN</t>
        </is>
      </c>
      <c r="E505" t="inlineStr">
        <is>
          <t>LINKÖPING</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36336-2023</t>
        </is>
      </c>
      <c r="B506" s="1" t="n">
        <v>45152.45078703704</v>
      </c>
      <c r="C506" s="1" t="n">
        <v>46113</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56623-2024</t>
        </is>
      </c>
      <c r="B507" s="1" t="n">
        <v>45625</v>
      </c>
      <c r="C507" s="1" t="n">
        <v>46113</v>
      </c>
      <c r="D507" t="inlineStr">
        <is>
          <t>ÖSTERGÖTLANDS LÄN</t>
        </is>
      </c>
      <c r="E507" t="inlineStr">
        <is>
          <t>LINKÖPING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59205-2025</t>
        </is>
      </c>
      <c r="B508" s="1" t="n">
        <v>45988.60721064815</v>
      </c>
      <c r="C508" s="1" t="n">
        <v>46113</v>
      </c>
      <c r="D508" t="inlineStr">
        <is>
          <t>ÖSTERGÖTLANDS LÄN</t>
        </is>
      </c>
      <c r="E508" t="inlineStr">
        <is>
          <t>LINKÖPING</t>
        </is>
      </c>
      <c r="F508" t="inlineStr">
        <is>
          <t>Sveaskog</t>
        </is>
      </c>
      <c r="G508" t="n">
        <v>11.3</v>
      </c>
      <c r="H508" t="n">
        <v>0</v>
      </c>
      <c r="I508" t="n">
        <v>0</v>
      </c>
      <c r="J508" t="n">
        <v>0</v>
      </c>
      <c r="K508" t="n">
        <v>0</v>
      </c>
      <c r="L508" t="n">
        <v>0</v>
      </c>
      <c r="M508" t="n">
        <v>0</v>
      </c>
      <c r="N508" t="n">
        <v>0</v>
      </c>
      <c r="O508" t="n">
        <v>0</v>
      </c>
      <c r="P508" t="n">
        <v>0</v>
      </c>
      <c r="Q508" t="n">
        <v>0</v>
      </c>
      <c r="R508" s="2" t="inlineStr"/>
    </row>
    <row r="509" ht="15" customHeight="1">
      <c r="A509" t="inlineStr">
        <is>
          <t>A 58802-2025</t>
        </is>
      </c>
      <c r="B509" s="1" t="n">
        <v>45986.8768287037</v>
      </c>
      <c r="C509" s="1" t="n">
        <v>46113</v>
      </c>
      <c r="D509" t="inlineStr">
        <is>
          <t>ÖSTERGÖTLANDS LÄN</t>
        </is>
      </c>
      <c r="E509" t="inlineStr">
        <is>
          <t>LINKÖPING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59472-2025</t>
        </is>
      </c>
      <c r="B510" s="1" t="n">
        <v>45989.58321759259</v>
      </c>
      <c r="C510" s="1" t="n">
        <v>46113</v>
      </c>
      <c r="D510" t="inlineStr">
        <is>
          <t>ÖSTERGÖTLANDS LÄN</t>
        </is>
      </c>
      <c r="E510" t="inlineStr">
        <is>
          <t>LINKÖPING</t>
        </is>
      </c>
      <c r="G510" t="n">
        <v>0.8</v>
      </c>
      <c r="H510" t="n">
        <v>0</v>
      </c>
      <c r="I510" t="n">
        <v>0</v>
      </c>
      <c r="J510" t="n">
        <v>0</v>
      </c>
      <c r="K510" t="n">
        <v>0</v>
      </c>
      <c r="L510" t="n">
        <v>0</v>
      </c>
      <c r="M510" t="n">
        <v>0</v>
      </c>
      <c r="N510" t="n">
        <v>0</v>
      </c>
      <c r="O510" t="n">
        <v>0</v>
      </c>
      <c r="P510" t="n">
        <v>0</v>
      </c>
      <c r="Q510" t="n">
        <v>0</v>
      </c>
      <c r="R510" s="2" t="inlineStr"/>
    </row>
    <row r="511" ht="15" customHeight="1">
      <c r="A511" t="inlineStr">
        <is>
          <t>A 13011-2022</t>
        </is>
      </c>
      <c r="B511" s="1" t="n">
        <v>44643</v>
      </c>
      <c r="C511" s="1" t="n">
        <v>46113</v>
      </c>
      <c r="D511" t="inlineStr">
        <is>
          <t>ÖSTERGÖTLANDS LÄN</t>
        </is>
      </c>
      <c r="E511" t="inlineStr">
        <is>
          <t>LINKÖPING</t>
        </is>
      </c>
      <c r="G511" t="n">
        <v>3.7</v>
      </c>
      <c r="H511" t="n">
        <v>0</v>
      </c>
      <c r="I511" t="n">
        <v>0</v>
      </c>
      <c r="J511" t="n">
        <v>0</v>
      </c>
      <c r="K511" t="n">
        <v>0</v>
      </c>
      <c r="L511" t="n">
        <v>0</v>
      </c>
      <c r="M511" t="n">
        <v>0</v>
      </c>
      <c r="N511" t="n">
        <v>0</v>
      </c>
      <c r="O511" t="n">
        <v>0</v>
      </c>
      <c r="P511" t="n">
        <v>0</v>
      </c>
      <c r="Q511" t="n">
        <v>0</v>
      </c>
      <c r="R511" s="2" t="inlineStr"/>
    </row>
    <row r="512" ht="15" customHeight="1">
      <c r="A512" t="inlineStr">
        <is>
          <t>A 11595-2025</t>
        </is>
      </c>
      <c r="B512" s="1" t="n">
        <v>45727.41893518518</v>
      </c>
      <c r="C512" s="1" t="n">
        <v>46113</v>
      </c>
      <c r="D512" t="inlineStr">
        <is>
          <t>ÖSTERGÖTLANDS LÄN</t>
        </is>
      </c>
      <c r="E512" t="inlineStr">
        <is>
          <t>LINKÖPING</t>
        </is>
      </c>
      <c r="G512" t="n">
        <v>6.6</v>
      </c>
      <c r="H512" t="n">
        <v>0</v>
      </c>
      <c r="I512" t="n">
        <v>0</v>
      </c>
      <c r="J512" t="n">
        <v>0</v>
      </c>
      <c r="K512" t="n">
        <v>0</v>
      </c>
      <c r="L512" t="n">
        <v>0</v>
      </c>
      <c r="M512" t="n">
        <v>0</v>
      </c>
      <c r="N512" t="n">
        <v>0</v>
      </c>
      <c r="O512" t="n">
        <v>0</v>
      </c>
      <c r="P512" t="n">
        <v>0</v>
      </c>
      <c r="Q512" t="n">
        <v>0</v>
      </c>
      <c r="R512" s="2" t="inlineStr"/>
    </row>
    <row r="513" ht="15" customHeight="1">
      <c r="A513" t="inlineStr">
        <is>
          <t>A 50508-2024</t>
        </is>
      </c>
      <c r="B513" s="1" t="n">
        <v>45601.53907407408</v>
      </c>
      <c r="C513" s="1" t="n">
        <v>46113</v>
      </c>
      <c r="D513" t="inlineStr">
        <is>
          <t>ÖSTERGÖTLANDS LÄN</t>
        </is>
      </c>
      <c r="E513" t="inlineStr">
        <is>
          <t>LINKÖPING</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31581-2025</t>
        </is>
      </c>
      <c r="B514" s="1" t="n">
        <v>45833.6840162037</v>
      </c>
      <c r="C514" s="1" t="n">
        <v>46113</v>
      </c>
      <c r="D514" t="inlineStr">
        <is>
          <t>ÖSTERGÖTLANDS LÄN</t>
        </is>
      </c>
      <c r="E514" t="inlineStr">
        <is>
          <t>LINKÖPING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31585-2025</t>
        </is>
      </c>
      <c r="B515" s="1" t="n">
        <v>45833.68815972222</v>
      </c>
      <c r="C515" s="1" t="n">
        <v>46113</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36336-2022</t>
        </is>
      </c>
      <c r="B516" s="1" t="n">
        <v>44803</v>
      </c>
      <c r="C516" s="1" t="n">
        <v>46113</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48839-2022</t>
        </is>
      </c>
      <c r="B517" s="1" t="n">
        <v>44859</v>
      </c>
      <c r="C517" s="1" t="n">
        <v>46113</v>
      </c>
      <c r="D517" t="inlineStr">
        <is>
          <t>ÖSTERGÖTLANDS LÄN</t>
        </is>
      </c>
      <c r="E517" t="inlineStr">
        <is>
          <t>LINKÖPING</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60087-2025</t>
        </is>
      </c>
      <c r="B518" s="1" t="n">
        <v>45993.71726851852</v>
      </c>
      <c r="C518" s="1" t="n">
        <v>46113</v>
      </c>
      <c r="D518" t="inlineStr">
        <is>
          <t>ÖSTERGÖTLANDS LÄN</t>
        </is>
      </c>
      <c r="E518" t="inlineStr">
        <is>
          <t>LINKÖPING</t>
        </is>
      </c>
      <c r="G518" t="n">
        <v>1</v>
      </c>
      <c r="H518" t="n">
        <v>0</v>
      </c>
      <c r="I518" t="n">
        <v>0</v>
      </c>
      <c r="J518" t="n">
        <v>0</v>
      </c>
      <c r="K518" t="n">
        <v>0</v>
      </c>
      <c r="L518" t="n">
        <v>0</v>
      </c>
      <c r="M518" t="n">
        <v>0</v>
      </c>
      <c r="N518" t="n">
        <v>0</v>
      </c>
      <c r="O518" t="n">
        <v>0</v>
      </c>
      <c r="P518" t="n">
        <v>0</v>
      </c>
      <c r="Q518" t="n">
        <v>0</v>
      </c>
      <c r="R518" s="2" t="inlineStr"/>
    </row>
    <row r="519" ht="15" customHeight="1">
      <c r="A519" t="inlineStr">
        <is>
          <t>A 60284-2025</t>
        </is>
      </c>
      <c r="B519" s="1" t="n">
        <v>45994.64373842593</v>
      </c>
      <c r="C519" s="1" t="n">
        <v>46113</v>
      </c>
      <c r="D519" t="inlineStr">
        <is>
          <t>ÖSTERGÖTLANDS LÄN</t>
        </is>
      </c>
      <c r="E519" t="inlineStr">
        <is>
          <t>LINKÖPING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60306-2025</t>
        </is>
      </c>
      <c r="B520" s="1" t="n">
        <v>45994.68326388889</v>
      </c>
      <c r="C520" s="1" t="n">
        <v>46113</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6387-2022</t>
        </is>
      </c>
      <c r="B521" s="1" t="n">
        <v>44600</v>
      </c>
      <c r="C521" s="1" t="n">
        <v>46113</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34641-2022</t>
        </is>
      </c>
      <c r="B522" s="1" t="n">
        <v>44795</v>
      </c>
      <c r="C522" s="1" t="n">
        <v>46113</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13687-2025</t>
        </is>
      </c>
      <c r="B523" s="1" t="n">
        <v>45737.31425925926</v>
      </c>
      <c r="C523" s="1" t="n">
        <v>46113</v>
      </c>
      <c r="D523" t="inlineStr">
        <is>
          <t>ÖSTERGÖTLANDS LÄN</t>
        </is>
      </c>
      <c r="E523" t="inlineStr">
        <is>
          <t>LINKÖPING</t>
        </is>
      </c>
      <c r="G523" t="n">
        <v>2.7</v>
      </c>
      <c r="H523" t="n">
        <v>0</v>
      </c>
      <c r="I523" t="n">
        <v>0</v>
      </c>
      <c r="J523" t="n">
        <v>0</v>
      </c>
      <c r="K523" t="n">
        <v>0</v>
      </c>
      <c r="L523" t="n">
        <v>0</v>
      </c>
      <c r="M523" t="n">
        <v>0</v>
      </c>
      <c r="N523" t="n">
        <v>0</v>
      </c>
      <c r="O523" t="n">
        <v>0</v>
      </c>
      <c r="P523" t="n">
        <v>0</v>
      </c>
      <c r="Q523" t="n">
        <v>0</v>
      </c>
      <c r="R523" s="2" t="inlineStr"/>
    </row>
    <row r="524" ht="15" customHeight="1">
      <c r="A524" t="inlineStr">
        <is>
          <t>A 13695-2025</t>
        </is>
      </c>
      <c r="B524" s="1" t="n">
        <v>45737.32219907407</v>
      </c>
      <c r="C524" s="1" t="n">
        <v>46113</v>
      </c>
      <c r="D524" t="inlineStr">
        <is>
          <t>ÖSTERGÖTLANDS LÄN</t>
        </is>
      </c>
      <c r="E524" t="inlineStr">
        <is>
          <t>LINKÖPING</t>
        </is>
      </c>
      <c r="G524" t="n">
        <v>5.3</v>
      </c>
      <c r="H524" t="n">
        <v>0</v>
      </c>
      <c r="I524" t="n">
        <v>0</v>
      </c>
      <c r="J524" t="n">
        <v>0</v>
      </c>
      <c r="K524" t="n">
        <v>0</v>
      </c>
      <c r="L524" t="n">
        <v>0</v>
      </c>
      <c r="M524" t="n">
        <v>0</v>
      </c>
      <c r="N524" t="n">
        <v>0</v>
      </c>
      <c r="O524" t="n">
        <v>0</v>
      </c>
      <c r="P524" t="n">
        <v>0</v>
      </c>
      <c r="Q524" t="n">
        <v>0</v>
      </c>
      <c r="R524" s="2" t="inlineStr"/>
    </row>
    <row r="525" ht="15" customHeight="1">
      <c r="A525" t="inlineStr">
        <is>
          <t>A 60703-2025</t>
        </is>
      </c>
      <c r="B525" s="1" t="n">
        <v>45996.6052662037</v>
      </c>
      <c r="C525" s="1" t="n">
        <v>46113</v>
      </c>
      <c r="D525" t="inlineStr">
        <is>
          <t>ÖSTERGÖTLANDS LÄN</t>
        </is>
      </c>
      <c r="E525" t="inlineStr">
        <is>
          <t>LINKÖPING</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52413-2023</t>
        </is>
      </c>
      <c r="B526" s="1" t="n">
        <v>45225.27950231481</v>
      </c>
      <c r="C526" s="1" t="n">
        <v>46113</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32723-2025</t>
        </is>
      </c>
      <c r="B527" s="1" t="n">
        <v>45838</v>
      </c>
      <c r="C527" s="1" t="n">
        <v>46113</v>
      </c>
      <c r="D527" t="inlineStr">
        <is>
          <t>ÖSTERGÖTLANDS LÄN</t>
        </is>
      </c>
      <c r="E527" t="inlineStr">
        <is>
          <t>LINKÖPING</t>
        </is>
      </c>
      <c r="G527" t="n">
        <v>2.1</v>
      </c>
      <c r="H527" t="n">
        <v>0</v>
      </c>
      <c r="I527" t="n">
        <v>0</v>
      </c>
      <c r="J527" t="n">
        <v>0</v>
      </c>
      <c r="K527" t="n">
        <v>0</v>
      </c>
      <c r="L527" t="n">
        <v>0</v>
      </c>
      <c r="M527" t="n">
        <v>0</v>
      </c>
      <c r="N527" t="n">
        <v>0</v>
      </c>
      <c r="O527" t="n">
        <v>0</v>
      </c>
      <c r="P527" t="n">
        <v>0</v>
      </c>
      <c r="Q527" t="n">
        <v>0</v>
      </c>
      <c r="R527" s="2" t="inlineStr"/>
    </row>
    <row r="528" ht="15" customHeight="1">
      <c r="A528" t="inlineStr">
        <is>
          <t>A 61230-2025</t>
        </is>
      </c>
      <c r="B528" s="1" t="n">
        <v>46000.63111111111</v>
      </c>
      <c r="C528" s="1" t="n">
        <v>46113</v>
      </c>
      <c r="D528" t="inlineStr">
        <is>
          <t>ÖSTERGÖTLANDS LÄN</t>
        </is>
      </c>
      <c r="E528" t="inlineStr">
        <is>
          <t>LINKÖPING</t>
        </is>
      </c>
      <c r="F528" t="inlineStr">
        <is>
          <t>Kyrkan</t>
        </is>
      </c>
      <c r="G528" t="n">
        <v>2.1</v>
      </c>
      <c r="H528" t="n">
        <v>0</v>
      </c>
      <c r="I528" t="n">
        <v>0</v>
      </c>
      <c r="J528" t="n">
        <v>0</v>
      </c>
      <c r="K528" t="n">
        <v>0</v>
      </c>
      <c r="L528" t="n">
        <v>0</v>
      </c>
      <c r="M528" t="n">
        <v>0</v>
      </c>
      <c r="N528" t="n">
        <v>0</v>
      </c>
      <c r="O528" t="n">
        <v>0</v>
      </c>
      <c r="P528" t="n">
        <v>0</v>
      </c>
      <c r="Q528" t="n">
        <v>0</v>
      </c>
      <c r="R528" s="2" t="inlineStr"/>
    </row>
    <row r="529" ht="15" customHeight="1">
      <c r="A529" t="inlineStr">
        <is>
          <t>A 42054-2022</t>
        </is>
      </c>
      <c r="B529" s="1" t="n">
        <v>44830</v>
      </c>
      <c r="C529" s="1" t="n">
        <v>46113</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53797-2023</t>
        </is>
      </c>
      <c r="B530" s="1" t="n">
        <v>45230</v>
      </c>
      <c r="C530" s="1" t="n">
        <v>46113</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60866-2025</t>
        </is>
      </c>
      <c r="B531" s="1" t="n">
        <v>45999</v>
      </c>
      <c r="C531" s="1" t="n">
        <v>46113</v>
      </c>
      <c r="D531" t="inlineStr">
        <is>
          <t>ÖSTERGÖTLANDS LÄN</t>
        </is>
      </c>
      <c r="E531" t="inlineStr">
        <is>
          <t>LINKÖPING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61643-2025</t>
        </is>
      </c>
      <c r="B532" s="1" t="n">
        <v>46002.43575231481</v>
      </c>
      <c r="C532" s="1" t="n">
        <v>46113</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22833-2023</t>
        </is>
      </c>
      <c r="B533" s="1" t="n">
        <v>45071</v>
      </c>
      <c r="C533" s="1" t="n">
        <v>46113</v>
      </c>
      <c r="D533" t="inlineStr">
        <is>
          <t>ÖSTERGÖTLANDS LÄN</t>
        </is>
      </c>
      <c r="E533" t="inlineStr">
        <is>
          <t>LINKÖPING</t>
        </is>
      </c>
      <c r="F533" t="inlineStr">
        <is>
          <t>Kommuner</t>
        </is>
      </c>
      <c r="G533" t="n">
        <v>1</v>
      </c>
      <c r="H533" t="n">
        <v>0</v>
      </c>
      <c r="I533" t="n">
        <v>0</v>
      </c>
      <c r="J533" t="n">
        <v>0</v>
      </c>
      <c r="K533" t="n">
        <v>0</v>
      </c>
      <c r="L533" t="n">
        <v>0</v>
      </c>
      <c r="M533" t="n">
        <v>0</v>
      </c>
      <c r="N533" t="n">
        <v>0</v>
      </c>
      <c r="O533" t="n">
        <v>0</v>
      </c>
      <c r="P533" t="n">
        <v>0</v>
      </c>
      <c r="Q533" t="n">
        <v>0</v>
      </c>
      <c r="R533" s="2" t="inlineStr"/>
    </row>
    <row r="534" ht="15" customHeight="1">
      <c r="A534" t="inlineStr">
        <is>
          <t>A 17898-2022</t>
        </is>
      </c>
      <c r="B534" s="1" t="n">
        <v>44683</v>
      </c>
      <c r="C534" s="1" t="n">
        <v>46113</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62017-2024</t>
        </is>
      </c>
      <c r="B535" s="1" t="n">
        <v>45655.81140046296</v>
      </c>
      <c r="C535" s="1" t="n">
        <v>46113</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61447-2025</t>
        </is>
      </c>
      <c r="B536" s="1" t="n">
        <v>46001.57554398148</v>
      </c>
      <c r="C536" s="1" t="n">
        <v>46113</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61645-2025</t>
        </is>
      </c>
      <c r="B537" s="1" t="n">
        <v>46002.43697916667</v>
      </c>
      <c r="C537" s="1" t="n">
        <v>46113</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12411-2022</t>
        </is>
      </c>
      <c r="B538" s="1" t="n">
        <v>44638.21601851852</v>
      </c>
      <c r="C538" s="1" t="n">
        <v>46113</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10492-2022</t>
        </is>
      </c>
      <c r="B539" s="1" t="n">
        <v>44623.6377199074</v>
      </c>
      <c r="C539" s="1" t="n">
        <v>46113</v>
      </c>
      <c r="D539" t="inlineStr">
        <is>
          <t>ÖSTERGÖTLANDS LÄN</t>
        </is>
      </c>
      <c r="E539" t="inlineStr">
        <is>
          <t>LINKÖPING</t>
        </is>
      </c>
      <c r="G539" t="n">
        <v>2.1</v>
      </c>
      <c r="H539" t="n">
        <v>0</v>
      </c>
      <c r="I539" t="n">
        <v>0</v>
      </c>
      <c r="J539" t="n">
        <v>0</v>
      </c>
      <c r="K539" t="n">
        <v>0</v>
      </c>
      <c r="L539" t="n">
        <v>0</v>
      </c>
      <c r="M539" t="n">
        <v>0</v>
      </c>
      <c r="N539" t="n">
        <v>0</v>
      </c>
      <c r="O539" t="n">
        <v>0</v>
      </c>
      <c r="P539" t="n">
        <v>0</v>
      </c>
      <c r="Q539" t="n">
        <v>0</v>
      </c>
      <c r="R539" s="2" t="inlineStr"/>
    </row>
    <row r="540" ht="15" customHeight="1">
      <c r="A540" t="inlineStr">
        <is>
          <t>A 7343-2025</t>
        </is>
      </c>
      <c r="B540" s="1" t="n">
        <v>45703.67853009259</v>
      </c>
      <c r="C540" s="1" t="n">
        <v>46113</v>
      </c>
      <c r="D540" t="inlineStr">
        <is>
          <t>ÖSTERGÖTLANDS LÄN</t>
        </is>
      </c>
      <c r="E540" t="inlineStr">
        <is>
          <t>LINKÖPING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8967-2025</t>
        </is>
      </c>
      <c r="B541" s="1" t="n">
        <v>45712</v>
      </c>
      <c r="C541" s="1" t="n">
        <v>46113</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35427-2023</t>
        </is>
      </c>
      <c r="B542" s="1" t="n">
        <v>45146</v>
      </c>
      <c r="C542" s="1" t="n">
        <v>46113</v>
      </c>
      <c r="D542" t="inlineStr">
        <is>
          <t>ÖSTERGÖTLANDS LÄN</t>
        </is>
      </c>
      <c r="E542" t="inlineStr">
        <is>
          <t>LINKÖPING</t>
        </is>
      </c>
      <c r="F542" t="inlineStr">
        <is>
          <t>Övriga Aktiebolag</t>
        </is>
      </c>
      <c r="G542" t="n">
        <v>2.5</v>
      </c>
      <c r="H542" t="n">
        <v>0</v>
      </c>
      <c r="I542" t="n">
        <v>0</v>
      </c>
      <c r="J542" t="n">
        <v>0</v>
      </c>
      <c r="K542" t="n">
        <v>0</v>
      </c>
      <c r="L542" t="n">
        <v>0</v>
      </c>
      <c r="M542" t="n">
        <v>0</v>
      </c>
      <c r="N542" t="n">
        <v>0</v>
      </c>
      <c r="O542" t="n">
        <v>0</v>
      </c>
      <c r="P542" t="n">
        <v>0</v>
      </c>
      <c r="Q542" t="n">
        <v>0</v>
      </c>
      <c r="R542" s="2" t="inlineStr"/>
    </row>
    <row r="543" ht="15" customHeight="1">
      <c r="A543" t="inlineStr">
        <is>
          <t>A 30468-2023</t>
        </is>
      </c>
      <c r="B543" s="1" t="n">
        <v>45111.58732638889</v>
      </c>
      <c r="C543" s="1" t="n">
        <v>46113</v>
      </c>
      <c r="D543" t="inlineStr">
        <is>
          <t>ÖSTERGÖTLANDS LÄN</t>
        </is>
      </c>
      <c r="E543" t="inlineStr">
        <is>
          <t>LINKÖPING</t>
        </is>
      </c>
      <c r="G543" t="n">
        <v>10.1</v>
      </c>
      <c r="H543" t="n">
        <v>0</v>
      </c>
      <c r="I543" t="n">
        <v>0</v>
      </c>
      <c r="J543" t="n">
        <v>0</v>
      </c>
      <c r="K543" t="n">
        <v>0</v>
      </c>
      <c r="L543" t="n">
        <v>0</v>
      </c>
      <c r="M543" t="n">
        <v>0</v>
      </c>
      <c r="N543" t="n">
        <v>0</v>
      </c>
      <c r="O543" t="n">
        <v>0</v>
      </c>
      <c r="P543" t="n">
        <v>0</v>
      </c>
      <c r="Q543" t="n">
        <v>0</v>
      </c>
      <c r="R543" s="2" t="inlineStr"/>
    </row>
    <row r="544" ht="15" customHeight="1">
      <c r="A544" t="inlineStr">
        <is>
          <t>A 61899-2025</t>
        </is>
      </c>
      <c r="B544" s="1" t="n">
        <v>46003.46635416667</v>
      </c>
      <c r="C544" s="1" t="n">
        <v>46113</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62791-2025</t>
        </is>
      </c>
      <c r="B545" s="1" t="n">
        <v>46008.63266203704</v>
      </c>
      <c r="C545" s="1" t="n">
        <v>46113</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62686-2025</t>
        </is>
      </c>
      <c r="B546" s="1" t="n">
        <v>46008.46769675926</v>
      </c>
      <c r="C546" s="1" t="n">
        <v>46113</v>
      </c>
      <c r="D546" t="inlineStr">
        <is>
          <t>ÖSTERGÖTLANDS LÄN</t>
        </is>
      </c>
      <c r="E546" t="inlineStr">
        <is>
          <t>LINKÖPING</t>
        </is>
      </c>
      <c r="G546" t="n">
        <v>7.6</v>
      </c>
      <c r="H546" t="n">
        <v>0</v>
      </c>
      <c r="I546" t="n">
        <v>0</v>
      </c>
      <c r="J546" t="n">
        <v>0</v>
      </c>
      <c r="K546" t="n">
        <v>0</v>
      </c>
      <c r="L546" t="n">
        <v>0</v>
      </c>
      <c r="M546" t="n">
        <v>0</v>
      </c>
      <c r="N546" t="n">
        <v>0</v>
      </c>
      <c r="O546" t="n">
        <v>0</v>
      </c>
      <c r="P546" t="n">
        <v>0</v>
      </c>
      <c r="Q546" t="n">
        <v>0</v>
      </c>
      <c r="R546" s="2" t="inlineStr"/>
    </row>
    <row r="547" ht="15" customHeight="1">
      <c r="A547" t="inlineStr">
        <is>
          <t>A 62515-2025</t>
        </is>
      </c>
      <c r="B547" s="1" t="n">
        <v>46007.60548611111</v>
      </c>
      <c r="C547" s="1" t="n">
        <v>46113</v>
      </c>
      <c r="D547" t="inlineStr">
        <is>
          <t>ÖSTERGÖTLANDS LÄN</t>
        </is>
      </c>
      <c r="E547" t="inlineStr">
        <is>
          <t>LINKÖPING</t>
        </is>
      </c>
      <c r="G547" t="n">
        <v>2.2</v>
      </c>
      <c r="H547" t="n">
        <v>0</v>
      </c>
      <c r="I547" t="n">
        <v>0</v>
      </c>
      <c r="J547" t="n">
        <v>0</v>
      </c>
      <c r="K547" t="n">
        <v>0</v>
      </c>
      <c r="L547" t="n">
        <v>0</v>
      </c>
      <c r="M547" t="n">
        <v>0</v>
      </c>
      <c r="N547" t="n">
        <v>0</v>
      </c>
      <c r="O547" t="n">
        <v>0</v>
      </c>
      <c r="P547" t="n">
        <v>0</v>
      </c>
      <c r="Q547" t="n">
        <v>0</v>
      </c>
      <c r="R547" s="2" t="inlineStr"/>
    </row>
    <row r="548" ht="15" customHeight="1">
      <c r="A548" t="inlineStr">
        <is>
          <t>A 63147-2025</t>
        </is>
      </c>
      <c r="B548" s="1" t="n">
        <v>46010.35003472222</v>
      </c>
      <c r="C548" s="1" t="n">
        <v>46113</v>
      </c>
      <c r="D548" t="inlineStr">
        <is>
          <t>ÖSTERGÖTLANDS LÄN</t>
        </is>
      </c>
      <c r="E548" t="inlineStr">
        <is>
          <t>LINKÖPING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20296-2025</t>
        </is>
      </c>
      <c r="B549" s="1" t="n">
        <v>45774.74922453704</v>
      </c>
      <c r="C549" s="1" t="n">
        <v>46113</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63144-2025</t>
        </is>
      </c>
      <c r="B550" s="1" t="n">
        <v>46010.34716435185</v>
      </c>
      <c r="C550" s="1" t="n">
        <v>46113</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33947-2025</t>
        </is>
      </c>
      <c r="B551" s="1" t="n">
        <v>45842.65444444444</v>
      </c>
      <c r="C551" s="1" t="n">
        <v>46113</v>
      </c>
      <c r="D551" t="inlineStr">
        <is>
          <t>ÖSTERGÖTLANDS LÄN</t>
        </is>
      </c>
      <c r="E551" t="inlineStr">
        <is>
          <t>LINKÖPING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56841-2023</t>
        </is>
      </c>
      <c r="B552" s="1" t="n">
        <v>45244</v>
      </c>
      <c r="C552" s="1" t="n">
        <v>46113</v>
      </c>
      <c r="D552" t="inlineStr">
        <is>
          <t>ÖSTERGÖTLANDS LÄN</t>
        </is>
      </c>
      <c r="E552" t="inlineStr">
        <is>
          <t>LINKÖPING</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53812-2023</t>
        </is>
      </c>
      <c r="B553" s="1" t="n">
        <v>45231.39583333334</v>
      </c>
      <c r="C553" s="1" t="n">
        <v>46113</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53830-2023</t>
        </is>
      </c>
      <c r="B554" s="1" t="n">
        <v>45230</v>
      </c>
      <c r="C554" s="1" t="n">
        <v>46113</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38715-2023</t>
        </is>
      </c>
      <c r="B555" s="1" t="n">
        <v>45160</v>
      </c>
      <c r="C555" s="1" t="n">
        <v>46113</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62012-2024</t>
        </is>
      </c>
      <c r="B556" s="1" t="n">
        <v>45655.79679398148</v>
      </c>
      <c r="C556" s="1" t="n">
        <v>46113</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27766-2022</t>
        </is>
      </c>
      <c r="B557" s="1" t="n">
        <v>44743.53112268518</v>
      </c>
      <c r="C557" s="1" t="n">
        <v>46113</v>
      </c>
      <c r="D557" t="inlineStr">
        <is>
          <t>ÖSTERGÖTLANDS LÄN</t>
        </is>
      </c>
      <c r="E557" t="inlineStr">
        <is>
          <t>LINKÖPING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53529-2024</t>
        </is>
      </c>
      <c r="B558" s="1" t="n">
        <v>45614</v>
      </c>
      <c r="C558" s="1" t="n">
        <v>46113</v>
      </c>
      <c r="D558" t="inlineStr">
        <is>
          <t>ÖSTERGÖTLANDS LÄN</t>
        </is>
      </c>
      <c r="E558" t="inlineStr">
        <is>
          <t>LINKÖPING</t>
        </is>
      </c>
      <c r="G558" t="n">
        <v>6.7</v>
      </c>
      <c r="H558" t="n">
        <v>0</v>
      </c>
      <c r="I558" t="n">
        <v>0</v>
      </c>
      <c r="J558" t="n">
        <v>0</v>
      </c>
      <c r="K558" t="n">
        <v>0</v>
      </c>
      <c r="L558" t="n">
        <v>0</v>
      </c>
      <c r="M558" t="n">
        <v>0</v>
      </c>
      <c r="N558" t="n">
        <v>0</v>
      </c>
      <c r="O558" t="n">
        <v>0</v>
      </c>
      <c r="P558" t="n">
        <v>0</v>
      </c>
      <c r="Q558" t="n">
        <v>0</v>
      </c>
      <c r="R558" s="2" t="inlineStr"/>
    </row>
    <row r="559" ht="15" customHeight="1">
      <c r="A559" t="inlineStr">
        <is>
          <t>A 48271-2023</t>
        </is>
      </c>
      <c r="B559" s="1" t="n">
        <v>45205</v>
      </c>
      <c r="C559" s="1" t="n">
        <v>46113</v>
      </c>
      <c r="D559" t="inlineStr">
        <is>
          <t>ÖSTERGÖTLANDS LÄN</t>
        </is>
      </c>
      <c r="E559" t="inlineStr">
        <is>
          <t>LINKÖPING</t>
        </is>
      </c>
      <c r="G559" t="n">
        <v>3</v>
      </c>
      <c r="H559" t="n">
        <v>0</v>
      </c>
      <c r="I559" t="n">
        <v>0</v>
      </c>
      <c r="J559" t="n">
        <v>0</v>
      </c>
      <c r="K559" t="n">
        <v>0</v>
      </c>
      <c r="L559" t="n">
        <v>0</v>
      </c>
      <c r="M559" t="n">
        <v>0</v>
      </c>
      <c r="N559" t="n">
        <v>0</v>
      </c>
      <c r="O559" t="n">
        <v>0</v>
      </c>
      <c r="P559" t="n">
        <v>0</v>
      </c>
      <c r="Q559" t="n">
        <v>0</v>
      </c>
      <c r="R559" s="2" t="inlineStr"/>
    </row>
    <row r="560" ht="15" customHeight="1">
      <c r="A560" t="inlineStr">
        <is>
          <t>A 13266-2025</t>
        </is>
      </c>
      <c r="B560" s="1" t="n">
        <v>45735.53318287037</v>
      </c>
      <c r="C560" s="1" t="n">
        <v>46113</v>
      </c>
      <c r="D560" t="inlineStr">
        <is>
          <t>ÖSTERGÖTLANDS LÄN</t>
        </is>
      </c>
      <c r="E560" t="inlineStr">
        <is>
          <t>LINKÖPING</t>
        </is>
      </c>
      <c r="G560" t="n">
        <v>3.1</v>
      </c>
      <c r="H560" t="n">
        <v>0</v>
      </c>
      <c r="I560" t="n">
        <v>0</v>
      </c>
      <c r="J560" t="n">
        <v>0</v>
      </c>
      <c r="K560" t="n">
        <v>0</v>
      </c>
      <c r="L560" t="n">
        <v>0</v>
      </c>
      <c r="M560" t="n">
        <v>0</v>
      </c>
      <c r="N560" t="n">
        <v>0</v>
      </c>
      <c r="O560" t="n">
        <v>0</v>
      </c>
      <c r="P560" t="n">
        <v>0</v>
      </c>
      <c r="Q560" t="n">
        <v>0</v>
      </c>
      <c r="R560" s="2" t="inlineStr"/>
    </row>
    <row r="561" ht="15" customHeight="1">
      <c r="A561" t="inlineStr">
        <is>
          <t>A 20469-2025</t>
        </is>
      </c>
      <c r="B561" s="1" t="n">
        <v>45775</v>
      </c>
      <c r="C561" s="1" t="n">
        <v>46113</v>
      </c>
      <c r="D561" t="inlineStr">
        <is>
          <t>ÖSTERGÖTLANDS LÄN</t>
        </is>
      </c>
      <c r="E561" t="inlineStr">
        <is>
          <t>LINKÖPING</t>
        </is>
      </c>
      <c r="F561" t="inlineStr">
        <is>
          <t>Kyrkan</t>
        </is>
      </c>
      <c r="G561" t="n">
        <v>6.1</v>
      </c>
      <c r="H561" t="n">
        <v>0</v>
      </c>
      <c r="I561" t="n">
        <v>0</v>
      </c>
      <c r="J561" t="n">
        <v>0</v>
      </c>
      <c r="K561" t="n">
        <v>0</v>
      </c>
      <c r="L561" t="n">
        <v>0</v>
      </c>
      <c r="M561" t="n">
        <v>0</v>
      </c>
      <c r="N561" t="n">
        <v>0</v>
      </c>
      <c r="O561" t="n">
        <v>0</v>
      </c>
      <c r="P561" t="n">
        <v>0</v>
      </c>
      <c r="Q561" t="n">
        <v>0</v>
      </c>
      <c r="R561" s="2" t="inlineStr"/>
    </row>
    <row r="562" ht="15" customHeight="1">
      <c r="A562" t="inlineStr">
        <is>
          <t>A 60001-2022</t>
        </is>
      </c>
      <c r="B562" s="1" t="n">
        <v>44909.47087962963</v>
      </c>
      <c r="C562" s="1" t="n">
        <v>46113</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927-2026</t>
        </is>
      </c>
      <c r="B563" s="1" t="n">
        <v>46030.50560185185</v>
      </c>
      <c r="C563" s="1" t="n">
        <v>46113</v>
      </c>
      <c r="D563" t="inlineStr">
        <is>
          <t>ÖSTERGÖTLANDS LÄN</t>
        </is>
      </c>
      <c r="E563" t="inlineStr">
        <is>
          <t>LINKÖPING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1657-2024</t>
        </is>
      </c>
      <c r="B564" s="1" t="n">
        <v>45306.82501157407</v>
      </c>
      <c r="C564" s="1" t="n">
        <v>46113</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856-2026</t>
        </is>
      </c>
      <c r="B565" s="1" t="n">
        <v>46030.40644675926</v>
      </c>
      <c r="C565" s="1" t="n">
        <v>46113</v>
      </c>
      <c r="D565" t="inlineStr">
        <is>
          <t>ÖSTERGÖTLANDS LÄN</t>
        </is>
      </c>
      <c r="E565" t="inlineStr">
        <is>
          <t>LINKÖPING</t>
        </is>
      </c>
      <c r="G565" t="n">
        <v>6.4</v>
      </c>
      <c r="H565" t="n">
        <v>0</v>
      </c>
      <c r="I565" t="n">
        <v>0</v>
      </c>
      <c r="J565" t="n">
        <v>0</v>
      </c>
      <c r="K565" t="n">
        <v>0</v>
      </c>
      <c r="L565" t="n">
        <v>0</v>
      </c>
      <c r="M565" t="n">
        <v>0</v>
      </c>
      <c r="N565" t="n">
        <v>0</v>
      </c>
      <c r="O565" t="n">
        <v>0</v>
      </c>
      <c r="P565" t="n">
        <v>0</v>
      </c>
      <c r="Q565" t="n">
        <v>0</v>
      </c>
      <c r="R565" s="2" t="inlineStr"/>
    </row>
    <row r="566" ht="15" customHeight="1">
      <c r="A566" t="inlineStr">
        <is>
          <t>A 860-2026</t>
        </is>
      </c>
      <c r="B566" s="1" t="n">
        <v>46030.41974537037</v>
      </c>
      <c r="C566" s="1" t="n">
        <v>46113</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873-2026</t>
        </is>
      </c>
      <c r="B567" s="1" t="n">
        <v>46030.43818287037</v>
      </c>
      <c r="C567" s="1" t="n">
        <v>46113</v>
      </c>
      <c r="D567" t="inlineStr">
        <is>
          <t>ÖSTERGÖTLANDS LÄN</t>
        </is>
      </c>
      <c r="E567" t="inlineStr">
        <is>
          <t>LINKÖPING</t>
        </is>
      </c>
      <c r="G567" t="n">
        <v>4.1</v>
      </c>
      <c r="H567" t="n">
        <v>0</v>
      </c>
      <c r="I567" t="n">
        <v>0</v>
      </c>
      <c r="J567" t="n">
        <v>0</v>
      </c>
      <c r="K567" t="n">
        <v>0</v>
      </c>
      <c r="L567" t="n">
        <v>0</v>
      </c>
      <c r="M567" t="n">
        <v>0</v>
      </c>
      <c r="N567" t="n">
        <v>0</v>
      </c>
      <c r="O567" t="n">
        <v>0</v>
      </c>
      <c r="P567" t="n">
        <v>0</v>
      </c>
      <c r="Q567" t="n">
        <v>0</v>
      </c>
      <c r="R567" s="2" t="inlineStr"/>
    </row>
    <row r="568" ht="15" customHeight="1">
      <c r="A568" t="inlineStr">
        <is>
          <t>A 33800-2023</t>
        </is>
      </c>
      <c r="B568" s="1" t="n">
        <v>45121</v>
      </c>
      <c r="C568" s="1" t="n">
        <v>46113</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47991-2023</t>
        </is>
      </c>
      <c r="B569" s="1" t="n">
        <v>45204.62655092592</v>
      </c>
      <c r="C569" s="1" t="n">
        <v>46113</v>
      </c>
      <c r="D569" t="inlineStr">
        <is>
          <t>ÖSTERGÖTLANDS LÄN</t>
        </is>
      </c>
      <c r="E569" t="inlineStr">
        <is>
          <t>LINKÖPING</t>
        </is>
      </c>
      <c r="F569" t="inlineStr">
        <is>
          <t>Allmännings- och besparingsskogar</t>
        </is>
      </c>
      <c r="G569" t="n">
        <v>7.3</v>
      </c>
      <c r="H569" t="n">
        <v>0</v>
      </c>
      <c r="I569" t="n">
        <v>0</v>
      </c>
      <c r="J569" t="n">
        <v>0</v>
      </c>
      <c r="K569" t="n">
        <v>0</v>
      </c>
      <c r="L569" t="n">
        <v>0</v>
      </c>
      <c r="M569" t="n">
        <v>0</v>
      </c>
      <c r="N569" t="n">
        <v>0</v>
      </c>
      <c r="O569" t="n">
        <v>0</v>
      </c>
      <c r="P569" t="n">
        <v>0</v>
      </c>
      <c r="Q569" t="n">
        <v>0</v>
      </c>
      <c r="R569" s="2" t="inlineStr"/>
    </row>
    <row r="570" ht="15" customHeight="1">
      <c r="A570" t="inlineStr">
        <is>
          <t>A 858-2026</t>
        </is>
      </c>
      <c r="B570" s="1" t="n">
        <v>46030.41200231481</v>
      </c>
      <c r="C570" s="1" t="n">
        <v>46113</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940-2026</t>
        </is>
      </c>
      <c r="B571" s="1" t="n">
        <v>46030.53052083333</v>
      </c>
      <c r="C571" s="1" t="n">
        <v>46113</v>
      </c>
      <c r="D571" t="inlineStr">
        <is>
          <t>ÖSTERGÖTLANDS LÄN</t>
        </is>
      </c>
      <c r="E571" t="inlineStr">
        <is>
          <t>LINKÖPING</t>
        </is>
      </c>
      <c r="F571" t="inlineStr">
        <is>
          <t>Allmännings- och besparingsskogar</t>
        </is>
      </c>
      <c r="G571" t="n">
        <v>2.9</v>
      </c>
      <c r="H571" t="n">
        <v>0</v>
      </c>
      <c r="I571" t="n">
        <v>0</v>
      </c>
      <c r="J571" t="n">
        <v>0</v>
      </c>
      <c r="K571" t="n">
        <v>0</v>
      </c>
      <c r="L571" t="n">
        <v>0</v>
      </c>
      <c r="M571" t="n">
        <v>0</v>
      </c>
      <c r="N571" t="n">
        <v>0</v>
      </c>
      <c r="O571" t="n">
        <v>0</v>
      </c>
      <c r="P571" t="n">
        <v>0</v>
      </c>
      <c r="Q571" t="n">
        <v>0</v>
      </c>
      <c r="R571" s="2" t="inlineStr"/>
    </row>
    <row r="572" ht="15" customHeight="1">
      <c r="A572" t="inlineStr">
        <is>
          <t>A 944-2026</t>
        </is>
      </c>
      <c r="B572" s="1" t="n">
        <v>46030.53461805556</v>
      </c>
      <c r="C572" s="1" t="n">
        <v>46113</v>
      </c>
      <c r="D572" t="inlineStr">
        <is>
          <t>ÖSTERGÖTLANDS LÄN</t>
        </is>
      </c>
      <c r="E572" t="inlineStr">
        <is>
          <t>LINKÖPING</t>
        </is>
      </c>
      <c r="F572" t="inlineStr">
        <is>
          <t>Allmännings- och besparingsskogar</t>
        </is>
      </c>
      <c r="G572" t="n">
        <v>0.9</v>
      </c>
      <c r="H572" t="n">
        <v>0</v>
      </c>
      <c r="I572" t="n">
        <v>0</v>
      </c>
      <c r="J572" t="n">
        <v>0</v>
      </c>
      <c r="K572" t="n">
        <v>0</v>
      </c>
      <c r="L572" t="n">
        <v>0</v>
      </c>
      <c r="M572" t="n">
        <v>0</v>
      </c>
      <c r="N572" t="n">
        <v>0</v>
      </c>
      <c r="O572" t="n">
        <v>0</v>
      </c>
      <c r="P572" t="n">
        <v>0</v>
      </c>
      <c r="Q572" t="n">
        <v>0</v>
      </c>
      <c r="R572" s="2" t="inlineStr"/>
    </row>
    <row r="573" ht="15" customHeight="1">
      <c r="A573" t="inlineStr">
        <is>
          <t>A 859-2026</t>
        </is>
      </c>
      <c r="B573" s="1" t="n">
        <v>46030.41450231482</v>
      </c>
      <c r="C573" s="1" t="n">
        <v>46113</v>
      </c>
      <c r="D573" t="inlineStr">
        <is>
          <t>ÖSTERGÖTLANDS LÄN</t>
        </is>
      </c>
      <c r="E573" t="inlineStr">
        <is>
          <t>LINKÖPING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30976-2022</t>
        </is>
      </c>
      <c r="B574" s="1" t="n">
        <v>44768</v>
      </c>
      <c r="C574" s="1" t="n">
        <v>46113</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1223-2026</t>
        </is>
      </c>
      <c r="B575" s="1" t="n">
        <v>46031.40233796297</v>
      </c>
      <c r="C575" s="1" t="n">
        <v>46113</v>
      </c>
      <c r="D575" t="inlineStr">
        <is>
          <t>ÖSTERGÖTLANDS LÄN</t>
        </is>
      </c>
      <c r="E575" t="inlineStr">
        <is>
          <t>LINKÖPING</t>
        </is>
      </c>
      <c r="G575" t="n">
        <v>1</v>
      </c>
      <c r="H575" t="n">
        <v>0</v>
      </c>
      <c r="I575" t="n">
        <v>0</v>
      </c>
      <c r="J575" t="n">
        <v>0</v>
      </c>
      <c r="K575" t="n">
        <v>0</v>
      </c>
      <c r="L575" t="n">
        <v>0</v>
      </c>
      <c r="M575" t="n">
        <v>0</v>
      </c>
      <c r="N575" t="n">
        <v>0</v>
      </c>
      <c r="O575" t="n">
        <v>0</v>
      </c>
      <c r="P575" t="n">
        <v>0</v>
      </c>
      <c r="Q575" t="n">
        <v>0</v>
      </c>
      <c r="R575" s="2" t="inlineStr"/>
    </row>
    <row r="576" ht="15" customHeight="1">
      <c r="A576" t="inlineStr">
        <is>
          <t>A 35178-2025</t>
        </is>
      </c>
      <c r="B576" s="1" t="n">
        <v>45852.91939814815</v>
      </c>
      <c r="C576" s="1" t="n">
        <v>46113</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35174-2025</t>
        </is>
      </c>
      <c r="B577" s="1" t="n">
        <v>45852.90648148148</v>
      </c>
      <c r="C577" s="1" t="n">
        <v>46113</v>
      </c>
      <c r="D577" t="inlineStr">
        <is>
          <t>ÖSTERGÖTLANDS LÄN</t>
        </is>
      </c>
      <c r="E577" t="inlineStr">
        <is>
          <t>LINKÖPING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30860-2022</t>
        </is>
      </c>
      <c r="B578" s="1" t="n">
        <v>44767</v>
      </c>
      <c r="C578" s="1" t="n">
        <v>46113</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48186-2022</t>
        </is>
      </c>
      <c r="B579" s="1" t="n">
        <v>44858</v>
      </c>
      <c r="C579" s="1" t="n">
        <v>46113</v>
      </c>
      <c r="D579" t="inlineStr">
        <is>
          <t>ÖSTERGÖTLANDS LÄN</t>
        </is>
      </c>
      <c r="E579" t="inlineStr">
        <is>
          <t>LINKÖPING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26007-2025</t>
        </is>
      </c>
      <c r="B580" s="1" t="n">
        <v>45804.67081018518</v>
      </c>
      <c r="C580" s="1" t="n">
        <v>46113</v>
      </c>
      <c r="D580" t="inlineStr">
        <is>
          <t>ÖSTERGÖTLANDS LÄN</t>
        </is>
      </c>
      <c r="E580" t="inlineStr">
        <is>
          <t>LINKÖPING</t>
        </is>
      </c>
      <c r="G580" t="n">
        <v>1.5</v>
      </c>
      <c r="H580" t="n">
        <v>0</v>
      </c>
      <c r="I580" t="n">
        <v>0</v>
      </c>
      <c r="J580" t="n">
        <v>0</v>
      </c>
      <c r="K580" t="n">
        <v>0</v>
      </c>
      <c r="L580" t="n">
        <v>0</v>
      </c>
      <c r="M580" t="n">
        <v>0</v>
      </c>
      <c r="N580" t="n">
        <v>0</v>
      </c>
      <c r="O580" t="n">
        <v>0</v>
      </c>
      <c r="P580" t="n">
        <v>0</v>
      </c>
      <c r="Q580" t="n">
        <v>0</v>
      </c>
      <c r="R580" s="2" t="inlineStr"/>
    </row>
    <row r="581" ht="15" customHeight="1">
      <c r="A581" t="inlineStr">
        <is>
          <t>A 28266-2024</t>
        </is>
      </c>
      <c r="B581" s="1" t="n">
        <v>45477.43600694444</v>
      </c>
      <c r="C581" s="1" t="n">
        <v>46113</v>
      </c>
      <c r="D581" t="inlineStr">
        <is>
          <t>ÖSTERGÖTLANDS LÄN</t>
        </is>
      </c>
      <c r="E581" t="inlineStr">
        <is>
          <t>LINKÖPING</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35179-2025</t>
        </is>
      </c>
      <c r="B582" s="1" t="n">
        <v>45852.93737268518</v>
      </c>
      <c r="C582" s="1" t="n">
        <v>46113</v>
      </c>
      <c r="D582" t="inlineStr">
        <is>
          <t>ÖSTERGÖTLANDS LÄN</t>
        </is>
      </c>
      <c r="E582" t="inlineStr">
        <is>
          <t>LINKÖPING</t>
        </is>
      </c>
      <c r="G582" t="n">
        <v>2.2</v>
      </c>
      <c r="H582" t="n">
        <v>0</v>
      </c>
      <c r="I582" t="n">
        <v>0</v>
      </c>
      <c r="J582" t="n">
        <v>0</v>
      </c>
      <c r="K582" t="n">
        <v>0</v>
      </c>
      <c r="L582" t="n">
        <v>0</v>
      </c>
      <c r="M582" t="n">
        <v>0</v>
      </c>
      <c r="N582" t="n">
        <v>0</v>
      </c>
      <c r="O582" t="n">
        <v>0</v>
      </c>
      <c r="P582" t="n">
        <v>0</v>
      </c>
      <c r="Q582" t="n">
        <v>0</v>
      </c>
      <c r="R582" s="2" t="inlineStr"/>
    </row>
    <row r="583" ht="15" customHeight="1">
      <c r="A583" t="inlineStr">
        <is>
          <t>A 35180-2025</t>
        </is>
      </c>
      <c r="B583" s="1" t="n">
        <v>45852.9413425926</v>
      </c>
      <c r="C583" s="1" t="n">
        <v>46113</v>
      </c>
      <c r="D583" t="inlineStr">
        <is>
          <t>ÖSTERGÖTLANDS LÄN</t>
        </is>
      </c>
      <c r="E583" t="inlineStr">
        <is>
          <t>LINKÖPING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31548-2022</t>
        </is>
      </c>
      <c r="B584" s="1" t="n">
        <v>44775.39832175926</v>
      </c>
      <c r="C584" s="1" t="n">
        <v>46113</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1211-2023</t>
        </is>
      </c>
      <c r="B585" s="1" t="n">
        <v>44930</v>
      </c>
      <c r="C585" s="1" t="n">
        <v>46113</v>
      </c>
      <c r="D585" t="inlineStr">
        <is>
          <t>ÖSTERGÖTLANDS LÄN</t>
        </is>
      </c>
      <c r="E585" t="inlineStr">
        <is>
          <t>LINKÖPING</t>
        </is>
      </c>
      <c r="F585" t="inlineStr">
        <is>
          <t>Övriga statliga verk och myndigheter</t>
        </is>
      </c>
      <c r="G585" t="n">
        <v>7.9</v>
      </c>
      <c r="H585" t="n">
        <v>0</v>
      </c>
      <c r="I585" t="n">
        <v>0</v>
      </c>
      <c r="J585" t="n">
        <v>0</v>
      </c>
      <c r="K585" t="n">
        <v>0</v>
      </c>
      <c r="L585" t="n">
        <v>0</v>
      </c>
      <c r="M585" t="n">
        <v>0</v>
      </c>
      <c r="N585" t="n">
        <v>0</v>
      </c>
      <c r="O585" t="n">
        <v>0</v>
      </c>
      <c r="P585" t="n">
        <v>0</v>
      </c>
      <c r="Q585" t="n">
        <v>0</v>
      </c>
      <c r="R585" s="2" t="inlineStr"/>
    </row>
    <row r="586" ht="15" customHeight="1">
      <c r="A586" t="inlineStr">
        <is>
          <t>A 51191-2022</t>
        </is>
      </c>
      <c r="B586" s="1" t="n">
        <v>44865</v>
      </c>
      <c r="C586" s="1" t="n">
        <v>46113</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35747-2025</t>
        </is>
      </c>
      <c r="B587" s="1" t="n">
        <v>45860.56385416666</v>
      </c>
      <c r="C587" s="1" t="n">
        <v>46113</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55632-2022</t>
        </is>
      </c>
      <c r="B588" s="1" t="n">
        <v>44888</v>
      </c>
      <c r="C588" s="1" t="n">
        <v>46113</v>
      </c>
      <c r="D588" t="inlineStr">
        <is>
          <t>ÖSTERGÖTLANDS LÄN</t>
        </is>
      </c>
      <c r="E588" t="inlineStr">
        <is>
          <t>LINKÖPING</t>
        </is>
      </c>
      <c r="G588" t="n">
        <v>1.8</v>
      </c>
      <c r="H588" t="n">
        <v>0</v>
      </c>
      <c r="I588" t="n">
        <v>0</v>
      </c>
      <c r="J588" t="n">
        <v>0</v>
      </c>
      <c r="K588" t="n">
        <v>0</v>
      </c>
      <c r="L588" t="n">
        <v>0</v>
      </c>
      <c r="M588" t="n">
        <v>0</v>
      </c>
      <c r="N588" t="n">
        <v>0</v>
      </c>
      <c r="O588" t="n">
        <v>0</v>
      </c>
      <c r="P588" t="n">
        <v>0</v>
      </c>
      <c r="Q588" t="n">
        <v>0</v>
      </c>
      <c r="R588" s="2" t="inlineStr"/>
    </row>
    <row r="589" ht="15" customHeight="1">
      <c r="A589" t="inlineStr">
        <is>
          <t>A 35745-2025</t>
        </is>
      </c>
      <c r="B589" s="1" t="n">
        <v>45860.54739583333</v>
      </c>
      <c r="C589" s="1" t="n">
        <v>46113</v>
      </c>
      <c r="D589" t="inlineStr">
        <is>
          <t>ÖSTERGÖTLANDS LÄN</t>
        </is>
      </c>
      <c r="E589" t="inlineStr">
        <is>
          <t>LINKÖPING</t>
        </is>
      </c>
      <c r="G589" t="n">
        <v>4.4</v>
      </c>
      <c r="H589" t="n">
        <v>0</v>
      </c>
      <c r="I589" t="n">
        <v>0</v>
      </c>
      <c r="J589" t="n">
        <v>0</v>
      </c>
      <c r="K589" t="n">
        <v>0</v>
      </c>
      <c r="L589" t="n">
        <v>0</v>
      </c>
      <c r="M589" t="n">
        <v>0</v>
      </c>
      <c r="N589" t="n">
        <v>0</v>
      </c>
      <c r="O589" t="n">
        <v>0</v>
      </c>
      <c r="P589" t="n">
        <v>0</v>
      </c>
      <c r="Q589" t="n">
        <v>0</v>
      </c>
      <c r="R589" s="2" t="inlineStr"/>
    </row>
    <row r="590" ht="15" customHeight="1">
      <c r="A590" t="inlineStr">
        <is>
          <t>A 10756-2026</t>
        </is>
      </c>
      <c r="B590" s="1" t="n">
        <v>46078.55412037037</v>
      </c>
      <c r="C590" s="1" t="n">
        <v>46113</v>
      </c>
      <c r="D590" t="inlineStr">
        <is>
          <t>ÖSTERGÖTLANDS LÄN</t>
        </is>
      </c>
      <c r="E590" t="inlineStr">
        <is>
          <t>LINKÖPING</t>
        </is>
      </c>
      <c r="F590" t="inlineStr">
        <is>
          <t>Övriga Aktiebolag</t>
        </is>
      </c>
      <c r="G590" t="n">
        <v>1.2</v>
      </c>
      <c r="H590" t="n">
        <v>0</v>
      </c>
      <c r="I590" t="n">
        <v>0</v>
      </c>
      <c r="J590" t="n">
        <v>0</v>
      </c>
      <c r="K590" t="n">
        <v>0</v>
      </c>
      <c r="L590" t="n">
        <v>0</v>
      </c>
      <c r="M590" t="n">
        <v>0</v>
      </c>
      <c r="N590" t="n">
        <v>0</v>
      </c>
      <c r="O590" t="n">
        <v>0</v>
      </c>
      <c r="P590" t="n">
        <v>0</v>
      </c>
      <c r="Q590" t="n">
        <v>0</v>
      </c>
      <c r="R590" s="2" t="inlineStr"/>
    </row>
    <row r="591" ht="15" customHeight="1">
      <c r="A591" t="inlineStr">
        <is>
          <t>A 35757-2025</t>
        </is>
      </c>
      <c r="B591" s="1" t="n">
        <v>45860.59876157407</v>
      </c>
      <c r="C591" s="1" t="n">
        <v>46113</v>
      </c>
      <c r="D591" t="inlineStr">
        <is>
          <t>ÖSTERGÖTLANDS LÄN</t>
        </is>
      </c>
      <c r="E591" t="inlineStr">
        <is>
          <t>LINKÖPING</t>
        </is>
      </c>
      <c r="G591" t="n">
        <v>5.7</v>
      </c>
      <c r="H591" t="n">
        <v>0</v>
      </c>
      <c r="I591" t="n">
        <v>0</v>
      </c>
      <c r="J591" t="n">
        <v>0</v>
      </c>
      <c r="K591" t="n">
        <v>0</v>
      </c>
      <c r="L591" t="n">
        <v>0</v>
      </c>
      <c r="M591" t="n">
        <v>0</v>
      </c>
      <c r="N591" t="n">
        <v>0</v>
      </c>
      <c r="O591" t="n">
        <v>0</v>
      </c>
      <c r="P591" t="n">
        <v>0</v>
      </c>
      <c r="Q591" t="n">
        <v>0</v>
      </c>
      <c r="R591" s="2" t="inlineStr"/>
    </row>
    <row r="592" ht="15" customHeight="1">
      <c r="A592" t="inlineStr">
        <is>
          <t>A 2030-2026</t>
        </is>
      </c>
      <c r="B592" s="1" t="n">
        <v>46035.73590277778</v>
      </c>
      <c r="C592" s="1" t="n">
        <v>46113</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35759-2025</t>
        </is>
      </c>
      <c r="B593" s="1" t="n">
        <v>45860</v>
      </c>
      <c r="C593" s="1" t="n">
        <v>46113</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2031-2026</t>
        </is>
      </c>
      <c r="B594" s="1" t="n">
        <v>46035.74182870371</v>
      </c>
      <c r="C594" s="1" t="n">
        <v>46113</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63669-2023</t>
        </is>
      </c>
      <c r="B595" s="1" t="n">
        <v>45275</v>
      </c>
      <c r="C595" s="1" t="n">
        <v>46113</v>
      </c>
      <c r="D595" t="inlineStr">
        <is>
          <t>ÖSTERGÖTLANDS LÄN</t>
        </is>
      </c>
      <c r="E595" t="inlineStr">
        <is>
          <t>LINKÖPING</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12289-2025</t>
        </is>
      </c>
      <c r="B596" s="1" t="n">
        <v>45729</v>
      </c>
      <c r="C596" s="1" t="n">
        <v>46113</v>
      </c>
      <c r="D596" t="inlineStr">
        <is>
          <t>ÖSTERGÖTLANDS LÄN</t>
        </is>
      </c>
      <c r="E596" t="inlineStr">
        <is>
          <t>LINKÖPING</t>
        </is>
      </c>
      <c r="F596" t="inlineStr">
        <is>
          <t>Övriga statliga verk och myndigheter</t>
        </is>
      </c>
      <c r="G596" t="n">
        <v>6.5</v>
      </c>
      <c r="H596" t="n">
        <v>0</v>
      </c>
      <c r="I596" t="n">
        <v>0</v>
      </c>
      <c r="J596" t="n">
        <v>0</v>
      </c>
      <c r="K596" t="n">
        <v>0</v>
      </c>
      <c r="L596" t="n">
        <v>0</v>
      </c>
      <c r="M596" t="n">
        <v>0</v>
      </c>
      <c r="N596" t="n">
        <v>0</v>
      </c>
      <c r="O596" t="n">
        <v>0</v>
      </c>
      <c r="P596" t="n">
        <v>0</v>
      </c>
      <c r="Q596" t="n">
        <v>0</v>
      </c>
      <c r="R596" s="2" t="inlineStr"/>
    </row>
    <row r="597" ht="15" customHeight="1">
      <c r="A597" t="inlineStr">
        <is>
          <t>A 36657-2023</t>
        </is>
      </c>
      <c r="B597" s="1" t="n">
        <v>45153.5702662037</v>
      </c>
      <c r="C597" s="1" t="n">
        <v>46113</v>
      </c>
      <c r="D597" t="inlineStr">
        <is>
          <t>ÖSTERGÖTLANDS LÄN</t>
        </is>
      </c>
      <c r="E597" t="inlineStr">
        <is>
          <t>LINKÖPING</t>
        </is>
      </c>
      <c r="F597" t="inlineStr">
        <is>
          <t>Allmännings- och besparingsskogar</t>
        </is>
      </c>
      <c r="G597" t="n">
        <v>2</v>
      </c>
      <c r="H597" t="n">
        <v>0</v>
      </c>
      <c r="I597" t="n">
        <v>0</v>
      </c>
      <c r="J597" t="n">
        <v>0</v>
      </c>
      <c r="K597" t="n">
        <v>0</v>
      </c>
      <c r="L597" t="n">
        <v>0</v>
      </c>
      <c r="M597" t="n">
        <v>0</v>
      </c>
      <c r="N597" t="n">
        <v>0</v>
      </c>
      <c r="O597" t="n">
        <v>0</v>
      </c>
      <c r="P597" t="n">
        <v>0</v>
      </c>
      <c r="Q597" t="n">
        <v>0</v>
      </c>
      <c r="R597" s="2" t="inlineStr"/>
    </row>
    <row r="598" ht="15" customHeight="1">
      <c r="A598" t="inlineStr">
        <is>
          <t>A 19169-2023</t>
        </is>
      </c>
      <c r="B598" s="1" t="n">
        <v>45044</v>
      </c>
      <c r="C598" s="1" t="n">
        <v>46113</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1209-2023</t>
        </is>
      </c>
      <c r="B599" s="1" t="n">
        <v>44930</v>
      </c>
      <c r="C599" s="1" t="n">
        <v>46113</v>
      </c>
      <c r="D599" t="inlineStr">
        <is>
          <t>ÖSTERGÖTLANDS LÄN</t>
        </is>
      </c>
      <c r="E599" t="inlineStr">
        <is>
          <t>LINKÖPING</t>
        </is>
      </c>
      <c r="F599" t="inlineStr">
        <is>
          <t>Övriga statliga verk och myndigheter</t>
        </is>
      </c>
      <c r="G599" t="n">
        <v>25.8</v>
      </c>
      <c r="H599" t="n">
        <v>0</v>
      </c>
      <c r="I599" t="n">
        <v>0</v>
      </c>
      <c r="J599" t="n">
        <v>0</v>
      </c>
      <c r="K599" t="n">
        <v>0</v>
      </c>
      <c r="L599" t="n">
        <v>0</v>
      </c>
      <c r="M599" t="n">
        <v>0</v>
      </c>
      <c r="N599" t="n">
        <v>0</v>
      </c>
      <c r="O599" t="n">
        <v>0</v>
      </c>
      <c r="P599" t="n">
        <v>0</v>
      </c>
      <c r="Q599" t="n">
        <v>0</v>
      </c>
      <c r="R599" s="2" t="inlineStr"/>
    </row>
    <row r="600" ht="15" customHeight="1">
      <c r="A600" t="inlineStr">
        <is>
          <t>A 2085-2024</t>
        </is>
      </c>
      <c r="B600" s="1" t="n">
        <v>45309</v>
      </c>
      <c r="C600" s="1" t="n">
        <v>46113</v>
      </c>
      <c r="D600" t="inlineStr">
        <is>
          <t>ÖSTERGÖTLANDS LÄN</t>
        </is>
      </c>
      <c r="E600" t="inlineStr">
        <is>
          <t>LINKÖPING</t>
        </is>
      </c>
      <c r="G600" t="n">
        <v>4.5</v>
      </c>
      <c r="H600" t="n">
        <v>0</v>
      </c>
      <c r="I600" t="n">
        <v>0</v>
      </c>
      <c r="J600" t="n">
        <v>0</v>
      </c>
      <c r="K600" t="n">
        <v>0</v>
      </c>
      <c r="L600" t="n">
        <v>0</v>
      </c>
      <c r="M600" t="n">
        <v>0</v>
      </c>
      <c r="N600" t="n">
        <v>0</v>
      </c>
      <c r="O600" t="n">
        <v>0</v>
      </c>
      <c r="P600" t="n">
        <v>0</v>
      </c>
      <c r="Q600" t="n">
        <v>0</v>
      </c>
      <c r="R600" s="2" t="inlineStr"/>
    </row>
    <row r="601" ht="15" customHeight="1">
      <c r="A601" t="inlineStr">
        <is>
          <t>A 10479-2026</t>
        </is>
      </c>
      <c r="B601" s="1" t="n">
        <v>46077.49231481482</v>
      </c>
      <c r="C601" s="1" t="n">
        <v>46113</v>
      </c>
      <c r="D601" t="inlineStr">
        <is>
          <t>ÖSTERGÖTLANDS LÄN</t>
        </is>
      </c>
      <c r="E601" t="inlineStr">
        <is>
          <t>LINKÖPING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11033-2026</t>
        </is>
      </c>
      <c r="B602" s="1" t="n">
        <v>46079.57361111111</v>
      </c>
      <c r="C602" s="1" t="n">
        <v>46113</v>
      </c>
      <c r="D602" t="inlineStr">
        <is>
          <t>ÖSTERGÖTLANDS LÄN</t>
        </is>
      </c>
      <c r="E602" t="inlineStr">
        <is>
          <t>LINKÖPING</t>
        </is>
      </c>
      <c r="G602" t="n">
        <v>7.9</v>
      </c>
      <c r="H602" t="n">
        <v>0</v>
      </c>
      <c r="I602" t="n">
        <v>0</v>
      </c>
      <c r="J602" t="n">
        <v>0</v>
      </c>
      <c r="K602" t="n">
        <v>0</v>
      </c>
      <c r="L602" t="n">
        <v>0</v>
      </c>
      <c r="M602" t="n">
        <v>0</v>
      </c>
      <c r="N602" t="n">
        <v>0</v>
      </c>
      <c r="O602" t="n">
        <v>0</v>
      </c>
      <c r="P602" t="n">
        <v>0</v>
      </c>
      <c r="Q602" t="n">
        <v>0</v>
      </c>
      <c r="R602" s="2" t="inlineStr"/>
    </row>
    <row r="603" ht="15" customHeight="1">
      <c r="A603" t="inlineStr">
        <is>
          <t>A 48-2024</t>
        </is>
      </c>
      <c r="B603" s="1" t="n">
        <v>45293</v>
      </c>
      <c r="C603" s="1" t="n">
        <v>46113</v>
      </c>
      <c r="D603" t="inlineStr">
        <is>
          <t>ÖSTERGÖTLANDS LÄN</t>
        </is>
      </c>
      <c r="E603" t="inlineStr">
        <is>
          <t>LINKÖPING</t>
        </is>
      </c>
      <c r="G603" t="n">
        <v>4.6</v>
      </c>
      <c r="H603" t="n">
        <v>0</v>
      </c>
      <c r="I603" t="n">
        <v>0</v>
      </c>
      <c r="J603" t="n">
        <v>0</v>
      </c>
      <c r="K603" t="n">
        <v>0</v>
      </c>
      <c r="L603" t="n">
        <v>0</v>
      </c>
      <c r="M603" t="n">
        <v>0</v>
      </c>
      <c r="N603" t="n">
        <v>0</v>
      </c>
      <c r="O603" t="n">
        <v>0</v>
      </c>
      <c r="P603" t="n">
        <v>0</v>
      </c>
      <c r="Q603" t="n">
        <v>0</v>
      </c>
      <c r="R603" s="2" t="inlineStr"/>
    </row>
    <row r="604" ht="15" customHeight="1">
      <c r="A604" t="inlineStr">
        <is>
          <t>A 11036-2026</t>
        </is>
      </c>
      <c r="B604" s="1" t="n">
        <v>46079.57836805555</v>
      </c>
      <c r="C604" s="1" t="n">
        <v>46113</v>
      </c>
      <c r="D604" t="inlineStr">
        <is>
          <t>ÖSTERGÖTLANDS LÄN</t>
        </is>
      </c>
      <c r="E604" t="inlineStr">
        <is>
          <t>LINKÖPING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3045-2026</t>
        </is>
      </c>
      <c r="B605" s="1" t="n">
        <v>46038.74047453704</v>
      </c>
      <c r="C605" s="1" t="n">
        <v>46113</v>
      </c>
      <c r="D605" t="inlineStr">
        <is>
          <t>ÖSTERGÖTLANDS LÄN</t>
        </is>
      </c>
      <c r="E605" t="inlineStr">
        <is>
          <t>LINKÖPING</t>
        </is>
      </c>
      <c r="G605" t="n">
        <v>2</v>
      </c>
      <c r="H605" t="n">
        <v>0</v>
      </c>
      <c r="I605" t="n">
        <v>0</v>
      </c>
      <c r="J605" t="n">
        <v>0</v>
      </c>
      <c r="K605" t="n">
        <v>0</v>
      </c>
      <c r="L605" t="n">
        <v>0</v>
      </c>
      <c r="M605" t="n">
        <v>0</v>
      </c>
      <c r="N605" t="n">
        <v>0</v>
      </c>
      <c r="O605" t="n">
        <v>0</v>
      </c>
      <c r="P605" t="n">
        <v>0</v>
      </c>
      <c r="Q605" t="n">
        <v>0</v>
      </c>
      <c r="R605" s="2" t="inlineStr"/>
    </row>
    <row r="606" ht="15" customHeight="1">
      <c r="A606" t="inlineStr">
        <is>
          <t>A 11057-2026</t>
        </is>
      </c>
      <c r="B606" s="1" t="n">
        <v>46079.59515046296</v>
      </c>
      <c r="C606" s="1" t="n">
        <v>46113</v>
      </c>
      <c r="D606" t="inlineStr">
        <is>
          <t>ÖSTERGÖTLANDS LÄN</t>
        </is>
      </c>
      <c r="E606" t="inlineStr">
        <is>
          <t>LINKÖPING</t>
        </is>
      </c>
      <c r="G606" t="n">
        <v>2.9</v>
      </c>
      <c r="H606" t="n">
        <v>0</v>
      </c>
      <c r="I606" t="n">
        <v>0</v>
      </c>
      <c r="J606" t="n">
        <v>0</v>
      </c>
      <c r="K606" t="n">
        <v>0</v>
      </c>
      <c r="L606" t="n">
        <v>0</v>
      </c>
      <c r="M606" t="n">
        <v>0</v>
      </c>
      <c r="N606" t="n">
        <v>0</v>
      </c>
      <c r="O606" t="n">
        <v>0</v>
      </c>
      <c r="P606" t="n">
        <v>0</v>
      </c>
      <c r="Q606" t="n">
        <v>0</v>
      </c>
      <c r="R606" s="2" t="inlineStr"/>
    </row>
    <row r="607" ht="15" customHeight="1">
      <c r="A607" t="inlineStr">
        <is>
          <t>A 3044-2026</t>
        </is>
      </c>
      <c r="B607" s="1" t="n">
        <v>46038.73855324074</v>
      </c>
      <c r="C607" s="1" t="n">
        <v>46113</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56560-2023</t>
        </is>
      </c>
      <c r="B608" s="1" t="n">
        <v>45238</v>
      </c>
      <c r="C608" s="1" t="n">
        <v>46113</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11169-2026</t>
        </is>
      </c>
      <c r="B609" s="1" t="n">
        <v>46080.37020833333</v>
      </c>
      <c r="C609" s="1" t="n">
        <v>46113</v>
      </c>
      <c r="D609" t="inlineStr">
        <is>
          <t>ÖSTERGÖTLANDS LÄN</t>
        </is>
      </c>
      <c r="E609" t="inlineStr">
        <is>
          <t>LINKÖPING</t>
        </is>
      </c>
      <c r="G609" t="n">
        <v>1.3</v>
      </c>
      <c r="H609" t="n">
        <v>0</v>
      </c>
      <c r="I609" t="n">
        <v>0</v>
      </c>
      <c r="J609" t="n">
        <v>0</v>
      </c>
      <c r="K609" t="n">
        <v>0</v>
      </c>
      <c r="L609" t="n">
        <v>0</v>
      </c>
      <c r="M609" t="n">
        <v>0</v>
      </c>
      <c r="N609" t="n">
        <v>0</v>
      </c>
      <c r="O609" t="n">
        <v>0</v>
      </c>
      <c r="P609" t="n">
        <v>0</v>
      </c>
      <c r="Q609" t="n">
        <v>0</v>
      </c>
      <c r="R609" s="2" t="inlineStr"/>
    </row>
    <row r="610" ht="15" customHeight="1">
      <c r="A610" t="inlineStr">
        <is>
          <t>A 3043-2026</t>
        </is>
      </c>
      <c r="B610" s="1" t="n">
        <v>46038.73675925926</v>
      </c>
      <c r="C610" s="1" t="n">
        <v>46113</v>
      </c>
      <c r="D610" t="inlineStr">
        <is>
          <t>ÖSTERGÖTLANDS LÄN</t>
        </is>
      </c>
      <c r="E610" t="inlineStr">
        <is>
          <t>LINKÖPING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19132-2023</t>
        </is>
      </c>
      <c r="B611" s="1" t="n">
        <v>45048.54754629629</v>
      </c>
      <c r="C611" s="1" t="n">
        <v>46113</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3046-2026</t>
        </is>
      </c>
      <c r="B612" s="1" t="n">
        <v>46038.74182870371</v>
      </c>
      <c r="C612" s="1" t="n">
        <v>46113</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52412-2023</t>
        </is>
      </c>
      <c r="B613" s="1" t="n">
        <v>45225.27888888889</v>
      </c>
      <c r="C613" s="1" t="n">
        <v>46113</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10764-2026</t>
        </is>
      </c>
      <c r="B614" s="1" t="n">
        <v>46078</v>
      </c>
      <c r="C614" s="1" t="n">
        <v>46113</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62492-2023</t>
        </is>
      </c>
      <c r="B615" s="1" t="n">
        <v>45268.58987268519</v>
      </c>
      <c r="C615" s="1" t="n">
        <v>46113</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38230-2023</t>
        </is>
      </c>
      <c r="B616" s="1" t="n">
        <v>45161.55373842592</v>
      </c>
      <c r="C616" s="1" t="n">
        <v>46113</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56756-2023</t>
        </is>
      </c>
      <c r="B617" s="1" t="n">
        <v>45244</v>
      </c>
      <c r="C617" s="1" t="n">
        <v>46113</v>
      </c>
      <c r="D617" t="inlineStr">
        <is>
          <t>ÖSTERGÖTLANDS LÄN</t>
        </is>
      </c>
      <c r="E617" t="inlineStr">
        <is>
          <t>LINKÖPING</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11590-2023</t>
        </is>
      </c>
      <c r="B618" s="1" t="n">
        <v>44994.36689814815</v>
      </c>
      <c r="C618" s="1" t="n">
        <v>46113</v>
      </c>
      <c r="D618" t="inlineStr">
        <is>
          <t>ÖSTERGÖTLANDS LÄN</t>
        </is>
      </c>
      <c r="E618" t="inlineStr">
        <is>
          <t>LINKÖPING</t>
        </is>
      </c>
      <c r="G618" t="n">
        <v>3.1</v>
      </c>
      <c r="H618" t="n">
        <v>0</v>
      </c>
      <c r="I618" t="n">
        <v>0</v>
      </c>
      <c r="J618" t="n">
        <v>0</v>
      </c>
      <c r="K618" t="n">
        <v>0</v>
      </c>
      <c r="L618" t="n">
        <v>0</v>
      </c>
      <c r="M618" t="n">
        <v>0</v>
      </c>
      <c r="N618" t="n">
        <v>0</v>
      </c>
      <c r="O618" t="n">
        <v>0</v>
      </c>
      <c r="P618" t="n">
        <v>0</v>
      </c>
      <c r="Q618" t="n">
        <v>0</v>
      </c>
      <c r="R618" s="2" t="inlineStr"/>
    </row>
    <row r="619" ht="15" customHeight="1">
      <c r="A619" t="inlineStr">
        <is>
          <t>A 11891-2026</t>
        </is>
      </c>
      <c r="B619" s="1" t="n">
        <v>46085.5197800926</v>
      </c>
      <c r="C619" s="1" t="n">
        <v>46113</v>
      </c>
      <c r="D619" t="inlineStr">
        <is>
          <t>ÖSTERGÖTLANDS LÄN</t>
        </is>
      </c>
      <c r="E619" t="inlineStr">
        <is>
          <t>LINKÖPING</t>
        </is>
      </c>
      <c r="G619" t="n">
        <v>2.8</v>
      </c>
      <c r="H619" t="n">
        <v>0</v>
      </c>
      <c r="I619" t="n">
        <v>0</v>
      </c>
      <c r="J619" t="n">
        <v>0</v>
      </c>
      <c r="K619" t="n">
        <v>0</v>
      </c>
      <c r="L619" t="n">
        <v>0</v>
      </c>
      <c r="M619" t="n">
        <v>0</v>
      </c>
      <c r="N619" t="n">
        <v>0</v>
      </c>
      <c r="O619" t="n">
        <v>0</v>
      </c>
      <c r="P619" t="n">
        <v>0</v>
      </c>
      <c r="Q619" t="n">
        <v>0</v>
      </c>
      <c r="R619" s="2" t="inlineStr"/>
    </row>
    <row r="620" ht="15" customHeight="1">
      <c r="A620" t="inlineStr">
        <is>
          <t>A 10461-2023</t>
        </is>
      </c>
      <c r="B620" s="1" t="n">
        <v>44987.5969212963</v>
      </c>
      <c r="C620" s="1" t="n">
        <v>46113</v>
      </c>
      <c r="D620" t="inlineStr">
        <is>
          <t>ÖSTERGÖTLANDS LÄN</t>
        </is>
      </c>
      <c r="E620" t="inlineStr">
        <is>
          <t>LINKÖPING</t>
        </is>
      </c>
      <c r="G620" t="n">
        <v>7.8</v>
      </c>
      <c r="H620" t="n">
        <v>0</v>
      </c>
      <c r="I620" t="n">
        <v>0</v>
      </c>
      <c r="J620" t="n">
        <v>0</v>
      </c>
      <c r="K620" t="n">
        <v>0</v>
      </c>
      <c r="L620" t="n">
        <v>0</v>
      </c>
      <c r="M620" t="n">
        <v>0</v>
      </c>
      <c r="N620" t="n">
        <v>0</v>
      </c>
      <c r="O620" t="n">
        <v>0</v>
      </c>
      <c r="P620" t="n">
        <v>0</v>
      </c>
      <c r="Q620" t="n">
        <v>0</v>
      </c>
      <c r="R620" s="2" t="inlineStr"/>
    </row>
    <row r="621" ht="15" customHeight="1">
      <c r="A621" t="inlineStr">
        <is>
          <t>A 41345-2021</t>
        </is>
      </c>
      <c r="B621" s="1" t="n">
        <v>44424.61851851852</v>
      </c>
      <c r="C621" s="1" t="n">
        <v>46113</v>
      </c>
      <c r="D621" t="inlineStr">
        <is>
          <t>ÖSTERGÖTLANDS LÄN</t>
        </is>
      </c>
      <c r="E621" t="inlineStr">
        <is>
          <t>LINKÖPING</t>
        </is>
      </c>
      <c r="F621" t="inlineStr">
        <is>
          <t>Sveaskog</t>
        </is>
      </c>
      <c r="G621" t="n">
        <v>6.3</v>
      </c>
      <c r="H621" t="n">
        <v>0</v>
      </c>
      <c r="I621" t="n">
        <v>0</v>
      </c>
      <c r="J621" t="n">
        <v>0</v>
      </c>
      <c r="K621" t="n">
        <v>0</v>
      </c>
      <c r="L621" t="n">
        <v>0</v>
      </c>
      <c r="M621" t="n">
        <v>0</v>
      </c>
      <c r="N621" t="n">
        <v>0</v>
      </c>
      <c r="O621" t="n">
        <v>0</v>
      </c>
      <c r="P621" t="n">
        <v>0</v>
      </c>
      <c r="Q621" t="n">
        <v>0</v>
      </c>
      <c r="R621" s="2" t="inlineStr"/>
    </row>
    <row r="622" ht="15" customHeight="1">
      <c r="A622" t="inlineStr">
        <is>
          <t>A 11888-2026</t>
        </is>
      </c>
      <c r="B622" s="1" t="n">
        <v>46085.51813657407</v>
      </c>
      <c r="C622" s="1" t="n">
        <v>46113</v>
      </c>
      <c r="D622" t="inlineStr">
        <is>
          <t>ÖSTERGÖTLANDS LÄN</t>
        </is>
      </c>
      <c r="E622" t="inlineStr">
        <is>
          <t>LINKÖPING</t>
        </is>
      </c>
      <c r="G622" t="n">
        <v>3.6</v>
      </c>
      <c r="H622" t="n">
        <v>0</v>
      </c>
      <c r="I622" t="n">
        <v>0</v>
      </c>
      <c r="J622" t="n">
        <v>0</v>
      </c>
      <c r="K622" t="n">
        <v>0</v>
      </c>
      <c r="L622" t="n">
        <v>0</v>
      </c>
      <c r="M622" t="n">
        <v>0</v>
      </c>
      <c r="N622" t="n">
        <v>0</v>
      </c>
      <c r="O622" t="n">
        <v>0</v>
      </c>
      <c r="P622" t="n">
        <v>0</v>
      </c>
      <c r="Q622" t="n">
        <v>0</v>
      </c>
      <c r="R622" s="2" t="inlineStr"/>
    </row>
    <row r="623" ht="15" customHeight="1">
      <c r="A623" t="inlineStr">
        <is>
          <t>A 37057-2025</t>
        </is>
      </c>
      <c r="B623" s="1" t="n">
        <v>45875.37489583333</v>
      </c>
      <c r="C623" s="1" t="n">
        <v>46113</v>
      </c>
      <c r="D623" t="inlineStr">
        <is>
          <t>ÖSTERGÖTLANDS LÄN</t>
        </is>
      </c>
      <c r="E623" t="inlineStr">
        <is>
          <t>LINKÖPING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12255-2026</t>
        </is>
      </c>
      <c r="B624" s="1" t="n">
        <v>46087.46630787037</v>
      </c>
      <c r="C624" s="1" t="n">
        <v>46113</v>
      </c>
      <c r="D624" t="inlineStr">
        <is>
          <t>ÖSTERGÖTLANDS LÄN</t>
        </is>
      </c>
      <c r="E624" t="inlineStr">
        <is>
          <t>LINKÖPING</t>
        </is>
      </c>
      <c r="F624" t="inlineStr">
        <is>
          <t>Övriga Aktiebolag</t>
        </is>
      </c>
      <c r="G624" t="n">
        <v>3.2</v>
      </c>
      <c r="H624" t="n">
        <v>0</v>
      </c>
      <c r="I624" t="n">
        <v>0</v>
      </c>
      <c r="J624" t="n">
        <v>0</v>
      </c>
      <c r="K624" t="n">
        <v>0</v>
      </c>
      <c r="L624" t="n">
        <v>0</v>
      </c>
      <c r="M624" t="n">
        <v>0</v>
      </c>
      <c r="N624" t="n">
        <v>0</v>
      </c>
      <c r="O624" t="n">
        <v>0</v>
      </c>
      <c r="P624" t="n">
        <v>0</v>
      </c>
      <c r="Q624" t="n">
        <v>0</v>
      </c>
      <c r="R624" s="2" t="inlineStr"/>
    </row>
    <row r="625" ht="15" customHeight="1">
      <c r="A625" t="inlineStr">
        <is>
          <t>A 61307-2021</t>
        </is>
      </c>
      <c r="B625" s="1" t="n">
        <v>44498.63928240741</v>
      </c>
      <c r="C625" s="1" t="n">
        <v>46113</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61325-2021</t>
        </is>
      </c>
      <c r="B626" s="1" t="n">
        <v>44498.66814814815</v>
      </c>
      <c r="C626" s="1" t="n">
        <v>46113</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60010-2022</t>
        </is>
      </c>
      <c r="B627" s="1" t="n">
        <v>44909.4740625</v>
      </c>
      <c r="C627" s="1" t="n">
        <v>46113</v>
      </c>
      <c r="D627" t="inlineStr">
        <is>
          <t>ÖSTERGÖTLANDS LÄN</t>
        </is>
      </c>
      <c r="E627" t="inlineStr">
        <is>
          <t>LINKÖPING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30518-2024</t>
        </is>
      </c>
      <c r="B628" s="1" t="n">
        <v>45492</v>
      </c>
      <c r="C628" s="1" t="n">
        <v>46113</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4908-2023</t>
        </is>
      </c>
      <c r="B629" s="1" t="n">
        <v>44958</v>
      </c>
      <c r="C629" s="1" t="n">
        <v>46113</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37715-2022</t>
        </is>
      </c>
      <c r="B630" s="1" t="n">
        <v>44810</v>
      </c>
      <c r="C630" s="1" t="n">
        <v>46113</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38886-2024</t>
        </is>
      </c>
      <c r="B631" s="1" t="n">
        <v>45547.66443287037</v>
      </c>
      <c r="C631" s="1" t="n">
        <v>46113</v>
      </c>
      <c r="D631" t="inlineStr">
        <is>
          <t>ÖSTERGÖTLANDS LÄN</t>
        </is>
      </c>
      <c r="E631" t="inlineStr">
        <is>
          <t>LINKÖPING</t>
        </is>
      </c>
      <c r="G631" t="n">
        <v>5.3</v>
      </c>
      <c r="H631" t="n">
        <v>0</v>
      </c>
      <c r="I631" t="n">
        <v>0</v>
      </c>
      <c r="J631" t="n">
        <v>0</v>
      </c>
      <c r="K631" t="n">
        <v>0</v>
      </c>
      <c r="L631" t="n">
        <v>0</v>
      </c>
      <c r="M631" t="n">
        <v>0</v>
      </c>
      <c r="N631" t="n">
        <v>0</v>
      </c>
      <c r="O631" t="n">
        <v>0</v>
      </c>
      <c r="P631" t="n">
        <v>0</v>
      </c>
      <c r="Q631" t="n">
        <v>0</v>
      </c>
      <c r="R631" s="2" t="inlineStr"/>
    </row>
    <row r="632" ht="15" customHeight="1">
      <c r="A632" t="inlineStr">
        <is>
          <t>A 12482-2026</t>
        </is>
      </c>
      <c r="B632" s="1" t="n">
        <v>46090.56292824074</v>
      </c>
      <c r="C632" s="1" t="n">
        <v>46113</v>
      </c>
      <c r="D632" t="inlineStr">
        <is>
          <t>ÖSTERGÖTLANDS LÄN</t>
        </is>
      </c>
      <c r="E632" t="inlineStr">
        <is>
          <t>LINKÖPING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12486-2026</t>
        </is>
      </c>
      <c r="B633" s="1" t="n">
        <v>46090.56501157407</v>
      </c>
      <c r="C633" s="1" t="n">
        <v>46113</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12251-2026</t>
        </is>
      </c>
      <c r="B634" s="1" t="n">
        <v>46087.45278935185</v>
      </c>
      <c r="C634" s="1" t="n">
        <v>46113</v>
      </c>
      <c r="D634" t="inlineStr">
        <is>
          <t>ÖSTERGÖTLANDS LÄN</t>
        </is>
      </c>
      <c r="E634" t="inlineStr">
        <is>
          <t>LINKÖPING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4469-2026</t>
        </is>
      </c>
      <c r="B635" s="1" t="n">
        <v>46045.65662037037</v>
      </c>
      <c r="C635" s="1" t="n">
        <v>46113</v>
      </c>
      <c r="D635" t="inlineStr">
        <is>
          <t>ÖSTERGÖTLANDS LÄN</t>
        </is>
      </c>
      <c r="E635" t="inlineStr">
        <is>
          <t>LINKÖPING</t>
        </is>
      </c>
      <c r="F635" t="inlineStr">
        <is>
          <t>Övriga Aktiebolag</t>
        </is>
      </c>
      <c r="G635" t="n">
        <v>3.8</v>
      </c>
      <c r="H635" t="n">
        <v>0</v>
      </c>
      <c r="I635" t="n">
        <v>0</v>
      </c>
      <c r="J635" t="n">
        <v>0</v>
      </c>
      <c r="K635" t="n">
        <v>0</v>
      </c>
      <c r="L635" t="n">
        <v>0</v>
      </c>
      <c r="M635" t="n">
        <v>0</v>
      </c>
      <c r="N635" t="n">
        <v>0</v>
      </c>
      <c r="O635" t="n">
        <v>0</v>
      </c>
      <c r="P635" t="n">
        <v>0</v>
      </c>
      <c r="Q635" t="n">
        <v>0</v>
      </c>
      <c r="R635" s="2" t="inlineStr"/>
    </row>
    <row r="636" ht="15" customHeight="1">
      <c r="A636" t="inlineStr">
        <is>
          <t>A 3011-2023</t>
        </is>
      </c>
      <c r="B636" s="1" t="n">
        <v>44945</v>
      </c>
      <c r="C636" s="1" t="n">
        <v>46113</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12254-2026</t>
        </is>
      </c>
      <c r="B637" s="1" t="n">
        <v>46087.46196759259</v>
      </c>
      <c r="C637" s="1" t="n">
        <v>46113</v>
      </c>
      <c r="D637" t="inlineStr">
        <is>
          <t>ÖSTERGÖTLANDS LÄN</t>
        </is>
      </c>
      <c r="E637" t="inlineStr">
        <is>
          <t>LINKÖPING</t>
        </is>
      </c>
      <c r="G637" t="n">
        <v>10.4</v>
      </c>
      <c r="H637" t="n">
        <v>0</v>
      </c>
      <c r="I637" t="n">
        <v>0</v>
      </c>
      <c r="J637" t="n">
        <v>0</v>
      </c>
      <c r="K637" t="n">
        <v>0</v>
      </c>
      <c r="L637" t="n">
        <v>0</v>
      </c>
      <c r="M637" t="n">
        <v>0</v>
      </c>
      <c r="N637" t="n">
        <v>0</v>
      </c>
      <c r="O637" t="n">
        <v>0</v>
      </c>
      <c r="P637" t="n">
        <v>0</v>
      </c>
      <c r="Q637" t="n">
        <v>0</v>
      </c>
      <c r="R637" s="2" t="inlineStr"/>
    </row>
    <row r="638" ht="15" customHeight="1">
      <c r="A638" t="inlineStr">
        <is>
          <t>A 12247-2026</t>
        </is>
      </c>
      <c r="B638" s="1" t="n">
        <v>46087.44436342592</v>
      </c>
      <c r="C638" s="1" t="n">
        <v>46113</v>
      </c>
      <c r="D638" t="inlineStr">
        <is>
          <t>ÖSTERGÖTLANDS LÄN</t>
        </is>
      </c>
      <c r="E638" t="inlineStr">
        <is>
          <t>LINKÖPING</t>
        </is>
      </c>
      <c r="G638" t="n">
        <v>0.9</v>
      </c>
      <c r="H638" t="n">
        <v>0</v>
      </c>
      <c r="I638" t="n">
        <v>0</v>
      </c>
      <c r="J638" t="n">
        <v>0</v>
      </c>
      <c r="K638" t="n">
        <v>0</v>
      </c>
      <c r="L638" t="n">
        <v>0</v>
      </c>
      <c r="M638" t="n">
        <v>0</v>
      </c>
      <c r="N638" t="n">
        <v>0</v>
      </c>
      <c r="O638" t="n">
        <v>0</v>
      </c>
      <c r="P638" t="n">
        <v>0</v>
      </c>
      <c r="Q638" t="n">
        <v>0</v>
      </c>
      <c r="R638" s="2" t="inlineStr"/>
    </row>
    <row r="639" ht="15" customHeight="1">
      <c r="A639" t="inlineStr">
        <is>
          <t>A 45442-2024</t>
        </is>
      </c>
      <c r="B639" s="1" t="n">
        <v>45576.64189814815</v>
      </c>
      <c r="C639" s="1" t="n">
        <v>46113</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3432-2023</t>
        </is>
      </c>
      <c r="B640" s="1" t="n">
        <v>44949</v>
      </c>
      <c r="C640" s="1" t="n">
        <v>46113</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60472-2022</t>
        </is>
      </c>
      <c r="B641" s="1" t="n">
        <v>44911.41037037037</v>
      </c>
      <c r="C641" s="1" t="n">
        <v>46113</v>
      </c>
      <c r="D641" t="inlineStr">
        <is>
          <t>ÖSTERGÖTLANDS LÄN</t>
        </is>
      </c>
      <c r="E641" t="inlineStr">
        <is>
          <t>LINKÖPING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12720-2022</t>
        </is>
      </c>
      <c r="B642" s="1" t="n">
        <v>44641</v>
      </c>
      <c r="C642" s="1" t="n">
        <v>46113</v>
      </c>
      <c r="D642" t="inlineStr">
        <is>
          <t>ÖSTERGÖTLANDS LÄN</t>
        </is>
      </c>
      <c r="E642" t="inlineStr">
        <is>
          <t>LINKÖPING</t>
        </is>
      </c>
      <c r="F642" t="inlineStr">
        <is>
          <t>Övriga Aktiebolag</t>
        </is>
      </c>
      <c r="G642" t="n">
        <v>2</v>
      </c>
      <c r="H642" t="n">
        <v>0</v>
      </c>
      <c r="I642" t="n">
        <v>0</v>
      </c>
      <c r="J642" t="n">
        <v>0</v>
      </c>
      <c r="K642" t="n">
        <v>0</v>
      </c>
      <c r="L642" t="n">
        <v>0</v>
      </c>
      <c r="M642" t="n">
        <v>0</v>
      </c>
      <c r="N642" t="n">
        <v>0</v>
      </c>
      <c r="O642" t="n">
        <v>0</v>
      </c>
      <c r="P642" t="n">
        <v>0</v>
      </c>
      <c r="Q642" t="n">
        <v>0</v>
      </c>
      <c r="R642" s="2" t="inlineStr"/>
    </row>
    <row r="643" ht="15" customHeight="1">
      <c r="A643" t="inlineStr">
        <is>
          <t>A 5545-2026</t>
        </is>
      </c>
      <c r="B643" s="1" t="n">
        <v>46050.70089120371</v>
      </c>
      <c r="C643" s="1" t="n">
        <v>46113</v>
      </c>
      <c r="D643" t="inlineStr">
        <is>
          <t>ÖSTERGÖTLANDS LÄN</t>
        </is>
      </c>
      <c r="E643" t="inlineStr">
        <is>
          <t>LINKÖPING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5099-2026</t>
        </is>
      </c>
      <c r="B644" s="1" t="n">
        <v>46049.56158564815</v>
      </c>
      <c r="C644" s="1" t="n">
        <v>46113</v>
      </c>
      <c r="D644" t="inlineStr">
        <is>
          <t>ÖSTERGÖTLANDS LÄN</t>
        </is>
      </c>
      <c r="E644" t="inlineStr">
        <is>
          <t>LINKÖPING</t>
        </is>
      </c>
      <c r="G644" t="n">
        <v>5</v>
      </c>
      <c r="H644" t="n">
        <v>0</v>
      </c>
      <c r="I644" t="n">
        <v>0</v>
      </c>
      <c r="J644" t="n">
        <v>0</v>
      </c>
      <c r="K644" t="n">
        <v>0</v>
      </c>
      <c r="L644" t="n">
        <v>0</v>
      </c>
      <c r="M644" t="n">
        <v>0</v>
      </c>
      <c r="N644" t="n">
        <v>0</v>
      </c>
      <c r="O644" t="n">
        <v>0</v>
      </c>
      <c r="P644" t="n">
        <v>0</v>
      </c>
      <c r="Q644" t="n">
        <v>0</v>
      </c>
      <c r="R644" s="2" t="inlineStr"/>
    </row>
    <row r="645" ht="15" customHeight="1">
      <c r="A645" t="inlineStr">
        <is>
          <t>A 45831-2024</t>
        </is>
      </c>
      <c r="B645" s="1" t="n">
        <v>45579.90508101852</v>
      </c>
      <c r="C645" s="1" t="n">
        <v>46113</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10477-2026</t>
        </is>
      </c>
      <c r="B646" s="1" t="n">
        <v>46077.4871875</v>
      </c>
      <c r="C646" s="1" t="n">
        <v>46113</v>
      </c>
      <c r="D646" t="inlineStr">
        <is>
          <t>ÖSTERGÖTLANDS LÄN</t>
        </is>
      </c>
      <c r="E646" t="inlineStr">
        <is>
          <t>LINKÖPING</t>
        </is>
      </c>
      <c r="G646" t="n">
        <v>9.6</v>
      </c>
      <c r="H646" t="n">
        <v>0</v>
      </c>
      <c r="I646" t="n">
        <v>0</v>
      </c>
      <c r="J646" t="n">
        <v>0</v>
      </c>
      <c r="K646" t="n">
        <v>0</v>
      </c>
      <c r="L646" t="n">
        <v>0</v>
      </c>
      <c r="M646" t="n">
        <v>0</v>
      </c>
      <c r="N646" t="n">
        <v>0</v>
      </c>
      <c r="O646" t="n">
        <v>0</v>
      </c>
      <c r="P646" t="n">
        <v>0</v>
      </c>
      <c r="Q646" t="n">
        <v>0</v>
      </c>
      <c r="R646" s="2" t="inlineStr"/>
    </row>
    <row r="647" ht="15" customHeight="1">
      <c r="A647" t="inlineStr">
        <is>
          <t>A 57396-2021</t>
        </is>
      </c>
      <c r="B647" s="1" t="n">
        <v>44483.56151620371</v>
      </c>
      <c r="C647" s="1" t="n">
        <v>46113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22842-2023</t>
        </is>
      </c>
      <c r="B648" s="1" t="n">
        <v>45071</v>
      </c>
      <c r="C648" s="1" t="n">
        <v>46113</v>
      </c>
      <c r="D648" t="inlineStr">
        <is>
          <t>ÖSTERGÖTLANDS LÄN</t>
        </is>
      </c>
      <c r="E648" t="inlineStr">
        <is>
          <t>LINKÖPING</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50386-2021</t>
        </is>
      </c>
      <c r="B649" s="1" t="n">
        <v>44459</v>
      </c>
      <c r="C649" s="1" t="n">
        <v>46113</v>
      </c>
      <c r="D649" t="inlineStr">
        <is>
          <t>ÖSTERGÖTLANDS LÄN</t>
        </is>
      </c>
      <c r="E649" t="inlineStr">
        <is>
          <t>LINKÖPING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35781-2023</t>
        </is>
      </c>
      <c r="B650" s="1" t="n">
        <v>45147</v>
      </c>
      <c r="C650" s="1" t="n">
        <v>46113</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25829-2025</t>
        </is>
      </c>
      <c r="B651" s="1" t="n">
        <v>45804.44505787037</v>
      </c>
      <c r="C651" s="1" t="n">
        <v>46113</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22770-2024</t>
        </is>
      </c>
      <c r="B652" s="1" t="n">
        <v>45448.4634375</v>
      </c>
      <c r="C652" s="1" t="n">
        <v>46113</v>
      </c>
      <c r="D652" t="inlineStr">
        <is>
          <t>ÖSTERGÖTLANDS LÄN</t>
        </is>
      </c>
      <c r="E652" t="inlineStr">
        <is>
          <t>LINKÖPING</t>
        </is>
      </c>
      <c r="F652" t="inlineStr">
        <is>
          <t>Sveaskog</t>
        </is>
      </c>
      <c r="G652" t="n">
        <v>3.4</v>
      </c>
      <c r="H652" t="n">
        <v>0</v>
      </c>
      <c r="I652" t="n">
        <v>0</v>
      </c>
      <c r="J652" t="n">
        <v>0</v>
      </c>
      <c r="K652" t="n">
        <v>0</v>
      </c>
      <c r="L652" t="n">
        <v>0</v>
      </c>
      <c r="M652" t="n">
        <v>0</v>
      </c>
      <c r="N652" t="n">
        <v>0</v>
      </c>
      <c r="O652" t="n">
        <v>0</v>
      </c>
      <c r="P652" t="n">
        <v>0</v>
      </c>
      <c r="Q652" t="n">
        <v>0</v>
      </c>
      <c r="R652" s="2" t="inlineStr"/>
    </row>
    <row r="653" ht="15" customHeight="1">
      <c r="A653" t="inlineStr">
        <is>
          <t>A 11671-2023</t>
        </is>
      </c>
      <c r="B653" s="1" t="n">
        <v>44994.48125</v>
      </c>
      <c r="C653" s="1" t="n">
        <v>46113</v>
      </c>
      <c r="D653" t="inlineStr">
        <is>
          <t>ÖSTERGÖTLANDS LÄN</t>
        </is>
      </c>
      <c r="E653" t="inlineStr">
        <is>
          <t>LINKÖPING</t>
        </is>
      </c>
      <c r="G653" t="n">
        <v>2.6</v>
      </c>
      <c r="H653" t="n">
        <v>0</v>
      </c>
      <c r="I653" t="n">
        <v>0</v>
      </c>
      <c r="J653" t="n">
        <v>0</v>
      </c>
      <c r="K653" t="n">
        <v>0</v>
      </c>
      <c r="L653" t="n">
        <v>0</v>
      </c>
      <c r="M653" t="n">
        <v>0</v>
      </c>
      <c r="N653" t="n">
        <v>0</v>
      </c>
      <c r="O653" t="n">
        <v>0</v>
      </c>
      <c r="P653" t="n">
        <v>0</v>
      </c>
      <c r="Q653" t="n">
        <v>0</v>
      </c>
      <c r="R653" s="2" t="inlineStr"/>
    </row>
    <row r="654" ht="15" customHeight="1">
      <c r="A654" t="inlineStr">
        <is>
          <t>A 54425-2022</t>
        </is>
      </c>
      <c r="B654" s="1" t="n">
        <v>44882.57453703704</v>
      </c>
      <c r="C654" s="1" t="n">
        <v>46113</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13565-2026</t>
        </is>
      </c>
      <c r="B655" s="1" t="n">
        <v>46094.80006944444</v>
      </c>
      <c r="C655" s="1" t="n">
        <v>46113</v>
      </c>
      <c r="D655" t="inlineStr">
        <is>
          <t>ÖSTERGÖTLANDS LÄN</t>
        </is>
      </c>
      <c r="E655" t="inlineStr">
        <is>
          <t>LINKÖPING</t>
        </is>
      </c>
      <c r="G655" t="n">
        <v>2.2</v>
      </c>
      <c r="H655" t="n">
        <v>0</v>
      </c>
      <c r="I655" t="n">
        <v>0</v>
      </c>
      <c r="J655" t="n">
        <v>0</v>
      </c>
      <c r="K655" t="n">
        <v>0</v>
      </c>
      <c r="L655" t="n">
        <v>0</v>
      </c>
      <c r="M655" t="n">
        <v>0</v>
      </c>
      <c r="N655" t="n">
        <v>0</v>
      </c>
      <c r="O655" t="n">
        <v>0</v>
      </c>
      <c r="P655" t="n">
        <v>0</v>
      </c>
      <c r="Q655" t="n">
        <v>0</v>
      </c>
      <c r="R655" s="2" t="inlineStr"/>
    </row>
    <row r="656" ht="15" customHeight="1">
      <c r="A656" t="inlineStr">
        <is>
          <t>A 30547-2023</t>
        </is>
      </c>
      <c r="B656" s="1" t="n">
        <v>45111.75905092592</v>
      </c>
      <c r="C656" s="1" t="n">
        <v>46113</v>
      </c>
      <c r="D656" t="inlineStr">
        <is>
          <t>ÖSTERGÖTLANDS LÄN</t>
        </is>
      </c>
      <c r="E656" t="inlineStr">
        <is>
          <t>LINKÖPING</t>
        </is>
      </c>
      <c r="G656" t="n">
        <v>0.9</v>
      </c>
      <c r="H656" t="n">
        <v>0</v>
      </c>
      <c r="I656" t="n">
        <v>0</v>
      </c>
      <c r="J656" t="n">
        <v>0</v>
      </c>
      <c r="K656" t="n">
        <v>0</v>
      </c>
      <c r="L656" t="n">
        <v>0</v>
      </c>
      <c r="M656" t="n">
        <v>0</v>
      </c>
      <c r="N656" t="n">
        <v>0</v>
      </c>
      <c r="O656" t="n">
        <v>0</v>
      </c>
      <c r="P656" t="n">
        <v>0</v>
      </c>
      <c r="Q656" t="n">
        <v>0</v>
      </c>
      <c r="R656" s="2" t="inlineStr"/>
    </row>
    <row r="657" ht="15" customHeight="1">
      <c r="A657" t="inlineStr">
        <is>
          <t>A 24904-2024</t>
        </is>
      </c>
      <c r="B657" s="1" t="n">
        <v>45461</v>
      </c>
      <c r="C657" s="1" t="n">
        <v>46113</v>
      </c>
      <c r="D657" t="inlineStr">
        <is>
          <t>ÖSTERGÖTLANDS LÄN</t>
        </is>
      </c>
      <c r="E657" t="inlineStr">
        <is>
          <t>LINKÖPING</t>
        </is>
      </c>
      <c r="G657" t="n">
        <v>3.8</v>
      </c>
      <c r="H657" t="n">
        <v>0</v>
      </c>
      <c r="I657" t="n">
        <v>0</v>
      </c>
      <c r="J657" t="n">
        <v>0</v>
      </c>
      <c r="K657" t="n">
        <v>0</v>
      </c>
      <c r="L657" t="n">
        <v>0</v>
      </c>
      <c r="M657" t="n">
        <v>0</v>
      </c>
      <c r="N657" t="n">
        <v>0</v>
      </c>
      <c r="O657" t="n">
        <v>0</v>
      </c>
      <c r="P657" t="n">
        <v>0</v>
      </c>
      <c r="Q657" t="n">
        <v>0</v>
      </c>
      <c r="R657" s="2" t="inlineStr"/>
    </row>
    <row r="658" ht="15" customHeight="1">
      <c r="A658" t="inlineStr">
        <is>
          <t>A 6384-2026</t>
        </is>
      </c>
      <c r="B658" s="1" t="n">
        <v>46055.63732638889</v>
      </c>
      <c r="C658" s="1" t="n">
        <v>46113</v>
      </c>
      <c r="D658" t="inlineStr">
        <is>
          <t>ÖSTERGÖTLANDS LÄN</t>
        </is>
      </c>
      <c r="E658" t="inlineStr">
        <is>
          <t>LINKÖPING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26788-2022</t>
        </is>
      </c>
      <c r="B659" s="1" t="n">
        <v>44740</v>
      </c>
      <c r="C659" s="1" t="n">
        <v>46113</v>
      </c>
      <c r="D659" t="inlineStr">
        <is>
          <t>ÖSTERGÖTLANDS LÄN</t>
        </is>
      </c>
      <c r="E659" t="inlineStr">
        <is>
          <t>LINKÖPING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6164-2026</t>
        </is>
      </c>
      <c r="B660" s="1" t="n">
        <v>46055.32596064815</v>
      </c>
      <c r="C660" s="1" t="n">
        <v>46113</v>
      </c>
      <c r="D660" t="inlineStr">
        <is>
          <t>ÖSTERGÖTLANDS LÄN</t>
        </is>
      </c>
      <c r="E660" t="inlineStr">
        <is>
          <t>LINKÖPING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15121-2022</t>
        </is>
      </c>
      <c r="B661" s="1" t="n">
        <v>44658</v>
      </c>
      <c r="C661" s="1" t="n">
        <v>46113</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51919-2024</t>
        </is>
      </c>
      <c r="B662" s="1" t="n">
        <v>45607.60791666667</v>
      </c>
      <c r="C662" s="1" t="n">
        <v>46113</v>
      </c>
      <c r="D662" t="inlineStr">
        <is>
          <t>ÖSTERGÖTLANDS LÄN</t>
        </is>
      </c>
      <c r="E662" t="inlineStr">
        <is>
          <t>LINKÖPING</t>
        </is>
      </c>
      <c r="G662" t="n">
        <v>2.5</v>
      </c>
      <c r="H662" t="n">
        <v>0</v>
      </c>
      <c r="I662" t="n">
        <v>0</v>
      </c>
      <c r="J662" t="n">
        <v>0</v>
      </c>
      <c r="K662" t="n">
        <v>0</v>
      </c>
      <c r="L662" t="n">
        <v>0</v>
      </c>
      <c r="M662" t="n">
        <v>0</v>
      </c>
      <c r="N662" t="n">
        <v>0</v>
      </c>
      <c r="O662" t="n">
        <v>0</v>
      </c>
      <c r="P662" t="n">
        <v>0</v>
      </c>
      <c r="Q662" t="n">
        <v>0</v>
      </c>
      <c r="R662" s="2" t="inlineStr"/>
    </row>
    <row r="663" ht="15" customHeight="1">
      <c r="A663" t="inlineStr">
        <is>
          <t>A 38046-2025</t>
        </is>
      </c>
      <c r="B663" s="1" t="n">
        <v>45882.39939814815</v>
      </c>
      <c r="C663" s="1" t="n">
        <v>46113</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55009-2023</t>
        </is>
      </c>
      <c r="B664" s="1" t="n">
        <v>45237</v>
      </c>
      <c r="C664" s="1" t="n">
        <v>46113</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20291-2025</t>
        </is>
      </c>
      <c r="B665" s="1" t="n">
        <v>45774.74288194445</v>
      </c>
      <c r="C665" s="1" t="n">
        <v>46113</v>
      </c>
      <c r="D665" t="inlineStr">
        <is>
          <t>ÖSTERGÖTLANDS LÄN</t>
        </is>
      </c>
      <c r="E665" t="inlineStr">
        <is>
          <t>LINKÖPING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20293-2025</t>
        </is>
      </c>
      <c r="B666" s="1" t="n">
        <v>45774.74611111111</v>
      </c>
      <c r="C666" s="1" t="n">
        <v>46113</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660-2023</t>
        </is>
      </c>
      <c r="B667" s="1" t="n">
        <v>44930</v>
      </c>
      <c r="C667" s="1" t="n">
        <v>46113</v>
      </c>
      <c r="D667" t="inlineStr">
        <is>
          <t>ÖSTERGÖTLANDS LÄN</t>
        </is>
      </c>
      <c r="E667" t="inlineStr">
        <is>
          <t>LINKÖPING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64694-2023</t>
        </is>
      </c>
      <c r="B668" s="1" t="n">
        <v>45281</v>
      </c>
      <c r="C668" s="1" t="n">
        <v>46113</v>
      </c>
      <c r="D668" t="inlineStr">
        <is>
          <t>ÖSTERGÖTLANDS LÄN</t>
        </is>
      </c>
      <c r="E668" t="inlineStr">
        <is>
          <t>LINKÖPING</t>
        </is>
      </c>
      <c r="F668" t="inlineStr">
        <is>
          <t>Övriga statliga verk och myndigheter</t>
        </is>
      </c>
      <c r="G668" t="n">
        <v>4.9</v>
      </c>
      <c r="H668" t="n">
        <v>0</v>
      </c>
      <c r="I668" t="n">
        <v>0</v>
      </c>
      <c r="J668" t="n">
        <v>0</v>
      </c>
      <c r="K668" t="n">
        <v>0</v>
      </c>
      <c r="L668" t="n">
        <v>0</v>
      </c>
      <c r="M668" t="n">
        <v>0</v>
      </c>
      <c r="N668" t="n">
        <v>0</v>
      </c>
      <c r="O668" t="n">
        <v>0</v>
      </c>
      <c r="P668" t="n">
        <v>0</v>
      </c>
      <c r="Q668" t="n">
        <v>0</v>
      </c>
      <c r="R668" s="2" t="inlineStr"/>
    </row>
    <row r="669" ht="15" customHeight="1">
      <c r="A669" t="inlineStr">
        <is>
          <t>A 63487-2023</t>
        </is>
      </c>
      <c r="B669" s="1" t="n">
        <v>45274.66712962963</v>
      </c>
      <c r="C669" s="1" t="n">
        <v>46113</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20455-2024</t>
        </is>
      </c>
      <c r="B670" s="1" t="n">
        <v>45435.65314814815</v>
      </c>
      <c r="C670" s="1" t="n">
        <v>46113</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30471-2023</t>
        </is>
      </c>
      <c r="B671" s="1" t="n">
        <v>45111.58931712963</v>
      </c>
      <c r="C671" s="1" t="n">
        <v>46113</v>
      </c>
      <c r="D671" t="inlineStr">
        <is>
          <t>ÖSTERGÖTLANDS LÄN</t>
        </is>
      </c>
      <c r="E671" t="inlineStr">
        <is>
          <t>LINKÖPING</t>
        </is>
      </c>
      <c r="G671" t="n">
        <v>2.9</v>
      </c>
      <c r="H671" t="n">
        <v>0</v>
      </c>
      <c r="I671" t="n">
        <v>0</v>
      </c>
      <c r="J671" t="n">
        <v>0</v>
      </c>
      <c r="K671" t="n">
        <v>0</v>
      </c>
      <c r="L671" t="n">
        <v>0</v>
      </c>
      <c r="M671" t="n">
        <v>0</v>
      </c>
      <c r="N671" t="n">
        <v>0</v>
      </c>
      <c r="O671" t="n">
        <v>0</v>
      </c>
      <c r="P671" t="n">
        <v>0</v>
      </c>
      <c r="Q671" t="n">
        <v>0</v>
      </c>
      <c r="R671" s="2" t="inlineStr"/>
    </row>
    <row r="672" ht="15" customHeight="1">
      <c r="A672" t="inlineStr">
        <is>
          <t>A 13927-2026</t>
        </is>
      </c>
      <c r="B672" s="1" t="n">
        <v>46098</v>
      </c>
      <c r="C672" s="1" t="n">
        <v>46113</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14093-2024</t>
        </is>
      </c>
      <c r="B673" s="1" t="n">
        <v>45392.60278935185</v>
      </c>
      <c r="C673" s="1" t="n">
        <v>46113</v>
      </c>
      <c r="D673" t="inlineStr">
        <is>
          <t>ÖSTERGÖTLANDS LÄN</t>
        </is>
      </c>
      <c r="E673" t="inlineStr">
        <is>
          <t>LINKÖPING</t>
        </is>
      </c>
      <c r="F673" t="inlineStr">
        <is>
          <t>Övriga Aktiebolag</t>
        </is>
      </c>
      <c r="G673" t="n">
        <v>0.6</v>
      </c>
      <c r="H673" t="n">
        <v>0</v>
      </c>
      <c r="I673" t="n">
        <v>0</v>
      </c>
      <c r="J673" t="n">
        <v>0</v>
      </c>
      <c r="K673" t="n">
        <v>0</v>
      </c>
      <c r="L673" t="n">
        <v>0</v>
      </c>
      <c r="M673" t="n">
        <v>0</v>
      </c>
      <c r="N673" t="n">
        <v>0</v>
      </c>
      <c r="O673" t="n">
        <v>0</v>
      </c>
      <c r="P673" t="n">
        <v>0</v>
      </c>
      <c r="Q673" t="n">
        <v>0</v>
      </c>
      <c r="R673" s="2" t="inlineStr"/>
    </row>
    <row r="674" ht="15" customHeight="1">
      <c r="A674" t="inlineStr">
        <is>
          <t>A 7133-2026</t>
        </is>
      </c>
      <c r="B674" s="1" t="n">
        <v>46057</v>
      </c>
      <c r="C674" s="1" t="n">
        <v>46113</v>
      </c>
      <c r="D674" t="inlineStr">
        <is>
          <t>ÖSTERGÖTLANDS LÄN</t>
        </is>
      </c>
      <c r="E674" t="inlineStr">
        <is>
          <t>LINKÖPING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14157-2026</t>
        </is>
      </c>
      <c r="B675" s="1" t="n">
        <v>46099.46829861111</v>
      </c>
      <c r="C675" s="1" t="n">
        <v>46113</v>
      </c>
      <c r="D675" t="inlineStr">
        <is>
          <t>ÖSTERGÖTLANDS LÄN</t>
        </is>
      </c>
      <c r="E675" t="inlineStr">
        <is>
          <t>LINKÖPING</t>
        </is>
      </c>
      <c r="F675" t="inlineStr">
        <is>
          <t>Allmännings- och besparingsskogar</t>
        </is>
      </c>
      <c r="G675" t="n">
        <v>1.6</v>
      </c>
      <c r="H675" t="n">
        <v>0</v>
      </c>
      <c r="I675" t="n">
        <v>0</v>
      </c>
      <c r="J675" t="n">
        <v>0</v>
      </c>
      <c r="K675" t="n">
        <v>0</v>
      </c>
      <c r="L675" t="n">
        <v>0</v>
      </c>
      <c r="M675" t="n">
        <v>0</v>
      </c>
      <c r="N675" t="n">
        <v>0</v>
      </c>
      <c r="O675" t="n">
        <v>0</v>
      </c>
      <c r="P675" t="n">
        <v>0</v>
      </c>
      <c r="Q675" t="n">
        <v>0</v>
      </c>
      <c r="R675" s="2" t="inlineStr"/>
    </row>
    <row r="676" ht="15" customHeight="1">
      <c r="A676" t="inlineStr">
        <is>
          <t>A 63304-2021</t>
        </is>
      </c>
      <c r="B676" s="1" t="n">
        <v>44508.4396412037</v>
      </c>
      <c r="C676" s="1" t="n">
        <v>46113</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19362-2023</t>
        </is>
      </c>
      <c r="B677" s="1" t="n">
        <v>45049</v>
      </c>
      <c r="C677" s="1" t="n">
        <v>46113</v>
      </c>
      <c r="D677" t="inlineStr">
        <is>
          <t>ÖSTERGÖTLANDS LÄN</t>
        </is>
      </c>
      <c r="E677" t="inlineStr">
        <is>
          <t>LINKÖPING</t>
        </is>
      </c>
      <c r="G677" t="n">
        <v>0.1</v>
      </c>
      <c r="H677" t="n">
        <v>0</v>
      </c>
      <c r="I677" t="n">
        <v>0</v>
      </c>
      <c r="J677" t="n">
        <v>0</v>
      </c>
      <c r="K677" t="n">
        <v>0</v>
      </c>
      <c r="L677" t="n">
        <v>0</v>
      </c>
      <c r="M677" t="n">
        <v>0</v>
      </c>
      <c r="N677" t="n">
        <v>0</v>
      </c>
      <c r="O677" t="n">
        <v>0</v>
      </c>
      <c r="P677" t="n">
        <v>0</v>
      </c>
      <c r="Q677" t="n">
        <v>0</v>
      </c>
      <c r="R677" s="2" t="inlineStr"/>
    </row>
    <row r="678" ht="15" customHeight="1">
      <c r="A678" t="inlineStr">
        <is>
          <t>A 35463-2023</t>
        </is>
      </c>
      <c r="B678" s="1" t="n">
        <v>45146</v>
      </c>
      <c r="C678" s="1" t="n">
        <v>46113</v>
      </c>
      <c r="D678" t="inlineStr">
        <is>
          <t>ÖSTERGÖTLANDS LÄN</t>
        </is>
      </c>
      <c r="E678" t="inlineStr">
        <is>
          <t>LINKÖPING</t>
        </is>
      </c>
      <c r="F678" t="inlineStr">
        <is>
          <t>Övriga Aktiebolag</t>
        </is>
      </c>
      <c r="G678" t="n">
        <v>1.8</v>
      </c>
      <c r="H678" t="n">
        <v>0</v>
      </c>
      <c r="I678" t="n">
        <v>0</v>
      </c>
      <c r="J678" t="n">
        <v>0</v>
      </c>
      <c r="K678" t="n">
        <v>0</v>
      </c>
      <c r="L678" t="n">
        <v>0</v>
      </c>
      <c r="M678" t="n">
        <v>0</v>
      </c>
      <c r="N678" t="n">
        <v>0</v>
      </c>
      <c r="O678" t="n">
        <v>0</v>
      </c>
      <c r="P678" t="n">
        <v>0</v>
      </c>
      <c r="Q678" t="n">
        <v>0</v>
      </c>
      <c r="R678" s="2" t="inlineStr"/>
    </row>
    <row r="679" ht="15" customHeight="1">
      <c r="A679" t="inlineStr">
        <is>
          <t>A 16111-2022</t>
        </is>
      </c>
      <c r="B679" s="1" t="n">
        <v>44665</v>
      </c>
      <c r="C679" s="1" t="n">
        <v>46113</v>
      </c>
      <c r="D679" t="inlineStr">
        <is>
          <t>ÖSTERGÖTLANDS LÄN</t>
        </is>
      </c>
      <c r="E679" t="inlineStr">
        <is>
          <t>LINKÖPING</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31635-2023</t>
        </is>
      </c>
      <c r="B680" s="1" t="n">
        <v>45105</v>
      </c>
      <c r="C680" s="1" t="n">
        <v>46113</v>
      </c>
      <c r="D680" t="inlineStr">
        <is>
          <t>ÖSTERGÖTLANDS LÄN</t>
        </is>
      </c>
      <c r="E680" t="inlineStr">
        <is>
          <t>LINKÖPING</t>
        </is>
      </c>
      <c r="F680" t="inlineStr">
        <is>
          <t>Övriga statliga verk och myndigheter</t>
        </is>
      </c>
      <c r="G680" t="n">
        <v>4.6</v>
      </c>
      <c r="H680" t="n">
        <v>0</v>
      </c>
      <c r="I680" t="n">
        <v>0</v>
      </c>
      <c r="J680" t="n">
        <v>0</v>
      </c>
      <c r="K680" t="n">
        <v>0</v>
      </c>
      <c r="L680" t="n">
        <v>0</v>
      </c>
      <c r="M680" t="n">
        <v>0</v>
      </c>
      <c r="N680" t="n">
        <v>0</v>
      </c>
      <c r="O680" t="n">
        <v>0</v>
      </c>
      <c r="P680" t="n">
        <v>0</v>
      </c>
      <c r="Q680" t="n">
        <v>0</v>
      </c>
      <c r="R680" s="2" t="inlineStr"/>
    </row>
    <row r="681" ht="15" customHeight="1">
      <c r="A681" t="inlineStr">
        <is>
          <t>A 49928-2024</t>
        </is>
      </c>
      <c r="B681" s="1" t="n">
        <v>45597.57811342592</v>
      </c>
      <c r="C681" s="1" t="n">
        <v>46113</v>
      </c>
      <c r="D681" t="inlineStr">
        <is>
          <t>ÖSTERGÖTLANDS LÄN</t>
        </is>
      </c>
      <c r="E681" t="inlineStr">
        <is>
          <t>LINKÖPING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54845-2023</t>
        </is>
      </c>
      <c r="B682" s="1" t="n">
        <v>45236</v>
      </c>
      <c r="C682" s="1" t="n">
        <v>46113</v>
      </c>
      <c r="D682" t="inlineStr">
        <is>
          <t>ÖSTERGÖTLANDS LÄN</t>
        </is>
      </c>
      <c r="E682" t="inlineStr">
        <is>
          <t>LINKÖPING</t>
        </is>
      </c>
      <c r="F682" t="inlineStr">
        <is>
          <t>Övriga Aktiebolag</t>
        </is>
      </c>
      <c r="G682" t="n">
        <v>5.7</v>
      </c>
      <c r="H682" t="n">
        <v>0</v>
      </c>
      <c r="I682" t="n">
        <v>0</v>
      </c>
      <c r="J682" t="n">
        <v>0</v>
      </c>
      <c r="K682" t="n">
        <v>0</v>
      </c>
      <c r="L682" t="n">
        <v>0</v>
      </c>
      <c r="M682" t="n">
        <v>0</v>
      </c>
      <c r="N682" t="n">
        <v>0</v>
      </c>
      <c r="O682" t="n">
        <v>0</v>
      </c>
      <c r="P682" t="n">
        <v>0</v>
      </c>
      <c r="Q682" t="n">
        <v>0</v>
      </c>
      <c r="R682" s="2" t="inlineStr"/>
    </row>
    <row r="683" ht="15" customHeight="1">
      <c r="A683" t="inlineStr">
        <is>
          <t>A 46687-2021</t>
        </is>
      </c>
      <c r="B683" s="1" t="n">
        <v>44445</v>
      </c>
      <c r="C683" s="1" t="n">
        <v>46113</v>
      </c>
      <c r="D683" t="inlineStr">
        <is>
          <t>ÖSTERGÖTLANDS LÄN</t>
        </is>
      </c>
      <c r="E683" t="inlineStr">
        <is>
          <t>LINKÖPING</t>
        </is>
      </c>
      <c r="F683" t="inlineStr">
        <is>
          <t>Övriga statliga verk och myndigheter</t>
        </is>
      </c>
      <c r="G683" t="n">
        <v>2.3</v>
      </c>
      <c r="H683" t="n">
        <v>0</v>
      </c>
      <c r="I683" t="n">
        <v>0</v>
      </c>
      <c r="J683" t="n">
        <v>0</v>
      </c>
      <c r="K683" t="n">
        <v>0</v>
      </c>
      <c r="L683" t="n">
        <v>0</v>
      </c>
      <c r="M683" t="n">
        <v>0</v>
      </c>
      <c r="N683" t="n">
        <v>0</v>
      </c>
      <c r="O683" t="n">
        <v>0</v>
      </c>
      <c r="P683" t="n">
        <v>0</v>
      </c>
      <c r="Q683" t="n">
        <v>0</v>
      </c>
      <c r="R683" s="2" t="inlineStr"/>
    </row>
    <row r="684" ht="15" customHeight="1">
      <c r="A684" t="inlineStr">
        <is>
          <t>A 30855-2022</t>
        </is>
      </c>
      <c r="B684" s="1" t="n">
        <v>44767</v>
      </c>
      <c r="C684" s="1" t="n">
        <v>46113</v>
      </c>
      <c r="D684" t="inlineStr">
        <is>
          <t>ÖSTERGÖTLANDS LÄN</t>
        </is>
      </c>
      <c r="E684" t="inlineStr">
        <is>
          <t>LINKÖPING</t>
        </is>
      </c>
      <c r="G684" t="n">
        <v>2.2</v>
      </c>
      <c r="H684" t="n">
        <v>0</v>
      </c>
      <c r="I684" t="n">
        <v>0</v>
      </c>
      <c r="J684" t="n">
        <v>0</v>
      </c>
      <c r="K684" t="n">
        <v>0</v>
      </c>
      <c r="L684" t="n">
        <v>0</v>
      </c>
      <c r="M684" t="n">
        <v>0</v>
      </c>
      <c r="N684" t="n">
        <v>0</v>
      </c>
      <c r="O684" t="n">
        <v>0</v>
      </c>
      <c r="P684" t="n">
        <v>0</v>
      </c>
      <c r="Q684" t="n">
        <v>0</v>
      </c>
      <c r="R684" s="2" t="inlineStr"/>
    </row>
    <row r="685" ht="15" customHeight="1">
      <c r="A685" t="inlineStr">
        <is>
          <t>A 1355-2023</t>
        </is>
      </c>
      <c r="B685" s="1" t="n">
        <v>44931</v>
      </c>
      <c r="C685" s="1" t="n">
        <v>46113</v>
      </c>
      <c r="D685" t="inlineStr">
        <is>
          <t>ÖSTERGÖTLANDS LÄN</t>
        </is>
      </c>
      <c r="E685" t="inlineStr">
        <is>
          <t>LINKÖPING</t>
        </is>
      </c>
      <c r="G685" t="n">
        <v>4</v>
      </c>
      <c r="H685" t="n">
        <v>0</v>
      </c>
      <c r="I685" t="n">
        <v>0</v>
      </c>
      <c r="J685" t="n">
        <v>0</v>
      </c>
      <c r="K685" t="n">
        <v>0</v>
      </c>
      <c r="L685" t="n">
        <v>0</v>
      </c>
      <c r="M685" t="n">
        <v>0</v>
      </c>
      <c r="N685" t="n">
        <v>0</v>
      </c>
      <c r="O685" t="n">
        <v>0</v>
      </c>
      <c r="P685" t="n">
        <v>0</v>
      </c>
      <c r="Q685" t="n">
        <v>0</v>
      </c>
      <c r="R685" s="2" t="inlineStr"/>
    </row>
    <row r="686" ht="15" customHeight="1">
      <c r="A686" t="inlineStr">
        <is>
          <t>A 27844-2024</t>
        </is>
      </c>
      <c r="B686" s="1" t="n">
        <v>45475.63047453704</v>
      </c>
      <c r="C686" s="1" t="n">
        <v>46113</v>
      </c>
      <c r="D686" t="inlineStr">
        <is>
          <t>ÖSTERGÖTLANDS LÄN</t>
        </is>
      </c>
      <c r="E686" t="inlineStr">
        <is>
          <t>LINKÖPING</t>
        </is>
      </c>
      <c r="G686" t="n">
        <v>1.2</v>
      </c>
      <c r="H686" t="n">
        <v>0</v>
      </c>
      <c r="I686" t="n">
        <v>0</v>
      </c>
      <c r="J686" t="n">
        <v>0</v>
      </c>
      <c r="K686" t="n">
        <v>0</v>
      </c>
      <c r="L686" t="n">
        <v>0</v>
      </c>
      <c r="M686" t="n">
        <v>0</v>
      </c>
      <c r="N686" t="n">
        <v>0</v>
      </c>
      <c r="O686" t="n">
        <v>0</v>
      </c>
      <c r="P686" t="n">
        <v>0</v>
      </c>
      <c r="Q686" t="n">
        <v>0</v>
      </c>
      <c r="R686" s="2" t="inlineStr"/>
    </row>
    <row r="687" ht="15" customHeight="1">
      <c r="A687" t="inlineStr">
        <is>
          <t>A 10741-2023</t>
        </is>
      </c>
      <c r="B687" s="1" t="n">
        <v>44988.70084490741</v>
      </c>
      <c r="C687" s="1" t="n">
        <v>46113</v>
      </c>
      <c r="D687" t="inlineStr">
        <is>
          <t>ÖSTERGÖTLANDS LÄN</t>
        </is>
      </c>
      <c r="E687" t="inlineStr">
        <is>
          <t>LINKÖPING</t>
        </is>
      </c>
      <c r="F687" t="inlineStr">
        <is>
          <t>Allmännings- och besparingsskogar</t>
        </is>
      </c>
      <c r="G687" t="n">
        <v>11.2</v>
      </c>
      <c r="H687" t="n">
        <v>0</v>
      </c>
      <c r="I687" t="n">
        <v>0</v>
      </c>
      <c r="J687" t="n">
        <v>0</v>
      </c>
      <c r="K687" t="n">
        <v>0</v>
      </c>
      <c r="L687" t="n">
        <v>0</v>
      </c>
      <c r="M687" t="n">
        <v>0</v>
      </c>
      <c r="N687" t="n">
        <v>0</v>
      </c>
      <c r="O687" t="n">
        <v>0</v>
      </c>
      <c r="P687" t="n">
        <v>0</v>
      </c>
      <c r="Q687" t="n">
        <v>0</v>
      </c>
      <c r="R687" s="2" t="inlineStr"/>
    </row>
    <row r="688" ht="15" customHeight="1">
      <c r="A688" t="inlineStr">
        <is>
          <t>A 50963-2021</t>
        </is>
      </c>
      <c r="B688" s="1" t="n">
        <v>44460</v>
      </c>
      <c r="C688" s="1" t="n">
        <v>46113</v>
      </c>
      <c r="D688" t="inlineStr">
        <is>
          <t>ÖSTERGÖTLANDS LÄN</t>
        </is>
      </c>
      <c r="E688" t="inlineStr">
        <is>
          <t>LINKÖPING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45821-2024</t>
        </is>
      </c>
      <c r="B689" s="1" t="n">
        <v>45579.75803240741</v>
      </c>
      <c r="C689" s="1" t="n">
        <v>46113</v>
      </c>
      <c r="D689" t="inlineStr">
        <is>
          <t>ÖSTERGÖTLANDS LÄN</t>
        </is>
      </c>
      <c r="E689" t="inlineStr">
        <is>
          <t>LINKÖPING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61936-2023</t>
        </is>
      </c>
      <c r="B690" s="1" t="n">
        <v>45266.54534722222</v>
      </c>
      <c r="C690" s="1" t="n">
        <v>46113</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1263-2024</t>
        </is>
      </c>
      <c r="B691" s="1" t="n">
        <v>45302</v>
      </c>
      <c r="C691" s="1" t="n">
        <v>46113</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24464-2023</t>
        </is>
      </c>
      <c r="B692" s="1" t="n">
        <v>45082.58068287037</v>
      </c>
      <c r="C692" s="1" t="n">
        <v>46113</v>
      </c>
      <c r="D692" t="inlineStr">
        <is>
          <t>ÖSTERGÖTLANDS LÄN</t>
        </is>
      </c>
      <c r="E692" t="inlineStr">
        <is>
          <t>LINKÖPING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48389-2024</t>
        </is>
      </c>
      <c r="B693" s="1" t="n">
        <v>45590.59991898148</v>
      </c>
      <c r="C693" s="1" t="n">
        <v>46113</v>
      </c>
      <c r="D693" t="inlineStr">
        <is>
          <t>ÖSTERGÖTLANDS LÄN</t>
        </is>
      </c>
      <c r="E693" t="inlineStr">
        <is>
          <t>LINKÖPING</t>
        </is>
      </c>
      <c r="G693" t="n">
        <v>2.6</v>
      </c>
      <c r="H693" t="n">
        <v>0</v>
      </c>
      <c r="I693" t="n">
        <v>0</v>
      </c>
      <c r="J693" t="n">
        <v>0</v>
      </c>
      <c r="K693" t="n">
        <v>0</v>
      </c>
      <c r="L693" t="n">
        <v>0</v>
      </c>
      <c r="M693" t="n">
        <v>0</v>
      </c>
      <c r="N693" t="n">
        <v>0</v>
      </c>
      <c r="O693" t="n">
        <v>0</v>
      </c>
      <c r="P693" t="n">
        <v>0</v>
      </c>
      <c r="Q693" t="n">
        <v>0</v>
      </c>
      <c r="R693" s="2" t="inlineStr"/>
    </row>
    <row r="694" ht="15" customHeight="1">
      <c r="A694" t="inlineStr">
        <is>
          <t>A 61281-2021</t>
        </is>
      </c>
      <c r="B694" s="1" t="n">
        <v>44498.60736111111</v>
      </c>
      <c r="C694" s="1" t="n">
        <v>46113</v>
      </c>
      <c r="D694" t="inlineStr">
        <is>
          <t>ÖSTERGÖTLANDS LÄN</t>
        </is>
      </c>
      <c r="E694" t="inlineStr">
        <is>
          <t>LINKÖPING</t>
        </is>
      </c>
      <c r="G694" t="n">
        <v>4.5</v>
      </c>
      <c r="H694" t="n">
        <v>0</v>
      </c>
      <c r="I694" t="n">
        <v>0</v>
      </c>
      <c r="J694" t="n">
        <v>0</v>
      </c>
      <c r="K694" t="n">
        <v>0</v>
      </c>
      <c r="L694" t="n">
        <v>0</v>
      </c>
      <c r="M694" t="n">
        <v>0</v>
      </c>
      <c r="N694" t="n">
        <v>0</v>
      </c>
      <c r="O694" t="n">
        <v>0</v>
      </c>
      <c r="P694" t="n">
        <v>0</v>
      </c>
      <c r="Q694" t="n">
        <v>0</v>
      </c>
      <c r="R694" s="2" t="inlineStr"/>
    </row>
    <row r="695" ht="15" customHeight="1">
      <c r="A695" t="inlineStr">
        <is>
          <t>A 15850-2026</t>
        </is>
      </c>
      <c r="B695" s="1" t="n">
        <v>46107.57224537037</v>
      </c>
      <c r="C695" s="1" t="n">
        <v>46113</v>
      </c>
      <c r="D695" t="inlineStr">
        <is>
          <t>ÖSTERGÖTLANDS LÄN</t>
        </is>
      </c>
      <c r="E695" t="inlineStr">
        <is>
          <t>LINKÖPING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6369-2023</t>
        </is>
      </c>
      <c r="B696" s="1" t="n">
        <v>44965.61106481482</v>
      </c>
      <c r="C696" s="1" t="n">
        <v>46113</v>
      </c>
      <c r="D696" t="inlineStr">
        <is>
          <t>ÖSTERGÖTLANDS LÄN</t>
        </is>
      </c>
      <c r="E696" t="inlineStr">
        <is>
          <t>LINKÖPING</t>
        </is>
      </c>
      <c r="G696" t="n">
        <v>4</v>
      </c>
      <c r="H696" t="n">
        <v>0</v>
      </c>
      <c r="I696" t="n">
        <v>0</v>
      </c>
      <c r="J696" t="n">
        <v>0</v>
      </c>
      <c r="K696" t="n">
        <v>0</v>
      </c>
      <c r="L696" t="n">
        <v>0</v>
      </c>
      <c r="M696" t="n">
        <v>0</v>
      </c>
      <c r="N696" t="n">
        <v>0</v>
      </c>
      <c r="O696" t="n">
        <v>0</v>
      </c>
      <c r="P696" t="n">
        <v>0</v>
      </c>
      <c r="Q696" t="n">
        <v>0</v>
      </c>
      <c r="R696" s="2" t="inlineStr"/>
    </row>
    <row r="697" ht="15" customHeight="1">
      <c r="A697" t="inlineStr">
        <is>
          <t>A 10094-2024</t>
        </is>
      </c>
      <c r="B697" s="1" t="n">
        <v>45364</v>
      </c>
      <c r="C697" s="1" t="n">
        <v>46113</v>
      </c>
      <c r="D697" t="inlineStr">
        <is>
          <t>ÖSTERGÖTLANDS LÄN</t>
        </is>
      </c>
      <c r="E697" t="inlineStr">
        <is>
          <t>LINKÖPING</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1207-2023</t>
        </is>
      </c>
      <c r="B698" s="1" t="n">
        <v>44930</v>
      </c>
      <c r="C698" s="1" t="n">
        <v>46113</v>
      </c>
      <c r="D698" t="inlineStr">
        <is>
          <t>ÖSTERGÖTLANDS LÄN</t>
        </is>
      </c>
      <c r="E698" t="inlineStr">
        <is>
          <t>LINKÖPING</t>
        </is>
      </c>
      <c r="F698" t="inlineStr">
        <is>
          <t>Övriga statliga verk och myndigheter</t>
        </is>
      </c>
      <c r="G698" t="n">
        <v>32.8</v>
      </c>
      <c r="H698" t="n">
        <v>0</v>
      </c>
      <c r="I698" t="n">
        <v>0</v>
      </c>
      <c r="J698" t="n">
        <v>0</v>
      </c>
      <c r="K698" t="n">
        <v>0</v>
      </c>
      <c r="L698" t="n">
        <v>0</v>
      </c>
      <c r="M698" t="n">
        <v>0</v>
      </c>
      <c r="N698" t="n">
        <v>0</v>
      </c>
      <c r="O698" t="n">
        <v>0</v>
      </c>
      <c r="P698" t="n">
        <v>0</v>
      </c>
      <c r="Q698" t="n">
        <v>0</v>
      </c>
      <c r="R698" s="2" t="inlineStr"/>
    </row>
    <row r="699" ht="15" customHeight="1">
      <c r="A699" t="inlineStr">
        <is>
          <t>A 62015-2024</t>
        </is>
      </c>
      <c r="B699" s="1" t="n">
        <v>45655.80457175926</v>
      </c>
      <c r="C699" s="1" t="n">
        <v>46113</v>
      </c>
      <c r="D699" t="inlineStr">
        <is>
          <t>ÖSTERGÖTLANDS LÄN</t>
        </is>
      </c>
      <c r="E699" t="inlineStr">
        <is>
          <t>LINKÖPING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62020-2024</t>
        </is>
      </c>
      <c r="B700" s="1" t="n">
        <v>45655.83563657408</v>
      </c>
      <c r="C700" s="1" t="n">
        <v>46113</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62021-2024</t>
        </is>
      </c>
      <c r="B701" s="1" t="n">
        <v>45655.84232638889</v>
      </c>
      <c r="C701" s="1" t="n">
        <v>46113</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27891-2021</t>
        </is>
      </c>
      <c r="B702" s="1" t="n">
        <v>44354.65108796296</v>
      </c>
      <c r="C702" s="1" t="n">
        <v>46113</v>
      </c>
      <c r="D702" t="inlineStr">
        <is>
          <t>ÖSTERGÖTLANDS LÄN</t>
        </is>
      </c>
      <c r="E702" t="inlineStr">
        <is>
          <t>LINKÖPING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57391-2023</t>
        </is>
      </c>
      <c r="B703" s="1" t="n">
        <v>45245</v>
      </c>
      <c r="C703" s="1" t="n">
        <v>46113</v>
      </c>
      <c r="D703" t="inlineStr">
        <is>
          <t>ÖSTERGÖTLANDS LÄN</t>
        </is>
      </c>
      <c r="E703" t="inlineStr">
        <is>
          <t>LINKÖPING</t>
        </is>
      </c>
      <c r="F703" t="inlineStr">
        <is>
          <t>Övriga Aktiebolag</t>
        </is>
      </c>
      <c r="G703" t="n">
        <v>1.7</v>
      </c>
      <c r="H703" t="n">
        <v>0</v>
      </c>
      <c r="I703" t="n">
        <v>0</v>
      </c>
      <c r="J703" t="n">
        <v>0</v>
      </c>
      <c r="K703" t="n">
        <v>0</v>
      </c>
      <c r="L703" t="n">
        <v>0</v>
      </c>
      <c r="M703" t="n">
        <v>0</v>
      </c>
      <c r="N703" t="n">
        <v>0</v>
      </c>
      <c r="O703" t="n">
        <v>0</v>
      </c>
      <c r="P703" t="n">
        <v>0</v>
      </c>
      <c r="Q703" t="n">
        <v>0</v>
      </c>
      <c r="R703" s="2" t="inlineStr"/>
    </row>
    <row r="704" ht="15" customHeight="1">
      <c r="A704" t="inlineStr">
        <is>
          <t>A 20294-2025</t>
        </is>
      </c>
      <c r="B704" s="1" t="n">
        <v>45774.74667824074</v>
      </c>
      <c r="C704" s="1" t="n">
        <v>46113</v>
      </c>
      <c r="D704" t="inlineStr">
        <is>
          <t>ÖSTERGÖTLANDS LÄN</t>
        </is>
      </c>
      <c r="E704" t="inlineStr">
        <is>
          <t>LINKÖPING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60013-2022</t>
        </is>
      </c>
      <c r="B705" s="1" t="n">
        <v>44909.47482638889</v>
      </c>
      <c r="C705" s="1" t="n">
        <v>46113</v>
      </c>
      <c r="D705" t="inlineStr">
        <is>
          <t>ÖSTERGÖTLANDS LÄN</t>
        </is>
      </c>
      <c r="E705" t="inlineStr">
        <is>
          <t>LINKÖPING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3007-2025</t>
        </is>
      </c>
      <c r="B706" s="1" t="n">
        <v>45678.56328703704</v>
      </c>
      <c r="C706" s="1" t="n">
        <v>46113</v>
      </c>
      <c r="D706" t="inlineStr">
        <is>
          <t>ÖSTERGÖTLANDS LÄN</t>
        </is>
      </c>
      <c r="E706" t="inlineStr">
        <is>
          <t>LINKÖPING</t>
        </is>
      </c>
      <c r="G706" t="n">
        <v>3.1</v>
      </c>
      <c r="H706" t="n">
        <v>0</v>
      </c>
      <c r="I706" t="n">
        <v>0</v>
      </c>
      <c r="J706" t="n">
        <v>0</v>
      </c>
      <c r="K706" t="n">
        <v>0</v>
      </c>
      <c r="L706" t="n">
        <v>0</v>
      </c>
      <c r="M706" t="n">
        <v>0</v>
      </c>
      <c r="N706" t="n">
        <v>0</v>
      </c>
      <c r="O706" t="n">
        <v>0</v>
      </c>
      <c r="P706" t="n">
        <v>0</v>
      </c>
      <c r="Q706" t="n">
        <v>0</v>
      </c>
      <c r="R706" s="2" t="inlineStr"/>
    </row>
    <row r="707" ht="15" customHeight="1">
      <c r="A707" t="inlineStr">
        <is>
          <t>A 34877-2023</t>
        </is>
      </c>
      <c r="B707" s="1" t="n">
        <v>45140</v>
      </c>
      <c r="C707" s="1" t="n">
        <v>46113</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1924-2024</t>
        </is>
      </c>
      <c r="B708" s="1" t="n">
        <v>45308</v>
      </c>
      <c r="C708" s="1" t="n">
        <v>46113</v>
      </c>
      <c r="D708" t="inlineStr">
        <is>
          <t>ÖSTERGÖTLANDS LÄN</t>
        </is>
      </c>
      <c r="E708" t="inlineStr">
        <is>
          <t>LINKÖPING</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34558-2022</t>
        </is>
      </c>
      <c r="B709" s="1" t="n">
        <v>44794.57594907407</v>
      </c>
      <c r="C709" s="1" t="n">
        <v>46113</v>
      </c>
      <c r="D709" t="inlineStr">
        <is>
          <t>ÖSTERGÖTLANDS LÄN</t>
        </is>
      </c>
      <c r="E709" t="inlineStr">
        <is>
          <t>LINKÖPING</t>
        </is>
      </c>
      <c r="G709" t="n">
        <v>2.2</v>
      </c>
      <c r="H709" t="n">
        <v>0</v>
      </c>
      <c r="I709" t="n">
        <v>0</v>
      </c>
      <c r="J709" t="n">
        <v>0</v>
      </c>
      <c r="K709" t="n">
        <v>0</v>
      </c>
      <c r="L709" t="n">
        <v>0</v>
      </c>
      <c r="M709" t="n">
        <v>0</v>
      </c>
      <c r="N709" t="n">
        <v>0</v>
      </c>
      <c r="O709" t="n">
        <v>0</v>
      </c>
      <c r="P709" t="n">
        <v>0</v>
      </c>
      <c r="Q709" t="n">
        <v>0</v>
      </c>
      <c r="R709" s="2" t="inlineStr"/>
    </row>
    <row r="710" ht="15" customHeight="1">
      <c r="A710" t="inlineStr">
        <is>
          <t>A 168-2024</t>
        </is>
      </c>
      <c r="B710" s="1" t="n">
        <v>45294</v>
      </c>
      <c r="C710" s="1" t="n">
        <v>46113</v>
      </c>
      <c r="D710" t="inlineStr">
        <is>
          <t>ÖSTERGÖTLANDS LÄN</t>
        </is>
      </c>
      <c r="E710" t="inlineStr">
        <is>
          <t>LINKÖPING</t>
        </is>
      </c>
      <c r="F710" t="inlineStr">
        <is>
          <t>Allmännings- och besparingsskogar</t>
        </is>
      </c>
      <c r="G710" t="n">
        <v>8.9</v>
      </c>
      <c r="H710" t="n">
        <v>0</v>
      </c>
      <c r="I710" t="n">
        <v>0</v>
      </c>
      <c r="J710" t="n">
        <v>0</v>
      </c>
      <c r="K710" t="n">
        <v>0</v>
      </c>
      <c r="L710" t="n">
        <v>0</v>
      </c>
      <c r="M710" t="n">
        <v>0</v>
      </c>
      <c r="N710" t="n">
        <v>0</v>
      </c>
      <c r="O710" t="n">
        <v>0</v>
      </c>
      <c r="P710" t="n">
        <v>0</v>
      </c>
      <c r="Q710" t="n">
        <v>0</v>
      </c>
      <c r="R710" s="2" t="inlineStr"/>
    </row>
    <row r="711" ht="15" customHeight="1">
      <c r="A711" t="inlineStr">
        <is>
          <t>A 15658-2023</t>
        </is>
      </c>
      <c r="B711" s="1" t="n">
        <v>45021.41194444444</v>
      </c>
      <c r="C711" s="1" t="n">
        <v>46113</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30433-2024</t>
        </is>
      </c>
      <c r="B712" s="1" t="n">
        <v>45491.69741898148</v>
      </c>
      <c r="C712" s="1" t="n">
        <v>46113</v>
      </c>
      <c r="D712" t="inlineStr">
        <is>
          <t>ÖSTERGÖTLANDS LÄN</t>
        </is>
      </c>
      <c r="E712" t="inlineStr">
        <is>
          <t>LINKÖPING</t>
        </is>
      </c>
      <c r="G712" t="n">
        <v>1.7</v>
      </c>
      <c r="H712" t="n">
        <v>0</v>
      </c>
      <c r="I712" t="n">
        <v>0</v>
      </c>
      <c r="J712" t="n">
        <v>0</v>
      </c>
      <c r="K712" t="n">
        <v>0</v>
      </c>
      <c r="L712" t="n">
        <v>0</v>
      </c>
      <c r="M712" t="n">
        <v>0</v>
      </c>
      <c r="N712" t="n">
        <v>0</v>
      </c>
      <c r="O712" t="n">
        <v>0</v>
      </c>
      <c r="P712" t="n">
        <v>0</v>
      </c>
      <c r="Q712" t="n">
        <v>0</v>
      </c>
      <c r="R712" s="2" t="inlineStr"/>
    </row>
    <row r="713" ht="15" customHeight="1">
      <c r="A713" t="inlineStr">
        <is>
          <t>A 52220-2023</t>
        </is>
      </c>
      <c r="B713" s="1" t="n">
        <v>45217</v>
      </c>
      <c r="C713" s="1" t="n">
        <v>46113</v>
      </c>
      <c r="D713" t="inlineStr">
        <is>
          <t>ÖSTERGÖTLANDS LÄN</t>
        </is>
      </c>
      <c r="E713" t="inlineStr">
        <is>
          <t>LINKÖPING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52225-2023</t>
        </is>
      </c>
      <c r="B714" s="1" t="n">
        <v>45217</v>
      </c>
      <c r="C714" s="1" t="n">
        <v>46113</v>
      </c>
      <c r="D714" t="inlineStr">
        <is>
          <t>ÖSTERGÖTLANDS LÄN</t>
        </is>
      </c>
      <c r="E714" t="inlineStr">
        <is>
          <t>LINKÖPING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19464-2024</t>
        </is>
      </c>
      <c r="B715" s="1" t="n">
        <v>45429</v>
      </c>
      <c r="C715" s="1" t="n">
        <v>46113</v>
      </c>
      <c r="D715" t="inlineStr">
        <is>
          <t>ÖSTERGÖTLANDS LÄN</t>
        </is>
      </c>
      <c r="E715" t="inlineStr">
        <is>
          <t>LINKÖPING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42044-2023</t>
        </is>
      </c>
      <c r="B716" s="1" t="n">
        <v>45177</v>
      </c>
      <c r="C716" s="1" t="n">
        <v>46113</v>
      </c>
      <c r="D716" t="inlineStr">
        <is>
          <t>ÖSTERGÖTLANDS LÄN</t>
        </is>
      </c>
      <c r="E716" t="inlineStr">
        <is>
          <t>LINKÖPING</t>
        </is>
      </c>
      <c r="G716" t="n">
        <v>3.9</v>
      </c>
      <c r="H716" t="n">
        <v>0</v>
      </c>
      <c r="I716" t="n">
        <v>0</v>
      </c>
      <c r="J716" t="n">
        <v>0</v>
      </c>
      <c r="K716" t="n">
        <v>0</v>
      </c>
      <c r="L716" t="n">
        <v>0</v>
      </c>
      <c r="M716" t="n">
        <v>0</v>
      </c>
      <c r="N716" t="n">
        <v>0</v>
      </c>
      <c r="O716" t="n">
        <v>0</v>
      </c>
      <c r="P716" t="n">
        <v>0</v>
      </c>
      <c r="Q716" t="n">
        <v>0</v>
      </c>
      <c r="R716" s="2" t="inlineStr"/>
    </row>
    <row r="717" ht="15" customHeight="1">
      <c r="A717" t="inlineStr">
        <is>
          <t>A 630-2024</t>
        </is>
      </c>
      <c r="B717" s="1" t="n">
        <v>45299.67736111111</v>
      </c>
      <c r="C717" s="1" t="n">
        <v>46113</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21782-2024</t>
        </is>
      </c>
      <c r="B718" s="1" t="n">
        <v>45442.63368055555</v>
      </c>
      <c r="C718" s="1" t="n">
        <v>46113</v>
      </c>
      <c r="D718" t="inlineStr">
        <is>
          <t>ÖSTERGÖTLANDS LÄN</t>
        </is>
      </c>
      <c r="E718" t="inlineStr">
        <is>
          <t>LINKÖPING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57766-2023</t>
        </is>
      </c>
      <c r="B719" s="1" t="n">
        <v>45246</v>
      </c>
      <c r="C719" s="1" t="n">
        <v>46113</v>
      </c>
      <c r="D719" t="inlineStr">
        <is>
          <t>ÖSTERGÖTLANDS LÄN</t>
        </is>
      </c>
      <c r="E719" t="inlineStr">
        <is>
          <t>LINKÖPING</t>
        </is>
      </c>
      <c r="F719" t="inlineStr">
        <is>
          <t>Allmännings- och besparingsskogar</t>
        </is>
      </c>
      <c r="G719" t="n">
        <v>12.8</v>
      </c>
      <c r="H719" t="n">
        <v>0</v>
      </c>
      <c r="I719" t="n">
        <v>0</v>
      </c>
      <c r="J719" t="n">
        <v>0</v>
      </c>
      <c r="K719" t="n">
        <v>0</v>
      </c>
      <c r="L719" t="n">
        <v>0</v>
      </c>
      <c r="M719" t="n">
        <v>0</v>
      </c>
      <c r="N719" t="n">
        <v>0</v>
      </c>
      <c r="O719" t="n">
        <v>0</v>
      </c>
      <c r="P719" t="n">
        <v>0</v>
      </c>
      <c r="Q719" t="n">
        <v>0</v>
      </c>
      <c r="R719" s="2" t="inlineStr"/>
    </row>
    <row r="720" ht="15" customHeight="1">
      <c r="A720" t="inlineStr">
        <is>
          <t>A 27186-2021</t>
        </is>
      </c>
      <c r="B720" s="1" t="n">
        <v>44350.67715277777</v>
      </c>
      <c r="C720" s="1" t="n">
        <v>46113</v>
      </c>
      <c r="D720" t="inlineStr">
        <is>
          <t>ÖSTERGÖTLANDS LÄN</t>
        </is>
      </c>
      <c r="E720" t="inlineStr">
        <is>
          <t>LINKÖPING</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10194-2023</t>
        </is>
      </c>
      <c r="B721" s="1" t="n">
        <v>44986.52277777778</v>
      </c>
      <c r="C721" s="1" t="n">
        <v>46113</v>
      </c>
      <c r="D721" t="inlineStr">
        <is>
          <t>ÖSTERGÖTLANDS LÄN</t>
        </is>
      </c>
      <c r="E721" t="inlineStr">
        <is>
          <t>LINKÖPING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55944-2024</t>
        </is>
      </c>
      <c r="B722" s="1" t="n">
        <v>45623.61640046296</v>
      </c>
      <c r="C722" s="1" t="n">
        <v>46113</v>
      </c>
      <c r="D722" t="inlineStr">
        <is>
          <t>ÖSTERGÖTLANDS LÄN</t>
        </is>
      </c>
      <c r="E722" t="inlineStr">
        <is>
          <t>LINKÖPING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55947-2024</t>
        </is>
      </c>
      <c r="B723" s="1" t="n">
        <v>45623</v>
      </c>
      <c r="C723" s="1" t="n">
        <v>46113</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47703-2023</t>
        </is>
      </c>
      <c r="B724" s="1" t="n">
        <v>45203</v>
      </c>
      <c r="C724" s="1" t="n">
        <v>46113</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51559-2024</t>
        </is>
      </c>
      <c r="B725" s="1" t="n">
        <v>45604.61431712963</v>
      </c>
      <c r="C725" s="1" t="n">
        <v>46113</v>
      </c>
      <c r="D725" t="inlineStr">
        <is>
          <t>ÖSTERGÖTLANDS LÄN</t>
        </is>
      </c>
      <c r="E725" t="inlineStr">
        <is>
          <t>LINKÖPING</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62353-2022</t>
        </is>
      </c>
      <c r="B726" s="1" t="n">
        <v>44923</v>
      </c>
      <c r="C726" s="1" t="n">
        <v>46113</v>
      </c>
      <c r="D726" t="inlineStr">
        <is>
          <t>ÖSTERGÖTLANDS LÄN</t>
        </is>
      </c>
      <c r="E726" t="inlineStr">
        <is>
          <t>LINKÖPING</t>
        </is>
      </c>
      <c r="F726" t="inlineStr">
        <is>
          <t>Allmännings- och besparingsskogar</t>
        </is>
      </c>
      <c r="G726" t="n">
        <v>1.7</v>
      </c>
      <c r="H726" t="n">
        <v>0</v>
      </c>
      <c r="I726" t="n">
        <v>0</v>
      </c>
      <c r="J726" t="n">
        <v>0</v>
      </c>
      <c r="K726" t="n">
        <v>0</v>
      </c>
      <c r="L726" t="n">
        <v>0</v>
      </c>
      <c r="M726" t="n">
        <v>0</v>
      </c>
      <c r="N726" t="n">
        <v>0</v>
      </c>
      <c r="O726" t="n">
        <v>0</v>
      </c>
      <c r="P726" t="n">
        <v>0</v>
      </c>
      <c r="Q726" t="n">
        <v>0</v>
      </c>
      <c r="R726" s="2" t="inlineStr"/>
    </row>
    <row r="727" ht="15" customHeight="1">
      <c r="A727" t="inlineStr">
        <is>
          <t>A 15754-2025</t>
        </is>
      </c>
      <c r="B727" s="1" t="n">
        <v>45748.56105324074</v>
      </c>
      <c r="C727" s="1" t="n">
        <v>46113</v>
      </c>
      <c r="D727" t="inlineStr">
        <is>
          <t>ÖSTERGÖTLANDS LÄN</t>
        </is>
      </c>
      <c r="E727" t="inlineStr">
        <is>
          <t>LINKÖPING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4298-2023</t>
        </is>
      </c>
      <c r="B728" s="1" t="n">
        <v>44953</v>
      </c>
      <c r="C728" s="1" t="n">
        <v>46113</v>
      </c>
      <c r="D728" t="inlineStr">
        <is>
          <t>ÖSTERGÖTLANDS LÄN</t>
        </is>
      </c>
      <c r="E728" t="inlineStr">
        <is>
          <t>LINKÖPING</t>
        </is>
      </c>
      <c r="G728" t="n">
        <v>2.8</v>
      </c>
      <c r="H728" t="n">
        <v>0</v>
      </c>
      <c r="I728" t="n">
        <v>0</v>
      </c>
      <c r="J728" t="n">
        <v>0</v>
      </c>
      <c r="K728" t="n">
        <v>0</v>
      </c>
      <c r="L728" t="n">
        <v>0</v>
      </c>
      <c r="M728" t="n">
        <v>0</v>
      </c>
      <c r="N728" t="n">
        <v>0</v>
      </c>
      <c r="O728" t="n">
        <v>0</v>
      </c>
      <c r="P728" t="n">
        <v>0</v>
      </c>
      <c r="Q728" t="n">
        <v>0</v>
      </c>
      <c r="R728" s="2" t="inlineStr"/>
    </row>
    <row r="729" ht="15" customHeight="1">
      <c r="A729" t="inlineStr">
        <is>
          <t>A 18145-2021</t>
        </is>
      </c>
      <c r="B729" s="1" t="n">
        <v>44302</v>
      </c>
      <c r="C729" s="1" t="n">
        <v>46113</v>
      </c>
      <c r="D729" t="inlineStr">
        <is>
          <t>ÖSTERGÖTLANDS LÄN</t>
        </is>
      </c>
      <c r="E729" t="inlineStr">
        <is>
          <t>LINKÖPING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25568-2024</t>
        </is>
      </c>
      <c r="B730" s="1" t="n">
        <v>45463.58699074074</v>
      </c>
      <c r="C730" s="1" t="n">
        <v>46113</v>
      </c>
      <c r="D730" t="inlineStr">
        <is>
          <t>ÖSTERGÖTLANDS LÄN</t>
        </is>
      </c>
      <c r="E730" t="inlineStr">
        <is>
          <t>LINKÖPING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38136-2023</t>
        </is>
      </c>
      <c r="B731" s="1" t="n">
        <v>45161.37310185185</v>
      </c>
      <c r="C731" s="1" t="n">
        <v>46113</v>
      </c>
      <c r="D731" t="inlineStr">
        <is>
          <t>ÖSTERGÖTLANDS LÄN</t>
        </is>
      </c>
      <c r="E731" t="inlineStr">
        <is>
          <t>LINKÖPING</t>
        </is>
      </c>
      <c r="G731" t="n">
        <v>5.6</v>
      </c>
      <c r="H731" t="n">
        <v>0</v>
      </c>
      <c r="I731" t="n">
        <v>0</v>
      </c>
      <c r="J731" t="n">
        <v>0</v>
      </c>
      <c r="K731" t="n">
        <v>0</v>
      </c>
      <c r="L731" t="n">
        <v>0</v>
      </c>
      <c r="M731" t="n">
        <v>0</v>
      </c>
      <c r="N731" t="n">
        <v>0</v>
      </c>
      <c r="O731" t="n">
        <v>0</v>
      </c>
      <c r="P731" t="n">
        <v>0</v>
      </c>
      <c r="Q731" t="n">
        <v>0</v>
      </c>
      <c r="R731" s="2" t="inlineStr"/>
    </row>
    <row r="732" ht="15" customHeight="1">
      <c r="A732" t="inlineStr">
        <is>
          <t>A 12317-2025</t>
        </is>
      </c>
      <c r="B732" s="1" t="n">
        <v>45729.8487037037</v>
      </c>
      <c r="C732" s="1" t="n">
        <v>46113</v>
      </c>
      <c r="D732" t="inlineStr">
        <is>
          <t>ÖSTERGÖTLANDS LÄN</t>
        </is>
      </c>
      <c r="E732" t="inlineStr">
        <is>
          <t>LINKÖPING</t>
        </is>
      </c>
      <c r="G732" t="n">
        <v>8</v>
      </c>
      <c r="H732" t="n">
        <v>0</v>
      </c>
      <c r="I732" t="n">
        <v>0</v>
      </c>
      <c r="J732" t="n">
        <v>0</v>
      </c>
      <c r="K732" t="n">
        <v>0</v>
      </c>
      <c r="L732" t="n">
        <v>0</v>
      </c>
      <c r="M732" t="n">
        <v>0</v>
      </c>
      <c r="N732" t="n">
        <v>0</v>
      </c>
      <c r="O732" t="n">
        <v>0</v>
      </c>
      <c r="P732" t="n">
        <v>0</v>
      </c>
      <c r="Q732" t="n">
        <v>0</v>
      </c>
      <c r="R732" s="2" t="inlineStr"/>
    </row>
    <row r="733" ht="15" customHeight="1">
      <c r="A733" t="inlineStr">
        <is>
          <t>A 14528-2025</t>
        </is>
      </c>
      <c r="B733" s="1" t="n">
        <v>45741</v>
      </c>
      <c r="C733" s="1" t="n">
        <v>46113</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61649-2023</t>
        </is>
      </c>
      <c r="B734" s="1" t="n">
        <v>45265</v>
      </c>
      <c r="C734" s="1" t="n">
        <v>46113</v>
      </c>
      <c r="D734" t="inlineStr">
        <is>
          <t>ÖSTERGÖTLANDS LÄN</t>
        </is>
      </c>
      <c r="E734" t="inlineStr">
        <is>
          <t>LINKÖPING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60985-2023</t>
        </is>
      </c>
      <c r="B735" s="1" t="n">
        <v>45261.48429398148</v>
      </c>
      <c r="C735" s="1" t="n">
        <v>46113</v>
      </c>
      <c r="D735" t="inlineStr">
        <is>
          <t>ÖSTERGÖTLANDS LÄN</t>
        </is>
      </c>
      <c r="E735" t="inlineStr">
        <is>
          <t>LINKÖPING</t>
        </is>
      </c>
      <c r="G735" t="n">
        <v>0.5</v>
      </c>
      <c r="H735" t="n">
        <v>0</v>
      </c>
      <c r="I735" t="n">
        <v>0</v>
      </c>
      <c r="J735" t="n">
        <v>0</v>
      </c>
      <c r="K735" t="n">
        <v>0</v>
      </c>
      <c r="L735" t="n">
        <v>0</v>
      </c>
      <c r="M735" t="n">
        <v>0</v>
      </c>
      <c r="N735" t="n">
        <v>0</v>
      </c>
      <c r="O735" t="n">
        <v>0</v>
      </c>
      <c r="P735" t="n">
        <v>0</v>
      </c>
      <c r="Q735" t="n">
        <v>0</v>
      </c>
      <c r="R735" s="2" t="inlineStr"/>
    </row>
    <row r="736" ht="15" customHeight="1">
      <c r="A736" t="inlineStr">
        <is>
          <t>A 421-2024</t>
        </is>
      </c>
      <c r="B736" s="1" t="n">
        <v>45296.51877314815</v>
      </c>
      <c r="C736" s="1" t="n">
        <v>46113</v>
      </c>
      <c r="D736" t="inlineStr">
        <is>
          <t>ÖSTERGÖTLANDS LÄN</t>
        </is>
      </c>
      <c r="E736" t="inlineStr">
        <is>
          <t>LINKÖPING</t>
        </is>
      </c>
      <c r="G736" t="n">
        <v>3.7</v>
      </c>
      <c r="H736" t="n">
        <v>0</v>
      </c>
      <c r="I736" t="n">
        <v>0</v>
      </c>
      <c r="J736" t="n">
        <v>0</v>
      </c>
      <c r="K736" t="n">
        <v>0</v>
      </c>
      <c r="L736" t="n">
        <v>0</v>
      </c>
      <c r="M736" t="n">
        <v>0</v>
      </c>
      <c r="N736" t="n">
        <v>0</v>
      </c>
      <c r="O736" t="n">
        <v>0</v>
      </c>
      <c r="P736" t="n">
        <v>0</v>
      </c>
      <c r="Q736" t="n">
        <v>0</v>
      </c>
      <c r="R736" s="2" t="inlineStr"/>
    </row>
    <row r="737" ht="15" customHeight="1">
      <c r="A737" t="inlineStr">
        <is>
          <t>A 51405-2023</t>
        </is>
      </c>
      <c r="B737" s="1" t="n">
        <v>45219</v>
      </c>
      <c r="C737" s="1" t="n">
        <v>46113</v>
      </c>
      <c r="D737" t="inlineStr">
        <is>
          <t>ÖSTERGÖTLANDS LÄN</t>
        </is>
      </c>
      <c r="E737" t="inlineStr">
        <is>
          <t>LINKÖPING</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53639-2023</t>
        </is>
      </c>
      <c r="B738" s="1" t="n">
        <v>45230.59686342593</v>
      </c>
      <c r="C738" s="1" t="n">
        <v>46113</v>
      </c>
      <c r="D738" t="inlineStr">
        <is>
          <t>ÖSTERGÖTLANDS LÄN</t>
        </is>
      </c>
      <c r="E738" t="inlineStr">
        <is>
          <t>LINKÖPING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24467-2023</t>
        </is>
      </c>
      <c r="B739" s="1" t="n">
        <v>45082</v>
      </c>
      <c r="C739" s="1" t="n">
        <v>46113</v>
      </c>
      <c r="D739" t="inlineStr">
        <is>
          <t>ÖSTERGÖTLANDS LÄN</t>
        </is>
      </c>
      <c r="E739" t="inlineStr">
        <is>
          <t>LINKÖPING</t>
        </is>
      </c>
      <c r="G739" t="n">
        <v>2.4</v>
      </c>
      <c r="H739" t="n">
        <v>0</v>
      </c>
      <c r="I739" t="n">
        <v>0</v>
      </c>
      <c r="J739" t="n">
        <v>0</v>
      </c>
      <c r="K739" t="n">
        <v>0</v>
      </c>
      <c r="L739" t="n">
        <v>0</v>
      </c>
      <c r="M739" t="n">
        <v>0</v>
      </c>
      <c r="N739" t="n">
        <v>0</v>
      </c>
      <c r="O739" t="n">
        <v>0</v>
      </c>
      <c r="P739" t="n">
        <v>0</v>
      </c>
      <c r="Q739" t="n">
        <v>0</v>
      </c>
      <c r="R739" s="2" t="inlineStr"/>
    </row>
    <row r="740" ht="15" customHeight="1">
      <c r="A740" t="inlineStr">
        <is>
          <t>A 62488-2023</t>
        </is>
      </c>
      <c r="B740" s="1" t="n">
        <v>45268.5847337963</v>
      </c>
      <c r="C740" s="1" t="n">
        <v>46113</v>
      </c>
      <c r="D740" t="inlineStr">
        <is>
          <t>ÖSTERGÖTLANDS LÄN</t>
        </is>
      </c>
      <c r="E740" t="inlineStr">
        <is>
          <t>LINKÖPING</t>
        </is>
      </c>
      <c r="G740" t="n">
        <v>4.1</v>
      </c>
      <c r="H740" t="n">
        <v>0</v>
      </c>
      <c r="I740" t="n">
        <v>0</v>
      </c>
      <c r="J740" t="n">
        <v>0</v>
      </c>
      <c r="K740" t="n">
        <v>0</v>
      </c>
      <c r="L740" t="n">
        <v>0</v>
      </c>
      <c r="M740" t="n">
        <v>0</v>
      </c>
      <c r="N740" t="n">
        <v>0</v>
      </c>
      <c r="O740" t="n">
        <v>0</v>
      </c>
      <c r="P740" t="n">
        <v>0</v>
      </c>
      <c r="Q740" t="n">
        <v>0</v>
      </c>
      <c r="R740" s="2" t="inlineStr"/>
    </row>
    <row r="741" ht="15" customHeight="1">
      <c r="A741" t="inlineStr">
        <is>
          <t>A 62495-2023</t>
        </is>
      </c>
      <c r="B741" s="1" t="n">
        <v>45268.59717592593</v>
      </c>
      <c r="C741" s="1" t="n">
        <v>46113</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10198-2023</t>
        </is>
      </c>
      <c r="B742" s="1" t="n">
        <v>44986.54665509259</v>
      </c>
      <c r="C742" s="1" t="n">
        <v>46113</v>
      </c>
      <c r="D742" t="inlineStr">
        <is>
          <t>ÖSTERGÖTLANDS LÄN</t>
        </is>
      </c>
      <c r="E742" t="inlineStr">
        <is>
          <t>LINKÖPING</t>
        </is>
      </c>
      <c r="G742" t="n">
        <v>4.6</v>
      </c>
      <c r="H742" t="n">
        <v>0</v>
      </c>
      <c r="I742" t="n">
        <v>0</v>
      </c>
      <c r="J742" t="n">
        <v>0</v>
      </c>
      <c r="K742" t="n">
        <v>0</v>
      </c>
      <c r="L742" t="n">
        <v>0</v>
      </c>
      <c r="M742" t="n">
        <v>0</v>
      </c>
      <c r="N742" t="n">
        <v>0</v>
      </c>
      <c r="O742" t="n">
        <v>0</v>
      </c>
      <c r="P742" t="n">
        <v>0</v>
      </c>
      <c r="Q742" t="n">
        <v>0</v>
      </c>
      <c r="R742" s="2" t="inlineStr"/>
    </row>
    <row r="743" ht="15" customHeight="1">
      <c r="A743" t="inlineStr">
        <is>
          <t>A 22771-2024</t>
        </is>
      </c>
      <c r="B743" s="1" t="n">
        <v>45448.46574074074</v>
      </c>
      <c r="C743" s="1" t="n">
        <v>46113</v>
      </c>
      <c r="D743" t="inlineStr">
        <is>
          <t>ÖSTERGÖTLANDS LÄN</t>
        </is>
      </c>
      <c r="E743" t="inlineStr">
        <is>
          <t>LINKÖPING</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17128-2025</t>
        </is>
      </c>
      <c r="B744" s="1" t="n">
        <v>45755.72622685185</v>
      </c>
      <c r="C744" s="1" t="n">
        <v>46113</v>
      </c>
      <c r="D744" t="inlineStr">
        <is>
          <t>ÖSTERGÖTLANDS LÄN</t>
        </is>
      </c>
      <c r="E744" t="inlineStr">
        <is>
          <t>LINKÖPING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62018-2024</t>
        </is>
      </c>
      <c r="B745" s="1" t="n">
        <v>45655.81387731482</v>
      </c>
      <c r="C745" s="1" t="n">
        <v>46113</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62073-2023</t>
        </is>
      </c>
      <c r="B746" s="1" t="n">
        <v>45266.73844907407</v>
      </c>
      <c r="C746" s="1" t="n">
        <v>46113</v>
      </c>
      <c r="D746" t="inlineStr">
        <is>
          <t>ÖSTERGÖTLANDS LÄN</t>
        </is>
      </c>
      <c r="E746" t="inlineStr">
        <is>
          <t>LINKÖPING</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672-2024</t>
        </is>
      </c>
      <c r="B747" s="1" t="n">
        <v>45300</v>
      </c>
      <c r="C747" s="1" t="n">
        <v>46113</v>
      </c>
      <c r="D747" t="inlineStr">
        <is>
          <t>ÖSTERGÖTLANDS LÄN</t>
        </is>
      </c>
      <c r="E747" t="inlineStr">
        <is>
          <t>LINKÖPING</t>
        </is>
      </c>
      <c r="F747" t="inlineStr">
        <is>
          <t>Sveaskog</t>
        </is>
      </c>
      <c r="G747" t="n">
        <v>4.5</v>
      </c>
      <c r="H747" t="n">
        <v>0</v>
      </c>
      <c r="I747" t="n">
        <v>0</v>
      </c>
      <c r="J747" t="n">
        <v>0</v>
      </c>
      <c r="K747" t="n">
        <v>0</v>
      </c>
      <c r="L747" t="n">
        <v>0</v>
      </c>
      <c r="M747" t="n">
        <v>0</v>
      </c>
      <c r="N747" t="n">
        <v>0</v>
      </c>
      <c r="O747" t="n">
        <v>0</v>
      </c>
      <c r="P747" t="n">
        <v>0</v>
      </c>
      <c r="Q747" t="n">
        <v>0</v>
      </c>
      <c r="R747" s="2" t="inlineStr"/>
    </row>
    <row r="748" ht="15" customHeight="1">
      <c r="A748" t="inlineStr">
        <is>
          <t>A 42832-2023</t>
        </is>
      </c>
      <c r="B748" s="1" t="n">
        <v>45182.38091435185</v>
      </c>
      <c r="C748" s="1" t="n">
        <v>46113</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5872-2025</t>
        </is>
      </c>
      <c r="B749" s="1" t="n">
        <v>45695.36659722222</v>
      </c>
      <c r="C749" s="1" t="n">
        <v>46113</v>
      </c>
      <c r="D749" t="inlineStr">
        <is>
          <t>ÖSTERGÖTLANDS LÄN</t>
        </is>
      </c>
      <c r="E749" t="inlineStr">
        <is>
          <t>LINKÖPING</t>
        </is>
      </c>
      <c r="G749" t="n">
        <v>0.5</v>
      </c>
      <c r="H749" t="n">
        <v>0</v>
      </c>
      <c r="I749" t="n">
        <v>0</v>
      </c>
      <c r="J749" t="n">
        <v>0</v>
      </c>
      <c r="K749" t="n">
        <v>0</v>
      </c>
      <c r="L749" t="n">
        <v>0</v>
      </c>
      <c r="M749" t="n">
        <v>0</v>
      </c>
      <c r="N749" t="n">
        <v>0</v>
      </c>
      <c r="O749" t="n">
        <v>0</v>
      </c>
      <c r="P749" t="n">
        <v>0</v>
      </c>
      <c r="Q749" t="n">
        <v>0</v>
      </c>
      <c r="R749" s="2" t="inlineStr"/>
    </row>
    <row r="750" ht="15" customHeight="1">
      <c r="A750" t="inlineStr">
        <is>
          <t>A 59674-2024</t>
        </is>
      </c>
      <c r="B750" s="1" t="n">
        <v>45639</v>
      </c>
      <c r="C750" s="1" t="n">
        <v>46113</v>
      </c>
      <c r="D750" t="inlineStr">
        <is>
          <t>ÖSTERGÖTLANDS LÄN</t>
        </is>
      </c>
      <c r="E750" t="inlineStr">
        <is>
          <t>LINKÖPING</t>
        </is>
      </c>
      <c r="G750" t="n">
        <v>6.3</v>
      </c>
      <c r="H750" t="n">
        <v>0</v>
      </c>
      <c r="I750" t="n">
        <v>0</v>
      </c>
      <c r="J750" t="n">
        <v>0</v>
      </c>
      <c r="K750" t="n">
        <v>0</v>
      </c>
      <c r="L750" t="n">
        <v>0</v>
      </c>
      <c r="M750" t="n">
        <v>0</v>
      </c>
      <c r="N750" t="n">
        <v>0</v>
      </c>
      <c r="O750" t="n">
        <v>0</v>
      </c>
      <c r="P750" t="n">
        <v>0</v>
      </c>
      <c r="Q750" t="n">
        <v>0</v>
      </c>
      <c r="R750" s="2" t="inlineStr"/>
    </row>
    <row r="751" ht="15" customHeight="1">
      <c r="A751" t="inlineStr">
        <is>
          <t>A 59576-2024</t>
        </is>
      </c>
      <c r="B751" s="1" t="n">
        <v>45638.66378472222</v>
      </c>
      <c r="C751" s="1" t="n">
        <v>46113</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51583-2024</t>
        </is>
      </c>
      <c r="B752" s="1" t="n">
        <v>45604.6397337963</v>
      </c>
      <c r="C752" s="1" t="n">
        <v>46113</v>
      </c>
      <c r="D752" t="inlineStr">
        <is>
          <t>ÖSTERGÖTLANDS LÄN</t>
        </is>
      </c>
      <c r="E752" t="inlineStr">
        <is>
          <t>LINKÖPING</t>
        </is>
      </c>
      <c r="F752" t="inlineStr">
        <is>
          <t>Övriga Aktiebolag</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62019-2024</t>
        </is>
      </c>
      <c r="B753" s="1" t="n">
        <v>45655.82</v>
      </c>
      <c r="C753" s="1" t="n">
        <v>46113</v>
      </c>
      <c r="D753" t="inlineStr">
        <is>
          <t>ÖSTERGÖTLANDS LÄN</t>
        </is>
      </c>
      <c r="E753" t="inlineStr">
        <is>
          <t>LINKÖPING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38317-2024</t>
        </is>
      </c>
      <c r="B754" s="1" t="n">
        <v>45545.65766203704</v>
      </c>
      <c r="C754" s="1" t="n">
        <v>46113</v>
      </c>
      <c r="D754" t="inlineStr">
        <is>
          <t>ÖSTERGÖTLANDS LÄN</t>
        </is>
      </c>
      <c r="E754" t="inlineStr">
        <is>
          <t>LINKÖPING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50182-2023</t>
        </is>
      </c>
      <c r="B755" s="1" t="n">
        <v>45208</v>
      </c>
      <c r="C755" s="1" t="n">
        <v>46113</v>
      </c>
      <c r="D755" t="inlineStr">
        <is>
          <t>ÖSTERGÖTLANDS LÄN</t>
        </is>
      </c>
      <c r="E755" t="inlineStr">
        <is>
          <t>LINKÖPING</t>
        </is>
      </c>
      <c r="G755" t="n">
        <v>2.5</v>
      </c>
      <c r="H755" t="n">
        <v>0</v>
      </c>
      <c r="I755" t="n">
        <v>0</v>
      </c>
      <c r="J755" t="n">
        <v>0</v>
      </c>
      <c r="K755" t="n">
        <v>0</v>
      </c>
      <c r="L755" t="n">
        <v>0</v>
      </c>
      <c r="M755" t="n">
        <v>0</v>
      </c>
      <c r="N755" t="n">
        <v>0</v>
      </c>
      <c r="O755" t="n">
        <v>0</v>
      </c>
      <c r="P755" t="n">
        <v>0</v>
      </c>
      <c r="Q755" t="n">
        <v>0</v>
      </c>
      <c r="R755" s="2" t="inlineStr"/>
    </row>
    <row r="756" ht="15" customHeight="1">
      <c r="A756" t="inlineStr">
        <is>
          <t>A 1844-2025</t>
        </is>
      </c>
      <c r="B756" s="1" t="n">
        <v>45671.57730324074</v>
      </c>
      <c r="C756" s="1" t="n">
        <v>46113</v>
      </c>
      <c r="D756" t="inlineStr">
        <is>
          <t>ÖSTERGÖTLANDS LÄN</t>
        </is>
      </c>
      <c r="E756" t="inlineStr">
        <is>
          <t>LINKÖPING</t>
        </is>
      </c>
      <c r="G756" t="n">
        <v>2</v>
      </c>
      <c r="H756" t="n">
        <v>0</v>
      </c>
      <c r="I756" t="n">
        <v>0</v>
      </c>
      <c r="J756" t="n">
        <v>0</v>
      </c>
      <c r="K756" t="n">
        <v>0</v>
      </c>
      <c r="L756" t="n">
        <v>0</v>
      </c>
      <c r="M756" t="n">
        <v>0</v>
      </c>
      <c r="N756" t="n">
        <v>0</v>
      </c>
      <c r="O756" t="n">
        <v>0</v>
      </c>
      <c r="P756" t="n">
        <v>0</v>
      </c>
      <c r="Q756" t="n">
        <v>0</v>
      </c>
      <c r="R756" s="2" t="inlineStr"/>
    </row>
    <row r="757" ht="15" customHeight="1">
      <c r="A757" t="inlineStr">
        <is>
          <t>A 21155-2025</t>
        </is>
      </c>
      <c r="B757" s="1" t="n">
        <v>45779.37586805555</v>
      </c>
      <c r="C757" s="1" t="n">
        <v>46113</v>
      </c>
      <c r="D757" t="inlineStr">
        <is>
          <t>ÖSTERGÖTLANDS LÄN</t>
        </is>
      </c>
      <c r="E757" t="inlineStr">
        <is>
          <t>LINKÖPING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21165-2025</t>
        </is>
      </c>
      <c r="B758" s="1" t="n">
        <v>45779.39417824074</v>
      </c>
      <c r="C758" s="1" t="n">
        <v>46113</v>
      </c>
      <c r="D758" t="inlineStr">
        <is>
          <t>ÖSTERGÖTLANDS LÄN</t>
        </is>
      </c>
      <c r="E758" t="inlineStr">
        <is>
          <t>LINKÖPING</t>
        </is>
      </c>
      <c r="G758" t="n">
        <v>1.2</v>
      </c>
      <c r="H758" t="n">
        <v>0</v>
      </c>
      <c r="I758" t="n">
        <v>0</v>
      </c>
      <c r="J758" t="n">
        <v>0</v>
      </c>
      <c r="K758" t="n">
        <v>0</v>
      </c>
      <c r="L758" t="n">
        <v>0</v>
      </c>
      <c r="M758" t="n">
        <v>0</v>
      </c>
      <c r="N758" t="n">
        <v>0</v>
      </c>
      <c r="O758" t="n">
        <v>0</v>
      </c>
      <c r="P758" t="n">
        <v>0</v>
      </c>
      <c r="Q758" t="n">
        <v>0</v>
      </c>
      <c r="R758" s="2" t="inlineStr"/>
    </row>
    <row r="759">
      <c r="A759" t="inlineStr">
        <is>
          <t>A 57752-2023</t>
        </is>
      </c>
      <c r="B759" s="1" t="n">
        <v>45246.78474537037</v>
      </c>
      <c r="C759" s="1" t="n">
        <v>46113</v>
      </c>
      <c r="D759" t="inlineStr">
        <is>
          <t>ÖSTERGÖTLANDS LÄN</t>
        </is>
      </c>
      <c r="E759" t="inlineStr">
        <is>
          <t>LINKÖPING</t>
        </is>
      </c>
      <c r="G759" t="n">
        <v>1.1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2026-04-01T10:39:55Z</dcterms:created>
  <dcterms:modified xmlns:dcterms="http://purl.org/dc/terms/" xmlns:xsi="http://www.w3.org/2001/XMLSchema-instance" xsi:type="dcterms:W3CDTF">2026-04-01T10:39:56Z</dcterms:modified>
</cp:coreProperties>
</file>