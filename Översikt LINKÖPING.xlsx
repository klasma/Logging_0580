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46200</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46200</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row>
    <row r="4" ht="15" customHeight="1">
      <c r="A4" t="inlineStr">
        <is>
          <t>A 17515-2022</t>
        </is>
      </c>
      <c r="B4" s="1" t="n">
        <v>44679</v>
      </c>
      <c r="C4" s="1" t="n">
        <v>46200</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90-2024</t>
        </is>
      </c>
      <c r="B5" s="1" t="n">
        <v>45293</v>
      </c>
      <c r="C5" s="1" t="n">
        <v>46200</v>
      </c>
      <c r="D5" t="inlineStr">
        <is>
          <t>ÖSTERGÖTLANDS LÄN</t>
        </is>
      </c>
      <c r="E5" t="inlineStr">
        <is>
          <t>LINKÖPING</t>
        </is>
      </c>
      <c r="G5" t="n">
        <v>1.8</v>
      </c>
      <c r="H5" t="n">
        <v>0</v>
      </c>
      <c r="I5" t="n">
        <v>13</v>
      </c>
      <c r="J5" t="n">
        <v>0</v>
      </c>
      <c r="K5" t="n">
        <v>3</v>
      </c>
      <c r="L5" t="n">
        <v>1</v>
      </c>
      <c r="M5" t="n">
        <v>0</v>
      </c>
      <c r="N5" t="n">
        <v>0</v>
      </c>
      <c r="O5" t="n">
        <v>4</v>
      </c>
      <c r="P5" t="n">
        <v>4</v>
      </c>
      <c r="Q5" t="n">
        <v>17</v>
      </c>
      <c r="R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5">
        <f>HYPERLINK("https://klasma.github.io/Logging_0580/artfynd/A 90-2024 artfynd.xlsx", "A 90-2024")</f>
        <v/>
      </c>
      <c r="T5">
        <f>HYPERLINK("https://klasma.github.io/Logging_0580/kartor/A 90-2024 karta.png", "A 90-2024")</f>
        <v/>
      </c>
      <c r="V5">
        <f>HYPERLINK("https://klasma.github.io/Logging_0580/klagomål/A 90-2024 FSC-klagomål.docx", "A 90-2024")</f>
        <v/>
      </c>
      <c r="W5">
        <f>HYPERLINK("https://klasma.github.io/Logging_0580/klagomålsmail/A 90-2024 FSC-klagomål mail.docx", "A 90-2024")</f>
        <v/>
      </c>
      <c r="X5">
        <f>HYPERLINK("https://klasma.github.io/Logging_0580/tillsyn/A 90-2024 tillsynsbegäran.docx", "A 90-2024")</f>
        <v/>
      </c>
      <c r="Y5">
        <f>HYPERLINK("https://klasma.github.io/Logging_0580/tillsynsmail/A 90-2024 tillsynsbegäran mail.docx", "A 90-2024")</f>
        <v/>
      </c>
    </row>
    <row r="6" ht="15" customHeight="1">
      <c r="A6" t="inlineStr">
        <is>
          <t>A 12494-2026</t>
        </is>
      </c>
      <c r="B6" s="1" t="n">
        <v>46090</v>
      </c>
      <c r="C6" s="1" t="n">
        <v>46200</v>
      </c>
      <c r="D6" t="inlineStr">
        <is>
          <t>ÖSTERGÖTLANDS LÄN</t>
        </is>
      </c>
      <c r="E6" t="inlineStr">
        <is>
          <t>LINKÖPING</t>
        </is>
      </c>
      <c r="G6" t="n">
        <v>3.4</v>
      </c>
      <c r="H6" t="n">
        <v>3</v>
      </c>
      <c r="I6" t="n">
        <v>9</v>
      </c>
      <c r="J6" t="n">
        <v>4</v>
      </c>
      <c r="K6" t="n">
        <v>1</v>
      </c>
      <c r="L6" t="n">
        <v>1</v>
      </c>
      <c r="M6" t="n">
        <v>0</v>
      </c>
      <c r="N6" t="n">
        <v>0</v>
      </c>
      <c r="O6" t="n">
        <v>6</v>
      </c>
      <c r="P6" t="n">
        <v>2</v>
      </c>
      <c r="Q6" t="n">
        <v>17</v>
      </c>
      <c r="R6" s="2" t="inlineStr">
        <is>
          <t>Läkeögontröst
Slåttergubbe
Jungfrulin
Scharlakansvaxing
Solvända
Svinrot
Blodvaxing
Broskvaxing
Fällmossa
Gråvaxing
Gulvaxing
Sotlav
Sprödvaxing
Vitvaxing agg.
Ängsvaxing agg.
Blåsippa
Fläcknycklar</t>
        </is>
      </c>
      <c r="S6">
        <f>HYPERLINK("https://klasma.github.io/Logging_0580/artfynd/A 12494-2026 artfynd.xlsx", "A 12494-2026")</f>
        <v/>
      </c>
      <c r="T6">
        <f>HYPERLINK("https://klasma.github.io/Logging_0580/kartor/A 12494-2026 karta.png", "A 12494-2026")</f>
        <v/>
      </c>
      <c r="V6">
        <f>HYPERLINK("https://klasma.github.io/Logging_0580/klagomål/A 12494-2026 FSC-klagomål.docx", "A 12494-2026")</f>
        <v/>
      </c>
      <c r="W6">
        <f>HYPERLINK("https://klasma.github.io/Logging_0580/klagomålsmail/A 12494-2026 FSC-klagomål mail.docx", "A 12494-2026")</f>
        <v/>
      </c>
      <c r="X6">
        <f>HYPERLINK("https://klasma.github.io/Logging_0580/tillsyn/A 12494-2026 tillsynsbegäran.docx", "A 12494-2026")</f>
        <v/>
      </c>
      <c r="Y6">
        <f>HYPERLINK("https://klasma.github.io/Logging_0580/tillsynsmail/A 12494-2026 tillsynsbegäran mail.docx", "A 12494-2026")</f>
        <v/>
      </c>
    </row>
    <row r="7" ht="15" customHeight="1">
      <c r="A7" t="inlineStr">
        <is>
          <t>A 40970-2021</t>
        </is>
      </c>
      <c r="B7" s="1" t="n">
        <v>44421</v>
      </c>
      <c r="C7" s="1" t="n">
        <v>46200</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row>
    <row r="8" ht="15" customHeight="1">
      <c r="A8" t="inlineStr">
        <is>
          <t>A 12486-2026</t>
        </is>
      </c>
      <c r="B8" s="1" t="n">
        <v>46090</v>
      </c>
      <c r="C8" s="1" t="n">
        <v>46200</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46200</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35760-2025</t>
        </is>
      </c>
      <c r="B10" s="1" t="n">
        <v>45860</v>
      </c>
      <c r="C10" s="1" t="n">
        <v>46200</v>
      </c>
      <c r="D10" t="inlineStr">
        <is>
          <t>ÖSTERGÖTLANDS LÄN</t>
        </is>
      </c>
      <c r="E10" t="inlineStr">
        <is>
          <t>LINKÖPING</t>
        </is>
      </c>
      <c r="G10" t="n">
        <v>4.7</v>
      </c>
      <c r="H10" t="n">
        <v>1</v>
      </c>
      <c r="I10" t="n">
        <v>0</v>
      </c>
      <c r="J10" t="n">
        <v>3</v>
      </c>
      <c r="K10" t="n">
        <v>1</v>
      </c>
      <c r="L10" t="n">
        <v>1</v>
      </c>
      <c r="M10" t="n">
        <v>1</v>
      </c>
      <c r="N10" t="n">
        <v>0</v>
      </c>
      <c r="O10" t="n">
        <v>6</v>
      </c>
      <c r="P10" t="n">
        <v>3</v>
      </c>
      <c r="Q10" t="n">
        <v>7</v>
      </c>
      <c r="R10" s="2" t="inlineStr">
        <is>
          <t>Bohuslind
Ask
Kärnticka
Blekticka
Ekticka
Vanlig backsmörblomma
Blåsippa</t>
        </is>
      </c>
      <c r="S10">
        <f>HYPERLINK("https://klasma.github.io/Logging_0580/artfynd/A 35760-2025 artfynd.xlsx", "A 35760-2025")</f>
        <v/>
      </c>
      <c r="T10">
        <f>HYPERLINK("https://klasma.github.io/Logging_0580/kartor/A 35760-2025 karta.png", "A 35760-2025")</f>
        <v/>
      </c>
      <c r="V10">
        <f>HYPERLINK("https://klasma.github.io/Logging_0580/klagomål/A 35760-2025 FSC-klagomål.docx", "A 35760-2025")</f>
        <v/>
      </c>
      <c r="W10">
        <f>HYPERLINK("https://klasma.github.io/Logging_0580/klagomålsmail/A 35760-2025 FSC-klagomål mail.docx", "A 35760-2025")</f>
        <v/>
      </c>
      <c r="X10">
        <f>HYPERLINK("https://klasma.github.io/Logging_0580/tillsyn/A 35760-2025 tillsynsbegäran.docx", "A 35760-2025")</f>
        <v/>
      </c>
      <c r="Y10">
        <f>HYPERLINK("https://klasma.github.io/Logging_0580/tillsynsmail/A 35760-2025 tillsynsbegäran mail.docx", "A 35760-2025")</f>
        <v/>
      </c>
    </row>
    <row r="11" ht="15" customHeight="1">
      <c r="A11" t="inlineStr">
        <is>
          <t>A 25985-2025</t>
        </is>
      </c>
      <c r="B11" s="1" t="n">
        <v>45804</v>
      </c>
      <c r="C11" s="1" t="n">
        <v>46200</v>
      </c>
      <c r="D11" t="inlineStr">
        <is>
          <t>ÖSTERGÖTLANDS LÄN</t>
        </is>
      </c>
      <c r="E11" t="inlineStr">
        <is>
          <t>LINKÖPING</t>
        </is>
      </c>
      <c r="G11" t="n">
        <v>4.5</v>
      </c>
      <c r="H11" t="n">
        <v>5</v>
      </c>
      <c r="I11" t="n">
        <v>1</v>
      </c>
      <c r="J11" t="n">
        <v>3</v>
      </c>
      <c r="K11" t="n">
        <v>0</v>
      </c>
      <c r="L11" t="n">
        <v>0</v>
      </c>
      <c r="M11" t="n">
        <v>0</v>
      </c>
      <c r="N11" t="n">
        <v>0</v>
      </c>
      <c r="O11" t="n">
        <v>3</v>
      </c>
      <c r="P11" t="n">
        <v>0</v>
      </c>
      <c r="Q11" t="n">
        <v>7</v>
      </c>
      <c r="R11" s="2" t="inlineStr">
        <is>
          <t>Enkelbeckasin
Jungfrulin
Svinrot
Tvåblad
Spillkråka
Grönvit nattviol
Revlummer</t>
        </is>
      </c>
      <c r="S11">
        <f>HYPERLINK("https://klasma.github.io/Logging_0580/artfynd/A 25985-2025 artfynd.xlsx", "A 25985-2025")</f>
        <v/>
      </c>
      <c r="T11">
        <f>HYPERLINK("https://klasma.github.io/Logging_0580/kartor/A 25985-2025 karta.png", "A 25985-2025")</f>
        <v/>
      </c>
      <c r="V11">
        <f>HYPERLINK("https://klasma.github.io/Logging_0580/klagomål/A 25985-2025 FSC-klagomål.docx", "A 25985-2025")</f>
        <v/>
      </c>
      <c r="W11">
        <f>HYPERLINK("https://klasma.github.io/Logging_0580/klagomålsmail/A 25985-2025 FSC-klagomål mail.docx", "A 25985-2025")</f>
        <v/>
      </c>
      <c r="X11">
        <f>HYPERLINK("https://klasma.github.io/Logging_0580/tillsyn/A 25985-2025 tillsynsbegäran.docx", "A 25985-2025")</f>
        <v/>
      </c>
      <c r="Y11">
        <f>HYPERLINK("https://klasma.github.io/Logging_0580/tillsynsmail/A 25985-2025 tillsynsbegäran mail.docx", "A 25985-2025")</f>
        <v/>
      </c>
      <c r="Z11">
        <f>HYPERLINK("https://klasma.github.io/Logging_0580/fåglar/A 25985-2025 prioriterade fågelarter.docx", "A 25985-2025")</f>
        <v/>
      </c>
    </row>
    <row r="12" ht="15" customHeight="1">
      <c r="A12" t="inlineStr">
        <is>
          <t>A 6353-2026</t>
        </is>
      </c>
      <c r="B12" s="1" t="n">
        <v>46055</v>
      </c>
      <c r="C12" s="1" t="n">
        <v>46200</v>
      </c>
      <c r="D12" t="inlineStr">
        <is>
          <t>ÖSTERGÖTLANDS LÄN</t>
        </is>
      </c>
      <c r="E12" t="inlineStr">
        <is>
          <t>LINKÖPING</t>
        </is>
      </c>
      <c r="F12" t="inlineStr">
        <is>
          <t>Övriga Aktiebolag</t>
        </is>
      </c>
      <c r="G12" t="n">
        <v>6.8</v>
      </c>
      <c r="H12" t="n">
        <v>2</v>
      </c>
      <c r="I12" t="n">
        <v>2</v>
      </c>
      <c r="J12" t="n">
        <v>2</v>
      </c>
      <c r="K12" t="n">
        <v>1</v>
      </c>
      <c r="L12" t="n">
        <v>1</v>
      </c>
      <c r="M12" t="n">
        <v>0</v>
      </c>
      <c r="N12" t="n">
        <v>0</v>
      </c>
      <c r="O12" t="n">
        <v>4</v>
      </c>
      <c r="P12" t="n">
        <v>2</v>
      </c>
      <c r="Q12" t="n">
        <v>7</v>
      </c>
      <c r="R12" s="2" t="inlineStr">
        <is>
          <t>Ask
Gulvit blekspik
Bivråk
Grynig filtlav
Bårdlav
Dvärgtufs
Gullviva</t>
        </is>
      </c>
      <c r="S12">
        <f>HYPERLINK("https://klasma.github.io/Logging_0580/artfynd/A 6353-2026 artfynd.xlsx", "A 6353-2026")</f>
        <v/>
      </c>
      <c r="T12">
        <f>HYPERLINK("https://klasma.github.io/Logging_0580/kartor/A 6353-2026 karta.png", "A 6353-2026")</f>
        <v/>
      </c>
      <c r="V12">
        <f>HYPERLINK("https://klasma.github.io/Logging_0580/klagomål/A 6353-2026 FSC-klagomål.docx", "A 6353-2026")</f>
        <v/>
      </c>
      <c r="W12">
        <f>HYPERLINK("https://klasma.github.io/Logging_0580/klagomålsmail/A 6353-2026 FSC-klagomål mail.docx", "A 6353-2026")</f>
        <v/>
      </c>
      <c r="X12">
        <f>HYPERLINK("https://klasma.github.io/Logging_0580/tillsyn/A 6353-2026 tillsynsbegäran.docx", "A 6353-2026")</f>
        <v/>
      </c>
      <c r="Y12">
        <f>HYPERLINK("https://klasma.github.io/Logging_0580/tillsynsmail/A 6353-2026 tillsynsbegäran mail.docx", "A 6353-2026")</f>
        <v/>
      </c>
      <c r="Z12">
        <f>HYPERLINK("https://klasma.github.io/Logging_0580/fåglar/A 6353-2026 prioriterade fågelarter.docx", "A 6353-2026")</f>
        <v/>
      </c>
    </row>
    <row r="13" ht="15" customHeight="1">
      <c r="A13" t="inlineStr">
        <is>
          <t>A 17275-2025</t>
        </is>
      </c>
      <c r="B13" s="1" t="n">
        <v>45756</v>
      </c>
      <c r="C13" s="1" t="n">
        <v>46200</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46200</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46200</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22040-2023</t>
        </is>
      </c>
      <c r="B16" s="1" t="n">
        <v>45068</v>
      </c>
      <c r="C16" s="1" t="n">
        <v>46200</v>
      </c>
      <c r="D16" t="inlineStr">
        <is>
          <t>ÖSTERGÖTLANDS LÄN</t>
        </is>
      </c>
      <c r="E16" t="inlineStr">
        <is>
          <t>LINKÖPING</t>
        </is>
      </c>
      <c r="F16" t="inlineStr">
        <is>
          <t>Kommuner</t>
        </is>
      </c>
      <c r="G16" t="n">
        <v>1</v>
      </c>
      <c r="H16" t="n">
        <v>1</v>
      </c>
      <c r="I16" t="n">
        <v>2</v>
      </c>
      <c r="J16" t="n">
        <v>2</v>
      </c>
      <c r="K16" t="n">
        <v>0</v>
      </c>
      <c r="L16" t="n">
        <v>1</v>
      </c>
      <c r="M16" t="n">
        <v>0</v>
      </c>
      <c r="N16" t="n">
        <v>0</v>
      </c>
      <c r="O16" t="n">
        <v>3</v>
      </c>
      <c r="P16" t="n">
        <v>1</v>
      </c>
      <c r="Q16" t="n">
        <v>5</v>
      </c>
      <c r="R16" s="2" t="inlineStr">
        <is>
          <t>Bombmurkla
Persiljespindling
Skarp dropptaggsvamp
Fällmossa
Strutbräken</t>
        </is>
      </c>
      <c r="S16">
        <f>HYPERLINK("https://klasma.github.io/Logging_0580/artfynd/A 22040-2023 artfynd.xlsx", "A 22040-2023")</f>
        <v/>
      </c>
      <c r="T16">
        <f>HYPERLINK("https://klasma.github.io/Logging_0580/kartor/A 22040-2023 karta.png", "A 22040-2023")</f>
        <v/>
      </c>
      <c r="V16">
        <f>HYPERLINK("https://klasma.github.io/Logging_0580/klagomål/A 22040-2023 FSC-klagomål.docx", "A 22040-2023")</f>
        <v/>
      </c>
      <c r="W16">
        <f>HYPERLINK("https://klasma.github.io/Logging_0580/klagomålsmail/A 22040-2023 FSC-klagomål mail.docx", "A 22040-2023")</f>
        <v/>
      </c>
      <c r="X16">
        <f>HYPERLINK("https://klasma.github.io/Logging_0580/tillsyn/A 22040-2023 tillsynsbegäran.docx", "A 22040-2023")</f>
        <v/>
      </c>
      <c r="Y16">
        <f>HYPERLINK("https://klasma.github.io/Logging_0580/tillsynsmail/A 22040-2023 tillsynsbegäran mail.docx", "A 22040-2023")</f>
        <v/>
      </c>
    </row>
    <row r="17" ht="15" customHeight="1">
      <c r="A17" t="inlineStr">
        <is>
          <t>A 17502-2022</t>
        </is>
      </c>
      <c r="B17" s="1" t="n">
        <v>44679</v>
      </c>
      <c r="C17" s="1" t="n">
        <v>46200</v>
      </c>
      <c r="D17" t="inlineStr">
        <is>
          <t>ÖSTERGÖTLANDS LÄN</t>
        </is>
      </c>
      <c r="E17" t="inlineStr">
        <is>
          <t>LINKÖPING</t>
        </is>
      </c>
      <c r="F17" t="inlineStr">
        <is>
          <t>Kommuner</t>
        </is>
      </c>
      <c r="G17" t="n">
        <v>4.5</v>
      </c>
      <c r="H17" t="n">
        <v>1</v>
      </c>
      <c r="I17" t="n">
        <v>2</v>
      </c>
      <c r="J17" t="n">
        <v>1</v>
      </c>
      <c r="K17" t="n">
        <v>1</v>
      </c>
      <c r="L17" t="n">
        <v>0</v>
      </c>
      <c r="M17" t="n">
        <v>0</v>
      </c>
      <c r="N17" t="n">
        <v>0</v>
      </c>
      <c r="O17" t="n">
        <v>2</v>
      </c>
      <c r="P17" t="n">
        <v>1</v>
      </c>
      <c r="Q17" t="n">
        <v>5</v>
      </c>
      <c r="R17" s="2" t="inlineStr">
        <is>
          <t>Långfotad murkla
Fjällig taggsvamp s.str.
Blåmossa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3395-2023</t>
        </is>
      </c>
      <c r="B18" s="1" t="n">
        <v>44949</v>
      </c>
      <c r="C18" s="1" t="n">
        <v>46200</v>
      </c>
      <c r="D18" t="inlineStr">
        <is>
          <t>ÖSTERGÖTLANDS LÄN</t>
        </is>
      </c>
      <c r="E18" t="inlineStr">
        <is>
          <t>LINKÖPING</t>
        </is>
      </c>
      <c r="G18" t="n">
        <v>2</v>
      </c>
      <c r="H18" t="n">
        <v>0</v>
      </c>
      <c r="I18" t="n">
        <v>0</v>
      </c>
      <c r="J18" t="n">
        <v>5</v>
      </c>
      <c r="K18" t="n">
        <v>0</v>
      </c>
      <c r="L18" t="n">
        <v>0</v>
      </c>
      <c r="M18" t="n">
        <v>0</v>
      </c>
      <c r="N18" t="n">
        <v>0</v>
      </c>
      <c r="O18" t="n">
        <v>5</v>
      </c>
      <c r="P18" t="n">
        <v>0</v>
      </c>
      <c r="Q18" t="n">
        <v>5</v>
      </c>
      <c r="R18" s="2" t="inlineStr">
        <is>
          <t>Backstarr
Jungfrulin
Sommarfibbla
Svinrot
Vårstarr</t>
        </is>
      </c>
      <c r="S18">
        <f>HYPERLINK("https://klasma.github.io/Logging_0580/artfynd/A 3395-2023 artfynd.xlsx", "A 3395-2023")</f>
        <v/>
      </c>
      <c r="T18">
        <f>HYPERLINK("https://klasma.github.io/Logging_0580/kartor/A 3395-2023 karta.png", "A 3395-2023")</f>
        <v/>
      </c>
      <c r="V18">
        <f>HYPERLINK("https://klasma.github.io/Logging_0580/klagomål/A 3395-2023 FSC-klagomål.docx", "A 3395-2023")</f>
        <v/>
      </c>
      <c r="W18">
        <f>HYPERLINK("https://klasma.github.io/Logging_0580/klagomålsmail/A 3395-2023 FSC-klagomål mail.docx", "A 3395-2023")</f>
        <v/>
      </c>
      <c r="X18">
        <f>HYPERLINK("https://klasma.github.io/Logging_0580/tillsyn/A 3395-2023 tillsynsbegäran.docx", "A 3395-2023")</f>
        <v/>
      </c>
      <c r="Y18">
        <f>HYPERLINK("https://klasma.github.io/Logging_0580/tillsynsmail/A 3395-2023 tillsynsbegäran mail.docx", "A 3395-2023")</f>
        <v/>
      </c>
    </row>
    <row r="19" ht="15" customHeight="1">
      <c r="A19" t="inlineStr">
        <is>
          <t>A 21228-2026</t>
        </is>
      </c>
      <c r="B19" s="1" t="n">
        <v>46146</v>
      </c>
      <c r="C19" s="1" t="n">
        <v>46200</v>
      </c>
      <c r="D19" t="inlineStr">
        <is>
          <t>ÖSTERGÖTLANDS LÄN</t>
        </is>
      </c>
      <c r="E19" t="inlineStr">
        <is>
          <t>LINKÖPING</t>
        </is>
      </c>
      <c r="G19" t="n">
        <v>2.5</v>
      </c>
      <c r="H19" t="n">
        <v>4</v>
      </c>
      <c r="I19" t="n">
        <v>1</v>
      </c>
      <c r="J19" t="n">
        <v>0</v>
      </c>
      <c r="K19" t="n">
        <v>0</v>
      </c>
      <c r="L19" t="n">
        <v>0</v>
      </c>
      <c r="M19" t="n">
        <v>0</v>
      </c>
      <c r="N19" t="n">
        <v>0</v>
      </c>
      <c r="O19" t="n">
        <v>0</v>
      </c>
      <c r="P19" t="n">
        <v>0</v>
      </c>
      <c r="Q19" t="n">
        <v>5</v>
      </c>
      <c r="R19" s="2" t="inlineStr">
        <is>
          <t>Blåmossa
Kungsfågel
Svartvit flugsnappare
Vanlig groda
Vanlig padda</t>
        </is>
      </c>
      <c r="S19">
        <f>HYPERLINK("https://klasma.github.io/Logging_0580/artfynd/A 21228-2026 artfynd.xlsx", "A 21228-2026")</f>
        <v/>
      </c>
      <c r="T19">
        <f>HYPERLINK("https://klasma.github.io/Logging_0580/kartor/A 21228-2026 karta.png", "A 21228-2026")</f>
        <v/>
      </c>
      <c r="V19">
        <f>HYPERLINK("https://klasma.github.io/Logging_0580/klagomål/A 21228-2026 FSC-klagomål.docx", "A 21228-2026")</f>
        <v/>
      </c>
      <c r="W19">
        <f>HYPERLINK("https://klasma.github.io/Logging_0580/klagomålsmail/A 21228-2026 FSC-klagomål mail.docx", "A 21228-2026")</f>
        <v/>
      </c>
      <c r="X19">
        <f>HYPERLINK("https://klasma.github.io/Logging_0580/tillsyn/A 21228-2026 tillsynsbegäran.docx", "A 21228-2026")</f>
        <v/>
      </c>
      <c r="Y19">
        <f>HYPERLINK("https://klasma.github.io/Logging_0580/tillsynsmail/A 21228-2026 tillsynsbegäran mail.docx", "A 21228-2026")</f>
        <v/>
      </c>
    </row>
    <row r="20" ht="15" customHeight="1">
      <c r="A20" t="inlineStr">
        <is>
          <t>A 38129-2021</t>
        </is>
      </c>
      <c r="B20" s="1" t="n">
        <v>44405</v>
      </c>
      <c r="C20" s="1" t="n">
        <v>46200</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46200</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46200</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27981-2022</t>
        </is>
      </c>
      <c r="B23" s="1" t="n">
        <v>44745</v>
      </c>
      <c r="C23" s="1" t="n">
        <v>46200</v>
      </c>
      <c r="D23" t="inlineStr">
        <is>
          <t>ÖSTERGÖTLANDS LÄN</t>
        </is>
      </c>
      <c r="E23" t="inlineStr">
        <is>
          <t>LINKÖPING</t>
        </is>
      </c>
      <c r="G23" t="n">
        <v>8.4</v>
      </c>
      <c r="H23" t="n">
        <v>0</v>
      </c>
      <c r="I23" t="n">
        <v>0</v>
      </c>
      <c r="J23" t="n">
        <v>4</v>
      </c>
      <c r="K23" t="n">
        <v>0</v>
      </c>
      <c r="L23" t="n">
        <v>0</v>
      </c>
      <c r="M23" t="n">
        <v>0</v>
      </c>
      <c r="N23" t="n">
        <v>0</v>
      </c>
      <c r="O23" t="n">
        <v>4</v>
      </c>
      <c r="P23" t="n">
        <v>0</v>
      </c>
      <c r="Q23" t="n">
        <v>4</v>
      </c>
      <c r="R23" s="2" t="inlineStr">
        <is>
          <t>Jungfrulin
Solvända
Svinrot
Ängsskära</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4256-2022</t>
        </is>
      </c>
      <c r="B24" s="1" t="n">
        <v>44588</v>
      </c>
      <c r="C24" s="1" t="n">
        <v>46200</v>
      </c>
      <c r="D24" t="inlineStr">
        <is>
          <t>ÖSTERGÖTLANDS LÄN</t>
        </is>
      </c>
      <c r="E24" t="inlineStr">
        <is>
          <t>LINKÖPING</t>
        </is>
      </c>
      <c r="G24" t="n">
        <v>1.4</v>
      </c>
      <c r="H24" t="n">
        <v>3</v>
      </c>
      <c r="I24" t="n">
        <v>0</v>
      </c>
      <c r="J24" t="n">
        <v>3</v>
      </c>
      <c r="K24" t="n">
        <v>1</v>
      </c>
      <c r="L24" t="n">
        <v>0</v>
      </c>
      <c r="M24" t="n">
        <v>0</v>
      </c>
      <c r="N24" t="n">
        <v>0</v>
      </c>
      <c r="O24" t="n">
        <v>4</v>
      </c>
      <c r="P24" t="n">
        <v>1</v>
      </c>
      <c r="Q24" t="n">
        <v>4</v>
      </c>
      <c r="R24" s="2" t="inlineStr">
        <is>
          <t>Stare
Asksolvecklare
Gulsparv
Ladusvala</t>
        </is>
      </c>
      <c r="S24">
        <f>HYPERLINK("https://klasma.github.io/Logging_0580/artfynd/A 4256-2022 artfynd.xlsx", "A 4256-2022")</f>
        <v/>
      </c>
      <c r="T24">
        <f>HYPERLINK("https://klasma.github.io/Logging_0580/kartor/A 4256-2022 karta.png", "A 4256-2022")</f>
        <v/>
      </c>
      <c r="V24">
        <f>HYPERLINK("https://klasma.github.io/Logging_0580/klagomål/A 4256-2022 FSC-klagomål.docx", "A 4256-2022")</f>
        <v/>
      </c>
      <c r="W24">
        <f>HYPERLINK("https://klasma.github.io/Logging_0580/klagomålsmail/A 4256-2022 FSC-klagomål mail.docx", "A 4256-2022")</f>
        <v/>
      </c>
      <c r="X24">
        <f>HYPERLINK("https://klasma.github.io/Logging_0580/tillsyn/A 4256-2022 tillsynsbegäran.docx", "A 4256-2022")</f>
        <v/>
      </c>
      <c r="Y24">
        <f>HYPERLINK("https://klasma.github.io/Logging_0580/tillsynsmail/A 4256-2022 tillsynsbegäran mail.docx", "A 4256-2022")</f>
        <v/>
      </c>
      <c r="Z24">
        <f>HYPERLINK("https://klasma.github.io/Logging_0580/fåglar/A 4256-2022 prioriterade fågelarter.docx", "A 4256-2022")</f>
        <v/>
      </c>
    </row>
    <row r="25" ht="15" customHeight="1">
      <c r="A25" t="inlineStr">
        <is>
          <t>A 40469-2024</t>
        </is>
      </c>
      <c r="B25" s="1" t="n">
        <v>45555</v>
      </c>
      <c r="C25" s="1" t="n">
        <v>46200</v>
      </c>
      <c r="D25" t="inlineStr">
        <is>
          <t>ÖSTERGÖTLANDS LÄN</t>
        </is>
      </c>
      <c r="E25" t="inlineStr">
        <is>
          <t>LINKÖPING</t>
        </is>
      </c>
      <c r="F25" t="inlineStr">
        <is>
          <t>Allmännings- och besparingsskogar</t>
        </is>
      </c>
      <c r="G25" t="n">
        <v>24.5</v>
      </c>
      <c r="H25" t="n">
        <v>0</v>
      </c>
      <c r="I25" t="n">
        <v>3</v>
      </c>
      <c r="J25" t="n">
        <v>1</v>
      </c>
      <c r="K25" t="n">
        <v>0</v>
      </c>
      <c r="L25" t="n">
        <v>0</v>
      </c>
      <c r="M25" t="n">
        <v>0</v>
      </c>
      <c r="N25" t="n">
        <v>0</v>
      </c>
      <c r="O25" t="n">
        <v>1</v>
      </c>
      <c r="P25" t="n">
        <v>0</v>
      </c>
      <c r="Q25" t="n">
        <v>4</v>
      </c>
      <c r="R25" s="2" t="inlineStr">
        <is>
          <t>Brunpudrad nållav
Brandticka
Gulnål
Kornig nållav</t>
        </is>
      </c>
      <c r="S25">
        <f>HYPERLINK("https://klasma.github.io/Logging_0580/artfynd/A 40469-2024 artfynd.xlsx", "A 40469-2024")</f>
        <v/>
      </c>
      <c r="T25">
        <f>HYPERLINK("https://klasma.github.io/Logging_0580/kartor/A 40469-2024 karta.png", "A 40469-2024")</f>
        <v/>
      </c>
      <c r="V25">
        <f>HYPERLINK("https://klasma.github.io/Logging_0580/klagomål/A 40469-2024 FSC-klagomål.docx", "A 40469-2024")</f>
        <v/>
      </c>
      <c r="W25">
        <f>HYPERLINK("https://klasma.github.io/Logging_0580/klagomålsmail/A 40469-2024 FSC-klagomål mail.docx", "A 40469-2024")</f>
        <v/>
      </c>
      <c r="X25">
        <f>HYPERLINK("https://klasma.github.io/Logging_0580/tillsyn/A 40469-2024 tillsynsbegäran.docx", "A 40469-2024")</f>
        <v/>
      </c>
      <c r="Y25">
        <f>HYPERLINK("https://klasma.github.io/Logging_0580/tillsynsmail/A 40469-2024 tillsynsbegäran mail.docx", "A 40469-2024")</f>
        <v/>
      </c>
    </row>
    <row r="26" ht="15" customHeight="1">
      <c r="A26" t="inlineStr">
        <is>
          <t>A 9192-2025</t>
        </is>
      </c>
      <c r="B26" s="1" t="n">
        <v>45714</v>
      </c>
      <c r="C26" s="1" t="n">
        <v>46200</v>
      </c>
      <c r="D26" t="inlineStr">
        <is>
          <t>ÖSTERGÖTLANDS LÄN</t>
        </is>
      </c>
      <c r="E26" t="inlineStr">
        <is>
          <t>LINKÖPING</t>
        </is>
      </c>
      <c r="F26" t="inlineStr">
        <is>
          <t>Allmännings- och besparingsskogar</t>
        </is>
      </c>
      <c r="G26" t="n">
        <v>17.4</v>
      </c>
      <c r="H26" t="n">
        <v>2</v>
      </c>
      <c r="I26" t="n">
        <v>3</v>
      </c>
      <c r="J26" t="n">
        <v>0</v>
      </c>
      <c r="K26" t="n">
        <v>0</v>
      </c>
      <c r="L26" t="n">
        <v>0</v>
      </c>
      <c r="M26" t="n">
        <v>0</v>
      </c>
      <c r="N26" t="n">
        <v>0</v>
      </c>
      <c r="O26" t="n">
        <v>0</v>
      </c>
      <c r="P26" t="n">
        <v>0</v>
      </c>
      <c r="Q26" t="n">
        <v>4</v>
      </c>
      <c r="R26" s="2" t="inlineStr">
        <is>
          <t>Grönpyrola
Purpurknipprot
Svart jordtunga
Fläcknycklar</t>
        </is>
      </c>
      <c r="S26">
        <f>HYPERLINK("https://klasma.github.io/Logging_0580/artfynd/A 9192-2025 artfynd.xlsx", "A 9192-2025")</f>
        <v/>
      </c>
      <c r="T26">
        <f>HYPERLINK("https://klasma.github.io/Logging_0580/kartor/A 9192-2025 karta.png", "A 9192-2025")</f>
        <v/>
      </c>
      <c r="V26">
        <f>HYPERLINK("https://klasma.github.io/Logging_0580/klagomål/A 9192-2025 FSC-klagomål.docx", "A 9192-2025")</f>
        <v/>
      </c>
      <c r="W26">
        <f>HYPERLINK("https://klasma.github.io/Logging_0580/klagomålsmail/A 9192-2025 FSC-klagomål mail.docx", "A 9192-2025")</f>
        <v/>
      </c>
      <c r="X26">
        <f>HYPERLINK("https://klasma.github.io/Logging_0580/tillsyn/A 9192-2025 tillsynsbegäran.docx", "A 9192-2025")</f>
        <v/>
      </c>
      <c r="Y26">
        <f>HYPERLINK("https://klasma.github.io/Logging_0580/tillsynsmail/A 9192-2025 tillsynsbegäran mail.docx", "A 9192-2025")</f>
        <v/>
      </c>
    </row>
    <row r="27" ht="15" customHeight="1">
      <c r="A27" t="inlineStr">
        <is>
          <t>A 49999-2025</t>
        </is>
      </c>
      <c r="B27" s="1" t="n">
        <v>45943</v>
      </c>
      <c r="C27" s="1" t="n">
        <v>46200</v>
      </c>
      <c r="D27" t="inlineStr">
        <is>
          <t>ÖSTERGÖTLANDS LÄN</t>
        </is>
      </c>
      <c r="E27" t="inlineStr">
        <is>
          <t>LINKÖPING</t>
        </is>
      </c>
      <c r="G27" t="n">
        <v>2.3</v>
      </c>
      <c r="H27" t="n">
        <v>2</v>
      </c>
      <c r="I27" t="n">
        <v>0</v>
      </c>
      <c r="J27" t="n">
        <v>1</v>
      </c>
      <c r="K27" t="n">
        <v>0</v>
      </c>
      <c r="L27" t="n">
        <v>1</v>
      </c>
      <c r="M27" t="n">
        <v>0</v>
      </c>
      <c r="N27" t="n">
        <v>0</v>
      </c>
      <c r="O27" t="n">
        <v>2</v>
      </c>
      <c r="P27" t="n">
        <v>1</v>
      </c>
      <c r="Q27" t="n">
        <v>4</v>
      </c>
      <c r="R27" s="2" t="inlineStr">
        <is>
          <t>Ask
Vårärt
Nattviol
Gullviva</t>
        </is>
      </c>
      <c r="S27">
        <f>HYPERLINK("https://klasma.github.io/Logging_0580/artfynd/A 49999-2025 artfynd.xlsx", "A 49999-2025")</f>
        <v/>
      </c>
      <c r="T27">
        <f>HYPERLINK("https://klasma.github.io/Logging_0580/kartor/A 49999-2025 karta.png", "A 49999-2025")</f>
        <v/>
      </c>
      <c r="V27">
        <f>HYPERLINK("https://klasma.github.io/Logging_0580/klagomål/A 49999-2025 FSC-klagomål.docx", "A 49999-2025")</f>
        <v/>
      </c>
      <c r="W27">
        <f>HYPERLINK("https://klasma.github.io/Logging_0580/klagomålsmail/A 49999-2025 FSC-klagomål mail.docx", "A 49999-2025")</f>
        <v/>
      </c>
      <c r="X27">
        <f>HYPERLINK("https://klasma.github.io/Logging_0580/tillsyn/A 49999-2025 tillsynsbegäran.docx", "A 49999-2025")</f>
        <v/>
      </c>
      <c r="Y27">
        <f>HYPERLINK("https://klasma.github.io/Logging_0580/tillsynsmail/A 49999-2025 tillsynsbegäran mail.docx", "A 49999-2025")</f>
        <v/>
      </c>
    </row>
    <row r="28" ht="15" customHeight="1">
      <c r="A28" t="inlineStr">
        <is>
          <t>A 5545-2026</t>
        </is>
      </c>
      <c r="B28" s="1" t="n">
        <v>46050</v>
      </c>
      <c r="C28" s="1" t="n">
        <v>46200</v>
      </c>
      <c r="D28" t="inlineStr">
        <is>
          <t>ÖSTERGÖTLANDS LÄN</t>
        </is>
      </c>
      <c r="E28" t="inlineStr">
        <is>
          <t>LINKÖPING</t>
        </is>
      </c>
      <c r="G28" t="n">
        <v>1.4</v>
      </c>
      <c r="H28" t="n">
        <v>2</v>
      </c>
      <c r="I28" t="n">
        <v>1</v>
      </c>
      <c r="J28" t="n">
        <v>1</v>
      </c>
      <c r="K28" t="n">
        <v>0</v>
      </c>
      <c r="L28" t="n">
        <v>0</v>
      </c>
      <c r="M28" t="n">
        <v>0</v>
      </c>
      <c r="N28" t="n">
        <v>0</v>
      </c>
      <c r="O28" t="n">
        <v>1</v>
      </c>
      <c r="P28" t="n">
        <v>0</v>
      </c>
      <c r="Q28" t="n">
        <v>4</v>
      </c>
      <c r="R28" s="2" t="inlineStr">
        <is>
          <t>Loppstarr
Granbräken
Ängsnycklar
Ängsnycklar × fläcknycklar</t>
        </is>
      </c>
      <c r="S28">
        <f>HYPERLINK("https://klasma.github.io/Logging_0580/artfynd/A 5545-2026 artfynd.xlsx", "A 5545-2026")</f>
        <v/>
      </c>
      <c r="T28">
        <f>HYPERLINK("https://klasma.github.io/Logging_0580/kartor/A 5545-2026 karta.png", "A 5545-2026")</f>
        <v/>
      </c>
      <c r="V28">
        <f>HYPERLINK("https://klasma.github.io/Logging_0580/klagomål/A 5545-2026 FSC-klagomål.docx", "A 5545-2026")</f>
        <v/>
      </c>
      <c r="W28">
        <f>HYPERLINK("https://klasma.github.io/Logging_0580/klagomålsmail/A 5545-2026 FSC-klagomål mail.docx", "A 5545-2026")</f>
        <v/>
      </c>
      <c r="X28">
        <f>HYPERLINK("https://klasma.github.io/Logging_0580/tillsyn/A 5545-2026 tillsynsbegäran.docx", "A 5545-2026")</f>
        <v/>
      </c>
      <c r="Y28">
        <f>HYPERLINK("https://klasma.github.io/Logging_0580/tillsynsmail/A 5545-2026 tillsynsbegäran mail.docx", "A 5545-2026")</f>
        <v/>
      </c>
    </row>
    <row r="29" ht="15" customHeight="1">
      <c r="A29" t="inlineStr">
        <is>
          <t>A 11048-2026</t>
        </is>
      </c>
      <c r="B29" s="1" t="n">
        <v>46079</v>
      </c>
      <c r="C29" s="1" t="n">
        <v>46200</v>
      </c>
      <c r="D29" t="inlineStr">
        <is>
          <t>ÖSTERGÖTLANDS LÄN</t>
        </is>
      </c>
      <c r="E29" t="inlineStr">
        <is>
          <t>LINKÖPING</t>
        </is>
      </c>
      <c r="G29" t="n">
        <v>4.1</v>
      </c>
      <c r="H29" t="n">
        <v>0</v>
      </c>
      <c r="I29" t="n">
        <v>3</v>
      </c>
      <c r="J29" t="n">
        <v>1</v>
      </c>
      <c r="K29" t="n">
        <v>0</v>
      </c>
      <c r="L29" t="n">
        <v>0</v>
      </c>
      <c r="M29" t="n">
        <v>0</v>
      </c>
      <c r="N29" t="n">
        <v>0</v>
      </c>
      <c r="O29" t="n">
        <v>1</v>
      </c>
      <c r="P29" t="n">
        <v>0</v>
      </c>
      <c r="Q29" t="n">
        <v>4</v>
      </c>
      <c r="R29" s="2" t="inlineStr">
        <is>
          <t>Sårläka
Scharlakansvårskål agg.
Svart trolldruva
Tibast</t>
        </is>
      </c>
      <c r="S29">
        <f>HYPERLINK("https://klasma.github.io/Logging_0580/artfynd/A 11048-2026 artfynd.xlsx", "A 11048-2026")</f>
        <v/>
      </c>
      <c r="T29">
        <f>HYPERLINK("https://klasma.github.io/Logging_0580/kartor/A 11048-2026 karta.png", "A 11048-2026")</f>
        <v/>
      </c>
      <c r="V29">
        <f>HYPERLINK("https://klasma.github.io/Logging_0580/klagomål/A 11048-2026 FSC-klagomål.docx", "A 11048-2026")</f>
        <v/>
      </c>
      <c r="W29">
        <f>HYPERLINK("https://klasma.github.io/Logging_0580/klagomålsmail/A 11048-2026 FSC-klagomål mail.docx", "A 11048-2026")</f>
        <v/>
      </c>
      <c r="X29">
        <f>HYPERLINK("https://klasma.github.io/Logging_0580/tillsyn/A 11048-2026 tillsynsbegäran.docx", "A 11048-2026")</f>
        <v/>
      </c>
      <c r="Y29">
        <f>HYPERLINK("https://klasma.github.io/Logging_0580/tillsynsmail/A 11048-2026 tillsynsbegäran mail.docx", "A 11048-2026")</f>
        <v/>
      </c>
    </row>
    <row r="30" ht="15" customHeight="1">
      <c r="A30" t="inlineStr">
        <is>
          <t>A 15856-2026</t>
        </is>
      </c>
      <c r="B30" s="1" t="n">
        <v>46107</v>
      </c>
      <c r="C30" s="1" t="n">
        <v>46200</v>
      </c>
      <c r="D30" t="inlineStr">
        <is>
          <t>ÖSTERGÖTLANDS LÄN</t>
        </is>
      </c>
      <c r="E30" t="inlineStr">
        <is>
          <t>LINKÖPING</t>
        </is>
      </c>
      <c r="F30" t="inlineStr">
        <is>
          <t>Sveaskog</t>
        </is>
      </c>
      <c r="G30" t="n">
        <v>16.2</v>
      </c>
      <c r="H30" t="n">
        <v>2</v>
      </c>
      <c r="I30" t="n">
        <v>1</v>
      </c>
      <c r="J30" t="n">
        <v>2</v>
      </c>
      <c r="K30" t="n">
        <v>0</v>
      </c>
      <c r="L30" t="n">
        <v>0</v>
      </c>
      <c r="M30" t="n">
        <v>0</v>
      </c>
      <c r="N30" t="n">
        <v>0</v>
      </c>
      <c r="O30" t="n">
        <v>2</v>
      </c>
      <c r="P30" t="n">
        <v>0</v>
      </c>
      <c r="Q30" t="n">
        <v>4</v>
      </c>
      <c r="R30" s="2" t="inlineStr">
        <is>
          <t>Järnsparv
Svinrot
Granbräken
Spillkråka</t>
        </is>
      </c>
      <c r="S30">
        <f>HYPERLINK("https://klasma.github.io/Logging_0580/artfynd/A 15856-2026 artfynd.xlsx", "A 15856-2026")</f>
        <v/>
      </c>
      <c r="T30">
        <f>HYPERLINK("https://klasma.github.io/Logging_0580/kartor/A 15856-2026 karta.png", "A 15856-2026")</f>
        <v/>
      </c>
      <c r="V30">
        <f>HYPERLINK("https://klasma.github.io/Logging_0580/klagomål/A 15856-2026 FSC-klagomål.docx", "A 15856-2026")</f>
        <v/>
      </c>
      <c r="W30">
        <f>HYPERLINK("https://klasma.github.io/Logging_0580/klagomålsmail/A 15856-2026 FSC-klagomål mail.docx", "A 15856-2026")</f>
        <v/>
      </c>
      <c r="X30">
        <f>HYPERLINK("https://klasma.github.io/Logging_0580/tillsyn/A 15856-2026 tillsynsbegäran.docx", "A 15856-2026")</f>
        <v/>
      </c>
      <c r="Y30">
        <f>HYPERLINK("https://klasma.github.io/Logging_0580/tillsynsmail/A 15856-2026 tillsynsbegäran mail.docx", "A 15856-2026")</f>
        <v/>
      </c>
      <c r="Z30">
        <f>HYPERLINK("https://klasma.github.io/Logging_0580/fåglar/A 15856-2026 prioriterade fågelarter.docx", "A 15856-2026")</f>
        <v/>
      </c>
    </row>
    <row r="31" ht="15" customHeight="1">
      <c r="A31" t="inlineStr">
        <is>
          <t>A 48329-2025</t>
        </is>
      </c>
      <c r="B31" s="1" t="n">
        <v>45932</v>
      </c>
      <c r="C31" s="1" t="n">
        <v>46200</v>
      </c>
      <c r="D31" t="inlineStr">
        <is>
          <t>ÖSTERGÖTLANDS LÄN</t>
        </is>
      </c>
      <c r="E31" t="inlineStr">
        <is>
          <t>LINKÖPING</t>
        </is>
      </c>
      <c r="F31" t="inlineStr">
        <is>
          <t>Övriga Aktiebolag</t>
        </is>
      </c>
      <c r="G31" t="n">
        <v>2.2</v>
      </c>
      <c r="H31" t="n">
        <v>1</v>
      </c>
      <c r="I31" t="n">
        <v>3</v>
      </c>
      <c r="J31" t="n">
        <v>0</v>
      </c>
      <c r="K31" t="n">
        <v>0</v>
      </c>
      <c r="L31" t="n">
        <v>0</v>
      </c>
      <c r="M31" t="n">
        <v>0</v>
      </c>
      <c r="N31" t="n">
        <v>0</v>
      </c>
      <c r="O31" t="n">
        <v>0</v>
      </c>
      <c r="P31" t="n">
        <v>0</v>
      </c>
      <c r="Q31" t="n">
        <v>4</v>
      </c>
      <c r="R31" s="2" t="inlineStr">
        <is>
          <t>Blanksvart trämyra
Dolkstekelsglasvinge
Granbarkgnagare
Blåsippa</t>
        </is>
      </c>
      <c r="S31">
        <f>HYPERLINK("https://klasma.github.io/Logging_0580/artfynd/A 48329-2025 artfynd.xlsx", "A 48329-2025")</f>
        <v/>
      </c>
      <c r="T31">
        <f>HYPERLINK("https://klasma.github.io/Logging_0580/kartor/A 48329-2025 karta.png", "A 48329-2025")</f>
        <v/>
      </c>
      <c r="V31">
        <f>HYPERLINK("https://klasma.github.io/Logging_0580/klagomål/A 48329-2025 FSC-klagomål.docx", "A 48329-2025")</f>
        <v/>
      </c>
      <c r="W31">
        <f>HYPERLINK("https://klasma.github.io/Logging_0580/klagomålsmail/A 48329-2025 FSC-klagomål mail.docx", "A 48329-2025")</f>
        <v/>
      </c>
      <c r="X31">
        <f>HYPERLINK("https://klasma.github.io/Logging_0580/tillsyn/A 48329-2025 tillsynsbegäran.docx", "A 48329-2025")</f>
        <v/>
      </c>
      <c r="Y31">
        <f>HYPERLINK("https://klasma.github.io/Logging_0580/tillsynsmail/A 48329-2025 tillsynsbegäran mail.docx", "A 48329-2025")</f>
        <v/>
      </c>
    </row>
    <row r="32" ht="15" customHeight="1">
      <c r="A32" t="inlineStr">
        <is>
          <t>A 17497-2022</t>
        </is>
      </c>
      <c r="B32" s="1" t="n">
        <v>44679</v>
      </c>
      <c r="C32" s="1" t="n">
        <v>46200</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17520-2022</t>
        </is>
      </c>
      <c r="B33" s="1" t="n">
        <v>44679</v>
      </c>
      <c r="C33" s="1" t="n">
        <v>46200</v>
      </c>
      <c r="D33" t="inlineStr">
        <is>
          <t>ÖSTERGÖTLANDS LÄN</t>
        </is>
      </c>
      <c r="E33" t="inlineStr">
        <is>
          <t>LINKÖPING</t>
        </is>
      </c>
      <c r="F33" t="inlineStr">
        <is>
          <t>Kommuner</t>
        </is>
      </c>
      <c r="G33" t="n">
        <v>4.6</v>
      </c>
      <c r="H33" t="n">
        <v>1</v>
      </c>
      <c r="I33" t="n">
        <v>2</v>
      </c>
      <c r="J33" t="n">
        <v>0</v>
      </c>
      <c r="K33" t="n">
        <v>0</v>
      </c>
      <c r="L33" t="n">
        <v>0</v>
      </c>
      <c r="M33" t="n">
        <v>0</v>
      </c>
      <c r="N33" t="n">
        <v>0</v>
      </c>
      <c r="O33" t="n">
        <v>0</v>
      </c>
      <c r="P33" t="n">
        <v>0</v>
      </c>
      <c r="Q33" t="n">
        <v>3</v>
      </c>
      <c r="R33" s="2" t="inlineStr">
        <is>
          <t>Blåmossa
Trådticka
Mindre vattensalamander</t>
        </is>
      </c>
      <c r="S33">
        <f>HYPERLINK("https://klasma.github.io/Logging_0580/artfynd/A 17520-2022 artfynd.xlsx", "A 17520-2022")</f>
        <v/>
      </c>
      <c r="T33">
        <f>HYPERLINK("https://klasma.github.io/Logging_0580/kartor/A 17520-2022 karta.png", "A 17520-2022")</f>
        <v/>
      </c>
      <c r="V33">
        <f>HYPERLINK("https://klasma.github.io/Logging_0580/klagomål/A 17520-2022 FSC-klagomål.docx", "A 17520-2022")</f>
        <v/>
      </c>
      <c r="W33">
        <f>HYPERLINK("https://klasma.github.io/Logging_0580/klagomålsmail/A 17520-2022 FSC-klagomål mail.docx", "A 17520-2022")</f>
        <v/>
      </c>
      <c r="X33">
        <f>HYPERLINK("https://klasma.github.io/Logging_0580/tillsyn/A 17520-2022 tillsynsbegäran.docx", "A 17520-2022")</f>
        <v/>
      </c>
      <c r="Y33">
        <f>HYPERLINK("https://klasma.github.io/Logging_0580/tillsynsmail/A 17520-2022 tillsynsbegäran mail.docx", "A 17520-2022")</f>
        <v/>
      </c>
    </row>
    <row r="34" ht="15" customHeight="1">
      <c r="A34" t="inlineStr">
        <is>
          <t>A 48042-2022</t>
        </is>
      </c>
      <c r="B34" s="1" t="n">
        <v>44855</v>
      </c>
      <c r="C34" s="1" t="n">
        <v>46200</v>
      </c>
      <c r="D34" t="inlineStr">
        <is>
          <t>ÖSTERGÖTLANDS LÄN</t>
        </is>
      </c>
      <c r="E34" t="inlineStr">
        <is>
          <t>LINKÖPING</t>
        </is>
      </c>
      <c r="G34" t="n">
        <v>0.5</v>
      </c>
      <c r="H34" t="n">
        <v>3</v>
      </c>
      <c r="I34" t="n">
        <v>0</v>
      </c>
      <c r="J34" t="n">
        <v>0</v>
      </c>
      <c r="K34" t="n">
        <v>0</v>
      </c>
      <c r="L34" t="n">
        <v>0</v>
      </c>
      <c r="M34" t="n">
        <v>0</v>
      </c>
      <c r="N34" t="n">
        <v>0</v>
      </c>
      <c r="O34" t="n">
        <v>0</v>
      </c>
      <c r="P34" t="n">
        <v>0</v>
      </c>
      <c r="Q34" t="n">
        <v>3</v>
      </c>
      <c r="R34" s="2" t="inlineStr">
        <is>
          <t>Kungsfågel
Röd glada
Törnskata</t>
        </is>
      </c>
      <c r="S34">
        <f>HYPERLINK("https://klasma.github.io/Logging_0580/artfynd/A 48042-2022 artfynd.xlsx", "A 48042-2022")</f>
        <v/>
      </c>
      <c r="T34">
        <f>HYPERLINK("https://klasma.github.io/Logging_0580/kartor/A 48042-2022 karta.png", "A 48042-2022")</f>
        <v/>
      </c>
      <c r="V34">
        <f>HYPERLINK("https://klasma.github.io/Logging_0580/klagomål/A 48042-2022 FSC-klagomål.docx", "A 48042-2022")</f>
        <v/>
      </c>
      <c r="W34">
        <f>HYPERLINK("https://klasma.github.io/Logging_0580/klagomålsmail/A 48042-2022 FSC-klagomål mail.docx", "A 48042-2022")</f>
        <v/>
      </c>
      <c r="X34">
        <f>HYPERLINK("https://klasma.github.io/Logging_0580/tillsyn/A 48042-2022 tillsynsbegäran.docx", "A 48042-2022")</f>
        <v/>
      </c>
      <c r="Y34">
        <f>HYPERLINK("https://klasma.github.io/Logging_0580/tillsynsmail/A 48042-2022 tillsynsbegäran mail.docx", "A 48042-2022")</f>
        <v/>
      </c>
      <c r="Z34">
        <f>HYPERLINK("https://klasma.github.io/Logging_0580/fåglar/A 48042-2022 prioriterade fågelarter.docx", "A 48042-2022")</f>
        <v/>
      </c>
    </row>
    <row r="35" ht="15" customHeight="1">
      <c r="A35" t="inlineStr">
        <is>
          <t>A 56250-2021</t>
        </is>
      </c>
      <c r="B35" s="1" t="n">
        <v>44479</v>
      </c>
      <c r="C35" s="1" t="n">
        <v>46200</v>
      </c>
      <c r="D35" t="inlineStr">
        <is>
          <t>ÖSTERGÖTLANDS LÄN</t>
        </is>
      </c>
      <c r="E35" t="inlineStr">
        <is>
          <t>LINKÖPING</t>
        </is>
      </c>
      <c r="F35" t="inlineStr">
        <is>
          <t>Övriga Aktiebolag</t>
        </is>
      </c>
      <c r="G35" t="n">
        <v>3.2</v>
      </c>
      <c r="H35" t="n">
        <v>0</v>
      </c>
      <c r="I35" t="n">
        <v>1</v>
      </c>
      <c r="J35" t="n">
        <v>2</v>
      </c>
      <c r="K35" t="n">
        <v>0</v>
      </c>
      <c r="L35" t="n">
        <v>0</v>
      </c>
      <c r="M35" t="n">
        <v>0</v>
      </c>
      <c r="N35" t="n">
        <v>0</v>
      </c>
      <c r="O35" t="n">
        <v>2</v>
      </c>
      <c r="P35" t="n">
        <v>0</v>
      </c>
      <c r="Q35" t="n">
        <v>3</v>
      </c>
      <c r="R35" s="2" t="inlineStr">
        <is>
          <t>Gullpudra
Sårläka
Strutbräken</t>
        </is>
      </c>
      <c r="S35">
        <f>HYPERLINK("https://klasma.github.io/Logging_0580/artfynd/A 56250-2021 artfynd.xlsx", "A 56250-2021")</f>
        <v/>
      </c>
      <c r="T35">
        <f>HYPERLINK("https://klasma.github.io/Logging_0580/kartor/A 56250-2021 karta.png", "A 56250-2021")</f>
        <v/>
      </c>
      <c r="V35">
        <f>HYPERLINK("https://klasma.github.io/Logging_0580/klagomål/A 56250-2021 FSC-klagomål.docx", "A 56250-2021")</f>
        <v/>
      </c>
      <c r="W35">
        <f>HYPERLINK("https://klasma.github.io/Logging_0580/klagomålsmail/A 56250-2021 FSC-klagomål mail.docx", "A 56250-2021")</f>
        <v/>
      </c>
      <c r="X35">
        <f>HYPERLINK("https://klasma.github.io/Logging_0580/tillsyn/A 56250-2021 tillsynsbegäran.docx", "A 56250-2021")</f>
        <v/>
      </c>
      <c r="Y35">
        <f>HYPERLINK("https://klasma.github.io/Logging_0580/tillsynsmail/A 56250-2021 tillsynsbegäran mail.docx", "A 56250-2021")</f>
        <v/>
      </c>
    </row>
    <row r="36" ht="15" customHeight="1">
      <c r="A36" t="inlineStr">
        <is>
          <t>A 1213-2023</t>
        </is>
      </c>
      <c r="B36" s="1" t="n">
        <v>44930</v>
      </c>
      <c r="C36" s="1" t="n">
        <v>46200</v>
      </c>
      <c r="D36" t="inlineStr">
        <is>
          <t>ÖSTERGÖTLANDS LÄN</t>
        </is>
      </c>
      <c r="E36" t="inlineStr">
        <is>
          <t>LINKÖPING</t>
        </is>
      </c>
      <c r="F36" t="inlineStr">
        <is>
          <t>Övriga statliga verk och myndigheter</t>
        </is>
      </c>
      <c r="G36" t="n">
        <v>17.8</v>
      </c>
      <c r="H36" t="n">
        <v>1</v>
      </c>
      <c r="I36" t="n">
        <v>1</v>
      </c>
      <c r="J36" t="n">
        <v>2</v>
      </c>
      <c r="K36" t="n">
        <v>0</v>
      </c>
      <c r="L36" t="n">
        <v>0</v>
      </c>
      <c r="M36" t="n">
        <v>0</v>
      </c>
      <c r="N36" t="n">
        <v>0</v>
      </c>
      <c r="O36" t="n">
        <v>2</v>
      </c>
      <c r="P36" t="n">
        <v>0</v>
      </c>
      <c r="Q36" t="n">
        <v>3</v>
      </c>
      <c r="R36" s="2" t="inlineStr">
        <is>
          <t>Bivråk
Jungfrulin
Stubbspretmossa</t>
        </is>
      </c>
      <c r="S36">
        <f>HYPERLINK("https://klasma.github.io/Logging_0580/artfynd/A 1213-2023 artfynd.xlsx", "A 1213-2023")</f>
        <v/>
      </c>
      <c r="T36">
        <f>HYPERLINK("https://klasma.github.io/Logging_0580/kartor/A 1213-2023 karta.png", "A 1213-2023")</f>
        <v/>
      </c>
      <c r="V36">
        <f>HYPERLINK("https://klasma.github.io/Logging_0580/klagomål/A 1213-2023 FSC-klagomål.docx", "A 1213-2023")</f>
        <v/>
      </c>
      <c r="W36">
        <f>HYPERLINK("https://klasma.github.io/Logging_0580/klagomålsmail/A 1213-2023 FSC-klagomål mail.docx", "A 1213-2023")</f>
        <v/>
      </c>
      <c r="X36">
        <f>HYPERLINK("https://klasma.github.io/Logging_0580/tillsyn/A 1213-2023 tillsynsbegäran.docx", "A 1213-2023")</f>
        <v/>
      </c>
      <c r="Y36">
        <f>HYPERLINK("https://klasma.github.io/Logging_0580/tillsynsmail/A 1213-2023 tillsynsbegäran mail.docx", "A 1213-2023")</f>
        <v/>
      </c>
      <c r="Z36">
        <f>HYPERLINK("https://klasma.github.io/Logging_0580/fåglar/A 1213-2023 prioriterade fågelarter.docx", "A 1213-2023")</f>
        <v/>
      </c>
    </row>
    <row r="37" ht="15" customHeight="1">
      <c r="A37" t="inlineStr">
        <is>
          <t>A 42054-2022</t>
        </is>
      </c>
      <c r="B37" s="1" t="n">
        <v>44830</v>
      </c>
      <c r="C37" s="1" t="n">
        <v>46200</v>
      </c>
      <c r="D37" t="inlineStr">
        <is>
          <t>ÖSTERGÖTLANDS LÄN</t>
        </is>
      </c>
      <c r="E37" t="inlineStr">
        <is>
          <t>LINKÖPING</t>
        </is>
      </c>
      <c r="G37" t="n">
        <v>1.7</v>
      </c>
      <c r="H37" t="n">
        <v>0</v>
      </c>
      <c r="I37" t="n">
        <v>1</v>
      </c>
      <c r="J37" t="n">
        <v>2</v>
      </c>
      <c r="K37" t="n">
        <v>0</v>
      </c>
      <c r="L37" t="n">
        <v>0</v>
      </c>
      <c r="M37" t="n">
        <v>0</v>
      </c>
      <c r="N37" t="n">
        <v>0</v>
      </c>
      <c r="O37" t="n">
        <v>2</v>
      </c>
      <c r="P37" t="n">
        <v>0</v>
      </c>
      <c r="Q37" t="n">
        <v>3</v>
      </c>
      <c r="R37" s="2" t="inlineStr">
        <is>
          <t>Tallticka
Älg
Mindre märgborre</t>
        </is>
      </c>
      <c r="S37">
        <f>HYPERLINK("https://klasma.github.io/Logging_0580/artfynd/A 42054-2022 artfynd.xlsx", "A 42054-2022")</f>
        <v/>
      </c>
      <c r="T37">
        <f>HYPERLINK("https://klasma.github.io/Logging_0580/kartor/A 42054-2022 karta.png", "A 42054-2022")</f>
        <v/>
      </c>
      <c r="V37">
        <f>HYPERLINK("https://klasma.github.io/Logging_0580/klagomål/A 42054-2022 FSC-klagomål.docx", "A 42054-2022")</f>
        <v/>
      </c>
      <c r="W37">
        <f>HYPERLINK("https://klasma.github.io/Logging_0580/klagomålsmail/A 42054-2022 FSC-klagomål mail.docx", "A 42054-2022")</f>
        <v/>
      </c>
      <c r="X37">
        <f>HYPERLINK("https://klasma.github.io/Logging_0580/tillsyn/A 42054-2022 tillsynsbegäran.docx", "A 42054-2022")</f>
        <v/>
      </c>
      <c r="Y37">
        <f>HYPERLINK("https://klasma.github.io/Logging_0580/tillsynsmail/A 42054-2022 tillsynsbegäran mail.docx", "A 42054-2022")</f>
        <v/>
      </c>
    </row>
    <row r="38" ht="15" customHeight="1">
      <c r="A38" t="inlineStr">
        <is>
          <t>A 62321-2022</t>
        </is>
      </c>
      <c r="B38" s="1" t="n">
        <v>44916</v>
      </c>
      <c r="C38" s="1" t="n">
        <v>46200</v>
      </c>
      <c r="D38" t="inlineStr">
        <is>
          <t>ÖSTERGÖTLANDS LÄN</t>
        </is>
      </c>
      <c r="E38" t="inlineStr">
        <is>
          <t>LINKÖPING</t>
        </is>
      </c>
      <c r="F38" t="inlineStr">
        <is>
          <t>Kommuner</t>
        </is>
      </c>
      <c r="G38" t="n">
        <v>5.3</v>
      </c>
      <c r="H38" t="n">
        <v>0</v>
      </c>
      <c r="I38" t="n">
        <v>0</v>
      </c>
      <c r="J38" t="n">
        <v>3</v>
      </c>
      <c r="K38" t="n">
        <v>0</v>
      </c>
      <c r="L38" t="n">
        <v>0</v>
      </c>
      <c r="M38" t="n">
        <v>0</v>
      </c>
      <c r="N38" t="n">
        <v>0</v>
      </c>
      <c r="O38" t="n">
        <v>3</v>
      </c>
      <c r="P38" t="n">
        <v>0</v>
      </c>
      <c r="Q38" t="n">
        <v>3</v>
      </c>
      <c r="R38" s="2" t="inlineStr">
        <is>
          <t>Reliktbock
Svinrot
Vintertagging</t>
        </is>
      </c>
      <c r="S38">
        <f>HYPERLINK("https://klasma.github.io/Logging_0580/artfynd/A 62321-2022 artfynd.xlsx", "A 62321-2022")</f>
        <v/>
      </c>
      <c r="T38">
        <f>HYPERLINK("https://klasma.github.io/Logging_0580/kartor/A 62321-2022 karta.png", "A 62321-2022")</f>
        <v/>
      </c>
      <c r="V38">
        <f>HYPERLINK("https://klasma.github.io/Logging_0580/klagomål/A 62321-2022 FSC-klagomål.docx", "A 62321-2022")</f>
        <v/>
      </c>
      <c r="W38">
        <f>HYPERLINK("https://klasma.github.io/Logging_0580/klagomålsmail/A 62321-2022 FSC-klagomål mail.docx", "A 62321-2022")</f>
        <v/>
      </c>
      <c r="X38">
        <f>HYPERLINK("https://klasma.github.io/Logging_0580/tillsyn/A 62321-2022 tillsynsbegäran.docx", "A 62321-2022")</f>
        <v/>
      </c>
      <c r="Y38">
        <f>HYPERLINK("https://klasma.github.io/Logging_0580/tillsynsmail/A 62321-2022 tillsynsbegäran mail.docx", "A 62321-2022")</f>
        <v/>
      </c>
    </row>
    <row r="39" ht="15" customHeight="1">
      <c r="A39" t="inlineStr">
        <is>
          <t>A 36557-2023</t>
        </is>
      </c>
      <c r="B39" s="1" t="n">
        <v>45153</v>
      </c>
      <c r="C39" s="1" t="n">
        <v>46200</v>
      </c>
      <c r="D39" t="inlineStr">
        <is>
          <t>ÖSTERGÖTLANDS LÄN</t>
        </is>
      </c>
      <c r="E39" t="inlineStr">
        <is>
          <t>LINKÖPING</t>
        </is>
      </c>
      <c r="F39" t="inlineStr">
        <is>
          <t>Övriga Aktiebolag</t>
        </is>
      </c>
      <c r="G39" t="n">
        <v>3.1</v>
      </c>
      <c r="H39" t="n">
        <v>0</v>
      </c>
      <c r="I39" t="n">
        <v>3</v>
      </c>
      <c r="J39" t="n">
        <v>0</v>
      </c>
      <c r="K39" t="n">
        <v>0</v>
      </c>
      <c r="L39" t="n">
        <v>0</v>
      </c>
      <c r="M39" t="n">
        <v>0</v>
      </c>
      <c r="N39" t="n">
        <v>0</v>
      </c>
      <c r="O39" t="n">
        <v>0</v>
      </c>
      <c r="P39" t="n">
        <v>0</v>
      </c>
      <c r="Q39" t="n">
        <v>3</v>
      </c>
      <c r="R39" s="2" t="inlineStr">
        <is>
          <t>Dorcatoma dresdensis
Noshornsoxe
Robust tickgnagare</t>
        </is>
      </c>
      <c r="S39">
        <f>HYPERLINK("https://klasma.github.io/Logging_0580/artfynd/A 36557-2023 artfynd.xlsx", "A 36557-2023")</f>
        <v/>
      </c>
      <c r="T39">
        <f>HYPERLINK("https://klasma.github.io/Logging_0580/kartor/A 36557-2023 karta.png", "A 36557-2023")</f>
        <v/>
      </c>
      <c r="V39">
        <f>HYPERLINK("https://klasma.github.io/Logging_0580/klagomål/A 36557-2023 FSC-klagomål.docx", "A 36557-2023")</f>
        <v/>
      </c>
      <c r="W39">
        <f>HYPERLINK("https://klasma.github.io/Logging_0580/klagomålsmail/A 36557-2023 FSC-klagomål mail.docx", "A 36557-2023")</f>
        <v/>
      </c>
      <c r="X39">
        <f>HYPERLINK("https://klasma.github.io/Logging_0580/tillsyn/A 36557-2023 tillsynsbegäran.docx", "A 36557-2023")</f>
        <v/>
      </c>
      <c r="Y39">
        <f>HYPERLINK("https://klasma.github.io/Logging_0580/tillsynsmail/A 36557-2023 tillsynsbegäran mail.docx", "A 36557-2023")</f>
        <v/>
      </c>
    </row>
    <row r="40" ht="15" customHeight="1">
      <c r="A40" t="inlineStr">
        <is>
          <t>A 54835-2023</t>
        </is>
      </c>
      <c r="B40" s="1" t="n">
        <v>45236</v>
      </c>
      <c r="C40" s="1" t="n">
        <v>46200</v>
      </c>
      <c r="D40" t="inlineStr">
        <is>
          <t>ÖSTERGÖTLANDS LÄN</t>
        </is>
      </c>
      <c r="E40" t="inlineStr">
        <is>
          <t>LINKÖPING</t>
        </is>
      </c>
      <c r="G40" t="n">
        <v>2</v>
      </c>
      <c r="H40" t="n">
        <v>1</v>
      </c>
      <c r="I40" t="n">
        <v>0</v>
      </c>
      <c r="J40" t="n">
        <v>3</v>
      </c>
      <c r="K40" t="n">
        <v>0</v>
      </c>
      <c r="L40" t="n">
        <v>0</v>
      </c>
      <c r="M40" t="n">
        <v>0</v>
      </c>
      <c r="N40" t="n">
        <v>0</v>
      </c>
      <c r="O40" t="n">
        <v>3</v>
      </c>
      <c r="P40" t="n">
        <v>0</v>
      </c>
      <c r="Q40" t="n">
        <v>3</v>
      </c>
      <c r="R40" s="2" t="inlineStr">
        <is>
          <t>Krusfrö
Sparvuggla
Storgröe</t>
        </is>
      </c>
      <c r="S40">
        <f>HYPERLINK("https://klasma.github.io/Logging_0580/artfynd/A 54835-2023 artfynd.xlsx", "A 54835-2023")</f>
        <v/>
      </c>
      <c r="T40">
        <f>HYPERLINK("https://klasma.github.io/Logging_0580/kartor/A 54835-2023 karta.png", "A 54835-2023")</f>
        <v/>
      </c>
      <c r="V40">
        <f>HYPERLINK("https://klasma.github.io/Logging_0580/klagomål/A 54835-2023 FSC-klagomål.docx", "A 54835-2023")</f>
        <v/>
      </c>
      <c r="W40">
        <f>HYPERLINK("https://klasma.github.io/Logging_0580/klagomålsmail/A 54835-2023 FSC-klagomål mail.docx", "A 54835-2023")</f>
        <v/>
      </c>
      <c r="X40">
        <f>HYPERLINK("https://klasma.github.io/Logging_0580/tillsyn/A 54835-2023 tillsynsbegäran.docx", "A 54835-2023")</f>
        <v/>
      </c>
      <c r="Y40">
        <f>HYPERLINK("https://klasma.github.io/Logging_0580/tillsynsmail/A 54835-2023 tillsynsbegäran mail.docx", "A 54835-2023")</f>
        <v/>
      </c>
      <c r="Z40">
        <f>HYPERLINK("https://klasma.github.io/Logging_0580/fåglar/A 54835-2023 prioriterade fågelarter.docx", "A 54835-2023")</f>
        <v/>
      </c>
    </row>
    <row r="41" ht="15" customHeight="1">
      <c r="A41" t="inlineStr">
        <is>
          <t>A 55341-2024</t>
        </is>
      </c>
      <c r="B41" s="1" t="n">
        <v>45621</v>
      </c>
      <c r="C41" s="1" t="n">
        <v>46200</v>
      </c>
      <c r="D41" t="inlineStr">
        <is>
          <t>ÖSTERGÖTLANDS LÄN</t>
        </is>
      </c>
      <c r="E41" t="inlineStr">
        <is>
          <t>LINKÖPING</t>
        </is>
      </c>
      <c r="G41" t="n">
        <v>4.3</v>
      </c>
      <c r="H41" t="n">
        <v>0</v>
      </c>
      <c r="I41" t="n">
        <v>2</v>
      </c>
      <c r="J41" t="n">
        <v>1</v>
      </c>
      <c r="K41" t="n">
        <v>0</v>
      </c>
      <c r="L41" t="n">
        <v>0</v>
      </c>
      <c r="M41" t="n">
        <v>0</v>
      </c>
      <c r="N41" t="n">
        <v>0</v>
      </c>
      <c r="O41" t="n">
        <v>1</v>
      </c>
      <c r="P41" t="n">
        <v>0</v>
      </c>
      <c r="Q41" t="n">
        <v>3</v>
      </c>
      <c r="R41" s="2" t="inlineStr">
        <is>
          <t>Rynkskinn
Barkticka
Smal svampklubba</t>
        </is>
      </c>
      <c r="S41">
        <f>HYPERLINK("https://klasma.github.io/Logging_0580/artfynd/A 55341-2024 artfynd.xlsx", "A 55341-2024")</f>
        <v/>
      </c>
      <c r="T41">
        <f>HYPERLINK("https://klasma.github.io/Logging_0580/kartor/A 55341-2024 karta.png", "A 55341-2024")</f>
        <v/>
      </c>
      <c r="V41">
        <f>HYPERLINK("https://klasma.github.io/Logging_0580/klagomål/A 55341-2024 FSC-klagomål.docx", "A 55341-2024")</f>
        <v/>
      </c>
      <c r="W41">
        <f>HYPERLINK("https://klasma.github.io/Logging_0580/klagomålsmail/A 55341-2024 FSC-klagomål mail.docx", "A 55341-2024")</f>
        <v/>
      </c>
      <c r="X41">
        <f>HYPERLINK("https://klasma.github.io/Logging_0580/tillsyn/A 55341-2024 tillsynsbegäran.docx", "A 55341-2024")</f>
        <v/>
      </c>
      <c r="Y41">
        <f>HYPERLINK("https://klasma.github.io/Logging_0580/tillsynsmail/A 55341-2024 tillsynsbegäran mail.docx", "A 55341-2024")</f>
        <v/>
      </c>
    </row>
    <row r="42" ht="15" customHeight="1">
      <c r="A42" t="inlineStr">
        <is>
          <t>A 126-2024</t>
        </is>
      </c>
      <c r="B42" s="1" t="n">
        <v>45294</v>
      </c>
      <c r="C42" s="1" t="n">
        <v>46200</v>
      </c>
      <c r="D42" t="inlineStr">
        <is>
          <t>ÖSTERGÖTLANDS LÄN</t>
        </is>
      </c>
      <c r="E42" t="inlineStr">
        <is>
          <t>LINKÖPING</t>
        </is>
      </c>
      <c r="G42" t="n">
        <v>1</v>
      </c>
      <c r="H42" t="n">
        <v>0</v>
      </c>
      <c r="I42" t="n">
        <v>3</v>
      </c>
      <c r="J42" t="n">
        <v>0</v>
      </c>
      <c r="K42" t="n">
        <v>0</v>
      </c>
      <c r="L42" t="n">
        <v>0</v>
      </c>
      <c r="M42" t="n">
        <v>0</v>
      </c>
      <c r="N42" t="n">
        <v>0</v>
      </c>
      <c r="O42" t="n">
        <v>0</v>
      </c>
      <c r="P42" t="n">
        <v>0</v>
      </c>
      <c r="Q42" t="n">
        <v>3</v>
      </c>
      <c r="R42" s="2" t="inlineStr">
        <is>
          <t>Blåmossa
Bronshjon
Granbarkgnagare</t>
        </is>
      </c>
      <c r="S42">
        <f>HYPERLINK("https://klasma.github.io/Logging_0580/artfynd/A 126-2024 artfynd.xlsx", "A 126-2024")</f>
        <v/>
      </c>
      <c r="T42">
        <f>HYPERLINK("https://klasma.github.io/Logging_0580/kartor/A 126-2024 karta.png", "A 126-2024")</f>
        <v/>
      </c>
      <c r="V42">
        <f>HYPERLINK("https://klasma.github.io/Logging_0580/klagomål/A 126-2024 FSC-klagomål.docx", "A 126-2024")</f>
        <v/>
      </c>
      <c r="W42">
        <f>HYPERLINK("https://klasma.github.io/Logging_0580/klagomålsmail/A 126-2024 FSC-klagomål mail.docx", "A 126-2024")</f>
        <v/>
      </c>
      <c r="X42">
        <f>HYPERLINK("https://klasma.github.io/Logging_0580/tillsyn/A 126-2024 tillsynsbegäran.docx", "A 126-2024")</f>
        <v/>
      </c>
      <c r="Y42">
        <f>HYPERLINK("https://klasma.github.io/Logging_0580/tillsynsmail/A 126-2024 tillsynsbegäran mail.docx", "A 126-2024")</f>
        <v/>
      </c>
    </row>
    <row r="43" ht="15" customHeight="1">
      <c r="A43" t="inlineStr">
        <is>
          <t>A 38913-2023</t>
        </is>
      </c>
      <c r="B43" s="1" t="n">
        <v>45163</v>
      </c>
      <c r="C43" s="1" t="n">
        <v>46200</v>
      </c>
      <c r="D43" t="inlineStr">
        <is>
          <t>ÖSTERGÖTLANDS LÄN</t>
        </is>
      </c>
      <c r="E43" t="inlineStr">
        <is>
          <t>LINKÖPING</t>
        </is>
      </c>
      <c r="G43" t="n">
        <v>2.7</v>
      </c>
      <c r="H43" t="n">
        <v>2</v>
      </c>
      <c r="I43" t="n">
        <v>1</v>
      </c>
      <c r="J43" t="n">
        <v>0</v>
      </c>
      <c r="K43" t="n">
        <v>0</v>
      </c>
      <c r="L43" t="n">
        <v>0</v>
      </c>
      <c r="M43" t="n">
        <v>0</v>
      </c>
      <c r="N43" t="n">
        <v>0</v>
      </c>
      <c r="O43" t="n">
        <v>0</v>
      </c>
      <c r="P43" t="n">
        <v>0</v>
      </c>
      <c r="Q43" t="n">
        <v>3</v>
      </c>
      <c r="R43" s="2" t="inlineStr">
        <is>
          <t>Skogsbräsma
Dubbelnycklar
Revlummer</t>
        </is>
      </c>
      <c r="S43">
        <f>HYPERLINK("https://klasma.github.io/Logging_0580/artfynd/A 38913-2023 artfynd.xlsx", "A 38913-2023")</f>
        <v/>
      </c>
      <c r="T43">
        <f>HYPERLINK("https://klasma.github.io/Logging_0580/kartor/A 38913-2023 karta.png", "A 38913-2023")</f>
        <v/>
      </c>
      <c r="V43">
        <f>HYPERLINK("https://klasma.github.io/Logging_0580/klagomål/A 38913-2023 FSC-klagomål.docx", "A 38913-2023")</f>
        <v/>
      </c>
      <c r="W43">
        <f>HYPERLINK("https://klasma.github.io/Logging_0580/klagomålsmail/A 38913-2023 FSC-klagomål mail.docx", "A 38913-2023")</f>
        <v/>
      </c>
      <c r="X43">
        <f>HYPERLINK("https://klasma.github.io/Logging_0580/tillsyn/A 38913-2023 tillsynsbegäran.docx", "A 38913-2023")</f>
        <v/>
      </c>
      <c r="Y43">
        <f>HYPERLINK("https://klasma.github.io/Logging_0580/tillsynsmail/A 38913-2023 tillsynsbegäran mail.docx", "A 38913-2023")</f>
        <v/>
      </c>
    </row>
    <row r="44" ht="15" customHeight="1">
      <c r="A44" t="inlineStr">
        <is>
          <t>A 577-2025</t>
        </is>
      </c>
      <c r="B44" s="1" t="n">
        <v>45664</v>
      </c>
      <c r="C44" s="1" t="n">
        <v>46200</v>
      </c>
      <c r="D44" t="inlineStr">
        <is>
          <t>ÖSTERGÖTLANDS LÄN</t>
        </is>
      </c>
      <c r="E44" t="inlineStr">
        <is>
          <t>LINKÖPING</t>
        </is>
      </c>
      <c r="G44" t="n">
        <v>3.7</v>
      </c>
      <c r="H44" t="n">
        <v>3</v>
      </c>
      <c r="I44" t="n">
        <v>0</v>
      </c>
      <c r="J44" t="n">
        <v>1</v>
      </c>
      <c r="K44" t="n">
        <v>0</v>
      </c>
      <c r="L44" t="n">
        <v>0</v>
      </c>
      <c r="M44" t="n">
        <v>0</v>
      </c>
      <c r="N44" t="n">
        <v>0</v>
      </c>
      <c r="O44" t="n">
        <v>1</v>
      </c>
      <c r="P44" t="n">
        <v>0</v>
      </c>
      <c r="Q44" t="n">
        <v>3</v>
      </c>
      <c r="R44" s="2" t="inlineStr">
        <is>
          <t>Brunlångöra
Dvärgpipistrell
Större brunfladdermus</t>
        </is>
      </c>
      <c r="S44">
        <f>HYPERLINK("https://klasma.github.io/Logging_0580/artfynd/A 577-2025 artfynd.xlsx", "A 577-2025")</f>
        <v/>
      </c>
      <c r="T44">
        <f>HYPERLINK("https://klasma.github.io/Logging_0580/kartor/A 577-2025 karta.png", "A 577-2025")</f>
        <v/>
      </c>
      <c r="V44">
        <f>HYPERLINK("https://klasma.github.io/Logging_0580/klagomål/A 577-2025 FSC-klagomål.docx", "A 577-2025")</f>
        <v/>
      </c>
      <c r="W44">
        <f>HYPERLINK("https://klasma.github.io/Logging_0580/klagomålsmail/A 577-2025 FSC-klagomål mail.docx", "A 577-2025")</f>
        <v/>
      </c>
      <c r="X44">
        <f>HYPERLINK("https://klasma.github.io/Logging_0580/tillsyn/A 577-2025 tillsynsbegäran.docx", "A 577-2025")</f>
        <v/>
      </c>
      <c r="Y44">
        <f>HYPERLINK("https://klasma.github.io/Logging_0580/tillsynsmail/A 577-2025 tillsynsbegäran mail.docx", "A 577-2025")</f>
        <v/>
      </c>
    </row>
    <row r="45" ht="15" customHeight="1">
      <c r="A45" t="inlineStr">
        <is>
          <t>A 50048-2025</t>
        </is>
      </c>
      <c r="B45" s="1" t="n">
        <v>45941</v>
      </c>
      <c r="C45" s="1" t="n">
        <v>46200</v>
      </c>
      <c r="D45" t="inlineStr">
        <is>
          <t>ÖSTERGÖTLANDS LÄN</t>
        </is>
      </c>
      <c r="E45" t="inlineStr">
        <is>
          <t>LINKÖPING</t>
        </is>
      </c>
      <c r="G45" t="n">
        <v>2.4</v>
      </c>
      <c r="H45" t="n">
        <v>3</v>
      </c>
      <c r="I45" t="n">
        <v>0</v>
      </c>
      <c r="J45" t="n">
        <v>2</v>
      </c>
      <c r="K45" t="n">
        <v>0</v>
      </c>
      <c r="L45" t="n">
        <v>0</v>
      </c>
      <c r="M45" t="n">
        <v>0</v>
      </c>
      <c r="N45" t="n">
        <v>0</v>
      </c>
      <c r="O45" t="n">
        <v>2</v>
      </c>
      <c r="P45" t="n">
        <v>0</v>
      </c>
      <c r="Q45" t="n">
        <v>3</v>
      </c>
      <c r="R45" s="2" t="inlineStr">
        <is>
          <t>Grönsångare
Gulsparv
Trädlärka</t>
        </is>
      </c>
      <c r="S45">
        <f>HYPERLINK("https://klasma.github.io/Logging_0580/artfynd/A 50048-2025 artfynd.xlsx", "A 50048-2025")</f>
        <v/>
      </c>
      <c r="T45">
        <f>HYPERLINK("https://klasma.github.io/Logging_0580/kartor/A 50048-2025 karta.png", "A 50048-2025")</f>
        <v/>
      </c>
      <c r="V45">
        <f>HYPERLINK("https://klasma.github.io/Logging_0580/klagomål/A 50048-2025 FSC-klagomål.docx", "A 50048-2025")</f>
        <v/>
      </c>
      <c r="W45">
        <f>HYPERLINK("https://klasma.github.io/Logging_0580/klagomålsmail/A 50048-2025 FSC-klagomål mail.docx", "A 50048-2025")</f>
        <v/>
      </c>
      <c r="X45">
        <f>HYPERLINK("https://klasma.github.io/Logging_0580/tillsyn/A 50048-2025 tillsynsbegäran.docx", "A 50048-2025")</f>
        <v/>
      </c>
      <c r="Y45">
        <f>HYPERLINK("https://klasma.github.io/Logging_0580/tillsynsmail/A 50048-2025 tillsynsbegäran mail.docx", "A 50048-2025")</f>
        <v/>
      </c>
      <c r="Z45">
        <f>HYPERLINK("https://klasma.github.io/Logging_0580/fåglar/A 50048-2025 prioriterade fågelarter.docx", "A 50048-2025")</f>
        <v/>
      </c>
    </row>
    <row r="46" ht="15" customHeight="1">
      <c r="A46" t="inlineStr">
        <is>
          <t>A 50806-2023</t>
        </is>
      </c>
      <c r="B46" s="1" t="n">
        <v>45217</v>
      </c>
      <c r="C46" s="1" t="n">
        <v>46200</v>
      </c>
      <c r="D46" t="inlineStr">
        <is>
          <t>ÖSTERGÖTLANDS LÄN</t>
        </is>
      </c>
      <c r="E46" t="inlineStr">
        <is>
          <t>LINKÖPING</t>
        </is>
      </c>
      <c r="F46" t="inlineStr">
        <is>
          <t>Övriga Aktiebolag</t>
        </is>
      </c>
      <c r="G46" t="n">
        <v>0.7</v>
      </c>
      <c r="H46" t="n">
        <v>1</v>
      </c>
      <c r="I46" t="n">
        <v>2</v>
      </c>
      <c r="J46" t="n">
        <v>0</v>
      </c>
      <c r="K46" t="n">
        <v>0</v>
      </c>
      <c r="L46" t="n">
        <v>0</v>
      </c>
      <c r="M46" t="n">
        <v>0</v>
      </c>
      <c r="N46" t="n">
        <v>0</v>
      </c>
      <c r="O46" t="n">
        <v>0</v>
      </c>
      <c r="P46" t="n">
        <v>0</v>
      </c>
      <c r="Q46" t="n">
        <v>3</v>
      </c>
      <c r="R46" s="2" t="inlineStr">
        <is>
          <t>Brun nållav
Fällmossa
Gullviva</t>
        </is>
      </c>
      <c r="S46">
        <f>HYPERLINK("https://klasma.github.io/Logging_0580/artfynd/A 50806-2023 artfynd.xlsx", "A 50806-2023")</f>
        <v/>
      </c>
      <c r="T46">
        <f>HYPERLINK("https://klasma.github.io/Logging_0580/kartor/A 50806-2023 karta.png", "A 50806-2023")</f>
        <v/>
      </c>
      <c r="V46">
        <f>HYPERLINK("https://klasma.github.io/Logging_0580/klagomål/A 50806-2023 FSC-klagomål.docx", "A 50806-2023")</f>
        <v/>
      </c>
      <c r="W46">
        <f>HYPERLINK("https://klasma.github.io/Logging_0580/klagomålsmail/A 50806-2023 FSC-klagomål mail.docx", "A 50806-2023")</f>
        <v/>
      </c>
      <c r="X46">
        <f>HYPERLINK("https://klasma.github.io/Logging_0580/tillsyn/A 50806-2023 tillsynsbegäran.docx", "A 50806-2023")</f>
        <v/>
      </c>
      <c r="Y46">
        <f>HYPERLINK("https://klasma.github.io/Logging_0580/tillsynsmail/A 50806-2023 tillsynsbegäran mail.docx", "A 50806-2023")</f>
        <v/>
      </c>
    </row>
    <row r="47" ht="15" customHeight="1">
      <c r="A47" t="inlineStr">
        <is>
          <t>A 59474-2025</t>
        </is>
      </c>
      <c r="B47" s="1" t="n">
        <v>45989</v>
      </c>
      <c r="C47" s="1" t="n">
        <v>46200</v>
      </c>
      <c r="D47" t="inlineStr">
        <is>
          <t>ÖSTERGÖTLANDS LÄN</t>
        </is>
      </c>
      <c r="E47" t="inlineStr">
        <is>
          <t>LINKÖPING</t>
        </is>
      </c>
      <c r="G47" t="n">
        <v>8</v>
      </c>
      <c r="H47" t="n">
        <v>0</v>
      </c>
      <c r="I47" t="n">
        <v>2</v>
      </c>
      <c r="J47" t="n">
        <v>1</v>
      </c>
      <c r="K47" t="n">
        <v>0</v>
      </c>
      <c r="L47" t="n">
        <v>0</v>
      </c>
      <c r="M47" t="n">
        <v>0</v>
      </c>
      <c r="N47" t="n">
        <v>0</v>
      </c>
      <c r="O47" t="n">
        <v>1</v>
      </c>
      <c r="P47" t="n">
        <v>0</v>
      </c>
      <c r="Q47" t="n">
        <v>3</v>
      </c>
      <c r="R47" s="2" t="inlineStr">
        <is>
          <t>Gullpudra
Fällmossa
Tibast</t>
        </is>
      </c>
      <c r="S47">
        <f>HYPERLINK("https://klasma.github.io/Logging_0580/artfynd/A 59474-2025 artfynd.xlsx", "A 59474-2025")</f>
        <v/>
      </c>
      <c r="T47">
        <f>HYPERLINK("https://klasma.github.io/Logging_0580/kartor/A 59474-2025 karta.png", "A 59474-2025")</f>
        <v/>
      </c>
      <c r="V47">
        <f>HYPERLINK("https://klasma.github.io/Logging_0580/klagomål/A 59474-2025 FSC-klagomål.docx", "A 59474-2025")</f>
        <v/>
      </c>
      <c r="W47">
        <f>HYPERLINK("https://klasma.github.io/Logging_0580/klagomålsmail/A 59474-2025 FSC-klagomål mail.docx", "A 59474-2025")</f>
        <v/>
      </c>
      <c r="X47">
        <f>HYPERLINK("https://klasma.github.io/Logging_0580/tillsyn/A 59474-2025 tillsynsbegäran.docx", "A 59474-2025")</f>
        <v/>
      </c>
      <c r="Y47">
        <f>HYPERLINK("https://klasma.github.io/Logging_0580/tillsynsmail/A 59474-2025 tillsynsbegäran mail.docx", "A 59474-2025")</f>
        <v/>
      </c>
    </row>
    <row r="48" ht="15" customHeight="1">
      <c r="A48" t="inlineStr">
        <is>
          <t>A 12247-2026</t>
        </is>
      </c>
      <c r="B48" s="1" t="n">
        <v>46087</v>
      </c>
      <c r="C48" s="1" t="n">
        <v>46200</v>
      </c>
      <c r="D48" t="inlineStr">
        <is>
          <t>ÖSTERGÖTLANDS LÄN</t>
        </is>
      </c>
      <c r="E48" t="inlineStr">
        <is>
          <t>LINKÖPING</t>
        </is>
      </c>
      <c r="G48" t="n">
        <v>0.9</v>
      </c>
      <c r="H48" t="n">
        <v>1</v>
      </c>
      <c r="I48" t="n">
        <v>1</v>
      </c>
      <c r="J48" t="n">
        <v>1</v>
      </c>
      <c r="K48" t="n">
        <v>0</v>
      </c>
      <c r="L48" t="n">
        <v>0</v>
      </c>
      <c r="M48" t="n">
        <v>0</v>
      </c>
      <c r="N48" t="n">
        <v>0</v>
      </c>
      <c r="O48" t="n">
        <v>1</v>
      </c>
      <c r="P48" t="n">
        <v>0</v>
      </c>
      <c r="Q48" t="n">
        <v>3</v>
      </c>
      <c r="R48" s="2" t="inlineStr">
        <is>
          <t>Vedtrappmossa
Svart trolldruva
Spillkråka</t>
        </is>
      </c>
      <c r="S48">
        <f>HYPERLINK("https://klasma.github.io/Logging_0580/artfynd/A 12247-2026 artfynd.xlsx", "A 12247-2026")</f>
        <v/>
      </c>
      <c r="T48">
        <f>HYPERLINK("https://klasma.github.io/Logging_0580/kartor/A 12247-2026 karta.png", "A 12247-2026")</f>
        <v/>
      </c>
      <c r="V48">
        <f>HYPERLINK("https://klasma.github.io/Logging_0580/klagomål/A 12247-2026 FSC-klagomål.docx", "A 12247-2026")</f>
        <v/>
      </c>
      <c r="W48">
        <f>HYPERLINK("https://klasma.github.io/Logging_0580/klagomålsmail/A 12247-2026 FSC-klagomål mail.docx", "A 12247-2026")</f>
        <v/>
      </c>
      <c r="X48">
        <f>HYPERLINK("https://klasma.github.io/Logging_0580/tillsyn/A 12247-2026 tillsynsbegäran.docx", "A 12247-2026")</f>
        <v/>
      </c>
      <c r="Y48">
        <f>HYPERLINK("https://klasma.github.io/Logging_0580/tillsynsmail/A 12247-2026 tillsynsbegäran mail.docx", "A 12247-2026")</f>
        <v/>
      </c>
      <c r="Z48">
        <f>HYPERLINK("https://klasma.github.io/Logging_0580/fåglar/A 12247-2026 prioriterade fågelarter.docx", "A 12247-2026")</f>
        <v/>
      </c>
    </row>
    <row r="49" ht="15" customHeight="1">
      <c r="A49" t="inlineStr">
        <is>
          <t>A 20292-2025</t>
        </is>
      </c>
      <c r="B49" s="1" t="n">
        <v>45774</v>
      </c>
      <c r="C49" s="1" t="n">
        <v>46200</v>
      </c>
      <c r="D49" t="inlineStr">
        <is>
          <t>ÖSTERGÖTLANDS LÄN</t>
        </is>
      </c>
      <c r="E49" t="inlineStr">
        <is>
          <t>LINKÖPING</t>
        </is>
      </c>
      <c r="G49" t="n">
        <v>8.4</v>
      </c>
      <c r="H49" t="n">
        <v>2</v>
      </c>
      <c r="I49" t="n">
        <v>1</v>
      </c>
      <c r="J49" t="n">
        <v>1</v>
      </c>
      <c r="K49" t="n">
        <v>0</v>
      </c>
      <c r="L49" t="n">
        <v>0</v>
      </c>
      <c r="M49" t="n">
        <v>0</v>
      </c>
      <c r="N49" t="n">
        <v>0</v>
      </c>
      <c r="O49" t="n">
        <v>1</v>
      </c>
      <c r="P49" t="n">
        <v>0</v>
      </c>
      <c r="Q49" t="n">
        <v>3</v>
      </c>
      <c r="R49" s="2" t="inlineStr">
        <is>
          <t>Gulsparv
Blåmossa
Blåsippa</t>
        </is>
      </c>
      <c r="S49">
        <f>HYPERLINK("https://klasma.github.io/Logging_0580/artfynd/A 20292-2025 artfynd.xlsx", "A 20292-2025")</f>
        <v/>
      </c>
      <c r="T49">
        <f>HYPERLINK("https://klasma.github.io/Logging_0580/kartor/A 20292-2025 karta.png", "A 20292-2025")</f>
        <v/>
      </c>
      <c r="V49">
        <f>HYPERLINK("https://klasma.github.io/Logging_0580/klagomål/A 20292-2025 FSC-klagomål.docx", "A 20292-2025")</f>
        <v/>
      </c>
      <c r="W49">
        <f>HYPERLINK("https://klasma.github.io/Logging_0580/klagomålsmail/A 20292-2025 FSC-klagomål mail.docx", "A 20292-2025")</f>
        <v/>
      </c>
      <c r="X49">
        <f>HYPERLINK("https://klasma.github.io/Logging_0580/tillsyn/A 20292-2025 tillsynsbegäran.docx", "A 20292-2025")</f>
        <v/>
      </c>
      <c r="Y49">
        <f>HYPERLINK("https://klasma.github.io/Logging_0580/tillsynsmail/A 20292-2025 tillsynsbegäran mail.docx", "A 20292-2025")</f>
        <v/>
      </c>
      <c r="Z49">
        <f>HYPERLINK("https://klasma.github.io/Logging_0580/fåglar/A 20292-2025 prioriterade fågelarter.docx", "A 20292-2025")</f>
        <v/>
      </c>
    </row>
    <row r="50" ht="15" customHeight="1">
      <c r="A50" t="inlineStr">
        <is>
          <t>A 21227-2026</t>
        </is>
      </c>
      <c r="B50" s="1" t="n">
        <v>46146</v>
      </c>
      <c r="C50" s="1" t="n">
        <v>46200</v>
      </c>
      <c r="D50" t="inlineStr">
        <is>
          <t>ÖSTERGÖTLANDS LÄN</t>
        </is>
      </c>
      <c r="E50" t="inlineStr">
        <is>
          <t>LINKÖPING</t>
        </is>
      </c>
      <c r="G50" t="n">
        <v>1.8</v>
      </c>
      <c r="H50" t="n">
        <v>3</v>
      </c>
      <c r="I50" t="n">
        <v>0</v>
      </c>
      <c r="J50" t="n">
        <v>2</v>
      </c>
      <c r="K50" t="n">
        <v>0</v>
      </c>
      <c r="L50" t="n">
        <v>0</v>
      </c>
      <c r="M50" t="n">
        <v>0</v>
      </c>
      <c r="N50" t="n">
        <v>0</v>
      </c>
      <c r="O50" t="n">
        <v>2</v>
      </c>
      <c r="P50" t="n">
        <v>0</v>
      </c>
      <c r="Q50" t="n">
        <v>3</v>
      </c>
      <c r="R50" s="2" t="inlineStr">
        <is>
          <t>Järnsparv
Rödvingetrast
Kungsfågel</t>
        </is>
      </c>
      <c r="S50">
        <f>HYPERLINK("https://klasma.github.io/Logging_0580/artfynd/A 21227-2026 artfynd.xlsx", "A 21227-2026")</f>
        <v/>
      </c>
      <c r="T50">
        <f>HYPERLINK("https://klasma.github.io/Logging_0580/kartor/A 21227-2026 karta.png", "A 21227-2026")</f>
        <v/>
      </c>
      <c r="V50">
        <f>HYPERLINK("https://klasma.github.io/Logging_0580/klagomål/A 21227-2026 FSC-klagomål.docx", "A 21227-2026")</f>
        <v/>
      </c>
      <c r="W50">
        <f>HYPERLINK("https://klasma.github.io/Logging_0580/klagomålsmail/A 21227-2026 FSC-klagomål mail.docx", "A 21227-2026")</f>
        <v/>
      </c>
      <c r="X50">
        <f>HYPERLINK("https://klasma.github.io/Logging_0580/tillsyn/A 21227-2026 tillsynsbegäran.docx", "A 21227-2026")</f>
        <v/>
      </c>
      <c r="Y50">
        <f>HYPERLINK("https://klasma.github.io/Logging_0580/tillsynsmail/A 21227-2026 tillsynsbegäran mail.docx", "A 21227-2026")</f>
        <v/>
      </c>
      <c r="Z50">
        <f>HYPERLINK("https://klasma.github.io/Logging_0580/fåglar/A 21227-2026 prioriterade fågelarter.docx", "A 21227-2026")</f>
        <v/>
      </c>
    </row>
    <row r="51" ht="15" customHeight="1">
      <c r="A51" t="inlineStr">
        <is>
          <t>A 38137-2021</t>
        </is>
      </c>
      <c r="B51" s="1" t="n">
        <v>44405</v>
      </c>
      <c r="C51" s="1" t="n">
        <v>46200</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46496-2022</t>
        </is>
      </c>
      <c r="B52" s="1" t="n">
        <v>44848</v>
      </c>
      <c r="C52" s="1" t="n">
        <v>46200</v>
      </c>
      <c r="D52" t="inlineStr">
        <is>
          <t>ÖSTERGÖTLANDS LÄN</t>
        </is>
      </c>
      <c r="E52" t="inlineStr">
        <is>
          <t>LINKÖPING</t>
        </is>
      </c>
      <c r="G52" t="n">
        <v>1.1</v>
      </c>
      <c r="H52" t="n">
        <v>0</v>
      </c>
      <c r="I52" t="n">
        <v>0</v>
      </c>
      <c r="J52" t="n">
        <v>0</v>
      </c>
      <c r="K52" t="n">
        <v>2</v>
      </c>
      <c r="L52" t="n">
        <v>0</v>
      </c>
      <c r="M52" t="n">
        <v>0</v>
      </c>
      <c r="N52" t="n">
        <v>0</v>
      </c>
      <c r="O52" t="n">
        <v>2</v>
      </c>
      <c r="P52" t="n">
        <v>2</v>
      </c>
      <c r="Q52" t="n">
        <v>2</v>
      </c>
      <c r="R52" s="2" t="inlineStr">
        <is>
          <t>Bredbrämad bastardsvärmare
Silverblåvinge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61302-2021</t>
        </is>
      </c>
      <c r="B53" s="1" t="n">
        <v>44498</v>
      </c>
      <c r="C53" s="1" t="n">
        <v>46200</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45317-2023</t>
        </is>
      </c>
      <c r="B54" s="1" t="n">
        <v>45191</v>
      </c>
      <c r="C54" s="1" t="n">
        <v>46200</v>
      </c>
      <c r="D54" t="inlineStr">
        <is>
          <t>ÖSTERGÖTLANDS LÄN</t>
        </is>
      </c>
      <c r="E54" t="inlineStr">
        <is>
          <t>LINKÖPING</t>
        </is>
      </c>
      <c r="F54" t="inlineStr">
        <is>
          <t>Allmännings- och besparingsskogar</t>
        </is>
      </c>
      <c r="G54" t="n">
        <v>29.3</v>
      </c>
      <c r="H54" t="n">
        <v>0</v>
      </c>
      <c r="I54" t="n">
        <v>1</v>
      </c>
      <c r="J54" t="n">
        <v>1</v>
      </c>
      <c r="K54" t="n">
        <v>0</v>
      </c>
      <c r="L54" t="n">
        <v>0</v>
      </c>
      <c r="M54" t="n">
        <v>0</v>
      </c>
      <c r="N54" t="n">
        <v>0</v>
      </c>
      <c r="O54" t="n">
        <v>1</v>
      </c>
      <c r="P54" t="n">
        <v>0</v>
      </c>
      <c r="Q54" t="n">
        <v>2</v>
      </c>
      <c r="R54" s="2" t="inlineStr">
        <is>
          <t>Svinrot
Källpraktmossa</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5911-2022</t>
        </is>
      </c>
      <c r="B55" s="1" t="n">
        <v>44597</v>
      </c>
      <c r="C55" s="1" t="n">
        <v>46200</v>
      </c>
      <c r="D55" t="inlineStr">
        <is>
          <t>ÖSTERGÖTLANDS LÄN</t>
        </is>
      </c>
      <c r="E55" t="inlineStr">
        <is>
          <t>LINKÖPING</t>
        </is>
      </c>
      <c r="G55" t="n">
        <v>3.5</v>
      </c>
      <c r="H55" t="n">
        <v>1</v>
      </c>
      <c r="I55" t="n">
        <v>1</v>
      </c>
      <c r="J55" t="n">
        <v>1</v>
      </c>
      <c r="K55" t="n">
        <v>0</v>
      </c>
      <c r="L55" t="n">
        <v>0</v>
      </c>
      <c r="M55" t="n">
        <v>0</v>
      </c>
      <c r="N55" t="n">
        <v>0</v>
      </c>
      <c r="O55" t="n">
        <v>1</v>
      </c>
      <c r="P55" t="n">
        <v>0</v>
      </c>
      <c r="Q55" t="n">
        <v>2</v>
      </c>
      <c r="R55" s="2" t="inlineStr">
        <is>
          <t>Spindelört
Ekoxe</t>
        </is>
      </c>
      <c r="S55">
        <f>HYPERLINK("https://klasma.github.io/Logging_0580/artfynd/A 5911-2022 artfynd.xlsx", "A 5911-2022")</f>
        <v/>
      </c>
      <c r="T55">
        <f>HYPERLINK("https://klasma.github.io/Logging_0580/kartor/A 5911-2022 karta.png", "A 5911-2022")</f>
        <v/>
      </c>
      <c r="V55">
        <f>HYPERLINK("https://klasma.github.io/Logging_0580/klagomål/A 5911-2022 FSC-klagomål.docx", "A 5911-2022")</f>
        <v/>
      </c>
      <c r="W55">
        <f>HYPERLINK("https://klasma.github.io/Logging_0580/klagomålsmail/A 5911-2022 FSC-klagomål mail.docx", "A 5911-2022")</f>
        <v/>
      </c>
      <c r="X55">
        <f>HYPERLINK("https://klasma.github.io/Logging_0580/tillsyn/A 5911-2022 tillsynsbegäran.docx", "A 5911-2022")</f>
        <v/>
      </c>
      <c r="Y55">
        <f>HYPERLINK("https://klasma.github.io/Logging_0580/tillsynsmail/A 5911-2022 tillsynsbegäran mail.docx", "A 5911-2022")</f>
        <v/>
      </c>
    </row>
    <row r="56" ht="15" customHeight="1">
      <c r="A56" t="inlineStr">
        <is>
          <t>A 20297-2025</t>
        </is>
      </c>
      <c r="B56" s="1" t="n">
        <v>45774</v>
      </c>
      <c r="C56" s="1" t="n">
        <v>46200</v>
      </c>
      <c r="D56" t="inlineStr">
        <is>
          <t>ÖSTERGÖTLANDS LÄN</t>
        </is>
      </c>
      <c r="E56" t="inlineStr">
        <is>
          <t>LINKÖPING</t>
        </is>
      </c>
      <c r="G56" t="n">
        <v>1.5</v>
      </c>
      <c r="H56" t="n">
        <v>1</v>
      </c>
      <c r="I56" t="n">
        <v>1</v>
      </c>
      <c r="J56" t="n">
        <v>0</v>
      </c>
      <c r="K56" t="n">
        <v>0</v>
      </c>
      <c r="L56" t="n">
        <v>0</v>
      </c>
      <c r="M56" t="n">
        <v>0</v>
      </c>
      <c r="N56" t="n">
        <v>0</v>
      </c>
      <c r="O56" t="n">
        <v>0</v>
      </c>
      <c r="P56" t="n">
        <v>0</v>
      </c>
      <c r="Q56" t="n">
        <v>2</v>
      </c>
      <c r="R56" s="2" t="inlineStr">
        <is>
          <t>Blanksvart trämyra
Blåsippa</t>
        </is>
      </c>
      <c r="S56">
        <f>HYPERLINK("https://klasma.github.io/Logging_0580/artfynd/A 20297-2025 artfynd.xlsx", "A 20297-2025")</f>
        <v/>
      </c>
      <c r="T56">
        <f>HYPERLINK("https://klasma.github.io/Logging_0580/kartor/A 20297-2025 karta.png", "A 20297-2025")</f>
        <v/>
      </c>
      <c r="V56">
        <f>HYPERLINK("https://klasma.github.io/Logging_0580/klagomål/A 20297-2025 FSC-klagomål.docx", "A 20297-2025")</f>
        <v/>
      </c>
      <c r="W56">
        <f>HYPERLINK("https://klasma.github.io/Logging_0580/klagomålsmail/A 20297-2025 FSC-klagomål mail.docx", "A 20297-2025")</f>
        <v/>
      </c>
      <c r="X56">
        <f>HYPERLINK("https://klasma.github.io/Logging_0580/tillsyn/A 20297-2025 tillsynsbegäran.docx", "A 20297-2025")</f>
        <v/>
      </c>
      <c r="Y56">
        <f>HYPERLINK("https://klasma.github.io/Logging_0580/tillsynsmail/A 20297-2025 tillsynsbegäran mail.docx", "A 20297-2025")</f>
        <v/>
      </c>
    </row>
    <row r="57" ht="15" customHeight="1">
      <c r="A57" t="inlineStr">
        <is>
          <t>A 50404-2023</t>
        </is>
      </c>
      <c r="B57" s="1" t="n">
        <v>45216</v>
      </c>
      <c r="C57" s="1" t="n">
        <v>46200</v>
      </c>
      <c r="D57" t="inlineStr">
        <is>
          <t>ÖSTERGÖTLANDS LÄN</t>
        </is>
      </c>
      <c r="E57" t="inlineStr">
        <is>
          <t>LINKÖPING</t>
        </is>
      </c>
      <c r="G57" t="n">
        <v>1.2</v>
      </c>
      <c r="H57" t="n">
        <v>1</v>
      </c>
      <c r="I57" t="n">
        <v>1</v>
      </c>
      <c r="J57" t="n">
        <v>0</v>
      </c>
      <c r="K57" t="n">
        <v>0</v>
      </c>
      <c r="L57" t="n">
        <v>0</v>
      </c>
      <c r="M57" t="n">
        <v>0</v>
      </c>
      <c r="N57" t="n">
        <v>0</v>
      </c>
      <c r="O57" t="n">
        <v>0</v>
      </c>
      <c r="P57" t="n">
        <v>0</v>
      </c>
      <c r="Q57" t="n">
        <v>2</v>
      </c>
      <c r="R57" s="2" t="inlineStr">
        <is>
          <t>Hasselticka
Gullviva</t>
        </is>
      </c>
      <c r="S57">
        <f>HYPERLINK("https://klasma.github.io/Logging_0580/artfynd/A 50404-2023 artfynd.xlsx", "A 50404-2023")</f>
        <v/>
      </c>
      <c r="T57">
        <f>HYPERLINK("https://klasma.github.io/Logging_0580/kartor/A 50404-2023 karta.png", "A 50404-2023")</f>
        <v/>
      </c>
      <c r="V57">
        <f>HYPERLINK("https://klasma.github.io/Logging_0580/klagomål/A 50404-2023 FSC-klagomål.docx", "A 50404-2023")</f>
        <v/>
      </c>
      <c r="W57">
        <f>HYPERLINK("https://klasma.github.io/Logging_0580/klagomålsmail/A 50404-2023 FSC-klagomål mail.docx", "A 50404-2023")</f>
        <v/>
      </c>
      <c r="X57">
        <f>HYPERLINK("https://klasma.github.io/Logging_0580/tillsyn/A 50404-2023 tillsynsbegäran.docx", "A 50404-2023")</f>
        <v/>
      </c>
      <c r="Y57">
        <f>HYPERLINK("https://klasma.github.io/Logging_0580/tillsynsmail/A 50404-2023 tillsynsbegäran mail.docx", "A 50404-2023")</f>
        <v/>
      </c>
    </row>
    <row r="58" ht="15" customHeight="1">
      <c r="A58" t="inlineStr">
        <is>
          <t>A 41751-2023</t>
        </is>
      </c>
      <c r="B58" s="1" t="n">
        <v>45176</v>
      </c>
      <c r="C58" s="1" t="n">
        <v>46200</v>
      </c>
      <c r="D58" t="inlineStr">
        <is>
          <t>ÖSTERGÖTLANDS LÄN</t>
        </is>
      </c>
      <c r="E58" t="inlineStr">
        <is>
          <t>LINKÖPING</t>
        </is>
      </c>
      <c r="G58" t="n">
        <v>1.5</v>
      </c>
      <c r="H58" t="n">
        <v>1</v>
      </c>
      <c r="I58" t="n">
        <v>0</v>
      </c>
      <c r="J58" t="n">
        <v>1</v>
      </c>
      <c r="K58" t="n">
        <v>0</v>
      </c>
      <c r="L58" t="n">
        <v>0</v>
      </c>
      <c r="M58" t="n">
        <v>0</v>
      </c>
      <c r="N58" t="n">
        <v>0</v>
      </c>
      <c r="O58" t="n">
        <v>1</v>
      </c>
      <c r="P58" t="n">
        <v>0</v>
      </c>
      <c r="Q58" t="n">
        <v>2</v>
      </c>
      <c r="R58" s="2" t="inlineStr">
        <is>
          <t>Svinrot
Grönvit nattviol</t>
        </is>
      </c>
      <c r="S58">
        <f>HYPERLINK("https://klasma.github.io/Logging_0580/artfynd/A 41751-2023 artfynd.xlsx", "A 41751-2023")</f>
        <v/>
      </c>
      <c r="T58">
        <f>HYPERLINK("https://klasma.github.io/Logging_0580/kartor/A 41751-2023 karta.png", "A 41751-2023")</f>
        <v/>
      </c>
      <c r="V58">
        <f>HYPERLINK("https://klasma.github.io/Logging_0580/klagomål/A 41751-2023 FSC-klagomål.docx", "A 41751-2023")</f>
        <v/>
      </c>
      <c r="W58">
        <f>HYPERLINK("https://klasma.github.io/Logging_0580/klagomålsmail/A 41751-2023 FSC-klagomål mail.docx", "A 41751-2023")</f>
        <v/>
      </c>
      <c r="X58">
        <f>HYPERLINK("https://klasma.github.io/Logging_0580/tillsyn/A 41751-2023 tillsynsbegäran.docx", "A 41751-2023")</f>
        <v/>
      </c>
      <c r="Y58">
        <f>HYPERLINK("https://klasma.github.io/Logging_0580/tillsynsmail/A 41751-2023 tillsynsbegäran mail.docx", "A 41751-2023")</f>
        <v/>
      </c>
    </row>
    <row r="59" ht="15" customHeight="1">
      <c r="A59" t="inlineStr">
        <is>
          <t>A 1268-2023</t>
        </is>
      </c>
      <c r="B59" s="1" t="n">
        <v>44936</v>
      </c>
      <c r="C59" s="1" t="n">
        <v>46200</v>
      </c>
      <c r="D59" t="inlineStr">
        <is>
          <t>ÖSTERGÖTLANDS LÄN</t>
        </is>
      </c>
      <c r="E59" t="inlineStr">
        <is>
          <t>LINKÖPING</t>
        </is>
      </c>
      <c r="G59" t="n">
        <v>4.6</v>
      </c>
      <c r="H59" t="n">
        <v>0</v>
      </c>
      <c r="I59" t="n">
        <v>2</v>
      </c>
      <c r="J59" t="n">
        <v>0</v>
      </c>
      <c r="K59" t="n">
        <v>0</v>
      </c>
      <c r="L59" t="n">
        <v>0</v>
      </c>
      <c r="M59" t="n">
        <v>0</v>
      </c>
      <c r="N59" t="n">
        <v>0</v>
      </c>
      <c r="O59" t="n">
        <v>0</v>
      </c>
      <c r="P59" t="n">
        <v>0</v>
      </c>
      <c r="Q59" t="n">
        <v>2</v>
      </c>
      <c r="R59" s="2" t="inlineStr">
        <is>
          <t>Brun nållav
Gulpudrad spiklav</t>
        </is>
      </c>
      <c r="S59">
        <f>HYPERLINK("https://klasma.github.io/Logging_0580/artfynd/A 1268-2023 artfynd.xlsx", "A 1268-2023")</f>
        <v/>
      </c>
      <c r="T59">
        <f>HYPERLINK("https://klasma.github.io/Logging_0580/kartor/A 1268-2023 karta.png", "A 1268-2023")</f>
        <v/>
      </c>
      <c r="V59">
        <f>HYPERLINK("https://klasma.github.io/Logging_0580/klagomål/A 1268-2023 FSC-klagomål.docx", "A 1268-2023")</f>
        <v/>
      </c>
      <c r="W59">
        <f>HYPERLINK("https://klasma.github.io/Logging_0580/klagomålsmail/A 1268-2023 FSC-klagomål mail.docx", "A 1268-2023")</f>
        <v/>
      </c>
      <c r="X59">
        <f>HYPERLINK("https://klasma.github.io/Logging_0580/tillsyn/A 1268-2023 tillsynsbegäran.docx", "A 1268-2023")</f>
        <v/>
      </c>
      <c r="Y59">
        <f>HYPERLINK("https://klasma.github.io/Logging_0580/tillsynsmail/A 1268-2023 tillsynsbegäran mail.docx", "A 1268-2023")</f>
        <v/>
      </c>
    </row>
    <row r="60" ht="15" customHeight="1">
      <c r="A60" t="inlineStr">
        <is>
          <t>A 59948-2022</t>
        </is>
      </c>
      <c r="B60" s="1" t="n">
        <v>44909</v>
      </c>
      <c r="C60" s="1" t="n">
        <v>46200</v>
      </c>
      <c r="D60" t="inlineStr">
        <is>
          <t>ÖSTERGÖTLANDS LÄN</t>
        </is>
      </c>
      <c r="E60" t="inlineStr">
        <is>
          <t>LINKÖPING</t>
        </is>
      </c>
      <c r="G60" t="n">
        <v>6.7</v>
      </c>
      <c r="H60" t="n">
        <v>1</v>
      </c>
      <c r="I60" t="n">
        <v>0</v>
      </c>
      <c r="J60" t="n">
        <v>1</v>
      </c>
      <c r="K60" t="n">
        <v>0</v>
      </c>
      <c r="L60" t="n">
        <v>1</v>
      </c>
      <c r="M60" t="n">
        <v>0</v>
      </c>
      <c r="N60" t="n">
        <v>0</v>
      </c>
      <c r="O60" t="n">
        <v>2</v>
      </c>
      <c r="P60" t="n">
        <v>1</v>
      </c>
      <c r="Q60" t="n">
        <v>2</v>
      </c>
      <c r="R60" s="2" t="inlineStr">
        <is>
          <t>Skogsalm
Duvhök</t>
        </is>
      </c>
      <c r="S60">
        <f>HYPERLINK("https://klasma.github.io/Logging_0580/artfynd/A 59948-2022 artfynd.xlsx", "A 59948-2022")</f>
        <v/>
      </c>
      <c r="T60">
        <f>HYPERLINK("https://klasma.github.io/Logging_0580/kartor/A 59948-2022 karta.png", "A 59948-2022")</f>
        <v/>
      </c>
      <c r="V60">
        <f>HYPERLINK("https://klasma.github.io/Logging_0580/klagomål/A 59948-2022 FSC-klagomål.docx", "A 59948-2022")</f>
        <v/>
      </c>
      <c r="W60">
        <f>HYPERLINK("https://klasma.github.io/Logging_0580/klagomålsmail/A 59948-2022 FSC-klagomål mail.docx", "A 59948-2022")</f>
        <v/>
      </c>
      <c r="X60">
        <f>HYPERLINK("https://klasma.github.io/Logging_0580/tillsyn/A 59948-2022 tillsynsbegäran.docx", "A 59948-2022")</f>
        <v/>
      </c>
      <c r="Y60">
        <f>HYPERLINK("https://klasma.github.io/Logging_0580/tillsynsmail/A 59948-2022 tillsynsbegäran mail.docx", "A 59948-2022")</f>
        <v/>
      </c>
      <c r="Z60">
        <f>HYPERLINK("https://klasma.github.io/Logging_0580/fåglar/A 59948-2022 prioriterade fågelarter.docx", "A 59948-2022")</f>
        <v/>
      </c>
    </row>
    <row r="61" ht="15" customHeight="1">
      <c r="A61" t="inlineStr">
        <is>
          <t>A 35948-2023</t>
        </is>
      </c>
      <c r="B61" s="1" t="n">
        <v>45148</v>
      </c>
      <c r="C61" s="1" t="n">
        <v>46200</v>
      </c>
      <c r="D61" t="inlineStr">
        <is>
          <t>ÖSTERGÖTLANDS LÄN</t>
        </is>
      </c>
      <c r="E61" t="inlineStr">
        <is>
          <t>LINKÖPING</t>
        </is>
      </c>
      <c r="G61" t="n">
        <v>1.9</v>
      </c>
      <c r="H61" t="n">
        <v>0</v>
      </c>
      <c r="I61" t="n">
        <v>2</v>
      </c>
      <c r="J61" t="n">
        <v>0</v>
      </c>
      <c r="K61" t="n">
        <v>0</v>
      </c>
      <c r="L61" t="n">
        <v>0</v>
      </c>
      <c r="M61" t="n">
        <v>0</v>
      </c>
      <c r="N61" t="n">
        <v>0</v>
      </c>
      <c r="O61" t="n">
        <v>0</v>
      </c>
      <c r="P61" t="n">
        <v>0</v>
      </c>
      <c r="Q61" t="n">
        <v>2</v>
      </c>
      <c r="R61" s="2" t="inlineStr">
        <is>
          <t>Brun nållav
Fällmossa</t>
        </is>
      </c>
      <c r="S61">
        <f>HYPERLINK("https://klasma.github.io/Logging_0580/artfynd/A 35948-2023 artfynd.xlsx", "A 35948-2023")</f>
        <v/>
      </c>
      <c r="T61">
        <f>HYPERLINK("https://klasma.github.io/Logging_0580/kartor/A 35948-2023 karta.png", "A 35948-2023")</f>
        <v/>
      </c>
      <c r="V61">
        <f>HYPERLINK("https://klasma.github.io/Logging_0580/klagomål/A 35948-2023 FSC-klagomål.docx", "A 35948-2023")</f>
        <v/>
      </c>
      <c r="W61">
        <f>HYPERLINK("https://klasma.github.io/Logging_0580/klagomålsmail/A 35948-2023 FSC-klagomål mail.docx", "A 35948-2023")</f>
        <v/>
      </c>
      <c r="X61">
        <f>HYPERLINK("https://klasma.github.io/Logging_0580/tillsyn/A 35948-2023 tillsynsbegäran.docx", "A 35948-2023")</f>
        <v/>
      </c>
      <c r="Y61">
        <f>HYPERLINK("https://klasma.github.io/Logging_0580/tillsynsmail/A 35948-2023 tillsynsbegäran mail.docx", "A 35948-2023")</f>
        <v/>
      </c>
    </row>
    <row r="62" ht="15" customHeight="1">
      <c r="A62" t="inlineStr">
        <is>
          <t>A 58068-2021</t>
        </is>
      </c>
      <c r="B62" s="1" t="n">
        <v>44487</v>
      </c>
      <c r="C62" s="1" t="n">
        <v>46200</v>
      </c>
      <c r="D62" t="inlineStr">
        <is>
          <t>ÖSTERGÖTLANDS LÄN</t>
        </is>
      </c>
      <c r="E62" t="inlineStr">
        <is>
          <t>LINKÖPING</t>
        </is>
      </c>
      <c r="F62" t="inlineStr">
        <is>
          <t>Övriga Aktiebolag</t>
        </is>
      </c>
      <c r="G62" t="n">
        <v>1.2</v>
      </c>
      <c r="H62" t="n">
        <v>0</v>
      </c>
      <c r="I62" t="n">
        <v>0</v>
      </c>
      <c r="J62" t="n">
        <v>2</v>
      </c>
      <c r="K62" t="n">
        <v>0</v>
      </c>
      <c r="L62" t="n">
        <v>0</v>
      </c>
      <c r="M62" t="n">
        <v>0</v>
      </c>
      <c r="N62" t="n">
        <v>0</v>
      </c>
      <c r="O62" t="n">
        <v>2</v>
      </c>
      <c r="P62" t="n">
        <v>0</v>
      </c>
      <c r="Q62" t="n">
        <v>2</v>
      </c>
      <c r="R62" s="2" t="inlineStr">
        <is>
          <t>Rödbrun blekspik
Skuggorangelav</t>
        </is>
      </c>
      <c r="S62">
        <f>HYPERLINK("https://klasma.github.io/Logging_0580/artfynd/A 58068-2021 artfynd.xlsx", "A 58068-2021")</f>
        <v/>
      </c>
      <c r="T62">
        <f>HYPERLINK("https://klasma.github.io/Logging_0580/kartor/A 58068-2021 karta.png", "A 58068-2021")</f>
        <v/>
      </c>
      <c r="V62">
        <f>HYPERLINK("https://klasma.github.io/Logging_0580/klagomål/A 58068-2021 FSC-klagomål.docx", "A 58068-2021")</f>
        <v/>
      </c>
      <c r="W62">
        <f>HYPERLINK("https://klasma.github.io/Logging_0580/klagomålsmail/A 58068-2021 FSC-klagomål mail.docx", "A 58068-2021")</f>
        <v/>
      </c>
      <c r="X62">
        <f>HYPERLINK("https://klasma.github.io/Logging_0580/tillsyn/A 58068-2021 tillsynsbegäran.docx", "A 58068-2021")</f>
        <v/>
      </c>
      <c r="Y62">
        <f>HYPERLINK("https://klasma.github.io/Logging_0580/tillsynsmail/A 58068-2021 tillsynsbegäran mail.docx", "A 58068-2021")</f>
        <v/>
      </c>
    </row>
    <row r="63" ht="15" customHeight="1">
      <c r="A63" t="inlineStr">
        <is>
          <t>A 44155-2024</t>
        </is>
      </c>
      <c r="B63" s="1" t="n">
        <v>45572</v>
      </c>
      <c r="C63" s="1" t="n">
        <v>46200</v>
      </c>
      <c r="D63" t="inlineStr">
        <is>
          <t>ÖSTERGÖTLANDS LÄN</t>
        </is>
      </c>
      <c r="E63" t="inlineStr">
        <is>
          <t>LINKÖPING</t>
        </is>
      </c>
      <c r="G63" t="n">
        <v>1.8</v>
      </c>
      <c r="H63" t="n">
        <v>0</v>
      </c>
      <c r="I63" t="n">
        <v>2</v>
      </c>
      <c r="J63" t="n">
        <v>0</v>
      </c>
      <c r="K63" t="n">
        <v>0</v>
      </c>
      <c r="L63" t="n">
        <v>0</v>
      </c>
      <c r="M63" t="n">
        <v>0</v>
      </c>
      <c r="N63" t="n">
        <v>0</v>
      </c>
      <c r="O63" t="n">
        <v>0</v>
      </c>
      <c r="P63" t="n">
        <v>0</v>
      </c>
      <c r="Q63" t="n">
        <v>2</v>
      </c>
      <c r="R63" s="2" t="inlineStr">
        <is>
          <t>Dolkstekelsglasvinge
Sotlav</t>
        </is>
      </c>
      <c r="S63">
        <f>HYPERLINK("https://klasma.github.io/Logging_0580/artfynd/A 44155-2024 artfynd.xlsx", "A 44155-2024")</f>
        <v/>
      </c>
      <c r="T63">
        <f>HYPERLINK("https://klasma.github.io/Logging_0580/kartor/A 44155-2024 karta.png", "A 44155-2024")</f>
        <v/>
      </c>
      <c r="V63">
        <f>HYPERLINK("https://klasma.github.io/Logging_0580/klagomål/A 44155-2024 FSC-klagomål.docx", "A 44155-2024")</f>
        <v/>
      </c>
      <c r="W63">
        <f>HYPERLINK("https://klasma.github.io/Logging_0580/klagomålsmail/A 44155-2024 FSC-klagomål mail.docx", "A 44155-2024")</f>
        <v/>
      </c>
      <c r="X63">
        <f>HYPERLINK("https://klasma.github.io/Logging_0580/tillsyn/A 44155-2024 tillsynsbegäran.docx", "A 44155-2024")</f>
        <v/>
      </c>
      <c r="Y63">
        <f>HYPERLINK("https://klasma.github.io/Logging_0580/tillsynsmail/A 44155-2024 tillsynsbegäran mail.docx", "A 44155-2024")</f>
        <v/>
      </c>
    </row>
    <row r="64" ht="15" customHeight="1">
      <c r="A64" t="inlineStr">
        <is>
          <t>A 24904-2024</t>
        </is>
      </c>
      <c r="B64" s="1" t="n">
        <v>45461</v>
      </c>
      <c r="C64" s="1" t="n">
        <v>46200</v>
      </c>
      <c r="D64" t="inlineStr">
        <is>
          <t>ÖSTERGÖTLANDS LÄN</t>
        </is>
      </c>
      <c r="E64" t="inlineStr">
        <is>
          <t>LINKÖPING</t>
        </is>
      </c>
      <c r="G64" t="n">
        <v>3.8</v>
      </c>
      <c r="H64" t="n">
        <v>0</v>
      </c>
      <c r="I64" t="n">
        <v>0</v>
      </c>
      <c r="J64" t="n">
        <v>2</v>
      </c>
      <c r="K64" t="n">
        <v>0</v>
      </c>
      <c r="L64" t="n">
        <v>0</v>
      </c>
      <c r="M64" t="n">
        <v>0</v>
      </c>
      <c r="N64" t="n">
        <v>0</v>
      </c>
      <c r="O64" t="n">
        <v>2</v>
      </c>
      <c r="P64" t="n">
        <v>0</v>
      </c>
      <c r="Q64" t="n">
        <v>2</v>
      </c>
      <c r="R64" s="2" t="inlineStr">
        <is>
          <t>Solvända
Svinrot</t>
        </is>
      </c>
      <c r="S64">
        <f>HYPERLINK("https://klasma.github.io/Logging_0580/artfynd/A 24904-2024 artfynd.xlsx", "A 24904-2024")</f>
        <v/>
      </c>
      <c r="T64">
        <f>HYPERLINK("https://klasma.github.io/Logging_0580/kartor/A 24904-2024 karta.png", "A 24904-2024")</f>
        <v/>
      </c>
      <c r="V64">
        <f>HYPERLINK("https://klasma.github.io/Logging_0580/klagomål/A 24904-2024 FSC-klagomål.docx", "A 24904-2024")</f>
        <v/>
      </c>
      <c r="W64">
        <f>HYPERLINK("https://klasma.github.io/Logging_0580/klagomålsmail/A 24904-2024 FSC-klagomål mail.docx", "A 24904-2024")</f>
        <v/>
      </c>
      <c r="X64">
        <f>HYPERLINK("https://klasma.github.io/Logging_0580/tillsyn/A 24904-2024 tillsynsbegäran.docx", "A 24904-2024")</f>
        <v/>
      </c>
      <c r="Y64">
        <f>HYPERLINK("https://klasma.github.io/Logging_0580/tillsynsmail/A 24904-2024 tillsynsbegäran mail.docx", "A 24904-2024")</f>
        <v/>
      </c>
    </row>
    <row r="65" ht="15" customHeight="1">
      <c r="A65" t="inlineStr">
        <is>
          <t>A 34881-2023</t>
        </is>
      </c>
      <c r="B65" s="1" t="n">
        <v>45140</v>
      </c>
      <c r="C65" s="1" t="n">
        <v>46200</v>
      </c>
      <c r="D65" t="inlineStr">
        <is>
          <t>ÖSTERGÖTLANDS LÄN</t>
        </is>
      </c>
      <c r="E65" t="inlineStr">
        <is>
          <t>LINKÖPING</t>
        </is>
      </c>
      <c r="G65" t="n">
        <v>1.9</v>
      </c>
      <c r="H65" t="n">
        <v>1</v>
      </c>
      <c r="I65" t="n">
        <v>0</v>
      </c>
      <c r="J65" t="n">
        <v>1</v>
      </c>
      <c r="K65" t="n">
        <v>0</v>
      </c>
      <c r="L65" t="n">
        <v>0</v>
      </c>
      <c r="M65" t="n">
        <v>0</v>
      </c>
      <c r="N65" t="n">
        <v>0</v>
      </c>
      <c r="O65" t="n">
        <v>1</v>
      </c>
      <c r="P65" t="n">
        <v>0</v>
      </c>
      <c r="Q65" t="n">
        <v>2</v>
      </c>
      <c r="R65" s="2" t="inlineStr">
        <is>
          <t>Tallticka
Kopparödla</t>
        </is>
      </c>
      <c r="S65">
        <f>HYPERLINK("https://klasma.github.io/Logging_0580/artfynd/A 34881-2023 artfynd.xlsx", "A 34881-2023")</f>
        <v/>
      </c>
      <c r="T65">
        <f>HYPERLINK("https://klasma.github.io/Logging_0580/kartor/A 34881-2023 karta.png", "A 34881-2023")</f>
        <v/>
      </c>
      <c r="U65">
        <f>HYPERLINK("https://klasma.github.io/Logging_0580/knärot/A 34881-2023 karta knärot.png", "A 34881-2023")</f>
        <v/>
      </c>
      <c r="V65">
        <f>HYPERLINK("https://klasma.github.io/Logging_0580/klagomål/A 34881-2023 FSC-klagomål.docx", "A 34881-2023")</f>
        <v/>
      </c>
      <c r="W65">
        <f>HYPERLINK("https://klasma.github.io/Logging_0580/klagomålsmail/A 34881-2023 FSC-klagomål mail.docx", "A 34881-2023")</f>
        <v/>
      </c>
      <c r="X65">
        <f>HYPERLINK("https://klasma.github.io/Logging_0580/tillsyn/A 34881-2023 tillsynsbegäran.docx", "A 34881-2023")</f>
        <v/>
      </c>
      <c r="Y65">
        <f>HYPERLINK("https://klasma.github.io/Logging_0580/tillsynsmail/A 34881-2023 tillsynsbegäran mail.docx", "A 34881-2023")</f>
        <v/>
      </c>
    </row>
    <row r="66" ht="15" customHeight="1">
      <c r="A66" t="inlineStr">
        <is>
          <t>A 22833-2023</t>
        </is>
      </c>
      <c r="B66" s="1" t="n">
        <v>45071</v>
      </c>
      <c r="C66" s="1" t="n">
        <v>46200</v>
      </c>
      <c r="D66" t="inlineStr">
        <is>
          <t>ÖSTERGÖTLANDS LÄN</t>
        </is>
      </c>
      <c r="E66" t="inlineStr">
        <is>
          <t>LINKÖPING</t>
        </is>
      </c>
      <c r="F66" t="inlineStr">
        <is>
          <t>Kommuner</t>
        </is>
      </c>
      <c r="G66" t="n">
        <v>1</v>
      </c>
      <c r="H66" t="n">
        <v>1</v>
      </c>
      <c r="I66" t="n">
        <v>1</v>
      </c>
      <c r="J66" t="n">
        <v>0</v>
      </c>
      <c r="K66" t="n">
        <v>0</v>
      </c>
      <c r="L66" t="n">
        <v>1</v>
      </c>
      <c r="M66" t="n">
        <v>0</v>
      </c>
      <c r="N66" t="n">
        <v>0</v>
      </c>
      <c r="O66" t="n">
        <v>1</v>
      </c>
      <c r="P66" t="n">
        <v>1</v>
      </c>
      <c r="Q66" t="n">
        <v>2</v>
      </c>
      <c r="R66" s="2" t="inlineStr">
        <is>
          <t>Bombmurkla
Trådticka</t>
        </is>
      </c>
      <c r="S66">
        <f>HYPERLINK("https://klasma.github.io/Logging_0580/artfynd/A 22833-2023 artfynd.xlsx", "A 22833-2023")</f>
        <v/>
      </c>
      <c r="T66">
        <f>HYPERLINK("https://klasma.github.io/Logging_0580/kartor/A 22833-2023 karta.png", "A 22833-2023")</f>
        <v/>
      </c>
      <c r="V66">
        <f>HYPERLINK("https://klasma.github.io/Logging_0580/klagomål/A 22833-2023 FSC-klagomål.docx", "A 22833-2023")</f>
        <v/>
      </c>
      <c r="W66">
        <f>HYPERLINK("https://klasma.github.io/Logging_0580/klagomålsmail/A 22833-2023 FSC-klagomål mail.docx", "A 22833-2023")</f>
        <v/>
      </c>
      <c r="X66">
        <f>HYPERLINK("https://klasma.github.io/Logging_0580/tillsyn/A 22833-2023 tillsynsbegäran.docx", "A 22833-2023")</f>
        <v/>
      </c>
      <c r="Y66">
        <f>HYPERLINK("https://klasma.github.io/Logging_0580/tillsynsmail/A 22833-2023 tillsynsbegäran mail.docx", "A 22833-2023")</f>
        <v/>
      </c>
    </row>
    <row r="67" ht="15" customHeight="1">
      <c r="A67" t="inlineStr">
        <is>
          <t>A 49188-2024</t>
        </is>
      </c>
      <c r="B67" s="1" t="n">
        <v>45595</v>
      </c>
      <c r="C67" s="1" t="n">
        <v>46200</v>
      </c>
      <c r="D67" t="inlineStr">
        <is>
          <t>ÖSTERGÖTLANDS LÄN</t>
        </is>
      </c>
      <c r="E67" t="inlineStr">
        <is>
          <t>LINKÖPING</t>
        </is>
      </c>
      <c r="G67" t="n">
        <v>3.1</v>
      </c>
      <c r="H67" t="n">
        <v>0</v>
      </c>
      <c r="I67" t="n">
        <v>0</v>
      </c>
      <c r="J67" t="n">
        <v>0</v>
      </c>
      <c r="K67" t="n">
        <v>0</v>
      </c>
      <c r="L67" t="n">
        <v>2</v>
      </c>
      <c r="M67" t="n">
        <v>0</v>
      </c>
      <c r="N67" t="n">
        <v>0</v>
      </c>
      <c r="O67" t="n">
        <v>2</v>
      </c>
      <c r="P67" t="n">
        <v>2</v>
      </c>
      <c r="Q67" t="n">
        <v>2</v>
      </c>
      <c r="R67" s="2" t="inlineStr">
        <is>
          <t>Ask
Skogsalm</t>
        </is>
      </c>
      <c r="S67">
        <f>HYPERLINK("https://klasma.github.io/Logging_0580/artfynd/A 49188-2024 artfynd.xlsx", "A 49188-2024")</f>
        <v/>
      </c>
      <c r="T67">
        <f>HYPERLINK("https://klasma.github.io/Logging_0580/kartor/A 49188-2024 karta.png", "A 49188-2024")</f>
        <v/>
      </c>
      <c r="V67">
        <f>HYPERLINK("https://klasma.github.io/Logging_0580/klagomål/A 49188-2024 FSC-klagomål.docx", "A 49188-2024")</f>
        <v/>
      </c>
      <c r="W67">
        <f>HYPERLINK("https://klasma.github.io/Logging_0580/klagomålsmail/A 49188-2024 FSC-klagomål mail.docx", "A 49188-2024")</f>
        <v/>
      </c>
      <c r="X67">
        <f>HYPERLINK("https://klasma.github.io/Logging_0580/tillsyn/A 49188-2024 tillsynsbegäran.docx", "A 49188-2024")</f>
        <v/>
      </c>
      <c r="Y67">
        <f>HYPERLINK("https://klasma.github.io/Logging_0580/tillsynsmail/A 49188-2024 tillsynsbegäran mail.docx", "A 49188-2024")</f>
        <v/>
      </c>
    </row>
    <row r="68" ht="15" customHeight="1">
      <c r="A68" t="inlineStr">
        <is>
          <t>A 40309-2024</t>
        </is>
      </c>
      <c r="B68" s="1" t="n">
        <v>45554</v>
      </c>
      <c r="C68" s="1" t="n">
        <v>46200</v>
      </c>
      <c r="D68" t="inlineStr">
        <is>
          <t>ÖSTERGÖTLANDS LÄN</t>
        </is>
      </c>
      <c r="E68" t="inlineStr">
        <is>
          <t>LINKÖPING</t>
        </is>
      </c>
      <c r="F68" t="inlineStr">
        <is>
          <t>Allmännings- och besparingsskogar</t>
        </is>
      </c>
      <c r="G68" t="n">
        <v>6</v>
      </c>
      <c r="H68" t="n">
        <v>1</v>
      </c>
      <c r="I68" t="n">
        <v>0</v>
      </c>
      <c r="J68" t="n">
        <v>1</v>
      </c>
      <c r="K68" t="n">
        <v>0</v>
      </c>
      <c r="L68" t="n">
        <v>1</v>
      </c>
      <c r="M68" t="n">
        <v>0</v>
      </c>
      <c r="N68" t="n">
        <v>0</v>
      </c>
      <c r="O68" t="n">
        <v>2</v>
      </c>
      <c r="P68" t="n">
        <v>1</v>
      </c>
      <c r="Q68" t="n">
        <v>2</v>
      </c>
      <c r="R68" s="2" t="inlineStr">
        <is>
          <t>Almlav
Talltita</t>
        </is>
      </c>
      <c r="S68">
        <f>HYPERLINK("https://klasma.github.io/Logging_0580/artfynd/A 40309-2024 artfynd.xlsx", "A 40309-2024")</f>
        <v/>
      </c>
      <c r="T68">
        <f>HYPERLINK("https://klasma.github.io/Logging_0580/kartor/A 40309-2024 karta.png", "A 40309-2024")</f>
        <v/>
      </c>
      <c r="V68">
        <f>HYPERLINK("https://klasma.github.io/Logging_0580/klagomål/A 40309-2024 FSC-klagomål.docx", "A 40309-2024")</f>
        <v/>
      </c>
      <c r="W68">
        <f>HYPERLINK("https://klasma.github.io/Logging_0580/klagomålsmail/A 40309-2024 FSC-klagomål mail.docx", "A 40309-2024")</f>
        <v/>
      </c>
      <c r="X68">
        <f>HYPERLINK("https://klasma.github.io/Logging_0580/tillsyn/A 40309-2024 tillsynsbegäran.docx", "A 40309-2024")</f>
        <v/>
      </c>
      <c r="Y68">
        <f>HYPERLINK("https://klasma.github.io/Logging_0580/tillsynsmail/A 40309-2024 tillsynsbegäran mail.docx", "A 40309-2024")</f>
        <v/>
      </c>
      <c r="Z68">
        <f>HYPERLINK("https://klasma.github.io/Logging_0580/fåglar/A 40309-2024 prioriterade fågelarter.docx", "A 40309-2024")</f>
        <v/>
      </c>
    </row>
    <row r="69" ht="15" customHeight="1">
      <c r="A69" t="inlineStr">
        <is>
          <t>A 8818-2025</t>
        </is>
      </c>
      <c r="B69" s="1" t="n">
        <v>45712</v>
      </c>
      <c r="C69" s="1" t="n">
        <v>46200</v>
      </c>
      <c r="D69" t="inlineStr">
        <is>
          <t>ÖSTERGÖTLANDS LÄN</t>
        </is>
      </c>
      <c r="E69" t="inlineStr">
        <is>
          <t>LINKÖPING</t>
        </is>
      </c>
      <c r="F69" t="inlineStr">
        <is>
          <t>Kommuner</t>
        </is>
      </c>
      <c r="G69" t="n">
        <v>0.6</v>
      </c>
      <c r="H69" t="n">
        <v>0</v>
      </c>
      <c r="I69" t="n">
        <v>0</v>
      </c>
      <c r="J69" t="n">
        <v>2</v>
      </c>
      <c r="K69" t="n">
        <v>0</v>
      </c>
      <c r="L69" t="n">
        <v>0</v>
      </c>
      <c r="M69" t="n">
        <v>0</v>
      </c>
      <c r="N69" t="n">
        <v>0</v>
      </c>
      <c r="O69" t="n">
        <v>2</v>
      </c>
      <c r="P69" t="n">
        <v>0</v>
      </c>
      <c r="Q69" t="n">
        <v>2</v>
      </c>
      <c r="R69" s="2" t="inlineStr">
        <is>
          <t>Klubbsprötad bastardsvärmare
Luddvicker</t>
        </is>
      </c>
      <c r="S69">
        <f>HYPERLINK("https://klasma.github.io/Logging_0580/artfynd/A 8818-2025 artfynd.xlsx", "A 8818-2025")</f>
        <v/>
      </c>
      <c r="T69">
        <f>HYPERLINK("https://klasma.github.io/Logging_0580/kartor/A 8818-2025 karta.png", "A 8818-2025")</f>
        <v/>
      </c>
      <c r="V69">
        <f>HYPERLINK("https://klasma.github.io/Logging_0580/klagomål/A 8818-2025 FSC-klagomål.docx", "A 8818-2025")</f>
        <v/>
      </c>
      <c r="W69">
        <f>HYPERLINK("https://klasma.github.io/Logging_0580/klagomålsmail/A 8818-2025 FSC-klagomål mail.docx", "A 8818-2025")</f>
        <v/>
      </c>
      <c r="X69">
        <f>HYPERLINK("https://klasma.github.io/Logging_0580/tillsyn/A 8818-2025 tillsynsbegäran.docx", "A 8818-2025")</f>
        <v/>
      </c>
      <c r="Y69">
        <f>HYPERLINK("https://klasma.github.io/Logging_0580/tillsynsmail/A 8818-2025 tillsynsbegäran mail.docx", "A 8818-2025")</f>
        <v/>
      </c>
    </row>
    <row r="70" ht="15" customHeight="1">
      <c r="A70" t="inlineStr">
        <is>
          <t>A 27795-2025</t>
        </is>
      </c>
      <c r="B70" s="1" t="n">
        <v>45816</v>
      </c>
      <c r="C70" s="1" t="n">
        <v>46200</v>
      </c>
      <c r="D70" t="inlineStr">
        <is>
          <t>ÖSTERGÖTLANDS LÄN</t>
        </is>
      </c>
      <c r="E70" t="inlineStr">
        <is>
          <t>LINKÖPING</t>
        </is>
      </c>
      <c r="G70" t="n">
        <v>5</v>
      </c>
      <c r="H70" t="n">
        <v>0</v>
      </c>
      <c r="I70" t="n">
        <v>0</v>
      </c>
      <c r="J70" t="n">
        <v>2</v>
      </c>
      <c r="K70" t="n">
        <v>0</v>
      </c>
      <c r="L70" t="n">
        <v>0</v>
      </c>
      <c r="M70" t="n">
        <v>0</v>
      </c>
      <c r="N70" t="n">
        <v>0</v>
      </c>
      <c r="O70" t="n">
        <v>2</v>
      </c>
      <c r="P70" t="n">
        <v>0</v>
      </c>
      <c r="Q70" t="n">
        <v>2</v>
      </c>
      <c r="R70" s="2" t="inlineStr">
        <is>
          <t>Svinrot
Ängsskära</t>
        </is>
      </c>
      <c r="S70">
        <f>HYPERLINK("https://klasma.github.io/Logging_0580/artfynd/A 27795-2025 artfynd.xlsx", "A 27795-2025")</f>
        <v/>
      </c>
      <c r="T70">
        <f>HYPERLINK("https://klasma.github.io/Logging_0580/kartor/A 27795-2025 karta.png", "A 27795-2025")</f>
        <v/>
      </c>
      <c r="V70">
        <f>HYPERLINK("https://klasma.github.io/Logging_0580/klagomål/A 27795-2025 FSC-klagomål.docx", "A 27795-2025")</f>
        <v/>
      </c>
      <c r="W70">
        <f>HYPERLINK("https://klasma.github.io/Logging_0580/klagomålsmail/A 27795-2025 FSC-klagomål mail.docx", "A 27795-2025")</f>
        <v/>
      </c>
      <c r="X70">
        <f>HYPERLINK("https://klasma.github.io/Logging_0580/tillsyn/A 27795-2025 tillsynsbegäran.docx", "A 27795-2025")</f>
        <v/>
      </c>
      <c r="Y70">
        <f>HYPERLINK("https://klasma.github.io/Logging_0580/tillsynsmail/A 27795-2025 tillsynsbegäran mail.docx", "A 27795-2025")</f>
        <v/>
      </c>
    </row>
    <row r="71" ht="15" customHeight="1">
      <c r="A71" t="inlineStr">
        <is>
          <t>A 42858-2023</t>
        </is>
      </c>
      <c r="B71" s="1" t="n">
        <v>45177</v>
      </c>
      <c r="C71" s="1" t="n">
        <v>46200</v>
      </c>
      <c r="D71" t="inlineStr">
        <is>
          <t>ÖSTERGÖTLANDS LÄN</t>
        </is>
      </c>
      <c r="E71" t="inlineStr">
        <is>
          <t>LINKÖPING</t>
        </is>
      </c>
      <c r="G71" t="n">
        <v>5.3</v>
      </c>
      <c r="H71" t="n">
        <v>1</v>
      </c>
      <c r="I71" t="n">
        <v>0</v>
      </c>
      <c r="J71" t="n">
        <v>1</v>
      </c>
      <c r="K71" t="n">
        <v>0</v>
      </c>
      <c r="L71" t="n">
        <v>0</v>
      </c>
      <c r="M71" t="n">
        <v>0</v>
      </c>
      <c r="N71" t="n">
        <v>0</v>
      </c>
      <c r="O71" t="n">
        <v>1</v>
      </c>
      <c r="P71" t="n">
        <v>0</v>
      </c>
      <c r="Q71" t="n">
        <v>2</v>
      </c>
      <c r="R71" s="2" t="inlineStr">
        <is>
          <t>Svinrot
Skogsödla</t>
        </is>
      </c>
      <c r="S71">
        <f>HYPERLINK("https://klasma.github.io/Logging_0580/artfynd/A 42858-2023 artfynd.xlsx", "A 42858-2023")</f>
        <v/>
      </c>
      <c r="T71">
        <f>HYPERLINK("https://klasma.github.io/Logging_0580/kartor/A 42858-2023 karta.png", "A 42858-2023")</f>
        <v/>
      </c>
      <c r="V71">
        <f>HYPERLINK("https://klasma.github.io/Logging_0580/klagomål/A 42858-2023 FSC-klagomål.docx", "A 42858-2023")</f>
        <v/>
      </c>
      <c r="W71">
        <f>HYPERLINK("https://klasma.github.io/Logging_0580/klagomålsmail/A 42858-2023 FSC-klagomål mail.docx", "A 42858-2023")</f>
        <v/>
      </c>
      <c r="X71">
        <f>HYPERLINK("https://klasma.github.io/Logging_0580/tillsyn/A 42858-2023 tillsynsbegäran.docx", "A 42858-2023")</f>
        <v/>
      </c>
      <c r="Y71">
        <f>HYPERLINK("https://klasma.github.io/Logging_0580/tillsynsmail/A 42858-2023 tillsynsbegäran mail.docx", "A 42858-2023")</f>
        <v/>
      </c>
    </row>
    <row r="72" ht="15" customHeight="1">
      <c r="A72" t="inlineStr">
        <is>
          <t>A 56741-2023</t>
        </is>
      </c>
      <c r="B72" s="1" t="n">
        <v>45244</v>
      </c>
      <c r="C72" s="1" t="n">
        <v>46200</v>
      </c>
      <c r="D72" t="inlineStr">
        <is>
          <t>ÖSTERGÖTLANDS LÄN</t>
        </is>
      </c>
      <c r="E72" t="inlineStr">
        <is>
          <t>LINKÖPING</t>
        </is>
      </c>
      <c r="F72" t="inlineStr">
        <is>
          <t>Övriga Aktiebolag</t>
        </is>
      </c>
      <c r="G72" t="n">
        <v>1.1</v>
      </c>
      <c r="H72" t="n">
        <v>0</v>
      </c>
      <c r="I72" t="n">
        <v>2</v>
      </c>
      <c r="J72" t="n">
        <v>0</v>
      </c>
      <c r="K72" t="n">
        <v>0</v>
      </c>
      <c r="L72" t="n">
        <v>0</v>
      </c>
      <c r="M72" t="n">
        <v>0</v>
      </c>
      <c r="N72" t="n">
        <v>0</v>
      </c>
      <c r="O72" t="n">
        <v>0</v>
      </c>
      <c r="P72" t="n">
        <v>0</v>
      </c>
      <c r="Q72" t="n">
        <v>2</v>
      </c>
      <c r="R72" s="2" t="inlineStr">
        <is>
          <t>Fällmossa
Guldlockmossa</t>
        </is>
      </c>
      <c r="S72">
        <f>HYPERLINK("https://klasma.github.io/Logging_0580/artfynd/A 56741-2023 artfynd.xlsx", "A 56741-2023")</f>
        <v/>
      </c>
      <c r="T72">
        <f>HYPERLINK("https://klasma.github.io/Logging_0580/kartor/A 56741-2023 karta.png", "A 56741-2023")</f>
        <v/>
      </c>
      <c r="V72">
        <f>HYPERLINK("https://klasma.github.io/Logging_0580/klagomål/A 56741-2023 FSC-klagomål.docx", "A 56741-2023")</f>
        <v/>
      </c>
      <c r="W72">
        <f>HYPERLINK("https://klasma.github.io/Logging_0580/klagomålsmail/A 56741-2023 FSC-klagomål mail.docx", "A 56741-2023")</f>
        <v/>
      </c>
      <c r="X72">
        <f>HYPERLINK("https://klasma.github.io/Logging_0580/tillsyn/A 56741-2023 tillsynsbegäran.docx", "A 56741-2023")</f>
        <v/>
      </c>
      <c r="Y72">
        <f>HYPERLINK("https://klasma.github.io/Logging_0580/tillsynsmail/A 56741-2023 tillsynsbegäran mail.docx", "A 56741-2023")</f>
        <v/>
      </c>
    </row>
    <row r="73" ht="15" customHeight="1">
      <c r="A73" t="inlineStr">
        <is>
          <t>A 55344-2024</t>
        </is>
      </c>
      <c r="B73" s="1" t="n">
        <v>45621</v>
      </c>
      <c r="C73" s="1" t="n">
        <v>46200</v>
      </c>
      <c r="D73" t="inlineStr">
        <is>
          <t>ÖSTERGÖTLANDS LÄN</t>
        </is>
      </c>
      <c r="E73" t="inlineStr">
        <is>
          <t>LINKÖPING</t>
        </is>
      </c>
      <c r="G73" t="n">
        <v>6.6</v>
      </c>
      <c r="H73" t="n">
        <v>0</v>
      </c>
      <c r="I73" t="n">
        <v>0</v>
      </c>
      <c r="J73" t="n">
        <v>2</v>
      </c>
      <c r="K73" t="n">
        <v>0</v>
      </c>
      <c r="L73" t="n">
        <v>0</v>
      </c>
      <c r="M73" t="n">
        <v>0</v>
      </c>
      <c r="N73" t="n">
        <v>0</v>
      </c>
      <c r="O73" t="n">
        <v>2</v>
      </c>
      <c r="P73" t="n">
        <v>0</v>
      </c>
      <c r="Q73" t="n">
        <v>2</v>
      </c>
      <c r="R73" s="2" t="inlineStr">
        <is>
          <t>Kandelabersvamp
Stjärnnästing</t>
        </is>
      </c>
      <c r="S73">
        <f>HYPERLINK("https://klasma.github.io/Logging_0580/artfynd/A 55344-2024 artfynd.xlsx", "A 55344-2024")</f>
        <v/>
      </c>
      <c r="T73">
        <f>HYPERLINK("https://klasma.github.io/Logging_0580/kartor/A 55344-2024 karta.png", "A 55344-2024")</f>
        <v/>
      </c>
      <c r="V73">
        <f>HYPERLINK("https://klasma.github.io/Logging_0580/klagomål/A 55344-2024 FSC-klagomål.docx", "A 55344-2024")</f>
        <v/>
      </c>
      <c r="W73">
        <f>HYPERLINK("https://klasma.github.io/Logging_0580/klagomålsmail/A 55344-2024 FSC-klagomål mail.docx", "A 55344-2024")</f>
        <v/>
      </c>
      <c r="X73">
        <f>HYPERLINK("https://klasma.github.io/Logging_0580/tillsyn/A 55344-2024 tillsynsbegäran.docx", "A 55344-2024")</f>
        <v/>
      </c>
      <c r="Y73">
        <f>HYPERLINK("https://klasma.github.io/Logging_0580/tillsynsmail/A 55344-2024 tillsynsbegäran mail.docx", "A 55344-2024")</f>
        <v/>
      </c>
    </row>
    <row r="74" ht="15" customHeight="1">
      <c r="A74" t="inlineStr">
        <is>
          <t>A 20295-2025</t>
        </is>
      </c>
      <c r="B74" s="1" t="n">
        <v>45774</v>
      </c>
      <c r="C74" s="1" t="n">
        <v>46200</v>
      </c>
      <c r="D74" t="inlineStr">
        <is>
          <t>ÖSTERGÖTLANDS LÄN</t>
        </is>
      </c>
      <c r="E74" t="inlineStr">
        <is>
          <t>LINKÖPING</t>
        </is>
      </c>
      <c r="G74" t="n">
        <v>3</v>
      </c>
      <c r="H74" t="n">
        <v>1</v>
      </c>
      <c r="I74" t="n">
        <v>0</v>
      </c>
      <c r="J74" t="n">
        <v>1</v>
      </c>
      <c r="K74" t="n">
        <v>0</v>
      </c>
      <c r="L74" t="n">
        <v>0</v>
      </c>
      <c r="M74" t="n">
        <v>0</v>
      </c>
      <c r="N74" t="n">
        <v>0</v>
      </c>
      <c r="O74" t="n">
        <v>1</v>
      </c>
      <c r="P74" t="n">
        <v>0</v>
      </c>
      <c r="Q74" t="n">
        <v>2</v>
      </c>
      <c r="R74" s="2" t="inlineStr">
        <is>
          <t>Tallticka
Röd glada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c r="Z74">
        <f>HYPERLINK("https://klasma.github.io/Logging_0580/fåglar/A 20295-2025 prioriterade fågelarter.docx", "A 20295-2025")</f>
        <v/>
      </c>
    </row>
    <row r="75" ht="15" customHeight="1">
      <c r="A75" t="inlineStr">
        <is>
          <t>A 26007-2025</t>
        </is>
      </c>
      <c r="B75" s="1" t="n">
        <v>45804</v>
      </c>
      <c r="C75" s="1" t="n">
        <v>46200</v>
      </c>
      <c r="D75" t="inlineStr">
        <is>
          <t>ÖSTERGÖTLANDS LÄN</t>
        </is>
      </c>
      <c r="E75" t="inlineStr">
        <is>
          <t>LINKÖPING</t>
        </is>
      </c>
      <c r="G75" t="n">
        <v>1.5</v>
      </c>
      <c r="H75" t="n">
        <v>0</v>
      </c>
      <c r="I75" t="n">
        <v>0</v>
      </c>
      <c r="J75" t="n">
        <v>2</v>
      </c>
      <c r="K75" t="n">
        <v>0</v>
      </c>
      <c r="L75" t="n">
        <v>0</v>
      </c>
      <c r="M75" t="n">
        <v>0</v>
      </c>
      <c r="N75" t="n">
        <v>0</v>
      </c>
      <c r="O75" t="n">
        <v>2</v>
      </c>
      <c r="P75" t="n">
        <v>0</v>
      </c>
      <c r="Q75" t="n">
        <v>2</v>
      </c>
      <c r="R75" s="2" t="inlineStr">
        <is>
          <t>Gul dropplav
Ängsskära</t>
        </is>
      </c>
      <c r="S75">
        <f>HYPERLINK("https://klasma.github.io/Logging_0580/artfynd/A 26007-2025 artfynd.xlsx", "A 26007-2025")</f>
        <v/>
      </c>
      <c r="T75">
        <f>HYPERLINK("https://klasma.github.io/Logging_0580/kartor/A 26007-2025 karta.png", "A 26007-2025")</f>
        <v/>
      </c>
      <c r="V75">
        <f>HYPERLINK("https://klasma.github.io/Logging_0580/klagomål/A 26007-2025 FSC-klagomål.docx", "A 26007-2025")</f>
        <v/>
      </c>
      <c r="W75">
        <f>HYPERLINK("https://klasma.github.io/Logging_0580/klagomålsmail/A 26007-2025 FSC-klagomål mail.docx", "A 26007-2025")</f>
        <v/>
      </c>
      <c r="X75">
        <f>HYPERLINK("https://klasma.github.io/Logging_0580/tillsyn/A 26007-2025 tillsynsbegäran.docx", "A 26007-2025")</f>
        <v/>
      </c>
      <c r="Y75">
        <f>HYPERLINK("https://klasma.github.io/Logging_0580/tillsynsmail/A 26007-2025 tillsynsbegäran mail.docx", "A 26007-2025")</f>
        <v/>
      </c>
    </row>
    <row r="76" ht="15" customHeight="1">
      <c r="A76" t="inlineStr">
        <is>
          <t>A 1207-2023</t>
        </is>
      </c>
      <c r="B76" s="1" t="n">
        <v>44930</v>
      </c>
      <c r="C76" s="1" t="n">
        <v>46200</v>
      </c>
      <c r="D76" t="inlineStr">
        <is>
          <t>ÖSTERGÖTLANDS LÄN</t>
        </is>
      </c>
      <c r="E76" t="inlineStr">
        <is>
          <t>LINKÖPING</t>
        </is>
      </c>
      <c r="F76" t="inlineStr">
        <is>
          <t>Övriga statliga verk och myndigheter</t>
        </is>
      </c>
      <c r="G76" t="n">
        <v>32.8</v>
      </c>
      <c r="H76" t="n">
        <v>0</v>
      </c>
      <c r="I76" t="n">
        <v>1</v>
      </c>
      <c r="J76" t="n">
        <v>1</v>
      </c>
      <c r="K76" t="n">
        <v>0</v>
      </c>
      <c r="L76" t="n">
        <v>0</v>
      </c>
      <c r="M76" t="n">
        <v>0</v>
      </c>
      <c r="N76" t="n">
        <v>0</v>
      </c>
      <c r="O76" t="n">
        <v>1</v>
      </c>
      <c r="P76" t="n">
        <v>0</v>
      </c>
      <c r="Q76" t="n">
        <v>2</v>
      </c>
      <c r="R76" s="2" t="inlineStr">
        <is>
          <t>Jungfrulin
Platt fjädermossa</t>
        </is>
      </c>
      <c r="S76">
        <f>HYPERLINK("https://klasma.github.io/Logging_0580/artfynd/A 1207-2023 artfynd.xlsx", "A 1207-2023")</f>
        <v/>
      </c>
      <c r="T76">
        <f>HYPERLINK("https://klasma.github.io/Logging_0580/kartor/A 1207-2023 karta.png", "A 1207-2023")</f>
        <v/>
      </c>
      <c r="V76">
        <f>HYPERLINK("https://klasma.github.io/Logging_0580/klagomål/A 1207-2023 FSC-klagomål.docx", "A 1207-2023")</f>
        <v/>
      </c>
      <c r="W76">
        <f>HYPERLINK("https://klasma.github.io/Logging_0580/klagomålsmail/A 1207-2023 FSC-klagomål mail.docx", "A 1207-2023")</f>
        <v/>
      </c>
      <c r="X76">
        <f>HYPERLINK("https://klasma.github.io/Logging_0580/tillsyn/A 1207-2023 tillsynsbegäran.docx", "A 1207-2023")</f>
        <v/>
      </c>
      <c r="Y76">
        <f>HYPERLINK("https://klasma.github.io/Logging_0580/tillsynsmail/A 1207-2023 tillsynsbegäran mail.docx", "A 1207-2023")</f>
        <v/>
      </c>
    </row>
    <row r="77" ht="15" customHeight="1">
      <c r="A77" t="inlineStr">
        <is>
          <t>A 58068-2021</t>
        </is>
      </c>
      <c r="B77" s="1" t="n">
        <v>44487</v>
      </c>
      <c r="C77" s="1" t="n">
        <v>46200</v>
      </c>
      <c r="D77" t="inlineStr">
        <is>
          <t>ÖSTERGÖTLANDS LÄN</t>
        </is>
      </c>
      <c r="E77" t="inlineStr">
        <is>
          <t>LINKÖPING</t>
        </is>
      </c>
      <c r="F77" t="inlineStr">
        <is>
          <t>Övriga Aktiebolag</t>
        </is>
      </c>
      <c r="G77" t="n">
        <v>1.2</v>
      </c>
      <c r="H77" t="n">
        <v>0</v>
      </c>
      <c r="I77" t="n">
        <v>0</v>
      </c>
      <c r="J77" t="n">
        <v>2</v>
      </c>
      <c r="K77" t="n">
        <v>0</v>
      </c>
      <c r="L77" t="n">
        <v>0</v>
      </c>
      <c r="M77" t="n">
        <v>0</v>
      </c>
      <c r="N77" t="n">
        <v>0</v>
      </c>
      <c r="O77" t="n">
        <v>2</v>
      </c>
      <c r="P77" t="n">
        <v>0</v>
      </c>
      <c r="Q77" t="n">
        <v>2</v>
      </c>
      <c r="R77" s="2" t="inlineStr">
        <is>
          <t>Rödbrun blekspik
Skuggorangelav</t>
        </is>
      </c>
      <c r="S77">
        <f>HYPERLINK("https://klasma.github.io/Logging_0580/artfynd/A 58068-2021 artfynd.xlsx", "A 58068-2021")</f>
        <v/>
      </c>
      <c r="T77">
        <f>HYPERLINK("https://klasma.github.io/Logging_0580/kartor/A 58068-2021 karta.png", "A 58068-2021")</f>
        <v/>
      </c>
      <c r="V77">
        <f>HYPERLINK("https://klasma.github.io/Logging_0580/klagomål/A 58068-2021 FSC-klagomål.docx", "A 58068-2021")</f>
        <v/>
      </c>
      <c r="W77">
        <f>HYPERLINK("https://klasma.github.io/Logging_0580/klagomålsmail/A 58068-2021 FSC-klagomål mail.docx", "A 58068-2021")</f>
        <v/>
      </c>
      <c r="X77">
        <f>HYPERLINK("https://klasma.github.io/Logging_0580/tillsyn/A 58068-2021 tillsynsbegäran.docx", "A 58068-2021")</f>
        <v/>
      </c>
      <c r="Y77">
        <f>HYPERLINK("https://klasma.github.io/Logging_0580/tillsynsmail/A 58068-2021 tillsynsbegäran mail.docx", "A 58068-2021")</f>
        <v/>
      </c>
    </row>
    <row r="78" ht="15" customHeight="1">
      <c r="A78" t="inlineStr">
        <is>
          <t>A 3912-2026</t>
        </is>
      </c>
      <c r="B78" s="1" t="n">
        <v>46043</v>
      </c>
      <c r="C78" s="1" t="n">
        <v>46200</v>
      </c>
      <c r="D78" t="inlineStr">
        <is>
          <t>ÖSTERGÖTLANDS LÄN</t>
        </is>
      </c>
      <c r="E78" t="inlineStr">
        <is>
          <t>LINKÖPING</t>
        </is>
      </c>
      <c r="F78" t="inlineStr">
        <is>
          <t>Kyrkan</t>
        </is>
      </c>
      <c r="G78" t="n">
        <v>6.8</v>
      </c>
      <c r="H78" t="n">
        <v>1</v>
      </c>
      <c r="I78" t="n">
        <v>1</v>
      </c>
      <c r="J78" t="n">
        <v>0</v>
      </c>
      <c r="K78" t="n">
        <v>1</v>
      </c>
      <c r="L78" t="n">
        <v>0</v>
      </c>
      <c r="M78" t="n">
        <v>0</v>
      </c>
      <c r="N78" t="n">
        <v>0</v>
      </c>
      <c r="O78" t="n">
        <v>1</v>
      </c>
      <c r="P78" t="n">
        <v>1</v>
      </c>
      <c r="Q78" t="n">
        <v>2</v>
      </c>
      <c r="R78" s="2" t="inlineStr">
        <is>
          <t>Knärot
Grönpyrola</t>
        </is>
      </c>
      <c r="S78">
        <f>HYPERLINK("https://klasma.github.io/Logging_0580/artfynd/A 3912-2026 artfynd.xlsx", "A 3912-2026")</f>
        <v/>
      </c>
      <c r="T78">
        <f>HYPERLINK("https://klasma.github.io/Logging_0580/kartor/A 3912-2026 karta.png", "A 3912-2026")</f>
        <v/>
      </c>
      <c r="U78">
        <f>HYPERLINK("https://klasma.github.io/Logging_0580/knärot/A 3912-2026 karta knärot.png", "A 3912-2026")</f>
        <v/>
      </c>
      <c r="V78">
        <f>HYPERLINK("https://klasma.github.io/Logging_0580/klagomål/A 3912-2026 FSC-klagomål.docx", "A 3912-2026")</f>
        <v/>
      </c>
      <c r="W78">
        <f>HYPERLINK("https://klasma.github.io/Logging_0580/klagomålsmail/A 3912-2026 FSC-klagomål mail.docx", "A 3912-2026")</f>
        <v/>
      </c>
      <c r="X78">
        <f>HYPERLINK("https://klasma.github.io/Logging_0580/tillsyn/A 3912-2026 tillsynsbegäran.docx", "A 3912-2026")</f>
        <v/>
      </c>
      <c r="Y78">
        <f>HYPERLINK("https://klasma.github.io/Logging_0580/tillsynsmail/A 3912-2026 tillsynsbegäran mail.docx", "A 3912-2026")</f>
        <v/>
      </c>
    </row>
    <row r="79" ht="15" customHeight="1">
      <c r="A79" t="inlineStr">
        <is>
          <t>A 38886-2024</t>
        </is>
      </c>
      <c r="B79" s="1" t="n">
        <v>45547</v>
      </c>
      <c r="C79" s="1" t="n">
        <v>46200</v>
      </c>
      <c r="D79" t="inlineStr">
        <is>
          <t>ÖSTERGÖTLANDS LÄN</t>
        </is>
      </c>
      <c r="E79" t="inlineStr">
        <is>
          <t>LINKÖPING</t>
        </is>
      </c>
      <c r="G79" t="n">
        <v>5.3</v>
      </c>
      <c r="H79" t="n">
        <v>1</v>
      </c>
      <c r="I79" t="n">
        <v>1</v>
      </c>
      <c r="J79" t="n">
        <v>1</v>
      </c>
      <c r="K79" t="n">
        <v>0</v>
      </c>
      <c r="L79" t="n">
        <v>0</v>
      </c>
      <c r="M79" t="n">
        <v>0</v>
      </c>
      <c r="N79" t="n">
        <v>0</v>
      </c>
      <c r="O79" t="n">
        <v>1</v>
      </c>
      <c r="P79" t="n">
        <v>0</v>
      </c>
      <c r="Q79" t="n">
        <v>2</v>
      </c>
      <c r="R79" s="2" t="inlineStr">
        <is>
          <t>Gulsparv
Hasselticka</t>
        </is>
      </c>
      <c r="S79">
        <f>HYPERLINK("https://klasma.github.io/Logging_0580/artfynd/A 38886-2024 artfynd.xlsx", "A 38886-2024")</f>
        <v/>
      </c>
      <c r="T79">
        <f>HYPERLINK("https://klasma.github.io/Logging_0580/kartor/A 38886-2024 karta.png", "A 38886-2024")</f>
        <v/>
      </c>
      <c r="V79">
        <f>HYPERLINK("https://klasma.github.io/Logging_0580/klagomål/A 38886-2024 FSC-klagomål.docx", "A 38886-2024")</f>
        <v/>
      </c>
      <c r="W79">
        <f>HYPERLINK("https://klasma.github.io/Logging_0580/klagomålsmail/A 38886-2024 FSC-klagomål mail.docx", "A 38886-2024")</f>
        <v/>
      </c>
      <c r="X79">
        <f>HYPERLINK("https://klasma.github.io/Logging_0580/tillsyn/A 38886-2024 tillsynsbegäran.docx", "A 38886-2024")</f>
        <v/>
      </c>
      <c r="Y79">
        <f>HYPERLINK("https://klasma.github.io/Logging_0580/tillsynsmail/A 38886-2024 tillsynsbegäran mail.docx", "A 38886-2024")</f>
        <v/>
      </c>
      <c r="Z79">
        <f>HYPERLINK("https://klasma.github.io/Logging_0580/fåglar/A 38886-2024 prioriterade fågelarter.docx", "A 38886-2024")</f>
        <v/>
      </c>
    </row>
    <row r="80" ht="15" customHeight="1">
      <c r="A80" t="inlineStr">
        <is>
          <t>A 59674-2024</t>
        </is>
      </c>
      <c r="B80" s="1" t="n">
        <v>45639</v>
      </c>
      <c r="C80" s="1" t="n">
        <v>46200</v>
      </c>
      <c r="D80" t="inlineStr">
        <is>
          <t>ÖSTERGÖTLANDS LÄN</t>
        </is>
      </c>
      <c r="E80" t="inlineStr">
        <is>
          <t>LINKÖPING</t>
        </is>
      </c>
      <c r="G80" t="n">
        <v>6.3</v>
      </c>
      <c r="H80" t="n">
        <v>0</v>
      </c>
      <c r="I80" t="n">
        <v>1</v>
      </c>
      <c r="J80" t="n">
        <v>1</v>
      </c>
      <c r="K80" t="n">
        <v>0</v>
      </c>
      <c r="L80" t="n">
        <v>0</v>
      </c>
      <c r="M80" t="n">
        <v>0</v>
      </c>
      <c r="N80" t="n">
        <v>0</v>
      </c>
      <c r="O80" t="n">
        <v>1</v>
      </c>
      <c r="P80" t="n">
        <v>0</v>
      </c>
      <c r="Q80" t="n">
        <v>2</v>
      </c>
      <c r="R80" s="2" t="inlineStr">
        <is>
          <t>Rödbrun blekspik
Brun nållav</t>
        </is>
      </c>
      <c r="S80">
        <f>HYPERLINK("https://klasma.github.io/Logging_0580/artfynd/A 59674-2024 artfynd.xlsx", "A 59674-2024")</f>
        <v/>
      </c>
      <c r="T80">
        <f>HYPERLINK("https://klasma.github.io/Logging_0580/kartor/A 59674-2024 karta.png", "A 59674-2024")</f>
        <v/>
      </c>
      <c r="V80">
        <f>HYPERLINK("https://klasma.github.io/Logging_0580/klagomål/A 59674-2024 FSC-klagomål.docx", "A 59674-2024")</f>
        <v/>
      </c>
      <c r="W80">
        <f>HYPERLINK("https://klasma.github.io/Logging_0580/klagomålsmail/A 59674-2024 FSC-klagomål mail.docx", "A 59674-2024")</f>
        <v/>
      </c>
      <c r="X80">
        <f>HYPERLINK("https://klasma.github.io/Logging_0580/tillsyn/A 59674-2024 tillsynsbegäran.docx", "A 59674-2024")</f>
        <v/>
      </c>
      <c r="Y80">
        <f>HYPERLINK("https://klasma.github.io/Logging_0580/tillsynsmail/A 59674-2024 tillsynsbegäran mail.docx", "A 59674-2024")</f>
        <v/>
      </c>
    </row>
    <row r="81" ht="15" customHeight="1">
      <c r="A81" t="inlineStr">
        <is>
          <t>A 15290-2025</t>
        </is>
      </c>
      <c r="B81" s="1" t="n">
        <v>45745</v>
      </c>
      <c r="C81" s="1" t="n">
        <v>46200</v>
      </c>
      <c r="D81" t="inlineStr">
        <is>
          <t>ÖSTERGÖTLANDS LÄN</t>
        </is>
      </c>
      <c r="E81" t="inlineStr">
        <is>
          <t>LINKÖPING</t>
        </is>
      </c>
      <c r="G81" t="n">
        <v>18.4</v>
      </c>
      <c r="H81" t="n">
        <v>1</v>
      </c>
      <c r="I81" t="n">
        <v>0</v>
      </c>
      <c r="J81" t="n">
        <v>1</v>
      </c>
      <c r="K81" t="n">
        <v>0</v>
      </c>
      <c r="L81" t="n">
        <v>0</v>
      </c>
      <c r="M81" t="n">
        <v>0</v>
      </c>
      <c r="N81" t="n">
        <v>0</v>
      </c>
      <c r="O81" t="n">
        <v>1</v>
      </c>
      <c r="P81" t="n">
        <v>0</v>
      </c>
      <c r="Q81" t="n">
        <v>2</v>
      </c>
      <c r="R81" s="2" t="inlineStr">
        <is>
          <t>Storgröe
Havsörn</t>
        </is>
      </c>
      <c r="S81">
        <f>HYPERLINK("https://klasma.github.io/Logging_0580/artfynd/A 15290-2025 artfynd.xlsx", "A 15290-2025")</f>
        <v/>
      </c>
      <c r="T81">
        <f>HYPERLINK("https://klasma.github.io/Logging_0580/kartor/A 15290-2025 karta.png", "A 15290-2025")</f>
        <v/>
      </c>
      <c r="V81">
        <f>HYPERLINK("https://klasma.github.io/Logging_0580/klagomål/A 15290-2025 FSC-klagomål.docx", "A 15290-2025")</f>
        <v/>
      </c>
      <c r="W81">
        <f>HYPERLINK("https://klasma.github.io/Logging_0580/klagomålsmail/A 15290-2025 FSC-klagomål mail.docx", "A 15290-2025")</f>
        <v/>
      </c>
      <c r="X81">
        <f>HYPERLINK("https://klasma.github.io/Logging_0580/tillsyn/A 15290-2025 tillsynsbegäran.docx", "A 15290-2025")</f>
        <v/>
      </c>
      <c r="Y81">
        <f>HYPERLINK("https://klasma.github.io/Logging_0580/tillsynsmail/A 15290-2025 tillsynsbegäran mail.docx", "A 15290-2025")</f>
        <v/>
      </c>
      <c r="Z81">
        <f>HYPERLINK("https://klasma.github.io/Logging_0580/fåglar/A 15290-2025 prioriterade fågelarter.docx", "A 15290-2025")</f>
        <v/>
      </c>
    </row>
    <row r="82" ht="15" customHeight="1">
      <c r="A82" t="inlineStr">
        <is>
          <t>A 48298-2025</t>
        </is>
      </c>
      <c r="B82" s="1" t="n">
        <v>45932</v>
      </c>
      <c r="C82" s="1" t="n">
        <v>46200</v>
      </c>
      <c r="D82" t="inlineStr">
        <is>
          <t>ÖSTERGÖTLANDS LÄN</t>
        </is>
      </c>
      <c r="E82" t="inlineStr">
        <is>
          <t>LINKÖPING</t>
        </is>
      </c>
      <c r="F82" t="inlineStr">
        <is>
          <t>Övriga Aktiebolag</t>
        </is>
      </c>
      <c r="G82" t="n">
        <v>1.7</v>
      </c>
      <c r="H82" t="n">
        <v>1</v>
      </c>
      <c r="I82" t="n">
        <v>1</v>
      </c>
      <c r="J82" t="n">
        <v>0</v>
      </c>
      <c r="K82" t="n">
        <v>0</v>
      </c>
      <c r="L82" t="n">
        <v>1</v>
      </c>
      <c r="M82" t="n">
        <v>0</v>
      </c>
      <c r="N82" t="n">
        <v>0</v>
      </c>
      <c r="O82" t="n">
        <v>1</v>
      </c>
      <c r="P82" t="n">
        <v>1</v>
      </c>
      <c r="Q82" t="n">
        <v>2</v>
      </c>
      <c r="R82" s="2" t="inlineStr">
        <is>
          <t>Bombmurkla
Västlig hakmossa</t>
        </is>
      </c>
      <c r="S82">
        <f>HYPERLINK("https://klasma.github.io/Logging_0580/artfynd/A 48298-2025 artfynd.xlsx", "A 48298-2025")</f>
        <v/>
      </c>
      <c r="T82">
        <f>HYPERLINK("https://klasma.github.io/Logging_0580/kartor/A 48298-2025 karta.png", "A 48298-2025")</f>
        <v/>
      </c>
      <c r="V82">
        <f>HYPERLINK("https://klasma.github.io/Logging_0580/klagomål/A 48298-2025 FSC-klagomål.docx", "A 48298-2025")</f>
        <v/>
      </c>
      <c r="W82">
        <f>HYPERLINK("https://klasma.github.io/Logging_0580/klagomålsmail/A 48298-2025 FSC-klagomål mail.docx", "A 48298-2025")</f>
        <v/>
      </c>
      <c r="X82">
        <f>HYPERLINK("https://klasma.github.io/Logging_0580/tillsyn/A 48298-2025 tillsynsbegäran.docx", "A 48298-2025")</f>
        <v/>
      </c>
      <c r="Y82">
        <f>HYPERLINK("https://klasma.github.io/Logging_0580/tillsynsmail/A 48298-2025 tillsynsbegäran mail.docx", "A 48298-2025")</f>
        <v/>
      </c>
    </row>
    <row r="83" ht="15" customHeight="1">
      <c r="A83" t="inlineStr">
        <is>
          <t>A 15844-2026</t>
        </is>
      </c>
      <c r="B83" s="1" t="n">
        <v>46107</v>
      </c>
      <c r="C83" s="1" t="n">
        <v>46200</v>
      </c>
      <c r="D83" t="inlineStr">
        <is>
          <t>ÖSTERGÖTLANDS LÄN</t>
        </is>
      </c>
      <c r="E83" t="inlineStr">
        <is>
          <t>LINKÖPING</t>
        </is>
      </c>
      <c r="F83" t="inlineStr">
        <is>
          <t>Sveaskog</t>
        </is>
      </c>
      <c r="G83" t="n">
        <v>10.6</v>
      </c>
      <c r="H83" t="n">
        <v>0</v>
      </c>
      <c r="I83" t="n">
        <v>2</v>
      </c>
      <c r="J83" t="n">
        <v>0</v>
      </c>
      <c r="K83" t="n">
        <v>0</v>
      </c>
      <c r="L83" t="n">
        <v>0</v>
      </c>
      <c r="M83" t="n">
        <v>0</v>
      </c>
      <c r="N83" t="n">
        <v>0</v>
      </c>
      <c r="O83" t="n">
        <v>0</v>
      </c>
      <c r="P83" t="n">
        <v>0</v>
      </c>
      <c r="Q83" t="n">
        <v>2</v>
      </c>
      <c r="R83" s="2" t="inlineStr">
        <is>
          <t>Fällmossa
Toppvaxing</t>
        </is>
      </c>
      <c r="S83">
        <f>HYPERLINK("https://klasma.github.io/Logging_0580/artfynd/A 15844-2026 artfynd.xlsx", "A 15844-2026")</f>
        <v/>
      </c>
      <c r="T83">
        <f>HYPERLINK("https://klasma.github.io/Logging_0580/kartor/A 15844-2026 karta.png", "A 15844-2026")</f>
        <v/>
      </c>
      <c r="V83">
        <f>HYPERLINK("https://klasma.github.io/Logging_0580/klagomål/A 15844-2026 FSC-klagomål.docx", "A 15844-2026")</f>
        <v/>
      </c>
      <c r="W83">
        <f>HYPERLINK("https://klasma.github.io/Logging_0580/klagomålsmail/A 15844-2026 FSC-klagomål mail.docx", "A 15844-2026")</f>
        <v/>
      </c>
      <c r="X83">
        <f>HYPERLINK("https://klasma.github.io/Logging_0580/tillsyn/A 15844-2026 tillsynsbegäran.docx", "A 15844-2026")</f>
        <v/>
      </c>
      <c r="Y83">
        <f>HYPERLINK("https://klasma.github.io/Logging_0580/tillsynsmail/A 15844-2026 tillsynsbegäran mail.docx", "A 15844-2026")</f>
        <v/>
      </c>
    </row>
    <row r="84" ht="15" customHeight="1">
      <c r="A84" t="inlineStr">
        <is>
          <t>A 22074-2026</t>
        </is>
      </c>
      <c r="B84" s="1" t="n">
        <v>46153</v>
      </c>
      <c r="C84" s="1" t="n">
        <v>46200</v>
      </c>
      <c r="D84" t="inlineStr">
        <is>
          <t>ÖSTERGÖTLANDS LÄN</t>
        </is>
      </c>
      <c r="E84" t="inlineStr">
        <is>
          <t>LINKÖPING</t>
        </is>
      </c>
      <c r="G84" t="n">
        <v>1.9</v>
      </c>
      <c r="H84" t="n">
        <v>0</v>
      </c>
      <c r="I84" t="n">
        <v>2</v>
      </c>
      <c r="J84" t="n">
        <v>0</v>
      </c>
      <c r="K84" t="n">
        <v>0</v>
      </c>
      <c r="L84" t="n">
        <v>0</v>
      </c>
      <c r="M84" t="n">
        <v>0</v>
      </c>
      <c r="N84" t="n">
        <v>0</v>
      </c>
      <c r="O84" t="n">
        <v>0</v>
      </c>
      <c r="P84" t="n">
        <v>0</v>
      </c>
      <c r="Q84" t="n">
        <v>2</v>
      </c>
      <c r="R84" s="2" t="inlineStr">
        <is>
          <t>Blomkålssvamp
Mandelriska</t>
        </is>
      </c>
      <c r="S84">
        <f>HYPERLINK("https://klasma.github.io/Logging_0580/artfynd/A 22074-2026 artfynd.xlsx", "A 22074-2026")</f>
        <v/>
      </c>
      <c r="T84">
        <f>HYPERLINK("https://klasma.github.io/Logging_0580/kartor/A 22074-2026 karta.png", "A 22074-2026")</f>
        <v/>
      </c>
      <c r="V84">
        <f>HYPERLINK("https://klasma.github.io/Logging_0580/klagomål/A 22074-2026 FSC-klagomål.docx", "A 22074-2026")</f>
        <v/>
      </c>
      <c r="W84">
        <f>HYPERLINK("https://klasma.github.io/Logging_0580/klagomålsmail/A 22074-2026 FSC-klagomål mail.docx", "A 22074-2026")</f>
        <v/>
      </c>
      <c r="X84">
        <f>HYPERLINK("https://klasma.github.io/Logging_0580/tillsyn/A 22074-2026 tillsynsbegäran.docx", "A 22074-2026")</f>
        <v/>
      </c>
      <c r="Y84">
        <f>HYPERLINK("https://klasma.github.io/Logging_0580/tillsynsmail/A 22074-2026 tillsynsbegäran mail.docx", "A 22074-2026")</f>
        <v/>
      </c>
    </row>
    <row r="85" ht="15" customHeight="1">
      <c r="A85" t="inlineStr">
        <is>
          <t>A 25900-2026</t>
        </is>
      </c>
      <c r="B85" s="1" t="n">
        <v>46178</v>
      </c>
      <c r="C85" s="1" t="n">
        <v>46200</v>
      </c>
      <c r="D85" t="inlineStr">
        <is>
          <t>ÖSTERGÖTLANDS LÄN</t>
        </is>
      </c>
      <c r="E85" t="inlineStr">
        <is>
          <t>LINKÖPING</t>
        </is>
      </c>
      <c r="G85" t="n">
        <v>3.7</v>
      </c>
      <c r="H85" t="n">
        <v>1</v>
      </c>
      <c r="I85" t="n">
        <v>1</v>
      </c>
      <c r="J85" t="n">
        <v>0</v>
      </c>
      <c r="K85" t="n">
        <v>1</v>
      </c>
      <c r="L85" t="n">
        <v>0</v>
      </c>
      <c r="M85" t="n">
        <v>0</v>
      </c>
      <c r="N85" t="n">
        <v>0</v>
      </c>
      <c r="O85" t="n">
        <v>1</v>
      </c>
      <c r="P85" t="n">
        <v>1</v>
      </c>
      <c r="Q85" t="n">
        <v>2</v>
      </c>
      <c r="R85" s="2" t="inlineStr">
        <is>
          <t>Lungrot
Skogsknipprot</t>
        </is>
      </c>
      <c r="S85">
        <f>HYPERLINK("https://klasma.github.io/Logging_0580/artfynd/A 25900-2026 artfynd.xlsx", "A 25900-2026")</f>
        <v/>
      </c>
      <c r="T85">
        <f>HYPERLINK("https://klasma.github.io/Logging_0580/kartor/A 25900-2026 karta.png", "A 25900-2026")</f>
        <v/>
      </c>
      <c r="V85">
        <f>HYPERLINK("https://klasma.github.io/Logging_0580/klagomål/A 25900-2026 FSC-klagomål.docx", "A 25900-2026")</f>
        <v/>
      </c>
      <c r="W85">
        <f>HYPERLINK("https://klasma.github.io/Logging_0580/klagomålsmail/A 25900-2026 FSC-klagomål mail.docx", "A 25900-2026")</f>
        <v/>
      </c>
      <c r="X85">
        <f>HYPERLINK("https://klasma.github.io/Logging_0580/tillsyn/A 25900-2026 tillsynsbegäran.docx", "A 25900-2026")</f>
        <v/>
      </c>
      <c r="Y85">
        <f>HYPERLINK("https://klasma.github.io/Logging_0580/tillsynsmail/A 25900-2026 tillsynsbegäran mail.docx", "A 25900-2026")</f>
        <v/>
      </c>
    </row>
    <row r="86" ht="15" customHeight="1">
      <c r="A86" t="inlineStr">
        <is>
          <t>A 38143-2021</t>
        </is>
      </c>
      <c r="B86" s="1" t="n">
        <v>44405</v>
      </c>
      <c r="C86" s="1" t="n">
        <v>46200</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46200</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46200</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56651-2023</t>
        </is>
      </c>
      <c r="B89" s="1" t="n">
        <v>45243</v>
      </c>
      <c r="C89" s="1" t="n">
        <v>46200</v>
      </c>
      <c r="D89" t="inlineStr">
        <is>
          <t>ÖSTERGÖTLANDS LÄN</t>
        </is>
      </c>
      <c r="E89" t="inlineStr">
        <is>
          <t>LINKÖPING</t>
        </is>
      </c>
      <c r="F89" t="inlineStr">
        <is>
          <t>Övriga Aktiebolag</t>
        </is>
      </c>
      <c r="G89" t="n">
        <v>2.3</v>
      </c>
      <c r="H89" t="n">
        <v>0</v>
      </c>
      <c r="I89" t="n">
        <v>0</v>
      </c>
      <c r="J89" t="n">
        <v>1</v>
      </c>
      <c r="K89" t="n">
        <v>0</v>
      </c>
      <c r="L89" t="n">
        <v>0</v>
      </c>
      <c r="M89" t="n">
        <v>0</v>
      </c>
      <c r="N89" t="n">
        <v>0</v>
      </c>
      <c r="O89" t="n">
        <v>1</v>
      </c>
      <c r="P89" t="n">
        <v>0</v>
      </c>
      <c r="Q89" t="n">
        <v>1</v>
      </c>
      <c r="R89" s="2" t="inlineStr">
        <is>
          <t>Gul dropplav</t>
        </is>
      </c>
      <c r="S89">
        <f>HYPERLINK("https://klasma.github.io/Logging_0580/artfynd/A 56651-2023 artfynd.xlsx", "A 56651-2023")</f>
        <v/>
      </c>
      <c r="T89">
        <f>HYPERLINK("https://klasma.github.io/Logging_0580/kartor/A 56651-2023 karta.png", "A 56651-2023")</f>
        <v/>
      </c>
      <c r="V89">
        <f>HYPERLINK("https://klasma.github.io/Logging_0580/klagomål/A 56651-2023 FSC-klagomål.docx", "A 56651-2023")</f>
        <v/>
      </c>
      <c r="W89">
        <f>HYPERLINK("https://klasma.github.io/Logging_0580/klagomålsmail/A 56651-2023 FSC-klagomål mail.docx", "A 56651-2023")</f>
        <v/>
      </c>
      <c r="X89">
        <f>HYPERLINK("https://klasma.github.io/Logging_0580/tillsyn/A 56651-2023 tillsynsbegäran.docx", "A 56651-2023")</f>
        <v/>
      </c>
      <c r="Y89">
        <f>HYPERLINK("https://klasma.github.io/Logging_0580/tillsynsmail/A 56651-2023 tillsynsbegäran mail.docx", "A 56651-2023")</f>
        <v/>
      </c>
    </row>
    <row r="90" ht="15" customHeight="1">
      <c r="A90" t="inlineStr">
        <is>
          <t>A 931-2025</t>
        </is>
      </c>
      <c r="B90" s="1" t="n">
        <v>45665</v>
      </c>
      <c r="C90" s="1" t="n">
        <v>46200</v>
      </c>
      <c r="D90" t="inlineStr">
        <is>
          <t>ÖSTERGÖTLANDS LÄN</t>
        </is>
      </c>
      <c r="E90" t="inlineStr">
        <is>
          <t>LINKÖPING</t>
        </is>
      </c>
      <c r="F90" t="inlineStr">
        <is>
          <t>Övriga Aktiebolag</t>
        </is>
      </c>
      <c r="G90" t="n">
        <v>0.8</v>
      </c>
      <c r="H90" t="n">
        <v>0</v>
      </c>
      <c r="I90" t="n">
        <v>0</v>
      </c>
      <c r="J90" t="n">
        <v>1</v>
      </c>
      <c r="K90" t="n">
        <v>0</v>
      </c>
      <c r="L90" t="n">
        <v>0</v>
      </c>
      <c r="M90" t="n">
        <v>0</v>
      </c>
      <c r="N90" t="n">
        <v>0</v>
      </c>
      <c r="O90" t="n">
        <v>1</v>
      </c>
      <c r="P90" t="n">
        <v>0</v>
      </c>
      <c r="Q90" t="n">
        <v>1</v>
      </c>
      <c r="R90" s="2" t="inlineStr">
        <is>
          <t>Tallticka</t>
        </is>
      </c>
      <c r="S90">
        <f>HYPERLINK("https://klasma.github.io/Logging_0580/artfynd/A 931-2025 artfynd.xlsx", "A 931-2025")</f>
        <v/>
      </c>
      <c r="T90">
        <f>HYPERLINK("https://klasma.github.io/Logging_0580/kartor/A 931-2025 karta.png", "A 931-2025")</f>
        <v/>
      </c>
      <c r="V90">
        <f>HYPERLINK("https://klasma.github.io/Logging_0580/klagomål/A 931-2025 FSC-klagomål.docx", "A 931-2025")</f>
        <v/>
      </c>
      <c r="W90">
        <f>HYPERLINK("https://klasma.github.io/Logging_0580/klagomålsmail/A 931-2025 FSC-klagomål mail.docx", "A 931-2025")</f>
        <v/>
      </c>
      <c r="X90">
        <f>HYPERLINK("https://klasma.github.io/Logging_0580/tillsyn/A 931-2025 tillsynsbegäran.docx", "A 931-2025")</f>
        <v/>
      </c>
      <c r="Y90">
        <f>HYPERLINK("https://klasma.github.io/Logging_0580/tillsynsmail/A 931-2025 tillsynsbegäran mail.docx", "A 931-2025")</f>
        <v/>
      </c>
    </row>
    <row r="91" ht="15" customHeight="1">
      <c r="A91" t="inlineStr">
        <is>
          <t>A 1716-2023</t>
        </is>
      </c>
      <c r="B91" s="1" t="n">
        <v>44938</v>
      </c>
      <c r="C91" s="1" t="n">
        <v>46200</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1716-2023 artfynd.xlsx", "A 1716-2023")</f>
        <v/>
      </c>
      <c r="T91">
        <f>HYPERLINK("https://klasma.github.io/Logging_0580/kartor/A 1716-2023 karta.png", "A 1716-2023")</f>
        <v/>
      </c>
      <c r="V91">
        <f>HYPERLINK("https://klasma.github.io/Logging_0580/klagomål/A 1716-2023 FSC-klagomål.docx", "A 1716-2023")</f>
        <v/>
      </c>
      <c r="W91">
        <f>HYPERLINK("https://klasma.github.io/Logging_0580/klagomålsmail/A 1716-2023 FSC-klagomål mail.docx", "A 1716-2023")</f>
        <v/>
      </c>
      <c r="X91">
        <f>HYPERLINK("https://klasma.github.io/Logging_0580/tillsyn/A 1716-2023 tillsynsbegäran.docx", "A 1716-2023")</f>
        <v/>
      </c>
      <c r="Y91">
        <f>HYPERLINK("https://klasma.github.io/Logging_0580/tillsynsmail/A 1716-2023 tillsynsbegäran mail.docx", "A 1716-2023")</f>
        <v/>
      </c>
    </row>
    <row r="92" ht="15" customHeight="1">
      <c r="A92" t="inlineStr">
        <is>
          <t>A 17444-2025</t>
        </is>
      </c>
      <c r="B92" s="1" t="n">
        <v>45757</v>
      </c>
      <c r="C92" s="1" t="n">
        <v>46200</v>
      </c>
      <c r="D92" t="inlineStr">
        <is>
          <t>ÖSTERGÖTLANDS LÄN</t>
        </is>
      </c>
      <c r="E92" t="inlineStr">
        <is>
          <t>LINKÖPING</t>
        </is>
      </c>
      <c r="G92" t="n">
        <v>1.3</v>
      </c>
      <c r="H92" t="n">
        <v>1</v>
      </c>
      <c r="I92" t="n">
        <v>0</v>
      </c>
      <c r="J92" t="n">
        <v>1</v>
      </c>
      <c r="K92" t="n">
        <v>0</v>
      </c>
      <c r="L92" t="n">
        <v>0</v>
      </c>
      <c r="M92" t="n">
        <v>0</v>
      </c>
      <c r="N92" t="n">
        <v>0</v>
      </c>
      <c r="O92" t="n">
        <v>1</v>
      </c>
      <c r="P92" t="n">
        <v>0</v>
      </c>
      <c r="Q92" t="n">
        <v>1</v>
      </c>
      <c r="R92" s="2" t="inlineStr">
        <is>
          <t>Dårgräsfjäril</t>
        </is>
      </c>
      <c r="S92">
        <f>HYPERLINK("https://klasma.github.io/Logging_0580/artfynd/A 17444-2025 artfynd.xlsx", "A 17444-2025")</f>
        <v/>
      </c>
      <c r="T92">
        <f>HYPERLINK("https://klasma.github.io/Logging_0580/kartor/A 17444-2025 karta.png", "A 17444-2025")</f>
        <v/>
      </c>
      <c r="V92">
        <f>HYPERLINK("https://klasma.github.io/Logging_0580/klagomål/A 17444-2025 FSC-klagomål.docx", "A 17444-2025")</f>
        <v/>
      </c>
      <c r="W92">
        <f>HYPERLINK("https://klasma.github.io/Logging_0580/klagomålsmail/A 17444-2025 FSC-klagomål mail.docx", "A 17444-2025")</f>
        <v/>
      </c>
      <c r="X92">
        <f>HYPERLINK("https://klasma.github.io/Logging_0580/tillsyn/A 17444-2025 tillsynsbegäran.docx", "A 17444-2025")</f>
        <v/>
      </c>
      <c r="Y92">
        <f>HYPERLINK("https://klasma.github.io/Logging_0580/tillsynsmail/A 17444-2025 tillsynsbegäran mail.docx", "A 17444-2025")</f>
        <v/>
      </c>
    </row>
    <row r="93" ht="15" customHeight="1">
      <c r="A93" t="inlineStr">
        <is>
          <t>A 51583-2024</t>
        </is>
      </c>
      <c r="B93" s="1" t="n">
        <v>45604</v>
      </c>
      <c r="C93" s="1" t="n">
        <v>46200</v>
      </c>
      <c r="D93" t="inlineStr">
        <is>
          <t>ÖSTERGÖTLANDS LÄN</t>
        </is>
      </c>
      <c r="E93" t="inlineStr">
        <is>
          <t>LINKÖPING</t>
        </is>
      </c>
      <c r="F93" t="inlineStr">
        <is>
          <t>Övriga Aktiebolag</t>
        </is>
      </c>
      <c r="G93" t="n">
        <v>8.699999999999999</v>
      </c>
      <c r="H93" t="n">
        <v>1</v>
      </c>
      <c r="I93" t="n">
        <v>0</v>
      </c>
      <c r="J93" t="n">
        <v>0</v>
      </c>
      <c r="K93" t="n">
        <v>1</v>
      </c>
      <c r="L93" t="n">
        <v>0</v>
      </c>
      <c r="M93" t="n">
        <v>0</v>
      </c>
      <c r="N93" t="n">
        <v>0</v>
      </c>
      <c r="O93" t="n">
        <v>1</v>
      </c>
      <c r="P93" t="n">
        <v>1</v>
      </c>
      <c r="Q93" t="n">
        <v>1</v>
      </c>
      <c r="R93" s="2" t="inlineStr">
        <is>
          <t>Läderbagge</t>
        </is>
      </c>
      <c r="S93">
        <f>HYPERLINK("https://klasma.github.io/Logging_0580/artfynd/A 51583-2024 artfynd.xlsx", "A 51583-2024")</f>
        <v/>
      </c>
      <c r="T93">
        <f>HYPERLINK("https://klasma.github.io/Logging_0580/kartor/A 51583-2024 karta.png", "A 51583-2024")</f>
        <v/>
      </c>
      <c r="V93">
        <f>HYPERLINK("https://klasma.github.io/Logging_0580/klagomål/A 51583-2024 FSC-klagomål.docx", "A 51583-2024")</f>
        <v/>
      </c>
      <c r="W93">
        <f>HYPERLINK("https://klasma.github.io/Logging_0580/klagomålsmail/A 51583-2024 FSC-klagomål mail.docx", "A 51583-2024")</f>
        <v/>
      </c>
      <c r="X93">
        <f>HYPERLINK("https://klasma.github.io/Logging_0580/tillsyn/A 51583-2024 tillsynsbegäran.docx", "A 51583-2024")</f>
        <v/>
      </c>
      <c r="Y93">
        <f>HYPERLINK("https://klasma.github.io/Logging_0580/tillsynsmail/A 51583-2024 tillsynsbegäran mail.docx", "A 51583-2024")</f>
        <v/>
      </c>
    </row>
    <row r="94" ht="15" customHeight="1">
      <c r="A94" t="inlineStr">
        <is>
          <t>A 1084-2023</t>
        </is>
      </c>
      <c r="B94" s="1" t="n">
        <v>44929</v>
      </c>
      <c r="C94" s="1" t="n">
        <v>46200</v>
      </c>
      <c r="D94" t="inlineStr">
        <is>
          <t>ÖSTERGÖTLANDS LÄN</t>
        </is>
      </c>
      <c r="E94" t="inlineStr">
        <is>
          <t>LINKÖPING</t>
        </is>
      </c>
      <c r="G94" t="n">
        <v>10.4</v>
      </c>
      <c r="H94" t="n">
        <v>0</v>
      </c>
      <c r="I94" t="n">
        <v>1</v>
      </c>
      <c r="J94" t="n">
        <v>0</v>
      </c>
      <c r="K94" t="n">
        <v>0</v>
      </c>
      <c r="L94" t="n">
        <v>0</v>
      </c>
      <c r="M94" t="n">
        <v>0</v>
      </c>
      <c r="N94" t="n">
        <v>0</v>
      </c>
      <c r="O94" t="n">
        <v>0</v>
      </c>
      <c r="P94" t="n">
        <v>0</v>
      </c>
      <c r="Q94" t="n">
        <v>1</v>
      </c>
      <c r="R94" s="2" t="inlineStr">
        <is>
          <t>Grovticka</t>
        </is>
      </c>
      <c r="S94">
        <f>HYPERLINK("https://klasma.github.io/Logging_0580/artfynd/A 1084-2023 artfynd.xlsx", "A 1084-2023")</f>
        <v/>
      </c>
      <c r="T94">
        <f>HYPERLINK("https://klasma.github.io/Logging_0580/kartor/A 1084-2023 karta.png", "A 1084-2023")</f>
        <v/>
      </c>
      <c r="V94">
        <f>HYPERLINK("https://klasma.github.io/Logging_0580/klagomål/A 1084-2023 FSC-klagomål.docx", "A 1084-2023")</f>
        <v/>
      </c>
      <c r="W94">
        <f>HYPERLINK("https://klasma.github.io/Logging_0580/klagomålsmail/A 1084-2023 FSC-klagomål mail.docx", "A 1084-2023")</f>
        <v/>
      </c>
      <c r="X94">
        <f>HYPERLINK("https://klasma.github.io/Logging_0580/tillsyn/A 1084-2023 tillsynsbegäran.docx", "A 1084-2023")</f>
        <v/>
      </c>
      <c r="Y94">
        <f>HYPERLINK("https://klasma.github.io/Logging_0580/tillsynsmail/A 1084-2023 tillsynsbegäran mail.docx", "A 1084-2023")</f>
        <v/>
      </c>
    </row>
    <row r="95" ht="15" customHeight="1">
      <c r="A95" t="inlineStr">
        <is>
          <t>A 30985-2022</t>
        </is>
      </c>
      <c r="B95" s="1" t="n">
        <v>44768</v>
      </c>
      <c r="C95" s="1" t="n">
        <v>46200</v>
      </c>
      <c r="D95" t="inlineStr">
        <is>
          <t>ÖSTERGÖTLANDS LÄN</t>
        </is>
      </c>
      <c r="E95" t="inlineStr">
        <is>
          <t>LINKÖPING</t>
        </is>
      </c>
      <c r="G95" t="n">
        <v>1.1</v>
      </c>
      <c r="H95" t="n">
        <v>1</v>
      </c>
      <c r="I95" t="n">
        <v>0</v>
      </c>
      <c r="J95" t="n">
        <v>0</v>
      </c>
      <c r="K95" t="n">
        <v>0</v>
      </c>
      <c r="L95" t="n">
        <v>0</v>
      </c>
      <c r="M95" t="n">
        <v>0</v>
      </c>
      <c r="N95" t="n">
        <v>0</v>
      </c>
      <c r="O95" t="n">
        <v>0</v>
      </c>
      <c r="P95" t="n">
        <v>0</v>
      </c>
      <c r="Q95" t="n">
        <v>1</v>
      </c>
      <c r="R95" s="2" t="inlineStr">
        <is>
          <t>Vanliga ängsnycklar</t>
        </is>
      </c>
      <c r="S95">
        <f>HYPERLINK("https://klasma.github.io/Logging_0580/artfynd/A 30985-2022 artfynd.xlsx", "A 30985-2022")</f>
        <v/>
      </c>
      <c r="T95">
        <f>HYPERLINK("https://klasma.github.io/Logging_0580/kartor/A 30985-2022 karta.png", "A 30985-2022")</f>
        <v/>
      </c>
      <c r="V95">
        <f>HYPERLINK("https://klasma.github.io/Logging_0580/klagomål/A 30985-2022 FSC-klagomål.docx", "A 30985-2022")</f>
        <v/>
      </c>
      <c r="W95">
        <f>HYPERLINK("https://klasma.github.io/Logging_0580/klagomålsmail/A 30985-2022 FSC-klagomål mail.docx", "A 30985-2022")</f>
        <v/>
      </c>
      <c r="X95">
        <f>HYPERLINK("https://klasma.github.io/Logging_0580/tillsyn/A 30985-2022 tillsynsbegäran.docx", "A 30985-2022")</f>
        <v/>
      </c>
      <c r="Y95">
        <f>HYPERLINK("https://klasma.github.io/Logging_0580/tillsynsmail/A 30985-2022 tillsynsbegäran mail.docx", "A 30985-2022")</f>
        <v/>
      </c>
    </row>
    <row r="96" ht="15" customHeight="1">
      <c r="A96" t="inlineStr">
        <is>
          <t>A 71127-2021</t>
        </is>
      </c>
      <c r="B96" s="1" t="n">
        <v>44537</v>
      </c>
      <c r="C96" s="1" t="n">
        <v>46200</v>
      </c>
      <c r="D96" t="inlineStr">
        <is>
          <t>ÖSTERGÖTLANDS LÄN</t>
        </is>
      </c>
      <c r="E96" t="inlineStr">
        <is>
          <t>LINKÖPING</t>
        </is>
      </c>
      <c r="F96" t="inlineStr">
        <is>
          <t>Kommuner</t>
        </is>
      </c>
      <c r="G96" t="n">
        <v>7.2</v>
      </c>
      <c r="H96" t="n">
        <v>0</v>
      </c>
      <c r="I96" t="n">
        <v>0</v>
      </c>
      <c r="J96" t="n">
        <v>1</v>
      </c>
      <c r="K96" t="n">
        <v>0</v>
      </c>
      <c r="L96" t="n">
        <v>0</v>
      </c>
      <c r="M96" t="n">
        <v>0</v>
      </c>
      <c r="N96" t="n">
        <v>0</v>
      </c>
      <c r="O96" t="n">
        <v>1</v>
      </c>
      <c r="P96" t="n">
        <v>0</v>
      </c>
      <c r="Q96" t="n">
        <v>1</v>
      </c>
      <c r="R96" s="2" t="inlineStr">
        <is>
          <t>Svinrot</t>
        </is>
      </c>
      <c r="S96">
        <f>HYPERLINK("https://klasma.github.io/Logging_0580/artfynd/A 71127-2021 artfynd.xlsx", "A 71127-2021")</f>
        <v/>
      </c>
      <c r="T96">
        <f>HYPERLINK("https://klasma.github.io/Logging_0580/kartor/A 71127-2021 karta.png", "A 71127-2021")</f>
        <v/>
      </c>
      <c r="V96">
        <f>HYPERLINK("https://klasma.github.io/Logging_0580/klagomål/A 71127-2021 FSC-klagomål.docx", "A 71127-2021")</f>
        <v/>
      </c>
      <c r="W96">
        <f>HYPERLINK("https://klasma.github.io/Logging_0580/klagomålsmail/A 71127-2021 FSC-klagomål mail.docx", "A 71127-2021")</f>
        <v/>
      </c>
      <c r="X96">
        <f>HYPERLINK("https://klasma.github.io/Logging_0580/tillsyn/A 71127-2021 tillsynsbegäran.docx", "A 71127-2021")</f>
        <v/>
      </c>
      <c r="Y96">
        <f>HYPERLINK("https://klasma.github.io/Logging_0580/tillsynsmail/A 71127-2021 tillsynsbegäran mail.docx", "A 71127-2021")</f>
        <v/>
      </c>
    </row>
    <row r="97" ht="15" customHeight="1">
      <c r="A97" t="inlineStr">
        <is>
          <t>A 40315-2024</t>
        </is>
      </c>
      <c r="B97" s="1" t="n">
        <v>45554</v>
      </c>
      <c r="C97" s="1" t="n">
        <v>46200</v>
      </c>
      <c r="D97" t="inlineStr">
        <is>
          <t>ÖSTERGÖTLANDS LÄN</t>
        </is>
      </c>
      <c r="E97" t="inlineStr">
        <is>
          <t>LINKÖPING</t>
        </is>
      </c>
      <c r="F97" t="inlineStr">
        <is>
          <t>Allmännings- och besparingsskogar</t>
        </is>
      </c>
      <c r="G97" t="n">
        <v>15.8</v>
      </c>
      <c r="H97" t="n">
        <v>0</v>
      </c>
      <c r="I97" t="n">
        <v>0</v>
      </c>
      <c r="J97" t="n">
        <v>0</v>
      </c>
      <c r="K97" t="n">
        <v>0</v>
      </c>
      <c r="L97" t="n">
        <v>1</v>
      </c>
      <c r="M97" t="n">
        <v>0</v>
      </c>
      <c r="N97" t="n">
        <v>0</v>
      </c>
      <c r="O97" t="n">
        <v>1</v>
      </c>
      <c r="P97" t="n">
        <v>1</v>
      </c>
      <c r="Q97" t="n">
        <v>1</v>
      </c>
      <c r="R97" s="2" t="inlineStr">
        <is>
          <t>Skogsalm</t>
        </is>
      </c>
      <c r="S97">
        <f>HYPERLINK("https://klasma.github.io/Logging_0580/artfynd/A 40315-2024 artfynd.xlsx", "A 40315-2024")</f>
        <v/>
      </c>
      <c r="T97">
        <f>HYPERLINK("https://klasma.github.io/Logging_0580/kartor/A 40315-2024 karta.png", "A 40315-2024")</f>
        <v/>
      </c>
      <c r="V97">
        <f>HYPERLINK("https://klasma.github.io/Logging_0580/klagomål/A 40315-2024 FSC-klagomål.docx", "A 40315-2024")</f>
        <v/>
      </c>
      <c r="W97">
        <f>HYPERLINK("https://klasma.github.io/Logging_0580/klagomålsmail/A 40315-2024 FSC-klagomål mail.docx", "A 40315-2024")</f>
        <v/>
      </c>
      <c r="X97">
        <f>HYPERLINK("https://klasma.github.io/Logging_0580/tillsyn/A 40315-2024 tillsynsbegäran.docx", "A 40315-2024")</f>
        <v/>
      </c>
      <c r="Y97">
        <f>HYPERLINK("https://klasma.github.io/Logging_0580/tillsynsmail/A 40315-2024 tillsynsbegäran mail.docx", "A 40315-2024")</f>
        <v/>
      </c>
    </row>
    <row r="98" ht="15" customHeight="1">
      <c r="A98" t="inlineStr">
        <is>
          <t>A 22842-2023</t>
        </is>
      </c>
      <c r="B98" s="1" t="n">
        <v>45071</v>
      </c>
      <c r="C98" s="1" t="n">
        <v>46200</v>
      </c>
      <c r="D98" t="inlineStr">
        <is>
          <t>ÖSTERGÖTLANDS LÄN</t>
        </is>
      </c>
      <c r="E98" t="inlineStr">
        <is>
          <t>LINKÖPING</t>
        </is>
      </c>
      <c r="F98" t="inlineStr">
        <is>
          <t>Kommuner</t>
        </is>
      </c>
      <c r="G98" t="n">
        <v>1.3</v>
      </c>
      <c r="H98" t="n">
        <v>1</v>
      </c>
      <c r="I98" t="n">
        <v>0</v>
      </c>
      <c r="J98" t="n">
        <v>0</v>
      </c>
      <c r="K98" t="n">
        <v>0</v>
      </c>
      <c r="L98" t="n">
        <v>0</v>
      </c>
      <c r="M98" t="n">
        <v>0</v>
      </c>
      <c r="N98" t="n">
        <v>0</v>
      </c>
      <c r="O98" t="n">
        <v>0</v>
      </c>
      <c r="P98" t="n">
        <v>0</v>
      </c>
      <c r="Q98" t="n">
        <v>1</v>
      </c>
      <c r="R98" s="2" t="inlineStr">
        <is>
          <t>Grönvit nattviol</t>
        </is>
      </c>
      <c r="S98">
        <f>HYPERLINK("https://klasma.github.io/Logging_0580/artfynd/A 22842-2023 artfynd.xlsx", "A 22842-2023")</f>
        <v/>
      </c>
      <c r="T98">
        <f>HYPERLINK("https://klasma.github.io/Logging_0580/kartor/A 22842-2023 karta.png", "A 22842-2023")</f>
        <v/>
      </c>
      <c r="V98">
        <f>HYPERLINK("https://klasma.github.io/Logging_0580/klagomål/A 22842-2023 FSC-klagomål.docx", "A 22842-2023")</f>
        <v/>
      </c>
      <c r="W98">
        <f>HYPERLINK("https://klasma.github.io/Logging_0580/klagomålsmail/A 22842-2023 FSC-klagomål mail.docx", "A 22842-2023")</f>
        <v/>
      </c>
      <c r="X98">
        <f>HYPERLINK("https://klasma.github.io/Logging_0580/tillsyn/A 22842-2023 tillsynsbegäran.docx", "A 22842-2023")</f>
        <v/>
      </c>
      <c r="Y98">
        <f>HYPERLINK("https://klasma.github.io/Logging_0580/tillsynsmail/A 22842-2023 tillsynsbegäran mail.docx", "A 22842-2023")</f>
        <v/>
      </c>
    </row>
    <row r="99" ht="15" customHeight="1">
      <c r="A99" t="inlineStr">
        <is>
          <t>A 167-2024</t>
        </is>
      </c>
      <c r="B99" s="1" t="n">
        <v>45294</v>
      </c>
      <c r="C99" s="1" t="n">
        <v>46200</v>
      </c>
      <c r="D99" t="inlineStr">
        <is>
          <t>ÖSTERGÖTLANDS LÄN</t>
        </is>
      </c>
      <c r="E99" t="inlineStr">
        <is>
          <t>LINKÖPING</t>
        </is>
      </c>
      <c r="F99" t="inlineStr">
        <is>
          <t>Allmännings- och besparingsskogar</t>
        </is>
      </c>
      <c r="G99" t="n">
        <v>11.6</v>
      </c>
      <c r="H99" t="n">
        <v>0</v>
      </c>
      <c r="I99" t="n">
        <v>0</v>
      </c>
      <c r="J99" t="n">
        <v>0</v>
      </c>
      <c r="K99" t="n">
        <v>1</v>
      </c>
      <c r="L99" t="n">
        <v>0</v>
      </c>
      <c r="M99" t="n">
        <v>0</v>
      </c>
      <c r="N99" t="n">
        <v>0</v>
      </c>
      <c r="O99" t="n">
        <v>1</v>
      </c>
      <c r="P99" t="n">
        <v>1</v>
      </c>
      <c r="Q99" t="n">
        <v>1</v>
      </c>
      <c r="R99" s="2" t="inlineStr">
        <is>
          <t>Silverblåvinge</t>
        </is>
      </c>
      <c r="S99">
        <f>HYPERLINK("https://klasma.github.io/Logging_0580/artfynd/A 167-2024 artfynd.xlsx", "A 167-2024")</f>
        <v/>
      </c>
      <c r="T99">
        <f>HYPERLINK("https://klasma.github.io/Logging_0580/kartor/A 167-2024 karta.png", "A 167-2024")</f>
        <v/>
      </c>
      <c r="V99">
        <f>HYPERLINK("https://klasma.github.io/Logging_0580/klagomål/A 167-2024 FSC-klagomål.docx", "A 167-2024")</f>
        <v/>
      </c>
      <c r="W99">
        <f>HYPERLINK("https://klasma.github.io/Logging_0580/klagomålsmail/A 167-2024 FSC-klagomål mail.docx", "A 167-2024")</f>
        <v/>
      </c>
      <c r="X99">
        <f>HYPERLINK("https://klasma.github.io/Logging_0580/tillsyn/A 167-2024 tillsynsbegäran.docx", "A 167-2024")</f>
        <v/>
      </c>
      <c r="Y99">
        <f>HYPERLINK("https://klasma.github.io/Logging_0580/tillsynsmail/A 167-2024 tillsynsbegäran mail.docx", "A 167-2024")</f>
        <v/>
      </c>
    </row>
    <row r="100" ht="15" customHeight="1">
      <c r="A100" t="inlineStr">
        <is>
          <t>A 62071-2023</t>
        </is>
      </c>
      <c r="B100" s="1" t="n">
        <v>45266</v>
      </c>
      <c r="C100" s="1" t="n">
        <v>46200</v>
      </c>
      <c r="D100" t="inlineStr">
        <is>
          <t>ÖSTERGÖTLANDS LÄN</t>
        </is>
      </c>
      <c r="E100" t="inlineStr">
        <is>
          <t>LINKÖPING</t>
        </is>
      </c>
      <c r="G100" t="n">
        <v>6.5</v>
      </c>
      <c r="H100" t="n">
        <v>0</v>
      </c>
      <c r="I100" t="n">
        <v>0</v>
      </c>
      <c r="J100" t="n">
        <v>1</v>
      </c>
      <c r="K100" t="n">
        <v>0</v>
      </c>
      <c r="L100" t="n">
        <v>0</v>
      </c>
      <c r="M100" t="n">
        <v>0</v>
      </c>
      <c r="N100" t="n">
        <v>0</v>
      </c>
      <c r="O100" t="n">
        <v>1</v>
      </c>
      <c r="P100" t="n">
        <v>0</v>
      </c>
      <c r="Q100" t="n">
        <v>1</v>
      </c>
      <c r="R100" s="2" t="inlineStr">
        <is>
          <t>Svinrot</t>
        </is>
      </c>
      <c r="S100">
        <f>HYPERLINK("https://klasma.github.io/Logging_0580/artfynd/A 62071-2023 artfynd.xlsx", "A 62071-2023")</f>
        <v/>
      </c>
      <c r="T100">
        <f>HYPERLINK("https://klasma.github.io/Logging_0580/kartor/A 62071-2023 karta.png", "A 62071-2023")</f>
        <v/>
      </c>
      <c r="V100">
        <f>HYPERLINK("https://klasma.github.io/Logging_0580/klagomål/A 62071-2023 FSC-klagomål.docx", "A 62071-2023")</f>
        <v/>
      </c>
      <c r="W100">
        <f>HYPERLINK("https://klasma.github.io/Logging_0580/klagomålsmail/A 62071-2023 FSC-klagomål mail.docx", "A 62071-2023")</f>
        <v/>
      </c>
      <c r="X100">
        <f>HYPERLINK("https://klasma.github.io/Logging_0580/tillsyn/A 62071-2023 tillsynsbegäran.docx", "A 62071-2023")</f>
        <v/>
      </c>
      <c r="Y100">
        <f>HYPERLINK("https://klasma.github.io/Logging_0580/tillsynsmail/A 62071-2023 tillsynsbegäran mail.docx", "A 62071-2023")</f>
        <v/>
      </c>
    </row>
    <row r="101" ht="15" customHeight="1">
      <c r="A101" t="inlineStr">
        <is>
          <t>A 34864-2023</t>
        </is>
      </c>
      <c r="B101" s="1" t="n">
        <v>45141</v>
      </c>
      <c r="C101" s="1" t="n">
        <v>46200</v>
      </c>
      <c r="D101" t="inlineStr">
        <is>
          <t>ÖSTERGÖTLANDS LÄN</t>
        </is>
      </c>
      <c r="E101" t="inlineStr">
        <is>
          <t>LINKÖPING</t>
        </is>
      </c>
      <c r="G101" t="n">
        <v>3.3</v>
      </c>
      <c r="H101" t="n">
        <v>0</v>
      </c>
      <c r="I101" t="n">
        <v>0</v>
      </c>
      <c r="J101" t="n">
        <v>1</v>
      </c>
      <c r="K101" t="n">
        <v>0</v>
      </c>
      <c r="L101" t="n">
        <v>0</v>
      </c>
      <c r="M101" t="n">
        <v>0</v>
      </c>
      <c r="N101" t="n">
        <v>0</v>
      </c>
      <c r="O101" t="n">
        <v>1</v>
      </c>
      <c r="P101" t="n">
        <v>0</v>
      </c>
      <c r="Q101" t="n">
        <v>1</v>
      </c>
      <c r="R101" s="2" t="inlineStr">
        <is>
          <t>Svinrot</t>
        </is>
      </c>
      <c r="S101">
        <f>HYPERLINK("https://klasma.github.io/Logging_0580/artfynd/A 34864-2023 artfynd.xlsx", "A 34864-2023")</f>
        <v/>
      </c>
      <c r="T101">
        <f>HYPERLINK("https://klasma.github.io/Logging_0580/kartor/A 34864-2023 karta.png", "A 34864-2023")</f>
        <v/>
      </c>
      <c r="V101">
        <f>HYPERLINK("https://klasma.github.io/Logging_0580/klagomål/A 34864-2023 FSC-klagomål.docx", "A 34864-2023")</f>
        <v/>
      </c>
      <c r="W101">
        <f>HYPERLINK("https://klasma.github.io/Logging_0580/klagomålsmail/A 34864-2023 FSC-klagomål mail.docx", "A 34864-2023")</f>
        <v/>
      </c>
      <c r="X101">
        <f>HYPERLINK("https://klasma.github.io/Logging_0580/tillsyn/A 34864-2023 tillsynsbegäran.docx", "A 34864-2023")</f>
        <v/>
      </c>
      <c r="Y101">
        <f>HYPERLINK("https://klasma.github.io/Logging_0580/tillsynsmail/A 34864-2023 tillsynsbegäran mail.docx", "A 34864-2023")</f>
        <v/>
      </c>
    </row>
    <row r="102" ht="15" customHeight="1">
      <c r="A102" t="inlineStr">
        <is>
          <t>A 30551-2023</t>
        </is>
      </c>
      <c r="B102" s="1" t="n">
        <v>45111</v>
      </c>
      <c r="C102" s="1" t="n">
        <v>46200</v>
      </c>
      <c r="D102" t="inlineStr">
        <is>
          <t>ÖSTERGÖTLANDS LÄN</t>
        </is>
      </c>
      <c r="E102" t="inlineStr">
        <is>
          <t>LINKÖPING</t>
        </is>
      </c>
      <c r="G102" t="n">
        <v>0.6</v>
      </c>
      <c r="H102" t="n">
        <v>0</v>
      </c>
      <c r="I102" t="n">
        <v>1</v>
      </c>
      <c r="J102" t="n">
        <v>0</v>
      </c>
      <c r="K102" t="n">
        <v>0</v>
      </c>
      <c r="L102" t="n">
        <v>0</v>
      </c>
      <c r="M102" t="n">
        <v>0</v>
      </c>
      <c r="N102" t="n">
        <v>0</v>
      </c>
      <c r="O102" t="n">
        <v>0</v>
      </c>
      <c r="P102" t="n">
        <v>0</v>
      </c>
      <c r="Q102" t="n">
        <v>1</v>
      </c>
      <c r="R102" s="2" t="inlineStr">
        <is>
          <t>Fällmossa</t>
        </is>
      </c>
      <c r="S102">
        <f>HYPERLINK("https://klasma.github.io/Logging_0580/artfynd/A 30551-2023 artfynd.xlsx", "A 30551-2023")</f>
        <v/>
      </c>
      <c r="T102">
        <f>HYPERLINK("https://klasma.github.io/Logging_0580/kartor/A 30551-2023 karta.png", "A 30551-2023")</f>
        <v/>
      </c>
      <c r="V102">
        <f>HYPERLINK("https://klasma.github.io/Logging_0580/klagomål/A 30551-2023 FSC-klagomål.docx", "A 30551-2023")</f>
        <v/>
      </c>
      <c r="W102">
        <f>HYPERLINK("https://klasma.github.io/Logging_0580/klagomålsmail/A 30551-2023 FSC-klagomål mail.docx", "A 30551-2023")</f>
        <v/>
      </c>
      <c r="X102">
        <f>HYPERLINK("https://klasma.github.io/Logging_0580/tillsyn/A 30551-2023 tillsynsbegäran.docx", "A 30551-2023")</f>
        <v/>
      </c>
      <c r="Y102">
        <f>HYPERLINK("https://klasma.github.io/Logging_0580/tillsynsmail/A 30551-2023 tillsynsbegäran mail.docx", "A 30551-2023")</f>
        <v/>
      </c>
    </row>
    <row r="103" ht="15" customHeight="1">
      <c r="A103" t="inlineStr">
        <is>
          <t>A 3397-2023</t>
        </is>
      </c>
      <c r="B103" s="1" t="n">
        <v>44949</v>
      </c>
      <c r="C103" s="1" t="n">
        <v>46200</v>
      </c>
      <c r="D103" t="inlineStr">
        <is>
          <t>ÖSTERGÖTLANDS LÄN</t>
        </is>
      </c>
      <c r="E103" t="inlineStr">
        <is>
          <t>LINKÖPING</t>
        </is>
      </c>
      <c r="G103" t="n">
        <v>4.1</v>
      </c>
      <c r="H103" t="n">
        <v>0</v>
      </c>
      <c r="I103" t="n">
        <v>0</v>
      </c>
      <c r="J103" t="n">
        <v>1</v>
      </c>
      <c r="K103" t="n">
        <v>0</v>
      </c>
      <c r="L103" t="n">
        <v>0</v>
      </c>
      <c r="M103" t="n">
        <v>0</v>
      </c>
      <c r="N103" t="n">
        <v>0</v>
      </c>
      <c r="O103" t="n">
        <v>1</v>
      </c>
      <c r="P103" t="n">
        <v>0</v>
      </c>
      <c r="Q103" t="n">
        <v>1</v>
      </c>
      <c r="R103" s="2" t="inlineStr">
        <is>
          <t>Svinrot</t>
        </is>
      </c>
      <c r="S103">
        <f>HYPERLINK("https://klasma.github.io/Logging_0580/artfynd/A 3397-2023 artfynd.xlsx", "A 3397-2023")</f>
        <v/>
      </c>
      <c r="T103">
        <f>HYPERLINK("https://klasma.github.io/Logging_0580/kartor/A 3397-2023 karta.png", "A 3397-2023")</f>
        <v/>
      </c>
      <c r="V103">
        <f>HYPERLINK("https://klasma.github.io/Logging_0580/klagomål/A 3397-2023 FSC-klagomål.docx", "A 3397-2023")</f>
        <v/>
      </c>
      <c r="W103">
        <f>HYPERLINK("https://klasma.github.io/Logging_0580/klagomålsmail/A 3397-2023 FSC-klagomål mail.docx", "A 3397-2023")</f>
        <v/>
      </c>
      <c r="X103">
        <f>HYPERLINK("https://klasma.github.io/Logging_0580/tillsyn/A 3397-2023 tillsynsbegäran.docx", "A 3397-2023")</f>
        <v/>
      </c>
      <c r="Y103">
        <f>HYPERLINK("https://klasma.github.io/Logging_0580/tillsynsmail/A 3397-2023 tillsynsbegäran mail.docx", "A 3397-2023")</f>
        <v/>
      </c>
    </row>
    <row r="104" ht="15" customHeight="1">
      <c r="A104" t="inlineStr">
        <is>
          <t>A 45806-2024</t>
        </is>
      </c>
      <c r="B104" s="1" t="n">
        <v>45579</v>
      </c>
      <c r="C104" s="1" t="n">
        <v>46200</v>
      </c>
      <c r="D104" t="inlineStr">
        <is>
          <t>ÖSTERGÖTLANDS LÄN</t>
        </is>
      </c>
      <c r="E104" t="inlineStr">
        <is>
          <t>LINKÖPING</t>
        </is>
      </c>
      <c r="G104" t="n">
        <v>1.6</v>
      </c>
      <c r="H104" t="n">
        <v>0</v>
      </c>
      <c r="I104" t="n">
        <v>1</v>
      </c>
      <c r="J104" t="n">
        <v>0</v>
      </c>
      <c r="K104" t="n">
        <v>0</v>
      </c>
      <c r="L104" t="n">
        <v>0</v>
      </c>
      <c r="M104" t="n">
        <v>0</v>
      </c>
      <c r="N104" t="n">
        <v>0</v>
      </c>
      <c r="O104" t="n">
        <v>0</v>
      </c>
      <c r="P104" t="n">
        <v>0</v>
      </c>
      <c r="Q104" t="n">
        <v>1</v>
      </c>
      <c r="R104" s="2" t="inlineStr">
        <is>
          <t>Brun nållav</t>
        </is>
      </c>
      <c r="S104">
        <f>HYPERLINK("https://klasma.github.io/Logging_0580/artfynd/A 45806-2024 artfynd.xlsx", "A 45806-2024")</f>
        <v/>
      </c>
      <c r="T104">
        <f>HYPERLINK("https://klasma.github.io/Logging_0580/kartor/A 45806-2024 karta.png", "A 45806-2024")</f>
        <v/>
      </c>
      <c r="V104">
        <f>HYPERLINK("https://klasma.github.io/Logging_0580/klagomål/A 45806-2024 FSC-klagomål.docx", "A 45806-2024")</f>
        <v/>
      </c>
      <c r="W104">
        <f>HYPERLINK("https://klasma.github.io/Logging_0580/klagomålsmail/A 45806-2024 FSC-klagomål mail.docx", "A 45806-2024")</f>
        <v/>
      </c>
      <c r="X104">
        <f>HYPERLINK("https://klasma.github.io/Logging_0580/tillsyn/A 45806-2024 tillsynsbegäran.docx", "A 45806-2024")</f>
        <v/>
      </c>
      <c r="Y104">
        <f>HYPERLINK("https://klasma.github.io/Logging_0580/tillsynsmail/A 45806-2024 tillsynsbegäran mail.docx", "A 45806-2024")</f>
        <v/>
      </c>
    </row>
    <row r="105" ht="15" customHeight="1">
      <c r="A105" t="inlineStr">
        <is>
          <t>A 56756-2023</t>
        </is>
      </c>
      <c r="B105" s="1" t="n">
        <v>45244</v>
      </c>
      <c r="C105" s="1" t="n">
        <v>46200</v>
      </c>
      <c r="D105" t="inlineStr">
        <is>
          <t>ÖSTERGÖTLANDS LÄN</t>
        </is>
      </c>
      <c r="E105" t="inlineStr">
        <is>
          <t>LINKÖPING</t>
        </is>
      </c>
      <c r="F105" t="inlineStr">
        <is>
          <t>Övriga Aktiebolag</t>
        </is>
      </c>
      <c r="G105" t="n">
        <v>0.8</v>
      </c>
      <c r="H105" t="n">
        <v>1</v>
      </c>
      <c r="I105" t="n">
        <v>0</v>
      </c>
      <c r="J105" t="n">
        <v>0</v>
      </c>
      <c r="K105" t="n">
        <v>0</v>
      </c>
      <c r="L105" t="n">
        <v>0</v>
      </c>
      <c r="M105" t="n">
        <v>0</v>
      </c>
      <c r="N105" t="n">
        <v>0</v>
      </c>
      <c r="O105" t="n">
        <v>0</v>
      </c>
      <c r="P105" t="n">
        <v>0</v>
      </c>
      <c r="Q105" t="n">
        <v>1</v>
      </c>
      <c r="R105" s="2" t="inlineStr">
        <is>
          <t>Kråka</t>
        </is>
      </c>
      <c r="S105">
        <f>HYPERLINK("https://klasma.github.io/Logging_0580/artfynd/A 56756-2023 artfynd.xlsx", "A 56756-2023")</f>
        <v/>
      </c>
      <c r="T105">
        <f>HYPERLINK("https://klasma.github.io/Logging_0580/kartor/A 56756-2023 karta.png", "A 56756-2023")</f>
        <v/>
      </c>
      <c r="V105">
        <f>HYPERLINK("https://klasma.github.io/Logging_0580/klagomål/A 56756-2023 FSC-klagomål.docx", "A 56756-2023")</f>
        <v/>
      </c>
      <c r="W105">
        <f>HYPERLINK("https://klasma.github.io/Logging_0580/klagomålsmail/A 56756-2023 FSC-klagomål mail.docx", "A 56756-2023")</f>
        <v/>
      </c>
      <c r="X105">
        <f>HYPERLINK("https://klasma.github.io/Logging_0580/tillsyn/A 56756-2023 tillsynsbegäran.docx", "A 56756-2023")</f>
        <v/>
      </c>
      <c r="Y105">
        <f>HYPERLINK("https://klasma.github.io/Logging_0580/tillsynsmail/A 56756-2023 tillsynsbegäran mail.docx", "A 56756-2023")</f>
        <v/>
      </c>
    </row>
    <row r="106" ht="15" customHeight="1">
      <c r="A106" t="inlineStr">
        <is>
          <t>A 25568-2024</t>
        </is>
      </c>
      <c r="B106" s="1" t="n">
        <v>45463</v>
      </c>
      <c r="C106" s="1" t="n">
        <v>46200</v>
      </c>
      <c r="D106" t="inlineStr">
        <is>
          <t>ÖSTERGÖTLANDS LÄN</t>
        </is>
      </c>
      <c r="E106" t="inlineStr">
        <is>
          <t>LINKÖPING</t>
        </is>
      </c>
      <c r="G106" t="n">
        <v>1.8</v>
      </c>
      <c r="H106" t="n">
        <v>1</v>
      </c>
      <c r="I106" t="n">
        <v>0</v>
      </c>
      <c r="J106" t="n">
        <v>0</v>
      </c>
      <c r="K106" t="n">
        <v>0</v>
      </c>
      <c r="L106" t="n">
        <v>0</v>
      </c>
      <c r="M106" t="n">
        <v>0</v>
      </c>
      <c r="N106" t="n">
        <v>0</v>
      </c>
      <c r="O106" t="n">
        <v>0</v>
      </c>
      <c r="P106" t="n">
        <v>0</v>
      </c>
      <c r="Q106" t="n">
        <v>1</v>
      </c>
      <c r="R106" s="2" t="inlineStr">
        <is>
          <t>Gröngöling</t>
        </is>
      </c>
      <c r="S106">
        <f>HYPERLINK("https://klasma.github.io/Logging_0580/artfynd/A 25568-2024 artfynd.xlsx", "A 25568-2024")</f>
        <v/>
      </c>
      <c r="T106">
        <f>HYPERLINK("https://klasma.github.io/Logging_0580/kartor/A 25568-2024 karta.png", "A 25568-2024")</f>
        <v/>
      </c>
      <c r="V106">
        <f>HYPERLINK("https://klasma.github.io/Logging_0580/klagomål/A 25568-2024 FSC-klagomål.docx", "A 25568-2024")</f>
        <v/>
      </c>
      <c r="W106">
        <f>HYPERLINK("https://klasma.github.io/Logging_0580/klagomålsmail/A 25568-2024 FSC-klagomål mail.docx", "A 25568-2024")</f>
        <v/>
      </c>
      <c r="X106">
        <f>HYPERLINK("https://klasma.github.io/Logging_0580/tillsyn/A 25568-2024 tillsynsbegäran.docx", "A 25568-2024")</f>
        <v/>
      </c>
      <c r="Y106">
        <f>HYPERLINK("https://klasma.github.io/Logging_0580/tillsynsmail/A 25568-2024 tillsynsbegäran mail.docx", "A 25568-2024")</f>
        <v/>
      </c>
    </row>
    <row r="107" ht="15" customHeight="1">
      <c r="A107" t="inlineStr">
        <is>
          <t>A 1924-2024</t>
        </is>
      </c>
      <c r="B107" s="1" t="n">
        <v>45308</v>
      </c>
      <c r="C107" s="1" t="n">
        <v>46200</v>
      </c>
      <c r="D107" t="inlineStr">
        <is>
          <t>ÖSTERGÖTLANDS LÄN</t>
        </is>
      </c>
      <c r="E107" t="inlineStr">
        <is>
          <t>LINKÖPING</t>
        </is>
      </c>
      <c r="F107" t="inlineStr">
        <is>
          <t>Övriga Aktiebolag</t>
        </is>
      </c>
      <c r="G107" t="n">
        <v>0.5</v>
      </c>
      <c r="H107" t="n">
        <v>0</v>
      </c>
      <c r="I107" t="n">
        <v>1</v>
      </c>
      <c r="J107" t="n">
        <v>0</v>
      </c>
      <c r="K107" t="n">
        <v>0</v>
      </c>
      <c r="L107" t="n">
        <v>0</v>
      </c>
      <c r="M107" t="n">
        <v>0</v>
      </c>
      <c r="N107" t="n">
        <v>0</v>
      </c>
      <c r="O107" t="n">
        <v>0</v>
      </c>
      <c r="P107" t="n">
        <v>0</v>
      </c>
      <c r="Q107" t="n">
        <v>1</v>
      </c>
      <c r="R107" s="2" t="inlineStr">
        <is>
          <t>Svart trolldruva</t>
        </is>
      </c>
      <c r="S107">
        <f>HYPERLINK("https://klasma.github.io/Logging_0580/artfynd/A 1924-2024 artfynd.xlsx", "A 1924-2024")</f>
        <v/>
      </c>
      <c r="T107">
        <f>HYPERLINK("https://klasma.github.io/Logging_0580/kartor/A 1924-2024 karta.png", "A 1924-2024")</f>
        <v/>
      </c>
      <c r="V107">
        <f>HYPERLINK("https://klasma.github.io/Logging_0580/klagomål/A 1924-2024 FSC-klagomål.docx", "A 1924-2024")</f>
        <v/>
      </c>
      <c r="W107">
        <f>HYPERLINK("https://klasma.github.io/Logging_0580/klagomålsmail/A 1924-2024 FSC-klagomål mail.docx", "A 1924-2024")</f>
        <v/>
      </c>
      <c r="X107">
        <f>HYPERLINK("https://klasma.github.io/Logging_0580/tillsyn/A 1924-2024 tillsynsbegäran.docx", "A 1924-2024")</f>
        <v/>
      </c>
      <c r="Y107">
        <f>HYPERLINK("https://klasma.github.io/Logging_0580/tillsynsmail/A 1924-2024 tillsynsbegäran mail.docx", "A 1924-2024")</f>
        <v/>
      </c>
    </row>
    <row r="108" ht="15" customHeight="1">
      <c r="A108" t="inlineStr">
        <is>
          <t>A 37683-2024</t>
        </is>
      </c>
      <c r="B108" s="1" t="n">
        <v>45541</v>
      </c>
      <c r="C108" s="1" t="n">
        <v>46200</v>
      </c>
      <c r="D108" t="inlineStr">
        <is>
          <t>ÖSTERGÖTLANDS LÄN</t>
        </is>
      </c>
      <c r="E108" t="inlineStr">
        <is>
          <t>LINKÖPING</t>
        </is>
      </c>
      <c r="G108" t="n">
        <v>0.6</v>
      </c>
      <c r="H108" t="n">
        <v>0</v>
      </c>
      <c r="I108" t="n">
        <v>1</v>
      </c>
      <c r="J108" t="n">
        <v>0</v>
      </c>
      <c r="K108" t="n">
        <v>0</v>
      </c>
      <c r="L108" t="n">
        <v>0</v>
      </c>
      <c r="M108" t="n">
        <v>0</v>
      </c>
      <c r="N108" t="n">
        <v>0</v>
      </c>
      <c r="O108" t="n">
        <v>0</v>
      </c>
      <c r="P108" t="n">
        <v>0</v>
      </c>
      <c r="Q108" t="n">
        <v>1</v>
      </c>
      <c r="R108" s="2" t="inlineStr">
        <is>
          <t>Tibast</t>
        </is>
      </c>
      <c r="S108">
        <f>HYPERLINK("https://klasma.github.io/Logging_0580/artfynd/A 37683-2024 artfynd.xlsx", "A 37683-2024")</f>
        <v/>
      </c>
      <c r="T108">
        <f>HYPERLINK("https://klasma.github.io/Logging_0580/kartor/A 37683-2024 karta.png", "A 37683-2024")</f>
        <v/>
      </c>
      <c r="V108">
        <f>HYPERLINK("https://klasma.github.io/Logging_0580/klagomål/A 37683-2024 FSC-klagomål.docx", "A 37683-2024")</f>
        <v/>
      </c>
      <c r="W108">
        <f>HYPERLINK("https://klasma.github.io/Logging_0580/klagomålsmail/A 37683-2024 FSC-klagomål mail.docx", "A 37683-2024")</f>
        <v/>
      </c>
      <c r="X108">
        <f>HYPERLINK("https://klasma.github.io/Logging_0580/tillsyn/A 37683-2024 tillsynsbegäran.docx", "A 37683-2024")</f>
        <v/>
      </c>
      <c r="Y108">
        <f>HYPERLINK("https://klasma.github.io/Logging_0580/tillsynsmail/A 37683-2024 tillsynsbegäran mail.docx", "A 37683-2024")</f>
        <v/>
      </c>
    </row>
    <row r="109" ht="15" customHeight="1">
      <c r="A109" t="inlineStr">
        <is>
          <t>A 51484-2023</t>
        </is>
      </c>
      <c r="B109" s="1" t="n">
        <v>45222</v>
      </c>
      <c r="C109" s="1" t="n">
        <v>46200</v>
      </c>
      <c r="D109" t="inlineStr">
        <is>
          <t>ÖSTERGÖTLANDS LÄN</t>
        </is>
      </c>
      <c r="E109" t="inlineStr">
        <is>
          <t>LINKÖPING</t>
        </is>
      </c>
      <c r="F109" t="inlineStr">
        <is>
          <t>Övriga Aktiebolag</t>
        </is>
      </c>
      <c r="G109" t="n">
        <v>7.7</v>
      </c>
      <c r="H109" t="n">
        <v>1</v>
      </c>
      <c r="I109" t="n">
        <v>0</v>
      </c>
      <c r="J109" t="n">
        <v>1</v>
      </c>
      <c r="K109" t="n">
        <v>0</v>
      </c>
      <c r="L109" t="n">
        <v>0</v>
      </c>
      <c r="M109" t="n">
        <v>0</v>
      </c>
      <c r="N109" t="n">
        <v>0</v>
      </c>
      <c r="O109" t="n">
        <v>1</v>
      </c>
      <c r="P109" t="n">
        <v>0</v>
      </c>
      <c r="Q109" t="n">
        <v>1</v>
      </c>
      <c r="R109" s="2" t="inlineStr">
        <is>
          <t>Järnsparv</t>
        </is>
      </c>
      <c r="S109">
        <f>HYPERLINK("https://klasma.github.io/Logging_0580/artfynd/A 51484-2023 artfynd.xlsx", "A 51484-2023")</f>
        <v/>
      </c>
      <c r="T109">
        <f>HYPERLINK("https://klasma.github.io/Logging_0580/kartor/A 51484-2023 karta.png", "A 51484-2023")</f>
        <v/>
      </c>
      <c r="V109">
        <f>HYPERLINK("https://klasma.github.io/Logging_0580/klagomål/A 51484-2023 FSC-klagomål.docx", "A 51484-2023")</f>
        <v/>
      </c>
      <c r="W109">
        <f>HYPERLINK("https://klasma.github.io/Logging_0580/klagomålsmail/A 51484-2023 FSC-klagomål mail.docx", "A 51484-2023")</f>
        <v/>
      </c>
      <c r="X109">
        <f>HYPERLINK("https://klasma.github.io/Logging_0580/tillsyn/A 51484-2023 tillsynsbegäran.docx", "A 51484-2023")</f>
        <v/>
      </c>
      <c r="Y109">
        <f>HYPERLINK("https://klasma.github.io/Logging_0580/tillsynsmail/A 51484-2023 tillsynsbegäran mail.docx", "A 51484-2023")</f>
        <v/>
      </c>
      <c r="Z109">
        <f>HYPERLINK("https://klasma.github.io/Logging_0580/fåglar/A 51484-2023 prioriterade fågelarter.docx", "A 51484-2023")</f>
        <v/>
      </c>
    </row>
    <row r="110" ht="15" customHeight="1">
      <c r="A110" t="inlineStr">
        <is>
          <t>A 56128-2022</t>
        </is>
      </c>
      <c r="B110" s="1" t="n">
        <v>44889</v>
      </c>
      <c r="C110" s="1" t="n">
        <v>46200</v>
      </c>
      <c r="D110" t="inlineStr">
        <is>
          <t>ÖSTERGÖTLANDS LÄN</t>
        </is>
      </c>
      <c r="E110" t="inlineStr">
        <is>
          <t>LINKÖPING</t>
        </is>
      </c>
      <c r="G110" t="n">
        <v>2</v>
      </c>
      <c r="H110" t="n">
        <v>0</v>
      </c>
      <c r="I110" t="n">
        <v>1</v>
      </c>
      <c r="J110" t="n">
        <v>0</v>
      </c>
      <c r="K110" t="n">
        <v>0</v>
      </c>
      <c r="L110" t="n">
        <v>0</v>
      </c>
      <c r="M110" t="n">
        <v>0</v>
      </c>
      <c r="N110" t="n">
        <v>0</v>
      </c>
      <c r="O110" t="n">
        <v>0</v>
      </c>
      <c r="P110" t="n">
        <v>0</v>
      </c>
      <c r="Q110" t="n">
        <v>1</v>
      </c>
      <c r="R110" s="2" t="inlineStr">
        <is>
          <t>Tibast</t>
        </is>
      </c>
      <c r="S110">
        <f>HYPERLINK("https://klasma.github.io/Logging_0580/artfynd/A 56128-2022 artfynd.xlsx", "A 56128-2022")</f>
        <v/>
      </c>
      <c r="T110">
        <f>HYPERLINK("https://klasma.github.io/Logging_0580/kartor/A 56128-2022 karta.png", "A 56128-2022")</f>
        <v/>
      </c>
      <c r="V110">
        <f>HYPERLINK("https://klasma.github.io/Logging_0580/klagomål/A 56128-2022 FSC-klagomål.docx", "A 56128-2022")</f>
        <v/>
      </c>
      <c r="W110">
        <f>HYPERLINK("https://klasma.github.io/Logging_0580/klagomålsmail/A 56128-2022 FSC-klagomål mail.docx", "A 56128-2022")</f>
        <v/>
      </c>
      <c r="X110">
        <f>HYPERLINK("https://klasma.github.io/Logging_0580/tillsyn/A 56128-2022 tillsynsbegäran.docx", "A 56128-2022")</f>
        <v/>
      </c>
      <c r="Y110">
        <f>HYPERLINK("https://klasma.github.io/Logging_0580/tillsynsmail/A 56128-2022 tillsynsbegäran mail.docx", "A 56128-2022")</f>
        <v/>
      </c>
    </row>
    <row r="111" ht="15" customHeight="1">
      <c r="A111" t="inlineStr">
        <is>
          <t>A 21782-2024</t>
        </is>
      </c>
      <c r="B111" s="1" t="n">
        <v>45442</v>
      </c>
      <c r="C111" s="1" t="n">
        <v>46200</v>
      </c>
      <c r="D111" t="inlineStr">
        <is>
          <t>ÖSTERGÖTLANDS LÄN</t>
        </is>
      </c>
      <c r="E111" t="inlineStr">
        <is>
          <t>LINKÖPING</t>
        </is>
      </c>
      <c r="G111" t="n">
        <v>1.4</v>
      </c>
      <c r="H111" t="n">
        <v>1</v>
      </c>
      <c r="I111" t="n">
        <v>0</v>
      </c>
      <c r="J111" t="n">
        <v>0</v>
      </c>
      <c r="K111" t="n">
        <v>0</v>
      </c>
      <c r="L111" t="n">
        <v>0</v>
      </c>
      <c r="M111" t="n">
        <v>0</v>
      </c>
      <c r="N111" t="n">
        <v>0</v>
      </c>
      <c r="O111" t="n">
        <v>0</v>
      </c>
      <c r="P111" t="n">
        <v>0</v>
      </c>
      <c r="Q111" t="n">
        <v>1</v>
      </c>
      <c r="R111" s="2" t="inlineStr">
        <is>
          <t>Fjällvråk</t>
        </is>
      </c>
      <c r="S111">
        <f>HYPERLINK("https://klasma.github.io/Logging_0580/artfynd/A 21782-2024 artfynd.xlsx", "A 21782-2024")</f>
        <v/>
      </c>
      <c r="T111">
        <f>HYPERLINK("https://klasma.github.io/Logging_0580/kartor/A 21782-2024 karta.png", "A 21782-2024")</f>
        <v/>
      </c>
      <c r="V111">
        <f>HYPERLINK("https://klasma.github.io/Logging_0580/klagomål/A 21782-2024 FSC-klagomål.docx", "A 21782-2024")</f>
        <v/>
      </c>
      <c r="W111">
        <f>HYPERLINK("https://klasma.github.io/Logging_0580/klagomålsmail/A 21782-2024 FSC-klagomål mail.docx", "A 21782-2024")</f>
        <v/>
      </c>
      <c r="X111">
        <f>HYPERLINK("https://klasma.github.io/Logging_0580/tillsyn/A 21782-2024 tillsynsbegäran.docx", "A 21782-2024")</f>
        <v/>
      </c>
      <c r="Y111">
        <f>HYPERLINK("https://klasma.github.io/Logging_0580/tillsynsmail/A 21782-2024 tillsynsbegäran mail.docx", "A 21782-2024")</f>
        <v/>
      </c>
      <c r="Z111">
        <f>HYPERLINK("https://klasma.github.io/Logging_0580/fåglar/A 21782-2024 prioriterade fågelarter.docx", "A 21782-2024")</f>
        <v/>
      </c>
    </row>
    <row r="112" ht="15" customHeight="1">
      <c r="A112" t="inlineStr">
        <is>
          <t>A 3011-2023</t>
        </is>
      </c>
      <c r="B112" s="1" t="n">
        <v>44945</v>
      </c>
      <c r="C112" s="1" t="n">
        <v>46200</v>
      </c>
      <c r="D112" t="inlineStr">
        <is>
          <t>ÖSTERGÖTLANDS LÄN</t>
        </is>
      </c>
      <c r="E112" t="inlineStr">
        <is>
          <t>LINKÖPING</t>
        </is>
      </c>
      <c r="G112" t="n">
        <v>0.6</v>
      </c>
      <c r="H112" t="n">
        <v>1</v>
      </c>
      <c r="I112" t="n">
        <v>0</v>
      </c>
      <c r="J112" t="n">
        <v>1</v>
      </c>
      <c r="K112" t="n">
        <v>0</v>
      </c>
      <c r="L112" t="n">
        <v>0</v>
      </c>
      <c r="M112" t="n">
        <v>0</v>
      </c>
      <c r="N112" t="n">
        <v>0</v>
      </c>
      <c r="O112" t="n">
        <v>1</v>
      </c>
      <c r="P112" t="n">
        <v>0</v>
      </c>
      <c r="Q112" t="n">
        <v>1</v>
      </c>
      <c r="R112" s="2" t="inlineStr">
        <is>
          <t>Dårgräsfjäril</t>
        </is>
      </c>
      <c r="S112">
        <f>HYPERLINK("https://klasma.github.io/Logging_0580/artfynd/A 3011-2023 artfynd.xlsx", "A 3011-2023")</f>
        <v/>
      </c>
      <c r="T112">
        <f>HYPERLINK("https://klasma.github.io/Logging_0580/kartor/A 3011-2023 karta.png", "A 3011-2023")</f>
        <v/>
      </c>
      <c r="V112">
        <f>HYPERLINK("https://klasma.github.io/Logging_0580/klagomål/A 3011-2023 FSC-klagomål.docx", "A 3011-2023")</f>
        <v/>
      </c>
      <c r="W112">
        <f>HYPERLINK("https://klasma.github.io/Logging_0580/klagomålsmail/A 3011-2023 FSC-klagomål mail.docx", "A 3011-2023")</f>
        <v/>
      </c>
      <c r="X112">
        <f>HYPERLINK("https://klasma.github.io/Logging_0580/tillsyn/A 3011-2023 tillsynsbegäran.docx", "A 3011-2023")</f>
        <v/>
      </c>
      <c r="Y112">
        <f>HYPERLINK("https://klasma.github.io/Logging_0580/tillsynsmail/A 3011-2023 tillsynsbegäran mail.docx", "A 3011-2023")</f>
        <v/>
      </c>
    </row>
    <row r="113" ht="15" customHeight="1">
      <c r="A113" t="inlineStr">
        <is>
          <t>A 27403-2025</t>
        </is>
      </c>
      <c r="B113" s="1" t="n">
        <v>45812</v>
      </c>
      <c r="C113" s="1" t="n">
        <v>46200</v>
      </c>
      <c r="D113" t="inlineStr">
        <is>
          <t>ÖSTERGÖTLANDS LÄN</t>
        </is>
      </c>
      <c r="E113" t="inlineStr">
        <is>
          <t>LINKÖPING</t>
        </is>
      </c>
      <c r="G113" t="n">
        <v>1.4</v>
      </c>
      <c r="H113" t="n">
        <v>0</v>
      </c>
      <c r="I113" t="n">
        <v>0</v>
      </c>
      <c r="J113" t="n">
        <v>1</v>
      </c>
      <c r="K113" t="n">
        <v>0</v>
      </c>
      <c r="L113" t="n">
        <v>0</v>
      </c>
      <c r="M113" t="n">
        <v>0</v>
      </c>
      <c r="N113" t="n">
        <v>0</v>
      </c>
      <c r="O113" t="n">
        <v>1</v>
      </c>
      <c r="P113" t="n">
        <v>0</v>
      </c>
      <c r="Q113" t="n">
        <v>1</v>
      </c>
      <c r="R113" s="2" t="inlineStr">
        <is>
          <t>Tallticka</t>
        </is>
      </c>
      <c r="S113">
        <f>HYPERLINK("https://klasma.github.io/Logging_0580/artfynd/A 27403-2025 artfynd.xlsx", "A 27403-2025")</f>
        <v/>
      </c>
      <c r="T113">
        <f>HYPERLINK("https://klasma.github.io/Logging_0580/kartor/A 27403-2025 karta.png", "A 27403-2025")</f>
        <v/>
      </c>
      <c r="V113">
        <f>HYPERLINK("https://klasma.github.io/Logging_0580/klagomål/A 27403-2025 FSC-klagomål.docx", "A 27403-2025")</f>
        <v/>
      </c>
      <c r="W113">
        <f>HYPERLINK("https://klasma.github.io/Logging_0580/klagomålsmail/A 27403-2025 FSC-klagomål mail.docx", "A 27403-2025")</f>
        <v/>
      </c>
      <c r="X113">
        <f>HYPERLINK("https://klasma.github.io/Logging_0580/tillsyn/A 27403-2025 tillsynsbegäran.docx", "A 27403-2025")</f>
        <v/>
      </c>
      <c r="Y113">
        <f>HYPERLINK("https://klasma.github.io/Logging_0580/tillsynsmail/A 27403-2025 tillsynsbegäran mail.docx", "A 27403-2025")</f>
        <v/>
      </c>
    </row>
    <row r="114" ht="15" customHeight="1">
      <c r="A114" t="inlineStr">
        <is>
          <t>A 27798-2025</t>
        </is>
      </c>
      <c r="B114" s="1" t="n">
        <v>45816</v>
      </c>
      <c r="C114" s="1" t="n">
        <v>46200</v>
      </c>
      <c r="D114" t="inlineStr">
        <is>
          <t>ÖSTERGÖTLANDS LÄN</t>
        </is>
      </c>
      <c r="E114" t="inlineStr">
        <is>
          <t>LINKÖPING</t>
        </is>
      </c>
      <c r="G114" t="n">
        <v>1.9</v>
      </c>
      <c r="H114" t="n">
        <v>0</v>
      </c>
      <c r="I114" t="n">
        <v>0</v>
      </c>
      <c r="J114" t="n">
        <v>0</v>
      </c>
      <c r="K114" t="n">
        <v>1</v>
      </c>
      <c r="L114" t="n">
        <v>0</v>
      </c>
      <c r="M114" t="n">
        <v>0</v>
      </c>
      <c r="N114" t="n">
        <v>0</v>
      </c>
      <c r="O114" t="n">
        <v>1</v>
      </c>
      <c r="P114" t="n">
        <v>1</v>
      </c>
      <c r="Q114" t="n">
        <v>1</v>
      </c>
      <c r="R114" s="2" t="inlineStr">
        <is>
          <t>Igelkott</t>
        </is>
      </c>
      <c r="S114">
        <f>HYPERLINK("https://klasma.github.io/Logging_0580/artfynd/A 27798-2025 artfynd.xlsx", "A 27798-2025")</f>
        <v/>
      </c>
      <c r="T114">
        <f>HYPERLINK("https://klasma.github.io/Logging_0580/kartor/A 27798-2025 karta.png", "A 27798-2025")</f>
        <v/>
      </c>
      <c r="V114">
        <f>HYPERLINK("https://klasma.github.io/Logging_0580/klagomål/A 27798-2025 FSC-klagomål.docx", "A 27798-2025")</f>
        <v/>
      </c>
      <c r="W114">
        <f>HYPERLINK("https://klasma.github.io/Logging_0580/klagomålsmail/A 27798-2025 FSC-klagomål mail.docx", "A 27798-2025")</f>
        <v/>
      </c>
      <c r="X114">
        <f>HYPERLINK("https://klasma.github.io/Logging_0580/tillsyn/A 27798-2025 tillsynsbegäran.docx", "A 27798-2025")</f>
        <v/>
      </c>
      <c r="Y114">
        <f>HYPERLINK("https://klasma.github.io/Logging_0580/tillsynsmail/A 27798-2025 tillsynsbegäran mail.docx", "A 27798-2025")</f>
        <v/>
      </c>
    </row>
    <row r="115" ht="15" customHeight="1">
      <c r="A115" t="inlineStr">
        <is>
          <t>A 30429-2024</t>
        </is>
      </c>
      <c r="B115" s="1" t="n">
        <v>45491</v>
      </c>
      <c r="C115" s="1" t="n">
        <v>46200</v>
      </c>
      <c r="D115" t="inlineStr">
        <is>
          <t>ÖSTERGÖTLANDS LÄN</t>
        </is>
      </c>
      <c r="E115" t="inlineStr">
        <is>
          <t>LINKÖPING</t>
        </is>
      </c>
      <c r="G115" t="n">
        <v>2.2</v>
      </c>
      <c r="H115" t="n">
        <v>0</v>
      </c>
      <c r="I115" t="n">
        <v>0</v>
      </c>
      <c r="J115" t="n">
        <v>1</v>
      </c>
      <c r="K115" t="n">
        <v>0</v>
      </c>
      <c r="L115" t="n">
        <v>0</v>
      </c>
      <c r="M115" t="n">
        <v>0</v>
      </c>
      <c r="N115" t="n">
        <v>0</v>
      </c>
      <c r="O115" t="n">
        <v>1</v>
      </c>
      <c r="P115" t="n">
        <v>0</v>
      </c>
      <c r="Q115" t="n">
        <v>1</v>
      </c>
      <c r="R115" s="2" t="inlineStr">
        <is>
          <t>Rödlånke</t>
        </is>
      </c>
      <c r="S115">
        <f>HYPERLINK("https://klasma.github.io/Logging_0580/artfynd/A 30429-2024 artfynd.xlsx", "A 30429-2024")</f>
        <v/>
      </c>
      <c r="T115">
        <f>HYPERLINK("https://klasma.github.io/Logging_0580/kartor/A 30429-2024 karta.png", "A 30429-2024")</f>
        <v/>
      </c>
      <c r="V115">
        <f>HYPERLINK("https://klasma.github.io/Logging_0580/klagomål/A 30429-2024 FSC-klagomål.docx", "A 30429-2024")</f>
        <v/>
      </c>
      <c r="W115">
        <f>HYPERLINK("https://klasma.github.io/Logging_0580/klagomålsmail/A 30429-2024 FSC-klagomål mail.docx", "A 30429-2024")</f>
        <v/>
      </c>
      <c r="X115">
        <f>HYPERLINK("https://klasma.github.io/Logging_0580/tillsyn/A 30429-2024 tillsynsbegäran.docx", "A 30429-2024")</f>
        <v/>
      </c>
      <c r="Y115">
        <f>HYPERLINK("https://klasma.github.io/Logging_0580/tillsynsmail/A 30429-2024 tillsynsbegäran mail.docx", "A 30429-2024")</f>
        <v/>
      </c>
    </row>
    <row r="116" ht="15" customHeight="1">
      <c r="A116" t="inlineStr">
        <is>
          <t>A 17157-2024</t>
        </is>
      </c>
      <c r="B116" s="1" t="n">
        <v>45412</v>
      </c>
      <c r="C116" s="1" t="n">
        <v>46200</v>
      </c>
      <c r="D116" t="inlineStr">
        <is>
          <t>ÖSTERGÖTLANDS LÄN</t>
        </is>
      </c>
      <c r="E116" t="inlineStr">
        <is>
          <t>LINKÖPING</t>
        </is>
      </c>
      <c r="G116" t="n">
        <v>0.8</v>
      </c>
      <c r="H116" t="n">
        <v>1</v>
      </c>
      <c r="I116" t="n">
        <v>1</v>
      </c>
      <c r="J116" t="n">
        <v>0</v>
      </c>
      <c r="K116" t="n">
        <v>0</v>
      </c>
      <c r="L116" t="n">
        <v>0</v>
      </c>
      <c r="M116" t="n">
        <v>0</v>
      </c>
      <c r="N116" t="n">
        <v>0</v>
      </c>
      <c r="O116" t="n">
        <v>0</v>
      </c>
      <c r="P116" t="n">
        <v>0</v>
      </c>
      <c r="Q116" t="n">
        <v>1</v>
      </c>
      <c r="R116" s="2" t="inlineStr">
        <is>
          <t>Ekoxe</t>
        </is>
      </c>
      <c r="S116">
        <f>HYPERLINK("https://klasma.github.io/Logging_0580/artfynd/A 17157-2024 artfynd.xlsx", "A 17157-2024")</f>
        <v/>
      </c>
      <c r="T116">
        <f>HYPERLINK("https://klasma.github.io/Logging_0580/kartor/A 17157-2024 karta.png", "A 17157-2024")</f>
        <v/>
      </c>
      <c r="V116">
        <f>HYPERLINK("https://klasma.github.io/Logging_0580/klagomål/A 17157-2024 FSC-klagomål.docx", "A 17157-2024")</f>
        <v/>
      </c>
      <c r="W116">
        <f>HYPERLINK("https://klasma.github.io/Logging_0580/klagomålsmail/A 17157-2024 FSC-klagomål mail.docx", "A 17157-2024")</f>
        <v/>
      </c>
      <c r="X116">
        <f>HYPERLINK("https://klasma.github.io/Logging_0580/tillsyn/A 17157-2024 tillsynsbegäran.docx", "A 17157-2024")</f>
        <v/>
      </c>
      <c r="Y116">
        <f>HYPERLINK("https://klasma.github.io/Logging_0580/tillsynsmail/A 17157-2024 tillsynsbegäran mail.docx", "A 17157-2024")</f>
        <v/>
      </c>
    </row>
    <row r="117" ht="15" customHeight="1">
      <c r="A117" t="inlineStr">
        <is>
          <t>A 51571-2024</t>
        </is>
      </c>
      <c r="B117" s="1" t="n">
        <v>45604</v>
      </c>
      <c r="C117" s="1" t="n">
        <v>46200</v>
      </c>
      <c r="D117" t="inlineStr">
        <is>
          <t>ÖSTERGÖTLANDS LÄN</t>
        </is>
      </c>
      <c r="E117" t="inlineStr">
        <is>
          <t>LINKÖPING</t>
        </is>
      </c>
      <c r="F117" t="inlineStr">
        <is>
          <t>Övriga Aktiebolag</t>
        </is>
      </c>
      <c r="G117" t="n">
        <v>1.4</v>
      </c>
      <c r="H117" t="n">
        <v>0</v>
      </c>
      <c r="I117" t="n">
        <v>0</v>
      </c>
      <c r="J117" t="n">
        <v>1</v>
      </c>
      <c r="K117" t="n">
        <v>0</v>
      </c>
      <c r="L117" t="n">
        <v>0</v>
      </c>
      <c r="M117" t="n">
        <v>0</v>
      </c>
      <c r="N117" t="n">
        <v>0</v>
      </c>
      <c r="O117" t="n">
        <v>1</v>
      </c>
      <c r="P117" t="n">
        <v>0</v>
      </c>
      <c r="Q117" t="n">
        <v>1</v>
      </c>
      <c r="R117" s="2" t="inlineStr">
        <is>
          <t>Ekticka</t>
        </is>
      </c>
      <c r="S117">
        <f>HYPERLINK("https://klasma.github.io/Logging_0580/artfynd/A 51571-2024 artfynd.xlsx", "A 51571-2024")</f>
        <v/>
      </c>
      <c r="T117">
        <f>HYPERLINK("https://klasma.github.io/Logging_0580/kartor/A 51571-2024 karta.png", "A 51571-2024")</f>
        <v/>
      </c>
      <c r="V117">
        <f>HYPERLINK("https://klasma.github.io/Logging_0580/klagomål/A 51571-2024 FSC-klagomål.docx", "A 51571-2024")</f>
        <v/>
      </c>
      <c r="W117">
        <f>HYPERLINK("https://klasma.github.io/Logging_0580/klagomålsmail/A 51571-2024 FSC-klagomål mail.docx", "A 51571-2024")</f>
        <v/>
      </c>
      <c r="X117">
        <f>HYPERLINK("https://klasma.github.io/Logging_0580/tillsyn/A 51571-2024 tillsynsbegäran.docx", "A 51571-2024")</f>
        <v/>
      </c>
      <c r="Y117">
        <f>HYPERLINK("https://klasma.github.io/Logging_0580/tillsynsmail/A 51571-2024 tillsynsbegäran mail.docx", "A 51571-2024")</f>
        <v/>
      </c>
    </row>
    <row r="118" ht="15" customHeight="1">
      <c r="A118" t="inlineStr">
        <is>
          <t>A 56841-2023</t>
        </is>
      </c>
      <c r="B118" s="1" t="n">
        <v>45244</v>
      </c>
      <c r="C118" s="1" t="n">
        <v>46200</v>
      </c>
      <c r="D118" t="inlineStr">
        <is>
          <t>ÖSTERGÖTLANDS LÄN</t>
        </is>
      </c>
      <c r="E118" t="inlineStr">
        <is>
          <t>LINKÖPING</t>
        </is>
      </c>
      <c r="F118" t="inlineStr">
        <is>
          <t>Övriga Aktiebolag</t>
        </is>
      </c>
      <c r="G118" t="n">
        <v>0.5</v>
      </c>
      <c r="H118" t="n">
        <v>0</v>
      </c>
      <c r="I118" t="n">
        <v>1</v>
      </c>
      <c r="J118" t="n">
        <v>0</v>
      </c>
      <c r="K118" t="n">
        <v>0</v>
      </c>
      <c r="L118" t="n">
        <v>0</v>
      </c>
      <c r="M118" t="n">
        <v>0</v>
      </c>
      <c r="N118" t="n">
        <v>0</v>
      </c>
      <c r="O118" t="n">
        <v>0</v>
      </c>
      <c r="P118" t="n">
        <v>0</v>
      </c>
      <c r="Q118" t="n">
        <v>1</v>
      </c>
      <c r="R118" s="2" t="inlineStr">
        <is>
          <t>Svart trolldruva</t>
        </is>
      </c>
      <c r="S118">
        <f>HYPERLINK("https://klasma.github.io/Logging_0580/artfynd/A 56841-2023 artfynd.xlsx", "A 56841-2023")</f>
        <v/>
      </c>
      <c r="T118">
        <f>HYPERLINK("https://klasma.github.io/Logging_0580/kartor/A 56841-2023 karta.png", "A 56841-2023")</f>
        <v/>
      </c>
      <c r="V118">
        <f>HYPERLINK("https://klasma.github.io/Logging_0580/klagomål/A 56841-2023 FSC-klagomål.docx", "A 56841-2023")</f>
        <v/>
      </c>
      <c r="W118">
        <f>HYPERLINK("https://klasma.github.io/Logging_0580/klagomålsmail/A 56841-2023 FSC-klagomål mail.docx", "A 56841-2023")</f>
        <v/>
      </c>
      <c r="X118">
        <f>HYPERLINK("https://klasma.github.io/Logging_0580/tillsyn/A 56841-2023 tillsynsbegäran.docx", "A 56841-2023")</f>
        <v/>
      </c>
      <c r="Y118">
        <f>HYPERLINK("https://klasma.github.io/Logging_0580/tillsynsmail/A 56841-2023 tillsynsbegäran mail.docx", "A 56841-2023")</f>
        <v/>
      </c>
    </row>
    <row r="119" ht="15" customHeight="1">
      <c r="A119" t="inlineStr">
        <is>
          <t>A 3007-2023</t>
        </is>
      </c>
      <c r="B119" s="1" t="n">
        <v>44945</v>
      </c>
      <c r="C119" s="1" t="n">
        <v>46200</v>
      </c>
      <c r="D119" t="inlineStr">
        <is>
          <t>ÖSTERGÖTLANDS LÄN</t>
        </is>
      </c>
      <c r="E119" t="inlineStr">
        <is>
          <t>LINKÖPING</t>
        </is>
      </c>
      <c r="G119" t="n">
        <v>2.6</v>
      </c>
      <c r="H119" t="n">
        <v>0</v>
      </c>
      <c r="I119" t="n">
        <v>0</v>
      </c>
      <c r="J119" t="n">
        <v>1</v>
      </c>
      <c r="K119" t="n">
        <v>0</v>
      </c>
      <c r="L119" t="n">
        <v>0</v>
      </c>
      <c r="M119" t="n">
        <v>0</v>
      </c>
      <c r="N119" t="n">
        <v>0</v>
      </c>
      <c r="O119" t="n">
        <v>1</v>
      </c>
      <c r="P119" t="n">
        <v>0</v>
      </c>
      <c r="Q119" t="n">
        <v>1</v>
      </c>
      <c r="R119" s="2" t="inlineStr">
        <is>
          <t>Sårläka</t>
        </is>
      </c>
      <c r="S119">
        <f>HYPERLINK("https://klasma.github.io/Logging_0580/artfynd/A 3007-2023 artfynd.xlsx", "A 3007-2023")</f>
        <v/>
      </c>
      <c r="T119">
        <f>HYPERLINK("https://klasma.github.io/Logging_0580/kartor/A 3007-2023 karta.png", "A 3007-2023")</f>
        <v/>
      </c>
      <c r="V119">
        <f>HYPERLINK("https://klasma.github.io/Logging_0580/klagomål/A 3007-2023 FSC-klagomål.docx", "A 3007-2023")</f>
        <v/>
      </c>
      <c r="W119">
        <f>HYPERLINK("https://klasma.github.io/Logging_0580/klagomålsmail/A 3007-2023 FSC-klagomål mail.docx", "A 3007-2023")</f>
        <v/>
      </c>
      <c r="X119">
        <f>HYPERLINK("https://klasma.github.io/Logging_0580/tillsyn/A 3007-2023 tillsynsbegäran.docx", "A 3007-2023")</f>
        <v/>
      </c>
      <c r="Y119">
        <f>HYPERLINK("https://klasma.github.io/Logging_0580/tillsynsmail/A 3007-2023 tillsynsbegäran mail.docx", "A 3007-2023")</f>
        <v/>
      </c>
    </row>
    <row r="120" ht="15" customHeight="1">
      <c r="A120" t="inlineStr">
        <is>
          <t>A 36723-2023</t>
        </is>
      </c>
      <c r="B120" s="1" t="n">
        <v>45153</v>
      </c>
      <c r="C120" s="1" t="n">
        <v>46200</v>
      </c>
      <c r="D120" t="inlineStr">
        <is>
          <t>ÖSTERGÖTLANDS LÄN</t>
        </is>
      </c>
      <c r="E120" t="inlineStr">
        <is>
          <t>LINKÖPING</t>
        </is>
      </c>
      <c r="F120" t="inlineStr">
        <is>
          <t>Allmännings- och besparingsskogar</t>
        </is>
      </c>
      <c r="G120" t="n">
        <v>9.9</v>
      </c>
      <c r="H120" t="n">
        <v>0</v>
      </c>
      <c r="I120" t="n">
        <v>0</v>
      </c>
      <c r="J120" t="n">
        <v>0</v>
      </c>
      <c r="K120" t="n">
        <v>0</v>
      </c>
      <c r="L120" t="n">
        <v>1</v>
      </c>
      <c r="M120" t="n">
        <v>0</v>
      </c>
      <c r="N120" t="n">
        <v>0</v>
      </c>
      <c r="O120" t="n">
        <v>1</v>
      </c>
      <c r="P120" t="n">
        <v>1</v>
      </c>
      <c r="Q120" t="n">
        <v>1</v>
      </c>
      <c r="R120" s="2" t="inlineStr">
        <is>
          <t>Bitter taggsvamp</t>
        </is>
      </c>
      <c r="S120">
        <f>HYPERLINK("https://klasma.github.io/Logging_0580/artfynd/A 36723-2023 artfynd.xlsx", "A 36723-2023")</f>
        <v/>
      </c>
      <c r="T120">
        <f>HYPERLINK("https://klasma.github.io/Logging_0580/kartor/A 36723-2023 karta.png", "A 36723-2023")</f>
        <v/>
      </c>
      <c r="V120">
        <f>HYPERLINK("https://klasma.github.io/Logging_0580/klagomål/A 36723-2023 FSC-klagomål.docx", "A 36723-2023")</f>
        <v/>
      </c>
      <c r="W120">
        <f>HYPERLINK("https://klasma.github.io/Logging_0580/klagomålsmail/A 36723-2023 FSC-klagomål mail.docx", "A 36723-2023")</f>
        <v/>
      </c>
      <c r="X120">
        <f>HYPERLINK("https://klasma.github.io/Logging_0580/tillsyn/A 36723-2023 tillsynsbegäran.docx", "A 36723-2023")</f>
        <v/>
      </c>
      <c r="Y120">
        <f>HYPERLINK("https://klasma.github.io/Logging_0580/tillsynsmail/A 36723-2023 tillsynsbegäran mail.docx", "A 36723-2023")</f>
        <v/>
      </c>
    </row>
    <row r="121" ht="15" customHeight="1">
      <c r="A121" t="inlineStr">
        <is>
          <t>A 60573-2021</t>
        </is>
      </c>
      <c r="B121" s="1" t="n">
        <v>44496</v>
      </c>
      <c r="C121" s="1" t="n">
        <v>46200</v>
      </c>
      <c r="D121" t="inlineStr">
        <is>
          <t>ÖSTERGÖTLANDS LÄN</t>
        </is>
      </c>
      <c r="E121" t="inlineStr">
        <is>
          <t>LINKÖPING</t>
        </is>
      </c>
      <c r="F121" t="inlineStr">
        <is>
          <t>Övriga Aktiebolag</t>
        </is>
      </c>
      <c r="G121" t="n">
        <v>5.6</v>
      </c>
      <c r="H121" t="n">
        <v>0</v>
      </c>
      <c r="I121" t="n">
        <v>0</v>
      </c>
      <c r="J121" t="n">
        <v>1</v>
      </c>
      <c r="K121" t="n">
        <v>0</v>
      </c>
      <c r="L121" t="n">
        <v>0</v>
      </c>
      <c r="M121" t="n">
        <v>0</v>
      </c>
      <c r="N121" t="n">
        <v>0</v>
      </c>
      <c r="O121" t="n">
        <v>1</v>
      </c>
      <c r="P121" t="n">
        <v>0</v>
      </c>
      <c r="Q121" t="n">
        <v>1</v>
      </c>
      <c r="R121" s="2" t="inlineStr">
        <is>
          <t>Sommarfibbla</t>
        </is>
      </c>
      <c r="S121">
        <f>HYPERLINK("https://klasma.github.io/Logging_0580/artfynd/A 60573-2021 artfynd.xlsx", "A 60573-2021")</f>
        <v/>
      </c>
      <c r="T121">
        <f>HYPERLINK("https://klasma.github.io/Logging_0580/kartor/A 60573-2021 karta.png", "A 60573-2021")</f>
        <v/>
      </c>
      <c r="V121">
        <f>HYPERLINK("https://klasma.github.io/Logging_0580/klagomål/A 60573-2021 FSC-klagomål.docx", "A 60573-2021")</f>
        <v/>
      </c>
      <c r="W121">
        <f>HYPERLINK("https://klasma.github.io/Logging_0580/klagomålsmail/A 60573-2021 FSC-klagomål mail.docx", "A 60573-2021")</f>
        <v/>
      </c>
      <c r="X121">
        <f>HYPERLINK("https://klasma.github.io/Logging_0580/tillsyn/A 60573-2021 tillsynsbegäran.docx", "A 60573-2021")</f>
        <v/>
      </c>
      <c r="Y121">
        <f>HYPERLINK("https://klasma.github.io/Logging_0580/tillsynsmail/A 60573-2021 tillsynsbegäran mail.docx", "A 60573-2021")</f>
        <v/>
      </c>
    </row>
    <row r="122" ht="15" customHeight="1">
      <c r="A122" t="inlineStr">
        <is>
          <t>A 54034-2022</t>
        </is>
      </c>
      <c r="B122" s="1" t="n">
        <v>44881</v>
      </c>
      <c r="C122" s="1" t="n">
        <v>46200</v>
      </c>
      <c r="D122" t="inlineStr">
        <is>
          <t>ÖSTERGÖTLANDS LÄN</t>
        </is>
      </c>
      <c r="E122" t="inlineStr">
        <is>
          <t>LINKÖPING</t>
        </is>
      </c>
      <c r="G122" t="n">
        <v>0.5</v>
      </c>
      <c r="H122" t="n">
        <v>0</v>
      </c>
      <c r="I122" t="n">
        <v>0</v>
      </c>
      <c r="J122" t="n">
        <v>1</v>
      </c>
      <c r="K122" t="n">
        <v>0</v>
      </c>
      <c r="L122" t="n">
        <v>0</v>
      </c>
      <c r="M122" t="n">
        <v>0</v>
      </c>
      <c r="N122" t="n">
        <v>0</v>
      </c>
      <c r="O122" t="n">
        <v>1</v>
      </c>
      <c r="P122" t="n">
        <v>0</v>
      </c>
      <c r="Q122" t="n">
        <v>1</v>
      </c>
      <c r="R122" s="2" t="inlineStr">
        <is>
          <t>Klasefibbla</t>
        </is>
      </c>
      <c r="S122">
        <f>HYPERLINK("https://klasma.github.io/Logging_0580/artfynd/A 54034-2022 artfynd.xlsx", "A 54034-2022")</f>
        <v/>
      </c>
      <c r="T122">
        <f>HYPERLINK("https://klasma.github.io/Logging_0580/kartor/A 54034-2022 karta.png", "A 54034-2022")</f>
        <v/>
      </c>
      <c r="V122">
        <f>HYPERLINK("https://klasma.github.io/Logging_0580/klagomål/A 54034-2022 FSC-klagomål.docx", "A 54034-2022")</f>
        <v/>
      </c>
      <c r="W122">
        <f>HYPERLINK("https://klasma.github.io/Logging_0580/klagomålsmail/A 54034-2022 FSC-klagomål mail.docx", "A 54034-2022")</f>
        <v/>
      </c>
      <c r="X122">
        <f>HYPERLINK("https://klasma.github.io/Logging_0580/tillsyn/A 54034-2022 tillsynsbegäran.docx", "A 54034-2022")</f>
        <v/>
      </c>
      <c r="Y122">
        <f>HYPERLINK("https://klasma.github.io/Logging_0580/tillsynsmail/A 54034-2022 tillsynsbegäran mail.docx", "A 54034-2022")</f>
        <v/>
      </c>
    </row>
    <row r="123" ht="15" customHeight="1">
      <c r="A123" t="inlineStr">
        <is>
          <t>A 50034-2025</t>
        </is>
      </c>
      <c r="B123" s="1" t="n">
        <v>45941</v>
      </c>
      <c r="C123" s="1" t="n">
        <v>46200</v>
      </c>
      <c r="D123" t="inlineStr">
        <is>
          <t>ÖSTERGÖTLANDS LÄN</t>
        </is>
      </c>
      <c r="E123" t="inlineStr">
        <is>
          <t>LINKÖPING</t>
        </is>
      </c>
      <c r="G123" t="n">
        <v>6.2</v>
      </c>
      <c r="H123" t="n">
        <v>0</v>
      </c>
      <c r="I123" t="n">
        <v>0</v>
      </c>
      <c r="J123" t="n">
        <v>0</v>
      </c>
      <c r="K123" t="n">
        <v>0</v>
      </c>
      <c r="L123" t="n">
        <v>1</v>
      </c>
      <c r="M123" t="n">
        <v>0</v>
      </c>
      <c r="N123" t="n">
        <v>0</v>
      </c>
      <c r="O123" t="n">
        <v>1</v>
      </c>
      <c r="P123" t="n">
        <v>1</v>
      </c>
      <c r="Q123" t="n">
        <v>1</v>
      </c>
      <c r="R123" s="2" t="inlineStr">
        <is>
          <t>Skogsalm</t>
        </is>
      </c>
      <c r="S123">
        <f>HYPERLINK("https://klasma.github.io/Logging_0580/artfynd/A 50034-2025 artfynd.xlsx", "A 50034-2025")</f>
        <v/>
      </c>
      <c r="T123">
        <f>HYPERLINK("https://klasma.github.io/Logging_0580/kartor/A 50034-2025 karta.png", "A 50034-2025")</f>
        <v/>
      </c>
      <c r="V123">
        <f>HYPERLINK("https://klasma.github.io/Logging_0580/klagomål/A 50034-2025 FSC-klagomål.docx", "A 50034-2025")</f>
        <v/>
      </c>
      <c r="W123">
        <f>HYPERLINK("https://klasma.github.io/Logging_0580/klagomålsmail/A 50034-2025 FSC-klagomål mail.docx", "A 50034-2025")</f>
        <v/>
      </c>
      <c r="X123">
        <f>HYPERLINK("https://klasma.github.io/Logging_0580/tillsyn/A 50034-2025 tillsynsbegäran.docx", "A 50034-2025")</f>
        <v/>
      </c>
      <c r="Y123">
        <f>HYPERLINK("https://klasma.github.io/Logging_0580/tillsynsmail/A 50034-2025 tillsynsbegäran mail.docx", "A 50034-2025")</f>
        <v/>
      </c>
    </row>
    <row r="124" ht="15" customHeight="1">
      <c r="A124" t="inlineStr">
        <is>
          <t>A 41749-2023</t>
        </is>
      </c>
      <c r="B124" s="1" t="n">
        <v>45176</v>
      </c>
      <c r="C124" s="1" t="n">
        <v>46200</v>
      </c>
      <c r="D124" t="inlineStr">
        <is>
          <t>ÖSTERGÖTLANDS LÄN</t>
        </is>
      </c>
      <c r="E124" t="inlineStr">
        <is>
          <t>LINKÖPING</t>
        </is>
      </c>
      <c r="G124" t="n">
        <v>3.6</v>
      </c>
      <c r="H124" t="n">
        <v>0</v>
      </c>
      <c r="I124" t="n">
        <v>0</v>
      </c>
      <c r="J124" t="n">
        <v>1</v>
      </c>
      <c r="K124" t="n">
        <v>0</v>
      </c>
      <c r="L124" t="n">
        <v>0</v>
      </c>
      <c r="M124" t="n">
        <v>0</v>
      </c>
      <c r="N124" t="n">
        <v>0</v>
      </c>
      <c r="O124" t="n">
        <v>1</v>
      </c>
      <c r="P124" t="n">
        <v>0</v>
      </c>
      <c r="Q124" t="n">
        <v>1</v>
      </c>
      <c r="R124" s="2" t="inlineStr">
        <is>
          <t>Svinrot</t>
        </is>
      </c>
      <c r="S124">
        <f>HYPERLINK("https://klasma.github.io/Logging_0580/artfynd/A 41749-2023 artfynd.xlsx", "A 41749-2023")</f>
        <v/>
      </c>
      <c r="T124">
        <f>HYPERLINK("https://klasma.github.io/Logging_0580/kartor/A 41749-2023 karta.png", "A 41749-2023")</f>
        <v/>
      </c>
      <c r="V124">
        <f>HYPERLINK("https://klasma.github.io/Logging_0580/klagomål/A 41749-2023 FSC-klagomål.docx", "A 41749-2023")</f>
        <v/>
      </c>
      <c r="W124">
        <f>HYPERLINK("https://klasma.github.io/Logging_0580/klagomålsmail/A 41749-2023 FSC-klagomål mail.docx", "A 41749-2023")</f>
        <v/>
      </c>
      <c r="X124">
        <f>HYPERLINK("https://klasma.github.io/Logging_0580/tillsyn/A 41749-2023 tillsynsbegäran.docx", "A 41749-2023")</f>
        <v/>
      </c>
      <c r="Y124">
        <f>HYPERLINK("https://klasma.github.io/Logging_0580/tillsynsmail/A 41749-2023 tillsynsbegäran mail.docx", "A 41749-2023")</f>
        <v/>
      </c>
    </row>
    <row r="125" ht="15" customHeight="1">
      <c r="A125" t="inlineStr">
        <is>
          <t>A 10797-2024</t>
        </is>
      </c>
      <c r="B125" s="1" t="n">
        <v>45369</v>
      </c>
      <c r="C125" s="1" t="n">
        <v>46200</v>
      </c>
      <c r="D125" t="inlineStr">
        <is>
          <t>ÖSTERGÖTLANDS LÄN</t>
        </is>
      </c>
      <c r="E125" t="inlineStr">
        <is>
          <t>LINKÖPING</t>
        </is>
      </c>
      <c r="G125" t="n">
        <v>1.5</v>
      </c>
      <c r="H125" t="n">
        <v>0</v>
      </c>
      <c r="I125" t="n">
        <v>0</v>
      </c>
      <c r="J125" t="n">
        <v>0</v>
      </c>
      <c r="K125" t="n">
        <v>0</v>
      </c>
      <c r="L125" t="n">
        <v>1</v>
      </c>
      <c r="M125" t="n">
        <v>0</v>
      </c>
      <c r="N125" t="n">
        <v>0</v>
      </c>
      <c r="O125" t="n">
        <v>1</v>
      </c>
      <c r="P125" t="n">
        <v>1</v>
      </c>
      <c r="Q125" t="n">
        <v>1</v>
      </c>
      <c r="R125" s="2" t="inlineStr">
        <is>
          <t>Skogsalm</t>
        </is>
      </c>
      <c r="S125">
        <f>HYPERLINK("https://klasma.github.io/Logging_0580/artfynd/A 10797-2024 artfynd.xlsx", "A 10797-2024")</f>
        <v/>
      </c>
      <c r="T125">
        <f>HYPERLINK("https://klasma.github.io/Logging_0580/kartor/A 10797-2024 karta.png", "A 10797-2024")</f>
        <v/>
      </c>
      <c r="V125">
        <f>HYPERLINK("https://klasma.github.io/Logging_0580/klagomål/A 10797-2024 FSC-klagomål.docx", "A 10797-2024")</f>
        <v/>
      </c>
      <c r="W125">
        <f>HYPERLINK("https://klasma.github.io/Logging_0580/klagomålsmail/A 10797-2024 FSC-klagomål mail.docx", "A 10797-2024")</f>
        <v/>
      </c>
      <c r="X125">
        <f>HYPERLINK("https://klasma.github.io/Logging_0580/tillsyn/A 10797-2024 tillsynsbegäran.docx", "A 10797-2024")</f>
        <v/>
      </c>
      <c r="Y125">
        <f>HYPERLINK("https://klasma.github.io/Logging_0580/tillsynsmail/A 10797-2024 tillsynsbegäran mail.docx", "A 10797-2024")</f>
        <v/>
      </c>
    </row>
    <row r="126" ht="15" customHeight="1">
      <c r="A126" t="inlineStr">
        <is>
          <t>A 24586-2024</t>
        </is>
      </c>
      <c r="B126" s="1" t="n">
        <v>45460</v>
      </c>
      <c r="C126" s="1" t="n">
        <v>46200</v>
      </c>
      <c r="D126" t="inlineStr">
        <is>
          <t>ÖSTERGÖTLANDS LÄN</t>
        </is>
      </c>
      <c r="E126" t="inlineStr">
        <is>
          <t>LINKÖPING</t>
        </is>
      </c>
      <c r="G126" t="n">
        <v>4</v>
      </c>
      <c r="H126" t="n">
        <v>0</v>
      </c>
      <c r="I126" t="n">
        <v>0</v>
      </c>
      <c r="J126" t="n">
        <v>1</v>
      </c>
      <c r="K126" t="n">
        <v>0</v>
      </c>
      <c r="L126" t="n">
        <v>0</v>
      </c>
      <c r="M126" t="n">
        <v>0</v>
      </c>
      <c r="N126" t="n">
        <v>0</v>
      </c>
      <c r="O126" t="n">
        <v>1</v>
      </c>
      <c r="P126" t="n">
        <v>0</v>
      </c>
      <c r="Q126" t="n">
        <v>1</v>
      </c>
      <c r="R126" s="2" t="inlineStr">
        <is>
          <t>Reliktbock</t>
        </is>
      </c>
      <c r="S126">
        <f>HYPERLINK("https://klasma.github.io/Logging_0580/artfynd/A 24586-2024 artfynd.xlsx", "A 24586-2024")</f>
        <v/>
      </c>
      <c r="T126">
        <f>HYPERLINK("https://klasma.github.io/Logging_0580/kartor/A 24586-2024 karta.png", "A 24586-2024")</f>
        <v/>
      </c>
      <c r="V126">
        <f>HYPERLINK("https://klasma.github.io/Logging_0580/klagomål/A 24586-2024 FSC-klagomål.docx", "A 24586-2024")</f>
        <v/>
      </c>
      <c r="W126">
        <f>HYPERLINK("https://klasma.github.io/Logging_0580/klagomålsmail/A 24586-2024 FSC-klagomål mail.docx", "A 24586-2024")</f>
        <v/>
      </c>
      <c r="X126">
        <f>HYPERLINK("https://klasma.github.io/Logging_0580/tillsyn/A 24586-2024 tillsynsbegäran.docx", "A 24586-2024")</f>
        <v/>
      </c>
      <c r="Y126">
        <f>HYPERLINK("https://klasma.github.io/Logging_0580/tillsynsmail/A 24586-2024 tillsynsbegäran mail.docx", "A 24586-2024")</f>
        <v/>
      </c>
    </row>
    <row r="127" ht="15" customHeight="1">
      <c r="A127" t="inlineStr">
        <is>
          <t>A 43989-2025</t>
        </is>
      </c>
      <c r="B127" s="1" t="n">
        <v>45915</v>
      </c>
      <c r="C127" s="1" t="n">
        <v>46200</v>
      </c>
      <c r="D127" t="inlineStr">
        <is>
          <t>ÖSTERGÖTLANDS LÄN</t>
        </is>
      </c>
      <c r="E127" t="inlineStr">
        <is>
          <t>LINKÖPING</t>
        </is>
      </c>
      <c r="F127" t="inlineStr">
        <is>
          <t>Allmännings- och besparingsskogar</t>
        </is>
      </c>
      <c r="G127" t="n">
        <v>3.5</v>
      </c>
      <c r="H127" t="n">
        <v>0</v>
      </c>
      <c r="I127" t="n">
        <v>0</v>
      </c>
      <c r="J127" t="n">
        <v>1</v>
      </c>
      <c r="K127" t="n">
        <v>0</v>
      </c>
      <c r="L127" t="n">
        <v>0</v>
      </c>
      <c r="M127" t="n">
        <v>0</v>
      </c>
      <c r="N127" t="n">
        <v>0</v>
      </c>
      <c r="O127" t="n">
        <v>1</v>
      </c>
      <c r="P127" t="n">
        <v>0</v>
      </c>
      <c r="Q127" t="n">
        <v>1</v>
      </c>
      <c r="R127" s="2" t="inlineStr">
        <is>
          <t>Kavelhirs</t>
        </is>
      </c>
      <c r="S127">
        <f>HYPERLINK("https://klasma.github.io/Logging_0580/artfynd/A 43989-2025 artfynd.xlsx", "A 43989-2025")</f>
        <v/>
      </c>
      <c r="T127">
        <f>HYPERLINK("https://klasma.github.io/Logging_0580/kartor/A 43989-2025 karta.png", "A 43989-2025")</f>
        <v/>
      </c>
      <c r="V127">
        <f>HYPERLINK("https://klasma.github.io/Logging_0580/klagomål/A 43989-2025 FSC-klagomål.docx", "A 43989-2025")</f>
        <v/>
      </c>
      <c r="W127">
        <f>HYPERLINK("https://klasma.github.io/Logging_0580/klagomålsmail/A 43989-2025 FSC-klagomål mail.docx", "A 43989-2025")</f>
        <v/>
      </c>
      <c r="X127">
        <f>HYPERLINK("https://klasma.github.io/Logging_0580/tillsyn/A 43989-2025 tillsynsbegäran.docx", "A 43989-2025")</f>
        <v/>
      </c>
      <c r="Y127">
        <f>HYPERLINK("https://klasma.github.io/Logging_0580/tillsynsmail/A 43989-2025 tillsynsbegäran mail.docx", "A 43989-2025")</f>
        <v/>
      </c>
    </row>
    <row r="128" ht="15" customHeight="1">
      <c r="A128" t="inlineStr">
        <is>
          <t>A 3627-2023</t>
        </is>
      </c>
      <c r="B128" s="1" t="n">
        <v>44950</v>
      </c>
      <c r="C128" s="1" t="n">
        <v>46200</v>
      </c>
      <c r="D128" t="inlineStr">
        <is>
          <t>ÖSTERGÖTLANDS LÄN</t>
        </is>
      </c>
      <c r="E128" t="inlineStr">
        <is>
          <t>LINKÖPING</t>
        </is>
      </c>
      <c r="G128" t="n">
        <v>3.1</v>
      </c>
      <c r="H128" t="n">
        <v>0</v>
      </c>
      <c r="I128" t="n">
        <v>0</v>
      </c>
      <c r="J128" t="n">
        <v>1</v>
      </c>
      <c r="K128" t="n">
        <v>0</v>
      </c>
      <c r="L128" t="n">
        <v>0</v>
      </c>
      <c r="M128" t="n">
        <v>0</v>
      </c>
      <c r="N128" t="n">
        <v>0</v>
      </c>
      <c r="O128" t="n">
        <v>1</v>
      </c>
      <c r="P128" t="n">
        <v>0</v>
      </c>
      <c r="Q128" t="n">
        <v>1</v>
      </c>
      <c r="R128" s="2" t="inlineStr">
        <is>
          <t>Svinrot</t>
        </is>
      </c>
      <c r="S128">
        <f>HYPERLINK("https://klasma.github.io/Logging_0580/artfynd/A 3627-2023 artfynd.xlsx", "A 3627-2023")</f>
        <v/>
      </c>
      <c r="T128">
        <f>HYPERLINK("https://klasma.github.io/Logging_0580/kartor/A 3627-2023 karta.png", "A 3627-2023")</f>
        <v/>
      </c>
      <c r="V128">
        <f>HYPERLINK("https://klasma.github.io/Logging_0580/klagomål/A 3627-2023 FSC-klagomål.docx", "A 3627-2023")</f>
        <v/>
      </c>
      <c r="W128">
        <f>HYPERLINK("https://klasma.github.io/Logging_0580/klagomålsmail/A 3627-2023 FSC-klagomål mail.docx", "A 3627-2023")</f>
        <v/>
      </c>
      <c r="X128">
        <f>HYPERLINK("https://klasma.github.io/Logging_0580/tillsyn/A 3627-2023 tillsynsbegäran.docx", "A 3627-2023")</f>
        <v/>
      </c>
      <c r="Y128">
        <f>HYPERLINK("https://klasma.github.io/Logging_0580/tillsynsmail/A 3627-2023 tillsynsbegäran mail.docx", "A 3627-2023")</f>
        <v/>
      </c>
    </row>
    <row r="129" ht="15" customHeight="1">
      <c r="A129" t="inlineStr">
        <is>
          <t>A 55165-2025</t>
        </is>
      </c>
      <c r="B129" s="1" t="n">
        <v>45968</v>
      </c>
      <c r="C129" s="1" t="n">
        <v>46200</v>
      </c>
      <c r="D129" t="inlineStr">
        <is>
          <t>ÖSTERGÖTLANDS LÄN</t>
        </is>
      </c>
      <c r="E129" t="inlineStr">
        <is>
          <t>LINKÖPING</t>
        </is>
      </c>
      <c r="G129" t="n">
        <v>2.4</v>
      </c>
      <c r="H129" t="n">
        <v>0</v>
      </c>
      <c r="I129" t="n">
        <v>0</v>
      </c>
      <c r="J129" t="n">
        <v>1</v>
      </c>
      <c r="K129" t="n">
        <v>0</v>
      </c>
      <c r="L129" t="n">
        <v>0</v>
      </c>
      <c r="M129" t="n">
        <v>0</v>
      </c>
      <c r="N129" t="n">
        <v>0</v>
      </c>
      <c r="O129" t="n">
        <v>1</v>
      </c>
      <c r="P129" t="n">
        <v>0</v>
      </c>
      <c r="Q129" t="n">
        <v>1</v>
      </c>
      <c r="R129" s="2" t="inlineStr">
        <is>
          <t>Kandelabersvamp</t>
        </is>
      </c>
      <c r="S129">
        <f>HYPERLINK("https://klasma.github.io/Logging_0580/artfynd/A 55165-2025 artfynd.xlsx", "A 55165-2025")</f>
        <v/>
      </c>
      <c r="T129">
        <f>HYPERLINK("https://klasma.github.io/Logging_0580/kartor/A 55165-2025 karta.png", "A 55165-2025")</f>
        <v/>
      </c>
      <c r="V129">
        <f>HYPERLINK("https://klasma.github.io/Logging_0580/klagomål/A 55165-2025 FSC-klagomål.docx", "A 55165-2025")</f>
        <v/>
      </c>
      <c r="W129">
        <f>HYPERLINK("https://klasma.github.io/Logging_0580/klagomålsmail/A 55165-2025 FSC-klagomål mail.docx", "A 55165-2025")</f>
        <v/>
      </c>
      <c r="X129">
        <f>HYPERLINK("https://klasma.github.io/Logging_0580/tillsyn/A 55165-2025 tillsynsbegäran.docx", "A 55165-2025")</f>
        <v/>
      </c>
      <c r="Y129">
        <f>HYPERLINK("https://klasma.github.io/Logging_0580/tillsynsmail/A 55165-2025 tillsynsbegäran mail.docx", "A 55165-2025")</f>
        <v/>
      </c>
    </row>
    <row r="130" ht="15" customHeight="1">
      <c r="A130" t="inlineStr">
        <is>
          <t>A 59205-2025</t>
        </is>
      </c>
      <c r="B130" s="1" t="n">
        <v>45988</v>
      </c>
      <c r="C130" s="1" t="n">
        <v>46200</v>
      </c>
      <c r="D130" t="inlineStr">
        <is>
          <t>ÖSTERGÖTLANDS LÄN</t>
        </is>
      </c>
      <c r="E130" t="inlineStr">
        <is>
          <t>LINKÖPING</t>
        </is>
      </c>
      <c r="F130" t="inlineStr">
        <is>
          <t>Sveaskog</t>
        </is>
      </c>
      <c r="G130" t="n">
        <v>11.3</v>
      </c>
      <c r="H130" t="n">
        <v>0</v>
      </c>
      <c r="I130" t="n">
        <v>0</v>
      </c>
      <c r="J130" t="n">
        <v>0</v>
      </c>
      <c r="K130" t="n">
        <v>1</v>
      </c>
      <c r="L130" t="n">
        <v>0</v>
      </c>
      <c r="M130" t="n">
        <v>0</v>
      </c>
      <c r="N130" t="n">
        <v>0</v>
      </c>
      <c r="O130" t="n">
        <v>1</v>
      </c>
      <c r="P130" t="n">
        <v>1</v>
      </c>
      <c r="Q130" t="n">
        <v>1</v>
      </c>
      <c r="R130" s="2" t="inlineStr">
        <is>
          <t>Smalsprötad bastardsvärmare</t>
        </is>
      </c>
      <c r="S130">
        <f>HYPERLINK("https://klasma.github.io/Logging_0580/artfynd/A 59205-2025 artfynd.xlsx", "A 59205-2025")</f>
        <v/>
      </c>
      <c r="T130">
        <f>HYPERLINK("https://klasma.github.io/Logging_0580/kartor/A 59205-2025 karta.png", "A 59205-2025")</f>
        <v/>
      </c>
      <c r="V130">
        <f>HYPERLINK("https://klasma.github.io/Logging_0580/klagomål/A 59205-2025 FSC-klagomål.docx", "A 59205-2025")</f>
        <v/>
      </c>
      <c r="W130">
        <f>HYPERLINK("https://klasma.github.io/Logging_0580/klagomålsmail/A 59205-2025 FSC-klagomål mail.docx", "A 59205-2025")</f>
        <v/>
      </c>
      <c r="X130">
        <f>HYPERLINK("https://klasma.github.io/Logging_0580/tillsyn/A 59205-2025 tillsynsbegäran.docx", "A 59205-2025")</f>
        <v/>
      </c>
      <c r="Y130">
        <f>HYPERLINK("https://klasma.github.io/Logging_0580/tillsynsmail/A 59205-2025 tillsynsbegäran mail.docx", "A 59205-2025")</f>
        <v/>
      </c>
    </row>
    <row r="131" ht="15" customHeight="1">
      <c r="A131" t="inlineStr">
        <is>
          <t>A 11033-2026</t>
        </is>
      </c>
      <c r="B131" s="1" t="n">
        <v>46079</v>
      </c>
      <c r="C131" s="1" t="n">
        <v>46200</v>
      </c>
      <c r="D131" t="inlineStr">
        <is>
          <t>ÖSTERGÖTLANDS LÄN</t>
        </is>
      </c>
      <c r="E131" t="inlineStr">
        <is>
          <t>LINKÖPING</t>
        </is>
      </c>
      <c r="G131" t="n">
        <v>7.9</v>
      </c>
      <c r="H131" t="n">
        <v>0</v>
      </c>
      <c r="I131" t="n">
        <v>0</v>
      </c>
      <c r="J131" t="n">
        <v>1</v>
      </c>
      <c r="K131" t="n">
        <v>0</v>
      </c>
      <c r="L131" t="n">
        <v>0</v>
      </c>
      <c r="M131" t="n">
        <v>0</v>
      </c>
      <c r="N131" t="n">
        <v>0</v>
      </c>
      <c r="O131" t="n">
        <v>1</v>
      </c>
      <c r="P131" t="n">
        <v>0</v>
      </c>
      <c r="Q131" t="n">
        <v>1</v>
      </c>
      <c r="R131" s="2" t="inlineStr">
        <is>
          <t>Gullpudra</t>
        </is>
      </c>
      <c r="S131">
        <f>HYPERLINK("https://klasma.github.io/Logging_0580/artfynd/A 11033-2026 artfynd.xlsx", "A 11033-2026")</f>
        <v/>
      </c>
      <c r="T131">
        <f>HYPERLINK("https://klasma.github.io/Logging_0580/kartor/A 11033-2026 karta.png", "A 11033-2026")</f>
        <v/>
      </c>
      <c r="V131">
        <f>HYPERLINK("https://klasma.github.io/Logging_0580/klagomål/A 11033-2026 FSC-klagomål.docx", "A 11033-2026")</f>
        <v/>
      </c>
      <c r="W131">
        <f>HYPERLINK("https://klasma.github.io/Logging_0580/klagomålsmail/A 11033-2026 FSC-klagomål mail.docx", "A 11033-2026")</f>
        <v/>
      </c>
      <c r="X131">
        <f>HYPERLINK("https://klasma.github.io/Logging_0580/tillsyn/A 11033-2026 tillsynsbegäran.docx", "A 11033-2026")</f>
        <v/>
      </c>
      <c r="Y131">
        <f>HYPERLINK("https://klasma.github.io/Logging_0580/tillsynsmail/A 11033-2026 tillsynsbegäran mail.docx", "A 11033-2026")</f>
        <v/>
      </c>
    </row>
    <row r="132" ht="15" customHeight="1">
      <c r="A132" t="inlineStr">
        <is>
          <t>A 25229-2026</t>
        </is>
      </c>
      <c r="B132" s="1" t="n">
        <v>46175</v>
      </c>
      <c r="C132" s="1" t="n">
        <v>46200</v>
      </c>
      <c r="D132" t="inlineStr">
        <is>
          <t>ÖSTERGÖTLANDS LÄN</t>
        </is>
      </c>
      <c r="E132" t="inlineStr">
        <is>
          <t>LINKÖPING</t>
        </is>
      </c>
      <c r="G132" t="n">
        <v>2.5</v>
      </c>
      <c r="H132" t="n">
        <v>1</v>
      </c>
      <c r="I132" t="n">
        <v>1</v>
      </c>
      <c r="J132" t="n">
        <v>0</v>
      </c>
      <c r="K132" t="n">
        <v>0</v>
      </c>
      <c r="L132" t="n">
        <v>0</v>
      </c>
      <c r="M132" t="n">
        <v>0</v>
      </c>
      <c r="N132" t="n">
        <v>0</v>
      </c>
      <c r="O132" t="n">
        <v>0</v>
      </c>
      <c r="P132" t="n">
        <v>0</v>
      </c>
      <c r="Q132" t="n">
        <v>1</v>
      </c>
      <c r="R132" s="2" t="inlineStr">
        <is>
          <t>Ekoxe</t>
        </is>
      </c>
      <c r="S132">
        <f>HYPERLINK("https://klasma.github.io/Logging_0580/artfynd/A 25229-2026 artfynd.xlsx", "A 25229-2026")</f>
        <v/>
      </c>
      <c r="T132">
        <f>HYPERLINK("https://klasma.github.io/Logging_0580/kartor/A 25229-2026 karta.png", "A 25229-2026")</f>
        <v/>
      </c>
      <c r="V132">
        <f>HYPERLINK("https://klasma.github.io/Logging_0580/klagomål/A 25229-2026 FSC-klagomål.docx", "A 25229-2026")</f>
        <v/>
      </c>
      <c r="W132">
        <f>HYPERLINK("https://klasma.github.io/Logging_0580/klagomålsmail/A 25229-2026 FSC-klagomål mail.docx", "A 25229-2026")</f>
        <v/>
      </c>
      <c r="X132">
        <f>HYPERLINK("https://klasma.github.io/Logging_0580/tillsyn/A 25229-2026 tillsynsbegäran.docx", "A 25229-2026")</f>
        <v/>
      </c>
      <c r="Y132">
        <f>HYPERLINK("https://klasma.github.io/Logging_0580/tillsynsmail/A 25229-2026 tillsynsbegäran mail.docx", "A 25229-2026")</f>
        <v/>
      </c>
    </row>
    <row r="133" ht="15" customHeight="1">
      <c r="A133" t="inlineStr">
        <is>
          <t>A 60311-2025</t>
        </is>
      </c>
      <c r="B133" s="1" t="n">
        <v>45994</v>
      </c>
      <c r="C133" s="1" t="n">
        <v>46200</v>
      </c>
      <c r="D133" t="inlineStr">
        <is>
          <t>ÖSTERGÖTLANDS LÄN</t>
        </is>
      </c>
      <c r="E133" t="inlineStr">
        <is>
          <t>LINKÖPING</t>
        </is>
      </c>
      <c r="G133" t="n">
        <v>1.9</v>
      </c>
      <c r="H133" t="n">
        <v>0</v>
      </c>
      <c r="I133" t="n">
        <v>0</v>
      </c>
      <c r="J133" t="n">
        <v>1</v>
      </c>
      <c r="K133" t="n">
        <v>0</v>
      </c>
      <c r="L133" t="n">
        <v>0</v>
      </c>
      <c r="M133" t="n">
        <v>0</v>
      </c>
      <c r="N133" t="n">
        <v>0</v>
      </c>
      <c r="O133" t="n">
        <v>1</v>
      </c>
      <c r="P133" t="n">
        <v>0</v>
      </c>
      <c r="Q133" t="n">
        <v>1</v>
      </c>
      <c r="R133" s="2" t="inlineStr">
        <is>
          <t>Gammelekslav</t>
        </is>
      </c>
      <c r="S133">
        <f>HYPERLINK("https://klasma.github.io/Logging_0580/artfynd/A 60311-2025 artfynd.xlsx", "A 60311-2025")</f>
        <v/>
      </c>
      <c r="T133">
        <f>HYPERLINK("https://klasma.github.io/Logging_0580/kartor/A 60311-2025 karta.png", "A 60311-2025")</f>
        <v/>
      </c>
      <c r="V133">
        <f>HYPERLINK("https://klasma.github.io/Logging_0580/klagomål/A 60311-2025 FSC-klagomål.docx", "A 60311-2025")</f>
        <v/>
      </c>
      <c r="W133">
        <f>HYPERLINK("https://klasma.github.io/Logging_0580/klagomålsmail/A 60311-2025 FSC-klagomål mail.docx", "A 60311-2025")</f>
        <v/>
      </c>
      <c r="X133">
        <f>HYPERLINK("https://klasma.github.io/Logging_0580/tillsyn/A 60311-2025 tillsynsbegäran.docx", "A 60311-2025")</f>
        <v/>
      </c>
      <c r="Y133">
        <f>HYPERLINK("https://klasma.github.io/Logging_0580/tillsynsmail/A 60311-2025 tillsynsbegäran mail.docx", "A 60311-2025")</f>
        <v/>
      </c>
    </row>
    <row r="134" ht="15" customHeight="1">
      <c r="A134" t="inlineStr">
        <is>
          <t>A 25262-2026</t>
        </is>
      </c>
      <c r="B134" s="1" t="n">
        <v>46175</v>
      </c>
      <c r="C134" s="1" t="n">
        <v>46200</v>
      </c>
      <c r="D134" t="inlineStr">
        <is>
          <t>ÖSTERGÖTLANDS LÄN</t>
        </is>
      </c>
      <c r="E134" t="inlineStr">
        <is>
          <t>LINKÖPING</t>
        </is>
      </c>
      <c r="G134" t="n">
        <v>0.9</v>
      </c>
      <c r="H134" t="n">
        <v>0</v>
      </c>
      <c r="I134" t="n">
        <v>0</v>
      </c>
      <c r="J134" t="n">
        <v>1</v>
      </c>
      <c r="K134" t="n">
        <v>0</v>
      </c>
      <c r="L134" t="n">
        <v>0</v>
      </c>
      <c r="M134" t="n">
        <v>0</v>
      </c>
      <c r="N134" t="n">
        <v>0</v>
      </c>
      <c r="O134" t="n">
        <v>1</v>
      </c>
      <c r="P134" t="n">
        <v>0</v>
      </c>
      <c r="Q134" t="n">
        <v>1</v>
      </c>
      <c r="R134" s="2" t="inlineStr">
        <is>
          <t>Gullklöver</t>
        </is>
      </c>
      <c r="S134">
        <f>HYPERLINK("https://klasma.github.io/Logging_0580/artfynd/A 25262-2026 artfynd.xlsx", "A 25262-2026")</f>
        <v/>
      </c>
      <c r="T134">
        <f>HYPERLINK("https://klasma.github.io/Logging_0580/kartor/A 25262-2026 karta.png", "A 25262-2026")</f>
        <v/>
      </c>
      <c r="V134">
        <f>HYPERLINK("https://klasma.github.io/Logging_0580/klagomål/A 25262-2026 FSC-klagomål.docx", "A 25262-2026")</f>
        <v/>
      </c>
      <c r="W134">
        <f>HYPERLINK("https://klasma.github.io/Logging_0580/klagomålsmail/A 25262-2026 FSC-klagomål mail.docx", "A 25262-2026")</f>
        <v/>
      </c>
      <c r="X134">
        <f>HYPERLINK("https://klasma.github.io/Logging_0580/tillsyn/A 25262-2026 tillsynsbegäran.docx", "A 25262-2026")</f>
        <v/>
      </c>
      <c r="Y134">
        <f>HYPERLINK("https://klasma.github.io/Logging_0580/tillsynsmail/A 25262-2026 tillsynsbegäran mail.docx", "A 25262-2026")</f>
        <v/>
      </c>
    </row>
    <row r="135" ht="15" customHeight="1">
      <c r="A135" t="inlineStr">
        <is>
          <t>A 25901-2026</t>
        </is>
      </c>
      <c r="B135" s="1" t="n">
        <v>46178</v>
      </c>
      <c r="C135" s="1" t="n">
        <v>46200</v>
      </c>
      <c r="D135" t="inlineStr">
        <is>
          <t>ÖSTERGÖTLANDS LÄN</t>
        </is>
      </c>
      <c r="E135" t="inlineStr">
        <is>
          <t>LINKÖPING</t>
        </is>
      </c>
      <c r="G135" t="n">
        <v>4.9</v>
      </c>
      <c r="H135" t="n">
        <v>1</v>
      </c>
      <c r="I135" t="n">
        <v>1</v>
      </c>
      <c r="J135" t="n">
        <v>0</v>
      </c>
      <c r="K135" t="n">
        <v>0</v>
      </c>
      <c r="L135" t="n">
        <v>0</v>
      </c>
      <c r="M135" t="n">
        <v>0</v>
      </c>
      <c r="N135" t="n">
        <v>0</v>
      </c>
      <c r="O135" t="n">
        <v>0</v>
      </c>
      <c r="P135" t="n">
        <v>0</v>
      </c>
      <c r="Q135" t="n">
        <v>1</v>
      </c>
      <c r="R135" s="2" t="inlineStr">
        <is>
          <t>Skogsknipprot</t>
        </is>
      </c>
      <c r="S135">
        <f>HYPERLINK("https://klasma.github.io/Logging_0580/artfynd/A 25901-2026 artfynd.xlsx", "A 25901-2026")</f>
        <v/>
      </c>
      <c r="T135">
        <f>HYPERLINK("https://klasma.github.io/Logging_0580/kartor/A 25901-2026 karta.png", "A 25901-2026")</f>
        <v/>
      </c>
      <c r="V135">
        <f>HYPERLINK("https://klasma.github.io/Logging_0580/klagomål/A 25901-2026 FSC-klagomål.docx", "A 25901-2026")</f>
        <v/>
      </c>
      <c r="W135">
        <f>HYPERLINK("https://klasma.github.io/Logging_0580/klagomålsmail/A 25901-2026 FSC-klagomål mail.docx", "A 25901-2026")</f>
        <v/>
      </c>
      <c r="X135">
        <f>HYPERLINK("https://klasma.github.io/Logging_0580/tillsyn/A 25901-2026 tillsynsbegäran.docx", "A 25901-2026")</f>
        <v/>
      </c>
      <c r="Y135">
        <f>HYPERLINK("https://klasma.github.io/Logging_0580/tillsynsmail/A 25901-2026 tillsynsbegäran mail.docx", "A 25901-2026")</f>
        <v/>
      </c>
    </row>
    <row r="136" ht="15" customHeight="1">
      <c r="A136" t="inlineStr">
        <is>
          <t>A 54332-2025</t>
        </is>
      </c>
      <c r="B136" s="1" t="n">
        <v>45965</v>
      </c>
      <c r="C136" s="1" t="n">
        <v>46200</v>
      </c>
      <c r="D136" t="inlineStr">
        <is>
          <t>ÖSTERGÖTLANDS LÄN</t>
        </is>
      </c>
      <c r="E136" t="inlineStr">
        <is>
          <t>LINKÖPING</t>
        </is>
      </c>
      <c r="F136" t="inlineStr">
        <is>
          <t>Sveaskog</t>
        </is>
      </c>
      <c r="G136" t="n">
        <v>0.9</v>
      </c>
      <c r="H136" t="n">
        <v>0</v>
      </c>
      <c r="I136" t="n">
        <v>0</v>
      </c>
      <c r="J136" t="n">
        <v>1</v>
      </c>
      <c r="K136" t="n">
        <v>0</v>
      </c>
      <c r="L136" t="n">
        <v>0</v>
      </c>
      <c r="M136" t="n">
        <v>0</v>
      </c>
      <c r="N136" t="n">
        <v>0</v>
      </c>
      <c r="O136" t="n">
        <v>1</v>
      </c>
      <c r="P136" t="n">
        <v>0</v>
      </c>
      <c r="Q136" t="n">
        <v>1</v>
      </c>
      <c r="R136" s="2" t="inlineStr">
        <is>
          <t>Jungfrulin</t>
        </is>
      </c>
      <c r="S136">
        <f>HYPERLINK("https://klasma.github.io/Logging_0580/artfynd/A 54332-2025 artfynd.xlsx", "A 54332-2025")</f>
        <v/>
      </c>
      <c r="T136">
        <f>HYPERLINK("https://klasma.github.io/Logging_0580/kartor/A 54332-2025 karta.png", "A 54332-2025")</f>
        <v/>
      </c>
      <c r="V136">
        <f>HYPERLINK("https://klasma.github.io/Logging_0580/klagomål/A 54332-2025 FSC-klagomål.docx", "A 54332-2025")</f>
        <v/>
      </c>
      <c r="W136">
        <f>HYPERLINK("https://klasma.github.io/Logging_0580/klagomålsmail/A 54332-2025 FSC-klagomål mail.docx", "A 54332-2025")</f>
        <v/>
      </c>
      <c r="X136">
        <f>HYPERLINK("https://klasma.github.io/Logging_0580/tillsyn/A 54332-2025 tillsynsbegäran.docx", "A 54332-2025")</f>
        <v/>
      </c>
      <c r="Y136">
        <f>HYPERLINK("https://klasma.github.io/Logging_0580/tillsynsmail/A 54332-2025 tillsynsbegäran mail.docx", "A 54332-2025")</f>
        <v/>
      </c>
    </row>
    <row r="137" ht="15" customHeight="1">
      <c r="A137" t="inlineStr">
        <is>
          <t>A 57766-2023</t>
        </is>
      </c>
      <c r="B137" s="1" t="n">
        <v>45246</v>
      </c>
      <c r="C137" s="1" t="n">
        <v>46200</v>
      </c>
      <c r="D137" t="inlineStr">
        <is>
          <t>ÖSTERGÖTLANDS LÄN</t>
        </is>
      </c>
      <c r="E137" t="inlineStr">
        <is>
          <t>LINKÖPING</t>
        </is>
      </c>
      <c r="F137" t="inlineStr">
        <is>
          <t>Allmännings- och besparingsskogar</t>
        </is>
      </c>
      <c r="G137" t="n">
        <v>12.8</v>
      </c>
      <c r="H137" t="n">
        <v>1</v>
      </c>
      <c r="I137" t="n">
        <v>0</v>
      </c>
      <c r="J137" t="n">
        <v>0</v>
      </c>
      <c r="K137" t="n">
        <v>0</v>
      </c>
      <c r="L137" t="n">
        <v>0</v>
      </c>
      <c r="M137" t="n">
        <v>0</v>
      </c>
      <c r="N137" t="n">
        <v>0</v>
      </c>
      <c r="O137" t="n">
        <v>0</v>
      </c>
      <c r="P137" t="n">
        <v>0</v>
      </c>
      <c r="Q137" t="n">
        <v>1</v>
      </c>
      <c r="R137" s="2" t="inlineStr">
        <is>
          <t>Vanlig padda</t>
        </is>
      </c>
      <c r="S137">
        <f>HYPERLINK("https://klasma.github.io/Logging_0580/artfynd/A 57766-2023 artfynd.xlsx", "A 57766-2023")</f>
        <v/>
      </c>
      <c r="T137">
        <f>HYPERLINK("https://klasma.github.io/Logging_0580/kartor/A 57766-2023 karta.png", "A 57766-2023")</f>
        <v/>
      </c>
      <c r="V137">
        <f>HYPERLINK("https://klasma.github.io/Logging_0580/klagomål/A 57766-2023 FSC-klagomål.docx", "A 57766-2023")</f>
        <v/>
      </c>
      <c r="W137">
        <f>HYPERLINK("https://klasma.github.io/Logging_0580/klagomålsmail/A 57766-2023 FSC-klagomål mail.docx", "A 57766-2023")</f>
        <v/>
      </c>
      <c r="X137">
        <f>HYPERLINK("https://klasma.github.io/Logging_0580/tillsyn/A 57766-2023 tillsynsbegäran.docx", "A 57766-2023")</f>
        <v/>
      </c>
      <c r="Y137">
        <f>HYPERLINK("https://klasma.github.io/Logging_0580/tillsynsmail/A 57766-2023 tillsynsbegäran mail.docx", "A 57766-2023")</f>
        <v/>
      </c>
    </row>
    <row r="138" ht="15" customHeight="1">
      <c r="A138" t="inlineStr">
        <is>
          <t>A 38881-2021</t>
        </is>
      </c>
      <c r="B138" s="1" t="n">
        <v>44411</v>
      </c>
      <c r="C138" s="1" t="n">
        <v>46200</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46200</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46200</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46200</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46200</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46200</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46200</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46200</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46200</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46200</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46200</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46200</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46200</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38961-2021</t>
        </is>
      </c>
      <c r="B151" s="1" t="n">
        <v>44411</v>
      </c>
      <c r="C151" s="1" t="n">
        <v>46200</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60639-2021</t>
        </is>
      </c>
      <c r="B152" s="1" t="n">
        <v>44496</v>
      </c>
      <c r="C152" s="1" t="n">
        <v>46200</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32433-2022</t>
        </is>
      </c>
      <c r="B153" s="1" t="n">
        <v>44782</v>
      </c>
      <c r="C153" s="1" t="n">
        <v>46200</v>
      </c>
      <c r="D153" t="inlineStr">
        <is>
          <t>ÖSTERGÖTLANDS LÄN</t>
        </is>
      </c>
      <c r="E153" t="inlineStr">
        <is>
          <t>LINKÖPING</t>
        </is>
      </c>
      <c r="G153" t="n">
        <v>11.3</v>
      </c>
      <c r="H153" t="n">
        <v>0</v>
      </c>
      <c r="I153" t="n">
        <v>0</v>
      </c>
      <c r="J153" t="n">
        <v>0</v>
      </c>
      <c r="K153" t="n">
        <v>0</v>
      </c>
      <c r="L153" t="n">
        <v>0</v>
      </c>
      <c r="M153" t="n">
        <v>0</v>
      </c>
      <c r="N153" t="n">
        <v>0</v>
      </c>
      <c r="O153" t="n">
        <v>0</v>
      </c>
      <c r="P153" t="n">
        <v>0</v>
      </c>
      <c r="Q153" t="n">
        <v>0</v>
      </c>
      <c r="R153" s="2" t="inlineStr"/>
    </row>
    <row r="154" ht="15" customHeight="1">
      <c r="A154" t="inlineStr">
        <is>
          <t>A 47462-2022</t>
        </is>
      </c>
      <c r="B154" s="1" t="n">
        <v>44853</v>
      </c>
      <c r="C154" s="1" t="n">
        <v>46200</v>
      </c>
      <c r="D154" t="inlineStr">
        <is>
          <t>ÖSTERGÖTLANDS LÄN</t>
        </is>
      </c>
      <c r="E154" t="inlineStr">
        <is>
          <t>LINKÖPING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46200</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31703-2022</t>
        </is>
      </c>
      <c r="B156" s="1" t="n">
        <v>44776</v>
      </c>
      <c r="C156" s="1" t="n">
        <v>46200</v>
      </c>
      <c r="D156" t="inlineStr">
        <is>
          <t>ÖSTERGÖTLANDS LÄN</t>
        </is>
      </c>
      <c r="E156" t="inlineStr">
        <is>
          <t>LINKÖPING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44054-2021</t>
        </is>
      </c>
      <c r="B157" s="1" t="n">
        <v>44434</v>
      </c>
      <c r="C157" s="1" t="n">
        <v>46200</v>
      </c>
      <c r="D157" t="inlineStr">
        <is>
          <t>ÖSTERGÖTLANDS LÄN</t>
        </is>
      </c>
      <c r="E157" t="inlineStr">
        <is>
          <t>LINKÖPING</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53146-2021</t>
        </is>
      </c>
      <c r="B158" s="1" t="n">
        <v>44466</v>
      </c>
      <c r="C158" s="1" t="n">
        <v>46200</v>
      </c>
      <c r="D158" t="inlineStr">
        <is>
          <t>ÖSTERGÖTLANDS LÄN</t>
        </is>
      </c>
      <c r="E158" t="inlineStr">
        <is>
          <t>LINKÖPING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17500-2022</t>
        </is>
      </c>
      <c r="B159" s="1" t="n">
        <v>44679</v>
      </c>
      <c r="C159" s="1" t="n">
        <v>46200</v>
      </c>
      <c r="D159" t="inlineStr">
        <is>
          <t>ÖSTERGÖTLANDS LÄN</t>
        </is>
      </c>
      <c r="E159" t="inlineStr">
        <is>
          <t>LINKÖPING</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32000-2022</t>
        </is>
      </c>
      <c r="B160" s="1" t="n">
        <v>44777</v>
      </c>
      <c r="C160" s="1" t="n">
        <v>46200</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48016-2021</t>
        </is>
      </c>
      <c r="B161" s="1" t="n">
        <v>44449</v>
      </c>
      <c r="C161" s="1" t="n">
        <v>46200</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v>
      </c>
      <c r="C162" s="1" t="n">
        <v>46200</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64195-2021</t>
        </is>
      </c>
      <c r="B163" s="1" t="n">
        <v>44510</v>
      </c>
      <c r="C163" s="1" t="n">
        <v>46200</v>
      </c>
      <c r="D163" t="inlineStr">
        <is>
          <t>ÖSTERGÖTLANDS LÄN</t>
        </is>
      </c>
      <c r="E163" t="inlineStr">
        <is>
          <t>LINKÖPING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30858-2022</t>
        </is>
      </c>
      <c r="B164" s="1" t="n">
        <v>44767</v>
      </c>
      <c r="C164" s="1" t="n">
        <v>46200</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23175-2022</t>
        </is>
      </c>
      <c r="B165" s="1" t="n">
        <v>44719</v>
      </c>
      <c r="C165" s="1" t="n">
        <v>46200</v>
      </c>
      <c r="D165" t="inlineStr">
        <is>
          <t>ÖSTERGÖTLANDS LÄN</t>
        </is>
      </c>
      <c r="E165" t="inlineStr">
        <is>
          <t>LINKÖPING</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33876-2021</t>
        </is>
      </c>
      <c r="B166" s="1" t="n">
        <v>44378</v>
      </c>
      <c r="C166" s="1" t="n">
        <v>46200</v>
      </c>
      <c r="D166" t="inlineStr">
        <is>
          <t>ÖSTERGÖTLANDS LÄN</t>
        </is>
      </c>
      <c r="E166" t="inlineStr">
        <is>
          <t>LINKÖPING</t>
        </is>
      </c>
      <c r="G166" t="n">
        <v>6.3</v>
      </c>
      <c r="H166" t="n">
        <v>0</v>
      </c>
      <c r="I166" t="n">
        <v>0</v>
      </c>
      <c r="J166" t="n">
        <v>0</v>
      </c>
      <c r="K166" t="n">
        <v>0</v>
      </c>
      <c r="L166" t="n">
        <v>0</v>
      </c>
      <c r="M166" t="n">
        <v>0</v>
      </c>
      <c r="N166" t="n">
        <v>0</v>
      </c>
      <c r="O166" t="n">
        <v>0</v>
      </c>
      <c r="P166" t="n">
        <v>0</v>
      </c>
      <c r="Q166" t="n">
        <v>0</v>
      </c>
      <c r="R166" s="2" t="inlineStr"/>
    </row>
    <row r="167" ht="15" customHeight="1">
      <c r="A167" t="inlineStr">
        <is>
          <t>A 1787-2022</t>
        </is>
      </c>
      <c r="B167" s="1" t="n">
        <v>44574</v>
      </c>
      <c r="C167" s="1" t="n">
        <v>46200</v>
      </c>
      <c r="D167" t="inlineStr">
        <is>
          <t>ÖSTERGÖTLANDS LÄN</t>
        </is>
      </c>
      <c r="E167" t="inlineStr">
        <is>
          <t>LINKÖPING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948-2022</t>
        </is>
      </c>
      <c r="B168" s="1" t="n">
        <v>44571</v>
      </c>
      <c r="C168" s="1" t="n">
        <v>46200</v>
      </c>
      <c r="D168" t="inlineStr">
        <is>
          <t>ÖSTERGÖTLANDS LÄN</t>
        </is>
      </c>
      <c r="E168" t="inlineStr">
        <is>
          <t>LINKÖPING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46416-2021</t>
        </is>
      </c>
      <c r="B169" s="1" t="n">
        <v>44442</v>
      </c>
      <c r="C169" s="1" t="n">
        <v>46200</v>
      </c>
      <c r="D169" t="inlineStr">
        <is>
          <t>ÖSTERGÖTLANDS LÄN</t>
        </is>
      </c>
      <c r="E169" t="inlineStr">
        <is>
          <t>LINKÖPING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37014-2021</t>
        </is>
      </c>
      <c r="B170" s="1" t="n">
        <v>44393</v>
      </c>
      <c r="C170" s="1" t="n">
        <v>46200</v>
      </c>
      <c r="D170" t="inlineStr">
        <is>
          <t>ÖSTERGÖTLANDS LÄN</t>
        </is>
      </c>
      <c r="E170" t="inlineStr">
        <is>
          <t>LINKÖPING</t>
        </is>
      </c>
      <c r="F170" t="inlineStr">
        <is>
          <t>Allmännings- och besparingsskogar</t>
        </is>
      </c>
      <c r="G170" t="n">
        <v>7.7</v>
      </c>
      <c r="H170" t="n">
        <v>0</v>
      </c>
      <c r="I170" t="n">
        <v>0</v>
      </c>
      <c r="J170" t="n">
        <v>0</v>
      </c>
      <c r="K170" t="n">
        <v>0</v>
      </c>
      <c r="L170" t="n">
        <v>0</v>
      </c>
      <c r="M170" t="n">
        <v>0</v>
      </c>
      <c r="N170" t="n">
        <v>0</v>
      </c>
      <c r="O170" t="n">
        <v>0</v>
      </c>
      <c r="P170" t="n">
        <v>0</v>
      </c>
      <c r="Q170" t="n">
        <v>0</v>
      </c>
      <c r="R170" s="2" t="inlineStr"/>
    </row>
    <row r="171" ht="15" customHeight="1">
      <c r="A171" t="inlineStr">
        <is>
          <t>A 37012-2021</t>
        </is>
      </c>
      <c r="B171" s="1" t="n">
        <v>44393</v>
      </c>
      <c r="C171" s="1" t="n">
        <v>46200</v>
      </c>
      <c r="D171" t="inlineStr">
        <is>
          <t>ÖSTERGÖTLANDS LÄN</t>
        </is>
      </c>
      <c r="E171" t="inlineStr">
        <is>
          <t>LINKÖPING</t>
        </is>
      </c>
      <c r="F171" t="inlineStr">
        <is>
          <t>Allmännings- och besparingsskogar</t>
        </is>
      </c>
      <c r="G171" t="n">
        <v>1.1</v>
      </c>
      <c r="H171" t="n">
        <v>0</v>
      </c>
      <c r="I171" t="n">
        <v>0</v>
      </c>
      <c r="J171" t="n">
        <v>0</v>
      </c>
      <c r="K171" t="n">
        <v>0</v>
      </c>
      <c r="L171" t="n">
        <v>0</v>
      </c>
      <c r="M171" t="n">
        <v>0</v>
      </c>
      <c r="N171" t="n">
        <v>0</v>
      </c>
      <c r="O171" t="n">
        <v>0</v>
      </c>
      <c r="P171" t="n">
        <v>0</v>
      </c>
      <c r="Q171" t="n">
        <v>0</v>
      </c>
      <c r="R171" s="2" t="inlineStr"/>
    </row>
    <row r="172" ht="15" customHeight="1">
      <c r="A172" t="inlineStr">
        <is>
          <t>A 58258-2021</t>
        </is>
      </c>
      <c r="B172" s="1" t="n">
        <v>44487</v>
      </c>
      <c r="C172" s="1" t="n">
        <v>46200</v>
      </c>
      <c r="D172" t="inlineStr">
        <is>
          <t>ÖSTERGÖTLANDS LÄN</t>
        </is>
      </c>
      <c r="E172" t="inlineStr">
        <is>
          <t>LINKÖPING</t>
        </is>
      </c>
      <c r="F172" t="inlineStr">
        <is>
          <t>Övriga Aktiebolag</t>
        </is>
      </c>
      <c r="G172" t="n">
        <v>1</v>
      </c>
      <c r="H172" t="n">
        <v>0</v>
      </c>
      <c r="I172" t="n">
        <v>0</v>
      </c>
      <c r="J172" t="n">
        <v>0</v>
      </c>
      <c r="K172" t="n">
        <v>0</v>
      </c>
      <c r="L172" t="n">
        <v>0</v>
      </c>
      <c r="M172" t="n">
        <v>0</v>
      </c>
      <c r="N172" t="n">
        <v>0</v>
      </c>
      <c r="O172" t="n">
        <v>0</v>
      </c>
      <c r="P172" t="n">
        <v>0</v>
      </c>
      <c r="Q172" t="n">
        <v>0</v>
      </c>
      <c r="R172" s="2" t="inlineStr"/>
    </row>
    <row r="173" ht="15" customHeight="1">
      <c r="A173" t="inlineStr">
        <is>
          <t>A 49791-2021</t>
        </is>
      </c>
      <c r="B173" s="1" t="n">
        <v>44455</v>
      </c>
      <c r="C173" s="1" t="n">
        <v>46200</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58287-2021</t>
        </is>
      </c>
      <c r="B174" s="1" t="n">
        <v>44487</v>
      </c>
      <c r="C174" s="1" t="n">
        <v>46200</v>
      </c>
      <c r="D174" t="inlineStr">
        <is>
          <t>ÖSTERGÖTLANDS LÄN</t>
        </is>
      </c>
      <c r="E174" t="inlineStr">
        <is>
          <t>LINKÖPING</t>
        </is>
      </c>
      <c r="F174" t="inlineStr">
        <is>
          <t>Övriga Aktiebolag</t>
        </is>
      </c>
      <c r="G174" t="n">
        <v>1.5</v>
      </c>
      <c r="H174" t="n">
        <v>0</v>
      </c>
      <c r="I174" t="n">
        <v>0</v>
      </c>
      <c r="J174" t="n">
        <v>0</v>
      </c>
      <c r="K174" t="n">
        <v>0</v>
      </c>
      <c r="L174" t="n">
        <v>0</v>
      </c>
      <c r="M174" t="n">
        <v>0</v>
      </c>
      <c r="N174" t="n">
        <v>0</v>
      </c>
      <c r="O174" t="n">
        <v>0</v>
      </c>
      <c r="P174" t="n">
        <v>0</v>
      </c>
      <c r="Q174" t="n">
        <v>0</v>
      </c>
      <c r="R174" s="2" t="inlineStr"/>
    </row>
    <row r="175" ht="15" customHeight="1">
      <c r="A175" t="inlineStr">
        <is>
          <t>A 58266-2021</t>
        </is>
      </c>
      <c r="B175" s="1" t="n">
        <v>44487</v>
      </c>
      <c r="C175" s="1" t="n">
        <v>46200</v>
      </c>
      <c r="D175" t="inlineStr">
        <is>
          <t>ÖSTERGÖTLANDS LÄN</t>
        </is>
      </c>
      <c r="E175" t="inlineStr">
        <is>
          <t>LINKÖPING</t>
        </is>
      </c>
      <c r="F175" t="inlineStr">
        <is>
          <t>Övriga Aktiebolag</t>
        </is>
      </c>
      <c r="G175" t="n">
        <v>3.2</v>
      </c>
      <c r="H175" t="n">
        <v>0</v>
      </c>
      <c r="I175" t="n">
        <v>0</v>
      </c>
      <c r="J175" t="n">
        <v>0</v>
      </c>
      <c r="K175" t="n">
        <v>0</v>
      </c>
      <c r="L175" t="n">
        <v>0</v>
      </c>
      <c r="M175" t="n">
        <v>0</v>
      </c>
      <c r="N175" t="n">
        <v>0</v>
      </c>
      <c r="O175" t="n">
        <v>0</v>
      </c>
      <c r="P175" t="n">
        <v>0</v>
      </c>
      <c r="Q175" t="n">
        <v>0</v>
      </c>
      <c r="R175" s="2" t="inlineStr"/>
    </row>
    <row r="176" ht="15" customHeight="1">
      <c r="A176" t="inlineStr">
        <is>
          <t>A 53660-2021</t>
        </is>
      </c>
      <c r="B176" s="1" t="n">
        <v>44469</v>
      </c>
      <c r="C176" s="1" t="n">
        <v>46200</v>
      </c>
      <c r="D176" t="inlineStr">
        <is>
          <t>ÖSTERGÖTLANDS LÄN</t>
        </is>
      </c>
      <c r="E176" t="inlineStr">
        <is>
          <t>LINKÖPING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29470-2022</t>
        </is>
      </c>
      <c r="B177" s="1" t="n">
        <v>44753</v>
      </c>
      <c r="C177" s="1" t="n">
        <v>46200</v>
      </c>
      <c r="D177" t="inlineStr">
        <is>
          <t>ÖSTERGÖTLANDS LÄN</t>
        </is>
      </c>
      <c r="E177" t="inlineStr">
        <is>
          <t>LINKÖPING</t>
        </is>
      </c>
      <c r="F177" t="inlineStr">
        <is>
          <t>Sveaskog</t>
        </is>
      </c>
      <c r="G177" t="n">
        <v>1</v>
      </c>
      <c r="H177" t="n">
        <v>0</v>
      </c>
      <c r="I177" t="n">
        <v>0</v>
      </c>
      <c r="J177" t="n">
        <v>0</v>
      </c>
      <c r="K177" t="n">
        <v>0</v>
      </c>
      <c r="L177" t="n">
        <v>0</v>
      </c>
      <c r="M177" t="n">
        <v>0</v>
      </c>
      <c r="N177" t="n">
        <v>0</v>
      </c>
      <c r="O177" t="n">
        <v>0</v>
      </c>
      <c r="P177" t="n">
        <v>0</v>
      </c>
      <c r="Q177" t="n">
        <v>0</v>
      </c>
      <c r="R177" s="2" t="inlineStr"/>
    </row>
    <row r="178" ht="15" customHeight="1">
      <c r="A178" t="inlineStr">
        <is>
          <t>A 52966-2021</t>
        </is>
      </c>
      <c r="B178" s="1" t="n">
        <v>44467</v>
      </c>
      <c r="C178" s="1" t="n">
        <v>46200</v>
      </c>
      <c r="D178" t="inlineStr">
        <is>
          <t>ÖSTERGÖTLANDS LÄN</t>
        </is>
      </c>
      <c r="E178" t="inlineStr">
        <is>
          <t>LINKÖPING</t>
        </is>
      </c>
      <c r="G178" t="n">
        <v>2.6</v>
      </c>
      <c r="H178" t="n">
        <v>0</v>
      </c>
      <c r="I178" t="n">
        <v>0</v>
      </c>
      <c r="J178" t="n">
        <v>0</v>
      </c>
      <c r="K178" t="n">
        <v>0</v>
      </c>
      <c r="L178" t="n">
        <v>0</v>
      </c>
      <c r="M178" t="n">
        <v>0</v>
      </c>
      <c r="N178" t="n">
        <v>0</v>
      </c>
      <c r="O178" t="n">
        <v>0</v>
      </c>
      <c r="P178" t="n">
        <v>0</v>
      </c>
      <c r="Q178" t="n">
        <v>0</v>
      </c>
      <c r="R178" s="2" t="inlineStr"/>
    </row>
    <row r="179" ht="15" customHeight="1">
      <c r="A179" t="inlineStr">
        <is>
          <t>A 38134-2021</t>
        </is>
      </c>
      <c r="B179" s="1" t="n">
        <v>44405</v>
      </c>
      <c r="C179" s="1" t="n">
        <v>46200</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46730-2021</t>
        </is>
      </c>
      <c r="B180" s="1" t="n">
        <v>44445</v>
      </c>
      <c r="C180" s="1" t="n">
        <v>46200</v>
      </c>
      <c r="D180" t="inlineStr">
        <is>
          <t>ÖSTERGÖTLANDS LÄN</t>
        </is>
      </c>
      <c r="E180" t="inlineStr">
        <is>
          <t>LINKÖPING</t>
        </is>
      </c>
      <c r="F180" t="inlineStr">
        <is>
          <t>Övriga statliga verk och myndigheter</t>
        </is>
      </c>
      <c r="G180" t="n">
        <v>1.1</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46200</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34487-2021</t>
        </is>
      </c>
      <c r="B182" s="1" t="n">
        <v>44382</v>
      </c>
      <c r="C182" s="1" t="n">
        <v>46200</v>
      </c>
      <c r="D182" t="inlineStr">
        <is>
          <t>ÖSTERGÖTLANDS LÄN</t>
        </is>
      </c>
      <c r="E182" t="inlineStr">
        <is>
          <t>LINKÖPING</t>
        </is>
      </c>
      <c r="G182" t="n">
        <v>7.5</v>
      </c>
      <c r="H182" t="n">
        <v>0</v>
      </c>
      <c r="I182" t="n">
        <v>0</v>
      </c>
      <c r="J182" t="n">
        <v>0</v>
      </c>
      <c r="K182" t="n">
        <v>0</v>
      </c>
      <c r="L182" t="n">
        <v>0</v>
      </c>
      <c r="M182" t="n">
        <v>0</v>
      </c>
      <c r="N182" t="n">
        <v>0</v>
      </c>
      <c r="O182" t="n">
        <v>0</v>
      </c>
      <c r="P182" t="n">
        <v>0</v>
      </c>
      <c r="Q182" t="n">
        <v>0</v>
      </c>
      <c r="R182" s="2" t="inlineStr"/>
    </row>
    <row r="183" ht="15" customHeight="1">
      <c r="A183" t="inlineStr">
        <is>
          <t>A 19318-2022</t>
        </is>
      </c>
      <c r="B183" s="1" t="n">
        <v>44692</v>
      </c>
      <c r="C183" s="1" t="n">
        <v>46200</v>
      </c>
      <c r="D183" t="inlineStr">
        <is>
          <t>ÖSTERGÖTLANDS LÄN</t>
        </is>
      </c>
      <c r="E183" t="inlineStr">
        <is>
          <t>LINKÖPING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44849-2022</t>
        </is>
      </c>
      <c r="B184" s="1" t="n">
        <v>44841</v>
      </c>
      <c r="C184" s="1" t="n">
        <v>46200</v>
      </c>
      <c r="D184" t="inlineStr">
        <is>
          <t>ÖSTERGÖTLANDS LÄN</t>
        </is>
      </c>
      <c r="E184" t="inlineStr">
        <is>
          <t>LINKÖPING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70835-2021</t>
        </is>
      </c>
      <c r="B185" s="1" t="n">
        <v>44537</v>
      </c>
      <c r="C185" s="1" t="n">
        <v>46200</v>
      </c>
      <c r="D185" t="inlineStr">
        <is>
          <t>ÖSTERGÖTLANDS LÄN</t>
        </is>
      </c>
      <c r="E185" t="inlineStr">
        <is>
          <t>LINKÖPING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37934-2022</t>
        </is>
      </c>
      <c r="B186" s="1" t="n">
        <v>44809</v>
      </c>
      <c r="C186" s="1" t="n">
        <v>46200</v>
      </c>
      <c r="D186" t="inlineStr">
        <is>
          <t>ÖSTERGÖTLANDS LÄN</t>
        </is>
      </c>
      <c r="E186" t="inlineStr">
        <is>
          <t>LINKÖPING</t>
        </is>
      </c>
      <c r="G186" t="n">
        <v>1.6</v>
      </c>
      <c r="H186" t="n">
        <v>0</v>
      </c>
      <c r="I186" t="n">
        <v>0</v>
      </c>
      <c r="J186" t="n">
        <v>0</v>
      </c>
      <c r="K186" t="n">
        <v>0</v>
      </c>
      <c r="L186" t="n">
        <v>0</v>
      </c>
      <c r="M186" t="n">
        <v>0</v>
      </c>
      <c r="N186" t="n">
        <v>0</v>
      </c>
      <c r="O186" t="n">
        <v>0</v>
      </c>
      <c r="P186" t="n">
        <v>0</v>
      </c>
      <c r="Q186" t="n">
        <v>0</v>
      </c>
      <c r="R186" s="2" t="inlineStr"/>
    </row>
    <row r="187" ht="15" customHeight="1">
      <c r="A187" t="inlineStr">
        <is>
          <t>A 54854-2022</t>
        </is>
      </c>
      <c r="B187" s="1" t="n">
        <v>44884</v>
      </c>
      <c r="C187" s="1" t="n">
        <v>46200</v>
      </c>
      <c r="D187" t="inlineStr">
        <is>
          <t>ÖSTERGÖTLANDS LÄN</t>
        </is>
      </c>
      <c r="E187" t="inlineStr">
        <is>
          <t>LINKÖPING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54855-2022</t>
        </is>
      </c>
      <c r="B188" s="1" t="n">
        <v>44884</v>
      </c>
      <c r="C188" s="1" t="n">
        <v>46200</v>
      </c>
      <c r="D188" t="inlineStr">
        <is>
          <t>ÖSTERGÖTLANDS LÄN</t>
        </is>
      </c>
      <c r="E188" t="inlineStr">
        <is>
          <t>LINKÖPING</t>
        </is>
      </c>
      <c r="G188" t="n">
        <v>2.9</v>
      </c>
      <c r="H188" t="n">
        <v>0</v>
      </c>
      <c r="I188" t="n">
        <v>0</v>
      </c>
      <c r="J188" t="n">
        <v>0</v>
      </c>
      <c r="K188" t="n">
        <v>0</v>
      </c>
      <c r="L188" t="n">
        <v>0</v>
      </c>
      <c r="M188" t="n">
        <v>0</v>
      </c>
      <c r="N188" t="n">
        <v>0</v>
      </c>
      <c r="O188" t="n">
        <v>0</v>
      </c>
      <c r="P188" t="n">
        <v>0</v>
      </c>
      <c r="Q188" t="n">
        <v>0</v>
      </c>
      <c r="R188" s="2" t="inlineStr"/>
    </row>
    <row r="189" ht="15" customHeight="1">
      <c r="A189" t="inlineStr">
        <is>
          <t>A 54467-2022</t>
        </is>
      </c>
      <c r="B189" s="1" t="n">
        <v>44882</v>
      </c>
      <c r="C189" s="1" t="n">
        <v>46200</v>
      </c>
      <c r="D189" t="inlineStr">
        <is>
          <t>ÖSTERGÖTLANDS LÄN</t>
        </is>
      </c>
      <c r="E189" t="inlineStr">
        <is>
          <t>LINKÖPING</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38130-2021</t>
        </is>
      </c>
      <c r="B190" s="1" t="n">
        <v>44405</v>
      </c>
      <c r="C190" s="1" t="n">
        <v>46200</v>
      </c>
      <c r="D190" t="inlineStr">
        <is>
          <t>ÖSTERGÖTLANDS LÄN</t>
        </is>
      </c>
      <c r="E190" t="inlineStr">
        <is>
          <t>LINKÖPING</t>
        </is>
      </c>
      <c r="G190" t="n">
        <v>0.7</v>
      </c>
      <c r="H190" t="n">
        <v>0</v>
      </c>
      <c r="I190" t="n">
        <v>0</v>
      </c>
      <c r="J190" t="n">
        <v>0</v>
      </c>
      <c r="K190" t="n">
        <v>0</v>
      </c>
      <c r="L190" t="n">
        <v>0</v>
      </c>
      <c r="M190" t="n">
        <v>0</v>
      </c>
      <c r="N190" t="n">
        <v>0</v>
      </c>
      <c r="O190" t="n">
        <v>0</v>
      </c>
      <c r="P190" t="n">
        <v>0</v>
      </c>
      <c r="Q190" t="n">
        <v>0</v>
      </c>
      <c r="R190" s="2" t="inlineStr"/>
    </row>
    <row r="191" ht="15" customHeight="1">
      <c r="A191" t="inlineStr">
        <is>
          <t>A 36341-2022</t>
        </is>
      </c>
      <c r="B191" s="1" t="n">
        <v>44803</v>
      </c>
      <c r="C191" s="1" t="n">
        <v>46200</v>
      </c>
      <c r="D191" t="inlineStr">
        <is>
          <t>ÖSTERGÖTLANDS LÄN</t>
        </is>
      </c>
      <c r="E191" t="inlineStr">
        <is>
          <t>LINKÖPING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11079-2022</t>
        </is>
      </c>
      <c r="B192" s="1" t="n">
        <v>44628</v>
      </c>
      <c r="C192" s="1" t="n">
        <v>46200</v>
      </c>
      <c r="D192" t="inlineStr">
        <is>
          <t>ÖSTERGÖTLANDS LÄN</t>
        </is>
      </c>
      <c r="E192" t="inlineStr">
        <is>
          <t>LINKÖPING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40527-2022</t>
        </is>
      </c>
      <c r="B193" s="1" t="n">
        <v>44823</v>
      </c>
      <c r="C193" s="1" t="n">
        <v>46200</v>
      </c>
      <c r="D193" t="inlineStr">
        <is>
          <t>ÖSTERGÖTLANDS LÄN</t>
        </is>
      </c>
      <c r="E193" t="inlineStr">
        <is>
          <t>LINKÖPING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52968-2021</t>
        </is>
      </c>
      <c r="B194" s="1" t="n">
        <v>44467</v>
      </c>
      <c r="C194" s="1" t="n">
        <v>46200</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4240-2022</t>
        </is>
      </c>
      <c r="B195" s="1" t="n">
        <v>44588</v>
      </c>
      <c r="C195" s="1" t="n">
        <v>46200</v>
      </c>
      <c r="D195" t="inlineStr">
        <is>
          <t>ÖSTERGÖTLANDS LÄN</t>
        </is>
      </c>
      <c r="E195" t="inlineStr">
        <is>
          <t>LINKÖPING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67912-2021</t>
        </is>
      </c>
      <c r="B196" s="1" t="n">
        <v>44525</v>
      </c>
      <c r="C196" s="1" t="n">
        <v>46200</v>
      </c>
      <c r="D196" t="inlineStr">
        <is>
          <t>ÖSTERGÖTLANDS LÄN</t>
        </is>
      </c>
      <c r="E196" t="inlineStr">
        <is>
          <t>LINKÖPING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67940-2021</t>
        </is>
      </c>
      <c r="B197" s="1" t="n">
        <v>44525</v>
      </c>
      <c r="C197" s="1" t="n">
        <v>46200</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10951-2022</t>
        </is>
      </c>
      <c r="B198" s="1" t="n">
        <v>44627</v>
      </c>
      <c r="C198" s="1" t="n">
        <v>46200</v>
      </c>
      <c r="D198" t="inlineStr">
        <is>
          <t>ÖSTERGÖTLANDS LÄN</t>
        </is>
      </c>
      <c r="E198" t="inlineStr">
        <is>
          <t>LINKÖPING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46891-2021</t>
        </is>
      </c>
      <c r="B199" s="1" t="n">
        <v>44446</v>
      </c>
      <c r="C199" s="1" t="n">
        <v>46200</v>
      </c>
      <c r="D199" t="inlineStr">
        <is>
          <t>ÖSTERGÖTLANDS LÄN</t>
        </is>
      </c>
      <c r="E199" t="inlineStr">
        <is>
          <t>LINKÖPING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33134-2022</t>
        </is>
      </c>
      <c r="B200" s="1" t="n">
        <v>44785</v>
      </c>
      <c r="C200" s="1" t="n">
        <v>46200</v>
      </c>
      <c r="D200" t="inlineStr">
        <is>
          <t>ÖSTERGÖTLANDS LÄN</t>
        </is>
      </c>
      <c r="E200" t="inlineStr">
        <is>
          <t>LINKÖPING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33891-2021</t>
        </is>
      </c>
      <c r="B201" s="1" t="n">
        <v>44378</v>
      </c>
      <c r="C201" s="1" t="n">
        <v>46200</v>
      </c>
      <c r="D201" t="inlineStr">
        <is>
          <t>ÖSTERGÖTLANDS LÄN</t>
        </is>
      </c>
      <c r="E201" t="inlineStr">
        <is>
          <t>LINKÖPING</t>
        </is>
      </c>
      <c r="G201" t="n">
        <v>5.1</v>
      </c>
      <c r="H201" t="n">
        <v>0</v>
      </c>
      <c r="I201" t="n">
        <v>0</v>
      </c>
      <c r="J201" t="n">
        <v>0</v>
      </c>
      <c r="K201" t="n">
        <v>0</v>
      </c>
      <c r="L201" t="n">
        <v>0</v>
      </c>
      <c r="M201" t="n">
        <v>0</v>
      </c>
      <c r="N201" t="n">
        <v>0</v>
      </c>
      <c r="O201" t="n">
        <v>0</v>
      </c>
      <c r="P201" t="n">
        <v>0</v>
      </c>
      <c r="Q201" t="n">
        <v>0</v>
      </c>
      <c r="R201" s="2" t="inlineStr"/>
    </row>
    <row r="202" ht="15" customHeight="1">
      <c r="A202" t="inlineStr">
        <is>
          <t>A 13075-2022</t>
        </is>
      </c>
      <c r="B202" s="1" t="n">
        <v>44643</v>
      </c>
      <c r="C202" s="1" t="n">
        <v>46200</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65395-2021</t>
        </is>
      </c>
      <c r="B203" s="1" t="n">
        <v>44515</v>
      </c>
      <c r="C203" s="1" t="n">
        <v>46200</v>
      </c>
      <c r="D203" t="inlineStr">
        <is>
          <t>ÖSTERGÖTLANDS LÄN</t>
        </is>
      </c>
      <c r="E203" t="inlineStr">
        <is>
          <t>LINKÖPING</t>
        </is>
      </c>
      <c r="F203" t="inlineStr">
        <is>
          <t>Övriga statliga verk och myndigheter</t>
        </is>
      </c>
      <c r="G203" t="n">
        <v>0.7</v>
      </c>
      <c r="H203" t="n">
        <v>0</v>
      </c>
      <c r="I203" t="n">
        <v>0</v>
      </c>
      <c r="J203" t="n">
        <v>0</v>
      </c>
      <c r="K203" t="n">
        <v>0</v>
      </c>
      <c r="L203" t="n">
        <v>0</v>
      </c>
      <c r="M203" t="n">
        <v>0</v>
      </c>
      <c r="N203" t="n">
        <v>0</v>
      </c>
      <c r="O203" t="n">
        <v>0</v>
      </c>
      <c r="P203" t="n">
        <v>0</v>
      </c>
      <c r="Q203" t="n">
        <v>0</v>
      </c>
      <c r="R203" s="2" t="inlineStr"/>
    </row>
    <row r="204" ht="15" customHeight="1">
      <c r="A204" t="inlineStr">
        <is>
          <t>A 61153-2021</t>
        </is>
      </c>
      <c r="B204" s="1" t="n">
        <v>44497</v>
      </c>
      <c r="C204" s="1" t="n">
        <v>46200</v>
      </c>
      <c r="D204" t="inlineStr">
        <is>
          <t>ÖSTERGÖTLANDS LÄN</t>
        </is>
      </c>
      <c r="E204" t="inlineStr">
        <is>
          <t>LINKÖPING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33885-2021</t>
        </is>
      </c>
      <c r="B205" s="1" t="n">
        <v>44378</v>
      </c>
      <c r="C205" s="1" t="n">
        <v>46200</v>
      </c>
      <c r="D205" t="inlineStr">
        <is>
          <t>ÖSTERGÖTLANDS LÄN</t>
        </is>
      </c>
      <c r="E205" t="inlineStr">
        <is>
          <t>LINKÖPING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23416-2022</t>
        </is>
      </c>
      <c r="B206" s="1" t="n">
        <v>44720</v>
      </c>
      <c r="C206" s="1" t="n">
        <v>46200</v>
      </c>
      <c r="D206" t="inlineStr">
        <is>
          <t>ÖSTERGÖTLANDS LÄN</t>
        </is>
      </c>
      <c r="E206" t="inlineStr">
        <is>
          <t>LINKÖPING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5605-2022</t>
        </is>
      </c>
      <c r="B207" s="1" t="n">
        <v>44595</v>
      </c>
      <c r="C207" s="1" t="n">
        <v>46200</v>
      </c>
      <c r="D207" t="inlineStr">
        <is>
          <t>ÖSTERGÖTLANDS LÄN</t>
        </is>
      </c>
      <c r="E207" t="inlineStr">
        <is>
          <t>LINKÖPING</t>
        </is>
      </c>
      <c r="F207" t="inlineStr">
        <is>
          <t>Övriga statliga verk och myndigheter</t>
        </is>
      </c>
      <c r="G207" t="n">
        <v>3</v>
      </c>
      <c r="H207" t="n">
        <v>0</v>
      </c>
      <c r="I207" t="n">
        <v>0</v>
      </c>
      <c r="J207" t="n">
        <v>0</v>
      </c>
      <c r="K207" t="n">
        <v>0</v>
      </c>
      <c r="L207" t="n">
        <v>0</v>
      </c>
      <c r="M207" t="n">
        <v>0</v>
      </c>
      <c r="N207" t="n">
        <v>0</v>
      </c>
      <c r="O207" t="n">
        <v>0</v>
      </c>
      <c r="P207" t="n">
        <v>0</v>
      </c>
      <c r="Q207" t="n">
        <v>0</v>
      </c>
      <c r="R207" s="2" t="inlineStr"/>
    </row>
    <row r="208" ht="15" customHeight="1">
      <c r="A208" t="inlineStr">
        <is>
          <t>A 56688-2021</t>
        </is>
      </c>
      <c r="B208" s="1" t="n">
        <v>44481</v>
      </c>
      <c r="C208" s="1" t="n">
        <v>46200</v>
      </c>
      <c r="D208" t="inlineStr">
        <is>
          <t>ÖSTERGÖTLANDS LÄN</t>
        </is>
      </c>
      <c r="E208" t="inlineStr">
        <is>
          <t>LINKÖPING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46490-2022</t>
        </is>
      </c>
      <c r="B209" s="1" t="n">
        <v>44848</v>
      </c>
      <c r="C209" s="1" t="n">
        <v>46200</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27769-2022</t>
        </is>
      </c>
      <c r="B210" s="1" t="n">
        <v>44743</v>
      </c>
      <c r="C210" s="1" t="n">
        <v>46200</v>
      </c>
      <c r="D210" t="inlineStr">
        <is>
          <t>ÖSTERGÖTLANDS LÄN</t>
        </is>
      </c>
      <c r="E210" t="inlineStr">
        <is>
          <t>LINKÖPING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41426-2022</t>
        </is>
      </c>
      <c r="B211" s="1" t="n">
        <v>44826</v>
      </c>
      <c r="C211" s="1" t="n">
        <v>46200</v>
      </c>
      <c r="D211" t="inlineStr">
        <is>
          <t>ÖSTERGÖTLANDS LÄN</t>
        </is>
      </c>
      <c r="E211" t="inlineStr">
        <is>
          <t>LINKÖPING</t>
        </is>
      </c>
      <c r="G211" t="n">
        <v>3</v>
      </c>
      <c r="H211" t="n">
        <v>0</v>
      </c>
      <c r="I211" t="n">
        <v>0</v>
      </c>
      <c r="J211" t="n">
        <v>0</v>
      </c>
      <c r="K211" t="n">
        <v>0</v>
      </c>
      <c r="L211" t="n">
        <v>0</v>
      </c>
      <c r="M211" t="n">
        <v>0</v>
      </c>
      <c r="N211" t="n">
        <v>0</v>
      </c>
      <c r="O211" t="n">
        <v>0</v>
      </c>
      <c r="P211" t="n">
        <v>0</v>
      </c>
      <c r="Q211" t="n">
        <v>0</v>
      </c>
      <c r="R211" s="2" t="inlineStr"/>
    </row>
    <row r="212" ht="15" customHeight="1">
      <c r="A212" t="inlineStr">
        <is>
          <t>A 34486-2021</t>
        </is>
      </c>
      <c r="B212" s="1" t="n">
        <v>44382</v>
      </c>
      <c r="C212" s="1" t="n">
        <v>46200</v>
      </c>
      <c r="D212" t="inlineStr">
        <is>
          <t>ÖSTERGÖTLANDS LÄN</t>
        </is>
      </c>
      <c r="E212" t="inlineStr">
        <is>
          <t>LINKÖPING</t>
        </is>
      </c>
      <c r="G212" t="n">
        <v>4.4</v>
      </c>
      <c r="H212" t="n">
        <v>0</v>
      </c>
      <c r="I212" t="n">
        <v>0</v>
      </c>
      <c r="J212" t="n">
        <v>0</v>
      </c>
      <c r="K212" t="n">
        <v>0</v>
      </c>
      <c r="L212" t="n">
        <v>0</v>
      </c>
      <c r="M212" t="n">
        <v>0</v>
      </c>
      <c r="N212" t="n">
        <v>0</v>
      </c>
      <c r="O212" t="n">
        <v>0</v>
      </c>
      <c r="P212" t="n">
        <v>0</v>
      </c>
      <c r="Q212" t="n">
        <v>0</v>
      </c>
      <c r="R212" s="2" t="inlineStr"/>
    </row>
    <row r="213" ht="15" customHeight="1">
      <c r="A213" t="inlineStr">
        <is>
          <t>A 34162-2022</t>
        </is>
      </c>
      <c r="B213" s="1" t="n">
        <v>44791</v>
      </c>
      <c r="C213" s="1" t="n">
        <v>46200</v>
      </c>
      <c r="D213" t="inlineStr">
        <is>
          <t>ÖSTERGÖTLANDS LÄN</t>
        </is>
      </c>
      <c r="E213" t="inlineStr">
        <is>
          <t>LINKÖPING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61333-2021</t>
        </is>
      </c>
      <c r="B214" s="1" t="n">
        <v>44498</v>
      </c>
      <c r="C214" s="1" t="n">
        <v>46200</v>
      </c>
      <c r="D214" t="inlineStr">
        <is>
          <t>ÖSTERGÖTLANDS LÄN</t>
        </is>
      </c>
      <c r="E214" t="inlineStr">
        <is>
          <t>LINKÖPING</t>
        </is>
      </c>
      <c r="G214" t="n">
        <v>7.5</v>
      </c>
      <c r="H214" t="n">
        <v>0</v>
      </c>
      <c r="I214" t="n">
        <v>0</v>
      </c>
      <c r="J214" t="n">
        <v>0</v>
      </c>
      <c r="K214" t="n">
        <v>0</v>
      </c>
      <c r="L214" t="n">
        <v>0</v>
      </c>
      <c r="M214" t="n">
        <v>0</v>
      </c>
      <c r="N214" t="n">
        <v>0</v>
      </c>
      <c r="O214" t="n">
        <v>0</v>
      </c>
      <c r="P214" t="n">
        <v>0</v>
      </c>
      <c r="Q214" t="n">
        <v>0</v>
      </c>
      <c r="R214" s="2" t="inlineStr"/>
    </row>
    <row r="215" ht="15" customHeight="1">
      <c r="A215" t="inlineStr">
        <is>
          <t>A 38235-2022</t>
        </is>
      </c>
      <c r="B215" s="1" t="n">
        <v>44812</v>
      </c>
      <c r="C215" s="1" t="n">
        <v>46200</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12412-2022</t>
        </is>
      </c>
      <c r="B216" s="1" t="n">
        <v>44638</v>
      </c>
      <c r="C216" s="1" t="n">
        <v>46200</v>
      </c>
      <c r="D216" t="inlineStr">
        <is>
          <t>ÖSTERGÖTLANDS LÄN</t>
        </is>
      </c>
      <c r="E216" t="inlineStr">
        <is>
          <t>LINKÖPING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24151-2024</t>
        </is>
      </c>
      <c r="B217" s="1" t="n">
        <v>45456</v>
      </c>
      <c r="C217" s="1" t="n">
        <v>46200</v>
      </c>
      <c r="D217" t="inlineStr">
        <is>
          <t>ÖSTERGÖTLANDS LÄN</t>
        </is>
      </c>
      <c r="E217" t="inlineStr">
        <is>
          <t>LINKÖPING</t>
        </is>
      </c>
      <c r="G217" t="n">
        <v>2.1</v>
      </c>
      <c r="H217" t="n">
        <v>0</v>
      </c>
      <c r="I217" t="n">
        <v>0</v>
      </c>
      <c r="J217" t="n">
        <v>0</v>
      </c>
      <c r="K217" t="n">
        <v>0</v>
      </c>
      <c r="L217" t="n">
        <v>0</v>
      </c>
      <c r="M217" t="n">
        <v>0</v>
      </c>
      <c r="N217" t="n">
        <v>0</v>
      </c>
      <c r="O217" t="n">
        <v>0</v>
      </c>
      <c r="P217" t="n">
        <v>0</v>
      </c>
      <c r="Q217" t="n">
        <v>0</v>
      </c>
      <c r="R217" s="2" t="inlineStr"/>
    </row>
    <row r="218" ht="15" customHeight="1">
      <c r="A218" t="inlineStr">
        <is>
          <t>A 34880-2022</t>
        </is>
      </c>
      <c r="B218" s="1" t="n">
        <v>44796</v>
      </c>
      <c r="C218" s="1" t="n">
        <v>46200</v>
      </c>
      <c r="D218" t="inlineStr">
        <is>
          <t>ÖSTERGÖTLANDS LÄN</t>
        </is>
      </c>
      <c r="E218" t="inlineStr">
        <is>
          <t>LINKÖPING</t>
        </is>
      </c>
      <c r="F218" t="inlineStr">
        <is>
          <t>Övriga statliga verk och myndigheter</t>
        </is>
      </c>
      <c r="G218" t="n">
        <v>4</v>
      </c>
      <c r="H218" t="n">
        <v>0</v>
      </c>
      <c r="I218" t="n">
        <v>0</v>
      </c>
      <c r="J218" t="n">
        <v>0</v>
      </c>
      <c r="K218" t="n">
        <v>0</v>
      </c>
      <c r="L218" t="n">
        <v>0</v>
      </c>
      <c r="M218" t="n">
        <v>0</v>
      </c>
      <c r="N218" t="n">
        <v>0</v>
      </c>
      <c r="O218" t="n">
        <v>0</v>
      </c>
      <c r="P218" t="n">
        <v>0</v>
      </c>
      <c r="Q218" t="n">
        <v>0</v>
      </c>
      <c r="R218" s="2" t="inlineStr"/>
    </row>
    <row r="219" ht="15" customHeight="1">
      <c r="A219" t="inlineStr">
        <is>
          <t>A 31732-2022</t>
        </is>
      </c>
      <c r="B219" s="1" t="n">
        <v>44776</v>
      </c>
      <c r="C219" s="1" t="n">
        <v>46200</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3008-2023</t>
        </is>
      </c>
      <c r="B220" s="1" t="n">
        <v>44945</v>
      </c>
      <c r="C220" s="1" t="n">
        <v>46200</v>
      </c>
      <c r="D220" t="inlineStr">
        <is>
          <t>ÖSTERGÖTLANDS LÄN</t>
        </is>
      </c>
      <c r="E220" t="inlineStr">
        <is>
          <t>LINKÖPING</t>
        </is>
      </c>
      <c r="G220" t="n">
        <v>19.3</v>
      </c>
      <c r="H220" t="n">
        <v>0</v>
      </c>
      <c r="I220" t="n">
        <v>0</v>
      </c>
      <c r="J220" t="n">
        <v>0</v>
      </c>
      <c r="K220" t="n">
        <v>0</v>
      </c>
      <c r="L220" t="n">
        <v>0</v>
      </c>
      <c r="M220" t="n">
        <v>0</v>
      </c>
      <c r="N220" t="n">
        <v>0</v>
      </c>
      <c r="O220" t="n">
        <v>0</v>
      </c>
      <c r="P220" t="n">
        <v>0</v>
      </c>
      <c r="Q220" t="n">
        <v>0</v>
      </c>
      <c r="R220" s="2" t="inlineStr"/>
    </row>
    <row r="221" ht="15" customHeight="1">
      <c r="A221" t="inlineStr">
        <is>
          <t>A 12035-2025</t>
        </is>
      </c>
      <c r="B221" s="1" t="n">
        <v>45728</v>
      </c>
      <c r="C221" s="1" t="n">
        <v>46200</v>
      </c>
      <c r="D221" t="inlineStr">
        <is>
          <t>ÖSTERGÖTLANDS LÄN</t>
        </is>
      </c>
      <c r="E221" t="inlineStr">
        <is>
          <t>LINKÖPING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34558-2022</t>
        </is>
      </c>
      <c r="B222" s="1" t="n">
        <v>44794</v>
      </c>
      <c r="C222" s="1" t="n">
        <v>46200</v>
      </c>
      <c r="D222" t="inlineStr">
        <is>
          <t>ÖSTERGÖTLANDS LÄN</t>
        </is>
      </c>
      <c r="E222" t="inlineStr">
        <is>
          <t>LINKÖPING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63489-2023</t>
        </is>
      </c>
      <c r="B223" s="1" t="n">
        <v>45274</v>
      </c>
      <c r="C223" s="1" t="n">
        <v>46200</v>
      </c>
      <c r="D223" t="inlineStr">
        <is>
          <t>ÖSTERGÖTLANDS LÄN</t>
        </is>
      </c>
      <c r="E223" t="inlineStr">
        <is>
          <t>LINKÖPING</t>
        </is>
      </c>
      <c r="G223" t="n">
        <v>2.3</v>
      </c>
      <c r="H223" t="n">
        <v>0</v>
      </c>
      <c r="I223" t="n">
        <v>0</v>
      </c>
      <c r="J223" t="n">
        <v>0</v>
      </c>
      <c r="K223" t="n">
        <v>0</v>
      </c>
      <c r="L223" t="n">
        <v>0</v>
      </c>
      <c r="M223" t="n">
        <v>0</v>
      </c>
      <c r="N223" t="n">
        <v>0</v>
      </c>
      <c r="O223" t="n">
        <v>0</v>
      </c>
      <c r="P223" t="n">
        <v>0</v>
      </c>
      <c r="Q223" t="n">
        <v>0</v>
      </c>
      <c r="R223" s="2" t="inlineStr"/>
    </row>
    <row r="224" ht="15" customHeight="1">
      <c r="A224" t="inlineStr">
        <is>
          <t>A 28266-2024</t>
        </is>
      </c>
      <c r="B224" s="1" t="n">
        <v>45477</v>
      </c>
      <c r="C224" s="1" t="n">
        <v>46200</v>
      </c>
      <c r="D224" t="inlineStr">
        <is>
          <t>ÖSTERGÖTLANDS LÄN</t>
        </is>
      </c>
      <c r="E224" t="inlineStr">
        <is>
          <t>LINKÖPING</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14576-2023</t>
        </is>
      </c>
      <c r="B225" s="1" t="n">
        <v>45013</v>
      </c>
      <c r="C225" s="1" t="n">
        <v>46200</v>
      </c>
      <c r="D225" t="inlineStr">
        <is>
          <t>ÖSTERGÖTLANDS LÄN</t>
        </is>
      </c>
      <c r="E225" t="inlineStr">
        <is>
          <t>LINKÖPING</t>
        </is>
      </c>
      <c r="G225" t="n">
        <v>3.2</v>
      </c>
      <c r="H225" t="n">
        <v>0</v>
      </c>
      <c r="I225" t="n">
        <v>0</v>
      </c>
      <c r="J225" t="n">
        <v>0</v>
      </c>
      <c r="K225" t="n">
        <v>0</v>
      </c>
      <c r="L225" t="n">
        <v>0</v>
      </c>
      <c r="M225" t="n">
        <v>0</v>
      </c>
      <c r="N225" t="n">
        <v>0</v>
      </c>
      <c r="O225" t="n">
        <v>0</v>
      </c>
      <c r="P225" t="n">
        <v>0</v>
      </c>
      <c r="Q225" t="n">
        <v>0</v>
      </c>
      <c r="R225" s="2" t="inlineStr"/>
    </row>
    <row r="226" ht="15" customHeight="1">
      <c r="A226" t="inlineStr">
        <is>
          <t>A 25418-2023</t>
        </is>
      </c>
      <c r="B226" s="1" t="n">
        <v>45089</v>
      </c>
      <c r="C226" s="1" t="n">
        <v>46200</v>
      </c>
      <c r="D226" t="inlineStr">
        <is>
          <t>ÖSTERGÖTLANDS LÄN</t>
        </is>
      </c>
      <c r="E226" t="inlineStr">
        <is>
          <t>LINKÖPING</t>
        </is>
      </c>
      <c r="F226" t="inlineStr">
        <is>
          <t>Övriga Aktiebolag</t>
        </is>
      </c>
      <c r="G226" t="n">
        <v>2.4</v>
      </c>
      <c r="H226" t="n">
        <v>0</v>
      </c>
      <c r="I226" t="n">
        <v>0</v>
      </c>
      <c r="J226" t="n">
        <v>0</v>
      </c>
      <c r="K226" t="n">
        <v>0</v>
      </c>
      <c r="L226" t="n">
        <v>0</v>
      </c>
      <c r="M226" t="n">
        <v>0</v>
      </c>
      <c r="N226" t="n">
        <v>0</v>
      </c>
      <c r="O226" t="n">
        <v>0</v>
      </c>
      <c r="P226" t="n">
        <v>0</v>
      </c>
      <c r="Q226" t="n">
        <v>0</v>
      </c>
      <c r="R226" s="2" t="inlineStr"/>
    </row>
    <row r="227" ht="15" customHeight="1">
      <c r="A227" t="inlineStr">
        <is>
          <t>A 20455-2024</t>
        </is>
      </c>
      <c r="B227" s="1" t="n">
        <v>45435</v>
      </c>
      <c r="C227" s="1" t="n">
        <v>46200</v>
      </c>
      <c r="D227" t="inlineStr">
        <is>
          <t>ÖSTERGÖTLANDS LÄN</t>
        </is>
      </c>
      <c r="E227" t="inlineStr">
        <is>
          <t>LINKÖPING</t>
        </is>
      </c>
      <c r="G227" t="n">
        <v>2.6</v>
      </c>
      <c r="H227" t="n">
        <v>0</v>
      </c>
      <c r="I227" t="n">
        <v>0</v>
      </c>
      <c r="J227" t="n">
        <v>0</v>
      </c>
      <c r="K227" t="n">
        <v>0</v>
      </c>
      <c r="L227" t="n">
        <v>0</v>
      </c>
      <c r="M227" t="n">
        <v>0</v>
      </c>
      <c r="N227" t="n">
        <v>0</v>
      </c>
      <c r="O227" t="n">
        <v>0</v>
      </c>
      <c r="P227" t="n">
        <v>0</v>
      </c>
      <c r="Q227" t="n">
        <v>0</v>
      </c>
      <c r="R227" s="2" t="inlineStr"/>
    </row>
    <row r="228" ht="15" customHeight="1">
      <c r="A228" t="inlineStr">
        <is>
          <t>A 224-2024</t>
        </is>
      </c>
      <c r="B228" s="1" t="n">
        <v>45294</v>
      </c>
      <c r="C228" s="1" t="n">
        <v>46200</v>
      </c>
      <c r="D228" t="inlineStr">
        <is>
          <t>ÖSTERGÖTLANDS LÄN</t>
        </is>
      </c>
      <c r="E228" t="inlineStr">
        <is>
          <t>LINKÖPING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54845-2023</t>
        </is>
      </c>
      <c r="B229" s="1" t="n">
        <v>45236</v>
      </c>
      <c r="C229" s="1" t="n">
        <v>46200</v>
      </c>
      <c r="D229" t="inlineStr">
        <is>
          <t>ÖSTERGÖTLANDS LÄN</t>
        </is>
      </c>
      <c r="E229" t="inlineStr">
        <is>
          <t>LINKÖPING</t>
        </is>
      </c>
      <c r="F229" t="inlineStr">
        <is>
          <t>Övriga Aktiebolag</t>
        </is>
      </c>
      <c r="G229" t="n">
        <v>5.7</v>
      </c>
      <c r="H229" t="n">
        <v>0</v>
      </c>
      <c r="I229" t="n">
        <v>0</v>
      </c>
      <c r="J229" t="n">
        <v>0</v>
      </c>
      <c r="K229" t="n">
        <v>0</v>
      </c>
      <c r="L229" t="n">
        <v>0</v>
      </c>
      <c r="M229" t="n">
        <v>0</v>
      </c>
      <c r="N229" t="n">
        <v>0</v>
      </c>
      <c r="O229" t="n">
        <v>0</v>
      </c>
      <c r="P229" t="n">
        <v>0</v>
      </c>
      <c r="Q229" t="n">
        <v>0</v>
      </c>
      <c r="R229" s="2" t="inlineStr"/>
    </row>
    <row r="230" ht="15" customHeight="1">
      <c r="A230" t="inlineStr">
        <is>
          <t>A 74160-2021</t>
        </is>
      </c>
      <c r="B230" s="1" t="n">
        <v>44558</v>
      </c>
      <c r="C230" s="1" t="n">
        <v>46200</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24351-2024</t>
        </is>
      </c>
      <c r="B231" s="1" t="n">
        <v>45457</v>
      </c>
      <c r="C231" s="1" t="n">
        <v>46200</v>
      </c>
      <c r="D231" t="inlineStr">
        <is>
          <t>ÖSTERGÖTLANDS LÄN</t>
        </is>
      </c>
      <c r="E231" t="inlineStr">
        <is>
          <t>LINKÖPING</t>
        </is>
      </c>
      <c r="G231" t="n">
        <v>11.9</v>
      </c>
      <c r="H231" t="n">
        <v>0</v>
      </c>
      <c r="I231" t="n">
        <v>0</v>
      </c>
      <c r="J231" t="n">
        <v>0</v>
      </c>
      <c r="K231" t="n">
        <v>0</v>
      </c>
      <c r="L231" t="n">
        <v>0</v>
      </c>
      <c r="M231" t="n">
        <v>0</v>
      </c>
      <c r="N231" t="n">
        <v>0</v>
      </c>
      <c r="O231" t="n">
        <v>0</v>
      </c>
      <c r="P231" t="n">
        <v>0</v>
      </c>
      <c r="Q231" t="n">
        <v>0</v>
      </c>
      <c r="R231" s="2" t="inlineStr"/>
    </row>
    <row r="232" ht="15" customHeight="1">
      <c r="A232" t="inlineStr">
        <is>
          <t>A 30855-2022</t>
        </is>
      </c>
      <c r="B232" s="1" t="n">
        <v>44767</v>
      </c>
      <c r="C232" s="1" t="n">
        <v>46200</v>
      </c>
      <c r="D232" t="inlineStr">
        <is>
          <t>ÖSTERGÖTLANDS LÄN</t>
        </is>
      </c>
      <c r="E232" t="inlineStr">
        <is>
          <t>LINKÖPING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34877-2023</t>
        </is>
      </c>
      <c r="B233" s="1" t="n">
        <v>45140</v>
      </c>
      <c r="C233" s="1" t="n">
        <v>46200</v>
      </c>
      <c r="D233" t="inlineStr">
        <is>
          <t>ÖSTERGÖTLANDS LÄN</t>
        </is>
      </c>
      <c r="E233" t="inlineStr">
        <is>
          <t>LINKÖPING</t>
        </is>
      </c>
      <c r="G233" t="n">
        <v>1.9</v>
      </c>
      <c r="H233" t="n">
        <v>0</v>
      </c>
      <c r="I233" t="n">
        <v>0</v>
      </c>
      <c r="J233" t="n">
        <v>0</v>
      </c>
      <c r="K233" t="n">
        <v>0</v>
      </c>
      <c r="L233" t="n">
        <v>0</v>
      </c>
      <c r="M233" t="n">
        <v>0</v>
      </c>
      <c r="N233" t="n">
        <v>0</v>
      </c>
      <c r="O233" t="n">
        <v>0</v>
      </c>
      <c r="P233" t="n">
        <v>0</v>
      </c>
      <c r="Q233" t="n">
        <v>0</v>
      </c>
      <c r="R233" s="2" t="inlineStr"/>
    </row>
    <row r="234" ht="15" customHeight="1">
      <c r="A234" t="inlineStr">
        <is>
          <t>A 30856-2022</t>
        </is>
      </c>
      <c r="B234" s="1" t="n">
        <v>44767</v>
      </c>
      <c r="C234" s="1" t="n">
        <v>46200</v>
      </c>
      <c r="D234" t="inlineStr">
        <is>
          <t>ÖSTERGÖTLANDS LÄN</t>
        </is>
      </c>
      <c r="E234" t="inlineStr">
        <is>
          <t>LINKÖPING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27766-2022</t>
        </is>
      </c>
      <c r="B235" s="1" t="n">
        <v>44743</v>
      </c>
      <c r="C235" s="1" t="n">
        <v>46200</v>
      </c>
      <c r="D235" t="inlineStr">
        <is>
          <t>ÖSTERGÖTLANDS LÄN</t>
        </is>
      </c>
      <c r="E235" t="inlineStr">
        <is>
          <t>LINKÖPING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53641-2023</t>
        </is>
      </c>
      <c r="B236" s="1" t="n">
        <v>45230</v>
      </c>
      <c r="C236" s="1" t="n">
        <v>46200</v>
      </c>
      <c r="D236" t="inlineStr">
        <is>
          <t>ÖSTERGÖTLANDS LÄN</t>
        </is>
      </c>
      <c r="E236" t="inlineStr">
        <is>
          <t>LINKÖPING</t>
        </is>
      </c>
      <c r="G236" t="n">
        <v>1.7</v>
      </c>
      <c r="H236" t="n">
        <v>0</v>
      </c>
      <c r="I236" t="n">
        <v>0</v>
      </c>
      <c r="J236" t="n">
        <v>0</v>
      </c>
      <c r="K236" t="n">
        <v>0</v>
      </c>
      <c r="L236" t="n">
        <v>0</v>
      </c>
      <c r="M236" t="n">
        <v>0</v>
      </c>
      <c r="N236" t="n">
        <v>0</v>
      </c>
      <c r="O236" t="n">
        <v>0</v>
      </c>
      <c r="P236" t="n">
        <v>0</v>
      </c>
      <c r="Q236" t="n">
        <v>0</v>
      </c>
      <c r="R236" s="2" t="inlineStr"/>
    </row>
    <row r="237" ht="15" customHeight="1">
      <c r="A237" t="inlineStr">
        <is>
          <t>A 33000-2023</t>
        </is>
      </c>
      <c r="B237" s="1" t="n">
        <v>45125</v>
      </c>
      <c r="C237" s="1" t="n">
        <v>46200</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52892-2024</t>
        </is>
      </c>
      <c r="B238" s="1" t="n">
        <v>45610</v>
      </c>
      <c r="C238" s="1" t="n">
        <v>46200</v>
      </c>
      <c r="D238" t="inlineStr">
        <is>
          <t>ÖSTERGÖTLANDS LÄN</t>
        </is>
      </c>
      <c r="E238" t="inlineStr">
        <is>
          <t>LINKÖPING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57745-2022</t>
        </is>
      </c>
      <c r="B239" s="1" t="n">
        <v>44897</v>
      </c>
      <c r="C239" s="1" t="n">
        <v>46200</v>
      </c>
      <c r="D239" t="inlineStr">
        <is>
          <t>ÖSTERGÖTLANDS LÄN</t>
        </is>
      </c>
      <c r="E239" t="inlineStr">
        <is>
          <t>LINKÖPING</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51191-2022</t>
        </is>
      </c>
      <c r="B240" s="1" t="n">
        <v>44865</v>
      </c>
      <c r="C240" s="1" t="n">
        <v>46200</v>
      </c>
      <c r="D240" t="inlineStr">
        <is>
          <t>ÖSTERGÖTLANDS LÄN</t>
        </is>
      </c>
      <c r="E240" t="inlineStr">
        <is>
          <t>LINKÖPING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1993-2023</t>
        </is>
      </c>
      <c r="B241" s="1" t="n">
        <v>44939</v>
      </c>
      <c r="C241" s="1" t="n">
        <v>46200</v>
      </c>
      <c r="D241" t="inlineStr">
        <is>
          <t>ÖSTERGÖTLANDS LÄN</t>
        </is>
      </c>
      <c r="E241" t="inlineStr">
        <is>
          <t>LINKÖPING</t>
        </is>
      </c>
      <c r="G241" t="n">
        <v>3.7</v>
      </c>
      <c r="H241" t="n">
        <v>0</v>
      </c>
      <c r="I241" t="n">
        <v>0</v>
      </c>
      <c r="J241" t="n">
        <v>0</v>
      </c>
      <c r="K241" t="n">
        <v>0</v>
      </c>
      <c r="L241" t="n">
        <v>0</v>
      </c>
      <c r="M241" t="n">
        <v>0</v>
      </c>
      <c r="N241" t="n">
        <v>0</v>
      </c>
      <c r="O241" t="n">
        <v>0</v>
      </c>
      <c r="P241" t="n">
        <v>0</v>
      </c>
      <c r="Q241" t="n">
        <v>0</v>
      </c>
      <c r="R241" s="2" t="inlineStr"/>
    </row>
    <row r="242" ht="15" customHeight="1">
      <c r="A242" t="inlineStr">
        <is>
          <t>A 12289-2025</t>
        </is>
      </c>
      <c r="B242" s="1" t="n">
        <v>45729</v>
      </c>
      <c r="C242" s="1" t="n">
        <v>46200</v>
      </c>
      <c r="D242" t="inlineStr">
        <is>
          <t>ÖSTERGÖTLANDS LÄN</t>
        </is>
      </c>
      <c r="E242" t="inlineStr">
        <is>
          <t>LINKÖPING</t>
        </is>
      </c>
      <c r="F242" t="inlineStr">
        <is>
          <t>Övriga statliga verk och myndigheter</t>
        </is>
      </c>
      <c r="G242" t="n">
        <v>6.5</v>
      </c>
      <c r="H242" t="n">
        <v>0</v>
      </c>
      <c r="I242" t="n">
        <v>0</v>
      </c>
      <c r="J242" t="n">
        <v>0</v>
      </c>
      <c r="K242" t="n">
        <v>0</v>
      </c>
      <c r="L242" t="n">
        <v>0</v>
      </c>
      <c r="M242" t="n">
        <v>0</v>
      </c>
      <c r="N242" t="n">
        <v>0</v>
      </c>
      <c r="O242" t="n">
        <v>0</v>
      </c>
      <c r="P242" t="n">
        <v>0</v>
      </c>
      <c r="Q242" t="n">
        <v>0</v>
      </c>
      <c r="R242" s="2" t="inlineStr"/>
    </row>
    <row r="243" ht="15" customHeight="1">
      <c r="A243" t="inlineStr">
        <is>
          <t>A 9434-2024</t>
        </is>
      </c>
      <c r="B243" s="1" t="n">
        <v>45359</v>
      </c>
      <c r="C243" s="1" t="n">
        <v>46200</v>
      </c>
      <c r="D243" t="inlineStr">
        <is>
          <t>ÖSTERGÖTLANDS LÄN</t>
        </is>
      </c>
      <c r="E243" t="inlineStr">
        <is>
          <t>LINKÖPING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52220-2023</t>
        </is>
      </c>
      <c r="B244" s="1" t="n">
        <v>45217</v>
      </c>
      <c r="C244" s="1" t="n">
        <v>46200</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52225-2023</t>
        </is>
      </c>
      <c r="B245" s="1" t="n">
        <v>45217</v>
      </c>
      <c r="C245" s="1" t="n">
        <v>46200</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50182-2023</t>
        </is>
      </c>
      <c r="B246" s="1" t="n">
        <v>45208</v>
      </c>
      <c r="C246" s="1" t="n">
        <v>46200</v>
      </c>
      <c r="D246" t="inlineStr">
        <is>
          <t>ÖSTERGÖTLANDS LÄN</t>
        </is>
      </c>
      <c r="E246" t="inlineStr">
        <is>
          <t>LINKÖPING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42832-2023</t>
        </is>
      </c>
      <c r="B247" s="1" t="n">
        <v>45182</v>
      </c>
      <c r="C247" s="1" t="n">
        <v>46200</v>
      </c>
      <c r="D247" t="inlineStr">
        <is>
          <t>ÖSTERGÖTLANDS LÄN</t>
        </is>
      </c>
      <c r="E247" t="inlineStr">
        <is>
          <t>LINKÖPING</t>
        </is>
      </c>
      <c r="G247" t="n">
        <v>2.5</v>
      </c>
      <c r="H247" t="n">
        <v>0</v>
      </c>
      <c r="I247" t="n">
        <v>0</v>
      </c>
      <c r="J247" t="n">
        <v>0</v>
      </c>
      <c r="K247" t="n">
        <v>0</v>
      </c>
      <c r="L247" t="n">
        <v>0</v>
      </c>
      <c r="M247" t="n">
        <v>0</v>
      </c>
      <c r="N247" t="n">
        <v>0</v>
      </c>
      <c r="O247" t="n">
        <v>0</v>
      </c>
      <c r="P247" t="n">
        <v>0</v>
      </c>
      <c r="Q247" t="n">
        <v>0</v>
      </c>
      <c r="R247" s="2" t="inlineStr"/>
    </row>
    <row r="248" ht="15" customHeight="1">
      <c r="A248" t="inlineStr">
        <is>
          <t>A 56560-2023</t>
        </is>
      </c>
      <c r="B248" s="1" t="n">
        <v>45238</v>
      </c>
      <c r="C248" s="1" t="n">
        <v>46200</v>
      </c>
      <c r="D248" t="inlineStr">
        <is>
          <t>ÖSTERGÖTLANDS LÄN</t>
        </is>
      </c>
      <c r="E248" t="inlineStr">
        <is>
          <t>LINKÖPING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52412-2023</t>
        </is>
      </c>
      <c r="B249" s="1" t="n">
        <v>45225</v>
      </c>
      <c r="C249" s="1" t="n">
        <v>46200</v>
      </c>
      <c r="D249" t="inlineStr">
        <is>
          <t>ÖSTERGÖTLANDS LÄN</t>
        </is>
      </c>
      <c r="E249" t="inlineStr">
        <is>
          <t>LINKÖPING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52413-2023</t>
        </is>
      </c>
      <c r="B250" s="1" t="n">
        <v>45225</v>
      </c>
      <c r="C250" s="1" t="n">
        <v>46200</v>
      </c>
      <c r="D250" t="inlineStr">
        <is>
          <t>ÖSTERGÖTLANDS LÄN</t>
        </is>
      </c>
      <c r="E250" t="inlineStr">
        <is>
          <t>LINKÖPING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63554-2023</t>
        </is>
      </c>
      <c r="B251" s="1" t="n">
        <v>45275</v>
      </c>
      <c r="C251" s="1" t="n">
        <v>46200</v>
      </c>
      <c r="D251" t="inlineStr">
        <is>
          <t>ÖSTERGÖTLANDS LÄN</t>
        </is>
      </c>
      <c r="E251" t="inlineStr">
        <is>
          <t>LINKÖPING</t>
        </is>
      </c>
      <c r="G251" t="n">
        <v>4.3</v>
      </c>
      <c r="H251" t="n">
        <v>0</v>
      </c>
      <c r="I251" t="n">
        <v>0</v>
      </c>
      <c r="J251" t="n">
        <v>0</v>
      </c>
      <c r="K251" t="n">
        <v>0</v>
      </c>
      <c r="L251" t="n">
        <v>0</v>
      </c>
      <c r="M251" t="n">
        <v>0</v>
      </c>
      <c r="N251" t="n">
        <v>0</v>
      </c>
      <c r="O251" t="n">
        <v>0</v>
      </c>
      <c r="P251" t="n">
        <v>0</v>
      </c>
      <c r="Q251" t="n">
        <v>0</v>
      </c>
      <c r="R251" s="2" t="inlineStr"/>
    </row>
    <row r="252" ht="15" customHeight="1">
      <c r="A252" t="inlineStr">
        <is>
          <t>A 35781-2023</t>
        </is>
      </c>
      <c r="B252" s="1" t="n">
        <v>45147</v>
      </c>
      <c r="C252" s="1" t="n">
        <v>46200</v>
      </c>
      <c r="D252" t="inlineStr">
        <is>
          <t>ÖSTERGÖTLANDS LÄN</t>
        </is>
      </c>
      <c r="E252" t="inlineStr">
        <is>
          <t>LINKÖPING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6387-2022</t>
        </is>
      </c>
      <c r="B253" s="1" t="n">
        <v>44600</v>
      </c>
      <c r="C253" s="1" t="n">
        <v>46200</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48707-2023</t>
        </is>
      </c>
      <c r="B254" s="1" t="n">
        <v>45202</v>
      </c>
      <c r="C254" s="1" t="n">
        <v>46200</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63638-2023</t>
        </is>
      </c>
      <c r="B255" s="1" t="n">
        <v>45275</v>
      </c>
      <c r="C255" s="1" t="n">
        <v>46200</v>
      </c>
      <c r="D255" t="inlineStr">
        <is>
          <t>ÖSTERGÖTLANDS LÄN</t>
        </is>
      </c>
      <c r="E255" t="inlineStr">
        <is>
          <t>LINKÖPING</t>
        </is>
      </c>
      <c r="F255" t="inlineStr">
        <is>
          <t>Övriga Aktiebolag</t>
        </is>
      </c>
      <c r="G255" t="n">
        <v>2.4</v>
      </c>
      <c r="H255" t="n">
        <v>0</v>
      </c>
      <c r="I255" t="n">
        <v>0</v>
      </c>
      <c r="J255" t="n">
        <v>0</v>
      </c>
      <c r="K255" t="n">
        <v>0</v>
      </c>
      <c r="L255" t="n">
        <v>0</v>
      </c>
      <c r="M255" t="n">
        <v>0</v>
      </c>
      <c r="N255" t="n">
        <v>0</v>
      </c>
      <c r="O255" t="n">
        <v>0</v>
      </c>
      <c r="P255" t="n">
        <v>0</v>
      </c>
      <c r="Q255" t="n">
        <v>0</v>
      </c>
      <c r="R255" s="2" t="inlineStr"/>
    </row>
    <row r="256" ht="15" customHeight="1">
      <c r="A256" t="inlineStr">
        <is>
          <t>A 63658-2023</t>
        </is>
      </c>
      <c r="B256" s="1" t="n">
        <v>45275</v>
      </c>
      <c r="C256" s="1" t="n">
        <v>46200</v>
      </c>
      <c r="D256" t="inlineStr">
        <is>
          <t>ÖSTERGÖTLANDS LÄN</t>
        </is>
      </c>
      <c r="E256" t="inlineStr">
        <is>
          <t>LINKÖPING</t>
        </is>
      </c>
      <c r="F256" t="inlineStr">
        <is>
          <t>Övriga Aktiebolag</t>
        </is>
      </c>
      <c r="G256" t="n">
        <v>1.5</v>
      </c>
      <c r="H256" t="n">
        <v>0</v>
      </c>
      <c r="I256" t="n">
        <v>0</v>
      </c>
      <c r="J256" t="n">
        <v>0</v>
      </c>
      <c r="K256" t="n">
        <v>0</v>
      </c>
      <c r="L256" t="n">
        <v>0</v>
      </c>
      <c r="M256" t="n">
        <v>0</v>
      </c>
      <c r="N256" t="n">
        <v>0</v>
      </c>
      <c r="O256" t="n">
        <v>0</v>
      </c>
      <c r="P256" t="n">
        <v>0</v>
      </c>
      <c r="Q256" t="n">
        <v>0</v>
      </c>
      <c r="R256" s="2" t="inlineStr"/>
    </row>
    <row r="257" ht="15" customHeight="1">
      <c r="A257" t="inlineStr">
        <is>
          <t>A 16820-2024</t>
        </is>
      </c>
      <c r="B257" s="1" t="n">
        <v>45411</v>
      </c>
      <c r="C257" s="1" t="n">
        <v>46200</v>
      </c>
      <c r="D257" t="inlineStr">
        <is>
          <t>ÖSTERGÖTLANDS LÄN</t>
        </is>
      </c>
      <c r="E257" t="inlineStr">
        <is>
          <t>LINKÖPING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55945-2024</t>
        </is>
      </c>
      <c r="B258" s="1" t="n">
        <v>45623</v>
      </c>
      <c r="C258" s="1" t="n">
        <v>46200</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34928-2023</t>
        </is>
      </c>
      <c r="B259" s="1" t="n">
        <v>45142</v>
      </c>
      <c r="C259" s="1" t="n">
        <v>46200</v>
      </c>
      <c r="D259" t="inlineStr">
        <is>
          <t>ÖSTERGÖTLANDS LÄN</t>
        </is>
      </c>
      <c r="E259" t="inlineStr">
        <is>
          <t>LINKÖPING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1263-2024</t>
        </is>
      </c>
      <c r="B260" s="1" t="n">
        <v>45302</v>
      </c>
      <c r="C260" s="1" t="n">
        <v>46200</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52531-2023</t>
        </is>
      </c>
      <c r="B261" s="1" t="n">
        <v>45225</v>
      </c>
      <c r="C261" s="1" t="n">
        <v>46200</v>
      </c>
      <c r="D261" t="inlineStr">
        <is>
          <t>ÖSTERGÖTLANDS LÄN</t>
        </is>
      </c>
      <c r="E261" t="inlineStr">
        <is>
          <t>LINKÖPING</t>
        </is>
      </c>
      <c r="F261" t="inlineStr">
        <is>
          <t>Övriga Aktiebolag</t>
        </is>
      </c>
      <c r="G261" t="n">
        <v>1</v>
      </c>
      <c r="H261" t="n">
        <v>0</v>
      </c>
      <c r="I261" t="n">
        <v>0</v>
      </c>
      <c r="J261" t="n">
        <v>0</v>
      </c>
      <c r="K261" t="n">
        <v>0</v>
      </c>
      <c r="L261" t="n">
        <v>0</v>
      </c>
      <c r="M261" t="n">
        <v>0</v>
      </c>
      <c r="N261" t="n">
        <v>0</v>
      </c>
      <c r="O261" t="n">
        <v>0</v>
      </c>
      <c r="P261" t="n">
        <v>0</v>
      </c>
      <c r="Q261" t="n">
        <v>0</v>
      </c>
      <c r="R261" s="2" t="inlineStr"/>
    </row>
    <row r="262" ht="15" customHeight="1">
      <c r="A262" t="inlineStr">
        <is>
          <t>A 12089-2025</t>
        </is>
      </c>
      <c r="B262" s="1" t="n">
        <v>45729</v>
      </c>
      <c r="C262" s="1" t="n">
        <v>46200</v>
      </c>
      <c r="D262" t="inlineStr">
        <is>
          <t>ÖSTERGÖTLANDS LÄN</t>
        </is>
      </c>
      <c r="E262" t="inlineStr">
        <is>
          <t>LINKÖPING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15658-2023</t>
        </is>
      </c>
      <c r="B263" s="1" t="n">
        <v>45021</v>
      </c>
      <c r="C263" s="1" t="n">
        <v>46200</v>
      </c>
      <c r="D263" t="inlineStr">
        <is>
          <t>ÖSTERGÖTLANDS LÄN</t>
        </is>
      </c>
      <c r="E263" t="inlineStr">
        <is>
          <t>LINKÖPING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20293-2025</t>
        </is>
      </c>
      <c r="B264" s="1" t="n">
        <v>45774</v>
      </c>
      <c r="C264" s="1" t="n">
        <v>46200</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15121-2022</t>
        </is>
      </c>
      <c r="B265" s="1" t="n">
        <v>44658</v>
      </c>
      <c r="C265" s="1" t="n">
        <v>46200</v>
      </c>
      <c r="D265" t="inlineStr">
        <is>
          <t>ÖSTERGÖTLANDS LÄN</t>
        </is>
      </c>
      <c r="E265" t="inlineStr">
        <is>
          <t>LINKÖPING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50743-2023</t>
        </is>
      </c>
      <c r="B266" s="1" t="n">
        <v>45217</v>
      </c>
      <c r="C266" s="1" t="n">
        <v>46200</v>
      </c>
      <c r="D266" t="inlineStr">
        <is>
          <t>ÖSTERGÖTLANDS LÄN</t>
        </is>
      </c>
      <c r="E266" t="inlineStr">
        <is>
          <t>LINKÖPING</t>
        </is>
      </c>
      <c r="G266" t="n">
        <v>2.7</v>
      </c>
      <c r="H266" t="n">
        <v>0</v>
      </c>
      <c r="I266" t="n">
        <v>0</v>
      </c>
      <c r="J266" t="n">
        <v>0</v>
      </c>
      <c r="K266" t="n">
        <v>0</v>
      </c>
      <c r="L266" t="n">
        <v>0</v>
      </c>
      <c r="M266" t="n">
        <v>0</v>
      </c>
      <c r="N266" t="n">
        <v>0</v>
      </c>
      <c r="O266" t="n">
        <v>0</v>
      </c>
      <c r="P266" t="n">
        <v>0</v>
      </c>
      <c r="Q266" t="n">
        <v>0</v>
      </c>
      <c r="R266" s="2" t="inlineStr"/>
    </row>
    <row r="267" ht="15" customHeight="1">
      <c r="A267" t="inlineStr">
        <is>
          <t>A 64694-2023</t>
        </is>
      </c>
      <c r="B267" s="1" t="n">
        <v>45281</v>
      </c>
      <c r="C267" s="1" t="n">
        <v>46200</v>
      </c>
      <c r="D267" t="inlineStr">
        <is>
          <t>ÖSTERGÖTLANDS LÄN</t>
        </is>
      </c>
      <c r="E267" t="inlineStr">
        <is>
          <t>LINKÖPING</t>
        </is>
      </c>
      <c r="F267" t="inlineStr">
        <is>
          <t>Övriga statliga verk och myndigheter</t>
        </is>
      </c>
      <c r="G267" t="n">
        <v>4.9</v>
      </c>
      <c r="H267" t="n">
        <v>0</v>
      </c>
      <c r="I267" t="n">
        <v>0</v>
      </c>
      <c r="J267" t="n">
        <v>0</v>
      </c>
      <c r="K267" t="n">
        <v>0</v>
      </c>
      <c r="L267" t="n">
        <v>0</v>
      </c>
      <c r="M267" t="n">
        <v>0</v>
      </c>
      <c r="N267" t="n">
        <v>0</v>
      </c>
      <c r="O267" t="n">
        <v>0</v>
      </c>
      <c r="P267" t="n">
        <v>0</v>
      </c>
      <c r="Q267" t="n">
        <v>0</v>
      </c>
      <c r="R267" s="2" t="inlineStr"/>
    </row>
    <row r="268" ht="15" customHeight="1">
      <c r="A268" t="inlineStr">
        <is>
          <t>A 32602-2022</t>
        </is>
      </c>
      <c r="B268" s="1" t="n">
        <v>44783</v>
      </c>
      <c r="C268" s="1" t="n">
        <v>46200</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13687-2025</t>
        </is>
      </c>
      <c r="B269" s="1" t="n">
        <v>45737</v>
      </c>
      <c r="C269" s="1" t="n">
        <v>46200</v>
      </c>
      <c r="D269" t="inlineStr">
        <is>
          <t>ÖSTERGÖTLANDS LÄN</t>
        </is>
      </c>
      <c r="E269" t="inlineStr">
        <is>
          <t>LINKÖPING</t>
        </is>
      </c>
      <c r="G269" t="n">
        <v>2.7</v>
      </c>
      <c r="H269" t="n">
        <v>0</v>
      </c>
      <c r="I269" t="n">
        <v>0</v>
      </c>
      <c r="J269" t="n">
        <v>0</v>
      </c>
      <c r="K269" t="n">
        <v>0</v>
      </c>
      <c r="L269" t="n">
        <v>0</v>
      </c>
      <c r="M269" t="n">
        <v>0</v>
      </c>
      <c r="N269" t="n">
        <v>0</v>
      </c>
      <c r="O269" t="n">
        <v>0</v>
      </c>
      <c r="P269" t="n">
        <v>0</v>
      </c>
      <c r="Q269" t="n">
        <v>0</v>
      </c>
      <c r="R269" s="2" t="inlineStr"/>
    </row>
    <row r="270" ht="15" customHeight="1">
      <c r="A270" t="inlineStr">
        <is>
          <t>A 13695-2025</t>
        </is>
      </c>
      <c r="B270" s="1" t="n">
        <v>45737</v>
      </c>
      <c r="C270" s="1" t="n">
        <v>46200</v>
      </c>
      <c r="D270" t="inlineStr">
        <is>
          <t>ÖSTERGÖTLANDS LÄN</t>
        </is>
      </c>
      <c r="E270" t="inlineStr">
        <is>
          <t>LINKÖPING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20294-2025</t>
        </is>
      </c>
      <c r="B271" s="1" t="n">
        <v>45774</v>
      </c>
      <c r="C271" s="1" t="n">
        <v>46200</v>
      </c>
      <c r="D271" t="inlineStr">
        <is>
          <t>ÖSTERGÖTLANDS LÄN</t>
        </is>
      </c>
      <c r="E271" t="inlineStr">
        <is>
          <t>LINKÖPING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50963-2021</t>
        </is>
      </c>
      <c r="B272" s="1" t="n">
        <v>44460</v>
      </c>
      <c r="C272" s="1" t="n">
        <v>46200</v>
      </c>
      <c r="D272" t="inlineStr">
        <is>
          <t>ÖSTERGÖTLANDS LÄN</t>
        </is>
      </c>
      <c r="E272" t="inlineStr">
        <is>
          <t>LINKÖPING</t>
        </is>
      </c>
      <c r="G272" t="n">
        <v>4.4</v>
      </c>
      <c r="H272" t="n">
        <v>0</v>
      </c>
      <c r="I272" t="n">
        <v>0</v>
      </c>
      <c r="J272" t="n">
        <v>0</v>
      </c>
      <c r="K272" t="n">
        <v>0</v>
      </c>
      <c r="L272" t="n">
        <v>0</v>
      </c>
      <c r="M272" t="n">
        <v>0</v>
      </c>
      <c r="N272" t="n">
        <v>0</v>
      </c>
      <c r="O272" t="n">
        <v>0</v>
      </c>
      <c r="P272" t="n">
        <v>0</v>
      </c>
      <c r="Q272" t="n">
        <v>0</v>
      </c>
      <c r="R272" s="2" t="inlineStr"/>
    </row>
    <row r="273" ht="15" customHeight="1">
      <c r="A273" t="inlineStr">
        <is>
          <t>A 61307-2021</t>
        </is>
      </c>
      <c r="B273" s="1" t="n">
        <v>44498</v>
      </c>
      <c r="C273" s="1" t="n">
        <v>46200</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61325-2021</t>
        </is>
      </c>
      <c r="B274" s="1" t="n">
        <v>44498</v>
      </c>
      <c r="C274" s="1" t="n">
        <v>46200</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63665-2023</t>
        </is>
      </c>
      <c r="B275" s="1" t="n">
        <v>45275</v>
      </c>
      <c r="C275" s="1" t="n">
        <v>46200</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33867-2023</t>
        </is>
      </c>
      <c r="B276" s="1" t="n">
        <v>45133</v>
      </c>
      <c r="C276" s="1" t="n">
        <v>46200</v>
      </c>
      <c r="D276" t="inlineStr">
        <is>
          <t>ÖSTERGÖTLANDS LÄN</t>
        </is>
      </c>
      <c r="E276" t="inlineStr">
        <is>
          <t>LINKÖPING</t>
        </is>
      </c>
      <c r="G276" t="n">
        <v>2.3</v>
      </c>
      <c r="H276" t="n">
        <v>0</v>
      </c>
      <c r="I276" t="n">
        <v>0</v>
      </c>
      <c r="J276" t="n">
        <v>0</v>
      </c>
      <c r="K276" t="n">
        <v>0</v>
      </c>
      <c r="L276" t="n">
        <v>0</v>
      </c>
      <c r="M276" t="n">
        <v>0</v>
      </c>
      <c r="N276" t="n">
        <v>0</v>
      </c>
      <c r="O276" t="n">
        <v>0</v>
      </c>
      <c r="P276" t="n">
        <v>0</v>
      </c>
      <c r="Q276" t="n">
        <v>0</v>
      </c>
      <c r="R276" s="2" t="inlineStr"/>
    </row>
    <row r="277" ht="15" customHeight="1">
      <c r="A277" t="inlineStr">
        <is>
          <t>A 267-2023</t>
        </is>
      </c>
      <c r="B277" s="1" t="n">
        <v>44928</v>
      </c>
      <c r="C277" s="1" t="n">
        <v>46200</v>
      </c>
      <c r="D277" t="inlineStr">
        <is>
          <t>ÖSTERGÖTLANDS LÄN</t>
        </is>
      </c>
      <c r="E277" t="inlineStr">
        <is>
          <t>LINKÖPING</t>
        </is>
      </c>
      <c r="G277" t="n">
        <v>2.7</v>
      </c>
      <c r="H277" t="n">
        <v>0</v>
      </c>
      <c r="I277" t="n">
        <v>0</v>
      </c>
      <c r="J277" t="n">
        <v>0</v>
      </c>
      <c r="K277" t="n">
        <v>0</v>
      </c>
      <c r="L277" t="n">
        <v>0</v>
      </c>
      <c r="M277" t="n">
        <v>0</v>
      </c>
      <c r="N277" t="n">
        <v>0</v>
      </c>
      <c r="O277" t="n">
        <v>0</v>
      </c>
      <c r="P277" t="n">
        <v>0</v>
      </c>
      <c r="Q277" t="n">
        <v>0</v>
      </c>
      <c r="R277" s="2" t="inlineStr"/>
    </row>
    <row r="278" ht="15" customHeight="1">
      <c r="A278" t="inlineStr">
        <is>
          <t>A 940-2023</t>
        </is>
      </c>
      <c r="B278" s="1" t="n">
        <v>44933</v>
      </c>
      <c r="C278" s="1" t="n">
        <v>46200</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30980-2022</t>
        </is>
      </c>
      <c r="B279" s="1" t="n">
        <v>44768</v>
      </c>
      <c r="C279" s="1" t="n">
        <v>46200</v>
      </c>
      <c r="D279" t="inlineStr">
        <is>
          <t>ÖSTERGÖTLANDS LÄN</t>
        </is>
      </c>
      <c r="E279" t="inlineStr">
        <is>
          <t>LINKÖPING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60007-2022</t>
        </is>
      </c>
      <c r="B280" s="1" t="n">
        <v>44909</v>
      </c>
      <c r="C280" s="1" t="n">
        <v>46200</v>
      </c>
      <c r="D280" t="inlineStr">
        <is>
          <t>ÖSTERGÖTLANDS LÄN</t>
        </is>
      </c>
      <c r="E280" t="inlineStr">
        <is>
          <t>LINKÖPING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50799-2022</t>
        </is>
      </c>
      <c r="B281" s="1" t="n">
        <v>44862</v>
      </c>
      <c r="C281" s="1" t="n">
        <v>46200</v>
      </c>
      <c r="D281" t="inlineStr">
        <is>
          <t>ÖSTERGÖTLANDS LÄN</t>
        </is>
      </c>
      <c r="E281" t="inlineStr">
        <is>
          <t>LINKÖPING</t>
        </is>
      </c>
      <c r="G281" t="n">
        <v>0.9</v>
      </c>
      <c r="H281" t="n">
        <v>0</v>
      </c>
      <c r="I281" t="n">
        <v>0</v>
      </c>
      <c r="J281" t="n">
        <v>0</v>
      </c>
      <c r="K281" t="n">
        <v>0</v>
      </c>
      <c r="L281" t="n">
        <v>0</v>
      </c>
      <c r="M281" t="n">
        <v>0</v>
      </c>
      <c r="N281" t="n">
        <v>0</v>
      </c>
      <c r="O281" t="n">
        <v>0</v>
      </c>
      <c r="P281" t="n">
        <v>0</v>
      </c>
      <c r="Q281" t="n">
        <v>0</v>
      </c>
      <c r="R281" s="2" t="inlineStr"/>
    </row>
    <row r="282" ht="15" customHeight="1">
      <c r="A282" t="inlineStr">
        <is>
          <t>A 38317-2024</t>
        </is>
      </c>
      <c r="B282" s="1" t="n">
        <v>45545</v>
      </c>
      <c r="C282" s="1" t="n">
        <v>46200</v>
      </c>
      <c r="D282" t="inlineStr">
        <is>
          <t>ÖSTERGÖTLANDS LÄN</t>
        </is>
      </c>
      <c r="E282" t="inlineStr">
        <is>
          <t>LINKÖPING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56064-2022</t>
        </is>
      </c>
      <c r="B283" s="1" t="n">
        <v>44889</v>
      </c>
      <c r="C283" s="1" t="n">
        <v>46200</v>
      </c>
      <c r="D283" t="inlineStr">
        <is>
          <t>ÖSTERGÖTLANDS LÄN</t>
        </is>
      </c>
      <c r="E283" t="inlineStr">
        <is>
          <t>LINKÖPING</t>
        </is>
      </c>
      <c r="F283" t="inlineStr">
        <is>
          <t>Sveaskog</t>
        </is>
      </c>
      <c r="G283" t="n">
        <v>2</v>
      </c>
      <c r="H283" t="n">
        <v>0</v>
      </c>
      <c r="I283" t="n">
        <v>0</v>
      </c>
      <c r="J283" t="n">
        <v>0</v>
      </c>
      <c r="K283" t="n">
        <v>0</v>
      </c>
      <c r="L283" t="n">
        <v>0</v>
      </c>
      <c r="M283" t="n">
        <v>0</v>
      </c>
      <c r="N283" t="n">
        <v>0</v>
      </c>
      <c r="O283" t="n">
        <v>0</v>
      </c>
      <c r="P283" t="n">
        <v>0</v>
      </c>
      <c r="Q283" t="n">
        <v>0</v>
      </c>
      <c r="R283" s="2" t="inlineStr"/>
    </row>
    <row r="284" ht="15" customHeight="1">
      <c r="A284" t="inlineStr">
        <is>
          <t>A 47703-2023</t>
        </is>
      </c>
      <c r="B284" s="1" t="n">
        <v>45203</v>
      </c>
      <c r="C284" s="1" t="n">
        <v>46200</v>
      </c>
      <c r="D284" t="inlineStr">
        <is>
          <t>ÖSTERGÖTLANDS LÄN</t>
        </is>
      </c>
      <c r="E284" t="inlineStr">
        <is>
          <t>LINKÖPING</t>
        </is>
      </c>
      <c r="G284" t="n">
        <v>4.1</v>
      </c>
      <c r="H284" t="n">
        <v>0</v>
      </c>
      <c r="I284" t="n">
        <v>0</v>
      </c>
      <c r="J284" t="n">
        <v>0</v>
      </c>
      <c r="K284" t="n">
        <v>0</v>
      </c>
      <c r="L284" t="n">
        <v>0</v>
      </c>
      <c r="M284" t="n">
        <v>0</v>
      </c>
      <c r="N284" t="n">
        <v>0</v>
      </c>
      <c r="O284" t="n">
        <v>0</v>
      </c>
      <c r="P284" t="n">
        <v>0</v>
      </c>
      <c r="Q284" t="n">
        <v>0</v>
      </c>
      <c r="R284" s="2" t="inlineStr"/>
    </row>
    <row r="285" ht="15" customHeight="1">
      <c r="A285" t="inlineStr">
        <is>
          <t>A 52125-2022</t>
        </is>
      </c>
      <c r="B285" s="1" t="n">
        <v>44873</v>
      </c>
      <c r="C285" s="1" t="n">
        <v>46200</v>
      </c>
      <c r="D285" t="inlineStr">
        <is>
          <t>ÖSTERGÖTLANDS LÄN</t>
        </is>
      </c>
      <c r="E285" t="inlineStr">
        <is>
          <t>LINKÖPING</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16111-2022</t>
        </is>
      </c>
      <c r="B286" s="1" t="n">
        <v>44665</v>
      </c>
      <c r="C286" s="1" t="n">
        <v>46200</v>
      </c>
      <c r="D286" t="inlineStr">
        <is>
          <t>ÖSTERGÖTLANDS LÄN</t>
        </is>
      </c>
      <c r="E286" t="inlineStr">
        <is>
          <t>LINKÖPING</t>
        </is>
      </c>
      <c r="F286" t="inlineStr">
        <is>
          <t>Övriga Aktiebolag</t>
        </is>
      </c>
      <c r="G286" t="n">
        <v>2.9</v>
      </c>
      <c r="H286" t="n">
        <v>0</v>
      </c>
      <c r="I286" t="n">
        <v>0</v>
      </c>
      <c r="J286" t="n">
        <v>0</v>
      </c>
      <c r="K286" t="n">
        <v>0</v>
      </c>
      <c r="L286" t="n">
        <v>0</v>
      </c>
      <c r="M286" t="n">
        <v>0</v>
      </c>
      <c r="N286" t="n">
        <v>0</v>
      </c>
      <c r="O286" t="n">
        <v>0</v>
      </c>
      <c r="P286" t="n">
        <v>0</v>
      </c>
      <c r="Q286" t="n">
        <v>0</v>
      </c>
      <c r="R286" s="2" t="inlineStr"/>
    </row>
    <row r="287" ht="15" customHeight="1">
      <c r="A287" t="inlineStr">
        <is>
          <t>A 27343-2023</t>
        </is>
      </c>
      <c r="B287" s="1" t="n">
        <v>45096</v>
      </c>
      <c r="C287" s="1" t="n">
        <v>46200</v>
      </c>
      <c r="D287" t="inlineStr">
        <is>
          <t>ÖSTERGÖTLANDS LÄN</t>
        </is>
      </c>
      <c r="E287" t="inlineStr">
        <is>
          <t>LINKÖPING</t>
        </is>
      </c>
      <c r="F287" t="inlineStr">
        <is>
          <t>Allmännings- och besparingsskogar</t>
        </is>
      </c>
      <c r="G287" t="n">
        <v>6.9</v>
      </c>
      <c r="H287" t="n">
        <v>0</v>
      </c>
      <c r="I287" t="n">
        <v>0</v>
      </c>
      <c r="J287" t="n">
        <v>0</v>
      </c>
      <c r="K287" t="n">
        <v>0</v>
      </c>
      <c r="L287" t="n">
        <v>0</v>
      </c>
      <c r="M287" t="n">
        <v>0</v>
      </c>
      <c r="N287" t="n">
        <v>0</v>
      </c>
      <c r="O287" t="n">
        <v>0</v>
      </c>
      <c r="P287" t="n">
        <v>0</v>
      </c>
      <c r="Q287" t="n">
        <v>0</v>
      </c>
      <c r="R287" s="2" t="inlineStr"/>
    </row>
    <row r="288" ht="15" customHeight="1">
      <c r="A288" t="inlineStr">
        <is>
          <t>A 48962-2022</t>
        </is>
      </c>
      <c r="B288" s="1" t="n">
        <v>44860</v>
      </c>
      <c r="C288" s="1" t="n">
        <v>46200</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58947-2022</t>
        </is>
      </c>
      <c r="B289" s="1" t="n">
        <v>44903</v>
      </c>
      <c r="C289" s="1" t="n">
        <v>46200</v>
      </c>
      <c r="D289" t="inlineStr">
        <is>
          <t>ÖSTERGÖTLANDS LÄN</t>
        </is>
      </c>
      <c r="E289" t="inlineStr">
        <is>
          <t>LINKÖPING</t>
        </is>
      </c>
      <c r="G289" t="n">
        <v>4</v>
      </c>
      <c r="H289" t="n">
        <v>0</v>
      </c>
      <c r="I289" t="n">
        <v>0</v>
      </c>
      <c r="J289" t="n">
        <v>0</v>
      </c>
      <c r="K289" t="n">
        <v>0</v>
      </c>
      <c r="L289" t="n">
        <v>0</v>
      </c>
      <c r="M289" t="n">
        <v>0</v>
      </c>
      <c r="N289" t="n">
        <v>0</v>
      </c>
      <c r="O289" t="n">
        <v>0</v>
      </c>
      <c r="P289" t="n">
        <v>0</v>
      </c>
      <c r="Q289" t="n">
        <v>0</v>
      </c>
      <c r="R289" s="2" t="inlineStr"/>
    </row>
    <row r="290" ht="15" customHeight="1">
      <c r="A290" t="inlineStr">
        <is>
          <t>A 40338-2024</t>
        </is>
      </c>
      <c r="B290" s="1" t="n">
        <v>45555</v>
      </c>
      <c r="C290" s="1" t="n">
        <v>46200</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14520-2025</t>
        </is>
      </c>
      <c r="B291" s="1" t="n">
        <v>45741</v>
      </c>
      <c r="C291" s="1" t="n">
        <v>46200</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31548-2022</t>
        </is>
      </c>
      <c r="B292" s="1" t="n">
        <v>44775</v>
      </c>
      <c r="C292" s="1" t="n">
        <v>46200</v>
      </c>
      <c r="D292" t="inlineStr">
        <is>
          <t>ÖSTERGÖTLANDS LÄN</t>
        </is>
      </c>
      <c r="E292" t="inlineStr">
        <is>
          <t>LINKÖPING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7343-2025</t>
        </is>
      </c>
      <c r="B293" s="1" t="n">
        <v>45703</v>
      </c>
      <c r="C293" s="1" t="n">
        <v>46200</v>
      </c>
      <c r="D293" t="inlineStr">
        <is>
          <t>ÖSTERGÖTLANDS LÄN</t>
        </is>
      </c>
      <c r="E293" t="inlineStr">
        <is>
          <t>LINKÖPING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34641-2022</t>
        </is>
      </c>
      <c r="B294" s="1" t="n">
        <v>44795</v>
      </c>
      <c r="C294" s="1" t="n">
        <v>46200</v>
      </c>
      <c r="D294" t="inlineStr">
        <is>
          <t>ÖSTERGÖTLANDS LÄN</t>
        </is>
      </c>
      <c r="E294" t="inlineStr">
        <is>
          <t>LINKÖPING</t>
        </is>
      </c>
      <c r="G294" t="n">
        <v>2.4</v>
      </c>
      <c r="H294" t="n">
        <v>0</v>
      </c>
      <c r="I294" t="n">
        <v>0</v>
      </c>
      <c r="J294" t="n">
        <v>0</v>
      </c>
      <c r="K294" t="n">
        <v>0</v>
      </c>
      <c r="L294" t="n">
        <v>0</v>
      </c>
      <c r="M294" t="n">
        <v>0</v>
      </c>
      <c r="N294" t="n">
        <v>0</v>
      </c>
      <c r="O294" t="n">
        <v>0</v>
      </c>
      <c r="P294" t="n">
        <v>0</v>
      </c>
      <c r="Q294" t="n">
        <v>0</v>
      </c>
      <c r="R294" s="2" t="inlineStr"/>
    </row>
    <row r="295" ht="15" customHeight="1">
      <c r="A295" t="inlineStr">
        <is>
          <t>A 62017-2024</t>
        </is>
      </c>
      <c r="B295" s="1" t="n">
        <v>45655</v>
      </c>
      <c r="C295" s="1" t="n">
        <v>46200</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16665-2023</t>
        </is>
      </c>
      <c r="B296" s="1" t="n">
        <v>45030</v>
      </c>
      <c r="C296" s="1" t="n">
        <v>46200</v>
      </c>
      <c r="D296" t="inlineStr">
        <is>
          <t>ÖSTERGÖTLANDS LÄN</t>
        </is>
      </c>
      <c r="E296" t="inlineStr">
        <is>
          <t>LINKÖPING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938-2023</t>
        </is>
      </c>
      <c r="B297" s="1" t="n">
        <v>44933</v>
      </c>
      <c r="C297" s="1" t="n">
        <v>46200</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48271-2023</t>
        </is>
      </c>
      <c r="B298" s="1" t="n">
        <v>45205</v>
      </c>
      <c r="C298" s="1" t="n">
        <v>46200</v>
      </c>
      <c r="D298" t="inlineStr">
        <is>
          <t>ÖSTERGÖTLANDS LÄN</t>
        </is>
      </c>
      <c r="E298" t="inlineStr">
        <is>
          <t>LINKÖPING</t>
        </is>
      </c>
      <c r="G298" t="n">
        <v>3</v>
      </c>
      <c r="H298" t="n">
        <v>0</v>
      </c>
      <c r="I298" t="n">
        <v>0</v>
      </c>
      <c r="J298" t="n">
        <v>0</v>
      </c>
      <c r="K298" t="n">
        <v>0</v>
      </c>
      <c r="L298" t="n">
        <v>0</v>
      </c>
      <c r="M298" t="n">
        <v>0</v>
      </c>
      <c r="N298" t="n">
        <v>0</v>
      </c>
      <c r="O298" t="n">
        <v>0</v>
      </c>
      <c r="P298" t="n">
        <v>0</v>
      </c>
      <c r="Q298" t="n">
        <v>0</v>
      </c>
      <c r="R298" s="2" t="inlineStr"/>
    </row>
    <row r="299" ht="15" customHeight="1">
      <c r="A299" t="inlineStr">
        <is>
          <t>A 17785-2023</t>
        </is>
      </c>
      <c r="B299" s="1" t="n">
        <v>45037</v>
      </c>
      <c r="C299" s="1" t="n">
        <v>46200</v>
      </c>
      <c r="D299" t="inlineStr">
        <is>
          <t>ÖSTERGÖTLANDS LÄN</t>
        </is>
      </c>
      <c r="E299" t="inlineStr">
        <is>
          <t>LINKÖPING</t>
        </is>
      </c>
      <c r="F299" t="inlineStr">
        <is>
          <t>Allmännings- och besparingsskogar</t>
        </is>
      </c>
      <c r="G299" t="n">
        <v>3.1</v>
      </c>
      <c r="H299" t="n">
        <v>0</v>
      </c>
      <c r="I299" t="n">
        <v>0</v>
      </c>
      <c r="J299" t="n">
        <v>0</v>
      </c>
      <c r="K299" t="n">
        <v>0</v>
      </c>
      <c r="L299" t="n">
        <v>0</v>
      </c>
      <c r="M299" t="n">
        <v>0</v>
      </c>
      <c r="N299" t="n">
        <v>0</v>
      </c>
      <c r="O299" t="n">
        <v>0</v>
      </c>
      <c r="P299" t="n">
        <v>0</v>
      </c>
      <c r="Q299" t="n">
        <v>0</v>
      </c>
      <c r="R299" s="2" t="inlineStr"/>
    </row>
    <row r="300" ht="15" customHeight="1">
      <c r="A300" t="inlineStr">
        <is>
          <t>A 2389-2023</t>
        </is>
      </c>
      <c r="B300" s="1" t="n">
        <v>44942</v>
      </c>
      <c r="C300" s="1" t="n">
        <v>46200</v>
      </c>
      <c r="D300" t="inlineStr">
        <is>
          <t>ÖSTERGÖTLANDS LÄN</t>
        </is>
      </c>
      <c r="E300" t="inlineStr">
        <is>
          <t>LINKÖPING</t>
        </is>
      </c>
      <c r="G300" t="n">
        <v>3.3</v>
      </c>
      <c r="H300" t="n">
        <v>0</v>
      </c>
      <c r="I300" t="n">
        <v>0</v>
      </c>
      <c r="J300" t="n">
        <v>0</v>
      </c>
      <c r="K300" t="n">
        <v>0</v>
      </c>
      <c r="L300" t="n">
        <v>0</v>
      </c>
      <c r="M300" t="n">
        <v>0</v>
      </c>
      <c r="N300" t="n">
        <v>0</v>
      </c>
      <c r="O300" t="n">
        <v>0</v>
      </c>
      <c r="P300" t="n">
        <v>0</v>
      </c>
      <c r="Q300" t="n">
        <v>0</v>
      </c>
      <c r="R300" s="2" t="inlineStr"/>
    </row>
    <row r="301" ht="15" customHeight="1">
      <c r="A301" t="inlineStr">
        <is>
          <t>A 60001-2022</t>
        </is>
      </c>
      <c r="B301" s="1" t="n">
        <v>44909</v>
      </c>
      <c r="C301" s="1" t="n">
        <v>46200</v>
      </c>
      <c r="D301" t="inlineStr">
        <is>
          <t>ÖSTERGÖTLANDS LÄN</t>
        </is>
      </c>
      <c r="E301" t="inlineStr">
        <is>
          <t>LINKÖPING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12720-2022</t>
        </is>
      </c>
      <c r="B302" s="1" t="n">
        <v>44641</v>
      </c>
      <c r="C302" s="1" t="n">
        <v>46200</v>
      </c>
      <c r="D302" t="inlineStr">
        <is>
          <t>ÖSTERGÖTLANDS LÄN</t>
        </is>
      </c>
      <c r="E302" t="inlineStr">
        <is>
          <t>LINKÖPING</t>
        </is>
      </c>
      <c r="F302" t="inlineStr">
        <is>
          <t>Övriga Aktiebolag</t>
        </is>
      </c>
      <c r="G302" t="n">
        <v>2</v>
      </c>
      <c r="H302" t="n">
        <v>0</v>
      </c>
      <c r="I302" t="n">
        <v>0</v>
      </c>
      <c r="J302" t="n">
        <v>0</v>
      </c>
      <c r="K302" t="n">
        <v>0</v>
      </c>
      <c r="L302" t="n">
        <v>0</v>
      </c>
      <c r="M302" t="n">
        <v>0</v>
      </c>
      <c r="N302" t="n">
        <v>0</v>
      </c>
      <c r="O302" t="n">
        <v>0</v>
      </c>
      <c r="P302" t="n">
        <v>0</v>
      </c>
      <c r="Q302" t="n">
        <v>0</v>
      </c>
      <c r="R302" s="2" t="inlineStr"/>
    </row>
    <row r="303" ht="15" customHeight="1">
      <c r="A303" t="inlineStr">
        <is>
          <t>A 60013-2022</t>
        </is>
      </c>
      <c r="B303" s="1" t="n">
        <v>44909</v>
      </c>
      <c r="C303" s="1" t="n">
        <v>46200</v>
      </c>
      <c r="D303" t="inlineStr">
        <is>
          <t>ÖSTERGÖTLANDS LÄN</t>
        </is>
      </c>
      <c r="E303" t="inlineStr">
        <is>
          <t>LINKÖPING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48-2024</t>
        </is>
      </c>
      <c r="B304" s="1" t="n">
        <v>45293</v>
      </c>
      <c r="C304" s="1" t="n">
        <v>46200</v>
      </c>
      <c r="D304" t="inlineStr">
        <is>
          <t>ÖSTERGÖTLANDS LÄN</t>
        </is>
      </c>
      <c r="E304" t="inlineStr">
        <is>
          <t>LINKÖPING</t>
        </is>
      </c>
      <c r="G304" t="n">
        <v>4.6</v>
      </c>
      <c r="H304" t="n">
        <v>0</v>
      </c>
      <c r="I304" t="n">
        <v>0</v>
      </c>
      <c r="J304" t="n">
        <v>0</v>
      </c>
      <c r="K304" t="n">
        <v>0</v>
      </c>
      <c r="L304" t="n">
        <v>0</v>
      </c>
      <c r="M304" t="n">
        <v>0</v>
      </c>
      <c r="N304" t="n">
        <v>0</v>
      </c>
      <c r="O304" t="n">
        <v>0</v>
      </c>
      <c r="P304" t="n">
        <v>0</v>
      </c>
      <c r="Q304" t="n">
        <v>0</v>
      </c>
      <c r="R304" s="2" t="inlineStr"/>
    </row>
    <row r="305" ht="15" customHeight="1">
      <c r="A305" t="inlineStr">
        <is>
          <t>A 1211-2023</t>
        </is>
      </c>
      <c r="B305" s="1" t="n">
        <v>44930</v>
      </c>
      <c r="C305" s="1" t="n">
        <v>46200</v>
      </c>
      <c r="D305" t="inlineStr">
        <is>
          <t>ÖSTERGÖTLANDS LÄN</t>
        </is>
      </c>
      <c r="E305" t="inlineStr">
        <is>
          <t>LINKÖPING</t>
        </is>
      </c>
      <c r="F305" t="inlineStr">
        <is>
          <t>Övriga statliga verk och myndigheter</t>
        </is>
      </c>
      <c r="G305" t="n">
        <v>7.9</v>
      </c>
      <c r="H305" t="n">
        <v>0</v>
      </c>
      <c r="I305" t="n">
        <v>0</v>
      </c>
      <c r="J305" t="n">
        <v>0</v>
      </c>
      <c r="K305" t="n">
        <v>0</v>
      </c>
      <c r="L305" t="n">
        <v>0</v>
      </c>
      <c r="M305" t="n">
        <v>0</v>
      </c>
      <c r="N305" t="n">
        <v>0</v>
      </c>
      <c r="O305" t="n">
        <v>0</v>
      </c>
      <c r="P305" t="n">
        <v>0</v>
      </c>
      <c r="Q305" t="n">
        <v>0</v>
      </c>
      <c r="R305" s="2" t="inlineStr"/>
    </row>
    <row r="306" ht="15" customHeight="1">
      <c r="A306" t="inlineStr">
        <is>
          <t>A 62018-2024</t>
        </is>
      </c>
      <c r="B306" s="1" t="n">
        <v>45655</v>
      </c>
      <c r="C306" s="1" t="n">
        <v>46200</v>
      </c>
      <c r="D306" t="inlineStr">
        <is>
          <t>ÖSTERGÖTLANDS LÄN</t>
        </is>
      </c>
      <c r="E306" t="inlineStr">
        <is>
          <t>LINKÖPING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45771-2023</t>
        </is>
      </c>
      <c r="B307" s="1" t="n">
        <v>45195</v>
      </c>
      <c r="C307" s="1" t="n">
        <v>46200</v>
      </c>
      <c r="D307" t="inlineStr">
        <is>
          <t>ÖSTERGÖTLANDS LÄN</t>
        </is>
      </c>
      <c r="E307" t="inlineStr">
        <is>
          <t>LINKÖPING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30547-2023</t>
        </is>
      </c>
      <c r="B308" s="1" t="n">
        <v>45111</v>
      </c>
      <c r="C308" s="1" t="n">
        <v>46200</v>
      </c>
      <c r="D308" t="inlineStr">
        <is>
          <t>ÖSTERGÖTLANDS LÄN</t>
        </is>
      </c>
      <c r="E308" t="inlineStr">
        <is>
          <t>LINKÖPING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40502-2024</t>
        </is>
      </c>
      <c r="B309" s="1" t="n">
        <v>45555</v>
      </c>
      <c r="C309" s="1" t="n">
        <v>46200</v>
      </c>
      <c r="D309" t="inlineStr">
        <is>
          <t>ÖSTERGÖTLANDS LÄN</t>
        </is>
      </c>
      <c r="E309" t="inlineStr">
        <is>
          <t>LINKÖPING</t>
        </is>
      </c>
      <c r="F309" t="inlineStr">
        <is>
          <t>Allmännings- och besparingsskogar</t>
        </is>
      </c>
      <c r="G309" t="n">
        <v>17.5</v>
      </c>
      <c r="H309" t="n">
        <v>0</v>
      </c>
      <c r="I309" t="n">
        <v>0</v>
      </c>
      <c r="J309" t="n">
        <v>0</v>
      </c>
      <c r="K309" t="n">
        <v>0</v>
      </c>
      <c r="L309" t="n">
        <v>0</v>
      </c>
      <c r="M309" t="n">
        <v>0</v>
      </c>
      <c r="N309" t="n">
        <v>0</v>
      </c>
      <c r="O309" t="n">
        <v>0</v>
      </c>
      <c r="P309" t="n">
        <v>0</v>
      </c>
      <c r="Q309" t="n">
        <v>0</v>
      </c>
      <c r="R309" s="2" t="inlineStr"/>
    </row>
    <row r="310" ht="15" customHeight="1">
      <c r="A310" t="inlineStr">
        <is>
          <t>A 38136-2023</t>
        </is>
      </c>
      <c r="B310" s="1" t="n">
        <v>45161</v>
      </c>
      <c r="C310" s="1" t="n">
        <v>46200</v>
      </c>
      <c r="D310" t="inlineStr">
        <is>
          <t>ÖSTERGÖTLANDS LÄN</t>
        </is>
      </c>
      <c r="E310" t="inlineStr">
        <is>
          <t>LINKÖPING</t>
        </is>
      </c>
      <c r="G310" t="n">
        <v>5.6</v>
      </c>
      <c r="H310" t="n">
        <v>0</v>
      </c>
      <c r="I310" t="n">
        <v>0</v>
      </c>
      <c r="J310" t="n">
        <v>0</v>
      </c>
      <c r="K310" t="n">
        <v>0</v>
      </c>
      <c r="L310" t="n">
        <v>0</v>
      </c>
      <c r="M310" t="n">
        <v>0</v>
      </c>
      <c r="N310" t="n">
        <v>0</v>
      </c>
      <c r="O310" t="n">
        <v>0</v>
      </c>
      <c r="P310" t="n">
        <v>0</v>
      </c>
      <c r="Q310" t="n">
        <v>0</v>
      </c>
      <c r="R310" s="2" t="inlineStr"/>
    </row>
    <row r="311" ht="15" customHeight="1">
      <c r="A311" t="inlineStr">
        <is>
          <t>A 62686-2023</t>
        </is>
      </c>
      <c r="B311" s="1" t="n">
        <v>45271</v>
      </c>
      <c r="C311" s="1" t="n">
        <v>46200</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42044-2023</t>
        </is>
      </c>
      <c r="B312" s="1" t="n">
        <v>45177</v>
      </c>
      <c r="C312" s="1" t="n">
        <v>46200</v>
      </c>
      <c r="D312" t="inlineStr">
        <is>
          <t>ÖSTERGÖTLANDS LÄN</t>
        </is>
      </c>
      <c r="E312" t="inlineStr">
        <is>
          <t>LINKÖPING</t>
        </is>
      </c>
      <c r="G312" t="n">
        <v>3.9</v>
      </c>
      <c r="H312" t="n">
        <v>0</v>
      </c>
      <c r="I312" t="n">
        <v>0</v>
      </c>
      <c r="J312" t="n">
        <v>0</v>
      </c>
      <c r="K312" t="n">
        <v>0</v>
      </c>
      <c r="L312" t="n">
        <v>0</v>
      </c>
      <c r="M312" t="n">
        <v>0</v>
      </c>
      <c r="N312" t="n">
        <v>0</v>
      </c>
      <c r="O312" t="n">
        <v>0</v>
      </c>
      <c r="P312" t="n">
        <v>0</v>
      </c>
      <c r="Q312" t="n">
        <v>0</v>
      </c>
      <c r="R312" s="2" t="inlineStr"/>
    </row>
    <row r="313" ht="15" customHeight="1">
      <c r="A313" t="inlineStr">
        <is>
          <t>A 24464-2023</t>
        </is>
      </c>
      <c r="B313" s="1" t="n">
        <v>45082</v>
      </c>
      <c r="C313" s="1" t="n">
        <v>46200</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24467-2023</t>
        </is>
      </c>
      <c r="B314" s="1" t="n">
        <v>45082</v>
      </c>
      <c r="C314" s="1" t="n">
        <v>46200</v>
      </c>
      <c r="D314" t="inlineStr">
        <is>
          <t>ÖSTERGÖTLANDS LÄN</t>
        </is>
      </c>
      <c r="E314" t="inlineStr">
        <is>
          <t>LINKÖPING</t>
        </is>
      </c>
      <c r="G314" t="n">
        <v>2.4</v>
      </c>
      <c r="H314" t="n">
        <v>0</v>
      </c>
      <c r="I314" t="n">
        <v>0</v>
      </c>
      <c r="J314" t="n">
        <v>0</v>
      </c>
      <c r="K314" t="n">
        <v>0</v>
      </c>
      <c r="L314" t="n">
        <v>0</v>
      </c>
      <c r="M314" t="n">
        <v>0</v>
      </c>
      <c r="N314" t="n">
        <v>0</v>
      </c>
      <c r="O314" t="n">
        <v>0</v>
      </c>
      <c r="P314" t="n">
        <v>0</v>
      </c>
      <c r="Q314" t="n">
        <v>0</v>
      </c>
      <c r="R314" s="2" t="inlineStr"/>
    </row>
    <row r="315" ht="15" customHeight="1">
      <c r="A315" t="inlineStr">
        <is>
          <t>A 48389-2024</t>
        </is>
      </c>
      <c r="B315" s="1" t="n">
        <v>45590</v>
      </c>
      <c r="C315" s="1" t="n">
        <v>46200</v>
      </c>
      <c r="D315" t="inlineStr">
        <is>
          <t>ÖSTERGÖTLANDS LÄN</t>
        </is>
      </c>
      <c r="E315" t="inlineStr">
        <is>
          <t>LINKÖPING</t>
        </is>
      </c>
      <c r="G315" t="n">
        <v>2.6</v>
      </c>
      <c r="H315" t="n">
        <v>0</v>
      </c>
      <c r="I315" t="n">
        <v>0</v>
      </c>
      <c r="J315" t="n">
        <v>0</v>
      </c>
      <c r="K315" t="n">
        <v>0</v>
      </c>
      <c r="L315" t="n">
        <v>0</v>
      </c>
      <c r="M315" t="n">
        <v>0</v>
      </c>
      <c r="N315" t="n">
        <v>0</v>
      </c>
      <c r="O315" t="n">
        <v>0</v>
      </c>
      <c r="P315" t="n">
        <v>0</v>
      </c>
      <c r="Q315" t="n">
        <v>0</v>
      </c>
      <c r="R315" s="2" t="inlineStr"/>
    </row>
    <row r="316" ht="15" customHeight="1">
      <c r="A316" t="inlineStr">
        <is>
          <t>A 49656-2021</t>
        </is>
      </c>
      <c r="B316" s="1" t="n">
        <v>44454</v>
      </c>
      <c r="C316" s="1" t="n">
        <v>46200</v>
      </c>
      <c r="D316" t="inlineStr">
        <is>
          <t>ÖSTERGÖTLANDS LÄN</t>
        </is>
      </c>
      <c r="E316" t="inlineStr">
        <is>
          <t>LINKÖPING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56792-2023</t>
        </is>
      </c>
      <c r="B317" s="1" t="n">
        <v>45244</v>
      </c>
      <c r="C317" s="1" t="n">
        <v>46200</v>
      </c>
      <c r="D317" t="inlineStr">
        <is>
          <t>ÖSTERGÖTLANDS LÄN</t>
        </is>
      </c>
      <c r="E317" t="inlineStr">
        <is>
          <t>LINKÖPING</t>
        </is>
      </c>
      <c r="F317" t="inlineStr">
        <is>
          <t>Övriga Aktiebolag</t>
        </is>
      </c>
      <c r="G317" t="n">
        <v>0.9</v>
      </c>
      <c r="H317" t="n">
        <v>0</v>
      </c>
      <c r="I317" t="n">
        <v>0</v>
      </c>
      <c r="J317" t="n">
        <v>0</v>
      </c>
      <c r="K317" t="n">
        <v>0</v>
      </c>
      <c r="L317" t="n">
        <v>0</v>
      </c>
      <c r="M317" t="n">
        <v>0</v>
      </c>
      <c r="N317" t="n">
        <v>0</v>
      </c>
      <c r="O317" t="n">
        <v>0</v>
      </c>
      <c r="P317" t="n">
        <v>0</v>
      </c>
      <c r="Q317" t="n">
        <v>0</v>
      </c>
      <c r="R317" s="2" t="inlineStr"/>
    </row>
    <row r="318" ht="15" customHeight="1">
      <c r="A318" t="inlineStr">
        <is>
          <t>A 39017-2021</t>
        </is>
      </c>
      <c r="B318" s="1" t="n">
        <v>44412</v>
      </c>
      <c r="C318" s="1" t="n">
        <v>46200</v>
      </c>
      <c r="D318" t="inlineStr">
        <is>
          <t>ÖSTERGÖTLANDS LÄN</t>
        </is>
      </c>
      <c r="E318" t="inlineStr">
        <is>
          <t>LINKÖPING</t>
        </is>
      </c>
      <c r="F318" t="inlineStr">
        <is>
          <t>Övriga statliga verk och myndigheter</t>
        </is>
      </c>
      <c r="G318" t="n">
        <v>0.8</v>
      </c>
      <c r="H318" t="n">
        <v>0</v>
      </c>
      <c r="I318" t="n">
        <v>0</v>
      </c>
      <c r="J318" t="n">
        <v>0</v>
      </c>
      <c r="K318" t="n">
        <v>0</v>
      </c>
      <c r="L318" t="n">
        <v>0</v>
      </c>
      <c r="M318" t="n">
        <v>0</v>
      </c>
      <c r="N318" t="n">
        <v>0</v>
      </c>
      <c r="O318" t="n">
        <v>0</v>
      </c>
      <c r="P318" t="n">
        <v>0</v>
      </c>
      <c r="Q318" t="n">
        <v>0</v>
      </c>
      <c r="R318" s="2" t="inlineStr"/>
    </row>
    <row r="319" ht="15" customHeight="1">
      <c r="A319" t="inlineStr">
        <is>
          <t>A 2085-2024</t>
        </is>
      </c>
      <c r="B319" s="1" t="n">
        <v>45309</v>
      </c>
      <c r="C319" s="1" t="n">
        <v>46200</v>
      </c>
      <c r="D319" t="inlineStr">
        <is>
          <t>ÖSTERGÖTLANDS LÄN</t>
        </is>
      </c>
      <c r="E319" t="inlineStr">
        <is>
          <t>LINKÖPING</t>
        </is>
      </c>
      <c r="G319" t="n">
        <v>4.5</v>
      </c>
      <c r="H319" t="n">
        <v>0</v>
      </c>
      <c r="I319" t="n">
        <v>0</v>
      </c>
      <c r="J319" t="n">
        <v>0</v>
      </c>
      <c r="K319" t="n">
        <v>0</v>
      </c>
      <c r="L319" t="n">
        <v>0</v>
      </c>
      <c r="M319" t="n">
        <v>0</v>
      </c>
      <c r="N319" t="n">
        <v>0</v>
      </c>
      <c r="O319" t="n">
        <v>0</v>
      </c>
      <c r="P319" t="n">
        <v>0</v>
      </c>
      <c r="Q319" t="n">
        <v>0</v>
      </c>
      <c r="R319" s="2" t="inlineStr"/>
    </row>
    <row r="320" ht="15" customHeight="1">
      <c r="A320" t="inlineStr">
        <is>
          <t>A 1260-2023</t>
        </is>
      </c>
      <c r="B320" s="1" t="n">
        <v>44936</v>
      </c>
      <c r="C320" s="1" t="n">
        <v>46200</v>
      </c>
      <c r="D320" t="inlineStr">
        <is>
          <t>ÖSTERGÖTLANDS LÄN</t>
        </is>
      </c>
      <c r="E320" t="inlineStr">
        <is>
          <t>LINKÖPING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30468-2023</t>
        </is>
      </c>
      <c r="B321" s="1" t="n">
        <v>45111</v>
      </c>
      <c r="C321" s="1" t="n">
        <v>46200</v>
      </c>
      <c r="D321" t="inlineStr">
        <is>
          <t>ÖSTERGÖTLANDS LÄN</t>
        </is>
      </c>
      <c r="E321" t="inlineStr">
        <is>
          <t>LINKÖPING</t>
        </is>
      </c>
      <c r="G321" t="n">
        <v>10.1</v>
      </c>
      <c r="H321" t="n">
        <v>0</v>
      </c>
      <c r="I321" t="n">
        <v>0</v>
      </c>
      <c r="J321" t="n">
        <v>0</v>
      </c>
      <c r="K321" t="n">
        <v>0</v>
      </c>
      <c r="L321" t="n">
        <v>0</v>
      </c>
      <c r="M321" t="n">
        <v>0</v>
      </c>
      <c r="N321" t="n">
        <v>0</v>
      </c>
      <c r="O321" t="n">
        <v>0</v>
      </c>
      <c r="P321" t="n">
        <v>0</v>
      </c>
      <c r="Q321" t="n">
        <v>0</v>
      </c>
      <c r="R321" s="2" t="inlineStr"/>
    </row>
    <row r="322" ht="15" customHeight="1">
      <c r="A322" t="inlineStr">
        <is>
          <t>A 38230-2023</t>
        </is>
      </c>
      <c r="B322" s="1" t="n">
        <v>45161</v>
      </c>
      <c r="C322" s="1" t="n">
        <v>46200</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1355-2023</t>
        </is>
      </c>
      <c r="B323" s="1" t="n">
        <v>44931</v>
      </c>
      <c r="C323" s="1" t="n">
        <v>46200</v>
      </c>
      <c r="D323" t="inlineStr">
        <is>
          <t>ÖSTERGÖTLANDS LÄN</t>
        </is>
      </c>
      <c r="E323" t="inlineStr">
        <is>
          <t>LINKÖPING</t>
        </is>
      </c>
      <c r="G323" t="n">
        <v>4</v>
      </c>
      <c r="H323" t="n">
        <v>0</v>
      </c>
      <c r="I323" t="n">
        <v>0</v>
      </c>
      <c r="J323" t="n">
        <v>0</v>
      </c>
      <c r="K323" t="n">
        <v>0</v>
      </c>
      <c r="L323" t="n">
        <v>0</v>
      </c>
      <c r="M323" t="n">
        <v>0</v>
      </c>
      <c r="N323" t="n">
        <v>0</v>
      </c>
      <c r="O323" t="n">
        <v>0</v>
      </c>
      <c r="P323" t="n">
        <v>0</v>
      </c>
      <c r="Q323" t="n">
        <v>0</v>
      </c>
      <c r="R323" s="2" t="inlineStr"/>
    </row>
    <row r="324" ht="15" customHeight="1">
      <c r="A324" t="inlineStr">
        <is>
          <t>A 3007-2025</t>
        </is>
      </c>
      <c r="B324" s="1" t="n">
        <v>45678</v>
      </c>
      <c r="C324" s="1" t="n">
        <v>46200</v>
      </c>
      <c r="D324" t="inlineStr">
        <is>
          <t>ÖSTERGÖTLANDS LÄN</t>
        </is>
      </c>
      <c r="E324" t="inlineStr">
        <is>
          <t>LINKÖPING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38715-2023</t>
        </is>
      </c>
      <c r="B325" s="1" t="n">
        <v>45160</v>
      </c>
      <c r="C325" s="1" t="n">
        <v>46200</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4908-2023</t>
        </is>
      </c>
      <c r="B326" s="1" t="n">
        <v>44958</v>
      </c>
      <c r="C326" s="1" t="n">
        <v>46200</v>
      </c>
      <c r="D326" t="inlineStr">
        <is>
          <t>ÖSTERGÖTLANDS LÄN</t>
        </is>
      </c>
      <c r="E326" t="inlineStr">
        <is>
          <t>LINKÖPING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10492-2022</t>
        </is>
      </c>
      <c r="B327" s="1" t="n">
        <v>44623</v>
      </c>
      <c r="C327" s="1" t="n">
        <v>46200</v>
      </c>
      <c r="D327" t="inlineStr">
        <is>
          <t>ÖSTERGÖTLANDS LÄN</t>
        </is>
      </c>
      <c r="E327" t="inlineStr">
        <is>
          <t>LINKÖPING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1265-2023</t>
        </is>
      </c>
      <c r="B328" s="1" t="n">
        <v>44936</v>
      </c>
      <c r="C328" s="1" t="n">
        <v>46200</v>
      </c>
      <c r="D328" t="inlineStr">
        <is>
          <t>ÖSTERGÖTLANDS LÄN</t>
        </is>
      </c>
      <c r="E328" t="inlineStr">
        <is>
          <t>LINKÖPING</t>
        </is>
      </c>
      <c r="G328" t="n">
        <v>2.3</v>
      </c>
      <c r="H328" t="n">
        <v>0</v>
      </c>
      <c r="I328" t="n">
        <v>0</v>
      </c>
      <c r="J328" t="n">
        <v>0</v>
      </c>
      <c r="K328" t="n">
        <v>0</v>
      </c>
      <c r="L328" t="n">
        <v>0</v>
      </c>
      <c r="M328" t="n">
        <v>0</v>
      </c>
      <c r="N328" t="n">
        <v>0</v>
      </c>
      <c r="O328" t="n">
        <v>0</v>
      </c>
      <c r="P328" t="n">
        <v>0</v>
      </c>
      <c r="Q328" t="n">
        <v>0</v>
      </c>
      <c r="R328" s="2" t="inlineStr"/>
    </row>
    <row r="329" ht="15" customHeight="1">
      <c r="A329" t="inlineStr">
        <is>
          <t>A 30465-2023</t>
        </is>
      </c>
      <c r="B329" s="1" t="n">
        <v>45111</v>
      </c>
      <c r="C329" s="1" t="n">
        <v>46200</v>
      </c>
      <c r="D329" t="inlineStr">
        <is>
          <t>ÖSTERGÖTLANDS LÄN</t>
        </is>
      </c>
      <c r="E329" t="inlineStr">
        <is>
          <t>LINKÖPING</t>
        </is>
      </c>
      <c r="F329" t="inlineStr">
        <is>
          <t>Övriga Aktiebolag</t>
        </is>
      </c>
      <c r="G329" t="n">
        <v>0.7</v>
      </c>
      <c r="H329" t="n">
        <v>0</v>
      </c>
      <c r="I329" t="n">
        <v>0</v>
      </c>
      <c r="J329" t="n">
        <v>0</v>
      </c>
      <c r="K329" t="n">
        <v>0</v>
      </c>
      <c r="L329" t="n">
        <v>0</v>
      </c>
      <c r="M329" t="n">
        <v>0</v>
      </c>
      <c r="N329" t="n">
        <v>0</v>
      </c>
      <c r="O329" t="n">
        <v>0</v>
      </c>
      <c r="P329" t="n">
        <v>0</v>
      </c>
      <c r="Q329" t="n">
        <v>0</v>
      </c>
      <c r="R329" s="2" t="inlineStr"/>
    </row>
    <row r="330" ht="15" customHeight="1">
      <c r="A330" t="inlineStr">
        <is>
          <t>A 39021-2021</t>
        </is>
      </c>
      <c r="B330" s="1" t="n">
        <v>44412</v>
      </c>
      <c r="C330" s="1" t="n">
        <v>46200</v>
      </c>
      <c r="D330" t="inlineStr">
        <is>
          <t>ÖSTERGÖTLANDS LÄN</t>
        </is>
      </c>
      <c r="E330" t="inlineStr">
        <is>
          <t>LINKÖPING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62353-2022</t>
        </is>
      </c>
      <c r="B331" s="1" t="n">
        <v>44923</v>
      </c>
      <c r="C331" s="1" t="n">
        <v>46200</v>
      </c>
      <c r="D331" t="inlineStr">
        <is>
          <t>ÖSTERGÖTLANDS LÄN</t>
        </is>
      </c>
      <c r="E331" t="inlineStr">
        <is>
          <t>LINKÖPING</t>
        </is>
      </c>
      <c r="F331" t="inlineStr">
        <is>
          <t>Allmännings- och besparingsskogar</t>
        </is>
      </c>
      <c r="G331" t="n">
        <v>1.7</v>
      </c>
      <c r="H331" t="n">
        <v>0</v>
      </c>
      <c r="I331" t="n">
        <v>0</v>
      </c>
      <c r="J331" t="n">
        <v>0</v>
      </c>
      <c r="K331" t="n">
        <v>0</v>
      </c>
      <c r="L331" t="n">
        <v>0</v>
      </c>
      <c r="M331" t="n">
        <v>0</v>
      </c>
      <c r="N331" t="n">
        <v>0</v>
      </c>
      <c r="O331" t="n">
        <v>0</v>
      </c>
      <c r="P331" t="n">
        <v>0</v>
      </c>
      <c r="Q331" t="n">
        <v>0</v>
      </c>
      <c r="R331" s="2" t="inlineStr"/>
    </row>
    <row r="332" ht="15" customHeight="1">
      <c r="A332" t="inlineStr">
        <is>
          <t>A 30111-2024</t>
        </is>
      </c>
      <c r="B332" s="1" t="n">
        <v>45489</v>
      </c>
      <c r="C332" s="1" t="n">
        <v>46200</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30119-2024</t>
        </is>
      </c>
      <c r="B333" s="1" t="n">
        <v>45489</v>
      </c>
      <c r="C333" s="1" t="n">
        <v>46200</v>
      </c>
      <c r="D333" t="inlineStr">
        <is>
          <t>ÖSTERGÖTLANDS LÄN</t>
        </is>
      </c>
      <c r="E333" t="inlineStr">
        <is>
          <t>LINKÖPING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46687-2021</t>
        </is>
      </c>
      <c r="B334" s="1" t="n">
        <v>44445</v>
      </c>
      <c r="C334" s="1" t="n">
        <v>46200</v>
      </c>
      <c r="D334" t="inlineStr">
        <is>
          <t>ÖSTERGÖTLANDS LÄN</t>
        </is>
      </c>
      <c r="E334" t="inlineStr">
        <is>
          <t>LINKÖPING</t>
        </is>
      </c>
      <c r="F334" t="inlineStr">
        <is>
          <t>Övriga statliga verk och myndigheter</t>
        </is>
      </c>
      <c r="G334" t="n">
        <v>2.3</v>
      </c>
      <c r="H334" t="n">
        <v>0</v>
      </c>
      <c r="I334" t="n">
        <v>0</v>
      </c>
      <c r="J334" t="n">
        <v>0</v>
      </c>
      <c r="K334" t="n">
        <v>0</v>
      </c>
      <c r="L334" t="n">
        <v>0</v>
      </c>
      <c r="M334" t="n">
        <v>0</v>
      </c>
      <c r="N334" t="n">
        <v>0</v>
      </c>
      <c r="O334" t="n">
        <v>0</v>
      </c>
      <c r="P334" t="n">
        <v>0</v>
      </c>
      <c r="Q334" t="n">
        <v>0</v>
      </c>
      <c r="R334" s="2" t="inlineStr"/>
    </row>
    <row r="335" ht="15" customHeight="1">
      <c r="A335" t="inlineStr">
        <is>
          <t>A 17103-2025</t>
        </is>
      </c>
      <c r="B335" s="1" t="n">
        <v>45755</v>
      </c>
      <c r="C335" s="1" t="n">
        <v>46200</v>
      </c>
      <c r="D335" t="inlineStr">
        <is>
          <t>ÖSTERGÖTLANDS LÄN</t>
        </is>
      </c>
      <c r="E335" t="inlineStr">
        <is>
          <t>LINKÖPING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29411-2023</t>
        </is>
      </c>
      <c r="B336" s="1" t="n">
        <v>45106</v>
      </c>
      <c r="C336" s="1" t="n">
        <v>46200</v>
      </c>
      <c r="D336" t="inlineStr">
        <is>
          <t>ÖSTERGÖTLANDS LÄN</t>
        </is>
      </c>
      <c r="E336" t="inlineStr">
        <is>
          <t>LINKÖPING</t>
        </is>
      </c>
      <c r="G336" t="n">
        <v>2.5</v>
      </c>
      <c r="H336" t="n">
        <v>0</v>
      </c>
      <c r="I336" t="n">
        <v>0</v>
      </c>
      <c r="J336" t="n">
        <v>0</v>
      </c>
      <c r="K336" t="n">
        <v>0</v>
      </c>
      <c r="L336" t="n">
        <v>0</v>
      </c>
      <c r="M336" t="n">
        <v>0</v>
      </c>
      <c r="N336" t="n">
        <v>0</v>
      </c>
      <c r="O336" t="n">
        <v>0</v>
      </c>
      <c r="P336" t="n">
        <v>0</v>
      </c>
      <c r="Q336" t="n">
        <v>0</v>
      </c>
      <c r="R336" s="2" t="inlineStr"/>
    </row>
    <row r="337" ht="15" customHeight="1">
      <c r="A337" t="inlineStr">
        <is>
          <t>A 29412-2023</t>
        </is>
      </c>
      <c r="B337" s="1" t="n">
        <v>45106</v>
      </c>
      <c r="C337" s="1" t="n">
        <v>46200</v>
      </c>
      <c r="D337" t="inlineStr">
        <is>
          <t>ÖSTERGÖTLANDS LÄN</t>
        </is>
      </c>
      <c r="E337" t="inlineStr">
        <is>
          <t>LINKÖPING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30860-2022</t>
        </is>
      </c>
      <c r="B338" s="1" t="n">
        <v>44767</v>
      </c>
      <c r="C338" s="1" t="n">
        <v>46200</v>
      </c>
      <c r="D338" t="inlineStr">
        <is>
          <t>ÖSTERGÖTLANDS LÄN</t>
        </is>
      </c>
      <c r="E338" t="inlineStr">
        <is>
          <t>LINKÖPING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12411-2022</t>
        </is>
      </c>
      <c r="B339" s="1" t="n">
        <v>44638</v>
      </c>
      <c r="C339" s="1" t="n">
        <v>46200</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60004-2022</t>
        </is>
      </c>
      <c r="B340" s="1" t="n">
        <v>44909</v>
      </c>
      <c r="C340" s="1" t="n">
        <v>46200</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60010-2022</t>
        </is>
      </c>
      <c r="B341" s="1" t="n">
        <v>44909</v>
      </c>
      <c r="C341" s="1" t="n">
        <v>46200</v>
      </c>
      <c r="D341" t="inlineStr">
        <is>
          <t>ÖSTERGÖTLANDS LÄN</t>
        </is>
      </c>
      <c r="E341" t="inlineStr">
        <is>
          <t>LINKÖPING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53827-2023</t>
        </is>
      </c>
      <c r="B342" s="1" t="n">
        <v>45230</v>
      </c>
      <c r="C342" s="1" t="n">
        <v>46200</v>
      </c>
      <c r="D342" t="inlineStr">
        <is>
          <t>ÖSTERGÖTLANDS LÄN</t>
        </is>
      </c>
      <c r="E342" t="inlineStr">
        <is>
          <t>LINKÖPING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421-2024</t>
        </is>
      </c>
      <c r="B343" s="1" t="n">
        <v>45296</v>
      </c>
      <c r="C343" s="1" t="n">
        <v>46200</v>
      </c>
      <c r="D343" t="inlineStr">
        <is>
          <t>ÖSTERGÖTLANDS LÄN</t>
        </is>
      </c>
      <c r="E343" t="inlineStr">
        <is>
          <t>LINKÖPING</t>
        </is>
      </c>
      <c r="G343" t="n">
        <v>3.7</v>
      </c>
      <c r="H343" t="n">
        <v>0</v>
      </c>
      <c r="I343" t="n">
        <v>0</v>
      </c>
      <c r="J343" t="n">
        <v>0</v>
      </c>
      <c r="K343" t="n">
        <v>0</v>
      </c>
      <c r="L343" t="n">
        <v>0</v>
      </c>
      <c r="M343" t="n">
        <v>0</v>
      </c>
      <c r="N343" t="n">
        <v>0</v>
      </c>
      <c r="O343" t="n">
        <v>0</v>
      </c>
      <c r="P343" t="n">
        <v>0</v>
      </c>
      <c r="Q343" t="n">
        <v>0</v>
      </c>
      <c r="R343" s="2" t="inlineStr"/>
    </row>
    <row r="344" ht="15" customHeight="1">
      <c r="A344" t="inlineStr">
        <is>
          <t>A 61649-2023</t>
        </is>
      </c>
      <c r="B344" s="1" t="n">
        <v>45265</v>
      </c>
      <c r="C344" s="1" t="n">
        <v>46200</v>
      </c>
      <c r="D344" t="inlineStr">
        <is>
          <t>ÖSTERGÖTLANDS LÄN</t>
        </is>
      </c>
      <c r="E344" t="inlineStr">
        <is>
          <t>LINKÖPING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22043-2023</t>
        </is>
      </c>
      <c r="B345" s="1" t="n">
        <v>45069</v>
      </c>
      <c r="C345" s="1" t="n">
        <v>46200</v>
      </c>
      <c r="D345" t="inlineStr">
        <is>
          <t>ÖSTERGÖTLANDS LÄN</t>
        </is>
      </c>
      <c r="E345" t="inlineStr">
        <is>
          <t>LINKÖPING</t>
        </is>
      </c>
      <c r="G345" t="n">
        <v>5.9</v>
      </c>
      <c r="H345" t="n">
        <v>0</v>
      </c>
      <c r="I345" t="n">
        <v>0</v>
      </c>
      <c r="J345" t="n">
        <v>0</v>
      </c>
      <c r="K345" t="n">
        <v>0</v>
      </c>
      <c r="L345" t="n">
        <v>0</v>
      </c>
      <c r="M345" t="n">
        <v>0</v>
      </c>
      <c r="N345" t="n">
        <v>0</v>
      </c>
      <c r="O345" t="n">
        <v>0</v>
      </c>
      <c r="P345" t="n">
        <v>0</v>
      </c>
      <c r="Q345" t="n">
        <v>0</v>
      </c>
      <c r="R345" s="2" t="inlineStr"/>
    </row>
    <row r="346" ht="15" customHeight="1">
      <c r="A346" t="inlineStr">
        <is>
          <t>A 40618-2021</t>
        </is>
      </c>
      <c r="B346" s="1" t="n">
        <v>44420</v>
      </c>
      <c r="C346" s="1" t="n">
        <v>46200</v>
      </c>
      <c r="D346" t="inlineStr">
        <is>
          <t>ÖSTERGÖTLANDS LÄN</t>
        </is>
      </c>
      <c r="E346" t="inlineStr">
        <is>
          <t>LINKÖPING</t>
        </is>
      </c>
      <c r="G346" t="n">
        <v>2.3</v>
      </c>
      <c r="H346" t="n">
        <v>0</v>
      </c>
      <c r="I346" t="n">
        <v>0</v>
      </c>
      <c r="J346" t="n">
        <v>0</v>
      </c>
      <c r="K346" t="n">
        <v>0</v>
      </c>
      <c r="L346" t="n">
        <v>0</v>
      </c>
      <c r="M346" t="n">
        <v>0</v>
      </c>
      <c r="N346" t="n">
        <v>0</v>
      </c>
      <c r="O346" t="n">
        <v>0</v>
      </c>
      <c r="P346" t="n">
        <v>0</v>
      </c>
      <c r="Q346" t="n">
        <v>0</v>
      </c>
      <c r="R346" s="2" t="inlineStr"/>
    </row>
    <row r="347" ht="15" customHeight="1">
      <c r="A347" t="inlineStr">
        <is>
          <t>A 56180-2024</t>
        </is>
      </c>
      <c r="B347" s="1" t="n">
        <v>45624</v>
      </c>
      <c r="C347" s="1" t="n">
        <v>46200</v>
      </c>
      <c r="D347" t="inlineStr">
        <is>
          <t>ÖSTERGÖTLANDS LÄN</t>
        </is>
      </c>
      <c r="E347" t="inlineStr">
        <is>
          <t>LINKÖPING</t>
        </is>
      </c>
      <c r="G347" t="n">
        <v>0.8</v>
      </c>
      <c r="H347" t="n">
        <v>0</v>
      </c>
      <c r="I347" t="n">
        <v>0</v>
      </c>
      <c r="J347" t="n">
        <v>0</v>
      </c>
      <c r="K347" t="n">
        <v>0</v>
      </c>
      <c r="L347" t="n">
        <v>0</v>
      </c>
      <c r="M347" t="n">
        <v>0</v>
      </c>
      <c r="N347" t="n">
        <v>0</v>
      </c>
      <c r="O347" t="n">
        <v>0</v>
      </c>
      <c r="P347" t="n">
        <v>0</v>
      </c>
      <c r="Q347" t="n">
        <v>0</v>
      </c>
      <c r="R347" s="2" t="inlineStr"/>
    </row>
    <row r="348" ht="15" customHeight="1">
      <c r="A348" t="inlineStr">
        <is>
          <t>A 61532-2021</t>
        </is>
      </c>
      <c r="B348" s="1" t="n">
        <v>44501</v>
      </c>
      <c r="C348" s="1" t="n">
        <v>46200</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14028-2024</t>
        </is>
      </c>
      <c r="B349" s="1" t="n">
        <v>45392</v>
      </c>
      <c r="C349" s="1" t="n">
        <v>46200</v>
      </c>
      <c r="D349" t="inlineStr">
        <is>
          <t>ÖSTERGÖTLANDS LÄN</t>
        </is>
      </c>
      <c r="E349" t="inlineStr">
        <is>
          <t>LINKÖPING</t>
        </is>
      </c>
      <c r="G349" t="n">
        <v>1.7</v>
      </c>
      <c r="H349" t="n">
        <v>0</v>
      </c>
      <c r="I349" t="n">
        <v>0</v>
      </c>
      <c r="J349" t="n">
        <v>0</v>
      </c>
      <c r="K349" t="n">
        <v>0</v>
      </c>
      <c r="L349" t="n">
        <v>0</v>
      </c>
      <c r="M349" t="n">
        <v>0</v>
      </c>
      <c r="N349" t="n">
        <v>0</v>
      </c>
      <c r="O349" t="n">
        <v>0</v>
      </c>
      <c r="P349" t="n">
        <v>0</v>
      </c>
      <c r="Q349" t="n">
        <v>0</v>
      </c>
      <c r="R349" s="2" t="inlineStr"/>
    </row>
    <row r="350" ht="15" customHeight="1">
      <c r="A350" t="inlineStr">
        <is>
          <t>A 40431-2024</t>
        </is>
      </c>
      <c r="B350" s="1" t="n">
        <v>45555</v>
      </c>
      <c r="C350" s="1" t="n">
        <v>46200</v>
      </c>
      <c r="D350" t="inlineStr">
        <is>
          <t>ÖSTERGÖTLANDS LÄN</t>
        </is>
      </c>
      <c r="E350" t="inlineStr">
        <is>
          <t>LINKÖPING</t>
        </is>
      </c>
      <c r="F350" t="inlineStr">
        <is>
          <t>Allmännings- och besparingsskogar</t>
        </is>
      </c>
      <c r="G350" t="n">
        <v>2.9</v>
      </c>
      <c r="H350" t="n">
        <v>0</v>
      </c>
      <c r="I350" t="n">
        <v>0</v>
      </c>
      <c r="J350" t="n">
        <v>0</v>
      </c>
      <c r="K350" t="n">
        <v>0</v>
      </c>
      <c r="L350" t="n">
        <v>0</v>
      </c>
      <c r="M350" t="n">
        <v>0</v>
      </c>
      <c r="N350" t="n">
        <v>0</v>
      </c>
      <c r="O350" t="n">
        <v>0</v>
      </c>
      <c r="P350" t="n">
        <v>0</v>
      </c>
      <c r="Q350" t="n">
        <v>0</v>
      </c>
      <c r="R350" s="2" t="inlineStr"/>
    </row>
    <row r="351" ht="15" customHeight="1">
      <c r="A351" t="inlineStr">
        <is>
          <t>A 23491-2024</t>
        </is>
      </c>
      <c r="B351" s="1" t="n">
        <v>45453</v>
      </c>
      <c r="C351" s="1" t="n">
        <v>46200</v>
      </c>
      <c r="D351" t="inlineStr">
        <is>
          <t>ÖSTERGÖTLANDS LÄN</t>
        </is>
      </c>
      <c r="E351" t="inlineStr">
        <is>
          <t>LINKÖPING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30471-2023</t>
        </is>
      </c>
      <c r="B352" s="1" t="n">
        <v>45111</v>
      </c>
      <c r="C352" s="1" t="n">
        <v>46200</v>
      </c>
      <c r="D352" t="inlineStr">
        <is>
          <t>ÖSTERGÖTLANDS LÄN</t>
        </is>
      </c>
      <c r="E352" t="inlineStr">
        <is>
          <t>LINKÖPING</t>
        </is>
      </c>
      <c r="G352" t="n">
        <v>2.9</v>
      </c>
      <c r="H352" t="n">
        <v>0</v>
      </c>
      <c r="I352" t="n">
        <v>0</v>
      </c>
      <c r="J352" t="n">
        <v>0</v>
      </c>
      <c r="K352" t="n">
        <v>0</v>
      </c>
      <c r="L352" t="n">
        <v>0</v>
      </c>
      <c r="M352" t="n">
        <v>0</v>
      </c>
      <c r="N352" t="n">
        <v>0</v>
      </c>
      <c r="O352" t="n">
        <v>0</v>
      </c>
      <c r="P352" t="n">
        <v>0</v>
      </c>
      <c r="Q352" t="n">
        <v>0</v>
      </c>
      <c r="R352" s="2" t="inlineStr"/>
    </row>
    <row r="353" ht="15" customHeight="1">
      <c r="A353" t="inlineStr">
        <is>
          <t>A 70-2024</t>
        </is>
      </c>
      <c r="B353" s="1" t="n">
        <v>45293</v>
      </c>
      <c r="C353" s="1" t="n">
        <v>46200</v>
      </c>
      <c r="D353" t="inlineStr">
        <is>
          <t>ÖSTERGÖTLANDS LÄN</t>
        </is>
      </c>
      <c r="E353" t="inlineStr">
        <is>
          <t>LINKÖPING</t>
        </is>
      </c>
      <c r="G353" t="n">
        <v>1.3</v>
      </c>
      <c r="H353" t="n">
        <v>0</v>
      </c>
      <c r="I353" t="n">
        <v>0</v>
      </c>
      <c r="J353" t="n">
        <v>0</v>
      </c>
      <c r="K353" t="n">
        <v>0</v>
      </c>
      <c r="L353" t="n">
        <v>0</v>
      </c>
      <c r="M353" t="n">
        <v>0</v>
      </c>
      <c r="N353" t="n">
        <v>0</v>
      </c>
      <c r="O353" t="n">
        <v>0</v>
      </c>
      <c r="P353" t="n">
        <v>0</v>
      </c>
      <c r="Q353" t="n">
        <v>0</v>
      </c>
      <c r="R353" s="2" t="inlineStr"/>
    </row>
    <row r="354" ht="15" customHeight="1">
      <c r="A354" t="inlineStr">
        <is>
          <t>A 6054-2022</t>
        </is>
      </c>
      <c r="B354" s="1" t="n">
        <v>44599</v>
      </c>
      <c r="C354" s="1" t="n">
        <v>46200</v>
      </c>
      <c r="D354" t="inlineStr">
        <is>
          <t>ÖSTERGÖTLANDS LÄN</t>
        </is>
      </c>
      <c r="E354" t="inlineStr">
        <is>
          <t>LINKÖPING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223-2024</t>
        </is>
      </c>
      <c r="B355" s="1" t="n">
        <v>45294</v>
      </c>
      <c r="C355" s="1" t="n">
        <v>46200</v>
      </c>
      <c r="D355" t="inlineStr">
        <is>
          <t>ÖSTERGÖTLANDS LÄN</t>
        </is>
      </c>
      <c r="E355" t="inlineStr">
        <is>
          <t>LINKÖPING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60860-2024</t>
        </is>
      </c>
      <c r="B356" s="1" t="n">
        <v>45644</v>
      </c>
      <c r="C356" s="1" t="n">
        <v>46200</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31725-2022</t>
        </is>
      </c>
      <c r="B357" s="1" t="n">
        <v>44776</v>
      </c>
      <c r="C357" s="1" t="n">
        <v>46200</v>
      </c>
      <c r="D357" t="inlineStr">
        <is>
          <t>ÖSTERGÖTLANDS LÄN</t>
        </is>
      </c>
      <c r="E357" t="inlineStr">
        <is>
          <t>LINKÖPING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227-2024</t>
        </is>
      </c>
      <c r="B358" s="1" t="n">
        <v>45294</v>
      </c>
      <c r="C358" s="1" t="n">
        <v>46200</v>
      </c>
      <c r="D358" t="inlineStr">
        <is>
          <t>ÖSTERGÖTLANDS LÄN</t>
        </is>
      </c>
      <c r="E358" t="inlineStr">
        <is>
          <t>LINKÖPING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2697-2023</t>
        </is>
      </c>
      <c r="B359" s="1" t="n">
        <v>44944</v>
      </c>
      <c r="C359" s="1" t="n">
        <v>46200</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30434-2024</t>
        </is>
      </c>
      <c r="B360" s="1" t="n">
        <v>45491</v>
      </c>
      <c r="C360" s="1" t="n">
        <v>46200</v>
      </c>
      <c r="D360" t="inlineStr">
        <is>
          <t>ÖSTERGÖTLANDS LÄN</t>
        </is>
      </c>
      <c r="E360" t="inlineStr">
        <is>
          <t>LINKÖPING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56917-2022</t>
        </is>
      </c>
      <c r="B361" s="1" t="n">
        <v>44894</v>
      </c>
      <c r="C361" s="1" t="n">
        <v>46200</v>
      </c>
      <c r="D361" t="inlineStr">
        <is>
          <t>ÖSTERGÖTLANDS LÄN</t>
        </is>
      </c>
      <c r="E361" t="inlineStr">
        <is>
          <t>LINKÖPING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60985-2023</t>
        </is>
      </c>
      <c r="B362" s="1" t="n">
        <v>45261</v>
      </c>
      <c r="C362" s="1" t="n">
        <v>46200</v>
      </c>
      <c r="D362" t="inlineStr">
        <is>
          <t>ÖSTERGÖTLANDS LÄN</t>
        </is>
      </c>
      <c r="E362" t="inlineStr">
        <is>
          <t>LINKÖPING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55009-2023</t>
        </is>
      </c>
      <c r="B363" s="1" t="n">
        <v>45237</v>
      </c>
      <c r="C363" s="1" t="n">
        <v>46200</v>
      </c>
      <c r="D363" t="inlineStr">
        <is>
          <t>ÖSTERGÖTLANDS LÄN</t>
        </is>
      </c>
      <c r="E363" t="inlineStr">
        <is>
          <t>LINKÖPING</t>
        </is>
      </c>
      <c r="G363" t="n">
        <v>1.5</v>
      </c>
      <c r="H363" t="n">
        <v>0</v>
      </c>
      <c r="I363" t="n">
        <v>0</v>
      </c>
      <c r="J363" t="n">
        <v>0</v>
      </c>
      <c r="K363" t="n">
        <v>0</v>
      </c>
      <c r="L363" t="n">
        <v>0</v>
      </c>
      <c r="M363" t="n">
        <v>0</v>
      </c>
      <c r="N363" t="n">
        <v>0</v>
      </c>
      <c r="O363" t="n">
        <v>0</v>
      </c>
      <c r="P363" t="n">
        <v>0</v>
      </c>
      <c r="Q363" t="n">
        <v>0</v>
      </c>
      <c r="R363" s="2" t="inlineStr"/>
    </row>
    <row r="364" ht="15" customHeight="1">
      <c r="A364" t="inlineStr">
        <is>
          <t>A 57391-2023</t>
        </is>
      </c>
      <c r="B364" s="1" t="n">
        <v>45245</v>
      </c>
      <c r="C364" s="1" t="n">
        <v>46200</v>
      </c>
      <c r="D364" t="inlineStr">
        <is>
          <t>ÖSTERGÖTLANDS LÄN</t>
        </is>
      </c>
      <c r="E364" t="inlineStr">
        <is>
          <t>LINKÖPING</t>
        </is>
      </c>
      <c r="F364" t="inlineStr">
        <is>
          <t>Övriga Aktiebolag</t>
        </is>
      </c>
      <c r="G364" t="n">
        <v>1.7</v>
      </c>
      <c r="H364" t="n">
        <v>0</v>
      </c>
      <c r="I364" t="n">
        <v>0</v>
      </c>
      <c r="J364" t="n">
        <v>0</v>
      </c>
      <c r="K364" t="n">
        <v>0</v>
      </c>
      <c r="L364" t="n">
        <v>0</v>
      </c>
      <c r="M364" t="n">
        <v>0</v>
      </c>
      <c r="N364" t="n">
        <v>0</v>
      </c>
      <c r="O364" t="n">
        <v>0</v>
      </c>
      <c r="P364" t="n">
        <v>0</v>
      </c>
      <c r="Q364" t="n">
        <v>0</v>
      </c>
      <c r="R364" s="2" t="inlineStr"/>
    </row>
    <row r="365" ht="15" customHeight="1">
      <c r="A365" t="inlineStr">
        <is>
          <t>A 34872-2023</t>
        </is>
      </c>
      <c r="B365" s="1" t="n">
        <v>45140</v>
      </c>
      <c r="C365" s="1" t="n">
        <v>46200</v>
      </c>
      <c r="D365" t="inlineStr">
        <is>
          <t>ÖSTERGÖTLANDS LÄN</t>
        </is>
      </c>
      <c r="E365" t="inlineStr">
        <is>
          <t>LINKÖPING</t>
        </is>
      </c>
      <c r="G365" t="n">
        <v>4.8</v>
      </c>
      <c r="H365" t="n">
        <v>0</v>
      </c>
      <c r="I365" t="n">
        <v>0</v>
      </c>
      <c r="J365" t="n">
        <v>0</v>
      </c>
      <c r="K365" t="n">
        <v>0</v>
      </c>
      <c r="L365" t="n">
        <v>0</v>
      </c>
      <c r="M365" t="n">
        <v>0</v>
      </c>
      <c r="N365" t="n">
        <v>0</v>
      </c>
      <c r="O365" t="n">
        <v>0</v>
      </c>
      <c r="P365" t="n">
        <v>0</v>
      </c>
      <c r="Q365" t="n">
        <v>0</v>
      </c>
      <c r="R365" s="2" t="inlineStr"/>
    </row>
    <row r="366" ht="15" customHeight="1">
      <c r="A366" t="inlineStr">
        <is>
          <t>A 7992-2023</t>
        </is>
      </c>
      <c r="B366" s="1" t="n">
        <v>44970</v>
      </c>
      <c r="C366" s="1" t="n">
        <v>46200</v>
      </c>
      <c r="D366" t="inlineStr">
        <is>
          <t>ÖSTERGÖTLANDS LÄN</t>
        </is>
      </c>
      <c r="E366" t="inlineStr">
        <is>
          <t>LINKÖPING</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19464-2024</t>
        </is>
      </c>
      <c r="B367" s="1" t="n">
        <v>45429</v>
      </c>
      <c r="C367" s="1" t="n">
        <v>46200</v>
      </c>
      <c r="D367" t="inlineStr">
        <is>
          <t>ÖSTERGÖTLANDS LÄN</t>
        </is>
      </c>
      <c r="E367" t="inlineStr">
        <is>
          <t>LINKÖPING</t>
        </is>
      </c>
      <c r="G367" t="n">
        <v>2.7</v>
      </c>
      <c r="H367" t="n">
        <v>0</v>
      </c>
      <c r="I367" t="n">
        <v>0</v>
      </c>
      <c r="J367" t="n">
        <v>0</v>
      </c>
      <c r="K367" t="n">
        <v>0</v>
      </c>
      <c r="L367" t="n">
        <v>0</v>
      </c>
      <c r="M367" t="n">
        <v>0</v>
      </c>
      <c r="N367" t="n">
        <v>0</v>
      </c>
      <c r="O367" t="n">
        <v>0</v>
      </c>
      <c r="P367" t="n">
        <v>0</v>
      </c>
      <c r="Q367" t="n">
        <v>0</v>
      </c>
      <c r="R367" s="2" t="inlineStr"/>
    </row>
    <row r="368" ht="15" customHeight="1">
      <c r="A368" t="inlineStr">
        <is>
          <t>A 36336-2022</t>
        </is>
      </c>
      <c r="B368" s="1" t="n">
        <v>44803</v>
      </c>
      <c r="C368" s="1" t="n">
        <v>46200</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13689-2025</t>
        </is>
      </c>
      <c r="B369" s="1" t="n">
        <v>45737</v>
      </c>
      <c r="C369" s="1" t="n">
        <v>46200</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13696-2025</t>
        </is>
      </c>
      <c r="B370" s="1" t="n">
        <v>45737</v>
      </c>
      <c r="C370" s="1" t="n">
        <v>46200</v>
      </c>
      <c r="D370" t="inlineStr">
        <is>
          <t>ÖSTERGÖTLANDS LÄN</t>
        </is>
      </c>
      <c r="E370" t="inlineStr">
        <is>
          <t>LINKÖPING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25097-2023</t>
        </is>
      </c>
      <c r="B371" s="1" t="n">
        <v>45086</v>
      </c>
      <c r="C371" s="1" t="n">
        <v>46200</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10461-2023</t>
        </is>
      </c>
      <c r="B372" s="1" t="n">
        <v>44987</v>
      </c>
      <c r="C372" s="1" t="n">
        <v>46200</v>
      </c>
      <c r="D372" t="inlineStr">
        <is>
          <t>ÖSTERGÖTLANDS LÄN</t>
        </is>
      </c>
      <c r="E372" t="inlineStr">
        <is>
          <t>LINKÖPING</t>
        </is>
      </c>
      <c r="G372" t="n">
        <v>7.8</v>
      </c>
      <c r="H372" t="n">
        <v>0</v>
      </c>
      <c r="I372" t="n">
        <v>0</v>
      </c>
      <c r="J372" t="n">
        <v>0</v>
      </c>
      <c r="K372" t="n">
        <v>0</v>
      </c>
      <c r="L372" t="n">
        <v>0</v>
      </c>
      <c r="M372" t="n">
        <v>0</v>
      </c>
      <c r="N372" t="n">
        <v>0</v>
      </c>
      <c r="O372" t="n">
        <v>0</v>
      </c>
      <c r="P372" t="n">
        <v>0</v>
      </c>
      <c r="Q372" t="n">
        <v>0</v>
      </c>
      <c r="R372" s="2" t="inlineStr"/>
    </row>
    <row r="373" ht="15" customHeight="1">
      <c r="A373" t="inlineStr">
        <is>
          <t>A 2997-2025</t>
        </is>
      </c>
      <c r="B373" s="1" t="n">
        <v>45678</v>
      </c>
      <c r="C373" s="1" t="n">
        <v>46200</v>
      </c>
      <c r="D373" t="inlineStr">
        <is>
          <t>ÖSTERGÖTLANDS LÄN</t>
        </is>
      </c>
      <c r="E373" t="inlineStr">
        <is>
          <t>LINKÖPING</t>
        </is>
      </c>
      <c r="G373" t="n">
        <v>2.7</v>
      </c>
      <c r="H373" t="n">
        <v>0</v>
      </c>
      <c r="I373" t="n">
        <v>0</v>
      </c>
      <c r="J373" t="n">
        <v>0</v>
      </c>
      <c r="K373" t="n">
        <v>0</v>
      </c>
      <c r="L373" t="n">
        <v>0</v>
      </c>
      <c r="M373" t="n">
        <v>0</v>
      </c>
      <c r="N373" t="n">
        <v>0</v>
      </c>
      <c r="O373" t="n">
        <v>0</v>
      </c>
      <c r="P373" t="n">
        <v>0</v>
      </c>
      <c r="Q373" t="n">
        <v>0</v>
      </c>
      <c r="R373" s="2" t="inlineStr"/>
    </row>
    <row r="374" ht="15" customHeight="1">
      <c r="A374" t="inlineStr">
        <is>
          <t>A 50386-2021</t>
        </is>
      </c>
      <c r="B374" s="1" t="n">
        <v>44459</v>
      </c>
      <c r="C374" s="1" t="n">
        <v>46200</v>
      </c>
      <c r="D374" t="inlineStr">
        <is>
          <t>ÖSTERGÖTLANDS LÄN</t>
        </is>
      </c>
      <c r="E374" t="inlineStr">
        <is>
          <t>LINKÖPING</t>
        </is>
      </c>
      <c r="G374" t="n">
        <v>2.3</v>
      </c>
      <c r="H374" t="n">
        <v>0</v>
      </c>
      <c r="I374" t="n">
        <v>0</v>
      </c>
      <c r="J374" t="n">
        <v>0</v>
      </c>
      <c r="K374" t="n">
        <v>0</v>
      </c>
      <c r="L374" t="n">
        <v>0</v>
      </c>
      <c r="M374" t="n">
        <v>0</v>
      </c>
      <c r="N374" t="n">
        <v>0</v>
      </c>
      <c r="O374" t="n">
        <v>0</v>
      </c>
      <c r="P374" t="n">
        <v>0</v>
      </c>
      <c r="Q374" t="n">
        <v>0</v>
      </c>
      <c r="R374" s="2" t="inlineStr"/>
    </row>
    <row r="375" ht="15" customHeight="1">
      <c r="A375" t="inlineStr">
        <is>
          <t>A 41345-2021</t>
        </is>
      </c>
      <c r="B375" s="1" t="n">
        <v>44424</v>
      </c>
      <c r="C375" s="1" t="n">
        <v>46200</v>
      </c>
      <c r="D375" t="inlineStr">
        <is>
          <t>ÖSTERGÖTLANDS LÄN</t>
        </is>
      </c>
      <c r="E375" t="inlineStr">
        <is>
          <t>LINKÖPING</t>
        </is>
      </c>
      <c r="F375" t="inlineStr">
        <is>
          <t>Sveaskog</t>
        </is>
      </c>
      <c r="G375" t="n">
        <v>6.3</v>
      </c>
      <c r="H375" t="n">
        <v>0</v>
      </c>
      <c r="I375" t="n">
        <v>0</v>
      </c>
      <c r="J375" t="n">
        <v>0</v>
      </c>
      <c r="K375" t="n">
        <v>0</v>
      </c>
      <c r="L375" t="n">
        <v>0</v>
      </c>
      <c r="M375" t="n">
        <v>0</v>
      </c>
      <c r="N375" t="n">
        <v>0</v>
      </c>
      <c r="O375" t="n">
        <v>0</v>
      </c>
      <c r="P375" t="n">
        <v>0</v>
      </c>
      <c r="Q375" t="n">
        <v>0</v>
      </c>
      <c r="R375" s="2" t="inlineStr"/>
    </row>
    <row r="376" ht="15" customHeight="1">
      <c r="A376" t="inlineStr">
        <is>
          <t>A 32346-2023</t>
        </is>
      </c>
      <c r="B376" s="1" t="n">
        <v>45120</v>
      </c>
      <c r="C376" s="1" t="n">
        <v>46200</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16213-2025</t>
        </is>
      </c>
      <c r="B377" s="1" t="n">
        <v>45750</v>
      </c>
      <c r="C377" s="1" t="n">
        <v>46200</v>
      </c>
      <c r="D377" t="inlineStr">
        <is>
          <t>ÖSTERGÖTLANDS LÄN</t>
        </is>
      </c>
      <c r="E377" t="inlineStr">
        <is>
          <t>LINKÖPING</t>
        </is>
      </c>
      <c r="G377" t="n">
        <v>3.4</v>
      </c>
      <c r="H377" t="n">
        <v>0</v>
      </c>
      <c r="I377" t="n">
        <v>0</v>
      </c>
      <c r="J377" t="n">
        <v>0</v>
      </c>
      <c r="K377" t="n">
        <v>0</v>
      </c>
      <c r="L377" t="n">
        <v>0</v>
      </c>
      <c r="M377" t="n">
        <v>0</v>
      </c>
      <c r="N377" t="n">
        <v>0</v>
      </c>
      <c r="O377" t="n">
        <v>0</v>
      </c>
      <c r="P377" t="n">
        <v>0</v>
      </c>
      <c r="Q377" t="n">
        <v>0</v>
      </c>
      <c r="R377" s="2" t="inlineStr"/>
    </row>
    <row r="378" ht="15" customHeight="1">
      <c r="A378" t="inlineStr">
        <is>
          <t>A 350-2022</t>
        </is>
      </c>
      <c r="B378" s="1" t="n">
        <v>44565</v>
      </c>
      <c r="C378" s="1" t="n">
        <v>46200</v>
      </c>
      <c r="D378" t="inlineStr">
        <is>
          <t>ÖSTERGÖTLANDS LÄN</t>
        </is>
      </c>
      <c r="E378" t="inlineStr">
        <is>
          <t>LINKÖPING</t>
        </is>
      </c>
      <c r="G378" t="n">
        <v>1.2</v>
      </c>
      <c r="H378" t="n">
        <v>0</v>
      </c>
      <c r="I378" t="n">
        <v>0</v>
      </c>
      <c r="J378" t="n">
        <v>0</v>
      </c>
      <c r="K378" t="n">
        <v>0</v>
      </c>
      <c r="L378" t="n">
        <v>0</v>
      </c>
      <c r="M378" t="n">
        <v>0</v>
      </c>
      <c r="N378" t="n">
        <v>0</v>
      </c>
      <c r="O378" t="n">
        <v>0</v>
      </c>
      <c r="P378" t="n">
        <v>0</v>
      </c>
      <c r="Q378" t="n">
        <v>0</v>
      </c>
      <c r="R378" s="2" t="inlineStr"/>
    </row>
    <row r="379" ht="15" customHeight="1">
      <c r="A379" t="inlineStr">
        <is>
          <t>A 18891-2022</t>
        </is>
      </c>
      <c r="B379" s="1" t="n">
        <v>44690</v>
      </c>
      <c r="C379" s="1" t="n">
        <v>46200</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30976-2022</t>
        </is>
      </c>
      <c r="B380" s="1" t="n">
        <v>44768</v>
      </c>
      <c r="C380" s="1" t="n">
        <v>46200</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7808-2022</t>
        </is>
      </c>
      <c r="B381" s="1" t="n">
        <v>44608</v>
      </c>
      <c r="C381" s="1" t="n">
        <v>46200</v>
      </c>
      <c r="D381" t="inlineStr">
        <is>
          <t>ÖSTERGÖTLANDS LÄN</t>
        </is>
      </c>
      <c r="E381" t="inlineStr">
        <is>
          <t>LINKÖPING</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46225-2021</t>
        </is>
      </c>
      <c r="B382" s="1" t="n">
        <v>44442</v>
      </c>
      <c r="C382" s="1" t="n">
        <v>46200</v>
      </c>
      <c r="D382" t="inlineStr">
        <is>
          <t>ÖSTERGÖTLANDS LÄN</t>
        </is>
      </c>
      <c r="E382" t="inlineStr">
        <is>
          <t>LINKÖPING</t>
        </is>
      </c>
      <c r="G382" t="n">
        <v>2.9</v>
      </c>
      <c r="H382" t="n">
        <v>0</v>
      </c>
      <c r="I382" t="n">
        <v>0</v>
      </c>
      <c r="J382" t="n">
        <v>0</v>
      </c>
      <c r="K382" t="n">
        <v>0</v>
      </c>
      <c r="L382" t="n">
        <v>0</v>
      </c>
      <c r="M382" t="n">
        <v>0</v>
      </c>
      <c r="N382" t="n">
        <v>0</v>
      </c>
      <c r="O382" t="n">
        <v>0</v>
      </c>
      <c r="P382" t="n">
        <v>0</v>
      </c>
      <c r="Q382" t="n">
        <v>0</v>
      </c>
      <c r="R382" s="2" t="inlineStr"/>
    </row>
    <row r="383" ht="15" customHeight="1">
      <c r="A383" t="inlineStr">
        <is>
          <t>A 630-2024</t>
        </is>
      </c>
      <c r="B383" s="1" t="n">
        <v>45299</v>
      </c>
      <c r="C383" s="1" t="n">
        <v>46200</v>
      </c>
      <c r="D383" t="inlineStr">
        <is>
          <t>ÖSTERGÖTLANDS LÄN</t>
        </is>
      </c>
      <c r="E383" t="inlineStr">
        <is>
          <t>LINKÖPING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27844-2024</t>
        </is>
      </c>
      <c r="B384" s="1" t="n">
        <v>45475</v>
      </c>
      <c r="C384" s="1" t="n">
        <v>46200</v>
      </c>
      <c r="D384" t="inlineStr">
        <is>
          <t>ÖSTERGÖTLANDS LÄN</t>
        </is>
      </c>
      <c r="E384" t="inlineStr">
        <is>
          <t>LINKÖPING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55736-2022</t>
        </is>
      </c>
      <c r="B385" s="1" t="n">
        <v>44888</v>
      </c>
      <c r="C385" s="1" t="n">
        <v>46200</v>
      </c>
      <c r="D385" t="inlineStr">
        <is>
          <t>ÖSTERGÖTLANDS LÄN</t>
        </is>
      </c>
      <c r="E385" t="inlineStr">
        <is>
          <t>LINKÖPING</t>
        </is>
      </c>
      <c r="G385" t="n">
        <v>5.5</v>
      </c>
      <c r="H385" t="n">
        <v>0</v>
      </c>
      <c r="I385" t="n">
        <v>0</v>
      </c>
      <c r="J385" t="n">
        <v>0</v>
      </c>
      <c r="K385" t="n">
        <v>0</v>
      </c>
      <c r="L385" t="n">
        <v>0</v>
      </c>
      <c r="M385" t="n">
        <v>0</v>
      </c>
      <c r="N385" t="n">
        <v>0</v>
      </c>
      <c r="O385" t="n">
        <v>0</v>
      </c>
      <c r="P385" t="n">
        <v>0</v>
      </c>
      <c r="Q385" t="n">
        <v>0</v>
      </c>
      <c r="R385" s="2" t="inlineStr"/>
    </row>
    <row r="386" ht="15" customHeight="1">
      <c r="A386" t="inlineStr">
        <is>
          <t>A 17898-2022</t>
        </is>
      </c>
      <c r="B386" s="1" t="n">
        <v>44683</v>
      </c>
      <c r="C386" s="1" t="n">
        <v>46200</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40810-2022</t>
        </is>
      </c>
      <c r="B387" s="1" t="n">
        <v>44824</v>
      </c>
      <c r="C387" s="1" t="n">
        <v>46200</v>
      </c>
      <c r="D387" t="inlineStr">
        <is>
          <t>ÖSTERGÖTLANDS LÄN</t>
        </is>
      </c>
      <c r="E387" t="inlineStr">
        <is>
          <t>LINKÖPING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10194-2023</t>
        </is>
      </c>
      <c r="B388" s="1" t="n">
        <v>44986</v>
      </c>
      <c r="C388" s="1" t="n">
        <v>46200</v>
      </c>
      <c r="D388" t="inlineStr">
        <is>
          <t>ÖSTERGÖTLANDS LÄN</t>
        </is>
      </c>
      <c r="E388" t="inlineStr">
        <is>
          <t>LINKÖPING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63487-2023</t>
        </is>
      </c>
      <c r="B389" s="1" t="n">
        <v>45274</v>
      </c>
      <c r="C389" s="1" t="n">
        <v>46200</v>
      </c>
      <c r="D389" t="inlineStr">
        <is>
          <t>ÖSTERGÖTLANDS LÄN</t>
        </is>
      </c>
      <c r="E389" t="inlineStr">
        <is>
          <t>LINKÖPING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35463-2023</t>
        </is>
      </c>
      <c r="B390" s="1" t="n">
        <v>45146</v>
      </c>
      <c r="C390" s="1" t="n">
        <v>46200</v>
      </c>
      <c r="D390" t="inlineStr">
        <is>
          <t>ÖSTERGÖTLANDS LÄN</t>
        </is>
      </c>
      <c r="E390" t="inlineStr">
        <is>
          <t>LINKÖPING</t>
        </is>
      </c>
      <c r="F390" t="inlineStr">
        <is>
          <t>Övriga Aktiebolag</t>
        </is>
      </c>
      <c r="G390" t="n">
        <v>1.8</v>
      </c>
      <c r="H390" t="n">
        <v>0</v>
      </c>
      <c r="I390" t="n">
        <v>0</v>
      </c>
      <c r="J390" t="n">
        <v>0</v>
      </c>
      <c r="K390" t="n">
        <v>0</v>
      </c>
      <c r="L390" t="n">
        <v>0</v>
      </c>
      <c r="M390" t="n">
        <v>0</v>
      </c>
      <c r="N390" t="n">
        <v>0</v>
      </c>
      <c r="O390" t="n">
        <v>0</v>
      </c>
      <c r="P390" t="n">
        <v>0</v>
      </c>
      <c r="Q390" t="n">
        <v>0</v>
      </c>
      <c r="R390" s="2" t="inlineStr"/>
    </row>
    <row r="391" ht="15" customHeight="1">
      <c r="A391" t="inlineStr">
        <is>
          <t>A 55632-2022</t>
        </is>
      </c>
      <c r="B391" s="1" t="n">
        <v>44888</v>
      </c>
      <c r="C391" s="1" t="n">
        <v>46200</v>
      </c>
      <c r="D391" t="inlineStr">
        <is>
          <t>ÖSTERGÖTLANDS LÄN</t>
        </is>
      </c>
      <c r="E391" t="inlineStr">
        <is>
          <t>LINKÖPING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63559-2023</t>
        </is>
      </c>
      <c r="B392" s="1" t="n">
        <v>45275</v>
      </c>
      <c r="C392" s="1" t="n">
        <v>46200</v>
      </c>
      <c r="D392" t="inlineStr">
        <is>
          <t>ÖSTERGÖTLANDS LÄN</t>
        </is>
      </c>
      <c r="E392" t="inlineStr">
        <is>
          <t>LINKÖPING</t>
        </is>
      </c>
      <c r="G392" t="n">
        <v>1</v>
      </c>
      <c r="H392" t="n">
        <v>0</v>
      </c>
      <c r="I392" t="n">
        <v>0</v>
      </c>
      <c r="J392" t="n">
        <v>0</v>
      </c>
      <c r="K392" t="n">
        <v>0</v>
      </c>
      <c r="L392" t="n">
        <v>0</v>
      </c>
      <c r="M392" t="n">
        <v>0</v>
      </c>
      <c r="N392" t="n">
        <v>0</v>
      </c>
      <c r="O392" t="n">
        <v>0</v>
      </c>
      <c r="P392" t="n">
        <v>0</v>
      </c>
      <c r="Q392" t="n">
        <v>0</v>
      </c>
      <c r="R392" s="2" t="inlineStr"/>
    </row>
    <row r="393" ht="15" customHeight="1">
      <c r="A393" t="inlineStr">
        <is>
          <t>A 51559-2024</t>
        </is>
      </c>
      <c r="B393" s="1" t="n">
        <v>45604</v>
      </c>
      <c r="C393" s="1" t="n">
        <v>46200</v>
      </c>
      <c r="D393" t="inlineStr">
        <is>
          <t>ÖSTERGÖTLANDS LÄN</t>
        </is>
      </c>
      <c r="E393" t="inlineStr">
        <is>
          <t>LINKÖPING</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30433-2024</t>
        </is>
      </c>
      <c r="B394" s="1" t="n">
        <v>45491</v>
      </c>
      <c r="C394" s="1" t="n">
        <v>46200</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49979-2022</t>
        </is>
      </c>
      <c r="B395" s="1" t="n">
        <v>44865</v>
      </c>
      <c r="C395" s="1" t="n">
        <v>46200</v>
      </c>
      <c r="D395" t="inlineStr">
        <is>
          <t>ÖSTERGÖTLANDS LÄN</t>
        </is>
      </c>
      <c r="E395" t="inlineStr">
        <is>
          <t>LINKÖPING</t>
        </is>
      </c>
      <c r="F395" t="inlineStr">
        <is>
          <t>Övriga Aktiebolag</t>
        </is>
      </c>
      <c r="G395" t="n">
        <v>11.4</v>
      </c>
      <c r="H395" t="n">
        <v>0</v>
      </c>
      <c r="I395" t="n">
        <v>0</v>
      </c>
      <c r="J395" t="n">
        <v>0</v>
      </c>
      <c r="K395" t="n">
        <v>0</v>
      </c>
      <c r="L395" t="n">
        <v>0</v>
      </c>
      <c r="M395" t="n">
        <v>0</v>
      </c>
      <c r="N395" t="n">
        <v>0</v>
      </c>
      <c r="O395" t="n">
        <v>0</v>
      </c>
      <c r="P395" t="n">
        <v>0</v>
      </c>
      <c r="Q395" t="n">
        <v>0</v>
      </c>
      <c r="R395" s="2" t="inlineStr"/>
    </row>
    <row r="396" ht="15" customHeight="1">
      <c r="A396" t="inlineStr">
        <is>
          <t>A 39219-2021</t>
        </is>
      </c>
      <c r="B396" s="1" t="n">
        <v>44413</v>
      </c>
      <c r="C396" s="1" t="n">
        <v>46200</v>
      </c>
      <c r="D396" t="inlineStr">
        <is>
          <t>ÖSTERGÖTLANDS LÄN</t>
        </is>
      </c>
      <c r="E396" t="inlineStr">
        <is>
          <t>LINKÖPING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39224-2021</t>
        </is>
      </c>
      <c r="B397" s="1" t="n">
        <v>44413</v>
      </c>
      <c r="C397" s="1" t="n">
        <v>46200</v>
      </c>
      <c r="D397" t="inlineStr">
        <is>
          <t>ÖSTERGÖTLANDS LÄN</t>
        </is>
      </c>
      <c r="E397" t="inlineStr">
        <is>
          <t>LINKÖPING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62495-2023</t>
        </is>
      </c>
      <c r="B398" s="1" t="n">
        <v>45268</v>
      </c>
      <c r="C398" s="1" t="n">
        <v>46200</v>
      </c>
      <c r="D398" t="inlineStr">
        <is>
          <t>ÖSTERGÖTLANDS LÄN</t>
        </is>
      </c>
      <c r="E398" t="inlineStr">
        <is>
          <t>LINKÖPING</t>
        </is>
      </c>
      <c r="G398" t="n">
        <v>4.1</v>
      </c>
      <c r="H398" t="n">
        <v>0</v>
      </c>
      <c r="I398" t="n">
        <v>0</v>
      </c>
      <c r="J398" t="n">
        <v>0</v>
      </c>
      <c r="K398" t="n">
        <v>0</v>
      </c>
      <c r="L398" t="n">
        <v>0</v>
      </c>
      <c r="M398" t="n">
        <v>0</v>
      </c>
      <c r="N398" t="n">
        <v>0</v>
      </c>
      <c r="O398" t="n">
        <v>0</v>
      </c>
      <c r="P398" t="n">
        <v>0</v>
      </c>
      <c r="Q398" t="n">
        <v>0</v>
      </c>
      <c r="R398" s="2" t="inlineStr"/>
    </row>
    <row r="399" ht="15" customHeight="1">
      <c r="A399" t="inlineStr">
        <is>
          <t>A 29413-2023</t>
        </is>
      </c>
      <c r="B399" s="1" t="n">
        <v>45106</v>
      </c>
      <c r="C399" s="1" t="n">
        <v>46200</v>
      </c>
      <c r="D399" t="inlineStr">
        <is>
          <t>ÖSTERGÖTLANDS LÄN</t>
        </is>
      </c>
      <c r="E399" t="inlineStr">
        <is>
          <t>LINKÖPING</t>
        </is>
      </c>
      <c r="G399" t="n">
        <v>8</v>
      </c>
      <c r="H399" t="n">
        <v>0</v>
      </c>
      <c r="I399" t="n">
        <v>0</v>
      </c>
      <c r="J399" t="n">
        <v>0</v>
      </c>
      <c r="K399" t="n">
        <v>0</v>
      </c>
      <c r="L399" t="n">
        <v>0</v>
      </c>
      <c r="M399" t="n">
        <v>0</v>
      </c>
      <c r="N399" t="n">
        <v>0</v>
      </c>
      <c r="O399" t="n">
        <v>0</v>
      </c>
      <c r="P399" t="n">
        <v>0</v>
      </c>
      <c r="Q399" t="n">
        <v>0</v>
      </c>
      <c r="R399" s="2" t="inlineStr"/>
    </row>
    <row r="400" ht="15" customHeight="1">
      <c r="A400" t="inlineStr">
        <is>
          <t>A 25948-2023</t>
        </is>
      </c>
      <c r="B400" s="1" t="n">
        <v>45090</v>
      </c>
      <c r="C400" s="1" t="n">
        <v>46200</v>
      </c>
      <c r="D400" t="inlineStr">
        <is>
          <t>ÖSTERGÖTLANDS LÄN</t>
        </is>
      </c>
      <c r="E400" t="inlineStr">
        <is>
          <t>LINKÖPING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1627-2023</t>
        </is>
      </c>
      <c r="B401" s="1" t="n">
        <v>44937</v>
      </c>
      <c r="C401" s="1" t="n">
        <v>46200</v>
      </c>
      <c r="D401" t="inlineStr">
        <is>
          <t>ÖSTERGÖTLANDS LÄN</t>
        </is>
      </c>
      <c r="E401" t="inlineStr">
        <is>
          <t>LINKÖPING</t>
        </is>
      </c>
      <c r="G401" t="n">
        <v>10.8</v>
      </c>
      <c r="H401" t="n">
        <v>0</v>
      </c>
      <c r="I401" t="n">
        <v>0</v>
      </c>
      <c r="J401" t="n">
        <v>0</v>
      </c>
      <c r="K401" t="n">
        <v>0</v>
      </c>
      <c r="L401" t="n">
        <v>0</v>
      </c>
      <c r="M401" t="n">
        <v>0</v>
      </c>
      <c r="N401" t="n">
        <v>0</v>
      </c>
      <c r="O401" t="n">
        <v>0</v>
      </c>
      <c r="P401" t="n">
        <v>0</v>
      </c>
      <c r="Q401" t="n">
        <v>0</v>
      </c>
      <c r="R401" s="2" t="inlineStr"/>
    </row>
    <row r="402" ht="15" customHeight="1">
      <c r="A402" t="inlineStr">
        <is>
          <t>A 30481-2023</t>
        </is>
      </c>
      <c r="B402" s="1" t="n">
        <v>45111</v>
      </c>
      <c r="C402" s="1" t="n">
        <v>46200</v>
      </c>
      <c r="D402" t="inlineStr">
        <is>
          <t>ÖSTERGÖTLANDS LÄN</t>
        </is>
      </c>
      <c r="E402" t="inlineStr">
        <is>
          <t>LINKÖPING</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58114-2021</t>
        </is>
      </c>
      <c r="B403" s="1" t="n">
        <v>44487</v>
      </c>
      <c r="C403" s="1" t="n">
        <v>46200</v>
      </c>
      <c r="D403" t="inlineStr">
        <is>
          <t>ÖSTERGÖTLANDS LÄN</t>
        </is>
      </c>
      <c r="E403" t="inlineStr">
        <is>
          <t>LINKÖPING</t>
        </is>
      </c>
      <c r="F403" t="inlineStr">
        <is>
          <t>Övriga Aktiebolag</t>
        </is>
      </c>
      <c r="G403" t="n">
        <v>0.8</v>
      </c>
      <c r="H403" t="n">
        <v>0</v>
      </c>
      <c r="I403" t="n">
        <v>0</v>
      </c>
      <c r="J403" t="n">
        <v>0</v>
      </c>
      <c r="K403" t="n">
        <v>0</v>
      </c>
      <c r="L403" t="n">
        <v>0</v>
      </c>
      <c r="M403" t="n">
        <v>0</v>
      </c>
      <c r="N403" t="n">
        <v>0</v>
      </c>
      <c r="O403" t="n">
        <v>0</v>
      </c>
      <c r="P403" t="n">
        <v>0</v>
      </c>
      <c r="Q403" t="n">
        <v>0</v>
      </c>
      <c r="R403" s="2" t="inlineStr"/>
    </row>
    <row r="404" ht="15" customHeight="1">
      <c r="A404" t="inlineStr">
        <is>
          <t>A 63528-2023</t>
        </is>
      </c>
      <c r="B404" s="1" t="n">
        <v>45274</v>
      </c>
      <c r="C404" s="1" t="n">
        <v>46200</v>
      </c>
      <c r="D404" t="inlineStr">
        <is>
          <t>ÖSTERGÖTLANDS LÄN</t>
        </is>
      </c>
      <c r="E404" t="inlineStr">
        <is>
          <t>LINKÖPING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11671-2023</t>
        </is>
      </c>
      <c r="B405" s="1" t="n">
        <v>44994</v>
      </c>
      <c r="C405" s="1" t="n">
        <v>46200</v>
      </c>
      <c r="D405" t="inlineStr">
        <is>
          <t>ÖSTERGÖTLANDS LÄN</t>
        </is>
      </c>
      <c r="E405" t="inlineStr">
        <is>
          <t>LINKÖPING</t>
        </is>
      </c>
      <c r="G405" t="n">
        <v>2.6</v>
      </c>
      <c r="H405" t="n">
        <v>0</v>
      </c>
      <c r="I405" t="n">
        <v>0</v>
      </c>
      <c r="J405" t="n">
        <v>0</v>
      </c>
      <c r="K405" t="n">
        <v>0</v>
      </c>
      <c r="L405" t="n">
        <v>0</v>
      </c>
      <c r="M405" t="n">
        <v>0</v>
      </c>
      <c r="N405" t="n">
        <v>0</v>
      </c>
      <c r="O405" t="n">
        <v>0</v>
      </c>
      <c r="P405" t="n">
        <v>0</v>
      </c>
      <c r="Q405" t="n">
        <v>0</v>
      </c>
      <c r="R405" s="2" t="inlineStr"/>
    </row>
    <row r="406" ht="15" customHeight="1">
      <c r="A406" t="inlineStr">
        <is>
          <t>A 7702-2023</t>
        </is>
      </c>
      <c r="B406" s="1" t="n">
        <v>44967</v>
      </c>
      <c r="C406" s="1" t="n">
        <v>46200</v>
      </c>
      <c r="D406" t="inlineStr">
        <is>
          <t>ÖSTERGÖTLANDS LÄN</t>
        </is>
      </c>
      <c r="E406" t="inlineStr">
        <is>
          <t>LINKÖPING</t>
        </is>
      </c>
      <c r="F406" t="inlineStr">
        <is>
          <t>Övriga statliga verk och myndigheter</t>
        </is>
      </c>
      <c r="G406" t="n">
        <v>8</v>
      </c>
      <c r="H406" t="n">
        <v>0</v>
      </c>
      <c r="I406" t="n">
        <v>0</v>
      </c>
      <c r="J406" t="n">
        <v>0</v>
      </c>
      <c r="K406" t="n">
        <v>0</v>
      </c>
      <c r="L406" t="n">
        <v>0</v>
      </c>
      <c r="M406" t="n">
        <v>0</v>
      </c>
      <c r="N406" t="n">
        <v>0</v>
      </c>
      <c r="O406" t="n">
        <v>0</v>
      </c>
      <c r="P406" t="n">
        <v>0</v>
      </c>
      <c r="Q406" t="n">
        <v>0</v>
      </c>
      <c r="R406" s="2" t="inlineStr"/>
    </row>
    <row r="407" ht="15" customHeight="1">
      <c r="A407" t="inlineStr">
        <is>
          <t>A 61936-2023</t>
        </is>
      </c>
      <c r="B407" s="1" t="n">
        <v>45266</v>
      </c>
      <c r="C407" s="1" t="n">
        <v>46200</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62492-2023</t>
        </is>
      </c>
      <c r="B408" s="1" t="n">
        <v>45268</v>
      </c>
      <c r="C408" s="1" t="n">
        <v>46200</v>
      </c>
      <c r="D408" t="inlineStr">
        <is>
          <t>ÖSTERGÖTLANDS LÄN</t>
        </is>
      </c>
      <c r="E408" t="inlineStr">
        <is>
          <t>LINKÖPING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42000-2023</t>
        </is>
      </c>
      <c r="B409" s="1" t="n">
        <v>45177</v>
      </c>
      <c r="C409" s="1" t="n">
        <v>46200</v>
      </c>
      <c r="D409" t="inlineStr">
        <is>
          <t>ÖSTERGÖTLANDS LÄN</t>
        </is>
      </c>
      <c r="E409" t="inlineStr">
        <is>
          <t>LINKÖPING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55944-2024</t>
        </is>
      </c>
      <c r="B410" s="1" t="n">
        <v>45623</v>
      </c>
      <c r="C410" s="1" t="n">
        <v>46200</v>
      </c>
      <c r="D410" t="inlineStr">
        <is>
          <t>ÖSTERGÖTLANDS LÄN</t>
        </is>
      </c>
      <c r="E410" t="inlineStr">
        <is>
          <t>LINKÖPING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55947-2024</t>
        </is>
      </c>
      <c r="B411" s="1" t="n">
        <v>45623</v>
      </c>
      <c r="C411" s="1" t="n">
        <v>46200</v>
      </c>
      <c r="D411" t="inlineStr">
        <is>
          <t>ÖSTERGÖTLANDS LÄN</t>
        </is>
      </c>
      <c r="E411" t="inlineStr">
        <is>
          <t>LINKÖPING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3374-2023</t>
        </is>
      </c>
      <c r="B412" s="1" t="n">
        <v>44949</v>
      </c>
      <c r="C412" s="1" t="n">
        <v>46200</v>
      </c>
      <c r="D412" t="inlineStr">
        <is>
          <t>ÖSTERGÖTLANDS LÄN</t>
        </is>
      </c>
      <c r="E412" t="inlineStr">
        <is>
          <t>LINKÖPING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31534-2023</t>
        </is>
      </c>
      <c r="B413" s="1" t="n">
        <v>45116</v>
      </c>
      <c r="C413" s="1" t="n">
        <v>46200</v>
      </c>
      <c r="D413" t="inlineStr">
        <is>
          <t>ÖSTERGÖTLANDS LÄN</t>
        </is>
      </c>
      <c r="E413" t="inlineStr">
        <is>
          <t>LINKÖPING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35427-2023</t>
        </is>
      </c>
      <c r="B414" s="1" t="n">
        <v>45146</v>
      </c>
      <c r="C414" s="1" t="n">
        <v>46200</v>
      </c>
      <c r="D414" t="inlineStr">
        <is>
          <t>ÖSTERGÖTLANDS LÄN</t>
        </is>
      </c>
      <c r="E414" t="inlineStr">
        <is>
          <t>LINKÖPING</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36725-2023</t>
        </is>
      </c>
      <c r="B415" s="1" t="n">
        <v>45153</v>
      </c>
      <c r="C415" s="1" t="n">
        <v>46200</v>
      </c>
      <c r="D415" t="inlineStr">
        <is>
          <t>ÖSTERGÖTLANDS LÄN</t>
        </is>
      </c>
      <c r="E415" t="inlineStr">
        <is>
          <t>LINKÖPING</t>
        </is>
      </c>
      <c r="F415" t="inlineStr">
        <is>
          <t>Allmännings- och besparingsskogar</t>
        </is>
      </c>
      <c r="G415" t="n">
        <v>2.6</v>
      </c>
      <c r="H415" t="n">
        <v>0</v>
      </c>
      <c r="I415" t="n">
        <v>0</v>
      </c>
      <c r="J415" t="n">
        <v>0</v>
      </c>
      <c r="K415" t="n">
        <v>0</v>
      </c>
      <c r="L415" t="n">
        <v>0</v>
      </c>
      <c r="M415" t="n">
        <v>0</v>
      </c>
      <c r="N415" t="n">
        <v>0</v>
      </c>
      <c r="O415" t="n">
        <v>0</v>
      </c>
      <c r="P415" t="n">
        <v>0</v>
      </c>
      <c r="Q415" t="n">
        <v>0</v>
      </c>
      <c r="R415" s="2" t="inlineStr"/>
    </row>
    <row r="416" ht="15" customHeight="1">
      <c r="A416" t="inlineStr">
        <is>
          <t>A 3013-2023</t>
        </is>
      </c>
      <c r="B416" s="1" t="n">
        <v>44945</v>
      </c>
      <c r="C416" s="1" t="n">
        <v>46200</v>
      </c>
      <c r="D416" t="inlineStr">
        <is>
          <t>ÖSTERGÖTLANDS LÄN</t>
        </is>
      </c>
      <c r="E416" t="inlineStr">
        <is>
          <t>LINKÖPING</t>
        </is>
      </c>
      <c r="G416" t="n">
        <v>5.2</v>
      </c>
      <c r="H416" t="n">
        <v>0</v>
      </c>
      <c r="I416" t="n">
        <v>0</v>
      </c>
      <c r="J416" t="n">
        <v>0</v>
      </c>
      <c r="K416" t="n">
        <v>0</v>
      </c>
      <c r="L416" t="n">
        <v>0</v>
      </c>
      <c r="M416" t="n">
        <v>0</v>
      </c>
      <c r="N416" t="n">
        <v>0</v>
      </c>
      <c r="O416" t="n">
        <v>0</v>
      </c>
      <c r="P416" t="n">
        <v>0</v>
      </c>
      <c r="Q416" t="n">
        <v>0</v>
      </c>
      <c r="R416" s="2" t="inlineStr"/>
    </row>
    <row r="417" ht="15" customHeight="1">
      <c r="A417" t="inlineStr">
        <is>
          <t>A 49747-2024</t>
        </is>
      </c>
      <c r="B417" s="1" t="n">
        <v>45596</v>
      </c>
      <c r="C417" s="1" t="n">
        <v>46200</v>
      </c>
      <c r="D417" t="inlineStr">
        <is>
          <t>ÖSTERGÖTLANDS LÄN</t>
        </is>
      </c>
      <c r="E417" t="inlineStr">
        <is>
          <t>LINKÖPING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42997-2021</t>
        </is>
      </c>
      <c r="B418" s="1" t="n">
        <v>44431</v>
      </c>
      <c r="C418" s="1" t="n">
        <v>46200</v>
      </c>
      <c r="D418" t="inlineStr">
        <is>
          <t>ÖSTERGÖTLANDS LÄN</t>
        </is>
      </c>
      <c r="E418" t="inlineStr">
        <is>
          <t>LINKÖPING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674-2024</t>
        </is>
      </c>
      <c r="B419" s="1" t="n">
        <v>45300</v>
      </c>
      <c r="C419" s="1" t="n">
        <v>46200</v>
      </c>
      <c r="D419" t="inlineStr">
        <is>
          <t>ÖSTERGÖTLANDS LÄN</t>
        </is>
      </c>
      <c r="E419" t="inlineStr">
        <is>
          <t>LINKÖPING</t>
        </is>
      </c>
      <c r="F419" t="inlineStr">
        <is>
          <t>Sveaskog</t>
        </is>
      </c>
      <c r="G419" t="n">
        <v>2.9</v>
      </c>
      <c r="H419" t="n">
        <v>0</v>
      </c>
      <c r="I419" t="n">
        <v>0</v>
      </c>
      <c r="J419" t="n">
        <v>0</v>
      </c>
      <c r="K419" t="n">
        <v>0</v>
      </c>
      <c r="L419" t="n">
        <v>0</v>
      </c>
      <c r="M419" t="n">
        <v>0</v>
      </c>
      <c r="N419" t="n">
        <v>0</v>
      </c>
      <c r="O419" t="n">
        <v>0</v>
      </c>
      <c r="P419" t="n">
        <v>0</v>
      </c>
      <c r="Q419" t="n">
        <v>0</v>
      </c>
      <c r="R419" s="2" t="inlineStr"/>
    </row>
    <row r="420" ht="15" customHeight="1">
      <c r="A420" t="inlineStr">
        <is>
          <t>A 23735-2023</t>
        </is>
      </c>
      <c r="B420" s="1" t="n">
        <v>45077</v>
      </c>
      <c r="C420" s="1" t="n">
        <v>46200</v>
      </c>
      <c r="D420" t="inlineStr">
        <is>
          <t>ÖSTERGÖTLANDS LÄN</t>
        </is>
      </c>
      <c r="E420" t="inlineStr">
        <is>
          <t>LINKÖPING</t>
        </is>
      </c>
      <c r="G420" t="n">
        <v>1.7</v>
      </c>
      <c r="H420" t="n">
        <v>0</v>
      </c>
      <c r="I420" t="n">
        <v>0</v>
      </c>
      <c r="J420" t="n">
        <v>0</v>
      </c>
      <c r="K420" t="n">
        <v>0</v>
      </c>
      <c r="L420" t="n">
        <v>0</v>
      </c>
      <c r="M420" t="n">
        <v>0</v>
      </c>
      <c r="N420" t="n">
        <v>0</v>
      </c>
      <c r="O420" t="n">
        <v>0</v>
      </c>
      <c r="P420" t="n">
        <v>0</v>
      </c>
      <c r="Q420" t="n">
        <v>0</v>
      </c>
      <c r="R420" s="2" t="inlineStr"/>
    </row>
    <row r="421" ht="15" customHeight="1">
      <c r="A421" t="inlineStr">
        <is>
          <t>A 53639-2023</t>
        </is>
      </c>
      <c r="B421" s="1" t="n">
        <v>45230</v>
      </c>
      <c r="C421" s="1" t="n">
        <v>46200</v>
      </c>
      <c r="D421" t="inlineStr">
        <is>
          <t>ÖSTERGÖTLANDS LÄN</t>
        </is>
      </c>
      <c r="E421" t="inlineStr">
        <is>
          <t>LINKÖPING</t>
        </is>
      </c>
      <c r="G421" t="n">
        <v>2.3</v>
      </c>
      <c r="H421" t="n">
        <v>0</v>
      </c>
      <c r="I421" t="n">
        <v>0</v>
      </c>
      <c r="J421" t="n">
        <v>0</v>
      </c>
      <c r="K421" t="n">
        <v>0</v>
      </c>
      <c r="L421" t="n">
        <v>0</v>
      </c>
      <c r="M421" t="n">
        <v>0</v>
      </c>
      <c r="N421" t="n">
        <v>0</v>
      </c>
      <c r="O421" t="n">
        <v>0</v>
      </c>
      <c r="P421" t="n">
        <v>0</v>
      </c>
      <c r="Q421" t="n">
        <v>0</v>
      </c>
      <c r="R421" s="2" t="inlineStr"/>
    </row>
    <row r="422" ht="15" customHeight="1">
      <c r="A422" t="inlineStr">
        <is>
          <t>A 6782-2024</t>
        </is>
      </c>
      <c r="B422" s="1" t="n">
        <v>45342</v>
      </c>
      <c r="C422" s="1" t="n">
        <v>46200</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45821-2024</t>
        </is>
      </c>
      <c r="B423" s="1" t="n">
        <v>45579</v>
      </c>
      <c r="C423" s="1" t="n">
        <v>46200</v>
      </c>
      <c r="D423" t="inlineStr">
        <is>
          <t>ÖSTERGÖTLANDS LÄN</t>
        </is>
      </c>
      <c r="E423" t="inlineStr">
        <is>
          <t>LINKÖPING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10094-2024</t>
        </is>
      </c>
      <c r="B424" s="1" t="n">
        <v>45364</v>
      </c>
      <c r="C424" s="1" t="n">
        <v>46200</v>
      </c>
      <c r="D424" t="inlineStr">
        <is>
          <t>ÖSTERGÖTLANDS LÄN</t>
        </is>
      </c>
      <c r="E424" t="inlineStr">
        <is>
          <t>LINKÖPING</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63684-2023</t>
        </is>
      </c>
      <c r="B425" s="1" t="n">
        <v>45275</v>
      </c>
      <c r="C425" s="1" t="n">
        <v>46200</v>
      </c>
      <c r="D425" t="inlineStr">
        <is>
          <t>ÖSTERGÖTLANDS LÄN</t>
        </is>
      </c>
      <c r="E425" t="inlineStr">
        <is>
          <t>LINKÖPING</t>
        </is>
      </c>
      <c r="G425" t="n">
        <v>0.4</v>
      </c>
      <c r="H425" t="n">
        <v>0</v>
      </c>
      <c r="I425" t="n">
        <v>0</v>
      </c>
      <c r="J425" t="n">
        <v>0</v>
      </c>
      <c r="K425" t="n">
        <v>0</v>
      </c>
      <c r="L425" t="n">
        <v>0</v>
      </c>
      <c r="M425" t="n">
        <v>0</v>
      </c>
      <c r="N425" t="n">
        <v>0</v>
      </c>
      <c r="O425" t="n">
        <v>0</v>
      </c>
      <c r="P425" t="n">
        <v>0</v>
      </c>
      <c r="Q425" t="n">
        <v>0</v>
      </c>
      <c r="R425" s="2" t="inlineStr"/>
    </row>
    <row r="426" ht="15" customHeight="1">
      <c r="A426" t="inlineStr">
        <is>
          <t>A 63688-2023</t>
        </is>
      </c>
      <c r="B426" s="1" t="n">
        <v>45275</v>
      </c>
      <c r="C426" s="1" t="n">
        <v>46200</v>
      </c>
      <c r="D426" t="inlineStr">
        <is>
          <t>ÖSTERGÖTLANDS LÄN</t>
        </is>
      </c>
      <c r="E426" t="inlineStr">
        <is>
          <t>LINKÖPING</t>
        </is>
      </c>
      <c r="F426" t="inlineStr">
        <is>
          <t>Övriga Aktiebolag</t>
        </is>
      </c>
      <c r="G426" t="n">
        <v>2.4</v>
      </c>
      <c r="H426" t="n">
        <v>0</v>
      </c>
      <c r="I426" t="n">
        <v>0</v>
      </c>
      <c r="J426" t="n">
        <v>0</v>
      </c>
      <c r="K426" t="n">
        <v>0</v>
      </c>
      <c r="L426" t="n">
        <v>0</v>
      </c>
      <c r="M426" t="n">
        <v>0</v>
      </c>
      <c r="N426" t="n">
        <v>0</v>
      </c>
      <c r="O426" t="n">
        <v>0</v>
      </c>
      <c r="P426" t="n">
        <v>0</v>
      </c>
      <c r="Q426" t="n">
        <v>0</v>
      </c>
      <c r="R426" s="2" t="inlineStr"/>
    </row>
    <row r="427" ht="15" customHeight="1">
      <c r="A427" t="inlineStr">
        <is>
          <t>A 63691-2023</t>
        </is>
      </c>
      <c r="B427" s="1" t="n">
        <v>45275</v>
      </c>
      <c r="C427" s="1" t="n">
        <v>46200</v>
      </c>
      <c r="D427" t="inlineStr">
        <is>
          <t>ÖSTERGÖTLANDS LÄN</t>
        </is>
      </c>
      <c r="E427" t="inlineStr">
        <is>
          <t>LINKÖPING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36657-2023</t>
        </is>
      </c>
      <c r="B428" s="1" t="n">
        <v>45153</v>
      </c>
      <c r="C428" s="1" t="n">
        <v>46200</v>
      </c>
      <c r="D428" t="inlineStr">
        <is>
          <t>ÖSTERGÖTLANDS LÄN</t>
        </is>
      </c>
      <c r="E428" t="inlineStr">
        <is>
          <t>LINKÖPING</t>
        </is>
      </c>
      <c r="F428" t="inlineStr">
        <is>
          <t>Allmännings- och besparingsskogar</t>
        </is>
      </c>
      <c r="G428" t="n">
        <v>2</v>
      </c>
      <c r="H428" t="n">
        <v>0</v>
      </c>
      <c r="I428" t="n">
        <v>0</v>
      </c>
      <c r="J428" t="n">
        <v>0</v>
      </c>
      <c r="K428" t="n">
        <v>0</v>
      </c>
      <c r="L428" t="n">
        <v>0</v>
      </c>
      <c r="M428" t="n">
        <v>0</v>
      </c>
      <c r="N428" t="n">
        <v>0</v>
      </c>
      <c r="O428" t="n">
        <v>0</v>
      </c>
      <c r="P428" t="n">
        <v>0</v>
      </c>
      <c r="Q428" t="n">
        <v>0</v>
      </c>
      <c r="R428" s="2" t="inlineStr"/>
    </row>
    <row r="429" ht="15" customHeight="1">
      <c r="A429" t="inlineStr">
        <is>
          <t>A 1657-2024</t>
        </is>
      </c>
      <c r="B429" s="1" t="n">
        <v>45306</v>
      </c>
      <c r="C429" s="1" t="n">
        <v>46200</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14667-2024</t>
        </is>
      </c>
      <c r="B430" s="1" t="n">
        <v>45397</v>
      </c>
      <c r="C430" s="1" t="n">
        <v>46200</v>
      </c>
      <c r="D430" t="inlineStr">
        <is>
          <t>ÖSTERGÖTLANDS LÄN</t>
        </is>
      </c>
      <c r="E430" t="inlineStr">
        <is>
          <t>LINKÖPING</t>
        </is>
      </c>
      <c r="G430" t="n">
        <v>2.3</v>
      </c>
      <c r="H430" t="n">
        <v>0</v>
      </c>
      <c r="I430" t="n">
        <v>0</v>
      </c>
      <c r="J430" t="n">
        <v>0</v>
      </c>
      <c r="K430" t="n">
        <v>0</v>
      </c>
      <c r="L430" t="n">
        <v>0</v>
      </c>
      <c r="M430" t="n">
        <v>0</v>
      </c>
      <c r="N430" t="n">
        <v>0</v>
      </c>
      <c r="O430" t="n">
        <v>0</v>
      </c>
      <c r="P430" t="n">
        <v>0</v>
      </c>
      <c r="Q430" t="n">
        <v>0</v>
      </c>
      <c r="R430" s="2" t="inlineStr"/>
    </row>
    <row r="431" ht="15" customHeight="1">
      <c r="A431" t="inlineStr">
        <is>
          <t>A 50784-2022</t>
        </is>
      </c>
      <c r="B431" s="1" t="n">
        <v>44862</v>
      </c>
      <c r="C431" s="1" t="n">
        <v>46200</v>
      </c>
      <c r="D431" t="inlineStr">
        <is>
          <t>ÖSTERGÖTLANDS LÄN</t>
        </is>
      </c>
      <c r="E431" t="inlineStr">
        <is>
          <t>LINKÖPING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26803-2024</t>
        </is>
      </c>
      <c r="B432" s="1" t="n">
        <v>45470</v>
      </c>
      <c r="C432" s="1" t="n">
        <v>46200</v>
      </c>
      <c r="D432" t="inlineStr">
        <is>
          <t>ÖSTERGÖTLANDS LÄN</t>
        </is>
      </c>
      <c r="E432" t="inlineStr">
        <is>
          <t>LINKÖPING</t>
        </is>
      </c>
      <c r="F432" t="inlineStr">
        <is>
          <t>Allmännings- och besparingsskogar</t>
        </is>
      </c>
      <c r="G432" t="n">
        <v>4.5</v>
      </c>
      <c r="H432" t="n">
        <v>0</v>
      </c>
      <c r="I432" t="n">
        <v>0</v>
      </c>
      <c r="J432" t="n">
        <v>0</v>
      </c>
      <c r="K432" t="n">
        <v>0</v>
      </c>
      <c r="L432" t="n">
        <v>0</v>
      </c>
      <c r="M432" t="n">
        <v>0</v>
      </c>
      <c r="N432" t="n">
        <v>0</v>
      </c>
      <c r="O432" t="n">
        <v>0</v>
      </c>
      <c r="P432" t="n">
        <v>0</v>
      </c>
      <c r="Q432" t="n">
        <v>0</v>
      </c>
      <c r="R432" s="2" t="inlineStr"/>
    </row>
    <row r="433" ht="15" customHeight="1">
      <c r="A433" t="inlineStr">
        <is>
          <t>A 27797-2025</t>
        </is>
      </c>
      <c r="B433" s="1" t="n">
        <v>45816</v>
      </c>
      <c r="C433" s="1" t="n">
        <v>46200</v>
      </c>
      <c r="D433" t="inlineStr">
        <is>
          <t>ÖSTERGÖTLANDS LÄN</t>
        </is>
      </c>
      <c r="E433" t="inlineStr">
        <is>
          <t>LINKÖPING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53647-2021</t>
        </is>
      </c>
      <c r="B434" s="1" t="n">
        <v>44469</v>
      </c>
      <c r="C434" s="1" t="n">
        <v>46200</v>
      </c>
      <c r="D434" t="inlineStr">
        <is>
          <t>ÖSTERGÖTLANDS LÄN</t>
        </is>
      </c>
      <c r="E434" t="inlineStr">
        <is>
          <t>LINKÖPING</t>
        </is>
      </c>
      <c r="G434" t="n">
        <v>2.3</v>
      </c>
      <c r="H434" t="n">
        <v>0</v>
      </c>
      <c r="I434" t="n">
        <v>0</v>
      </c>
      <c r="J434" t="n">
        <v>0</v>
      </c>
      <c r="K434" t="n">
        <v>0</v>
      </c>
      <c r="L434" t="n">
        <v>0</v>
      </c>
      <c r="M434" t="n">
        <v>0</v>
      </c>
      <c r="N434" t="n">
        <v>0</v>
      </c>
      <c r="O434" t="n">
        <v>0</v>
      </c>
      <c r="P434" t="n">
        <v>0</v>
      </c>
      <c r="Q434" t="n">
        <v>0</v>
      </c>
      <c r="R434" s="2" t="inlineStr"/>
    </row>
    <row r="435" ht="15" customHeight="1">
      <c r="A435" t="inlineStr">
        <is>
          <t>A 6599-2023</t>
        </is>
      </c>
      <c r="B435" s="1" t="n">
        <v>44966</v>
      </c>
      <c r="C435" s="1" t="n">
        <v>46200</v>
      </c>
      <c r="D435" t="inlineStr">
        <is>
          <t>ÖSTERGÖTLANDS LÄN</t>
        </is>
      </c>
      <c r="E435" t="inlineStr">
        <is>
          <t>LINKÖPING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60472-2022</t>
        </is>
      </c>
      <c r="B436" s="1" t="n">
        <v>44911</v>
      </c>
      <c r="C436" s="1" t="n">
        <v>46200</v>
      </c>
      <c r="D436" t="inlineStr">
        <is>
          <t>ÖSTERGÖTLANDS LÄN</t>
        </is>
      </c>
      <c r="E436" t="inlineStr">
        <is>
          <t>LINKÖPING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15714-2024</t>
        </is>
      </c>
      <c r="B437" s="1" t="n">
        <v>45404</v>
      </c>
      <c r="C437" s="1" t="n">
        <v>46200</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29027-2025</t>
        </is>
      </c>
      <c r="B438" s="1" t="n">
        <v>45821</v>
      </c>
      <c r="C438" s="1" t="n">
        <v>46200</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43934-2023</t>
        </is>
      </c>
      <c r="B439" s="1" t="n">
        <v>45187</v>
      </c>
      <c r="C439" s="1" t="n">
        <v>46200</v>
      </c>
      <c r="D439" t="inlineStr">
        <is>
          <t>ÖSTERGÖTLANDS LÄN</t>
        </is>
      </c>
      <c r="E439" t="inlineStr">
        <is>
          <t>LINKÖPING</t>
        </is>
      </c>
      <c r="F439" t="inlineStr">
        <is>
          <t>Övriga Aktiebolag</t>
        </is>
      </c>
      <c r="G439" t="n">
        <v>3.8</v>
      </c>
      <c r="H439" t="n">
        <v>0</v>
      </c>
      <c r="I439" t="n">
        <v>0</v>
      </c>
      <c r="J439" t="n">
        <v>0</v>
      </c>
      <c r="K439" t="n">
        <v>0</v>
      </c>
      <c r="L439" t="n">
        <v>0</v>
      </c>
      <c r="M439" t="n">
        <v>0</v>
      </c>
      <c r="N439" t="n">
        <v>0</v>
      </c>
      <c r="O439" t="n">
        <v>0</v>
      </c>
      <c r="P439" t="n">
        <v>0</v>
      </c>
      <c r="Q439" t="n">
        <v>0</v>
      </c>
      <c r="R439" s="2" t="inlineStr"/>
    </row>
    <row r="440" ht="15" customHeight="1">
      <c r="A440" t="inlineStr">
        <is>
          <t>A 1209-2023</t>
        </is>
      </c>
      <c r="B440" s="1" t="n">
        <v>44930</v>
      </c>
      <c r="C440" s="1" t="n">
        <v>46200</v>
      </c>
      <c r="D440" t="inlineStr">
        <is>
          <t>ÖSTERGÖTLANDS LÄN</t>
        </is>
      </c>
      <c r="E440" t="inlineStr">
        <is>
          <t>LINKÖPING</t>
        </is>
      </c>
      <c r="F440" t="inlineStr">
        <is>
          <t>Övriga statliga verk och myndigheter</t>
        </is>
      </c>
      <c r="G440" t="n">
        <v>25.8</v>
      </c>
      <c r="H440" t="n">
        <v>0</v>
      </c>
      <c r="I440" t="n">
        <v>0</v>
      </c>
      <c r="J440" t="n">
        <v>0</v>
      </c>
      <c r="K440" t="n">
        <v>0</v>
      </c>
      <c r="L440" t="n">
        <v>0</v>
      </c>
      <c r="M440" t="n">
        <v>0</v>
      </c>
      <c r="N440" t="n">
        <v>0</v>
      </c>
      <c r="O440" t="n">
        <v>0</v>
      </c>
      <c r="P440" t="n">
        <v>0</v>
      </c>
      <c r="Q440" t="n">
        <v>0</v>
      </c>
      <c r="R440" s="2" t="inlineStr"/>
    </row>
    <row r="441" ht="15" customHeight="1">
      <c r="A441" t="inlineStr">
        <is>
          <t>A 37715-2022</t>
        </is>
      </c>
      <c r="B441" s="1" t="n">
        <v>44810</v>
      </c>
      <c r="C441" s="1" t="n">
        <v>46200</v>
      </c>
      <c r="D441" t="inlineStr">
        <is>
          <t>ÖSTERGÖTLANDS LÄN</t>
        </is>
      </c>
      <c r="E441" t="inlineStr">
        <is>
          <t>LINKÖPING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29599-2025</t>
        </is>
      </c>
      <c r="B442" s="1" t="n">
        <v>45825</v>
      </c>
      <c r="C442" s="1" t="n">
        <v>46200</v>
      </c>
      <c r="D442" t="inlineStr">
        <is>
          <t>ÖSTERGÖTLANDS LÄN</t>
        </is>
      </c>
      <c r="E442" t="inlineStr">
        <is>
          <t>LINKÖPING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10407-2025</t>
        </is>
      </c>
      <c r="B443" s="1" t="n">
        <v>45720</v>
      </c>
      <c r="C443" s="1" t="n">
        <v>46200</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11590-2023</t>
        </is>
      </c>
      <c r="B444" s="1" t="n">
        <v>44994</v>
      </c>
      <c r="C444" s="1" t="n">
        <v>46200</v>
      </c>
      <c r="D444" t="inlineStr">
        <is>
          <t>ÖSTERGÖTLANDS LÄN</t>
        </is>
      </c>
      <c r="E444" t="inlineStr">
        <is>
          <t>LINKÖPING</t>
        </is>
      </c>
      <c r="G444" t="n">
        <v>3.1</v>
      </c>
      <c r="H444" t="n">
        <v>0</v>
      </c>
      <c r="I444" t="n">
        <v>0</v>
      </c>
      <c r="J444" t="n">
        <v>0</v>
      </c>
      <c r="K444" t="n">
        <v>0</v>
      </c>
      <c r="L444" t="n">
        <v>0</v>
      </c>
      <c r="M444" t="n">
        <v>0</v>
      </c>
      <c r="N444" t="n">
        <v>0</v>
      </c>
      <c r="O444" t="n">
        <v>0</v>
      </c>
      <c r="P444" t="n">
        <v>0</v>
      </c>
      <c r="Q444" t="n">
        <v>0</v>
      </c>
      <c r="R444" s="2" t="inlineStr"/>
    </row>
    <row r="445" ht="15" customHeight="1">
      <c r="A445" t="inlineStr">
        <is>
          <t>A 19169-2023</t>
        </is>
      </c>
      <c r="B445" s="1" t="n">
        <v>45044</v>
      </c>
      <c r="C445" s="1" t="n">
        <v>46200</v>
      </c>
      <c r="D445" t="inlineStr">
        <is>
          <t>ÖSTERGÖTLANDS LÄN</t>
        </is>
      </c>
      <c r="E445" t="inlineStr">
        <is>
          <t>LINKÖPING</t>
        </is>
      </c>
      <c r="G445" t="n">
        <v>2.7</v>
      </c>
      <c r="H445" t="n">
        <v>0</v>
      </c>
      <c r="I445" t="n">
        <v>0</v>
      </c>
      <c r="J445" t="n">
        <v>0</v>
      </c>
      <c r="K445" t="n">
        <v>0</v>
      </c>
      <c r="L445" t="n">
        <v>0</v>
      </c>
      <c r="M445" t="n">
        <v>0</v>
      </c>
      <c r="N445" t="n">
        <v>0</v>
      </c>
      <c r="O445" t="n">
        <v>0</v>
      </c>
      <c r="P445" t="n">
        <v>0</v>
      </c>
      <c r="Q445" t="n">
        <v>0</v>
      </c>
      <c r="R445" s="2" t="inlineStr"/>
    </row>
    <row r="446" ht="15" customHeight="1">
      <c r="A446" t="inlineStr">
        <is>
          <t>A 35735-2023</t>
        </is>
      </c>
      <c r="B446" s="1" t="n">
        <v>45147</v>
      </c>
      <c r="C446" s="1" t="n">
        <v>46200</v>
      </c>
      <c r="D446" t="inlineStr">
        <is>
          <t>ÖSTERGÖTLANDS LÄN</t>
        </is>
      </c>
      <c r="E446" t="inlineStr">
        <is>
          <t>LINKÖPING</t>
        </is>
      </c>
      <c r="G446" t="n">
        <v>2.8</v>
      </c>
      <c r="H446" t="n">
        <v>0</v>
      </c>
      <c r="I446" t="n">
        <v>0</v>
      </c>
      <c r="J446" t="n">
        <v>0</v>
      </c>
      <c r="K446" t="n">
        <v>0</v>
      </c>
      <c r="L446" t="n">
        <v>0</v>
      </c>
      <c r="M446" t="n">
        <v>0</v>
      </c>
      <c r="N446" t="n">
        <v>0</v>
      </c>
      <c r="O446" t="n">
        <v>0</v>
      </c>
      <c r="P446" t="n">
        <v>0</v>
      </c>
      <c r="Q446" t="n">
        <v>0</v>
      </c>
      <c r="R446" s="2" t="inlineStr"/>
    </row>
    <row r="447" ht="15" customHeight="1">
      <c r="A447" t="inlineStr">
        <is>
          <t>A 30435-2024</t>
        </is>
      </c>
      <c r="B447" s="1" t="n">
        <v>45491</v>
      </c>
      <c r="C447" s="1" t="n">
        <v>46200</v>
      </c>
      <c r="D447" t="inlineStr">
        <is>
          <t>ÖSTERGÖTLANDS LÄN</t>
        </is>
      </c>
      <c r="E447" t="inlineStr">
        <is>
          <t>LINKÖPING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672-2024</t>
        </is>
      </c>
      <c r="B448" s="1" t="n">
        <v>45300</v>
      </c>
      <c r="C448" s="1" t="n">
        <v>46200</v>
      </c>
      <c r="D448" t="inlineStr">
        <is>
          <t>ÖSTERGÖTLANDS LÄN</t>
        </is>
      </c>
      <c r="E448" t="inlineStr">
        <is>
          <t>LINKÖPING</t>
        </is>
      </c>
      <c r="F448" t="inlineStr">
        <is>
          <t>Sveaskog</t>
        </is>
      </c>
      <c r="G448" t="n">
        <v>4.5</v>
      </c>
      <c r="H448" t="n">
        <v>0</v>
      </c>
      <c r="I448" t="n">
        <v>0</v>
      </c>
      <c r="J448" t="n">
        <v>0</v>
      </c>
      <c r="K448" t="n">
        <v>0</v>
      </c>
      <c r="L448" t="n">
        <v>0</v>
      </c>
      <c r="M448" t="n">
        <v>0</v>
      </c>
      <c r="N448" t="n">
        <v>0</v>
      </c>
      <c r="O448" t="n">
        <v>0</v>
      </c>
      <c r="P448" t="n">
        <v>0</v>
      </c>
      <c r="Q448" t="n">
        <v>0</v>
      </c>
      <c r="R448" s="2" t="inlineStr"/>
    </row>
    <row r="449" ht="15" customHeight="1">
      <c r="A449" t="inlineStr">
        <is>
          <t>A 38231-2022</t>
        </is>
      </c>
      <c r="B449" s="1" t="n">
        <v>44812</v>
      </c>
      <c r="C449" s="1" t="n">
        <v>46200</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55493-2021</t>
        </is>
      </c>
      <c r="B450" s="1" t="n">
        <v>44475</v>
      </c>
      <c r="C450" s="1" t="n">
        <v>46200</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34557-2022</t>
        </is>
      </c>
      <c r="B451" s="1" t="n">
        <v>44794</v>
      </c>
      <c r="C451" s="1" t="n">
        <v>46200</v>
      </c>
      <c r="D451" t="inlineStr">
        <is>
          <t>ÖSTERGÖTLANDS LÄN</t>
        </is>
      </c>
      <c r="E451" t="inlineStr">
        <is>
          <t>LINKÖPING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13011-2022</t>
        </is>
      </c>
      <c r="B452" s="1" t="n">
        <v>44643</v>
      </c>
      <c r="C452" s="1" t="n">
        <v>46200</v>
      </c>
      <c r="D452" t="inlineStr">
        <is>
          <t>ÖSTERGÖTLANDS LÄN</t>
        </is>
      </c>
      <c r="E452" t="inlineStr">
        <is>
          <t>LINKÖPING</t>
        </is>
      </c>
      <c r="G452" t="n">
        <v>3.7</v>
      </c>
      <c r="H452" t="n">
        <v>0</v>
      </c>
      <c r="I452" t="n">
        <v>0</v>
      </c>
      <c r="J452" t="n">
        <v>0</v>
      </c>
      <c r="K452" t="n">
        <v>0</v>
      </c>
      <c r="L452" t="n">
        <v>0</v>
      </c>
      <c r="M452" t="n">
        <v>0</v>
      </c>
      <c r="N452" t="n">
        <v>0</v>
      </c>
      <c r="O452" t="n">
        <v>0</v>
      </c>
      <c r="P452" t="n">
        <v>0</v>
      </c>
      <c r="Q452" t="n">
        <v>0</v>
      </c>
      <c r="R452" s="2" t="inlineStr"/>
    </row>
    <row r="453" ht="15" customHeight="1">
      <c r="A453" t="inlineStr">
        <is>
          <t>A 45831-2024</t>
        </is>
      </c>
      <c r="B453" s="1" t="n">
        <v>45579</v>
      </c>
      <c r="C453" s="1" t="n">
        <v>46200</v>
      </c>
      <c r="D453" t="inlineStr">
        <is>
          <t>ÖSTERGÖTLANDS LÄN</t>
        </is>
      </c>
      <c r="E453" t="inlineStr">
        <is>
          <t>LINKÖPING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14093-2024</t>
        </is>
      </c>
      <c r="B454" s="1" t="n">
        <v>45392</v>
      </c>
      <c r="C454" s="1" t="n">
        <v>46200</v>
      </c>
      <c r="D454" t="inlineStr">
        <is>
          <t>ÖSTERGÖTLANDS LÄN</t>
        </is>
      </c>
      <c r="E454" t="inlineStr">
        <is>
          <t>LINKÖPING</t>
        </is>
      </c>
      <c r="F454" t="inlineStr">
        <is>
          <t>Övriga Aktiebolag</t>
        </is>
      </c>
      <c r="G454" t="n">
        <v>0.6</v>
      </c>
      <c r="H454" t="n">
        <v>0</v>
      </c>
      <c r="I454" t="n">
        <v>0</v>
      </c>
      <c r="J454" t="n">
        <v>0</v>
      </c>
      <c r="K454" t="n">
        <v>0</v>
      </c>
      <c r="L454" t="n">
        <v>0</v>
      </c>
      <c r="M454" t="n">
        <v>0</v>
      </c>
      <c r="N454" t="n">
        <v>0</v>
      </c>
      <c r="O454" t="n">
        <v>0</v>
      </c>
      <c r="P454" t="n">
        <v>0</v>
      </c>
      <c r="Q454" t="n">
        <v>0</v>
      </c>
      <c r="R454" s="2" t="inlineStr"/>
    </row>
    <row r="455" ht="15" customHeight="1">
      <c r="A455" t="inlineStr">
        <is>
          <t>A 617-2024</t>
        </is>
      </c>
      <c r="B455" s="1" t="n">
        <v>45299</v>
      </c>
      <c r="C455" s="1" t="n">
        <v>46200</v>
      </c>
      <c r="D455" t="inlineStr">
        <is>
          <t>ÖSTERGÖTLANDS LÄN</t>
        </is>
      </c>
      <c r="E455" t="inlineStr">
        <is>
          <t>LINKÖPING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62019-2024</t>
        </is>
      </c>
      <c r="B456" s="1" t="n">
        <v>45655</v>
      </c>
      <c r="C456" s="1" t="n">
        <v>46200</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25119-2023</t>
        </is>
      </c>
      <c r="B457" s="1" t="n">
        <v>45086</v>
      </c>
      <c r="C457" s="1" t="n">
        <v>46200</v>
      </c>
      <c r="D457" t="inlineStr">
        <is>
          <t>ÖSTERGÖTLANDS LÄN</t>
        </is>
      </c>
      <c r="E457" t="inlineStr">
        <is>
          <t>LINKÖPING</t>
        </is>
      </c>
      <c r="G457" t="n">
        <v>3.2</v>
      </c>
      <c r="H457" t="n">
        <v>0</v>
      </c>
      <c r="I457" t="n">
        <v>0</v>
      </c>
      <c r="J457" t="n">
        <v>0</v>
      </c>
      <c r="K457" t="n">
        <v>0</v>
      </c>
      <c r="L457" t="n">
        <v>0</v>
      </c>
      <c r="M457" t="n">
        <v>0</v>
      </c>
      <c r="N457" t="n">
        <v>0</v>
      </c>
      <c r="O457" t="n">
        <v>0</v>
      </c>
      <c r="P457" t="n">
        <v>0</v>
      </c>
      <c r="Q457" t="n">
        <v>0</v>
      </c>
      <c r="R457" s="2" t="inlineStr"/>
    </row>
    <row r="458" ht="15" customHeight="1">
      <c r="A458" t="inlineStr">
        <is>
          <t>A 37154-2023</t>
        </is>
      </c>
      <c r="B458" s="1" t="n">
        <v>45155</v>
      </c>
      <c r="C458" s="1" t="n">
        <v>46200</v>
      </c>
      <c r="D458" t="inlineStr">
        <is>
          <t>ÖSTERGÖTLANDS LÄN</t>
        </is>
      </c>
      <c r="E458" t="inlineStr">
        <is>
          <t>LINKÖPING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53812-2023</t>
        </is>
      </c>
      <c r="B459" s="1" t="n">
        <v>45231</v>
      </c>
      <c r="C459" s="1" t="n">
        <v>46200</v>
      </c>
      <c r="D459" t="inlineStr">
        <is>
          <t>ÖSTERGÖTLANDS LÄN</t>
        </is>
      </c>
      <c r="E459" t="inlineStr">
        <is>
          <t>LINKÖPING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53830-2023</t>
        </is>
      </c>
      <c r="B460" s="1" t="n">
        <v>45230</v>
      </c>
      <c r="C460" s="1" t="n">
        <v>46200</v>
      </c>
      <c r="D460" t="inlineStr">
        <is>
          <t>ÖSTERGÖTLANDS LÄN</t>
        </is>
      </c>
      <c r="E460" t="inlineStr">
        <is>
          <t>LINKÖPING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31581-2025</t>
        </is>
      </c>
      <c r="B461" s="1" t="n">
        <v>45833</v>
      </c>
      <c r="C461" s="1" t="n">
        <v>46200</v>
      </c>
      <c r="D461" t="inlineStr">
        <is>
          <t>ÖSTERGÖTLANDS LÄN</t>
        </is>
      </c>
      <c r="E461" t="inlineStr">
        <is>
          <t>LINKÖPING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31585-2025</t>
        </is>
      </c>
      <c r="B462" s="1" t="n">
        <v>45833</v>
      </c>
      <c r="C462" s="1" t="n">
        <v>46200</v>
      </c>
      <c r="D462" t="inlineStr">
        <is>
          <t>ÖSTERGÖTLANDS LÄN</t>
        </is>
      </c>
      <c r="E462" t="inlineStr">
        <is>
          <t>LINKÖPING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57396-2021</t>
        </is>
      </c>
      <c r="B463" s="1" t="n">
        <v>44483</v>
      </c>
      <c r="C463" s="1" t="n">
        <v>46200</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17143-2025</t>
        </is>
      </c>
      <c r="B464" s="1" t="n">
        <v>45755</v>
      </c>
      <c r="C464" s="1" t="n">
        <v>46200</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53816-2023</t>
        </is>
      </c>
      <c r="B465" s="1" t="n">
        <v>45231</v>
      </c>
      <c r="C465" s="1" t="n">
        <v>46200</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17124-2025</t>
        </is>
      </c>
      <c r="B466" s="1" t="n">
        <v>45755</v>
      </c>
      <c r="C466" s="1" t="n">
        <v>46200</v>
      </c>
      <c r="D466" t="inlineStr">
        <is>
          <t>ÖSTERGÖTLANDS LÄN</t>
        </is>
      </c>
      <c r="E466" t="inlineStr">
        <is>
          <t>LINKÖPING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17126-2025</t>
        </is>
      </c>
      <c r="B467" s="1" t="n">
        <v>45755</v>
      </c>
      <c r="C467" s="1" t="n">
        <v>46200</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19362-2023</t>
        </is>
      </c>
      <c r="B468" s="1" t="n">
        <v>45049</v>
      </c>
      <c r="C468" s="1" t="n">
        <v>46200</v>
      </c>
      <c r="D468" t="inlineStr">
        <is>
          <t>ÖSTERGÖTLANDS LÄN</t>
        </is>
      </c>
      <c r="E468" t="inlineStr">
        <is>
          <t>LINKÖPING</t>
        </is>
      </c>
      <c r="G468" t="n">
        <v>0.1</v>
      </c>
      <c r="H468" t="n">
        <v>0</v>
      </c>
      <c r="I468" t="n">
        <v>0</v>
      </c>
      <c r="J468" t="n">
        <v>0</v>
      </c>
      <c r="K468" t="n">
        <v>0</v>
      </c>
      <c r="L468" t="n">
        <v>0</v>
      </c>
      <c r="M468" t="n">
        <v>0</v>
      </c>
      <c r="N468" t="n">
        <v>0</v>
      </c>
      <c r="O468" t="n">
        <v>0</v>
      </c>
      <c r="P468" t="n">
        <v>0</v>
      </c>
      <c r="Q468" t="n">
        <v>0</v>
      </c>
      <c r="R468" s="2" t="inlineStr"/>
    </row>
    <row r="469" ht="15" customHeight="1">
      <c r="A469" t="inlineStr">
        <is>
          <t>A 19132-2023</t>
        </is>
      </c>
      <c r="B469" s="1" t="n">
        <v>45048</v>
      </c>
      <c r="C469" s="1" t="n">
        <v>46200</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31640-2023</t>
        </is>
      </c>
      <c r="B470" s="1" t="n">
        <v>45117</v>
      </c>
      <c r="C470" s="1" t="n">
        <v>46200</v>
      </c>
      <c r="D470" t="inlineStr">
        <is>
          <t>ÖSTERGÖTLANDS LÄN</t>
        </is>
      </c>
      <c r="E470" t="inlineStr">
        <is>
          <t>LINKÖPING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63935-2021</t>
        </is>
      </c>
      <c r="B471" s="1" t="n">
        <v>44509</v>
      </c>
      <c r="C471" s="1" t="n">
        <v>46200</v>
      </c>
      <c r="D471" t="inlineStr">
        <is>
          <t>ÖSTERGÖTLANDS LÄN</t>
        </is>
      </c>
      <c r="E471" t="inlineStr">
        <is>
          <t>LINKÖPING</t>
        </is>
      </c>
      <c r="F471" t="inlineStr">
        <is>
          <t>Övriga statliga verk och myndigheter</t>
        </is>
      </c>
      <c r="G471" t="n">
        <v>2.8</v>
      </c>
      <c r="H471" t="n">
        <v>0</v>
      </c>
      <c r="I471" t="n">
        <v>0</v>
      </c>
      <c r="J471" t="n">
        <v>0</v>
      </c>
      <c r="K471" t="n">
        <v>0</v>
      </c>
      <c r="L471" t="n">
        <v>0</v>
      </c>
      <c r="M471" t="n">
        <v>0</v>
      </c>
      <c r="N471" t="n">
        <v>0</v>
      </c>
      <c r="O471" t="n">
        <v>0</v>
      </c>
      <c r="P471" t="n">
        <v>0</v>
      </c>
      <c r="Q471" t="n">
        <v>0</v>
      </c>
      <c r="R471" s="2" t="inlineStr"/>
    </row>
    <row r="472" ht="15" customHeight="1">
      <c r="A472" t="inlineStr">
        <is>
          <t>A 6726-2024</t>
        </is>
      </c>
      <c r="B472" s="1" t="n">
        <v>45341</v>
      </c>
      <c r="C472" s="1" t="n">
        <v>46200</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11790-2024</t>
        </is>
      </c>
      <c r="B473" s="1" t="n">
        <v>45374</v>
      </c>
      <c r="C473" s="1" t="n">
        <v>46200</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61281-2021</t>
        </is>
      </c>
      <c r="B474" s="1" t="n">
        <v>44498</v>
      </c>
      <c r="C474" s="1" t="n">
        <v>46200</v>
      </c>
      <c r="D474" t="inlineStr">
        <is>
          <t>ÖSTERGÖTLANDS LÄN</t>
        </is>
      </c>
      <c r="E474" t="inlineStr">
        <is>
          <t>LINKÖPING</t>
        </is>
      </c>
      <c r="G474" t="n">
        <v>4.5</v>
      </c>
      <c r="H474" t="n">
        <v>0</v>
      </c>
      <c r="I474" t="n">
        <v>0</v>
      </c>
      <c r="J474" t="n">
        <v>0</v>
      </c>
      <c r="K474" t="n">
        <v>0</v>
      </c>
      <c r="L474" t="n">
        <v>0</v>
      </c>
      <c r="M474" t="n">
        <v>0</v>
      </c>
      <c r="N474" t="n">
        <v>0</v>
      </c>
      <c r="O474" t="n">
        <v>0</v>
      </c>
      <c r="P474" t="n">
        <v>0</v>
      </c>
      <c r="Q474" t="n">
        <v>0</v>
      </c>
      <c r="R474" s="2" t="inlineStr"/>
    </row>
    <row r="475" ht="15" customHeight="1">
      <c r="A475" t="inlineStr">
        <is>
          <t>A 6206-2024</t>
        </is>
      </c>
      <c r="B475" s="1" t="n">
        <v>45337</v>
      </c>
      <c r="C475" s="1" t="n">
        <v>46200</v>
      </c>
      <c r="D475" t="inlineStr">
        <is>
          <t>ÖSTERGÖTLANDS LÄN</t>
        </is>
      </c>
      <c r="E475" t="inlineStr">
        <is>
          <t>LINKÖPING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53529-2024</t>
        </is>
      </c>
      <c r="B476" s="1" t="n">
        <v>45614</v>
      </c>
      <c r="C476" s="1" t="n">
        <v>46200</v>
      </c>
      <c r="D476" t="inlineStr">
        <is>
          <t>ÖSTERGÖTLANDS LÄN</t>
        </is>
      </c>
      <c r="E476" t="inlineStr">
        <is>
          <t>LINKÖPING</t>
        </is>
      </c>
      <c r="G476" t="n">
        <v>6.7</v>
      </c>
      <c r="H476" t="n">
        <v>0</v>
      </c>
      <c r="I476" t="n">
        <v>0</v>
      </c>
      <c r="J476" t="n">
        <v>0</v>
      </c>
      <c r="K476" t="n">
        <v>0</v>
      </c>
      <c r="L476" t="n">
        <v>0</v>
      </c>
      <c r="M476" t="n">
        <v>0</v>
      </c>
      <c r="N476" t="n">
        <v>0</v>
      </c>
      <c r="O476" t="n">
        <v>0</v>
      </c>
      <c r="P476" t="n">
        <v>0</v>
      </c>
      <c r="Q476" t="n">
        <v>0</v>
      </c>
      <c r="R476" s="2" t="inlineStr"/>
    </row>
    <row r="477" ht="15" customHeight="1">
      <c r="A477" t="inlineStr">
        <is>
          <t>A 62012-2024</t>
        </is>
      </c>
      <c r="B477" s="1" t="n">
        <v>45655</v>
      </c>
      <c r="C477" s="1" t="n">
        <v>46200</v>
      </c>
      <c r="D477" t="inlineStr">
        <is>
          <t>ÖSTERGÖTLANDS LÄN</t>
        </is>
      </c>
      <c r="E477" t="inlineStr">
        <is>
          <t>LINKÖPING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29309-2024</t>
        </is>
      </c>
      <c r="B478" s="1" t="n">
        <v>45483</v>
      </c>
      <c r="C478" s="1" t="n">
        <v>46200</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168-2024</t>
        </is>
      </c>
      <c r="B479" s="1" t="n">
        <v>45294</v>
      </c>
      <c r="C479" s="1" t="n">
        <v>46200</v>
      </c>
      <c r="D479" t="inlineStr">
        <is>
          <t>ÖSTERGÖTLANDS LÄN</t>
        </is>
      </c>
      <c r="E479" t="inlineStr">
        <is>
          <t>LINKÖPING</t>
        </is>
      </c>
      <c r="F479" t="inlineStr">
        <is>
          <t>Allmännings- och besparingsskogar</t>
        </is>
      </c>
      <c r="G479" t="n">
        <v>8.9</v>
      </c>
      <c r="H479" t="n">
        <v>0</v>
      </c>
      <c r="I479" t="n">
        <v>0</v>
      </c>
      <c r="J479" t="n">
        <v>0</v>
      </c>
      <c r="K479" t="n">
        <v>0</v>
      </c>
      <c r="L479" t="n">
        <v>0</v>
      </c>
      <c r="M479" t="n">
        <v>0</v>
      </c>
      <c r="N479" t="n">
        <v>0</v>
      </c>
      <c r="O479" t="n">
        <v>0</v>
      </c>
      <c r="P479" t="n">
        <v>0</v>
      </c>
      <c r="Q479" t="n">
        <v>0</v>
      </c>
      <c r="R479" s="2" t="inlineStr"/>
    </row>
    <row r="480" ht="15" customHeight="1">
      <c r="A480" t="inlineStr">
        <is>
          <t>A 56623-2024</t>
        </is>
      </c>
      <c r="B480" s="1" t="n">
        <v>45625</v>
      </c>
      <c r="C480" s="1" t="n">
        <v>46200</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11330-2023</t>
        </is>
      </c>
      <c r="B481" s="1" t="n">
        <v>44993</v>
      </c>
      <c r="C481" s="1" t="n">
        <v>46200</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63304-2021</t>
        </is>
      </c>
      <c r="B482" s="1" t="n">
        <v>44508</v>
      </c>
      <c r="C482" s="1" t="n">
        <v>46200</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14528-2025</t>
        </is>
      </c>
      <c r="B483" s="1" t="n">
        <v>45741</v>
      </c>
      <c r="C483" s="1" t="n">
        <v>46200</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20296-2025</t>
        </is>
      </c>
      <c r="B484" s="1" t="n">
        <v>45774</v>
      </c>
      <c r="C484" s="1" t="n">
        <v>46200</v>
      </c>
      <c r="D484" t="inlineStr">
        <is>
          <t>ÖSTERGÖTLANDS LÄN</t>
        </is>
      </c>
      <c r="E484" t="inlineStr">
        <is>
          <t>LINKÖPING</t>
        </is>
      </c>
      <c r="G484" t="n">
        <v>2.2</v>
      </c>
      <c r="H484" t="n">
        <v>0</v>
      </c>
      <c r="I484" t="n">
        <v>0</v>
      </c>
      <c r="J484" t="n">
        <v>0</v>
      </c>
      <c r="K484" t="n">
        <v>0</v>
      </c>
      <c r="L484" t="n">
        <v>0</v>
      </c>
      <c r="M484" t="n">
        <v>0</v>
      </c>
      <c r="N484" t="n">
        <v>0</v>
      </c>
      <c r="O484" t="n">
        <v>0</v>
      </c>
      <c r="P484" t="n">
        <v>0</v>
      </c>
      <c r="Q484" t="n">
        <v>0</v>
      </c>
      <c r="R484" s="2" t="inlineStr"/>
    </row>
    <row r="485" ht="15" customHeight="1">
      <c r="A485" t="inlineStr">
        <is>
          <t>A 35178-2025</t>
        </is>
      </c>
      <c r="B485" s="1" t="n">
        <v>45852</v>
      </c>
      <c r="C485" s="1" t="n">
        <v>46200</v>
      </c>
      <c r="D485" t="inlineStr">
        <is>
          <t>ÖSTERGÖTLANDS LÄN</t>
        </is>
      </c>
      <c r="E485" t="inlineStr">
        <is>
          <t>LINKÖPING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3530-2024</t>
        </is>
      </c>
      <c r="B486" s="1" t="n">
        <v>45320</v>
      </c>
      <c r="C486" s="1" t="n">
        <v>46200</v>
      </c>
      <c r="D486" t="inlineStr">
        <is>
          <t>ÖSTERGÖTLANDS LÄN</t>
        </is>
      </c>
      <c r="E486" t="inlineStr">
        <is>
          <t>LINKÖPING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62073-2023</t>
        </is>
      </c>
      <c r="B487" s="1" t="n">
        <v>45266</v>
      </c>
      <c r="C487" s="1" t="n">
        <v>46200</v>
      </c>
      <c r="D487" t="inlineStr">
        <is>
          <t>ÖSTERGÖTLANDS LÄN</t>
        </is>
      </c>
      <c r="E487" t="inlineStr">
        <is>
          <t>LINKÖPING</t>
        </is>
      </c>
      <c r="F487" t="inlineStr">
        <is>
          <t>Allmännings- och besparingsskogar</t>
        </is>
      </c>
      <c r="G487" t="n">
        <v>1.8</v>
      </c>
      <c r="H487" t="n">
        <v>0</v>
      </c>
      <c r="I487" t="n">
        <v>0</v>
      </c>
      <c r="J487" t="n">
        <v>0</v>
      </c>
      <c r="K487" t="n">
        <v>0</v>
      </c>
      <c r="L487" t="n">
        <v>0</v>
      </c>
      <c r="M487" t="n">
        <v>0</v>
      </c>
      <c r="N487" t="n">
        <v>0</v>
      </c>
      <c r="O487" t="n">
        <v>0</v>
      </c>
      <c r="P487" t="n">
        <v>0</v>
      </c>
      <c r="Q487" t="n">
        <v>0</v>
      </c>
      <c r="R487" s="2" t="inlineStr"/>
    </row>
    <row r="488" ht="15" customHeight="1">
      <c r="A488" t="inlineStr">
        <is>
          <t>A 5872-2025</t>
        </is>
      </c>
      <c r="B488" s="1" t="n">
        <v>45695</v>
      </c>
      <c r="C488" s="1" t="n">
        <v>46200</v>
      </c>
      <c r="D488" t="inlineStr">
        <is>
          <t>ÖSTERGÖTLANDS LÄN</t>
        </is>
      </c>
      <c r="E488" t="inlineStr">
        <is>
          <t>LINKÖPING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53814-2023</t>
        </is>
      </c>
      <c r="B489" s="1" t="n">
        <v>45231</v>
      </c>
      <c r="C489" s="1" t="n">
        <v>46200</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3432-2023</t>
        </is>
      </c>
      <c r="B490" s="1" t="n">
        <v>44949</v>
      </c>
      <c r="C490" s="1" t="n">
        <v>46200</v>
      </c>
      <c r="D490" t="inlineStr">
        <is>
          <t>ÖSTERGÖTLANDS LÄN</t>
        </is>
      </c>
      <c r="E490" t="inlineStr">
        <is>
          <t>LINKÖPING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48839-2022</t>
        </is>
      </c>
      <c r="B491" s="1" t="n">
        <v>44859</v>
      </c>
      <c r="C491" s="1" t="n">
        <v>46200</v>
      </c>
      <c r="D491" t="inlineStr">
        <is>
          <t>ÖSTERGÖTLANDS LÄN</t>
        </is>
      </c>
      <c r="E491" t="inlineStr">
        <is>
          <t>LINKÖPING</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54425-2022</t>
        </is>
      </c>
      <c r="B492" s="1" t="n">
        <v>44882</v>
      </c>
      <c r="C492" s="1" t="n">
        <v>46200</v>
      </c>
      <c r="D492" t="inlineStr">
        <is>
          <t>ÖSTERGÖTLANDS LÄN</t>
        </is>
      </c>
      <c r="E492" t="inlineStr">
        <is>
          <t>LINKÖPING</t>
        </is>
      </c>
      <c r="G492" t="n">
        <v>1.5</v>
      </c>
      <c r="H492" t="n">
        <v>0</v>
      </c>
      <c r="I492" t="n">
        <v>0</v>
      </c>
      <c r="J492" t="n">
        <v>0</v>
      </c>
      <c r="K492" t="n">
        <v>0</v>
      </c>
      <c r="L492" t="n">
        <v>0</v>
      </c>
      <c r="M492" t="n">
        <v>0</v>
      </c>
      <c r="N492" t="n">
        <v>0</v>
      </c>
      <c r="O492" t="n">
        <v>0</v>
      </c>
      <c r="P492" t="n">
        <v>0</v>
      </c>
      <c r="Q492" t="n">
        <v>0</v>
      </c>
      <c r="R492" s="2" t="inlineStr"/>
    </row>
    <row r="493" ht="15" customHeight="1">
      <c r="A493" t="inlineStr">
        <is>
          <t>A 54428-2022</t>
        </is>
      </c>
      <c r="B493" s="1" t="n">
        <v>44882</v>
      </c>
      <c r="C493" s="1" t="n">
        <v>46200</v>
      </c>
      <c r="D493" t="inlineStr">
        <is>
          <t>ÖSTERGÖTLANDS LÄN</t>
        </is>
      </c>
      <c r="E493" t="inlineStr">
        <is>
          <t>LINKÖPING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53411-2023</t>
        </is>
      </c>
      <c r="B494" s="1" t="n">
        <v>45229</v>
      </c>
      <c r="C494" s="1" t="n">
        <v>46200</v>
      </c>
      <c r="D494" t="inlineStr">
        <is>
          <t>ÖSTERGÖTLANDS LÄN</t>
        </is>
      </c>
      <c r="E494" t="inlineStr">
        <is>
          <t>LINKÖPING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35757-2025</t>
        </is>
      </c>
      <c r="B495" s="1" t="n">
        <v>45860</v>
      </c>
      <c r="C495" s="1" t="n">
        <v>46200</v>
      </c>
      <c r="D495" t="inlineStr">
        <is>
          <t>ÖSTERGÖTLANDS LÄN</t>
        </is>
      </c>
      <c r="E495" t="inlineStr">
        <is>
          <t>LINKÖPING</t>
        </is>
      </c>
      <c r="G495" t="n">
        <v>5.7</v>
      </c>
      <c r="H495" t="n">
        <v>0</v>
      </c>
      <c r="I495" t="n">
        <v>0</v>
      </c>
      <c r="J495" t="n">
        <v>0</v>
      </c>
      <c r="K495" t="n">
        <v>0</v>
      </c>
      <c r="L495" t="n">
        <v>0</v>
      </c>
      <c r="M495" t="n">
        <v>0</v>
      </c>
      <c r="N495" t="n">
        <v>0</v>
      </c>
      <c r="O495" t="n">
        <v>0</v>
      </c>
      <c r="P495" t="n">
        <v>0</v>
      </c>
      <c r="Q495" t="n">
        <v>0</v>
      </c>
      <c r="R495" s="2" t="inlineStr"/>
    </row>
    <row r="496" ht="15" customHeight="1">
      <c r="A496" t="inlineStr">
        <is>
          <t>A 35745-2025</t>
        </is>
      </c>
      <c r="B496" s="1" t="n">
        <v>45860</v>
      </c>
      <c r="C496" s="1" t="n">
        <v>46200</v>
      </c>
      <c r="D496" t="inlineStr">
        <is>
          <t>ÖSTERGÖTLANDS LÄN</t>
        </is>
      </c>
      <c r="E496" t="inlineStr">
        <is>
          <t>LINKÖPING</t>
        </is>
      </c>
      <c r="G496" t="n">
        <v>4.4</v>
      </c>
      <c r="H496" t="n">
        <v>0</v>
      </c>
      <c r="I496" t="n">
        <v>0</v>
      </c>
      <c r="J496" t="n">
        <v>0</v>
      </c>
      <c r="K496" t="n">
        <v>0</v>
      </c>
      <c r="L496" t="n">
        <v>0</v>
      </c>
      <c r="M496" t="n">
        <v>0</v>
      </c>
      <c r="N496" t="n">
        <v>0</v>
      </c>
      <c r="O496" t="n">
        <v>0</v>
      </c>
      <c r="P496" t="n">
        <v>0</v>
      </c>
      <c r="Q496" t="n">
        <v>0</v>
      </c>
      <c r="R496" s="2" t="inlineStr"/>
    </row>
    <row r="497" ht="15" customHeight="1">
      <c r="A497" t="inlineStr">
        <is>
          <t>A 35747-2025</t>
        </is>
      </c>
      <c r="B497" s="1" t="n">
        <v>45860</v>
      </c>
      <c r="C497" s="1" t="n">
        <v>46200</v>
      </c>
      <c r="D497" t="inlineStr">
        <is>
          <t>ÖSTERGÖTLANDS LÄN</t>
        </is>
      </c>
      <c r="E497" t="inlineStr">
        <is>
          <t>LINKÖPING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26788-2022</t>
        </is>
      </c>
      <c r="B498" s="1" t="n">
        <v>44740</v>
      </c>
      <c r="C498" s="1" t="n">
        <v>46200</v>
      </c>
      <c r="D498" t="inlineStr">
        <is>
          <t>ÖSTERGÖTLANDS LÄN</t>
        </is>
      </c>
      <c r="E498" t="inlineStr">
        <is>
          <t>LINKÖPING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35759-2025</t>
        </is>
      </c>
      <c r="B499" s="1" t="n">
        <v>45860</v>
      </c>
      <c r="C499" s="1" t="n">
        <v>46200</v>
      </c>
      <c r="D499" t="inlineStr">
        <is>
          <t>ÖSTERGÖTLANDS LÄN</t>
        </is>
      </c>
      <c r="E499" t="inlineStr">
        <is>
          <t>LINKÖPING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24462-2023</t>
        </is>
      </c>
      <c r="B500" s="1" t="n">
        <v>45082</v>
      </c>
      <c r="C500" s="1" t="n">
        <v>46200</v>
      </c>
      <c r="D500" t="inlineStr">
        <is>
          <t>ÖSTERGÖTLANDS LÄN</t>
        </is>
      </c>
      <c r="E500" t="inlineStr">
        <is>
          <t>LINKÖPING</t>
        </is>
      </c>
      <c r="G500" t="n">
        <v>3.5</v>
      </c>
      <c r="H500" t="n">
        <v>0</v>
      </c>
      <c r="I500" t="n">
        <v>0</v>
      </c>
      <c r="J500" t="n">
        <v>0</v>
      </c>
      <c r="K500" t="n">
        <v>0</v>
      </c>
      <c r="L500" t="n">
        <v>0</v>
      </c>
      <c r="M500" t="n">
        <v>0</v>
      </c>
      <c r="N500" t="n">
        <v>0</v>
      </c>
      <c r="O500" t="n">
        <v>0</v>
      </c>
      <c r="P500" t="n">
        <v>0</v>
      </c>
      <c r="Q500" t="n">
        <v>0</v>
      </c>
      <c r="R500" s="2" t="inlineStr"/>
    </row>
    <row r="501" ht="15" customHeight="1">
      <c r="A501" t="inlineStr">
        <is>
          <t>A 660-2023</t>
        </is>
      </c>
      <c r="B501" s="1" t="n">
        <v>44930</v>
      </c>
      <c r="C501" s="1" t="n">
        <v>46200</v>
      </c>
      <c r="D501" t="inlineStr">
        <is>
          <t>ÖSTERGÖTLANDS LÄN</t>
        </is>
      </c>
      <c r="E501" t="inlineStr">
        <is>
          <t>LINKÖPING</t>
        </is>
      </c>
      <c r="F501" t="inlineStr">
        <is>
          <t>Kyrkan</t>
        </is>
      </c>
      <c r="G501" t="n">
        <v>1.6</v>
      </c>
      <c r="H501" t="n">
        <v>0</v>
      </c>
      <c r="I501" t="n">
        <v>0</v>
      </c>
      <c r="J501" t="n">
        <v>0</v>
      </c>
      <c r="K501" t="n">
        <v>0</v>
      </c>
      <c r="L501" t="n">
        <v>0</v>
      </c>
      <c r="M501" t="n">
        <v>0</v>
      </c>
      <c r="N501" t="n">
        <v>0</v>
      </c>
      <c r="O501" t="n">
        <v>0</v>
      </c>
      <c r="P501" t="n">
        <v>0</v>
      </c>
      <c r="Q501" t="n">
        <v>0</v>
      </c>
      <c r="R501" s="2" t="inlineStr"/>
    </row>
    <row r="502" ht="15" customHeight="1">
      <c r="A502" t="inlineStr">
        <is>
          <t>A 62501-2023</t>
        </is>
      </c>
      <c r="B502" s="1" t="n">
        <v>45268</v>
      </c>
      <c r="C502" s="1" t="n">
        <v>46200</v>
      </c>
      <c r="D502" t="inlineStr">
        <is>
          <t>ÖSTERGÖTLANDS LÄN</t>
        </is>
      </c>
      <c r="E502" t="inlineStr">
        <is>
          <t>LINKÖPING</t>
        </is>
      </c>
      <c r="G502" t="n">
        <v>7.4</v>
      </c>
      <c r="H502" t="n">
        <v>0</v>
      </c>
      <c r="I502" t="n">
        <v>0</v>
      </c>
      <c r="J502" t="n">
        <v>0</v>
      </c>
      <c r="K502" t="n">
        <v>0</v>
      </c>
      <c r="L502" t="n">
        <v>0</v>
      </c>
      <c r="M502" t="n">
        <v>0</v>
      </c>
      <c r="N502" t="n">
        <v>0</v>
      </c>
      <c r="O502" t="n">
        <v>0</v>
      </c>
      <c r="P502" t="n">
        <v>0</v>
      </c>
      <c r="Q502" t="n">
        <v>0</v>
      </c>
      <c r="R502" s="2" t="inlineStr"/>
    </row>
    <row r="503" ht="15" customHeight="1">
      <c r="A503" t="inlineStr">
        <is>
          <t>A 13413-2023</t>
        </is>
      </c>
      <c r="B503" s="1" t="n">
        <v>45005</v>
      </c>
      <c r="C503" s="1" t="n">
        <v>46200</v>
      </c>
      <c r="D503" t="inlineStr">
        <is>
          <t>ÖSTERGÖTLANDS LÄN</t>
        </is>
      </c>
      <c r="E503" t="inlineStr">
        <is>
          <t>LINKÖPING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26620-2023</t>
        </is>
      </c>
      <c r="B504" s="1" t="n">
        <v>45092</v>
      </c>
      <c r="C504" s="1" t="n">
        <v>46200</v>
      </c>
      <c r="D504" t="inlineStr">
        <is>
          <t>ÖSTERGÖTLANDS LÄN</t>
        </is>
      </c>
      <c r="E504" t="inlineStr">
        <is>
          <t>LINKÖPING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62015-2024</t>
        </is>
      </c>
      <c r="B505" s="1" t="n">
        <v>45655</v>
      </c>
      <c r="C505" s="1" t="n">
        <v>46200</v>
      </c>
      <c r="D505" t="inlineStr">
        <is>
          <t>ÖSTERGÖTLANDS LÄN</t>
        </is>
      </c>
      <c r="E505" t="inlineStr">
        <is>
          <t>LINKÖPING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63678-2023</t>
        </is>
      </c>
      <c r="B506" s="1" t="n">
        <v>45275</v>
      </c>
      <c r="C506" s="1" t="n">
        <v>46200</v>
      </c>
      <c r="D506" t="inlineStr">
        <is>
          <t>ÖSTERGÖTLANDS LÄN</t>
        </is>
      </c>
      <c r="E506" t="inlineStr">
        <is>
          <t>LINKÖPING</t>
        </is>
      </c>
      <c r="F506" t="inlineStr">
        <is>
          <t>Övriga Aktiebolag</t>
        </is>
      </c>
      <c r="G506" t="n">
        <v>0.4</v>
      </c>
      <c r="H506" t="n">
        <v>0</v>
      </c>
      <c r="I506" t="n">
        <v>0</v>
      </c>
      <c r="J506" t="n">
        <v>0</v>
      </c>
      <c r="K506" t="n">
        <v>0</v>
      </c>
      <c r="L506" t="n">
        <v>0</v>
      </c>
      <c r="M506" t="n">
        <v>0</v>
      </c>
      <c r="N506" t="n">
        <v>0</v>
      </c>
      <c r="O506" t="n">
        <v>0</v>
      </c>
      <c r="P506" t="n">
        <v>0</v>
      </c>
      <c r="Q506" t="n">
        <v>0</v>
      </c>
      <c r="R506" s="2" t="inlineStr"/>
    </row>
    <row r="507" ht="15" customHeight="1">
      <c r="A507" t="inlineStr">
        <is>
          <t>A 10741-2023</t>
        </is>
      </c>
      <c r="B507" s="1" t="n">
        <v>44988</v>
      </c>
      <c r="C507" s="1" t="n">
        <v>46200</v>
      </c>
      <c r="D507" t="inlineStr">
        <is>
          <t>ÖSTERGÖTLANDS LÄN</t>
        </is>
      </c>
      <c r="E507" t="inlineStr">
        <is>
          <t>LINKÖPING</t>
        </is>
      </c>
      <c r="F507" t="inlineStr">
        <is>
          <t>Allmännings- och besparingsskogar</t>
        </is>
      </c>
      <c r="G507" t="n">
        <v>11.2</v>
      </c>
      <c r="H507" t="n">
        <v>0</v>
      </c>
      <c r="I507" t="n">
        <v>0</v>
      </c>
      <c r="J507" t="n">
        <v>0</v>
      </c>
      <c r="K507" t="n">
        <v>0</v>
      </c>
      <c r="L507" t="n">
        <v>0</v>
      </c>
      <c r="M507" t="n">
        <v>0</v>
      </c>
      <c r="N507" t="n">
        <v>0</v>
      </c>
      <c r="O507" t="n">
        <v>0</v>
      </c>
      <c r="P507" t="n">
        <v>0</v>
      </c>
      <c r="Q507" t="n">
        <v>0</v>
      </c>
      <c r="R507" s="2" t="inlineStr"/>
    </row>
    <row r="508" ht="15" customHeight="1">
      <c r="A508" t="inlineStr">
        <is>
          <t>A 61281-2021</t>
        </is>
      </c>
      <c r="B508" s="1" t="n">
        <v>44498</v>
      </c>
      <c r="C508" s="1" t="n">
        <v>46200</v>
      </c>
      <c r="D508" t="inlineStr">
        <is>
          <t>ÖSTERGÖTLANDS LÄN</t>
        </is>
      </c>
      <c r="E508" t="inlineStr">
        <is>
          <t>LINKÖPING</t>
        </is>
      </c>
      <c r="G508" t="n">
        <v>4.5</v>
      </c>
      <c r="H508" t="n">
        <v>0</v>
      </c>
      <c r="I508" t="n">
        <v>0</v>
      </c>
      <c r="J508" t="n">
        <v>0</v>
      </c>
      <c r="K508" t="n">
        <v>0</v>
      </c>
      <c r="L508" t="n">
        <v>0</v>
      </c>
      <c r="M508" t="n">
        <v>0</v>
      </c>
      <c r="N508" t="n">
        <v>0</v>
      </c>
      <c r="O508" t="n">
        <v>0</v>
      </c>
      <c r="P508" t="n">
        <v>0</v>
      </c>
      <c r="Q508" t="n">
        <v>0</v>
      </c>
      <c r="R508" s="2" t="inlineStr"/>
    </row>
    <row r="509" ht="15" customHeight="1">
      <c r="A509" t="inlineStr">
        <is>
          <t>A 63935-2021</t>
        </is>
      </c>
      <c r="B509" s="1" t="n">
        <v>44509</v>
      </c>
      <c r="C509" s="1" t="n">
        <v>46200</v>
      </c>
      <c r="D509" t="inlineStr">
        <is>
          <t>ÖSTERGÖTLANDS LÄN</t>
        </is>
      </c>
      <c r="E509" t="inlineStr">
        <is>
          <t>LINKÖPING</t>
        </is>
      </c>
      <c r="F509" t="inlineStr">
        <is>
          <t>Övriga statliga verk och myndigheter</t>
        </is>
      </c>
      <c r="G509" t="n">
        <v>2.8</v>
      </c>
      <c r="H509" t="n">
        <v>0</v>
      </c>
      <c r="I509" t="n">
        <v>0</v>
      </c>
      <c r="J509" t="n">
        <v>0</v>
      </c>
      <c r="K509" t="n">
        <v>0</v>
      </c>
      <c r="L509" t="n">
        <v>0</v>
      </c>
      <c r="M509" t="n">
        <v>0</v>
      </c>
      <c r="N509" t="n">
        <v>0</v>
      </c>
      <c r="O509" t="n">
        <v>0</v>
      </c>
      <c r="P509" t="n">
        <v>0</v>
      </c>
      <c r="Q509" t="n">
        <v>0</v>
      </c>
      <c r="R509" s="2" t="inlineStr"/>
    </row>
    <row r="510" ht="15" customHeight="1">
      <c r="A510" t="inlineStr">
        <is>
          <t>A 55345-2021</t>
        </is>
      </c>
      <c r="B510" s="1" t="n">
        <v>44475</v>
      </c>
      <c r="C510" s="1" t="n">
        <v>46200</v>
      </c>
      <c r="D510" t="inlineStr">
        <is>
          <t>ÖSTERGÖTLANDS LÄN</t>
        </is>
      </c>
      <c r="E510" t="inlineStr">
        <is>
          <t>LINKÖPING</t>
        </is>
      </c>
      <c r="G510" t="n">
        <v>5.7</v>
      </c>
      <c r="H510" t="n">
        <v>0</v>
      </c>
      <c r="I510" t="n">
        <v>0</v>
      </c>
      <c r="J510" t="n">
        <v>0</v>
      </c>
      <c r="K510" t="n">
        <v>0</v>
      </c>
      <c r="L510" t="n">
        <v>0</v>
      </c>
      <c r="M510" t="n">
        <v>0</v>
      </c>
      <c r="N510" t="n">
        <v>0</v>
      </c>
      <c r="O510" t="n">
        <v>0</v>
      </c>
      <c r="P510" t="n">
        <v>0</v>
      </c>
      <c r="Q510" t="n">
        <v>0</v>
      </c>
      <c r="R510" s="2" t="inlineStr"/>
    </row>
    <row r="511" ht="15" customHeight="1">
      <c r="A511" t="inlineStr">
        <is>
          <t>A 43473-2024</t>
        </is>
      </c>
      <c r="B511" s="1" t="n">
        <v>45568</v>
      </c>
      <c r="C511" s="1" t="n">
        <v>46200</v>
      </c>
      <c r="D511" t="inlineStr">
        <is>
          <t>ÖSTERGÖTLANDS LÄN</t>
        </is>
      </c>
      <c r="E511" t="inlineStr">
        <is>
          <t>LINKÖPING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43475-2024</t>
        </is>
      </c>
      <c r="B512" s="1" t="n">
        <v>45568</v>
      </c>
      <c r="C512" s="1" t="n">
        <v>46200</v>
      </c>
      <c r="D512" t="inlineStr">
        <is>
          <t>ÖSTERGÖTLANDS LÄN</t>
        </is>
      </c>
      <c r="E512" t="inlineStr">
        <is>
          <t>LINKÖPING</t>
        </is>
      </c>
      <c r="G512" t="n">
        <v>3.2</v>
      </c>
      <c r="H512" t="n">
        <v>0</v>
      </c>
      <c r="I512" t="n">
        <v>0</v>
      </c>
      <c r="J512" t="n">
        <v>0</v>
      </c>
      <c r="K512" t="n">
        <v>0</v>
      </c>
      <c r="L512" t="n">
        <v>0</v>
      </c>
      <c r="M512" t="n">
        <v>0</v>
      </c>
      <c r="N512" t="n">
        <v>0</v>
      </c>
      <c r="O512" t="n">
        <v>0</v>
      </c>
      <c r="P512" t="n">
        <v>0</v>
      </c>
      <c r="Q512" t="n">
        <v>0</v>
      </c>
      <c r="R512" s="2" t="inlineStr"/>
    </row>
    <row r="513" ht="15" customHeight="1">
      <c r="A513" t="inlineStr">
        <is>
          <t>A 1844-2025</t>
        </is>
      </c>
      <c r="B513" s="1" t="n">
        <v>45671</v>
      </c>
      <c r="C513" s="1" t="n">
        <v>46200</v>
      </c>
      <c r="D513" t="inlineStr">
        <is>
          <t>ÖSTERGÖTLANDS LÄN</t>
        </is>
      </c>
      <c r="E513" t="inlineStr">
        <is>
          <t>LINKÖPING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29859-2024</t>
        </is>
      </c>
      <c r="B514" s="1" t="n">
        <v>45485</v>
      </c>
      <c r="C514" s="1" t="n">
        <v>46200</v>
      </c>
      <c r="D514" t="inlineStr">
        <is>
          <t>ÖSTERGÖTLANDS LÄN</t>
        </is>
      </c>
      <c r="E514" t="inlineStr">
        <is>
          <t>LINKÖPING</t>
        </is>
      </c>
      <c r="G514" t="n">
        <v>0.4</v>
      </c>
      <c r="H514" t="n">
        <v>0</v>
      </c>
      <c r="I514" t="n">
        <v>0</v>
      </c>
      <c r="J514" t="n">
        <v>0</v>
      </c>
      <c r="K514" t="n">
        <v>0</v>
      </c>
      <c r="L514" t="n">
        <v>0</v>
      </c>
      <c r="M514" t="n">
        <v>0</v>
      </c>
      <c r="N514" t="n">
        <v>0</v>
      </c>
      <c r="O514" t="n">
        <v>0</v>
      </c>
      <c r="P514" t="n">
        <v>0</v>
      </c>
      <c r="Q514" t="n">
        <v>0</v>
      </c>
      <c r="R514" s="2" t="inlineStr"/>
    </row>
    <row r="515" ht="15" customHeight="1">
      <c r="A515" t="inlineStr">
        <is>
          <t>A 45819-2024</t>
        </is>
      </c>
      <c r="B515" s="1" t="n">
        <v>45579</v>
      </c>
      <c r="C515" s="1" t="n">
        <v>46200</v>
      </c>
      <c r="D515" t="inlineStr">
        <is>
          <t>ÖSTERGÖTLANDS LÄN</t>
        </is>
      </c>
      <c r="E515" t="inlineStr">
        <is>
          <t>LINKÖPING</t>
        </is>
      </c>
      <c r="G515" t="n">
        <v>5</v>
      </c>
      <c r="H515" t="n">
        <v>0</v>
      </c>
      <c r="I515" t="n">
        <v>0</v>
      </c>
      <c r="J515" t="n">
        <v>0</v>
      </c>
      <c r="K515" t="n">
        <v>0</v>
      </c>
      <c r="L515" t="n">
        <v>0</v>
      </c>
      <c r="M515" t="n">
        <v>0</v>
      </c>
      <c r="N515" t="n">
        <v>0</v>
      </c>
      <c r="O515" t="n">
        <v>0</v>
      </c>
      <c r="P515" t="n">
        <v>0</v>
      </c>
      <c r="Q515" t="n">
        <v>0</v>
      </c>
      <c r="R515" s="2" t="inlineStr"/>
    </row>
    <row r="516" ht="15" customHeight="1">
      <c r="A516" t="inlineStr">
        <is>
          <t>A 15754-2025</t>
        </is>
      </c>
      <c r="B516" s="1" t="n">
        <v>45748</v>
      </c>
      <c r="C516" s="1" t="n">
        <v>46200</v>
      </c>
      <c r="D516" t="inlineStr">
        <is>
          <t>ÖSTERGÖTLANDS LÄN</t>
        </is>
      </c>
      <c r="E516" t="inlineStr">
        <is>
          <t>LINKÖPING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30518-2024</t>
        </is>
      </c>
      <c r="B517" s="1" t="n">
        <v>45492</v>
      </c>
      <c r="C517" s="1" t="n">
        <v>46200</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53797-2023</t>
        </is>
      </c>
      <c r="B518" s="1" t="n">
        <v>45230</v>
      </c>
      <c r="C518" s="1" t="n">
        <v>46200</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21165-2025</t>
        </is>
      </c>
      <c r="B519" s="1" t="n">
        <v>45779</v>
      </c>
      <c r="C519" s="1" t="n">
        <v>46200</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21155-2025</t>
        </is>
      </c>
      <c r="B520" s="1" t="n">
        <v>45779</v>
      </c>
      <c r="C520" s="1" t="n">
        <v>46200</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55345-2021</t>
        </is>
      </c>
      <c r="B521" s="1" t="n">
        <v>44475</v>
      </c>
      <c r="C521" s="1" t="n">
        <v>46200</v>
      </c>
      <c r="D521" t="inlineStr">
        <is>
          <t>ÖSTERGÖTLANDS LÄN</t>
        </is>
      </c>
      <c r="E521" t="inlineStr">
        <is>
          <t>LINKÖPING</t>
        </is>
      </c>
      <c r="G521" t="n">
        <v>5.7</v>
      </c>
      <c r="H521" t="n">
        <v>0</v>
      </c>
      <c r="I521" t="n">
        <v>0</v>
      </c>
      <c r="J521" t="n">
        <v>0</v>
      </c>
      <c r="K521" t="n">
        <v>0</v>
      </c>
      <c r="L521" t="n">
        <v>0</v>
      </c>
      <c r="M521" t="n">
        <v>0</v>
      </c>
      <c r="N521" t="n">
        <v>0</v>
      </c>
      <c r="O521" t="n">
        <v>0</v>
      </c>
      <c r="P521" t="n">
        <v>0</v>
      </c>
      <c r="Q521" t="n">
        <v>0</v>
      </c>
      <c r="R521" s="2" t="inlineStr"/>
    </row>
    <row r="522" ht="15" customHeight="1">
      <c r="A522" t="inlineStr">
        <is>
          <t>A 10198-2023</t>
        </is>
      </c>
      <c r="B522" s="1" t="n">
        <v>44986</v>
      </c>
      <c r="C522" s="1" t="n">
        <v>46200</v>
      </c>
      <c r="D522" t="inlineStr">
        <is>
          <t>ÖSTERGÖTLANDS LÄN</t>
        </is>
      </c>
      <c r="E522" t="inlineStr">
        <is>
          <t>LINKÖPING</t>
        </is>
      </c>
      <c r="G522" t="n">
        <v>4.6</v>
      </c>
      <c r="H522" t="n">
        <v>0</v>
      </c>
      <c r="I522" t="n">
        <v>0</v>
      </c>
      <c r="J522" t="n">
        <v>0</v>
      </c>
      <c r="K522" t="n">
        <v>0</v>
      </c>
      <c r="L522" t="n">
        <v>0</v>
      </c>
      <c r="M522" t="n">
        <v>0</v>
      </c>
      <c r="N522" t="n">
        <v>0</v>
      </c>
      <c r="O522" t="n">
        <v>0</v>
      </c>
      <c r="P522" t="n">
        <v>0</v>
      </c>
      <c r="Q522" t="n">
        <v>0</v>
      </c>
      <c r="R522" s="2" t="inlineStr"/>
    </row>
    <row r="523" ht="15" customHeight="1">
      <c r="A523" t="inlineStr">
        <is>
          <t>A 25829-2025</t>
        </is>
      </c>
      <c r="B523" s="1" t="n">
        <v>45804</v>
      </c>
      <c r="C523" s="1" t="n">
        <v>46200</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4298-2023</t>
        </is>
      </c>
      <c r="B524" s="1" t="n">
        <v>44953</v>
      </c>
      <c r="C524" s="1" t="n">
        <v>46200</v>
      </c>
      <c r="D524" t="inlineStr">
        <is>
          <t>ÖSTERGÖTLANDS LÄN</t>
        </is>
      </c>
      <c r="E524" t="inlineStr">
        <is>
          <t>LINKÖPING</t>
        </is>
      </c>
      <c r="G524" t="n">
        <v>2.8</v>
      </c>
      <c r="H524" t="n">
        <v>0</v>
      </c>
      <c r="I524" t="n">
        <v>0</v>
      </c>
      <c r="J524" t="n">
        <v>0</v>
      </c>
      <c r="K524" t="n">
        <v>0</v>
      </c>
      <c r="L524" t="n">
        <v>0</v>
      </c>
      <c r="M524" t="n">
        <v>0</v>
      </c>
      <c r="N524" t="n">
        <v>0</v>
      </c>
      <c r="O524" t="n">
        <v>0</v>
      </c>
      <c r="P524" t="n">
        <v>0</v>
      </c>
      <c r="Q524" t="n">
        <v>0</v>
      </c>
      <c r="R524" s="2" t="inlineStr"/>
    </row>
    <row r="525" ht="15" customHeight="1">
      <c r="A525" t="inlineStr">
        <is>
          <t>A 22264-2025</t>
        </is>
      </c>
      <c r="B525" s="1" t="n">
        <v>45785</v>
      </c>
      <c r="C525" s="1" t="n">
        <v>46200</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26618-2023</t>
        </is>
      </c>
      <c r="B526" s="1" t="n">
        <v>45092</v>
      </c>
      <c r="C526" s="1" t="n">
        <v>46200</v>
      </c>
      <c r="D526" t="inlineStr">
        <is>
          <t>ÖSTERGÖTLANDS LÄN</t>
        </is>
      </c>
      <c r="E526" t="inlineStr">
        <is>
          <t>LINKÖPING</t>
        </is>
      </c>
      <c r="G526" t="n">
        <v>6.9</v>
      </c>
      <c r="H526" t="n">
        <v>0</v>
      </c>
      <c r="I526" t="n">
        <v>0</v>
      </c>
      <c r="J526" t="n">
        <v>0</v>
      </c>
      <c r="K526" t="n">
        <v>0</v>
      </c>
      <c r="L526" t="n">
        <v>0</v>
      </c>
      <c r="M526" t="n">
        <v>0</v>
      </c>
      <c r="N526" t="n">
        <v>0</v>
      </c>
      <c r="O526" t="n">
        <v>0</v>
      </c>
      <c r="P526" t="n">
        <v>0</v>
      </c>
      <c r="Q526" t="n">
        <v>0</v>
      </c>
      <c r="R526" s="2" t="inlineStr"/>
    </row>
    <row r="527" ht="15" customHeight="1">
      <c r="A527" t="inlineStr">
        <is>
          <t>A 48266-2025</t>
        </is>
      </c>
      <c r="B527" s="1" t="n">
        <v>45932</v>
      </c>
      <c r="C527" s="1" t="n">
        <v>46200</v>
      </c>
      <c r="D527" t="inlineStr">
        <is>
          <t>ÖSTERGÖTLANDS LÄN</t>
        </is>
      </c>
      <c r="E527" t="inlineStr">
        <is>
          <t>LINKÖPING</t>
        </is>
      </c>
      <c r="F527" t="inlineStr">
        <is>
          <t>Övriga Aktiebolag</t>
        </is>
      </c>
      <c r="G527" t="n">
        <v>0.5</v>
      </c>
      <c r="H527" t="n">
        <v>0</v>
      </c>
      <c r="I527" t="n">
        <v>0</v>
      </c>
      <c r="J527" t="n">
        <v>0</v>
      </c>
      <c r="K527" t="n">
        <v>0</v>
      </c>
      <c r="L527" t="n">
        <v>0</v>
      </c>
      <c r="M527" t="n">
        <v>0</v>
      </c>
      <c r="N527" t="n">
        <v>0</v>
      </c>
      <c r="O527" t="n">
        <v>0</v>
      </c>
      <c r="P527" t="n">
        <v>0</v>
      </c>
      <c r="Q527" t="n">
        <v>0</v>
      </c>
      <c r="R527" s="2" t="inlineStr"/>
    </row>
    <row r="528" ht="15" customHeight="1">
      <c r="A528" t="inlineStr">
        <is>
          <t>A 34930-2023</t>
        </is>
      </c>
      <c r="B528" s="1" t="n">
        <v>45142</v>
      </c>
      <c r="C528" s="1" t="n">
        <v>46200</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670-2024</t>
        </is>
      </c>
      <c r="B529" s="1" t="n">
        <v>45300</v>
      </c>
      <c r="C529" s="1" t="n">
        <v>46200</v>
      </c>
      <c r="D529" t="inlineStr">
        <is>
          <t>ÖSTERGÖTLANDS LÄN</t>
        </is>
      </c>
      <c r="E529" t="inlineStr">
        <is>
          <t>LINKÖPING</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63845-2021</t>
        </is>
      </c>
      <c r="B530" s="1" t="n">
        <v>44509</v>
      </c>
      <c r="C530" s="1" t="n">
        <v>46200</v>
      </c>
      <c r="D530" t="inlineStr">
        <is>
          <t>ÖSTERGÖTLANDS LÄN</t>
        </is>
      </c>
      <c r="E530" t="inlineStr">
        <is>
          <t>LINKÖPING</t>
        </is>
      </c>
      <c r="G530" t="n">
        <v>5</v>
      </c>
      <c r="H530" t="n">
        <v>0</v>
      </c>
      <c r="I530" t="n">
        <v>0</v>
      </c>
      <c r="J530" t="n">
        <v>0</v>
      </c>
      <c r="K530" t="n">
        <v>0</v>
      </c>
      <c r="L530" t="n">
        <v>0</v>
      </c>
      <c r="M530" t="n">
        <v>0</v>
      </c>
      <c r="N530" t="n">
        <v>0</v>
      </c>
      <c r="O530" t="n">
        <v>0</v>
      </c>
      <c r="P530" t="n">
        <v>0</v>
      </c>
      <c r="Q530" t="n">
        <v>0</v>
      </c>
      <c r="R530" s="2" t="inlineStr"/>
    </row>
    <row r="531" ht="15" customHeight="1">
      <c r="A531" t="inlineStr">
        <is>
          <t>A 3008-2023</t>
        </is>
      </c>
      <c r="B531" s="1" t="n">
        <v>44945</v>
      </c>
      <c r="C531" s="1" t="n">
        <v>46200</v>
      </c>
      <c r="D531" t="inlineStr">
        <is>
          <t>ÖSTERGÖTLANDS LÄN</t>
        </is>
      </c>
      <c r="E531" t="inlineStr">
        <is>
          <t>LINKÖPING</t>
        </is>
      </c>
      <c r="G531" t="n">
        <v>19.3</v>
      </c>
      <c r="H531" t="n">
        <v>0</v>
      </c>
      <c r="I531" t="n">
        <v>0</v>
      </c>
      <c r="J531" t="n">
        <v>0</v>
      </c>
      <c r="K531" t="n">
        <v>0</v>
      </c>
      <c r="L531" t="n">
        <v>0</v>
      </c>
      <c r="M531" t="n">
        <v>0</v>
      </c>
      <c r="N531" t="n">
        <v>0</v>
      </c>
      <c r="O531" t="n">
        <v>0</v>
      </c>
      <c r="P531" t="n">
        <v>0</v>
      </c>
      <c r="Q531" t="n">
        <v>0</v>
      </c>
      <c r="R531" s="2" t="inlineStr"/>
    </row>
    <row r="532" ht="15" customHeight="1">
      <c r="A532" t="inlineStr">
        <is>
          <t>A 36336-2023</t>
        </is>
      </c>
      <c r="B532" s="1" t="n">
        <v>45152</v>
      </c>
      <c r="C532" s="1" t="n">
        <v>46200</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48829-2023</t>
        </is>
      </c>
      <c r="B533" s="1" t="n">
        <v>45209</v>
      </c>
      <c r="C533" s="1" t="n">
        <v>46200</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49647-2025</t>
        </is>
      </c>
      <c r="B534" s="1" t="n">
        <v>45938</v>
      </c>
      <c r="C534" s="1" t="n">
        <v>46200</v>
      </c>
      <c r="D534" t="inlineStr">
        <is>
          <t>ÖSTERGÖTLANDS LÄN</t>
        </is>
      </c>
      <c r="E534" t="inlineStr">
        <is>
          <t>LINKÖPING</t>
        </is>
      </c>
      <c r="F534" t="inlineStr">
        <is>
          <t>Övriga Aktiebolag</t>
        </is>
      </c>
      <c r="G534" t="n">
        <v>0.6</v>
      </c>
      <c r="H534" t="n">
        <v>0</v>
      </c>
      <c r="I534" t="n">
        <v>0</v>
      </c>
      <c r="J534" t="n">
        <v>0</v>
      </c>
      <c r="K534" t="n">
        <v>0</v>
      </c>
      <c r="L534" t="n">
        <v>0</v>
      </c>
      <c r="M534" t="n">
        <v>0</v>
      </c>
      <c r="N534" t="n">
        <v>0</v>
      </c>
      <c r="O534" t="n">
        <v>0</v>
      </c>
      <c r="P534" t="n">
        <v>0</v>
      </c>
      <c r="Q534" t="n">
        <v>0</v>
      </c>
      <c r="R534" s="2" t="inlineStr"/>
    </row>
    <row r="535" ht="15" customHeight="1">
      <c r="A535" t="inlineStr">
        <is>
          <t>A 49654-2025</t>
        </is>
      </c>
      <c r="B535" s="1" t="n">
        <v>45938</v>
      </c>
      <c r="C535" s="1" t="n">
        <v>46200</v>
      </c>
      <c r="D535" t="inlineStr">
        <is>
          <t>ÖSTERGÖTLANDS LÄN</t>
        </is>
      </c>
      <c r="E535" t="inlineStr">
        <is>
          <t>LINKÖPING</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49615-2025</t>
        </is>
      </c>
      <c r="B536" s="1" t="n">
        <v>45938</v>
      </c>
      <c r="C536" s="1" t="n">
        <v>46200</v>
      </c>
      <c r="D536" t="inlineStr">
        <is>
          <t>ÖSTERGÖTLANDS LÄN</t>
        </is>
      </c>
      <c r="E536" t="inlineStr">
        <is>
          <t>LINKÖPING</t>
        </is>
      </c>
      <c r="F536" t="inlineStr">
        <is>
          <t>Övriga Aktiebolag</t>
        </is>
      </c>
      <c r="G536" t="n">
        <v>1.6</v>
      </c>
      <c r="H536" t="n">
        <v>0</v>
      </c>
      <c r="I536" t="n">
        <v>0</v>
      </c>
      <c r="J536" t="n">
        <v>0</v>
      </c>
      <c r="K536" t="n">
        <v>0</v>
      </c>
      <c r="L536" t="n">
        <v>0</v>
      </c>
      <c r="M536" t="n">
        <v>0</v>
      </c>
      <c r="N536" t="n">
        <v>0</v>
      </c>
      <c r="O536" t="n">
        <v>0</v>
      </c>
      <c r="P536" t="n">
        <v>0</v>
      </c>
      <c r="Q536" t="n">
        <v>0</v>
      </c>
      <c r="R536" s="2" t="inlineStr"/>
    </row>
    <row r="537" ht="15" customHeight="1">
      <c r="A537" t="inlineStr">
        <is>
          <t>A 49633-2025</t>
        </is>
      </c>
      <c r="B537" s="1" t="n">
        <v>45938</v>
      </c>
      <c r="C537" s="1" t="n">
        <v>46200</v>
      </c>
      <c r="D537" t="inlineStr">
        <is>
          <t>ÖSTERGÖTLANDS LÄN</t>
        </is>
      </c>
      <c r="E537" t="inlineStr">
        <is>
          <t>LINKÖPING</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9473-2024</t>
        </is>
      </c>
      <c r="B538" s="1" t="n">
        <v>45359</v>
      </c>
      <c r="C538" s="1" t="n">
        <v>46200</v>
      </c>
      <c r="D538" t="inlineStr">
        <is>
          <t>ÖSTERGÖTLANDS LÄN</t>
        </is>
      </c>
      <c r="E538" t="inlineStr">
        <is>
          <t>LINKÖPING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6859-2024</t>
        </is>
      </c>
      <c r="B539" s="1" t="n">
        <v>45342</v>
      </c>
      <c r="C539" s="1" t="n">
        <v>46200</v>
      </c>
      <c r="D539" t="inlineStr">
        <is>
          <t>ÖSTERGÖTLANDS LÄN</t>
        </is>
      </c>
      <c r="E539" t="inlineStr">
        <is>
          <t>LINKÖPING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44287-2024</t>
        </is>
      </c>
      <c r="B540" s="1" t="n">
        <v>45573</v>
      </c>
      <c r="C540" s="1" t="n">
        <v>46200</v>
      </c>
      <c r="D540" t="inlineStr">
        <is>
          <t>ÖSTERGÖTLANDS LÄN</t>
        </is>
      </c>
      <c r="E540" t="inlineStr">
        <is>
          <t>LINKÖPING</t>
        </is>
      </c>
      <c r="G540" t="n">
        <v>12.7</v>
      </c>
      <c r="H540" t="n">
        <v>0</v>
      </c>
      <c r="I540" t="n">
        <v>0</v>
      </c>
      <c r="J540" t="n">
        <v>0</v>
      </c>
      <c r="K540" t="n">
        <v>0</v>
      </c>
      <c r="L540" t="n">
        <v>0</v>
      </c>
      <c r="M540" t="n">
        <v>0</v>
      </c>
      <c r="N540" t="n">
        <v>0</v>
      </c>
      <c r="O540" t="n">
        <v>0</v>
      </c>
      <c r="P540" t="n">
        <v>0</v>
      </c>
      <c r="Q540" t="n">
        <v>0</v>
      </c>
      <c r="R540" s="2" t="inlineStr"/>
    </row>
    <row r="541" ht="15" customHeight="1">
      <c r="A541" t="inlineStr">
        <is>
          <t>A 50056-2025</t>
        </is>
      </c>
      <c r="B541" s="1" t="n">
        <v>45941</v>
      </c>
      <c r="C541" s="1" t="n">
        <v>46200</v>
      </c>
      <c r="D541" t="inlineStr">
        <is>
          <t>ÖSTERGÖTLANDS LÄN</t>
        </is>
      </c>
      <c r="E541" t="inlineStr">
        <is>
          <t>LINKÖPING</t>
        </is>
      </c>
      <c r="G541" t="n">
        <v>0.3</v>
      </c>
      <c r="H541" t="n">
        <v>0</v>
      </c>
      <c r="I541" t="n">
        <v>0</v>
      </c>
      <c r="J541" t="n">
        <v>0</v>
      </c>
      <c r="K541" t="n">
        <v>0</v>
      </c>
      <c r="L541" t="n">
        <v>0</v>
      </c>
      <c r="M541" t="n">
        <v>0</v>
      </c>
      <c r="N541" t="n">
        <v>0</v>
      </c>
      <c r="O541" t="n">
        <v>0</v>
      </c>
      <c r="P541" t="n">
        <v>0</v>
      </c>
      <c r="Q541" t="n">
        <v>0</v>
      </c>
      <c r="R541" s="2" t="inlineStr"/>
    </row>
    <row r="542" ht="15" customHeight="1">
      <c r="A542" t="inlineStr">
        <is>
          <t>A 50667-2025</t>
        </is>
      </c>
      <c r="B542" s="1" t="n">
        <v>45945</v>
      </c>
      <c r="C542" s="1" t="n">
        <v>46200</v>
      </c>
      <c r="D542" t="inlineStr">
        <is>
          <t>ÖSTERGÖTLANDS LÄN</t>
        </is>
      </c>
      <c r="E542" t="inlineStr">
        <is>
          <t>LINKÖPING</t>
        </is>
      </c>
      <c r="G542" t="n">
        <v>3.3</v>
      </c>
      <c r="H542" t="n">
        <v>0</v>
      </c>
      <c r="I542" t="n">
        <v>0</v>
      </c>
      <c r="J542" t="n">
        <v>0</v>
      </c>
      <c r="K542" t="n">
        <v>0</v>
      </c>
      <c r="L542" t="n">
        <v>0</v>
      </c>
      <c r="M542" t="n">
        <v>0</v>
      </c>
      <c r="N542" t="n">
        <v>0</v>
      </c>
      <c r="O542" t="n">
        <v>0</v>
      </c>
      <c r="P542" t="n">
        <v>0</v>
      </c>
      <c r="Q542" t="n">
        <v>0</v>
      </c>
      <c r="R542" s="2" t="inlineStr"/>
    </row>
    <row r="543" ht="15" customHeight="1">
      <c r="A543" t="inlineStr">
        <is>
          <t>A 572-2025</t>
        </is>
      </c>
      <c r="B543" s="1" t="n">
        <v>45664</v>
      </c>
      <c r="C543" s="1" t="n">
        <v>46200</v>
      </c>
      <c r="D543" t="inlineStr">
        <is>
          <t>ÖSTERGÖTLANDS LÄN</t>
        </is>
      </c>
      <c r="E543" t="inlineStr">
        <is>
          <t>LINKÖPING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48186-2022</t>
        </is>
      </c>
      <c r="B544" s="1" t="n">
        <v>44858</v>
      </c>
      <c r="C544" s="1" t="n">
        <v>46200</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41511-2025</t>
        </is>
      </c>
      <c r="B545" s="1" t="n">
        <v>45901</v>
      </c>
      <c r="C545" s="1" t="n">
        <v>46200</v>
      </c>
      <c r="D545" t="inlineStr">
        <is>
          <t>ÖSTERGÖTLANDS LÄN</t>
        </is>
      </c>
      <c r="E545" t="inlineStr">
        <is>
          <t>LINKÖPING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63669-2023</t>
        </is>
      </c>
      <c r="B546" s="1" t="n">
        <v>45275</v>
      </c>
      <c r="C546" s="1" t="n">
        <v>46200</v>
      </c>
      <c r="D546" t="inlineStr">
        <is>
          <t>ÖSTERGÖTLANDS LÄN</t>
        </is>
      </c>
      <c r="E546" t="inlineStr">
        <is>
          <t>LINKÖPING</t>
        </is>
      </c>
      <c r="F546" t="inlineStr">
        <is>
          <t>Övriga Aktiebolag</t>
        </is>
      </c>
      <c r="G546" t="n">
        <v>3</v>
      </c>
      <c r="H546" t="n">
        <v>0</v>
      </c>
      <c r="I546" t="n">
        <v>0</v>
      </c>
      <c r="J546" t="n">
        <v>0</v>
      </c>
      <c r="K546" t="n">
        <v>0</v>
      </c>
      <c r="L546" t="n">
        <v>0</v>
      </c>
      <c r="M546" t="n">
        <v>0</v>
      </c>
      <c r="N546" t="n">
        <v>0</v>
      </c>
      <c r="O546" t="n">
        <v>0</v>
      </c>
      <c r="P546" t="n">
        <v>0</v>
      </c>
      <c r="Q546" t="n">
        <v>0</v>
      </c>
      <c r="R546" s="2" t="inlineStr"/>
    </row>
    <row r="547" ht="15" customHeight="1">
      <c r="A547" t="inlineStr">
        <is>
          <t>A 59576-2024</t>
        </is>
      </c>
      <c r="B547" s="1" t="n">
        <v>45638</v>
      </c>
      <c r="C547" s="1" t="n">
        <v>46200</v>
      </c>
      <c r="D547" t="inlineStr">
        <is>
          <t>ÖSTERGÖTLANDS LÄN</t>
        </is>
      </c>
      <c r="E547" t="inlineStr">
        <is>
          <t>LINKÖPING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59642-2024</t>
        </is>
      </c>
      <c r="B548" s="1" t="n">
        <v>45639</v>
      </c>
      <c r="C548" s="1" t="n">
        <v>46200</v>
      </c>
      <c r="D548" t="inlineStr">
        <is>
          <t>ÖSTERGÖTLANDS LÄN</t>
        </is>
      </c>
      <c r="E548" t="inlineStr">
        <is>
          <t>LINKÖPING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52111-2025</t>
        </is>
      </c>
      <c r="B549" s="1" t="n">
        <v>45952</v>
      </c>
      <c r="C549" s="1" t="n">
        <v>46200</v>
      </c>
      <c r="D549" t="inlineStr">
        <is>
          <t>ÖSTERGÖTLANDS LÄN</t>
        </is>
      </c>
      <c r="E549" t="inlineStr">
        <is>
          <t>LINKÖPING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29293-2025</t>
        </is>
      </c>
      <c r="B550" s="1" t="n">
        <v>45824</v>
      </c>
      <c r="C550" s="1" t="n">
        <v>46200</v>
      </c>
      <c r="D550" t="inlineStr">
        <is>
          <t>ÖSTERGÖTLANDS LÄN</t>
        </is>
      </c>
      <c r="E550" t="inlineStr">
        <is>
          <t>LINKÖPING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18916-2024</t>
        </is>
      </c>
      <c r="B551" s="1" t="n">
        <v>45427</v>
      </c>
      <c r="C551" s="1" t="n">
        <v>46200</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52740-2025</t>
        </is>
      </c>
      <c r="B552" s="1" t="n">
        <v>45957</v>
      </c>
      <c r="C552" s="1" t="n">
        <v>46200</v>
      </c>
      <c r="D552" t="inlineStr">
        <is>
          <t>ÖSTERGÖTLANDS LÄN</t>
        </is>
      </c>
      <c r="E552" t="inlineStr">
        <is>
          <t>LINKÖPING</t>
        </is>
      </c>
      <c r="G552" t="n">
        <v>3.7</v>
      </c>
      <c r="H552" t="n">
        <v>0</v>
      </c>
      <c r="I552" t="n">
        <v>0</v>
      </c>
      <c r="J552" t="n">
        <v>0</v>
      </c>
      <c r="K552" t="n">
        <v>0</v>
      </c>
      <c r="L552" t="n">
        <v>0</v>
      </c>
      <c r="M552" t="n">
        <v>0</v>
      </c>
      <c r="N552" t="n">
        <v>0</v>
      </c>
      <c r="O552" t="n">
        <v>0</v>
      </c>
      <c r="P552" t="n">
        <v>0</v>
      </c>
      <c r="Q552" t="n">
        <v>0</v>
      </c>
      <c r="R552" s="2" t="inlineStr"/>
    </row>
    <row r="553" ht="15" customHeight="1">
      <c r="A553" t="inlineStr">
        <is>
          <t>A 38580-2024</t>
        </is>
      </c>
      <c r="B553" s="1" t="n">
        <v>45546</v>
      </c>
      <c r="C553" s="1" t="n">
        <v>46200</v>
      </c>
      <c r="D553" t="inlineStr">
        <is>
          <t>ÖSTERGÖTLANDS LÄN</t>
        </is>
      </c>
      <c r="E553" t="inlineStr">
        <is>
          <t>LINKÖPING</t>
        </is>
      </c>
      <c r="G553" t="n">
        <v>4.8</v>
      </c>
      <c r="H553" t="n">
        <v>0</v>
      </c>
      <c r="I553" t="n">
        <v>0</v>
      </c>
      <c r="J553" t="n">
        <v>0</v>
      </c>
      <c r="K553" t="n">
        <v>0</v>
      </c>
      <c r="L553" t="n">
        <v>0</v>
      </c>
      <c r="M553" t="n">
        <v>0</v>
      </c>
      <c r="N553" t="n">
        <v>0</v>
      </c>
      <c r="O553" t="n">
        <v>0</v>
      </c>
      <c r="P553" t="n">
        <v>0</v>
      </c>
      <c r="Q553" t="n">
        <v>0</v>
      </c>
      <c r="R553" s="2" t="inlineStr"/>
    </row>
    <row r="554" ht="15" customHeight="1">
      <c r="A554" t="inlineStr">
        <is>
          <t>A 57752-2023</t>
        </is>
      </c>
      <c r="B554" s="1" t="n">
        <v>45246</v>
      </c>
      <c r="C554" s="1" t="n">
        <v>46200</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11084-2022</t>
        </is>
      </c>
      <c r="B555" s="1" t="n">
        <v>44628</v>
      </c>
      <c r="C555" s="1" t="n">
        <v>46200</v>
      </c>
      <c r="D555" t="inlineStr">
        <is>
          <t>ÖSTERGÖTLANDS LÄN</t>
        </is>
      </c>
      <c r="E555" t="inlineStr">
        <is>
          <t>LINKÖPING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52802-2025</t>
        </is>
      </c>
      <c r="B556" s="1" t="n">
        <v>45957</v>
      </c>
      <c r="C556" s="1" t="n">
        <v>46200</v>
      </c>
      <c r="D556" t="inlineStr">
        <is>
          <t>ÖSTERGÖTLANDS LÄN</t>
        </is>
      </c>
      <c r="E556" t="inlineStr">
        <is>
          <t>LINKÖPING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52743-2025</t>
        </is>
      </c>
      <c r="B557" s="1" t="n">
        <v>45957</v>
      </c>
      <c r="C557" s="1" t="n">
        <v>46200</v>
      </c>
      <c r="D557" t="inlineStr">
        <is>
          <t>ÖSTERGÖTLANDS LÄN</t>
        </is>
      </c>
      <c r="E557" t="inlineStr">
        <is>
          <t>LINKÖPING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10203-2023</t>
        </is>
      </c>
      <c r="B558" s="1" t="n">
        <v>44986</v>
      </c>
      <c r="C558" s="1" t="n">
        <v>46200</v>
      </c>
      <c r="D558" t="inlineStr">
        <is>
          <t>ÖSTERGÖTLANDS LÄN</t>
        </is>
      </c>
      <c r="E558" t="inlineStr">
        <is>
          <t>LINKÖPING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29312-2024</t>
        </is>
      </c>
      <c r="B559" s="1" t="n">
        <v>45483</v>
      </c>
      <c r="C559" s="1" t="n">
        <v>46200</v>
      </c>
      <c r="D559" t="inlineStr">
        <is>
          <t>ÖSTERGÖTLANDS LÄN</t>
        </is>
      </c>
      <c r="E559" t="inlineStr">
        <is>
          <t>LINKÖPING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2618-2023</t>
        </is>
      </c>
      <c r="B560" s="1" t="n">
        <v>44944</v>
      </c>
      <c r="C560" s="1" t="n">
        <v>46200</v>
      </c>
      <c r="D560" t="inlineStr">
        <is>
          <t>ÖSTERGÖTLANDS LÄN</t>
        </is>
      </c>
      <c r="E560" t="inlineStr">
        <is>
          <t>LINKÖPING</t>
        </is>
      </c>
      <c r="G560" t="n">
        <v>4.3</v>
      </c>
      <c r="H560" t="n">
        <v>0</v>
      </c>
      <c r="I560" t="n">
        <v>0</v>
      </c>
      <c r="J560" t="n">
        <v>0</v>
      </c>
      <c r="K560" t="n">
        <v>0</v>
      </c>
      <c r="L560" t="n">
        <v>0</v>
      </c>
      <c r="M560" t="n">
        <v>0</v>
      </c>
      <c r="N560" t="n">
        <v>0</v>
      </c>
      <c r="O560" t="n">
        <v>0</v>
      </c>
      <c r="P560" t="n">
        <v>0</v>
      </c>
      <c r="Q560" t="n">
        <v>0</v>
      </c>
      <c r="R560" s="2" t="inlineStr"/>
    </row>
    <row r="561" ht="15" customHeight="1">
      <c r="A561" t="inlineStr">
        <is>
          <t>A 44170-2025</t>
        </is>
      </c>
      <c r="B561" s="1" t="n">
        <v>45915</v>
      </c>
      <c r="C561" s="1" t="n">
        <v>46200</v>
      </c>
      <c r="D561" t="inlineStr">
        <is>
          <t>ÖSTERGÖTLANDS LÄN</t>
        </is>
      </c>
      <c r="E561" t="inlineStr">
        <is>
          <t>LINKÖPING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23768-2025</t>
        </is>
      </c>
      <c r="B562" s="1" t="n">
        <v>45793</v>
      </c>
      <c r="C562" s="1" t="n">
        <v>46200</v>
      </c>
      <c r="D562" t="inlineStr">
        <is>
          <t>ÖSTERGÖTLANDS LÄN</t>
        </is>
      </c>
      <c r="E562" t="inlineStr">
        <is>
          <t>LINKÖPING</t>
        </is>
      </c>
      <c r="G562" t="n">
        <v>3.4</v>
      </c>
      <c r="H562" t="n">
        <v>0</v>
      </c>
      <c r="I562" t="n">
        <v>0</v>
      </c>
      <c r="J562" t="n">
        <v>0</v>
      </c>
      <c r="K562" t="n">
        <v>0</v>
      </c>
      <c r="L562" t="n">
        <v>0</v>
      </c>
      <c r="M562" t="n">
        <v>0</v>
      </c>
      <c r="N562" t="n">
        <v>0</v>
      </c>
      <c r="O562" t="n">
        <v>0</v>
      </c>
      <c r="P562" t="n">
        <v>0</v>
      </c>
      <c r="Q562" t="n">
        <v>0</v>
      </c>
      <c r="R562" s="2" t="inlineStr"/>
    </row>
    <row r="563" ht="15" customHeight="1">
      <c r="A563" t="inlineStr">
        <is>
          <t>A 43755-2025</t>
        </is>
      </c>
      <c r="B563" s="1" t="n">
        <v>45912</v>
      </c>
      <c r="C563" s="1" t="n">
        <v>46200</v>
      </c>
      <c r="D563" t="inlineStr">
        <is>
          <t>ÖSTERGÖTLANDS LÄN</t>
        </is>
      </c>
      <c r="E563" t="inlineStr">
        <is>
          <t>LINKÖPING</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62020-2024</t>
        </is>
      </c>
      <c r="B564" s="1" t="n">
        <v>45655</v>
      </c>
      <c r="C564" s="1" t="n">
        <v>46200</v>
      </c>
      <c r="D564" t="inlineStr">
        <is>
          <t>ÖSTERGÖTLANDS LÄN</t>
        </is>
      </c>
      <c r="E564" t="inlineStr">
        <is>
          <t>LINKÖPING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62021-2024</t>
        </is>
      </c>
      <c r="B565" s="1" t="n">
        <v>45655</v>
      </c>
      <c r="C565" s="1" t="n">
        <v>46200</v>
      </c>
      <c r="D565" t="inlineStr">
        <is>
          <t>ÖSTERGÖTLANDS LÄN</t>
        </is>
      </c>
      <c r="E565" t="inlineStr">
        <is>
          <t>LINKÖPING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43758-2025</t>
        </is>
      </c>
      <c r="B566" s="1" t="n">
        <v>45912</v>
      </c>
      <c r="C566" s="1" t="n">
        <v>46200</v>
      </c>
      <c r="D566" t="inlineStr">
        <is>
          <t>ÖSTERGÖTLANDS LÄN</t>
        </is>
      </c>
      <c r="E566" t="inlineStr">
        <is>
          <t>LINKÖPING</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43753-2025</t>
        </is>
      </c>
      <c r="B567" s="1" t="n">
        <v>45912</v>
      </c>
      <c r="C567" s="1" t="n">
        <v>46200</v>
      </c>
      <c r="D567" t="inlineStr">
        <is>
          <t>ÖSTERGÖTLANDS LÄN</t>
        </is>
      </c>
      <c r="E567" t="inlineStr">
        <is>
          <t>LINKÖPING</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45112-2025</t>
        </is>
      </c>
      <c r="B568" s="1" t="n">
        <v>45919</v>
      </c>
      <c r="C568" s="1" t="n">
        <v>46200</v>
      </c>
      <c r="D568" t="inlineStr">
        <is>
          <t>ÖSTERGÖTLANDS LÄN</t>
        </is>
      </c>
      <c r="E568" t="inlineStr">
        <is>
          <t>LINKÖPING</t>
        </is>
      </c>
      <c r="G568" t="n">
        <v>3.5</v>
      </c>
      <c r="H568" t="n">
        <v>0</v>
      </c>
      <c r="I568" t="n">
        <v>0</v>
      </c>
      <c r="J568" t="n">
        <v>0</v>
      </c>
      <c r="K568" t="n">
        <v>0</v>
      </c>
      <c r="L568" t="n">
        <v>0</v>
      </c>
      <c r="M568" t="n">
        <v>0</v>
      </c>
      <c r="N568" t="n">
        <v>0</v>
      </c>
      <c r="O568" t="n">
        <v>0</v>
      </c>
      <c r="P568" t="n">
        <v>0</v>
      </c>
      <c r="Q568" t="n">
        <v>0</v>
      </c>
      <c r="R568" s="2" t="inlineStr"/>
    </row>
    <row r="569" ht="15" customHeight="1">
      <c r="A569" t="inlineStr">
        <is>
          <t>A 48699-2024</t>
        </is>
      </c>
      <c r="B569" s="1" t="n">
        <v>45593</v>
      </c>
      <c r="C569" s="1" t="n">
        <v>46200</v>
      </c>
      <c r="D569" t="inlineStr">
        <is>
          <t>ÖSTERGÖTLANDS LÄN</t>
        </is>
      </c>
      <c r="E569" t="inlineStr">
        <is>
          <t>LINKÖPING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45634-2025</t>
        </is>
      </c>
      <c r="B570" s="1" t="n">
        <v>45922</v>
      </c>
      <c r="C570" s="1" t="n">
        <v>46200</v>
      </c>
      <c r="D570" t="inlineStr">
        <is>
          <t>ÖSTERGÖTLANDS LÄN</t>
        </is>
      </c>
      <c r="E570" t="inlineStr">
        <is>
          <t>LINKÖPING</t>
        </is>
      </c>
      <c r="F570" t="inlineStr">
        <is>
          <t>Övriga Aktiebolag</t>
        </is>
      </c>
      <c r="G570" t="n">
        <v>0.3</v>
      </c>
      <c r="H570" t="n">
        <v>0</v>
      </c>
      <c r="I570" t="n">
        <v>0</v>
      </c>
      <c r="J570" t="n">
        <v>0</v>
      </c>
      <c r="K570" t="n">
        <v>0</v>
      </c>
      <c r="L570" t="n">
        <v>0</v>
      </c>
      <c r="M570" t="n">
        <v>0</v>
      </c>
      <c r="N570" t="n">
        <v>0</v>
      </c>
      <c r="O570" t="n">
        <v>0</v>
      </c>
      <c r="P570" t="n">
        <v>0</v>
      </c>
      <c r="Q570" t="n">
        <v>0</v>
      </c>
      <c r="R570" s="2" t="inlineStr"/>
    </row>
    <row r="571" ht="15" customHeight="1">
      <c r="A571" t="inlineStr">
        <is>
          <t>A 49928-2024</t>
        </is>
      </c>
      <c r="B571" s="1" t="n">
        <v>45597</v>
      </c>
      <c r="C571" s="1" t="n">
        <v>46200</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55102-2025</t>
        </is>
      </c>
      <c r="B572" s="1" t="n">
        <v>45968</v>
      </c>
      <c r="C572" s="1" t="n">
        <v>46200</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51405-2023</t>
        </is>
      </c>
      <c r="B573" s="1" t="n">
        <v>45219</v>
      </c>
      <c r="C573" s="1" t="n">
        <v>46200</v>
      </c>
      <c r="D573" t="inlineStr">
        <is>
          <t>ÖSTERGÖTLANDS LÄN</t>
        </is>
      </c>
      <c r="E573" t="inlineStr">
        <is>
          <t>LINKÖPING</t>
        </is>
      </c>
      <c r="F573" t="inlineStr">
        <is>
          <t>Övriga Aktiebolag</t>
        </is>
      </c>
      <c r="G573" t="n">
        <v>3</v>
      </c>
      <c r="H573" t="n">
        <v>0</v>
      </c>
      <c r="I573" t="n">
        <v>0</v>
      </c>
      <c r="J573" t="n">
        <v>0</v>
      </c>
      <c r="K573" t="n">
        <v>0</v>
      </c>
      <c r="L573" t="n">
        <v>0</v>
      </c>
      <c r="M573" t="n">
        <v>0</v>
      </c>
      <c r="N573" t="n">
        <v>0</v>
      </c>
      <c r="O573" t="n">
        <v>0</v>
      </c>
      <c r="P573" t="n">
        <v>0</v>
      </c>
      <c r="Q573" t="n">
        <v>0</v>
      </c>
      <c r="R573" s="2" t="inlineStr"/>
    </row>
    <row r="574" ht="15" customHeight="1">
      <c r="A574" t="inlineStr">
        <is>
          <t>A 55132-2025</t>
        </is>
      </c>
      <c r="B574" s="1" t="n">
        <v>45968</v>
      </c>
      <c r="C574" s="1" t="n">
        <v>46200</v>
      </c>
      <c r="D574" t="inlineStr">
        <is>
          <t>ÖSTERGÖTLANDS LÄN</t>
        </is>
      </c>
      <c r="E574" t="inlineStr">
        <is>
          <t>LINKÖPING</t>
        </is>
      </c>
      <c r="G574" t="n">
        <v>2.4</v>
      </c>
      <c r="H574" t="n">
        <v>0</v>
      </c>
      <c r="I574" t="n">
        <v>0</v>
      </c>
      <c r="J574" t="n">
        <v>0</v>
      </c>
      <c r="K574" t="n">
        <v>0</v>
      </c>
      <c r="L574" t="n">
        <v>0</v>
      </c>
      <c r="M574" t="n">
        <v>0</v>
      </c>
      <c r="N574" t="n">
        <v>0</v>
      </c>
      <c r="O574" t="n">
        <v>0</v>
      </c>
      <c r="P574" t="n">
        <v>0</v>
      </c>
      <c r="Q574" t="n">
        <v>0</v>
      </c>
      <c r="R574" s="2" t="inlineStr"/>
    </row>
    <row r="575" ht="15" customHeight="1">
      <c r="A575" t="inlineStr">
        <is>
          <t>A 11601-2023</t>
        </is>
      </c>
      <c r="B575" s="1" t="n">
        <v>44994</v>
      </c>
      <c r="C575" s="1" t="n">
        <v>46200</v>
      </c>
      <c r="D575" t="inlineStr">
        <is>
          <t>ÖSTERGÖTLANDS LÄN</t>
        </is>
      </c>
      <c r="E575" t="inlineStr">
        <is>
          <t>LINKÖPING</t>
        </is>
      </c>
      <c r="G575" t="n">
        <v>1.7</v>
      </c>
      <c r="H575" t="n">
        <v>0</v>
      </c>
      <c r="I575" t="n">
        <v>0</v>
      </c>
      <c r="J575" t="n">
        <v>0</v>
      </c>
      <c r="K575" t="n">
        <v>0</v>
      </c>
      <c r="L575" t="n">
        <v>0</v>
      </c>
      <c r="M575" t="n">
        <v>0</v>
      </c>
      <c r="N575" t="n">
        <v>0</v>
      </c>
      <c r="O575" t="n">
        <v>0</v>
      </c>
      <c r="P575" t="n">
        <v>0</v>
      </c>
      <c r="Q575" t="n">
        <v>0</v>
      </c>
      <c r="R575" s="2" t="inlineStr"/>
    </row>
    <row r="576" ht="15" customHeight="1">
      <c r="A576" t="inlineStr">
        <is>
          <t>A 55109-2025</t>
        </is>
      </c>
      <c r="B576" s="1" t="n">
        <v>45968</v>
      </c>
      <c r="C576" s="1" t="n">
        <v>46200</v>
      </c>
      <c r="D576" t="inlineStr">
        <is>
          <t>ÖSTERGÖTLANDS LÄN</t>
        </is>
      </c>
      <c r="E576" t="inlineStr">
        <is>
          <t>LINKÖPING</t>
        </is>
      </c>
      <c r="G576" t="n">
        <v>3.2</v>
      </c>
      <c r="H576" t="n">
        <v>0</v>
      </c>
      <c r="I576" t="n">
        <v>0</v>
      </c>
      <c r="J576" t="n">
        <v>0</v>
      </c>
      <c r="K576" t="n">
        <v>0</v>
      </c>
      <c r="L576" t="n">
        <v>0</v>
      </c>
      <c r="M576" t="n">
        <v>0</v>
      </c>
      <c r="N576" t="n">
        <v>0</v>
      </c>
      <c r="O576" t="n">
        <v>0</v>
      </c>
      <c r="P576" t="n">
        <v>0</v>
      </c>
      <c r="Q576" t="n">
        <v>0</v>
      </c>
      <c r="R576" s="2" t="inlineStr"/>
    </row>
    <row r="577" ht="15" customHeight="1">
      <c r="A577" t="inlineStr">
        <is>
          <t>A 46377-2025</t>
        </is>
      </c>
      <c r="B577" s="1" t="n">
        <v>45925</v>
      </c>
      <c r="C577" s="1" t="n">
        <v>46200</v>
      </c>
      <c r="D577" t="inlineStr">
        <is>
          <t>ÖSTERGÖTLANDS LÄN</t>
        </is>
      </c>
      <c r="E577" t="inlineStr">
        <is>
          <t>LINKÖPING</t>
        </is>
      </c>
      <c r="G577" t="n">
        <v>3.1</v>
      </c>
      <c r="H577" t="n">
        <v>0</v>
      </c>
      <c r="I577" t="n">
        <v>0</v>
      </c>
      <c r="J577" t="n">
        <v>0</v>
      </c>
      <c r="K577" t="n">
        <v>0</v>
      </c>
      <c r="L577" t="n">
        <v>0</v>
      </c>
      <c r="M577" t="n">
        <v>0</v>
      </c>
      <c r="N577" t="n">
        <v>0</v>
      </c>
      <c r="O577" t="n">
        <v>0</v>
      </c>
      <c r="P577" t="n">
        <v>0</v>
      </c>
      <c r="Q577" t="n">
        <v>0</v>
      </c>
      <c r="R577" s="2" t="inlineStr"/>
    </row>
    <row r="578" ht="15" customHeight="1">
      <c r="A578" t="inlineStr">
        <is>
          <t>A 56113-2025</t>
        </is>
      </c>
      <c r="B578" s="1" t="n">
        <v>45973</v>
      </c>
      <c r="C578" s="1" t="n">
        <v>46200</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56105-2025</t>
        </is>
      </c>
      <c r="B579" s="1" t="n">
        <v>45973</v>
      </c>
      <c r="C579" s="1" t="n">
        <v>46200</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46847-2025</t>
        </is>
      </c>
      <c r="B580" s="1" t="n">
        <v>45928</v>
      </c>
      <c r="C580" s="1" t="n">
        <v>46200</v>
      </c>
      <c r="D580" t="inlineStr">
        <is>
          <t>ÖSTERGÖTLANDS LÄN</t>
        </is>
      </c>
      <c r="E580" t="inlineStr">
        <is>
          <t>LINKÖPING</t>
        </is>
      </c>
      <c r="G580" t="n">
        <v>4.6</v>
      </c>
      <c r="H580" t="n">
        <v>0</v>
      </c>
      <c r="I580" t="n">
        <v>0</v>
      </c>
      <c r="J580" t="n">
        <v>0</v>
      </c>
      <c r="K580" t="n">
        <v>0</v>
      </c>
      <c r="L580" t="n">
        <v>0</v>
      </c>
      <c r="M580" t="n">
        <v>0</v>
      </c>
      <c r="N580" t="n">
        <v>0</v>
      </c>
      <c r="O580" t="n">
        <v>0</v>
      </c>
      <c r="P580" t="n">
        <v>0</v>
      </c>
      <c r="Q580" t="n">
        <v>0</v>
      </c>
      <c r="R580" s="2" t="inlineStr"/>
    </row>
    <row r="581" ht="15" customHeight="1">
      <c r="A581" t="inlineStr">
        <is>
          <t>A 56704-2025</t>
        </is>
      </c>
      <c r="B581" s="1" t="n">
        <v>45977</v>
      </c>
      <c r="C581" s="1" t="n">
        <v>46200</v>
      </c>
      <c r="D581" t="inlineStr">
        <is>
          <t>ÖSTERGÖTLANDS LÄN</t>
        </is>
      </c>
      <c r="E581" t="inlineStr">
        <is>
          <t>LINKÖPING</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47233-2025</t>
        </is>
      </c>
      <c r="B582" s="1" t="n">
        <v>45930</v>
      </c>
      <c r="C582" s="1" t="n">
        <v>46200</v>
      </c>
      <c r="D582" t="inlineStr">
        <is>
          <t>ÖSTERGÖTLANDS LÄN</t>
        </is>
      </c>
      <c r="E582" t="inlineStr">
        <is>
          <t>LINKÖPING</t>
        </is>
      </c>
      <c r="G582" t="n">
        <v>4.3</v>
      </c>
      <c r="H582" t="n">
        <v>0</v>
      </c>
      <c r="I582" t="n">
        <v>0</v>
      </c>
      <c r="J582" t="n">
        <v>0</v>
      </c>
      <c r="K582" t="n">
        <v>0</v>
      </c>
      <c r="L582" t="n">
        <v>0</v>
      </c>
      <c r="M582" t="n">
        <v>0</v>
      </c>
      <c r="N582" t="n">
        <v>0</v>
      </c>
      <c r="O582" t="n">
        <v>0</v>
      </c>
      <c r="P582" t="n">
        <v>0</v>
      </c>
      <c r="Q582" t="n">
        <v>0</v>
      </c>
      <c r="R582" s="2" t="inlineStr"/>
    </row>
    <row r="583" ht="15" customHeight="1">
      <c r="A583" t="inlineStr">
        <is>
          <t>A 13911-2025</t>
        </is>
      </c>
      <c r="B583" s="1" t="n">
        <v>45737</v>
      </c>
      <c r="C583" s="1" t="n">
        <v>46200</v>
      </c>
      <c r="D583" t="inlineStr">
        <is>
          <t>ÖSTERGÖTLANDS LÄN</t>
        </is>
      </c>
      <c r="E583" t="inlineStr">
        <is>
          <t>LINKÖPING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44280-2024</t>
        </is>
      </c>
      <c r="B584" s="1" t="n">
        <v>45573</v>
      </c>
      <c r="C584" s="1" t="n">
        <v>46200</v>
      </c>
      <c r="D584" t="inlineStr">
        <is>
          <t>ÖSTERGÖTLANDS LÄN</t>
        </is>
      </c>
      <c r="E584" t="inlineStr">
        <is>
          <t>LINKÖPING</t>
        </is>
      </c>
      <c r="G584" t="n">
        <v>5.3</v>
      </c>
      <c r="H584" t="n">
        <v>0</v>
      </c>
      <c r="I584" t="n">
        <v>0</v>
      </c>
      <c r="J584" t="n">
        <v>0</v>
      </c>
      <c r="K584" t="n">
        <v>0</v>
      </c>
      <c r="L584" t="n">
        <v>0</v>
      </c>
      <c r="M584" t="n">
        <v>0</v>
      </c>
      <c r="N584" t="n">
        <v>0</v>
      </c>
      <c r="O584" t="n">
        <v>0</v>
      </c>
      <c r="P584" t="n">
        <v>0</v>
      </c>
      <c r="Q584" t="n">
        <v>0</v>
      </c>
      <c r="R584" s="2" t="inlineStr"/>
    </row>
    <row r="585" ht="15" customHeight="1">
      <c r="A585" t="inlineStr">
        <is>
          <t>A 59472-2025</t>
        </is>
      </c>
      <c r="B585" s="1" t="n">
        <v>45989</v>
      </c>
      <c r="C585" s="1" t="n">
        <v>46200</v>
      </c>
      <c r="D585" t="inlineStr">
        <is>
          <t>ÖSTERGÖTLANDS LÄN</t>
        </is>
      </c>
      <c r="E585" t="inlineStr">
        <is>
          <t>LINKÖPING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60087-2025</t>
        </is>
      </c>
      <c r="B586" s="1" t="n">
        <v>45993</v>
      </c>
      <c r="C586" s="1" t="n">
        <v>46200</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25996-2025</t>
        </is>
      </c>
      <c r="B587" s="1" t="n">
        <v>45804</v>
      </c>
      <c r="C587" s="1" t="n">
        <v>46200</v>
      </c>
      <c r="D587" t="inlineStr">
        <is>
          <t>ÖSTERGÖTLANDS LÄN</t>
        </is>
      </c>
      <c r="E587" t="inlineStr">
        <is>
          <t>LINKÖPING</t>
        </is>
      </c>
      <c r="G587" t="n">
        <v>3.2</v>
      </c>
      <c r="H587" t="n">
        <v>0</v>
      </c>
      <c r="I587" t="n">
        <v>0</v>
      </c>
      <c r="J587" t="n">
        <v>0</v>
      </c>
      <c r="K587" t="n">
        <v>0</v>
      </c>
      <c r="L587" t="n">
        <v>0</v>
      </c>
      <c r="M587" t="n">
        <v>0</v>
      </c>
      <c r="N587" t="n">
        <v>0</v>
      </c>
      <c r="O587" t="n">
        <v>0</v>
      </c>
      <c r="P587" t="n">
        <v>0</v>
      </c>
      <c r="Q587" t="n">
        <v>0</v>
      </c>
      <c r="R587" s="2" t="inlineStr"/>
    </row>
    <row r="588" ht="15" customHeight="1">
      <c r="A588" t="inlineStr">
        <is>
          <t>A 60703-2025</t>
        </is>
      </c>
      <c r="B588" s="1" t="n">
        <v>45996</v>
      </c>
      <c r="C588" s="1" t="n">
        <v>46200</v>
      </c>
      <c r="D588" t="inlineStr">
        <is>
          <t>ÖSTERGÖTLANDS LÄN</t>
        </is>
      </c>
      <c r="E588" t="inlineStr">
        <is>
          <t>LINKÖPING</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61230-2025</t>
        </is>
      </c>
      <c r="B589" s="1" t="n">
        <v>46000</v>
      </c>
      <c r="C589" s="1" t="n">
        <v>46200</v>
      </c>
      <c r="D589" t="inlineStr">
        <is>
          <t>ÖSTERGÖTLANDS LÄN</t>
        </is>
      </c>
      <c r="E589" t="inlineStr">
        <is>
          <t>LINKÖPING</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61645-2025</t>
        </is>
      </c>
      <c r="B590" s="1" t="n">
        <v>46002</v>
      </c>
      <c r="C590" s="1" t="n">
        <v>46200</v>
      </c>
      <c r="D590" t="inlineStr">
        <is>
          <t>ÖSTERGÖTLANDS LÄN</t>
        </is>
      </c>
      <c r="E590" t="inlineStr">
        <is>
          <t>LINKÖPING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63144-2025</t>
        </is>
      </c>
      <c r="B591" s="1" t="n">
        <v>46010</v>
      </c>
      <c r="C591" s="1" t="n">
        <v>46200</v>
      </c>
      <c r="D591" t="inlineStr">
        <is>
          <t>ÖSTERGÖTLANDS LÄN</t>
        </is>
      </c>
      <c r="E591" t="inlineStr">
        <is>
          <t>LINKÖPING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858-2026</t>
        </is>
      </c>
      <c r="B592" s="1" t="n">
        <v>46030</v>
      </c>
      <c r="C592" s="1" t="n">
        <v>46200</v>
      </c>
      <c r="D592" t="inlineStr">
        <is>
          <t>ÖSTERGÖTLANDS LÄN</t>
        </is>
      </c>
      <c r="E592" t="inlineStr">
        <is>
          <t>LINKÖPING</t>
        </is>
      </c>
      <c r="G592" t="n">
        <v>1.9</v>
      </c>
      <c r="H592" t="n">
        <v>0</v>
      </c>
      <c r="I592" t="n">
        <v>0</v>
      </c>
      <c r="J592" t="n">
        <v>0</v>
      </c>
      <c r="K592" t="n">
        <v>0</v>
      </c>
      <c r="L592" t="n">
        <v>0</v>
      </c>
      <c r="M592" t="n">
        <v>0</v>
      </c>
      <c r="N592" t="n">
        <v>0</v>
      </c>
      <c r="O592" t="n">
        <v>0</v>
      </c>
      <c r="P592" t="n">
        <v>0</v>
      </c>
      <c r="Q592" t="n">
        <v>0</v>
      </c>
      <c r="R592" s="2" t="inlineStr"/>
    </row>
    <row r="593" ht="15" customHeight="1">
      <c r="A593" t="inlineStr">
        <is>
          <t>A 873-2026</t>
        </is>
      </c>
      <c r="B593" s="1" t="n">
        <v>46030</v>
      </c>
      <c r="C593" s="1" t="n">
        <v>46200</v>
      </c>
      <c r="D593" t="inlineStr">
        <is>
          <t>ÖSTERGÖTLANDS LÄN</t>
        </is>
      </c>
      <c r="E593" t="inlineStr">
        <is>
          <t>LINKÖPING</t>
        </is>
      </c>
      <c r="G593" t="n">
        <v>4.1</v>
      </c>
      <c r="H593" t="n">
        <v>0</v>
      </c>
      <c r="I593" t="n">
        <v>0</v>
      </c>
      <c r="J593" t="n">
        <v>0</v>
      </c>
      <c r="K593" t="n">
        <v>0</v>
      </c>
      <c r="L593" t="n">
        <v>0</v>
      </c>
      <c r="M593" t="n">
        <v>0</v>
      </c>
      <c r="N593" t="n">
        <v>0</v>
      </c>
      <c r="O593" t="n">
        <v>0</v>
      </c>
      <c r="P593" t="n">
        <v>0</v>
      </c>
      <c r="Q593" t="n">
        <v>0</v>
      </c>
      <c r="R593" s="2" t="inlineStr"/>
    </row>
    <row r="594" ht="15" customHeight="1">
      <c r="A594" t="inlineStr">
        <is>
          <t>A 856-2026</t>
        </is>
      </c>
      <c r="B594" s="1" t="n">
        <v>46030</v>
      </c>
      <c r="C594" s="1" t="n">
        <v>46200</v>
      </c>
      <c r="D594" t="inlineStr">
        <is>
          <t>ÖSTERGÖTLANDS LÄN</t>
        </is>
      </c>
      <c r="E594" t="inlineStr">
        <is>
          <t>LINKÖPING</t>
        </is>
      </c>
      <c r="G594" t="n">
        <v>6.4</v>
      </c>
      <c r="H594" t="n">
        <v>0</v>
      </c>
      <c r="I594" t="n">
        <v>0</v>
      </c>
      <c r="J594" t="n">
        <v>0</v>
      </c>
      <c r="K594" t="n">
        <v>0</v>
      </c>
      <c r="L594" t="n">
        <v>0</v>
      </c>
      <c r="M594" t="n">
        <v>0</v>
      </c>
      <c r="N594" t="n">
        <v>0</v>
      </c>
      <c r="O594" t="n">
        <v>0</v>
      </c>
      <c r="P594" t="n">
        <v>0</v>
      </c>
      <c r="Q594" t="n">
        <v>0</v>
      </c>
      <c r="R594" s="2" t="inlineStr"/>
    </row>
    <row r="595" ht="15" customHeight="1">
      <c r="A595" t="inlineStr">
        <is>
          <t>A 860-2026</t>
        </is>
      </c>
      <c r="B595" s="1" t="n">
        <v>46030</v>
      </c>
      <c r="C595" s="1" t="n">
        <v>46200</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940-2026</t>
        </is>
      </c>
      <c r="B596" s="1" t="n">
        <v>46030</v>
      </c>
      <c r="C596" s="1" t="n">
        <v>46200</v>
      </c>
      <c r="D596" t="inlineStr">
        <is>
          <t>ÖSTERGÖTLANDS LÄN</t>
        </is>
      </c>
      <c r="E596" t="inlineStr">
        <is>
          <t>LINKÖPING</t>
        </is>
      </c>
      <c r="F596" t="inlineStr">
        <is>
          <t>Allmännings- och besparingsskogar</t>
        </is>
      </c>
      <c r="G596" t="n">
        <v>2.9</v>
      </c>
      <c r="H596" t="n">
        <v>0</v>
      </c>
      <c r="I596" t="n">
        <v>0</v>
      </c>
      <c r="J596" t="n">
        <v>0</v>
      </c>
      <c r="K596" t="n">
        <v>0</v>
      </c>
      <c r="L596" t="n">
        <v>0</v>
      </c>
      <c r="M596" t="n">
        <v>0</v>
      </c>
      <c r="N596" t="n">
        <v>0</v>
      </c>
      <c r="O596" t="n">
        <v>0</v>
      </c>
      <c r="P596" t="n">
        <v>0</v>
      </c>
      <c r="Q596" t="n">
        <v>0</v>
      </c>
      <c r="R596" s="2" t="inlineStr"/>
    </row>
    <row r="597" ht="15" customHeight="1">
      <c r="A597" t="inlineStr">
        <is>
          <t>A 944-2026</t>
        </is>
      </c>
      <c r="B597" s="1" t="n">
        <v>46030</v>
      </c>
      <c r="C597" s="1" t="n">
        <v>46200</v>
      </c>
      <c r="D597" t="inlineStr">
        <is>
          <t>ÖSTERGÖTLANDS LÄN</t>
        </is>
      </c>
      <c r="E597" t="inlineStr">
        <is>
          <t>LINKÖPING</t>
        </is>
      </c>
      <c r="F597" t="inlineStr">
        <is>
          <t>Allmännings- och besparingsskogar</t>
        </is>
      </c>
      <c r="G597" t="n">
        <v>0.9</v>
      </c>
      <c r="H597" t="n">
        <v>0</v>
      </c>
      <c r="I597" t="n">
        <v>0</v>
      </c>
      <c r="J597" t="n">
        <v>0</v>
      </c>
      <c r="K597" t="n">
        <v>0</v>
      </c>
      <c r="L597" t="n">
        <v>0</v>
      </c>
      <c r="M597" t="n">
        <v>0</v>
      </c>
      <c r="N597" t="n">
        <v>0</v>
      </c>
      <c r="O597" t="n">
        <v>0</v>
      </c>
      <c r="P597" t="n">
        <v>0</v>
      </c>
      <c r="Q597" t="n">
        <v>0</v>
      </c>
      <c r="R597" s="2" t="inlineStr"/>
    </row>
    <row r="598" ht="15" customHeight="1">
      <c r="A598" t="inlineStr">
        <is>
          <t>A 927-2026</t>
        </is>
      </c>
      <c r="B598" s="1" t="n">
        <v>46030</v>
      </c>
      <c r="C598" s="1" t="n">
        <v>46200</v>
      </c>
      <c r="D598" t="inlineStr">
        <is>
          <t>ÖSTERGÖTLANDS LÄN</t>
        </is>
      </c>
      <c r="E598" t="inlineStr">
        <is>
          <t>LINKÖPING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859-2026</t>
        </is>
      </c>
      <c r="B599" s="1" t="n">
        <v>46030</v>
      </c>
      <c r="C599" s="1" t="n">
        <v>46200</v>
      </c>
      <c r="D599" t="inlineStr">
        <is>
          <t>ÖSTERGÖTLANDS LÄN</t>
        </is>
      </c>
      <c r="E599" t="inlineStr">
        <is>
          <t>LINKÖPING</t>
        </is>
      </c>
      <c r="G599" t="n">
        <v>0.2</v>
      </c>
      <c r="H599" t="n">
        <v>0</v>
      </c>
      <c r="I599" t="n">
        <v>0</v>
      </c>
      <c r="J599" t="n">
        <v>0</v>
      </c>
      <c r="K599" t="n">
        <v>0</v>
      </c>
      <c r="L599" t="n">
        <v>0</v>
      </c>
      <c r="M599" t="n">
        <v>0</v>
      </c>
      <c r="N599" t="n">
        <v>0</v>
      </c>
      <c r="O599" t="n">
        <v>0</v>
      </c>
      <c r="P599" t="n">
        <v>0</v>
      </c>
      <c r="Q599" t="n">
        <v>0</v>
      </c>
      <c r="R599" s="2" t="inlineStr"/>
    </row>
    <row r="600" ht="15" customHeight="1">
      <c r="A600" t="inlineStr">
        <is>
          <t>A 2030-2026</t>
        </is>
      </c>
      <c r="B600" s="1" t="n">
        <v>46035</v>
      </c>
      <c r="C600" s="1" t="n">
        <v>46200</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2031-2026</t>
        </is>
      </c>
      <c r="B601" s="1" t="n">
        <v>46035</v>
      </c>
      <c r="C601" s="1" t="n">
        <v>46200</v>
      </c>
      <c r="D601" t="inlineStr">
        <is>
          <t>ÖSTERGÖTLANDS LÄN</t>
        </is>
      </c>
      <c r="E601" t="inlineStr">
        <is>
          <t>LINKÖPING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3043-2026</t>
        </is>
      </c>
      <c r="B602" s="1" t="n">
        <v>46038</v>
      </c>
      <c r="C602" s="1" t="n">
        <v>46200</v>
      </c>
      <c r="D602" t="inlineStr">
        <is>
          <t>ÖSTERGÖTLANDS LÄN</t>
        </is>
      </c>
      <c r="E602" t="inlineStr">
        <is>
          <t>LINKÖPING</t>
        </is>
      </c>
      <c r="G602" t="n">
        <v>2.5</v>
      </c>
      <c r="H602" t="n">
        <v>0</v>
      </c>
      <c r="I602" t="n">
        <v>0</v>
      </c>
      <c r="J602" t="n">
        <v>0</v>
      </c>
      <c r="K602" t="n">
        <v>0</v>
      </c>
      <c r="L602" t="n">
        <v>0</v>
      </c>
      <c r="M602" t="n">
        <v>0</v>
      </c>
      <c r="N602" t="n">
        <v>0</v>
      </c>
      <c r="O602" t="n">
        <v>0</v>
      </c>
      <c r="P602" t="n">
        <v>0</v>
      </c>
      <c r="Q602" t="n">
        <v>0</v>
      </c>
      <c r="R602" s="2" t="inlineStr"/>
    </row>
    <row r="603" ht="15" customHeight="1">
      <c r="A603" t="inlineStr">
        <is>
          <t>A 3044-2026</t>
        </is>
      </c>
      <c r="B603" s="1" t="n">
        <v>46038</v>
      </c>
      <c r="C603" s="1" t="n">
        <v>46200</v>
      </c>
      <c r="D603" t="inlineStr">
        <is>
          <t>ÖSTERGÖTLANDS LÄN</t>
        </is>
      </c>
      <c r="E603" t="inlineStr">
        <is>
          <t>LINKÖPING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6384-2026</t>
        </is>
      </c>
      <c r="B604" s="1" t="n">
        <v>46055</v>
      </c>
      <c r="C604" s="1" t="n">
        <v>46200</v>
      </c>
      <c r="D604" t="inlineStr">
        <is>
          <t>ÖSTERGÖTLANDS LÄN</t>
        </is>
      </c>
      <c r="E604" t="inlineStr">
        <is>
          <t>LINKÖPING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6164-2026</t>
        </is>
      </c>
      <c r="B605" s="1" t="n">
        <v>46055</v>
      </c>
      <c r="C605" s="1" t="n">
        <v>46200</v>
      </c>
      <c r="D605" t="inlineStr">
        <is>
          <t>ÖSTERGÖTLANDS LÄN</t>
        </is>
      </c>
      <c r="E605" t="inlineStr">
        <is>
          <t>LINKÖPING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10479-2026</t>
        </is>
      </c>
      <c r="B606" s="1" t="n">
        <v>46077</v>
      </c>
      <c r="C606" s="1" t="n">
        <v>46200</v>
      </c>
      <c r="D606" t="inlineStr">
        <is>
          <t>ÖSTERGÖTLANDS LÄN</t>
        </is>
      </c>
      <c r="E606" t="inlineStr">
        <is>
          <t>LINKÖPING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10477-2026</t>
        </is>
      </c>
      <c r="B607" s="1" t="n">
        <v>46077</v>
      </c>
      <c r="C607" s="1" t="n">
        <v>46200</v>
      </c>
      <c r="D607" t="inlineStr">
        <is>
          <t>ÖSTERGÖTLANDS LÄN</t>
        </is>
      </c>
      <c r="E607" t="inlineStr">
        <is>
          <t>LINKÖPING</t>
        </is>
      </c>
      <c r="G607" t="n">
        <v>9.6</v>
      </c>
      <c r="H607" t="n">
        <v>0</v>
      </c>
      <c r="I607" t="n">
        <v>0</v>
      </c>
      <c r="J607" t="n">
        <v>0</v>
      </c>
      <c r="K607" t="n">
        <v>0</v>
      </c>
      <c r="L607" t="n">
        <v>0</v>
      </c>
      <c r="M607" t="n">
        <v>0</v>
      </c>
      <c r="N607" t="n">
        <v>0</v>
      </c>
      <c r="O607" t="n">
        <v>0</v>
      </c>
      <c r="P607" t="n">
        <v>0</v>
      </c>
      <c r="Q607" t="n">
        <v>0</v>
      </c>
      <c r="R607" s="2" t="inlineStr"/>
    </row>
    <row r="608" ht="15" customHeight="1">
      <c r="A608" t="inlineStr">
        <is>
          <t>A 11036-2026</t>
        </is>
      </c>
      <c r="B608" s="1" t="n">
        <v>46079</v>
      </c>
      <c r="C608" s="1" t="n">
        <v>46200</v>
      </c>
      <c r="D608" t="inlineStr">
        <is>
          <t>ÖSTERGÖTLANDS LÄN</t>
        </is>
      </c>
      <c r="E608" t="inlineStr">
        <is>
          <t>LINKÖPING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11891-2026</t>
        </is>
      </c>
      <c r="B609" s="1" t="n">
        <v>46085</v>
      </c>
      <c r="C609" s="1" t="n">
        <v>46200</v>
      </c>
      <c r="D609" t="inlineStr">
        <is>
          <t>ÖSTERGÖTLANDS LÄN</t>
        </is>
      </c>
      <c r="E609" t="inlineStr">
        <is>
          <t>LINKÖPING</t>
        </is>
      </c>
      <c r="G609" t="n">
        <v>2.8</v>
      </c>
      <c r="H609" t="n">
        <v>0</v>
      </c>
      <c r="I609" t="n">
        <v>0</v>
      </c>
      <c r="J609" t="n">
        <v>0</v>
      </c>
      <c r="K609" t="n">
        <v>0</v>
      </c>
      <c r="L609" t="n">
        <v>0</v>
      </c>
      <c r="M609" t="n">
        <v>0</v>
      </c>
      <c r="N609" t="n">
        <v>0</v>
      </c>
      <c r="O609" t="n">
        <v>0</v>
      </c>
      <c r="P609" t="n">
        <v>0</v>
      </c>
      <c r="Q609" t="n">
        <v>0</v>
      </c>
      <c r="R609" s="2" t="inlineStr"/>
    </row>
    <row r="610" ht="15" customHeight="1">
      <c r="A610" t="inlineStr">
        <is>
          <t>A 11888-2026</t>
        </is>
      </c>
      <c r="B610" s="1" t="n">
        <v>46085</v>
      </c>
      <c r="C610" s="1" t="n">
        <v>46200</v>
      </c>
      <c r="D610" t="inlineStr">
        <is>
          <t>ÖSTERGÖTLANDS LÄN</t>
        </is>
      </c>
      <c r="E610" t="inlineStr">
        <is>
          <t>LINKÖPING</t>
        </is>
      </c>
      <c r="G610" t="n">
        <v>3.6</v>
      </c>
      <c r="H610" t="n">
        <v>0</v>
      </c>
      <c r="I610" t="n">
        <v>0</v>
      </c>
      <c r="J610" t="n">
        <v>0</v>
      </c>
      <c r="K610" t="n">
        <v>0</v>
      </c>
      <c r="L610" t="n">
        <v>0</v>
      </c>
      <c r="M610" t="n">
        <v>0</v>
      </c>
      <c r="N610" t="n">
        <v>0</v>
      </c>
      <c r="O610" t="n">
        <v>0</v>
      </c>
      <c r="P610" t="n">
        <v>0</v>
      </c>
      <c r="Q610" t="n">
        <v>0</v>
      </c>
      <c r="R610" s="2" t="inlineStr"/>
    </row>
    <row r="611" ht="15" customHeight="1">
      <c r="A611" t="inlineStr">
        <is>
          <t>A 12251-2026</t>
        </is>
      </c>
      <c r="B611" s="1" t="n">
        <v>46087</v>
      </c>
      <c r="C611" s="1" t="n">
        <v>46200</v>
      </c>
      <c r="D611" t="inlineStr">
        <is>
          <t>ÖSTERGÖTLANDS LÄN</t>
        </is>
      </c>
      <c r="E611" t="inlineStr">
        <is>
          <t>LINKÖPING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12254-2026</t>
        </is>
      </c>
      <c r="B612" s="1" t="n">
        <v>46087</v>
      </c>
      <c r="C612" s="1" t="n">
        <v>46200</v>
      </c>
      <c r="D612" t="inlineStr">
        <is>
          <t>ÖSTERGÖTLANDS LÄN</t>
        </is>
      </c>
      <c r="E612" t="inlineStr">
        <is>
          <t>LINKÖPING</t>
        </is>
      </c>
      <c r="G612" t="n">
        <v>10.4</v>
      </c>
      <c r="H612" t="n">
        <v>0</v>
      </c>
      <c r="I612" t="n">
        <v>0</v>
      </c>
      <c r="J612" t="n">
        <v>0</v>
      </c>
      <c r="K612" t="n">
        <v>0</v>
      </c>
      <c r="L612" t="n">
        <v>0</v>
      </c>
      <c r="M612" t="n">
        <v>0</v>
      </c>
      <c r="N612" t="n">
        <v>0</v>
      </c>
      <c r="O612" t="n">
        <v>0</v>
      </c>
      <c r="P612" t="n">
        <v>0</v>
      </c>
      <c r="Q612" t="n">
        <v>0</v>
      </c>
      <c r="R612" s="2" t="inlineStr"/>
    </row>
    <row r="613" ht="15" customHeight="1">
      <c r="A613" t="inlineStr">
        <is>
          <t>A 13927-2026</t>
        </is>
      </c>
      <c r="B613" s="1" t="n">
        <v>46098</v>
      </c>
      <c r="C613" s="1" t="n">
        <v>46200</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5099-2026</t>
        </is>
      </c>
      <c r="B614" s="1" t="n">
        <v>46049</v>
      </c>
      <c r="C614" s="1" t="n">
        <v>46200</v>
      </c>
      <c r="D614" t="inlineStr">
        <is>
          <t>ÖSTERGÖTLANDS LÄN</t>
        </is>
      </c>
      <c r="E614" t="inlineStr">
        <is>
          <t>LINKÖPING</t>
        </is>
      </c>
      <c r="G614" t="n">
        <v>5</v>
      </c>
      <c r="H614" t="n">
        <v>0</v>
      </c>
      <c r="I614" t="n">
        <v>0</v>
      </c>
      <c r="J614" t="n">
        <v>0</v>
      </c>
      <c r="K614" t="n">
        <v>0</v>
      </c>
      <c r="L614" t="n">
        <v>0</v>
      </c>
      <c r="M614" t="n">
        <v>0</v>
      </c>
      <c r="N614" t="n">
        <v>0</v>
      </c>
      <c r="O614" t="n">
        <v>0</v>
      </c>
      <c r="P614" t="n">
        <v>0</v>
      </c>
      <c r="Q614" t="n">
        <v>0</v>
      </c>
      <c r="R614" s="2" t="inlineStr"/>
    </row>
    <row r="615" ht="15" customHeight="1">
      <c r="A615" t="inlineStr">
        <is>
          <t>A 13565-2026</t>
        </is>
      </c>
      <c r="B615" s="1" t="n">
        <v>46094</v>
      </c>
      <c r="C615" s="1" t="n">
        <v>46200</v>
      </c>
      <c r="D615" t="inlineStr">
        <is>
          <t>ÖSTERGÖTLANDS LÄN</t>
        </is>
      </c>
      <c r="E615" t="inlineStr">
        <is>
          <t>LINKÖPING</t>
        </is>
      </c>
      <c r="G615" t="n">
        <v>2.2</v>
      </c>
      <c r="H615" t="n">
        <v>0</v>
      </c>
      <c r="I615" t="n">
        <v>0</v>
      </c>
      <c r="J615" t="n">
        <v>0</v>
      </c>
      <c r="K615" t="n">
        <v>0</v>
      </c>
      <c r="L615" t="n">
        <v>0</v>
      </c>
      <c r="M615" t="n">
        <v>0</v>
      </c>
      <c r="N615" t="n">
        <v>0</v>
      </c>
      <c r="O615" t="n">
        <v>0</v>
      </c>
      <c r="P615" t="n">
        <v>0</v>
      </c>
      <c r="Q615" t="n">
        <v>0</v>
      </c>
      <c r="R615" s="2" t="inlineStr"/>
    </row>
    <row r="616" ht="15" customHeight="1">
      <c r="A616" t="inlineStr">
        <is>
          <t>A 14157-2026</t>
        </is>
      </c>
      <c r="B616" s="1" t="n">
        <v>46099</v>
      </c>
      <c r="C616" s="1" t="n">
        <v>46200</v>
      </c>
      <c r="D616" t="inlineStr">
        <is>
          <t>ÖSTERGÖTLANDS LÄN</t>
        </is>
      </c>
      <c r="E616" t="inlineStr">
        <is>
          <t>LINKÖPING</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15850-2026</t>
        </is>
      </c>
      <c r="B617" s="1" t="n">
        <v>46107</v>
      </c>
      <c r="C617" s="1" t="n">
        <v>46200</v>
      </c>
      <c r="D617" t="inlineStr">
        <is>
          <t>ÖSTERGÖTLANDS LÄN</t>
        </is>
      </c>
      <c r="E617" t="inlineStr">
        <is>
          <t>LINKÖPING</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16967-2026</t>
        </is>
      </c>
      <c r="B618" s="1" t="n">
        <v>46114</v>
      </c>
      <c r="C618" s="1" t="n">
        <v>46200</v>
      </c>
      <c r="D618" t="inlineStr">
        <is>
          <t>ÖSTERGÖTLANDS LÄN</t>
        </is>
      </c>
      <c r="E618" t="inlineStr">
        <is>
          <t>LINKÖPING</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17513-2026</t>
        </is>
      </c>
      <c r="B619" s="1" t="n">
        <v>46120</v>
      </c>
      <c r="C619" s="1" t="n">
        <v>46200</v>
      </c>
      <c r="D619" t="inlineStr">
        <is>
          <t>ÖSTERGÖTLANDS LÄN</t>
        </is>
      </c>
      <c r="E619" t="inlineStr">
        <is>
          <t>LINKÖPING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24436-2026</t>
        </is>
      </c>
      <c r="B620" s="1" t="n">
        <v>46169</v>
      </c>
      <c r="C620" s="1" t="n">
        <v>46200</v>
      </c>
      <c r="D620" t="inlineStr">
        <is>
          <t>ÖSTERGÖTLANDS LÄN</t>
        </is>
      </c>
      <c r="E620" t="inlineStr">
        <is>
          <t>LINKÖPING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24618-2026</t>
        </is>
      </c>
      <c r="B621" s="1" t="n">
        <v>46169</v>
      </c>
      <c r="C621" s="1" t="n">
        <v>46200</v>
      </c>
      <c r="D621" t="inlineStr">
        <is>
          <t>ÖSTERGÖTLANDS LÄN</t>
        </is>
      </c>
      <c r="E621" t="inlineStr">
        <is>
          <t>LINKÖPING</t>
        </is>
      </c>
      <c r="G621" t="n">
        <v>0.7</v>
      </c>
      <c r="H621" t="n">
        <v>0</v>
      </c>
      <c r="I621" t="n">
        <v>0</v>
      </c>
      <c r="J621" t="n">
        <v>0</v>
      </c>
      <c r="K621" t="n">
        <v>0</v>
      </c>
      <c r="L621" t="n">
        <v>0</v>
      </c>
      <c r="M621" t="n">
        <v>0</v>
      </c>
      <c r="N621" t="n">
        <v>0</v>
      </c>
      <c r="O621" t="n">
        <v>0</v>
      </c>
      <c r="P621" t="n">
        <v>0</v>
      </c>
      <c r="Q621" t="n">
        <v>0</v>
      </c>
      <c r="R621" s="2" t="inlineStr"/>
    </row>
    <row r="622" ht="15" customHeight="1">
      <c r="A622" t="inlineStr">
        <is>
          <t>A 24619-2026</t>
        </is>
      </c>
      <c r="B622" s="1" t="n">
        <v>46169</v>
      </c>
      <c r="C622" s="1" t="n">
        <v>46200</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20291-2025</t>
        </is>
      </c>
      <c r="B623" s="1" t="n">
        <v>45774</v>
      </c>
      <c r="C623" s="1" t="n">
        <v>46200</v>
      </c>
      <c r="D623" t="inlineStr">
        <is>
          <t>ÖSTERGÖTLANDS LÄN</t>
        </is>
      </c>
      <c r="E623" t="inlineStr">
        <is>
          <t>LINKÖPING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19523-2026</t>
        </is>
      </c>
      <c r="B624" s="1" t="n">
        <v>46134</v>
      </c>
      <c r="C624" s="1" t="n">
        <v>46200</v>
      </c>
      <c r="D624" t="inlineStr">
        <is>
          <t>ÖSTERGÖTLANDS LÄN</t>
        </is>
      </c>
      <c r="E624" t="inlineStr">
        <is>
          <t>LINKÖPING</t>
        </is>
      </c>
      <c r="G624" t="n">
        <v>1.6</v>
      </c>
      <c r="H624" t="n">
        <v>0</v>
      </c>
      <c r="I624" t="n">
        <v>0</v>
      </c>
      <c r="J624" t="n">
        <v>0</v>
      </c>
      <c r="K624" t="n">
        <v>0</v>
      </c>
      <c r="L624" t="n">
        <v>0</v>
      </c>
      <c r="M624" t="n">
        <v>0</v>
      </c>
      <c r="N624" t="n">
        <v>0</v>
      </c>
      <c r="O624" t="n">
        <v>0</v>
      </c>
      <c r="P624" t="n">
        <v>0</v>
      </c>
      <c r="Q624" t="n">
        <v>0</v>
      </c>
      <c r="R624" s="2" t="inlineStr"/>
    </row>
    <row r="625" ht="15" customHeight="1">
      <c r="A625" t="inlineStr">
        <is>
          <t>A 20298-2025</t>
        </is>
      </c>
      <c r="B625" s="1" t="n">
        <v>45774</v>
      </c>
      <c r="C625" s="1" t="n">
        <v>46200</v>
      </c>
      <c r="D625" t="inlineStr">
        <is>
          <t>ÖSTERGÖTLANDS LÄN</t>
        </is>
      </c>
      <c r="E625" t="inlineStr">
        <is>
          <t>LINKÖPING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55004-2025</t>
        </is>
      </c>
      <c r="B626" s="1" t="n">
        <v>45967</v>
      </c>
      <c r="C626" s="1" t="n">
        <v>46200</v>
      </c>
      <c r="D626" t="inlineStr">
        <is>
          <t>ÖSTERGÖTLANDS LÄN</t>
        </is>
      </c>
      <c r="E626" t="inlineStr">
        <is>
          <t>LINKÖPING</t>
        </is>
      </c>
      <c r="G626" t="n">
        <v>2.5</v>
      </c>
      <c r="H626" t="n">
        <v>0</v>
      </c>
      <c r="I626" t="n">
        <v>0</v>
      </c>
      <c r="J626" t="n">
        <v>0</v>
      </c>
      <c r="K626" t="n">
        <v>0</v>
      </c>
      <c r="L626" t="n">
        <v>0</v>
      </c>
      <c r="M626" t="n">
        <v>0</v>
      </c>
      <c r="N626" t="n">
        <v>0</v>
      </c>
      <c r="O626" t="n">
        <v>0</v>
      </c>
      <c r="P626" t="n">
        <v>0</v>
      </c>
      <c r="Q626" t="n">
        <v>0</v>
      </c>
      <c r="R626" s="2" t="inlineStr"/>
    </row>
    <row r="627" ht="15" customHeight="1">
      <c r="A627" t="inlineStr">
        <is>
          <t>A 12174-2026</t>
        </is>
      </c>
      <c r="B627" s="1" t="n">
        <v>46086</v>
      </c>
      <c r="C627" s="1" t="n">
        <v>46200</v>
      </c>
      <c r="D627" t="inlineStr">
        <is>
          <t>ÖSTERGÖTLANDS LÄN</t>
        </is>
      </c>
      <c r="E627" t="inlineStr">
        <is>
          <t>LINKÖPING</t>
        </is>
      </c>
      <c r="G627" t="n">
        <v>7.2</v>
      </c>
      <c r="H627" t="n">
        <v>0</v>
      </c>
      <c r="I627" t="n">
        <v>0</v>
      </c>
      <c r="J627" t="n">
        <v>0</v>
      </c>
      <c r="K627" t="n">
        <v>0</v>
      </c>
      <c r="L627" t="n">
        <v>0</v>
      </c>
      <c r="M627" t="n">
        <v>0</v>
      </c>
      <c r="N627" t="n">
        <v>0</v>
      </c>
      <c r="O627" t="n">
        <v>0</v>
      </c>
      <c r="P627" t="n">
        <v>0</v>
      </c>
      <c r="Q627" t="n">
        <v>0</v>
      </c>
      <c r="R627" s="2" t="inlineStr"/>
    </row>
    <row r="628" ht="15" customHeight="1">
      <c r="A628" t="inlineStr">
        <is>
          <t>A 12175-2026</t>
        </is>
      </c>
      <c r="B628" s="1" t="n">
        <v>46086</v>
      </c>
      <c r="C628" s="1" t="n">
        <v>46200</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49650-2025</t>
        </is>
      </c>
      <c r="B629" s="1" t="n">
        <v>45938</v>
      </c>
      <c r="C629" s="1" t="n">
        <v>46200</v>
      </c>
      <c r="D629" t="inlineStr">
        <is>
          <t>ÖSTERGÖTLANDS LÄN</t>
        </is>
      </c>
      <c r="E629" t="inlineStr">
        <is>
          <t>LINKÖPING</t>
        </is>
      </c>
      <c r="F629" t="inlineStr">
        <is>
          <t>Övriga Aktiebolag</t>
        </is>
      </c>
      <c r="G629" t="n">
        <v>1.5</v>
      </c>
      <c r="H629" t="n">
        <v>0</v>
      </c>
      <c r="I629" t="n">
        <v>0</v>
      </c>
      <c r="J629" t="n">
        <v>0</v>
      </c>
      <c r="K629" t="n">
        <v>0</v>
      </c>
      <c r="L629" t="n">
        <v>0</v>
      </c>
      <c r="M629" t="n">
        <v>0</v>
      </c>
      <c r="N629" t="n">
        <v>0</v>
      </c>
      <c r="O629" t="n">
        <v>0</v>
      </c>
      <c r="P629" t="n">
        <v>0</v>
      </c>
      <c r="Q629" t="n">
        <v>0</v>
      </c>
      <c r="R629" s="2" t="inlineStr"/>
    </row>
    <row r="630" ht="15" customHeight="1">
      <c r="A630" t="inlineStr">
        <is>
          <t>A 62791-2025</t>
        </is>
      </c>
      <c r="B630" s="1" t="n">
        <v>46008</v>
      </c>
      <c r="C630" s="1" t="n">
        <v>46200</v>
      </c>
      <c r="D630" t="inlineStr">
        <is>
          <t>ÖSTERGÖTLANDS LÄN</t>
        </is>
      </c>
      <c r="E630" t="inlineStr">
        <is>
          <t>LINKÖPING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8967-2025</t>
        </is>
      </c>
      <c r="B631" s="1" t="n">
        <v>45712</v>
      </c>
      <c r="C631" s="1" t="n">
        <v>46200</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14135-2026</t>
        </is>
      </c>
      <c r="B632" s="1" t="n">
        <v>46099</v>
      </c>
      <c r="C632" s="1" t="n">
        <v>46200</v>
      </c>
      <c r="D632" t="inlineStr">
        <is>
          <t>ÖSTERGÖTLANDS LÄN</t>
        </is>
      </c>
      <c r="E632" t="inlineStr">
        <is>
          <t>LINKÖPING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25962-2026</t>
        </is>
      </c>
      <c r="B633" s="1" t="n">
        <v>46181</v>
      </c>
      <c r="C633" s="1" t="n">
        <v>46200</v>
      </c>
      <c r="D633" t="inlineStr">
        <is>
          <t>ÖSTERGÖTLANDS LÄN</t>
        </is>
      </c>
      <c r="E633" t="inlineStr">
        <is>
          <t>LINKÖPING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13266-2025</t>
        </is>
      </c>
      <c r="B634" s="1" t="n">
        <v>45735</v>
      </c>
      <c r="C634" s="1" t="n">
        <v>46200</v>
      </c>
      <c r="D634" t="inlineStr">
        <is>
          <t>ÖSTERGÖTLANDS LÄN</t>
        </is>
      </c>
      <c r="E634" t="inlineStr">
        <is>
          <t>LINKÖPING</t>
        </is>
      </c>
      <c r="G634" t="n">
        <v>3.1</v>
      </c>
      <c r="H634" t="n">
        <v>0</v>
      </c>
      <c r="I634" t="n">
        <v>0</v>
      </c>
      <c r="J634" t="n">
        <v>0</v>
      </c>
      <c r="K634" t="n">
        <v>0</v>
      </c>
      <c r="L634" t="n">
        <v>0</v>
      </c>
      <c r="M634" t="n">
        <v>0</v>
      </c>
      <c r="N634" t="n">
        <v>0</v>
      </c>
      <c r="O634" t="n">
        <v>0</v>
      </c>
      <c r="P634" t="n">
        <v>0</v>
      </c>
      <c r="Q634" t="n">
        <v>0</v>
      </c>
      <c r="R634" s="2" t="inlineStr"/>
    </row>
    <row r="635" ht="15" customHeight="1">
      <c r="A635" t="inlineStr">
        <is>
          <t>A 42623-2025</t>
        </is>
      </c>
      <c r="B635" s="1" t="n">
        <v>45905</v>
      </c>
      <c r="C635" s="1" t="n">
        <v>46200</v>
      </c>
      <c r="D635" t="inlineStr">
        <is>
          <t>ÖSTERGÖTLANDS LÄN</t>
        </is>
      </c>
      <c r="E635" t="inlineStr">
        <is>
          <t>LINKÖPING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25955-2026</t>
        </is>
      </c>
      <c r="B636" s="1" t="n">
        <v>46181</v>
      </c>
      <c r="C636" s="1" t="n">
        <v>46200</v>
      </c>
      <c r="D636" t="inlineStr">
        <is>
          <t>ÖSTERGÖTLANDS LÄN</t>
        </is>
      </c>
      <c r="E636" t="inlineStr">
        <is>
          <t>LINKÖPING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12181-2026</t>
        </is>
      </c>
      <c r="B637" s="1" t="n">
        <v>46086</v>
      </c>
      <c r="C637" s="1" t="n">
        <v>46200</v>
      </c>
      <c r="D637" t="inlineStr">
        <is>
          <t>ÖSTERGÖTLANDS LÄN</t>
        </is>
      </c>
      <c r="E637" t="inlineStr">
        <is>
          <t>LINKÖPING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7133-2026</t>
        </is>
      </c>
      <c r="B638" s="1" t="n">
        <v>46057</v>
      </c>
      <c r="C638" s="1" t="n">
        <v>46200</v>
      </c>
      <c r="D638" t="inlineStr">
        <is>
          <t>ÖSTERGÖTLANDS LÄN</t>
        </is>
      </c>
      <c r="E638" t="inlineStr">
        <is>
          <t>LINKÖPING</t>
        </is>
      </c>
      <c r="G638" t="n">
        <v>2.4</v>
      </c>
      <c r="H638" t="n">
        <v>0</v>
      </c>
      <c r="I638" t="n">
        <v>0</v>
      </c>
      <c r="J638" t="n">
        <v>0</v>
      </c>
      <c r="K638" t="n">
        <v>0</v>
      </c>
      <c r="L638" t="n">
        <v>0</v>
      </c>
      <c r="M638" t="n">
        <v>0</v>
      </c>
      <c r="N638" t="n">
        <v>0</v>
      </c>
      <c r="O638" t="n">
        <v>0</v>
      </c>
      <c r="P638" t="n">
        <v>0</v>
      </c>
      <c r="Q638" t="n">
        <v>0</v>
      </c>
      <c r="R638" s="2" t="inlineStr"/>
    </row>
    <row r="639" ht="15" customHeight="1">
      <c r="A639" t="inlineStr">
        <is>
          <t>A 33800-2023</t>
        </is>
      </c>
      <c r="B639" s="1" t="n">
        <v>45121</v>
      </c>
      <c r="C639" s="1" t="n">
        <v>46200</v>
      </c>
      <c r="D639" t="inlineStr">
        <is>
          <t>ÖSTERGÖTLANDS LÄN</t>
        </is>
      </c>
      <c r="E639" t="inlineStr">
        <is>
          <t>LINKÖPING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61298-2021</t>
        </is>
      </c>
      <c r="B640" s="1" t="n">
        <v>44498</v>
      </c>
      <c r="C640" s="1" t="n">
        <v>46200</v>
      </c>
      <c r="D640" t="inlineStr">
        <is>
          <t>ÖSTERGÖTLANDS LÄN</t>
        </is>
      </c>
      <c r="E640" t="inlineStr">
        <is>
          <t>LINKÖPING</t>
        </is>
      </c>
      <c r="G640" t="n">
        <v>4.3</v>
      </c>
      <c r="H640" t="n">
        <v>0</v>
      </c>
      <c r="I640" t="n">
        <v>0</v>
      </c>
      <c r="J640" t="n">
        <v>0</v>
      </c>
      <c r="K640" t="n">
        <v>0</v>
      </c>
      <c r="L640" t="n">
        <v>0</v>
      </c>
      <c r="M640" t="n">
        <v>0</v>
      </c>
      <c r="N640" t="n">
        <v>0</v>
      </c>
      <c r="O640" t="n">
        <v>0</v>
      </c>
      <c r="P640" t="n">
        <v>0</v>
      </c>
      <c r="Q640" t="n">
        <v>0</v>
      </c>
      <c r="R640" s="2" t="inlineStr"/>
    </row>
    <row r="641" ht="15" customHeight="1">
      <c r="A641" t="inlineStr">
        <is>
          <t>A 21247-2026</t>
        </is>
      </c>
      <c r="B641" s="1" t="n">
        <v>46147</v>
      </c>
      <c r="C641" s="1" t="n">
        <v>46200</v>
      </c>
      <c r="D641" t="inlineStr">
        <is>
          <t>ÖSTERGÖTLANDS LÄN</t>
        </is>
      </c>
      <c r="E641" t="inlineStr">
        <is>
          <t>LINKÖPING</t>
        </is>
      </c>
      <c r="F641" t="inlineStr">
        <is>
          <t>Sveaskog</t>
        </is>
      </c>
      <c r="G641" t="n">
        <v>0.4</v>
      </c>
      <c r="H641" t="n">
        <v>0</v>
      </c>
      <c r="I641" t="n">
        <v>0</v>
      </c>
      <c r="J641" t="n">
        <v>0</v>
      </c>
      <c r="K641" t="n">
        <v>0</v>
      </c>
      <c r="L641" t="n">
        <v>0</v>
      </c>
      <c r="M641" t="n">
        <v>0</v>
      </c>
      <c r="N641" t="n">
        <v>0</v>
      </c>
      <c r="O641" t="n">
        <v>0</v>
      </c>
      <c r="P641" t="n">
        <v>0</v>
      </c>
      <c r="Q641" t="n">
        <v>0</v>
      </c>
      <c r="R641" s="2" t="inlineStr"/>
    </row>
    <row r="642" ht="15" customHeight="1">
      <c r="A642" t="inlineStr">
        <is>
          <t>A 21246-2026</t>
        </is>
      </c>
      <c r="B642" s="1" t="n">
        <v>46147</v>
      </c>
      <c r="C642" s="1" t="n">
        <v>46200</v>
      </c>
      <c r="D642" t="inlineStr">
        <is>
          <t>ÖSTERGÖTLANDS LÄN</t>
        </is>
      </c>
      <c r="E642" t="inlineStr">
        <is>
          <t>LINKÖPING</t>
        </is>
      </c>
      <c r="F642" t="inlineStr">
        <is>
          <t>Sveaskog</t>
        </is>
      </c>
      <c r="G642" t="n">
        <v>6.5</v>
      </c>
      <c r="H642" t="n">
        <v>0</v>
      </c>
      <c r="I642" t="n">
        <v>0</v>
      </c>
      <c r="J642" t="n">
        <v>0</v>
      </c>
      <c r="K642" t="n">
        <v>0</v>
      </c>
      <c r="L642" t="n">
        <v>0</v>
      </c>
      <c r="M642" t="n">
        <v>0</v>
      </c>
      <c r="N642" t="n">
        <v>0</v>
      </c>
      <c r="O642" t="n">
        <v>0</v>
      </c>
      <c r="P642" t="n">
        <v>0</v>
      </c>
      <c r="Q642" t="n">
        <v>0</v>
      </c>
      <c r="R642" s="2" t="inlineStr"/>
    </row>
    <row r="643" ht="15" customHeight="1">
      <c r="A643" t="inlineStr">
        <is>
          <t>A 21248-2026</t>
        </is>
      </c>
      <c r="B643" s="1" t="n">
        <v>46147</v>
      </c>
      <c r="C643" s="1" t="n">
        <v>46200</v>
      </c>
      <c r="D643" t="inlineStr">
        <is>
          <t>ÖSTERGÖTLANDS LÄN</t>
        </is>
      </c>
      <c r="E643" t="inlineStr">
        <is>
          <t>LINKÖPING</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21374-2026</t>
        </is>
      </c>
      <c r="B644" s="1" t="n">
        <v>46145</v>
      </c>
      <c r="C644" s="1" t="n">
        <v>46200</v>
      </c>
      <c r="D644" t="inlineStr">
        <is>
          <t>ÖSTERGÖTLANDS LÄN</t>
        </is>
      </c>
      <c r="E644" t="inlineStr">
        <is>
          <t>LINKÖPING</t>
        </is>
      </c>
      <c r="G644" t="n">
        <v>3.7</v>
      </c>
      <c r="H644" t="n">
        <v>0</v>
      </c>
      <c r="I644" t="n">
        <v>0</v>
      </c>
      <c r="J644" t="n">
        <v>0</v>
      </c>
      <c r="K644" t="n">
        <v>0</v>
      </c>
      <c r="L644" t="n">
        <v>0</v>
      </c>
      <c r="M644" t="n">
        <v>0</v>
      </c>
      <c r="N644" t="n">
        <v>0</v>
      </c>
      <c r="O644" t="n">
        <v>0</v>
      </c>
      <c r="P644" t="n">
        <v>0</v>
      </c>
      <c r="Q644" t="n">
        <v>0</v>
      </c>
      <c r="R644" s="2" t="inlineStr"/>
    </row>
    <row r="645" ht="15" customHeight="1">
      <c r="A645" t="inlineStr">
        <is>
          <t>A 31635-2023</t>
        </is>
      </c>
      <c r="B645" s="1" t="n">
        <v>45105</v>
      </c>
      <c r="C645" s="1" t="n">
        <v>46200</v>
      </c>
      <c r="D645" t="inlineStr">
        <is>
          <t>ÖSTERGÖTLANDS LÄN</t>
        </is>
      </c>
      <c r="E645" t="inlineStr">
        <is>
          <t>LINKÖPING</t>
        </is>
      </c>
      <c r="F645" t="inlineStr">
        <is>
          <t>Övriga statliga verk och myndigheter</t>
        </is>
      </c>
      <c r="G645" t="n">
        <v>4.6</v>
      </c>
      <c r="H645" t="n">
        <v>0</v>
      </c>
      <c r="I645" t="n">
        <v>0</v>
      </c>
      <c r="J645" t="n">
        <v>0</v>
      </c>
      <c r="K645" t="n">
        <v>0</v>
      </c>
      <c r="L645" t="n">
        <v>0</v>
      </c>
      <c r="M645" t="n">
        <v>0</v>
      </c>
      <c r="N645" t="n">
        <v>0</v>
      </c>
      <c r="O645" t="n">
        <v>0</v>
      </c>
      <c r="P645" t="n">
        <v>0</v>
      </c>
      <c r="Q645" t="n">
        <v>0</v>
      </c>
      <c r="R645" s="2" t="inlineStr"/>
    </row>
    <row r="646" ht="15" customHeight="1">
      <c r="A646" t="inlineStr">
        <is>
          <t>A 22070-2026</t>
        </is>
      </c>
      <c r="B646" s="1" t="n">
        <v>46153</v>
      </c>
      <c r="C646" s="1" t="n">
        <v>46200</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22271-2026</t>
        </is>
      </c>
      <c r="B647" s="1" t="n">
        <v>46154</v>
      </c>
      <c r="C647" s="1" t="n">
        <v>46200</v>
      </c>
      <c r="D647" t="inlineStr">
        <is>
          <t>ÖSTERGÖTLANDS LÄN</t>
        </is>
      </c>
      <c r="E647" t="inlineStr">
        <is>
          <t>LINKÖPING</t>
        </is>
      </c>
      <c r="F647" t="inlineStr">
        <is>
          <t>Sveaskog</t>
        </is>
      </c>
      <c r="G647" t="n">
        <v>6.5</v>
      </c>
      <c r="H647" t="n">
        <v>0</v>
      </c>
      <c r="I647" t="n">
        <v>0</v>
      </c>
      <c r="J647" t="n">
        <v>0</v>
      </c>
      <c r="K647" t="n">
        <v>0</v>
      </c>
      <c r="L647" t="n">
        <v>0</v>
      </c>
      <c r="M647" t="n">
        <v>0</v>
      </c>
      <c r="N647" t="n">
        <v>0</v>
      </c>
      <c r="O647" t="n">
        <v>0</v>
      </c>
      <c r="P647" t="n">
        <v>0</v>
      </c>
      <c r="Q647" t="n">
        <v>0</v>
      </c>
      <c r="R647" s="2" t="inlineStr"/>
    </row>
    <row r="648" ht="15" customHeight="1">
      <c r="A648" t="inlineStr">
        <is>
          <t>A 22289-2026</t>
        </is>
      </c>
      <c r="B648" s="1" t="n">
        <v>46154</v>
      </c>
      <c r="C648" s="1" t="n">
        <v>46200</v>
      </c>
      <c r="D648" t="inlineStr">
        <is>
          <t>ÖSTERGÖTLANDS LÄN</t>
        </is>
      </c>
      <c r="E648" t="inlineStr">
        <is>
          <t>LINKÖPING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22286-2026</t>
        </is>
      </c>
      <c r="B649" s="1" t="n">
        <v>46154</v>
      </c>
      <c r="C649" s="1" t="n">
        <v>46200</v>
      </c>
      <c r="D649" t="inlineStr">
        <is>
          <t>ÖSTERGÖTLANDS LÄN</t>
        </is>
      </c>
      <c r="E649" t="inlineStr">
        <is>
          <t>LINKÖPING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22284-2026</t>
        </is>
      </c>
      <c r="B650" s="1" t="n">
        <v>46154</v>
      </c>
      <c r="C650" s="1" t="n">
        <v>46200</v>
      </c>
      <c r="D650" t="inlineStr">
        <is>
          <t>ÖSTERGÖTLANDS LÄN</t>
        </is>
      </c>
      <c r="E650" t="inlineStr">
        <is>
          <t>LINKÖPING</t>
        </is>
      </c>
      <c r="F650" t="inlineStr">
        <is>
          <t>Sveaskog</t>
        </is>
      </c>
      <c r="G650" t="n">
        <v>4.4</v>
      </c>
      <c r="H650" t="n">
        <v>0</v>
      </c>
      <c r="I650" t="n">
        <v>0</v>
      </c>
      <c r="J650" t="n">
        <v>0</v>
      </c>
      <c r="K650" t="n">
        <v>0</v>
      </c>
      <c r="L650" t="n">
        <v>0</v>
      </c>
      <c r="M650" t="n">
        <v>0</v>
      </c>
      <c r="N650" t="n">
        <v>0</v>
      </c>
      <c r="O650" t="n">
        <v>0</v>
      </c>
      <c r="P650" t="n">
        <v>0</v>
      </c>
      <c r="Q650" t="n">
        <v>0</v>
      </c>
      <c r="R650" s="2" t="inlineStr"/>
    </row>
    <row r="651" ht="15" customHeight="1">
      <c r="A651" t="inlineStr">
        <is>
          <t>A 22272-2026</t>
        </is>
      </c>
      <c r="B651" s="1" t="n">
        <v>46154</v>
      </c>
      <c r="C651" s="1" t="n">
        <v>46200</v>
      </c>
      <c r="D651" t="inlineStr">
        <is>
          <t>ÖSTERGÖTLANDS LÄN</t>
        </is>
      </c>
      <c r="E651" t="inlineStr">
        <is>
          <t>LINKÖPING</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22282-2026</t>
        </is>
      </c>
      <c r="B652" s="1" t="n">
        <v>46154</v>
      </c>
      <c r="C652" s="1" t="n">
        <v>46200</v>
      </c>
      <c r="D652" t="inlineStr">
        <is>
          <t>ÖSTERGÖTLANDS LÄN</t>
        </is>
      </c>
      <c r="E652" t="inlineStr">
        <is>
          <t>LINKÖPING</t>
        </is>
      </c>
      <c r="F652" t="inlineStr">
        <is>
          <t>Sveaskog</t>
        </is>
      </c>
      <c r="G652" t="n">
        <v>6.7</v>
      </c>
      <c r="H652" t="n">
        <v>0</v>
      </c>
      <c r="I652" t="n">
        <v>0</v>
      </c>
      <c r="J652" t="n">
        <v>0</v>
      </c>
      <c r="K652" t="n">
        <v>0</v>
      </c>
      <c r="L652" t="n">
        <v>0</v>
      </c>
      <c r="M652" t="n">
        <v>0</v>
      </c>
      <c r="N652" t="n">
        <v>0</v>
      </c>
      <c r="O652" t="n">
        <v>0</v>
      </c>
      <c r="P652" t="n">
        <v>0</v>
      </c>
      <c r="Q652" t="n">
        <v>0</v>
      </c>
      <c r="R652" s="2" t="inlineStr"/>
    </row>
    <row r="653" ht="15" customHeight="1">
      <c r="A653" t="inlineStr">
        <is>
          <t>A 28866-2026</t>
        </is>
      </c>
      <c r="B653" s="1" t="n">
        <v>46199</v>
      </c>
      <c r="C653" s="1" t="n">
        <v>46200</v>
      </c>
      <c r="D653" t="inlineStr">
        <is>
          <t>ÖSTERGÖTLANDS LÄN</t>
        </is>
      </c>
      <c r="E653" t="inlineStr">
        <is>
          <t>LINKÖPING</t>
        </is>
      </c>
      <c r="G653" t="n">
        <v>1.3</v>
      </c>
      <c r="H653" t="n">
        <v>0</v>
      </c>
      <c r="I653" t="n">
        <v>0</v>
      </c>
      <c r="J653" t="n">
        <v>0</v>
      </c>
      <c r="K653" t="n">
        <v>0</v>
      </c>
      <c r="L653" t="n">
        <v>0</v>
      </c>
      <c r="M653" t="n">
        <v>0</v>
      </c>
      <c r="N653" t="n">
        <v>0</v>
      </c>
      <c r="O653" t="n">
        <v>0</v>
      </c>
      <c r="P653" t="n">
        <v>0</v>
      </c>
      <c r="Q653" t="n">
        <v>0</v>
      </c>
      <c r="R653" s="2" t="inlineStr"/>
    </row>
    <row r="654">
      <c r="A654" t="inlineStr">
        <is>
          <t>A 12428-2024</t>
        </is>
      </c>
      <c r="B654" s="1" t="n">
        <v>45379</v>
      </c>
      <c r="C654" s="1" t="n">
        <v>46200</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2026-06-27T00:52:00Z</dcterms:created>
  <dcterms:modified xmlns:dcterms="http://purl.org/dc/terms/" xmlns:xsi="http://www.w3.org/2001/XMLSchema-instance" xsi:type="dcterms:W3CDTF">2026-06-27T00:52:01Z</dcterms:modified>
</cp:coreProperties>
</file>