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46196</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46196</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46196</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12494-2026</t>
        </is>
      </c>
      <c r="B5" s="1" t="n">
        <v>46090</v>
      </c>
      <c r="C5" s="1" t="n">
        <v>46196</v>
      </c>
      <c r="D5" t="inlineStr">
        <is>
          <t>ÖSTERGÖTLANDS LÄN</t>
        </is>
      </c>
      <c r="E5" t="inlineStr">
        <is>
          <t>LINKÖPING</t>
        </is>
      </c>
      <c r="G5" t="n">
        <v>3.4</v>
      </c>
      <c r="H5" t="n">
        <v>3</v>
      </c>
      <c r="I5" t="n">
        <v>9</v>
      </c>
      <c r="J5" t="n">
        <v>4</v>
      </c>
      <c r="K5" t="n">
        <v>1</v>
      </c>
      <c r="L5" t="n">
        <v>1</v>
      </c>
      <c r="M5" t="n">
        <v>0</v>
      </c>
      <c r="N5" t="n">
        <v>0</v>
      </c>
      <c r="O5" t="n">
        <v>6</v>
      </c>
      <c r="P5" t="n">
        <v>2</v>
      </c>
      <c r="Q5" t="n">
        <v>17</v>
      </c>
      <c r="R5" s="2" t="inlineStr">
        <is>
          <t>Läkeögontröst
Slåttergubbe
Jungfrulin
Scharlakansvaxing
Solvända
Svinrot
Blodvaxing
Broskvaxing
Fällmossa
Gråvaxing
Gulvaxing
Sotlav
Sprödvaxing
Vitvaxing agg.
Ängsvaxing agg.
Blåsippa
Fläcknycklar</t>
        </is>
      </c>
      <c r="S5">
        <f>HYPERLINK("https://klasma.github.io/Logging_0580/artfynd/A 12494-2026 artfynd.xlsx", "A 12494-2026")</f>
        <v/>
      </c>
      <c r="T5">
        <f>HYPERLINK("https://klasma.github.io/Logging_0580/kartor/A 12494-2026 karta.png", "A 12494-2026")</f>
        <v/>
      </c>
      <c r="V5">
        <f>HYPERLINK("https://klasma.github.io/Logging_0580/klagomål/A 12494-2026 FSC-klagomål.docx", "A 12494-2026")</f>
        <v/>
      </c>
      <c r="W5">
        <f>HYPERLINK("https://klasma.github.io/Logging_0580/klagomålsmail/A 12494-2026 FSC-klagomål mail.docx", "A 12494-2026")</f>
        <v/>
      </c>
      <c r="X5">
        <f>HYPERLINK("https://klasma.github.io/Logging_0580/tillsyn/A 12494-2026 tillsynsbegäran.docx", "A 12494-2026")</f>
        <v/>
      </c>
      <c r="Y5">
        <f>HYPERLINK("https://klasma.github.io/Logging_0580/tillsynsmail/A 12494-2026 tillsynsbegäran mail.docx", "A 12494-2026")</f>
        <v/>
      </c>
    </row>
    <row r="6" ht="15" customHeight="1">
      <c r="A6" t="inlineStr">
        <is>
          <t>A 90-2024</t>
        </is>
      </c>
      <c r="B6" s="1" t="n">
        <v>45293</v>
      </c>
      <c r="C6" s="1" t="n">
        <v>46196</v>
      </c>
      <c r="D6" t="inlineStr">
        <is>
          <t>ÖSTERGÖTLANDS LÄN</t>
        </is>
      </c>
      <c r="E6" t="inlineStr">
        <is>
          <t>LINKÖPING</t>
        </is>
      </c>
      <c r="G6" t="n">
        <v>1.8</v>
      </c>
      <c r="H6" t="n">
        <v>0</v>
      </c>
      <c r="I6" t="n">
        <v>13</v>
      </c>
      <c r="J6" t="n">
        <v>0</v>
      </c>
      <c r="K6" t="n">
        <v>3</v>
      </c>
      <c r="L6" t="n">
        <v>1</v>
      </c>
      <c r="M6" t="n">
        <v>0</v>
      </c>
      <c r="N6" t="n">
        <v>0</v>
      </c>
      <c r="O6" t="n">
        <v>4</v>
      </c>
      <c r="P6" t="n">
        <v>4</v>
      </c>
      <c r="Q6" t="n">
        <v>17</v>
      </c>
      <c r="R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6">
        <f>HYPERLINK("https://klasma.github.io/Logging_0580/artfynd/A 90-2024 artfynd.xlsx", "A 90-2024")</f>
        <v/>
      </c>
      <c r="T6">
        <f>HYPERLINK("https://klasma.github.io/Logging_0580/kartor/A 90-2024 karta.png", "A 90-2024")</f>
        <v/>
      </c>
      <c r="V6">
        <f>HYPERLINK("https://klasma.github.io/Logging_0580/klagomål/A 90-2024 FSC-klagomål.docx", "A 90-2024")</f>
        <v/>
      </c>
      <c r="W6">
        <f>HYPERLINK("https://klasma.github.io/Logging_0580/klagomålsmail/A 90-2024 FSC-klagomål mail.docx", "A 90-2024")</f>
        <v/>
      </c>
      <c r="X6">
        <f>HYPERLINK("https://klasma.github.io/Logging_0580/tillsyn/A 90-2024 tillsynsbegäran.docx", "A 90-2024")</f>
        <v/>
      </c>
      <c r="Y6">
        <f>HYPERLINK("https://klasma.github.io/Logging_0580/tillsynsmail/A 90-2024 tillsynsbegäran mail.docx", "A 90-2024")</f>
        <v/>
      </c>
    </row>
    <row r="7" ht="15" customHeight="1">
      <c r="A7" t="inlineStr">
        <is>
          <t>A 40970-2021</t>
        </is>
      </c>
      <c r="B7" s="1" t="n">
        <v>44421</v>
      </c>
      <c r="C7" s="1" t="n">
        <v>46196</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46196</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46196</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6353-2026</t>
        </is>
      </c>
      <c r="B10" s="1" t="n">
        <v>46055</v>
      </c>
      <c r="C10" s="1" t="n">
        <v>46196</v>
      </c>
      <c r="D10" t="inlineStr">
        <is>
          <t>ÖSTERGÖTLANDS LÄN</t>
        </is>
      </c>
      <c r="E10" t="inlineStr">
        <is>
          <t>LINKÖPING</t>
        </is>
      </c>
      <c r="F10" t="inlineStr">
        <is>
          <t>Övriga Aktiebolag</t>
        </is>
      </c>
      <c r="G10" t="n">
        <v>6.8</v>
      </c>
      <c r="H10" t="n">
        <v>2</v>
      </c>
      <c r="I10" t="n">
        <v>2</v>
      </c>
      <c r="J10" t="n">
        <v>2</v>
      </c>
      <c r="K10" t="n">
        <v>1</v>
      </c>
      <c r="L10" t="n">
        <v>1</v>
      </c>
      <c r="M10" t="n">
        <v>0</v>
      </c>
      <c r="N10" t="n">
        <v>0</v>
      </c>
      <c r="O10" t="n">
        <v>4</v>
      </c>
      <c r="P10" t="n">
        <v>2</v>
      </c>
      <c r="Q10" t="n">
        <v>7</v>
      </c>
      <c r="R10" s="2" t="inlineStr">
        <is>
          <t>Ask
Gulvit blekspik
Bivråk
Grynig filtlav
Bårdlav
Dvärgtufs
Gullviva</t>
        </is>
      </c>
      <c r="S10">
        <f>HYPERLINK("https://klasma.github.io/Logging_0580/artfynd/A 6353-2026 artfynd.xlsx", "A 6353-2026")</f>
        <v/>
      </c>
      <c r="T10">
        <f>HYPERLINK("https://klasma.github.io/Logging_0580/kartor/A 6353-2026 karta.png", "A 6353-2026")</f>
        <v/>
      </c>
      <c r="V10">
        <f>HYPERLINK("https://klasma.github.io/Logging_0580/klagomål/A 6353-2026 FSC-klagomål.docx", "A 6353-2026")</f>
        <v/>
      </c>
      <c r="W10">
        <f>HYPERLINK("https://klasma.github.io/Logging_0580/klagomålsmail/A 6353-2026 FSC-klagomål mail.docx", "A 6353-2026")</f>
        <v/>
      </c>
      <c r="X10">
        <f>HYPERLINK("https://klasma.github.io/Logging_0580/tillsyn/A 6353-2026 tillsynsbegäran.docx", "A 6353-2026")</f>
        <v/>
      </c>
      <c r="Y10">
        <f>HYPERLINK("https://klasma.github.io/Logging_0580/tillsynsmail/A 6353-2026 tillsynsbegäran mail.docx", "A 6353-2026")</f>
        <v/>
      </c>
      <c r="Z10">
        <f>HYPERLINK("https://klasma.github.io/Logging_0580/fåglar/A 6353-2026 prioriterade fågelarter.docx", "A 6353-2026")</f>
        <v/>
      </c>
    </row>
    <row r="11" ht="15" customHeight="1">
      <c r="A11" t="inlineStr">
        <is>
          <t>A 35760-2025</t>
        </is>
      </c>
      <c r="B11" s="1" t="n">
        <v>45860</v>
      </c>
      <c r="C11" s="1" t="n">
        <v>46196</v>
      </c>
      <c r="D11" t="inlineStr">
        <is>
          <t>ÖSTERGÖTLANDS LÄN</t>
        </is>
      </c>
      <c r="E11" t="inlineStr">
        <is>
          <t>LINKÖPING</t>
        </is>
      </c>
      <c r="G11" t="n">
        <v>4.7</v>
      </c>
      <c r="H11" t="n">
        <v>1</v>
      </c>
      <c r="I11" t="n">
        <v>0</v>
      </c>
      <c r="J11" t="n">
        <v>3</v>
      </c>
      <c r="K11" t="n">
        <v>1</v>
      </c>
      <c r="L11" t="n">
        <v>1</v>
      </c>
      <c r="M11" t="n">
        <v>1</v>
      </c>
      <c r="N11" t="n">
        <v>0</v>
      </c>
      <c r="O11" t="n">
        <v>6</v>
      </c>
      <c r="P11" t="n">
        <v>3</v>
      </c>
      <c r="Q11" t="n">
        <v>7</v>
      </c>
      <c r="R11" s="2" t="inlineStr">
        <is>
          <t>Bohuslind
Ask
Kärnticka
Blekticka
Ekticka
Vanlig backsmörblomma
Blåsippa</t>
        </is>
      </c>
      <c r="S11">
        <f>HYPERLINK("https://klasma.github.io/Logging_0580/artfynd/A 35760-2025 artfynd.xlsx", "A 35760-2025")</f>
        <v/>
      </c>
      <c r="T11">
        <f>HYPERLINK("https://klasma.github.io/Logging_0580/kartor/A 35760-2025 karta.png", "A 35760-2025")</f>
        <v/>
      </c>
      <c r="V11">
        <f>HYPERLINK("https://klasma.github.io/Logging_0580/klagomål/A 35760-2025 FSC-klagomål.docx", "A 35760-2025")</f>
        <v/>
      </c>
      <c r="W11">
        <f>HYPERLINK("https://klasma.github.io/Logging_0580/klagomålsmail/A 35760-2025 FSC-klagomål mail.docx", "A 35760-2025")</f>
        <v/>
      </c>
      <c r="X11">
        <f>HYPERLINK("https://klasma.github.io/Logging_0580/tillsyn/A 35760-2025 tillsynsbegäran.docx", "A 35760-2025")</f>
        <v/>
      </c>
      <c r="Y11">
        <f>HYPERLINK("https://klasma.github.io/Logging_0580/tillsynsmail/A 35760-2025 tillsynsbegäran mail.docx", "A 35760-2025")</f>
        <v/>
      </c>
    </row>
    <row r="12" ht="15" customHeight="1">
      <c r="A12" t="inlineStr">
        <is>
          <t>A 25985-2025</t>
        </is>
      </c>
      <c r="B12" s="1" t="n">
        <v>45804</v>
      </c>
      <c r="C12" s="1" t="n">
        <v>46196</v>
      </c>
      <c r="D12" t="inlineStr">
        <is>
          <t>ÖSTERGÖTLANDS LÄN</t>
        </is>
      </c>
      <c r="E12" t="inlineStr">
        <is>
          <t>LINKÖPING</t>
        </is>
      </c>
      <c r="G12" t="n">
        <v>4.5</v>
      </c>
      <c r="H12" t="n">
        <v>5</v>
      </c>
      <c r="I12" t="n">
        <v>1</v>
      </c>
      <c r="J12" t="n">
        <v>3</v>
      </c>
      <c r="K12" t="n">
        <v>0</v>
      </c>
      <c r="L12" t="n">
        <v>0</v>
      </c>
      <c r="M12" t="n">
        <v>0</v>
      </c>
      <c r="N12" t="n">
        <v>0</v>
      </c>
      <c r="O12" t="n">
        <v>3</v>
      </c>
      <c r="P12" t="n">
        <v>0</v>
      </c>
      <c r="Q12" t="n">
        <v>7</v>
      </c>
      <c r="R12" s="2" t="inlineStr">
        <is>
          <t>Enkelbeckasin
Jungfrulin
Svinrot
Tvåblad
Spillkråka
Grönvit nattviol
Revlummer</t>
        </is>
      </c>
      <c r="S12">
        <f>HYPERLINK("https://klasma.github.io/Logging_0580/artfynd/A 25985-2025 artfynd.xlsx", "A 25985-2025")</f>
        <v/>
      </c>
      <c r="T12">
        <f>HYPERLINK("https://klasma.github.io/Logging_0580/kartor/A 25985-2025 karta.png", "A 25985-2025")</f>
        <v/>
      </c>
      <c r="V12">
        <f>HYPERLINK("https://klasma.github.io/Logging_0580/klagomål/A 25985-2025 FSC-klagomål.docx", "A 25985-2025")</f>
        <v/>
      </c>
      <c r="W12">
        <f>HYPERLINK("https://klasma.github.io/Logging_0580/klagomålsmail/A 25985-2025 FSC-klagomål mail.docx", "A 25985-2025")</f>
        <v/>
      </c>
      <c r="X12">
        <f>HYPERLINK("https://klasma.github.io/Logging_0580/tillsyn/A 25985-2025 tillsynsbegäran.docx", "A 25985-2025")</f>
        <v/>
      </c>
      <c r="Y12">
        <f>HYPERLINK("https://klasma.github.io/Logging_0580/tillsynsmail/A 25985-2025 tillsynsbegäran mail.docx", "A 25985-2025")</f>
        <v/>
      </c>
      <c r="Z12">
        <f>HYPERLINK("https://klasma.github.io/Logging_0580/fåglar/A 25985-2025 prioriterade fågelarter.docx", "A 25985-2025")</f>
        <v/>
      </c>
    </row>
    <row r="13" ht="15" customHeight="1">
      <c r="A13" t="inlineStr">
        <is>
          <t>A 17275-2025</t>
        </is>
      </c>
      <c r="B13" s="1" t="n">
        <v>45756</v>
      </c>
      <c r="C13" s="1" t="n">
        <v>46196</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46196</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46196</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21228-2026</t>
        </is>
      </c>
      <c r="B16" s="1" t="n">
        <v>46146</v>
      </c>
      <c r="C16" s="1" t="n">
        <v>46196</v>
      </c>
      <c r="D16" t="inlineStr">
        <is>
          <t>ÖSTERGÖTLANDS LÄN</t>
        </is>
      </c>
      <c r="E16" t="inlineStr">
        <is>
          <t>LINKÖPING</t>
        </is>
      </c>
      <c r="G16" t="n">
        <v>2.5</v>
      </c>
      <c r="H16" t="n">
        <v>4</v>
      </c>
      <c r="I16" t="n">
        <v>1</v>
      </c>
      <c r="J16" t="n">
        <v>0</v>
      </c>
      <c r="K16" t="n">
        <v>0</v>
      </c>
      <c r="L16" t="n">
        <v>0</v>
      </c>
      <c r="M16" t="n">
        <v>0</v>
      </c>
      <c r="N16" t="n">
        <v>0</v>
      </c>
      <c r="O16" t="n">
        <v>0</v>
      </c>
      <c r="P16" t="n">
        <v>0</v>
      </c>
      <c r="Q16" t="n">
        <v>5</v>
      </c>
      <c r="R16" s="2" t="inlineStr">
        <is>
          <t>Blåmossa
Kungsfågel
Svartvit flugsnappare
Vanlig groda
Vanlig padda</t>
        </is>
      </c>
      <c r="S16">
        <f>HYPERLINK("https://klasma.github.io/Logging_0580/artfynd/A 21228-2026 artfynd.xlsx", "A 21228-2026")</f>
        <v/>
      </c>
      <c r="T16">
        <f>HYPERLINK("https://klasma.github.io/Logging_0580/kartor/A 21228-2026 karta.png", "A 21228-2026")</f>
        <v/>
      </c>
      <c r="V16">
        <f>HYPERLINK("https://klasma.github.io/Logging_0580/klagomål/A 21228-2026 FSC-klagomål.docx", "A 21228-2026")</f>
        <v/>
      </c>
      <c r="W16">
        <f>HYPERLINK("https://klasma.github.io/Logging_0580/klagomålsmail/A 21228-2026 FSC-klagomål mail.docx", "A 21228-2026")</f>
        <v/>
      </c>
      <c r="X16">
        <f>HYPERLINK("https://klasma.github.io/Logging_0580/tillsyn/A 21228-2026 tillsynsbegäran.docx", "A 21228-2026")</f>
        <v/>
      </c>
      <c r="Y16">
        <f>HYPERLINK("https://klasma.github.io/Logging_0580/tillsynsmail/A 21228-2026 tillsynsbegäran mail.docx", "A 21228-2026")</f>
        <v/>
      </c>
    </row>
    <row r="17" ht="15" customHeight="1">
      <c r="A17" t="inlineStr">
        <is>
          <t>A 22040-2023</t>
        </is>
      </c>
      <c r="B17" s="1" t="n">
        <v>45068</v>
      </c>
      <c r="C17" s="1" t="n">
        <v>46196</v>
      </c>
      <c r="D17" t="inlineStr">
        <is>
          <t>ÖSTERGÖTLANDS LÄN</t>
        </is>
      </c>
      <c r="E17" t="inlineStr">
        <is>
          <t>LINKÖPING</t>
        </is>
      </c>
      <c r="F17" t="inlineStr">
        <is>
          <t>Kommuner</t>
        </is>
      </c>
      <c r="G17" t="n">
        <v>1</v>
      </c>
      <c r="H17" t="n">
        <v>1</v>
      </c>
      <c r="I17" t="n">
        <v>2</v>
      </c>
      <c r="J17" t="n">
        <v>2</v>
      </c>
      <c r="K17" t="n">
        <v>0</v>
      </c>
      <c r="L17" t="n">
        <v>1</v>
      </c>
      <c r="M17" t="n">
        <v>0</v>
      </c>
      <c r="N17" t="n">
        <v>0</v>
      </c>
      <c r="O17" t="n">
        <v>3</v>
      </c>
      <c r="P17" t="n">
        <v>1</v>
      </c>
      <c r="Q17" t="n">
        <v>5</v>
      </c>
      <c r="R17" s="2" t="inlineStr">
        <is>
          <t>Bombmurkla
Persiljespindling
Skarp dropptaggsvamp
Fällmossa
Strutbräken</t>
        </is>
      </c>
      <c r="S17">
        <f>HYPERLINK("https://klasma.github.io/Logging_0580/artfynd/A 22040-2023 artfynd.xlsx", "A 22040-2023")</f>
        <v/>
      </c>
      <c r="T17">
        <f>HYPERLINK("https://klasma.github.io/Logging_0580/kartor/A 22040-2023 karta.png", "A 22040-2023")</f>
        <v/>
      </c>
      <c r="V17">
        <f>HYPERLINK("https://klasma.github.io/Logging_0580/klagomål/A 22040-2023 FSC-klagomål.docx", "A 22040-2023")</f>
        <v/>
      </c>
      <c r="W17">
        <f>HYPERLINK("https://klasma.github.io/Logging_0580/klagomålsmail/A 22040-2023 FSC-klagomål mail.docx", "A 22040-2023")</f>
        <v/>
      </c>
      <c r="X17">
        <f>HYPERLINK("https://klasma.github.io/Logging_0580/tillsyn/A 22040-2023 tillsynsbegäran.docx", "A 22040-2023")</f>
        <v/>
      </c>
      <c r="Y17">
        <f>HYPERLINK("https://klasma.github.io/Logging_0580/tillsynsmail/A 22040-2023 tillsynsbegäran mail.docx", "A 22040-2023")</f>
        <v/>
      </c>
    </row>
    <row r="18" ht="15" customHeight="1">
      <c r="A18" t="inlineStr">
        <is>
          <t>A 3395-2023</t>
        </is>
      </c>
      <c r="B18" s="1" t="n">
        <v>44949</v>
      </c>
      <c r="C18" s="1" t="n">
        <v>46196</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17502-2022</t>
        </is>
      </c>
      <c r="B19" s="1" t="n">
        <v>44679</v>
      </c>
      <c r="C19" s="1" t="n">
        <v>46196</v>
      </c>
      <c r="D19" t="inlineStr">
        <is>
          <t>ÖSTERGÖTLANDS LÄN</t>
        </is>
      </c>
      <c r="E19" t="inlineStr">
        <is>
          <t>LINKÖPING</t>
        </is>
      </c>
      <c r="F19" t="inlineStr">
        <is>
          <t>Kommuner</t>
        </is>
      </c>
      <c r="G19" t="n">
        <v>4.5</v>
      </c>
      <c r="H19" t="n">
        <v>1</v>
      </c>
      <c r="I19" t="n">
        <v>2</v>
      </c>
      <c r="J19" t="n">
        <v>1</v>
      </c>
      <c r="K19" t="n">
        <v>1</v>
      </c>
      <c r="L19" t="n">
        <v>0</v>
      </c>
      <c r="M19" t="n">
        <v>0</v>
      </c>
      <c r="N19" t="n">
        <v>0</v>
      </c>
      <c r="O19" t="n">
        <v>2</v>
      </c>
      <c r="P19" t="n">
        <v>1</v>
      </c>
      <c r="Q19" t="n">
        <v>5</v>
      </c>
      <c r="R19" s="2" t="inlineStr">
        <is>
          <t>Långfotad murkla
Fjällig taggsvamp s.str.
Blåmossa
Strimspindling
Blåsippa</t>
        </is>
      </c>
      <c r="S19">
        <f>HYPERLINK("https://klasma.github.io/Logging_0580/artfynd/A 17502-2022 artfynd.xlsx", "A 17502-2022")</f>
        <v/>
      </c>
      <c r="T19">
        <f>HYPERLINK("https://klasma.github.io/Logging_0580/kartor/A 17502-2022 karta.png", "A 17502-2022")</f>
        <v/>
      </c>
      <c r="V19">
        <f>HYPERLINK("https://klasma.github.io/Logging_0580/klagomål/A 17502-2022 FSC-klagomål.docx", "A 17502-2022")</f>
        <v/>
      </c>
      <c r="W19">
        <f>HYPERLINK("https://klasma.github.io/Logging_0580/klagomålsmail/A 17502-2022 FSC-klagomål mail.docx", "A 17502-2022")</f>
        <v/>
      </c>
      <c r="X19">
        <f>HYPERLINK("https://klasma.github.io/Logging_0580/tillsyn/A 17502-2022 tillsynsbegäran.docx", "A 17502-2022")</f>
        <v/>
      </c>
      <c r="Y19">
        <f>HYPERLINK("https://klasma.github.io/Logging_0580/tillsynsmail/A 17502-2022 tillsynsbegäran mail.docx", "A 17502-2022")</f>
        <v/>
      </c>
    </row>
    <row r="20" ht="15" customHeight="1">
      <c r="A20" t="inlineStr">
        <is>
          <t>A 38129-2021</t>
        </is>
      </c>
      <c r="B20" s="1" t="n">
        <v>44405</v>
      </c>
      <c r="C20" s="1" t="n">
        <v>46196</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46196</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46196</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46196</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49999-2025</t>
        </is>
      </c>
      <c r="B24" s="1" t="n">
        <v>45943</v>
      </c>
      <c r="C24" s="1" t="n">
        <v>46196</v>
      </c>
      <c r="D24" t="inlineStr">
        <is>
          <t>ÖSTERGÖTLANDS LÄN</t>
        </is>
      </c>
      <c r="E24" t="inlineStr">
        <is>
          <t>LINKÖPING</t>
        </is>
      </c>
      <c r="G24" t="n">
        <v>2.3</v>
      </c>
      <c r="H24" t="n">
        <v>2</v>
      </c>
      <c r="I24" t="n">
        <v>0</v>
      </c>
      <c r="J24" t="n">
        <v>1</v>
      </c>
      <c r="K24" t="n">
        <v>0</v>
      </c>
      <c r="L24" t="n">
        <v>1</v>
      </c>
      <c r="M24" t="n">
        <v>0</v>
      </c>
      <c r="N24" t="n">
        <v>0</v>
      </c>
      <c r="O24" t="n">
        <v>2</v>
      </c>
      <c r="P24" t="n">
        <v>1</v>
      </c>
      <c r="Q24" t="n">
        <v>4</v>
      </c>
      <c r="R24" s="2" t="inlineStr">
        <is>
          <t>Ask
Vårärt
Nattviol
Gullviva</t>
        </is>
      </c>
      <c r="S24">
        <f>HYPERLINK("https://klasma.github.io/Logging_0580/artfynd/A 49999-2025 artfynd.xlsx", "A 49999-2025")</f>
        <v/>
      </c>
      <c r="T24">
        <f>HYPERLINK("https://klasma.github.io/Logging_0580/kartor/A 49999-2025 karta.png", "A 49999-2025")</f>
        <v/>
      </c>
      <c r="V24">
        <f>HYPERLINK("https://klasma.github.io/Logging_0580/klagomål/A 49999-2025 FSC-klagomål.docx", "A 49999-2025")</f>
        <v/>
      </c>
      <c r="W24">
        <f>HYPERLINK("https://klasma.github.io/Logging_0580/klagomålsmail/A 49999-2025 FSC-klagomål mail.docx", "A 49999-2025")</f>
        <v/>
      </c>
      <c r="X24">
        <f>HYPERLINK("https://klasma.github.io/Logging_0580/tillsyn/A 49999-2025 tillsynsbegäran.docx", "A 49999-2025")</f>
        <v/>
      </c>
      <c r="Y24">
        <f>HYPERLINK("https://klasma.github.io/Logging_0580/tillsynsmail/A 49999-2025 tillsynsbegäran mail.docx", "A 49999-2025")</f>
        <v/>
      </c>
    </row>
    <row r="25" ht="15" customHeight="1">
      <c r="A25" t="inlineStr">
        <is>
          <t>A 5545-2026</t>
        </is>
      </c>
      <c r="B25" s="1" t="n">
        <v>46050</v>
      </c>
      <c r="C25" s="1" t="n">
        <v>46196</v>
      </c>
      <c r="D25" t="inlineStr">
        <is>
          <t>ÖSTERGÖTLANDS LÄN</t>
        </is>
      </c>
      <c r="E25" t="inlineStr">
        <is>
          <t>LINKÖPING</t>
        </is>
      </c>
      <c r="G25" t="n">
        <v>1.4</v>
      </c>
      <c r="H25" t="n">
        <v>2</v>
      </c>
      <c r="I25" t="n">
        <v>1</v>
      </c>
      <c r="J25" t="n">
        <v>1</v>
      </c>
      <c r="K25" t="n">
        <v>0</v>
      </c>
      <c r="L25" t="n">
        <v>0</v>
      </c>
      <c r="M25" t="n">
        <v>0</v>
      </c>
      <c r="N25" t="n">
        <v>0</v>
      </c>
      <c r="O25" t="n">
        <v>1</v>
      </c>
      <c r="P25" t="n">
        <v>0</v>
      </c>
      <c r="Q25" t="n">
        <v>4</v>
      </c>
      <c r="R25" s="2" t="inlineStr">
        <is>
          <t>Loppstarr
Granbräken
Ängsnycklar
Ängsnycklar × fläcknycklar</t>
        </is>
      </c>
      <c r="S25">
        <f>HYPERLINK("https://klasma.github.io/Logging_0580/artfynd/A 5545-2026 artfynd.xlsx", "A 5545-2026")</f>
        <v/>
      </c>
      <c r="T25">
        <f>HYPERLINK("https://klasma.github.io/Logging_0580/kartor/A 5545-2026 karta.png", "A 5545-2026")</f>
        <v/>
      </c>
      <c r="V25">
        <f>HYPERLINK("https://klasma.github.io/Logging_0580/klagomål/A 5545-2026 FSC-klagomål.docx", "A 5545-2026")</f>
        <v/>
      </c>
      <c r="W25">
        <f>HYPERLINK("https://klasma.github.io/Logging_0580/klagomålsmail/A 5545-2026 FSC-klagomål mail.docx", "A 5545-2026")</f>
        <v/>
      </c>
      <c r="X25">
        <f>HYPERLINK("https://klasma.github.io/Logging_0580/tillsyn/A 5545-2026 tillsynsbegäran.docx", "A 5545-2026")</f>
        <v/>
      </c>
      <c r="Y25">
        <f>HYPERLINK("https://klasma.github.io/Logging_0580/tillsynsmail/A 5545-2026 tillsynsbegäran mail.docx", "A 5545-2026")</f>
        <v/>
      </c>
    </row>
    <row r="26" ht="15" customHeight="1">
      <c r="A26" t="inlineStr">
        <is>
          <t>A 9192-2025</t>
        </is>
      </c>
      <c r="B26" s="1" t="n">
        <v>45714</v>
      </c>
      <c r="C26" s="1" t="n">
        <v>46196</v>
      </c>
      <c r="D26" t="inlineStr">
        <is>
          <t>ÖSTERGÖTLANDS LÄN</t>
        </is>
      </c>
      <c r="E26" t="inlineStr">
        <is>
          <t>LINKÖPING</t>
        </is>
      </c>
      <c r="F26" t="inlineStr">
        <is>
          <t>Allmännings- och besparingsskogar</t>
        </is>
      </c>
      <c r="G26" t="n">
        <v>17.4</v>
      </c>
      <c r="H26" t="n">
        <v>2</v>
      </c>
      <c r="I26" t="n">
        <v>3</v>
      </c>
      <c r="J26" t="n">
        <v>0</v>
      </c>
      <c r="K26" t="n">
        <v>0</v>
      </c>
      <c r="L26" t="n">
        <v>0</v>
      </c>
      <c r="M26" t="n">
        <v>0</v>
      </c>
      <c r="N26" t="n">
        <v>0</v>
      </c>
      <c r="O26" t="n">
        <v>0</v>
      </c>
      <c r="P26" t="n">
        <v>0</v>
      </c>
      <c r="Q26" t="n">
        <v>4</v>
      </c>
      <c r="R26" s="2" t="inlineStr">
        <is>
          <t>Grönpyrola
Purpurknipprot
Svart jordtunga
Fläcknycklar</t>
        </is>
      </c>
      <c r="S26">
        <f>HYPERLINK("https://klasma.github.io/Logging_0580/artfynd/A 9192-2025 artfynd.xlsx", "A 9192-2025")</f>
        <v/>
      </c>
      <c r="T26">
        <f>HYPERLINK("https://klasma.github.io/Logging_0580/kartor/A 9192-2025 karta.png", "A 9192-2025")</f>
        <v/>
      </c>
      <c r="V26">
        <f>HYPERLINK("https://klasma.github.io/Logging_0580/klagomål/A 9192-2025 FSC-klagomål.docx", "A 9192-2025")</f>
        <v/>
      </c>
      <c r="W26">
        <f>HYPERLINK("https://klasma.github.io/Logging_0580/klagomålsmail/A 9192-2025 FSC-klagomål mail.docx", "A 9192-2025")</f>
        <v/>
      </c>
      <c r="X26">
        <f>HYPERLINK("https://klasma.github.io/Logging_0580/tillsyn/A 9192-2025 tillsynsbegäran.docx", "A 9192-2025")</f>
        <v/>
      </c>
      <c r="Y26">
        <f>HYPERLINK("https://klasma.github.io/Logging_0580/tillsynsmail/A 9192-2025 tillsynsbegäran mail.docx", "A 9192-2025")</f>
        <v/>
      </c>
    </row>
    <row r="27" ht="15" customHeight="1">
      <c r="A27" t="inlineStr">
        <is>
          <t>A 11048-2026</t>
        </is>
      </c>
      <c r="B27" s="1" t="n">
        <v>46079</v>
      </c>
      <c r="C27" s="1" t="n">
        <v>46196</v>
      </c>
      <c r="D27" t="inlineStr">
        <is>
          <t>ÖSTERGÖTLANDS LÄN</t>
        </is>
      </c>
      <c r="E27" t="inlineStr">
        <is>
          <t>LINKÖPING</t>
        </is>
      </c>
      <c r="G27" t="n">
        <v>4.1</v>
      </c>
      <c r="H27" t="n">
        <v>0</v>
      </c>
      <c r="I27" t="n">
        <v>3</v>
      </c>
      <c r="J27" t="n">
        <v>1</v>
      </c>
      <c r="K27" t="n">
        <v>0</v>
      </c>
      <c r="L27" t="n">
        <v>0</v>
      </c>
      <c r="M27" t="n">
        <v>0</v>
      </c>
      <c r="N27" t="n">
        <v>0</v>
      </c>
      <c r="O27" t="n">
        <v>1</v>
      </c>
      <c r="P27" t="n">
        <v>0</v>
      </c>
      <c r="Q27" t="n">
        <v>4</v>
      </c>
      <c r="R27" s="2" t="inlineStr">
        <is>
          <t>Sårläka
Scharlakansvårskål agg.
Svart trolldruva
Tibast</t>
        </is>
      </c>
      <c r="S27">
        <f>HYPERLINK("https://klasma.github.io/Logging_0580/artfynd/A 11048-2026 artfynd.xlsx", "A 11048-2026")</f>
        <v/>
      </c>
      <c r="T27">
        <f>HYPERLINK("https://klasma.github.io/Logging_0580/kartor/A 11048-2026 karta.png", "A 11048-2026")</f>
        <v/>
      </c>
      <c r="V27">
        <f>HYPERLINK("https://klasma.github.io/Logging_0580/klagomål/A 11048-2026 FSC-klagomål.docx", "A 11048-2026")</f>
        <v/>
      </c>
      <c r="W27">
        <f>HYPERLINK("https://klasma.github.io/Logging_0580/klagomålsmail/A 11048-2026 FSC-klagomål mail.docx", "A 11048-2026")</f>
        <v/>
      </c>
      <c r="X27">
        <f>HYPERLINK("https://klasma.github.io/Logging_0580/tillsyn/A 11048-2026 tillsynsbegäran.docx", "A 11048-2026")</f>
        <v/>
      </c>
      <c r="Y27">
        <f>HYPERLINK("https://klasma.github.io/Logging_0580/tillsynsmail/A 11048-2026 tillsynsbegäran mail.docx", "A 11048-2026")</f>
        <v/>
      </c>
    </row>
    <row r="28" ht="15" customHeight="1">
      <c r="A28" t="inlineStr">
        <is>
          <t>A 15856-2026</t>
        </is>
      </c>
      <c r="B28" s="1" t="n">
        <v>46107</v>
      </c>
      <c r="C28" s="1" t="n">
        <v>46196</v>
      </c>
      <c r="D28" t="inlineStr">
        <is>
          <t>ÖSTERGÖTLANDS LÄN</t>
        </is>
      </c>
      <c r="E28" t="inlineStr">
        <is>
          <t>LINKÖPING</t>
        </is>
      </c>
      <c r="F28" t="inlineStr">
        <is>
          <t>Sveaskog</t>
        </is>
      </c>
      <c r="G28" t="n">
        <v>16.2</v>
      </c>
      <c r="H28" t="n">
        <v>2</v>
      </c>
      <c r="I28" t="n">
        <v>1</v>
      </c>
      <c r="J28" t="n">
        <v>2</v>
      </c>
      <c r="K28" t="n">
        <v>0</v>
      </c>
      <c r="L28" t="n">
        <v>0</v>
      </c>
      <c r="M28" t="n">
        <v>0</v>
      </c>
      <c r="N28" t="n">
        <v>0</v>
      </c>
      <c r="O28" t="n">
        <v>2</v>
      </c>
      <c r="P28" t="n">
        <v>0</v>
      </c>
      <c r="Q28" t="n">
        <v>4</v>
      </c>
      <c r="R28" s="2" t="inlineStr">
        <is>
          <t>Järnsparv
Svinrot
Granbräken
Spillkråka</t>
        </is>
      </c>
      <c r="S28">
        <f>HYPERLINK("https://klasma.github.io/Logging_0580/artfynd/A 15856-2026 artfynd.xlsx", "A 15856-2026")</f>
        <v/>
      </c>
      <c r="T28">
        <f>HYPERLINK("https://klasma.github.io/Logging_0580/kartor/A 15856-2026 karta.png", "A 15856-2026")</f>
        <v/>
      </c>
      <c r="V28">
        <f>HYPERLINK("https://klasma.github.io/Logging_0580/klagomål/A 15856-2026 FSC-klagomål.docx", "A 15856-2026")</f>
        <v/>
      </c>
      <c r="W28">
        <f>HYPERLINK("https://klasma.github.io/Logging_0580/klagomålsmail/A 15856-2026 FSC-klagomål mail.docx", "A 15856-2026")</f>
        <v/>
      </c>
      <c r="X28">
        <f>HYPERLINK("https://klasma.github.io/Logging_0580/tillsyn/A 15856-2026 tillsynsbegäran.docx", "A 15856-2026")</f>
        <v/>
      </c>
      <c r="Y28">
        <f>HYPERLINK("https://klasma.github.io/Logging_0580/tillsynsmail/A 15856-2026 tillsynsbegäran mail.docx", "A 15856-2026")</f>
        <v/>
      </c>
      <c r="Z28">
        <f>HYPERLINK("https://klasma.github.io/Logging_0580/fåglar/A 15856-2026 prioriterade fågelarter.docx", "A 15856-2026")</f>
        <v/>
      </c>
    </row>
    <row r="29" ht="15" customHeight="1">
      <c r="A29" t="inlineStr">
        <is>
          <t>A 48329-2025</t>
        </is>
      </c>
      <c r="B29" s="1" t="n">
        <v>45932</v>
      </c>
      <c r="C29" s="1" t="n">
        <v>46196</v>
      </c>
      <c r="D29" t="inlineStr">
        <is>
          <t>ÖSTERGÖTLANDS LÄN</t>
        </is>
      </c>
      <c r="E29" t="inlineStr">
        <is>
          <t>LINKÖPING</t>
        </is>
      </c>
      <c r="F29" t="inlineStr">
        <is>
          <t>Övriga Aktiebolag</t>
        </is>
      </c>
      <c r="G29" t="n">
        <v>2.2</v>
      </c>
      <c r="H29" t="n">
        <v>1</v>
      </c>
      <c r="I29" t="n">
        <v>3</v>
      </c>
      <c r="J29" t="n">
        <v>0</v>
      </c>
      <c r="K29" t="n">
        <v>0</v>
      </c>
      <c r="L29" t="n">
        <v>0</v>
      </c>
      <c r="M29" t="n">
        <v>0</v>
      </c>
      <c r="N29" t="n">
        <v>0</v>
      </c>
      <c r="O29" t="n">
        <v>0</v>
      </c>
      <c r="P29" t="n">
        <v>0</v>
      </c>
      <c r="Q29" t="n">
        <v>4</v>
      </c>
      <c r="R29" s="2" t="inlineStr">
        <is>
          <t>Blanksvart trämyra
Dolkstekelsglasvinge
Granbarkgnagare
Blåsippa</t>
        </is>
      </c>
      <c r="S29">
        <f>HYPERLINK("https://klasma.github.io/Logging_0580/artfynd/A 48329-2025 artfynd.xlsx", "A 48329-2025")</f>
        <v/>
      </c>
      <c r="T29">
        <f>HYPERLINK("https://klasma.github.io/Logging_0580/kartor/A 48329-2025 karta.png", "A 48329-2025")</f>
        <v/>
      </c>
      <c r="V29">
        <f>HYPERLINK("https://klasma.github.io/Logging_0580/klagomål/A 48329-2025 FSC-klagomål.docx", "A 48329-2025")</f>
        <v/>
      </c>
      <c r="W29">
        <f>HYPERLINK("https://klasma.github.io/Logging_0580/klagomålsmail/A 48329-2025 FSC-klagomål mail.docx", "A 48329-2025")</f>
        <v/>
      </c>
      <c r="X29">
        <f>HYPERLINK("https://klasma.github.io/Logging_0580/tillsyn/A 48329-2025 tillsynsbegäran.docx", "A 48329-2025")</f>
        <v/>
      </c>
      <c r="Y29">
        <f>HYPERLINK("https://klasma.github.io/Logging_0580/tillsynsmail/A 48329-2025 tillsynsbegäran mail.docx", "A 48329-2025")</f>
        <v/>
      </c>
    </row>
    <row r="30" ht="15" customHeight="1">
      <c r="A30" t="inlineStr">
        <is>
          <t>A 40469-2024</t>
        </is>
      </c>
      <c r="B30" s="1" t="n">
        <v>45555</v>
      </c>
      <c r="C30" s="1" t="n">
        <v>46196</v>
      </c>
      <c r="D30" t="inlineStr">
        <is>
          <t>ÖSTERGÖTLANDS LÄN</t>
        </is>
      </c>
      <c r="E30" t="inlineStr">
        <is>
          <t>LINKÖPING</t>
        </is>
      </c>
      <c r="F30" t="inlineStr">
        <is>
          <t>Allmännings- och besparingsskogar</t>
        </is>
      </c>
      <c r="G30" t="n">
        <v>24.5</v>
      </c>
      <c r="H30" t="n">
        <v>0</v>
      </c>
      <c r="I30" t="n">
        <v>3</v>
      </c>
      <c r="J30" t="n">
        <v>1</v>
      </c>
      <c r="K30" t="n">
        <v>0</v>
      </c>
      <c r="L30" t="n">
        <v>0</v>
      </c>
      <c r="M30" t="n">
        <v>0</v>
      </c>
      <c r="N30" t="n">
        <v>0</v>
      </c>
      <c r="O30" t="n">
        <v>1</v>
      </c>
      <c r="P30" t="n">
        <v>0</v>
      </c>
      <c r="Q30" t="n">
        <v>4</v>
      </c>
      <c r="R30" s="2" t="inlineStr">
        <is>
          <t>Brunpudrad nållav
Brandticka
Gulnål
Kornig nållav</t>
        </is>
      </c>
      <c r="S30">
        <f>HYPERLINK("https://klasma.github.io/Logging_0580/artfynd/A 40469-2024 artfynd.xlsx", "A 40469-2024")</f>
        <v/>
      </c>
      <c r="T30">
        <f>HYPERLINK("https://klasma.github.io/Logging_0580/kartor/A 40469-2024 karta.png", "A 40469-2024")</f>
        <v/>
      </c>
      <c r="V30">
        <f>HYPERLINK("https://klasma.github.io/Logging_0580/klagomål/A 40469-2024 FSC-klagomål.docx", "A 40469-2024")</f>
        <v/>
      </c>
      <c r="W30">
        <f>HYPERLINK("https://klasma.github.io/Logging_0580/klagomålsmail/A 40469-2024 FSC-klagomål mail.docx", "A 40469-2024")</f>
        <v/>
      </c>
      <c r="X30">
        <f>HYPERLINK("https://klasma.github.io/Logging_0580/tillsyn/A 40469-2024 tillsynsbegäran.docx", "A 40469-2024")</f>
        <v/>
      </c>
      <c r="Y30">
        <f>HYPERLINK("https://klasma.github.io/Logging_0580/tillsynsmail/A 40469-2024 tillsynsbegäran mail.docx", "A 40469-2024")</f>
        <v/>
      </c>
    </row>
    <row r="31" ht="15" customHeight="1">
      <c r="A31" t="inlineStr">
        <is>
          <t>A 4256-2022</t>
        </is>
      </c>
      <c r="B31" s="1" t="n">
        <v>44588</v>
      </c>
      <c r="C31" s="1" t="n">
        <v>46196</v>
      </c>
      <c r="D31" t="inlineStr">
        <is>
          <t>ÖSTERGÖTLANDS LÄN</t>
        </is>
      </c>
      <c r="E31" t="inlineStr">
        <is>
          <t>LINKÖPING</t>
        </is>
      </c>
      <c r="G31" t="n">
        <v>1.4</v>
      </c>
      <c r="H31" t="n">
        <v>3</v>
      </c>
      <c r="I31" t="n">
        <v>0</v>
      </c>
      <c r="J31" t="n">
        <v>3</v>
      </c>
      <c r="K31" t="n">
        <v>1</v>
      </c>
      <c r="L31" t="n">
        <v>0</v>
      </c>
      <c r="M31" t="n">
        <v>0</v>
      </c>
      <c r="N31" t="n">
        <v>0</v>
      </c>
      <c r="O31" t="n">
        <v>4</v>
      </c>
      <c r="P31" t="n">
        <v>1</v>
      </c>
      <c r="Q31" t="n">
        <v>4</v>
      </c>
      <c r="R31" s="2" t="inlineStr">
        <is>
          <t>Stare
Asksolvecklare
Gulsparv
Ladusvala</t>
        </is>
      </c>
      <c r="S31">
        <f>HYPERLINK("https://klasma.github.io/Logging_0580/artfynd/A 4256-2022 artfynd.xlsx", "A 4256-2022")</f>
        <v/>
      </c>
      <c r="T31">
        <f>HYPERLINK("https://klasma.github.io/Logging_0580/kartor/A 4256-2022 karta.png", "A 4256-2022")</f>
        <v/>
      </c>
      <c r="V31">
        <f>HYPERLINK("https://klasma.github.io/Logging_0580/klagomål/A 4256-2022 FSC-klagomål.docx", "A 4256-2022")</f>
        <v/>
      </c>
      <c r="W31">
        <f>HYPERLINK("https://klasma.github.io/Logging_0580/klagomålsmail/A 4256-2022 FSC-klagomål mail.docx", "A 4256-2022")</f>
        <v/>
      </c>
      <c r="X31">
        <f>HYPERLINK("https://klasma.github.io/Logging_0580/tillsyn/A 4256-2022 tillsynsbegäran.docx", "A 4256-2022")</f>
        <v/>
      </c>
      <c r="Y31">
        <f>HYPERLINK("https://klasma.github.io/Logging_0580/tillsynsmail/A 4256-2022 tillsynsbegäran mail.docx", "A 4256-2022")</f>
        <v/>
      </c>
      <c r="Z31">
        <f>HYPERLINK("https://klasma.github.io/Logging_0580/fåglar/A 4256-2022 prioriterade fågelarter.docx", "A 4256-2022")</f>
        <v/>
      </c>
    </row>
    <row r="32" ht="15" customHeight="1">
      <c r="A32" t="inlineStr">
        <is>
          <t>A 17497-2022</t>
        </is>
      </c>
      <c r="B32" s="1" t="n">
        <v>44679</v>
      </c>
      <c r="C32" s="1" t="n">
        <v>46196</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46196</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56250-2021</t>
        </is>
      </c>
      <c r="B34" s="1" t="n">
        <v>44479</v>
      </c>
      <c r="C34" s="1" t="n">
        <v>46196</v>
      </c>
      <c r="D34" t="inlineStr">
        <is>
          <t>ÖSTERGÖTLANDS LÄN</t>
        </is>
      </c>
      <c r="E34" t="inlineStr">
        <is>
          <t>LINKÖPING</t>
        </is>
      </c>
      <c r="F34" t="inlineStr">
        <is>
          <t>Övriga Aktiebolag</t>
        </is>
      </c>
      <c r="G34" t="n">
        <v>3.2</v>
      </c>
      <c r="H34" t="n">
        <v>0</v>
      </c>
      <c r="I34" t="n">
        <v>1</v>
      </c>
      <c r="J34" t="n">
        <v>2</v>
      </c>
      <c r="K34" t="n">
        <v>0</v>
      </c>
      <c r="L34" t="n">
        <v>0</v>
      </c>
      <c r="M34" t="n">
        <v>0</v>
      </c>
      <c r="N34" t="n">
        <v>0</v>
      </c>
      <c r="O34" t="n">
        <v>2</v>
      </c>
      <c r="P34" t="n">
        <v>0</v>
      </c>
      <c r="Q34" t="n">
        <v>3</v>
      </c>
      <c r="R34" s="2" t="inlineStr">
        <is>
          <t>Gullpudra
Sårläka
Strutbräken</t>
        </is>
      </c>
      <c r="S34">
        <f>HYPERLINK("https://klasma.github.io/Logging_0580/artfynd/A 56250-2021 artfynd.xlsx", "A 56250-2021")</f>
        <v/>
      </c>
      <c r="T34">
        <f>HYPERLINK("https://klasma.github.io/Logging_0580/kartor/A 56250-2021 karta.png", "A 56250-2021")</f>
        <v/>
      </c>
      <c r="V34">
        <f>HYPERLINK("https://klasma.github.io/Logging_0580/klagomål/A 56250-2021 FSC-klagomål.docx", "A 56250-2021")</f>
        <v/>
      </c>
      <c r="W34">
        <f>HYPERLINK("https://klasma.github.io/Logging_0580/klagomålsmail/A 56250-2021 FSC-klagomål mail.docx", "A 56250-2021")</f>
        <v/>
      </c>
      <c r="X34">
        <f>HYPERLINK("https://klasma.github.io/Logging_0580/tillsyn/A 56250-2021 tillsynsbegäran.docx", "A 56250-2021")</f>
        <v/>
      </c>
      <c r="Y34">
        <f>HYPERLINK("https://klasma.github.io/Logging_0580/tillsynsmail/A 56250-2021 tillsynsbegäran mail.docx", "A 56250-2021")</f>
        <v/>
      </c>
    </row>
    <row r="35" ht="15" customHeight="1">
      <c r="A35" t="inlineStr">
        <is>
          <t>A 48042-2022</t>
        </is>
      </c>
      <c r="B35" s="1" t="n">
        <v>44855</v>
      </c>
      <c r="C35" s="1" t="n">
        <v>46196</v>
      </c>
      <c r="D35" t="inlineStr">
        <is>
          <t>ÖSTERGÖTLANDS LÄN</t>
        </is>
      </c>
      <c r="E35" t="inlineStr">
        <is>
          <t>LINKÖPING</t>
        </is>
      </c>
      <c r="G35" t="n">
        <v>0.5</v>
      </c>
      <c r="H35" t="n">
        <v>3</v>
      </c>
      <c r="I35" t="n">
        <v>0</v>
      </c>
      <c r="J35" t="n">
        <v>0</v>
      </c>
      <c r="K35" t="n">
        <v>0</v>
      </c>
      <c r="L35" t="n">
        <v>0</v>
      </c>
      <c r="M35" t="n">
        <v>0</v>
      </c>
      <c r="N35" t="n">
        <v>0</v>
      </c>
      <c r="O35" t="n">
        <v>0</v>
      </c>
      <c r="P35" t="n">
        <v>0</v>
      </c>
      <c r="Q35" t="n">
        <v>3</v>
      </c>
      <c r="R35" s="2" t="inlineStr">
        <is>
          <t>Kungsfågel
Röd glada
Törnskata</t>
        </is>
      </c>
      <c r="S35">
        <f>HYPERLINK("https://klasma.github.io/Logging_0580/artfynd/A 48042-2022 artfynd.xlsx", "A 48042-2022")</f>
        <v/>
      </c>
      <c r="T35">
        <f>HYPERLINK("https://klasma.github.io/Logging_0580/kartor/A 48042-2022 karta.png", "A 48042-2022")</f>
        <v/>
      </c>
      <c r="V35">
        <f>HYPERLINK("https://klasma.github.io/Logging_0580/klagomål/A 48042-2022 FSC-klagomål.docx", "A 48042-2022")</f>
        <v/>
      </c>
      <c r="W35">
        <f>HYPERLINK("https://klasma.github.io/Logging_0580/klagomålsmail/A 48042-2022 FSC-klagomål mail.docx", "A 48042-2022")</f>
        <v/>
      </c>
      <c r="X35">
        <f>HYPERLINK("https://klasma.github.io/Logging_0580/tillsyn/A 48042-2022 tillsynsbegäran.docx", "A 48042-2022")</f>
        <v/>
      </c>
      <c r="Y35">
        <f>HYPERLINK("https://klasma.github.io/Logging_0580/tillsynsmail/A 48042-2022 tillsynsbegäran mail.docx", "A 48042-2022")</f>
        <v/>
      </c>
      <c r="Z35">
        <f>HYPERLINK("https://klasma.github.io/Logging_0580/fåglar/A 48042-2022 prioriterade fågelarter.docx", "A 48042-2022")</f>
        <v/>
      </c>
    </row>
    <row r="36" ht="15" customHeight="1">
      <c r="A36" t="inlineStr">
        <is>
          <t>A 1213-2023</t>
        </is>
      </c>
      <c r="B36" s="1" t="n">
        <v>44930</v>
      </c>
      <c r="C36" s="1" t="n">
        <v>46196</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577-2025</t>
        </is>
      </c>
      <c r="B37" s="1" t="n">
        <v>45664</v>
      </c>
      <c r="C37" s="1" t="n">
        <v>46196</v>
      </c>
      <c r="D37" t="inlineStr">
        <is>
          <t>ÖSTERGÖTLANDS LÄN</t>
        </is>
      </c>
      <c r="E37" t="inlineStr">
        <is>
          <t>LINKÖPING</t>
        </is>
      </c>
      <c r="G37" t="n">
        <v>3.7</v>
      </c>
      <c r="H37" t="n">
        <v>3</v>
      </c>
      <c r="I37" t="n">
        <v>0</v>
      </c>
      <c r="J37" t="n">
        <v>1</v>
      </c>
      <c r="K37" t="n">
        <v>0</v>
      </c>
      <c r="L37" t="n">
        <v>0</v>
      </c>
      <c r="M37" t="n">
        <v>0</v>
      </c>
      <c r="N37" t="n">
        <v>0</v>
      </c>
      <c r="O37" t="n">
        <v>1</v>
      </c>
      <c r="P37" t="n">
        <v>0</v>
      </c>
      <c r="Q37" t="n">
        <v>3</v>
      </c>
      <c r="R37" s="2" t="inlineStr">
        <is>
          <t>Brunlångöra
Dvärgpipistrell
Större brunfladdermus</t>
        </is>
      </c>
      <c r="S37">
        <f>HYPERLINK("https://klasma.github.io/Logging_0580/artfynd/A 577-2025 artfynd.xlsx", "A 577-2025")</f>
        <v/>
      </c>
      <c r="T37">
        <f>HYPERLINK("https://klasma.github.io/Logging_0580/kartor/A 577-2025 karta.png", "A 577-2025")</f>
        <v/>
      </c>
      <c r="V37">
        <f>HYPERLINK("https://klasma.github.io/Logging_0580/klagomål/A 577-2025 FSC-klagomål.docx", "A 577-2025")</f>
        <v/>
      </c>
      <c r="W37">
        <f>HYPERLINK("https://klasma.github.io/Logging_0580/klagomålsmail/A 577-2025 FSC-klagomål mail.docx", "A 577-2025")</f>
        <v/>
      </c>
      <c r="X37">
        <f>HYPERLINK("https://klasma.github.io/Logging_0580/tillsyn/A 577-2025 tillsynsbegäran.docx", "A 577-2025")</f>
        <v/>
      </c>
      <c r="Y37">
        <f>HYPERLINK("https://klasma.github.io/Logging_0580/tillsynsmail/A 577-2025 tillsynsbegäran mail.docx", "A 577-2025")</f>
        <v/>
      </c>
    </row>
    <row r="38" ht="15" customHeight="1">
      <c r="A38" t="inlineStr">
        <is>
          <t>A 59474-2025</t>
        </is>
      </c>
      <c r="B38" s="1" t="n">
        <v>45989</v>
      </c>
      <c r="C38" s="1" t="n">
        <v>46196</v>
      </c>
      <c r="D38" t="inlineStr">
        <is>
          <t>ÖSTERGÖTLANDS LÄN</t>
        </is>
      </c>
      <c r="E38" t="inlineStr">
        <is>
          <t>LINKÖPING</t>
        </is>
      </c>
      <c r="G38" t="n">
        <v>8</v>
      </c>
      <c r="H38" t="n">
        <v>0</v>
      </c>
      <c r="I38" t="n">
        <v>2</v>
      </c>
      <c r="J38" t="n">
        <v>1</v>
      </c>
      <c r="K38" t="n">
        <v>0</v>
      </c>
      <c r="L38" t="n">
        <v>0</v>
      </c>
      <c r="M38" t="n">
        <v>0</v>
      </c>
      <c r="N38" t="n">
        <v>0</v>
      </c>
      <c r="O38" t="n">
        <v>1</v>
      </c>
      <c r="P38" t="n">
        <v>0</v>
      </c>
      <c r="Q38" t="n">
        <v>3</v>
      </c>
      <c r="R38" s="2" t="inlineStr">
        <is>
          <t>Gullpudra
Fällmossa
Tibast</t>
        </is>
      </c>
      <c r="S38">
        <f>HYPERLINK("https://klasma.github.io/Logging_0580/artfynd/A 59474-2025 artfynd.xlsx", "A 59474-2025")</f>
        <v/>
      </c>
      <c r="T38">
        <f>HYPERLINK("https://klasma.github.io/Logging_0580/kartor/A 59474-2025 karta.png", "A 59474-2025")</f>
        <v/>
      </c>
      <c r="V38">
        <f>HYPERLINK("https://klasma.github.io/Logging_0580/klagomål/A 59474-2025 FSC-klagomål.docx", "A 59474-2025")</f>
        <v/>
      </c>
      <c r="W38">
        <f>HYPERLINK("https://klasma.github.io/Logging_0580/klagomålsmail/A 59474-2025 FSC-klagomål mail.docx", "A 59474-2025")</f>
        <v/>
      </c>
      <c r="X38">
        <f>HYPERLINK("https://klasma.github.io/Logging_0580/tillsyn/A 59474-2025 tillsynsbegäran.docx", "A 59474-2025")</f>
        <v/>
      </c>
      <c r="Y38">
        <f>HYPERLINK("https://klasma.github.io/Logging_0580/tillsynsmail/A 59474-2025 tillsynsbegäran mail.docx", "A 59474-2025")</f>
        <v/>
      </c>
    </row>
    <row r="39" ht="15" customHeight="1">
      <c r="A39" t="inlineStr">
        <is>
          <t>A 36557-2023</t>
        </is>
      </c>
      <c r="B39" s="1" t="n">
        <v>45153</v>
      </c>
      <c r="C39" s="1" t="n">
        <v>46196</v>
      </c>
      <c r="D39" t="inlineStr">
        <is>
          <t>ÖSTERGÖTLANDS LÄN</t>
        </is>
      </c>
      <c r="E39" t="inlineStr">
        <is>
          <t>LINKÖPING</t>
        </is>
      </c>
      <c r="F39" t="inlineStr">
        <is>
          <t>Övriga Aktiebolag</t>
        </is>
      </c>
      <c r="G39" t="n">
        <v>3.1</v>
      </c>
      <c r="H39" t="n">
        <v>0</v>
      </c>
      <c r="I39" t="n">
        <v>3</v>
      </c>
      <c r="J39" t="n">
        <v>0</v>
      </c>
      <c r="K39" t="n">
        <v>0</v>
      </c>
      <c r="L39" t="n">
        <v>0</v>
      </c>
      <c r="M39" t="n">
        <v>0</v>
      </c>
      <c r="N39" t="n">
        <v>0</v>
      </c>
      <c r="O39" t="n">
        <v>0</v>
      </c>
      <c r="P39" t="n">
        <v>0</v>
      </c>
      <c r="Q39" t="n">
        <v>3</v>
      </c>
      <c r="R39" s="2" t="inlineStr">
        <is>
          <t>Dorcatoma dresdensis
Noshornsoxe
Robust tickgnagare</t>
        </is>
      </c>
      <c r="S39">
        <f>HYPERLINK("https://klasma.github.io/Logging_0580/artfynd/A 36557-2023 artfynd.xlsx", "A 36557-2023")</f>
        <v/>
      </c>
      <c r="T39">
        <f>HYPERLINK("https://klasma.github.io/Logging_0580/kartor/A 36557-2023 karta.png", "A 36557-2023")</f>
        <v/>
      </c>
      <c r="V39">
        <f>HYPERLINK("https://klasma.github.io/Logging_0580/klagomål/A 36557-2023 FSC-klagomål.docx", "A 36557-2023")</f>
        <v/>
      </c>
      <c r="W39">
        <f>HYPERLINK("https://klasma.github.io/Logging_0580/klagomålsmail/A 36557-2023 FSC-klagomål mail.docx", "A 36557-2023")</f>
        <v/>
      </c>
      <c r="X39">
        <f>HYPERLINK("https://klasma.github.io/Logging_0580/tillsyn/A 36557-2023 tillsynsbegäran.docx", "A 36557-2023")</f>
        <v/>
      </c>
      <c r="Y39">
        <f>HYPERLINK("https://klasma.github.io/Logging_0580/tillsynsmail/A 36557-2023 tillsynsbegäran mail.docx", "A 36557-2023")</f>
        <v/>
      </c>
    </row>
    <row r="40" ht="15" customHeight="1">
      <c r="A40" t="inlineStr">
        <is>
          <t>A 50048-2025</t>
        </is>
      </c>
      <c r="B40" s="1" t="n">
        <v>45941</v>
      </c>
      <c r="C40" s="1" t="n">
        <v>46196</v>
      </c>
      <c r="D40" t="inlineStr">
        <is>
          <t>ÖSTERGÖTLANDS LÄN</t>
        </is>
      </c>
      <c r="E40" t="inlineStr">
        <is>
          <t>LINKÖPING</t>
        </is>
      </c>
      <c r="G40" t="n">
        <v>2.4</v>
      </c>
      <c r="H40" t="n">
        <v>3</v>
      </c>
      <c r="I40" t="n">
        <v>0</v>
      </c>
      <c r="J40" t="n">
        <v>2</v>
      </c>
      <c r="K40" t="n">
        <v>0</v>
      </c>
      <c r="L40" t="n">
        <v>0</v>
      </c>
      <c r="M40" t="n">
        <v>0</v>
      </c>
      <c r="N40" t="n">
        <v>0</v>
      </c>
      <c r="O40" t="n">
        <v>2</v>
      </c>
      <c r="P40" t="n">
        <v>0</v>
      </c>
      <c r="Q40" t="n">
        <v>3</v>
      </c>
      <c r="R40" s="2" t="inlineStr">
        <is>
          <t>Grönsångare
Gulsparv
Trädlärka</t>
        </is>
      </c>
      <c r="S40">
        <f>HYPERLINK("https://klasma.github.io/Logging_0580/artfynd/A 50048-2025 artfynd.xlsx", "A 50048-2025")</f>
        <v/>
      </c>
      <c r="T40">
        <f>HYPERLINK("https://klasma.github.io/Logging_0580/kartor/A 50048-2025 karta.png", "A 50048-2025")</f>
        <v/>
      </c>
      <c r="V40">
        <f>HYPERLINK("https://klasma.github.io/Logging_0580/klagomål/A 50048-2025 FSC-klagomål.docx", "A 50048-2025")</f>
        <v/>
      </c>
      <c r="W40">
        <f>HYPERLINK("https://klasma.github.io/Logging_0580/klagomålsmail/A 50048-2025 FSC-klagomål mail.docx", "A 50048-2025")</f>
        <v/>
      </c>
      <c r="X40">
        <f>HYPERLINK("https://klasma.github.io/Logging_0580/tillsyn/A 50048-2025 tillsynsbegäran.docx", "A 50048-2025")</f>
        <v/>
      </c>
      <c r="Y40">
        <f>HYPERLINK("https://klasma.github.io/Logging_0580/tillsynsmail/A 50048-2025 tillsynsbegäran mail.docx", "A 50048-2025")</f>
        <v/>
      </c>
      <c r="Z40">
        <f>HYPERLINK("https://klasma.github.io/Logging_0580/fåglar/A 50048-2025 prioriterade fågelarter.docx", "A 50048-2025")</f>
        <v/>
      </c>
    </row>
    <row r="41" ht="15" customHeight="1">
      <c r="A41" t="inlineStr">
        <is>
          <t>A 12247-2026</t>
        </is>
      </c>
      <c r="B41" s="1" t="n">
        <v>46087</v>
      </c>
      <c r="C41" s="1" t="n">
        <v>46196</v>
      </c>
      <c r="D41" t="inlineStr">
        <is>
          <t>ÖSTERGÖTLANDS LÄN</t>
        </is>
      </c>
      <c r="E41" t="inlineStr">
        <is>
          <t>LINKÖPING</t>
        </is>
      </c>
      <c r="G41" t="n">
        <v>0.9</v>
      </c>
      <c r="H41" t="n">
        <v>1</v>
      </c>
      <c r="I41" t="n">
        <v>1</v>
      </c>
      <c r="J41" t="n">
        <v>1</v>
      </c>
      <c r="K41" t="n">
        <v>0</v>
      </c>
      <c r="L41" t="n">
        <v>0</v>
      </c>
      <c r="M41" t="n">
        <v>0</v>
      </c>
      <c r="N41" t="n">
        <v>0</v>
      </c>
      <c r="O41" t="n">
        <v>1</v>
      </c>
      <c r="P41" t="n">
        <v>0</v>
      </c>
      <c r="Q41" t="n">
        <v>3</v>
      </c>
      <c r="R41" s="2" t="inlineStr">
        <is>
          <t>Vedtrappmossa
Svart trolldruva
Spillkråka</t>
        </is>
      </c>
      <c r="S41">
        <f>HYPERLINK("https://klasma.github.io/Logging_0580/artfynd/A 12247-2026 artfynd.xlsx", "A 12247-2026")</f>
        <v/>
      </c>
      <c r="T41">
        <f>HYPERLINK("https://klasma.github.io/Logging_0580/kartor/A 12247-2026 karta.png", "A 12247-2026")</f>
        <v/>
      </c>
      <c r="V41">
        <f>HYPERLINK("https://klasma.github.io/Logging_0580/klagomål/A 12247-2026 FSC-klagomål.docx", "A 12247-2026")</f>
        <v/>
      </c>
      <c r="W41">
        <f>HYPERLINK("https://klasma.github.io/Logging_0580/klagomålsmail/A 12247-2026 FSC-klagomål mail.docx", "A 12247-2026")</f>
        <v/>
      </c>
      <c r="X41">
        <f>HYPERLINK("https://klasma.github.io/Logging_0580/tillsyn/A 12247-2026 tillsynsbegäran.docx", "A 12247-2026")</f>
        <v/>
      </c>
      <c r="Y41">
        <f>HYPERLINK("https://klasma.github.io/Logging_0580/tillsynsmail/A 12247-2026 tillsynsbegäran mail.docx", "A 12247-2026")</f>
        <v/>
      </c>
      <c r="Z41">
        <f>HYPERLINK("https://klasma.github.io/Logging_0580/fåglar/A 12247-2026 prioriterade fågelarter.docx", "A 12247-2026")</f>
        <v/>
      </c>
    </row>
    <row r="42" ht="15" customHeight="1">
      <c r="A42" t="inlineStr">
        <is>
          <t>A 20292-2025</t>
        </is>
      </c>
      <c r="B42" s="1" t="n">
        <v>45774</v>
      </c>
      <c r="C42" s="1" t="n">
        <v>46196</v>
      </c>
      <c r="D42" t="inlineStr">
        <is>
          <t>ÖSTERGÖTLANDS LÄN</t>
        </is>
      </c>
      <c r="E42" t="inlineStr">
        <is>
          <t>LINKÖPING</t>
        </is>
      </c>
      <c r="G42" t="n">
        <v>8.4</v>
      </c>
      <c r="H42" t="n">
        <v>2</v>
      </c>
      <c r="I42" t="n">
        <v>1</v>
      </c>
      <c r="J42" t="n">
        <v>1</v>
      </c>
      <c r="K42" t="n">
        <v>0</v>
      </c>
      <c r="L42" t="n">
        <v>0</v>
      </c>
      <c r="M42" t="n">
        <v>0</v>
      </c>
      <c r="N42" t="n">
        <v>0</v>
      </c>
      <c r="O42" t="n">
        <v>1</v>
      </c>
      <c r="P42" t="n">
        <v>0</v>
      </c>
      <c r="Q42" t="n">
        <v>3</v>
      </c>
      <c r="R42" s="2" t="inlineStr">
        <is>
          <t>Gulsparv
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c r="Z42">
        <f>HYPERLINK("https://klasma.github.io/Logging_0580/fåglar/A 20292-2025 prioriterade fågelarter.docx", "A 20292-2025")</f>
        <v/>
      </c>
    </row>
    <row r="43" ht="15" customHeight="1">
      <c r="A43" t="inlineStr">
        <is>
          <t>A 42054-2022</t>
        </is>
      </c>
      <c r="B43" s="1" t="n">
        <v>44830</v>
      </c>
      <c r="C43" s="1" t="n">
        <v>46196</v>
      </c>
      <c r="D43" t="inlineStr">
        <is>
          <t>ÖSTERGÖTLANDS LÄN</t>
        </is>
      </c>
      <c r="E43" t="inlineStr">
        <is>
          <t>LINKÖPING</t>
        </is>
      </c>
      <c r="G43" t="n">
        <v>1.7</v>
      </c>
      <c r="H43" t="n">
        <v>0</v>
      </c>
      <c r="I43" t="n">
        <v>1</v>
      </c>
      <c r="J43" t="n">
        <v>2</v>
      </c>
      <c r="K43" t="n">
        <v>0</v>
      </c>
      <c r="L43" t="n">
        <v>0</v>
      </c>
      <c r="M43" t="n">
        <v>0</v>
      </c>
      <c r="N43" t="n">
        <v>0</v>
      </c>
      <c r="O43" t="n">
        <v>2</v>
      </c>
      <c r="P43" t="n">
        <v>0</v>
      </c>
      <c r="Q43" t="n">
        <v>3</v>
      </c>
      <c r="R43" s="2" t="inlineStr">
        <is>
          <t>Tallticka
Älg
Mindre märgborre</t>
        </is>
      </c>
      <c r="S43">
        <f>HYPERLINK("https://klasma.github.io/Logging_0580/artfynd/A 42054-2022 artfynd.xlsx", "A 42054-2022")</f>
        <v/>
      </c>
      <c r="T43">
        <f>HYPERLINK("https://klasma.github.io/Logging_0580/kartor/A 42054-2022 karta.png", "A 42054-2022")</f>
        <v/>
      </c>
      <c r="V43">
        <f>HYPERLINK("https://klasma.github.io/Logging_0580/klagomål/A 42054-2022 FSC-klagomål.docx", "A 42054-2022")</f>
        <v/>
      </c>
      <c r="W43">
        <f>HYPERLINK("https://klasma.github.io/Logging_0580/klagomålsmail/A 42054-2022 FSC-klagomål mail.docx", "A 42054-2022")</f>
        <v/>
      </c>
      <c r="X43">
        <f>HYPERLINK("https://klasma.github.io/Logging_0580/tillsyn/A 42054-2022 tillsynsbegäran.docx", "A 42054-2022")</f>
        <v/>
      </c>
      <c r="Y43">
        <f>HYPERLINK("https://klasma.github.io/Logging_0580/tillsynsmail/A 42054-2022 tillsynsbegäran mail.docx", "A 42054-2022")</f>
        <v/>
      </c>
    </row>
    <row r="44" ht="15" customHeight="1">
      <c r="A44" t="inlineStr">
        <is>
          <t>A 21227-2026</t>
        </is>
      </c>
      <c r="B44" s="1" t="n">
        <v>46146</v>
      </c>
      <c r="C44" s="1" t="n">
        <v>46196</v>
      </c>
      <c r="D44" t="inlineStr">
        <is>
          <t>ÖSTERGÖTLANDS LÄN</t>
        </is>
      </c>
      <c r="E44" t="inlineStr">
        <is>
          <t>LINKÖPING</t>
        </is>
      </c>
      <c r="G44" t="n">
        <v>1.8</v>
      </c>
      <c r="H44" t="n">
        <v>3</v>
      </c>
      <c r="I44" t="n">
        <v>0</v>
      </c>
      <c r="J44" t="n">
        <v>2</v>
      </c>
      <c r="K44" t="n">
        <v>0</v>
      </c>
      <c r="L44" t="n">
        <v>0</v>
      </c>
      <c r="M44" t="n">
        <v>0</v>
      </c>
      <c r="N44" t="n">
        <v>0</v>
      </c>
      <c r="O44" t="n">
        <v>2</v>
      </c>
      <c r="P44" t="n">
        <v>0</v>
      </c>
      <c r="Q44" t="n">
        <v>3</v>
      </c>
      <c r="R44" s="2" t="inlineStr">
        <is>
          <t>Järnsparv
Rödvingetrast
Kungsfågel</t>
        </is>
      </c>
      <c r="S44">
        <f>HYPERLINK("https://klasma.github.io/Logging_0580/artfynd/A 21227-2026 artfynd.xlsx", "A 21227-2026")</f>
        <v/>
      </c>
      <c r="T44">
        <f>HYPERLINK("https://klasma.github.io/Logging_0580/kartor/A 21227-2026 karta.png", "A 21227-2026")</f>
        <v/>
      </c>
      <c r="V44">
        <f>HYPERLINK("https://klasma.github.io/Logging_0580/klagomål/A 21227-2026 FSC-klagomål.docx", "A 21227-2026")</f>
        <v/>
      </c>
      <c r="W44">
        <f>HYPERLINK("https://klasma.github.io/Logging_0580/klagomålsmail/A 21227-2026 FSC-klagomål mail.docx", "A 21227-2026")</f>
        <v/>
      </c>
      <c r="X44">
        <f>HYPERLINK("https://klasma.github.io/Logging_0580/tillsyn/A 21227-2026 tillsynsbegäran.docx", "A 21227-2026")</f>
        <v/>
      </c>
      <c r="Y44">
        <f>HYPERLINK("https://klasma.github.io/Logging_0580/tillsynsmail/A 21227-2026 tillsynsbegäran mail.docx", "A 21227-2026")</f>
        <v/>
      </c>
      <c r="Z44">
        <f>HYPERLINK("https://klasma.github.io/Logging_0580/fåglar/A 21227-2026 prioriterade fågelarter.docx", "A 21227-2026")</f>
        <v/>
      </c>
    </row>
    <row r="45" ht="15" customHeight="1">
      <c r="A45" t="inlineStr">
        <is>
          <t>A 62321-2022</t>
        </is>
      </c>
      <c r="B45" s="1" t="n">
        <v>44916</v>
      </c>
      <c r="C45" s="1" t="n">
        <v>46196</v>
      </c>
      <c r="D45" t="inlineStr">
        <is>
          <t>ÖSTERGÖTLANDS LÄN</t>
        </is>
      </c>
      <c r="E45" t="inlineStr">
        <is>
          <t>LINKÖPING</t>
        </is>
      </c>
      <c r="F45" t="inlineStr">
        <is>
          <t>Kommuner</t>
        </is>
      </c>
      <c r="G45" t="n">
        <v>5.3</v>
      </c>
      <c r="H45" t="n">
        <v>0</v>
      </c>
      <c r="I45" t="n">
        <v>0</v>
      </c>
      <c r="J45" t="n">
        <v>3</v>
      </c>
      <c r="K45" t="n">
        <v>0</v>
      </c>
      <c r="L45" t="n">
        <v>0</v>
      </c>
      <c r="M45" t="n">
        <v>0</v>
      </c>
      <c r="N45" t="n">
        <v>0</v>
      </c>
      <c r="O45" t="n">
        <v>3</v>
      </c>
      <c r="P45" t="n">
        <v>0</v>
      </c>
      <c r="Q45" t="n">
        <v>3</v>
      </c>
      <c r="R45" s="2" t="inlineStr">
        <is>
          <t>Reliktbock
Svinrot
Vintertagging</t>
        </is>
      </c>
      <c r="S45">
        <f>HYPERLINK("https://klasma.github.io/Logging_0580/artfynd/A 62321-2022 artfynd.xlsx", "A 62321-2022")</f>
        <v/>
      </c>
      <c r="T45">
        <f>HYPERLINK("https://klasma.github.io/Logging_0580/kartor/A 62321-2022 karta.png", "A 62321-2022")</f>
        <v/>
      </c>
      <c r="V45">
        <f>HYPERLINK("https://klasma.github.io/Logging_0580/klagomål/A 62321-2022 FSC-klagomål.docx", "A 62321-2022")</f>
        <v/>
      </c>
      <c r="W45">
        <f>HYPERLINK("https://klasma.github.io/Logging_0580/klagomålsmail/A 62321-2022 FSC-klagomål mail.docx", "A 62321-2022")</f>
        <v/>
      </c>
      <c r="X45">
        <f>HYPERLINK("https://klasma.github.io/Logging_0580/tillsyn/A 62321-2022 tillsynsbegäran.docx", "A 62321-2022")</f>
        <v/>
      </c>
      <c r="Y45">
        <f>HYPERLINK("https://klasma.github.io/Logging_0580/tillsynsmail/A 62321-2022 tillsynsbegäran mail.docx", "A 62321-2022")</f>
        <v/>
      </c>
    </row>
    <row r="46" ht="15" customHeight="1">
      <c r="A46" t="inlineStr">
        <is>
          <t>A 54835-2023</t>
        </is>
      </c>
      <c r="B46" s="1" t="n">
        <v>45236</v>
      </c>
      <c r="C46" s="1" t="n">
        <v>46196</v>
      </c>
      <c r="D46" t="inlineStr">
        <is>
          <t>ÖSTERGÖTLANDS LÄN</t>
        </is>
      </c>
      <c r="E46" t="inlineStr">
        <is>
          <t>LINKÖPING</t>
        </is>
      </c>
      <c r="G46" t="n">
        <v>2</v>
      </c>
      <c r="H46" t="n">
        <v>1</v>
      </c>
      <c r="I46" t="n">
        <v>0</v>
      </c>
      <c r="J46" t="n">
        <v>3</v>
      </c>
      <c r="K46" t="n">
        <v>0</v>
      </c>
      <c r="L46" t="n">
        <v>0</v>
      </c>
      <c r="M46" t="n">
        <v>0</v>
      </c>
      <c r="N46" t="n">
        <v>0</v>
      </c>
      <c r="O46" t="n">
        <v>3</v>
      </c>
      <c r="P46" t="n">
        <v>0</v>
      </c>
      <c r="Q46" t="n">
        <v>3</v>
      </c>
      <c r="R46" s="2" t="inlineStr">
        <is>
          <t>Krusfrö
Sparvuggla
Storgröe</t>
        </is>
      </c>
      <c r="S46">
        <f>HYPERLINK("https://klasma.github.io/Logging_0580/artfynd/A 54835-2023 artfynd.xlsx", "A 54835-2023")</f>
        <v/>
      </c>
      <c r="T46">
        <f>HYPERLINK("https://klasma.github.io/Logging_0580/kartor/A 54835-2023 karta.png", "A 54835-2023")</f>
        <v/>
      </c>
      <c r="V46">
        <f>HYPERLINK("https://klasma.github.io/Logging_0580/klagomål/A 54835-2023 FSC-klagomål.docx", "A 54835-2023")</f>
        <v/>
      </c>
      <c r="W46">
        <f>HYPERLINK("https://klasma.github.io/Logging_0580/klagomålsmail/A 54835-2023 FSC-klagomål mail.docx", "A 54835-2023")</f>
        <v/>
      </c>
      <c r="X46">
        <f>HYPERLINK("https://klasma.github.io/Logging_0580/tillsyn/A 54835-2023 tillsynsbegäran.docx", "A 54835-2023")</f>
        <v/>
      </c>
      <c r="Y46">
        <f>HYPERLINK("https://klasma.github.io/Logging_0580/tillsynsmail/A 54835-2023 tillsynsbegäran mail.docx", "A 54835-2023")</f>
        <v/>
      </c>
      <c r="Z46">
        <f>HYPERLINK("https://klasma.github.io/Logging_0580/fåglar/A 54835-2023 prioriterade fågelarter.docx", "A 54835-2023")</f>
        <v/>
      </c>
    </row>
    <row r="47" ht="15" customHeight="1">
      <c r="A47" t="inlineStr">
        <is>
          <t>A 126-2024</t>
        </is>
      </c>
      <c r="B47" s="1" t="n">
        <v>45294</v>
      </c>
      <c r="C47" s="1" t="n">
        <v>46196</v>
      </c>
      <c r="D47" t="inlineStr">
        <is>
          <t>ÖSTERGÖTLANDS LÄN</t>
        </is>
      </c>
      <c r="E47" t="inlineStr">
        <is>
          <t>LINKÖPING</t>
        </is>
      </c>
      <c r="G47" t="n">
        <v>1</v>
      </c>
      <c r="H47" t="n">
        <v>0</v>
      </c>
      <c r="I47" t="n">
        <v>3</v>
      </c>
      <c r="J47" t="n">
        <v>0</v>
      </c>
      <c r="K47" t="n">
        <v>0</v>
      </c>
      <c r="L47" t="n">
        <v>0</v>
      </c>
      <c r="M47" t="n">
        <v>0</v>
      </c>
      <c r="N47" t="n">
        <v>0</v>
      </c>
      <c r="O47" t="n">
        <v>0</v>
      </c>
      <c r="P47" t="n">
        <v>0</v>
      </c>
      <c r="Q47" t="n">
        <v>3</v>
      </c>
      <c r="R47" s="2" t="inlineStr">
        <is>
          <t>Blåmossa
Bronshjon
Granbarkgnagare</t>
        </is>
      </c>
      <c r="S47">
        <f>HYPERLINK("https://klasma.github.io/Logging_0580/artfynd/A 126-2024 artfynd.xlsx", "A 126-2024")</f>
        <v/>
      </c>
      <c r="T47">
        <f>HYPERLINK("https://klasma.github.io/Logging_0580/kartor/A 126-2024 karta.png", "A 126-2024")</f>
        <v/>
      </c>
      <c r="V47">
        <f>HYPERLINK("https://klasma.github.io/Logging_0580/klagomål/A 126-2024 FSC-klagomål.docx", "A 126-2024")</f>
        <v/>
      </c>
      <c r="W47">
        <f>HYPERLINK("https://klasma.github.io/Logging_0580/klagomålsmail/A 126-2024 FSC-klagomål mail.docx", "A 126-2024")</f>
        <v/>
      </c>
      <c r="X47">
        <f>HYPERLINK("https://klasma.github.io/Logging_0580/tillsyn/A 126-2024 tillsynsbegäran.docx", "A 126-2024")</f>
        <v/>
      </c>
      <c r="Y47">
        <f>HYPERLINK("https://klasma.github.io/Logging_0580/tillsynsmail/A 126-2024 tillsynsbegäran mail.docx", "A 126-2024")</f>
        <v/>
      </c>
    </row>
    <row r="48" ht="15" customHeight="1">
      <c r="A48" t="inlineStr">
        <is>
          <t>A 38913-2023</t>
        </is>
      </c>
      <c r="B48" s="1" t="n">
        <v>45163</v>
      </c>
      <c r="C48" s="1" t="n">
        <v>46196</v>
      </c>
      <c r="D48" t="inlineStr">
        <is>
          <t>ÖSTERGÖTLANDS LÄN</t>
        </is>
      </c>
      <c r="E48" t="inlineStr">
        <is>
          <t>LINKÖPING</t>
        </is>
      </c>
      <c r="G48" t="n">
        <v>2.7</v>
      </c>
      <c r="H48" t="n">
        <v>2</v>
      </c>
      <c r="I48" t="n">
        <v>1</v>
      </c>
      <c r="J48" t="n">
        <v>0</v>
      </c>
      <c r="K48" t="n">
        <v>0</v>
      </c>
      <c r="L48" t="n">
        <v>0</v>
      </c>
      <c r="M48" t="n">
        <v>0</v>
      </c>
      <c r="N48" t="n">
        <v>0</v>
      </c>
      <c r="O48" t="n">
        <v>0</v>
      </c>
      <c r="P48" t="n">
        <v>0</v>
      </c>
      <c r="Q48" t="n">
        <v>3</v>
      </c>
      <c r="R48" s="2" t="inlineStr">
        <is>
          <t>Skogsbräsma
Dubbelnycklar
Revlummer</t>
        </is>
      </c>
      <c r="S48">
        <f>HYPERLINK("https://klasma.github.io/Logging_0580/artfynd/A 38913-2023 artfynd.xlsx", "A 38913-2023")</f>
        <v/>
      </c>
      <c r="T48">
        <f>HYPERLINK("https://klasma.github.io/Logging_0580/kartor/A 38913-2023 karta.png", "A 38913-2023")</f>
        <v/>
      </c>
      <c r="V48">
        <f>HYPERLINK("https://klasma.github.io/Logging_0580/klagomål/A 38913-2023 FSC-klagomål.docx", "A 38913-2023")</f>
        <v/>
      </c>
      <c r="W48">
        <f>HYPERLINK("https://klasma.github.io/Logging_0580/klagomålsmail/A 38913-2023 FSC-klagomål mail.docx", "A 38913-2023")</f>
        <v/>
      </c>
      <c r="X48">
        <f>HYPERLINK("https://klasma.github.io/Logging_0580/tillsyn/A 38913-2023 tillsynsbegäran.docx", "A 38913-2023")</f>
        <v/>
      </c>
      <c r="Y48">
        <f>HYPERLINK("https://klasma.github.io/Logging_0580/tillsynsmail/A 38913-2023 tillsynsbegäran mail.docx", "A 38913-2023")</f>
        <v/>
      </c>
    </row>
    <row r="49" ht="15" customHeight="1">
      <c r="A49" t="inlineStr">
        <is>
          <t>A 50806-2023</t>
        </is>
      </c>
      <c r="B49" s="1" t="n">
        <v>45217</v>
      </c>
      <c r="C49" s="1" t="n">
        <v>46196</v>
      </c>
      <c r="D49" t="inlineStr">
        <is>
          <t>ÖSTERGÖTLANDS LÄN</t>
        </is>
      </c>
      <c r="E49" t="inlineStr">
        <is>
          <t>LINKÖPING</t>
        </is>
      </c>
      <c r="F49" t="inlineStr">
        <is>
          <t>Övriga Aktiebolag</t>
        </is>
      </c>
      <c r="G49" t="n">
        <v>0.7</v>
      </c>
      <c r="H49" t="n">
        <v>1</v>
      </c>
      <c r="I49" t="n">
        <v>2</v>
      </c>
      <c r="J49" t="n">
        <v>0</v>
      </c>
      <c r="K49" t="n">
        <v>0</v>
      </c>
      <c r="L49" t="n">
        <v>0</v>
      </c>
      <c r="M49" t="n">
        <v>0</v>
      </c>
      <c r="N49" t="n">
        <v>0</v>
      </c>
      <c r="O49" t="n">
        <v>0</v>
      </c>
      <c r="P49" t="n">
        <v>0</v>
      </c>
      <c r="Q49" t="n">
        <v>3</v>
      </c>
      <c r="R49" s="2" t="inlineStr">
        <is>
          <t>Brun nållav
Fällmossa
Gullviva</t>
        </is>
      </c>
      <c r="S49">
        <f>HYPERLINK("https://klasma.github.io/Logging_0580/artfynd/A 50806-2023 artfynd.xlsx", "A 50806-2023")</f>
        <v/>
      </c>
      <c r="T49">
        <f>HYPERLINK("https://klasma.github.io/Logging_0580/kartor/A 50806-2023 karta.png", "A 50806-2023")</f>
        <v/>
      </c>
      <c r="V49">
        <f>HYPERLINK("https://klasma.github.io/Logging_0580/klagomål/A 50806-2023 FSC-klagomål.docx", "A 50806-2023")</f>
        <v/>
      </c>
      <c r="W49">
        <f>HYPERLINK("https://klasma.github.io/Logging_0580/klagomålsmail/A 50806-2023 FSC-klagomål mail.docx", "A 50806-2023")</f>
        <v/>
      </c>
      <c r="X49">
        <f>HYPERLINK("https://klasma.github.io/Logging_0580/tillsyn/A 50806-2023 tillsynsbegäran.docx", "A 50806-2023")</f>
        <v/>
      </c>
      <c r="Y49">
        <f>HYPERLINK("https://klasma.github.io/Logging_0580/tillsynsmail/A 50806-2023 tillsynsbegäran mail.docx", "A 50806-2023")</f>
        <v/>
      </c>
    </row>
    <row r="50" ht="15" customHeight="1">
      <c r="A50" t="inlineStr">
        <is>
          <t>A 55341-2024</t>
        </is>
      </c>
      <c r="B50" s="1" t="n">
        <v>45621</v>
      </c>
      <c r="C50" s="1" t="n">
        <v>46196</v>
      </c>
      <c r="D50" t="inlineStr">
        <is>
          <t>ÖSTERGÖTLANDS LÄN</t>
        </is>
      </c>
      <c r="E50" t="inlineStr">
        <is>
          <t>LINKÖPING</t>
        </is>
      </c>
      <c r="G50" t="n">
        <v>4.3</v>
      </c>
      <c r="H50" t="n">
        <v>0</v>
      </c>
      <c r="I50" t="n">
        <v>2</v>
      </c>
      <c r="J50" t="n">
        <v>1</v>
      </c>
      <c r="K50" t="n">
        <v>0</v>
      </c>
      <c r="L50" t="n">
        <v>0</v>
      </c>
      <c r="M50" t="n">
        <v>0</v>
      </c>
      <c r="N50" t="n">
        <v>0</v>
      </c>
      <c r="O50" t="n">
        <v>1</v>
      </c>
      <c r="P50" t="n">
        <v>0</v>
      </c>
      <c r="Q50" t="n">
        <v>3</v>
      </c>
      <c r="R50" s="2" t="inlineStr">
        <is>
          <t>Rynkskinn
Barkticka
Smal svampklubba</t>
        </is>
      </c>
      <c r="S50">
        <f>HYPERLINK("https://klasma.github.io/Logging_0580/artfynd/A 55341-2024 artfynd.xlsx", "A 55341-2024")</f>
        <v/>
      </c>
      <c r="T50">
        <f>HYPERLINK("https://klasma.github.io/Logging_0580/kartor/A 55341-2024 karta.png", "A 55341-2024")</f>
        <v/>
      </c>
      <c r="V50">
        <f>HYPERLINK("https://klasma.github.io/Logging_0580/klagomål/A 55341-2024 FSC-klagomål.docx", "A 55341-2024")</f>
        <v/>
      </c>
      <c r="W50">
        <f>HYPERLINK("https://klasma.github.io/Logging_0580/klagomålsmail/A 55341-2024 FSC-klagomål mail.docx", "A 55341-2024")</f>
        <v/>
      </c>
      <c r="X50">
        <f>HYPERLINK("https://klasma.github.io/Logging_0580/tillsyn/A 55341-2024 tillsynsbegäran.docx", "A 55341-2024")</f>
        <v/>
      </c>
      <c r="Y50">
        <f>HYPERLINK("https://klasma.github.io/Logging_0580/tillsynsmail/A 55341-2024 tillsynsbegäran mail.docx", "A 55341-2024")</f>
        <v/>
      </c>
    </row>
    <row r="51" ht="15" customHeight="1">
      <c r="A51" t="inlineStr">
        <is>
          <t>A 38137-2021</t>
        </is>
      </c>
      <c r="B51" s="1" t="n">
        <v>44405</v>
      </c>
      <c r="C51" s="1" t="n">
        <v>46196</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46196</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46196</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45317-2023</t>
        </is>
      </c>
      <c r="B54" s="1" t="n">
        <v>45191</v>
      </c>
      <c r="C54" s="1" t="n">
        <v>46196</v>
      </c>
      <c r="D54" t="inlineStr">
        <is>
          <t>ÖSTERGÖTLANDS LÄN</t>
        </is>
      </c>
      <c r="E54" t="inlineStr">
        <is>
          <t>LINKÖPING</t>
        </is>
      </c>
      <c r="F54" t="inlineStr">
        <is>
          <t>Allmännings- och besparingsskogar</t>
        </is>
      </c>
      <c r="G54" t="n">
        <v>29.3</v>
      </c>
      <c r="H54" t="n">
        <v>0</v>
      </c>
      <c r="I54" t="n">
        <v>1</v>
      </c>
      <c r="J54" t="n">
        <v>1</v>
      </c>
      <c r="K54" t="n">
        <v>0</v>
      </c>
      <c r="L54" t="n">
        <v>0</v>
      </c>
      <c r="M54" t="n">
        <v>0</v>
      </c>
      <c r="N54" t="n">
        <v>0</v>
      </c>
      <c r="O54" t="n">
        <v>1</v>
      </c>
      <c r="P54" t="n">
        <v>0</v>
      </c>
      <c r="Q54" t="n">
        <v>2</v>
      </c>
      <c r="R54" s="2" t="inlineStr">
        <is>
          <t>Svinrot
Källpraktmossa</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58068-2021</t>
        </is>
      </c>
      <c r="B55" s="1" t="n">
        <v>44487</v>
      </c>
      <c r="C55" s="1" t="n">
        <v>46196</v>
      </c>
      <c r="D55" t="inlineStr">
        <is>
          <t>ÖSTERGÖTLANDS LÄN</t>
        </is>
      </c>
      <c r="E55" t="inlineStr">
        <is>
          <t>LINKÖPING</t>
        </is>
      </c>
      <c r="F55" t="inlineStr">
        <is>
          <t>Övriga Aktiebolag</t>
        </is>
      </c>
      <c r="G55" t="n">
        <v>1.2</v>
      </c>
      <c r="H55" t="n">
        <v>0</v>
      </c>
      <c r="I55" t="n">
        <v>0</v>
      </c>
      <c r="J55" t="n">
        <v>2</v>
      </c>
      <c r="K55" t="n">
        <v>0</v>
      </c>
      <c r="L55" t="n">
        <v>0</v>
      </c>
      <c r="M55" t="n">
        <v>0</v>
      </c>
      <c r="N55" t="n">
        <v>0</v>
      </c>
      <c r="O55" t="n">
        <v>2</v>
      </c>
      <c r="P55" t="n">
        <v>0</v>
      </c>
      <c r="Q55" t="n">
        <v>2</v>
      </c>
      <c r="R55" s="2" t="inlineStr">
        <is>
          <t>Rödbrun blekspik
Skuggorangelav</t>
        </is>
      </c>
      <c r="S55">
        <f>HYPERLINK("https://klasma.github.io/Logging_0580/artfynd/A 58068-2021 artfynd.xlsx", "A 58068-2021")</f>
        <v/>
      </c>
      <c r="T55">
        <f>HYPERLINK("https://klasma.github.io/Logging_0580/kartor/A 58068-2021 karta.png", "A 58068-2021")</f>
        <v/>
      </c>
      <c r="V55">
        <f>HYPERLINK("https://klasma.github.io/Logging_0580/klagomål/A 58068-2021 FSC-klagomål.docx", "A 58068-2021")</f>
        <v/>
      </c>
      <c r="W55">
        <f>HYPERLINK("https://klasma.github.io/Logging_0580/klagomålsmail/A 58068-2021 FSC-klagomål mail.docx", "A 58068-2021")</f>
        <v/>
      </c>
      <c r="X55">
        <f>HYPERLINK("https://klasma.github.io/Logging_0580/tillsyn/A 58068-2021 tillsynsbegäran.docx", "A 58068-2021")</f>
        <v/>
      </c>
      <c r="Y55">
        <f>HYPERLINK("https://klasma.github.io/Logging_0580/tillsynsmail/A 58068-2021 tillsynsbegäran mail.docx", "A 58068-2021")</f>
        <v/>
      </c>
    </row>
    <row r="56" ht="15" customHeight="1">
      <c r="A56" t="inlineStr">
        <is>
          <t>A 50404-2023</t>
        </is>
      </c>
      <c r="B56" s="1" t="n">
        <v>45216</v>
      </c>
      <c r="C56" s="1" t="n">
        <v>46196</v>
      </c>
      <c r="D56" t="inlineStr">
        <is>
          <t>ÖSTERGÖTLANDS LÄN</t>
        </is>
      </c>
      <c r="E56" t="inlineStr">
        <is>
          <t>LINKÖPING</t>
        </is>
      </c>
      <c r="G56" t="n">
        <v>1.2</v>
      </c>
      <c r="H56" t="n">
        <v>1</v>
      </c>
      <c r="I56" t="n">
        <v>1</v>
      </c>
      <c r="J56" t="n">
        <v>0</v>
      </c>
      <c r="K56" t="n">
        <v>0</v>
      </c>
      <c r="L56" t="n">
        <v>0</v>
      </c>
      <c r="M56" t="n">
        <v>0</v>
      </c>
      <c r="N56" t="n">
        <v>0</v>
      </c>
      <c r="O56" t="n">
        <v>0</v>
      </c>
      <c r="P56" t="n">
        <v>0</v>
      </c>
      <c r="Q56" t="n">
        <v>2</v>
      </c>
      <c r="R56" s="2" t="inlineStr">
        <is>
          <t>Hasselticka
Gullviva</t>
        </is>
      </c>
      <c r="S56">
        <f>HYPERLINK("https://klasma.github.io/Logging_0580/artfynd/A 50404-2023 artfynd.xlsx", "A 50404-2023")</f>
        <v/>
      </c>
      <c r="T56">
        <f>HYPERLINK("https://klasma.github.io/Logging_0580/kartor/A 50404-2023 karta.png", "A 50404-2023")</f>
        <v/>
      </c>
      <c r="V56">
        <f>HYPERLINK("https://klasma.github.io/Logging_0580/klagomål/A 50404-2023 FSC-klagomål.docx", "A 50404-2023")</f>
        <v/>
      </c>
      <c r="W56">
        <f>HYPERLINK("https://klasma.github.io/Logging_0580/klagomålsmail/A 50404-2023 FSC-klagomål mail.docx", "A 50404-2023")</f>
        <v/>
      </c>
      <c r="X56">
        <f>HYPERLINK("https://klasma.github.io/Logging_0580/tillsyn/A 50404-2023 tillsynsbegäran.docx", "A 50404-2023")</f>
        <v/>
      </c>
      <c r="Y56">
        <f>HYPERLINK("https://klasma.github.io/Logging_0580/tillsynsmail/A 50404-2023 tillsynsbegäran mail.docx", "A 50404-2023")</f>
        <v/>
      </c>
    </row>
    <row r="57" ht="15" customHeight="1">
      <c r="A57" t="inlineStr">
        <is>
          <t>A 27795-2025</t>
        </is>
      </c>
      <c r="B57" s="1" t="n">
        <v>45816</v>
      </c>
      <c r="C57" s="1" t="n">
        <v>46196</v>
      </c>
      <c r="D57" t="inlineStr">
        <is>
          <t>ÖSTERGÖTLANDS LÄN</t>
        </is>
      </c>
      <c r="E57" t="inlineStr">
        <is>
          <t>LINKÖPING</t>
        </is>
      </c>
      <c r="G57" t="n">
        <v>5</v>
      </c>
      <c r="H57" t="n">
        <v>0</v>
      </c>
      <c r="I57" t="n">
        <v>0</v>
      </c>
      <c r="J57" t="n">
        <v>2</v>
      </c>
      <c r="K57" t="n">
        <v>0</v>
      </c>
      <c r="L57" t="n">
        <v>0</v>
      </c>
      <c r="M57" t="n">
        <v>0</v>
      </c>
      <c r="N57" t="n">
        <v>0</v>
      </c>
      <c r="O57" t="n">
        <v>2</v>
      </c>
      <c r="P57" t="n">
        <v>0</v>
      </c>
      <c r="Q57" t="n">
        <v>2</v>
      </c>
      <c r="R57" s="2" t="inlineStr">
        <is>
          <t>Svinrot
Ängsskära</t>
        </is>
      </c>
      <c r="S57">
        <f>HYPERLINK("https://klasma.github.io/Logging_0580/artfynd/A 27795-2025 artfynd.xlsx", "A 27795-2025")</f>
        <v/>
      </c>
      <c r="T57">
        <f>HYPERLINK("https://klasma.github.io/Logging_0580/kartor/A 27795-2025 karta.png", "A 27795-2025")</f>
        <v/>
      </c>
      <c r="V57">
        <f>HYPERLINK("https://klasma.github.io/Logging_0580/klagomål/A 27795-2025 FSC-klagomål.docx", "A 27795-2025")</f>
        <v/>
      </c>
      <c r="W57">
        <f>HYPERLINK("https://klasma.github.io/Logging_0580/klagomålsmail/A 27795-2025 FSC-klagomål mail.docx", "A 27795-2025")</f>
        <v/>
      </c>
      <c r="X57">
        <f>HYPERLINK("https://klasma.github.io/Logging_0580/tillsyn/A 27795-2025 tillsynsbegäran.docx", "A 27795-2025")</f>
        <v/>
      </c>
      <c r="Y57">
        <f>HYPERLINK("https://klasma.github.io/Logging_0580/tillsynsmail/A 27795-2025 tillsynsbegäran mail.docx", "A 27795-2025")</f>
        <v/>
      </c>
    </row>
    <row r="58" ht="15" customHeight="1">
      <c r="A58" t="inlineStr">
        <is>
          <t>A 59948-2022</t>
        </is>
      </c>
      <c r="B58" s="1" t="n">
        <v>44909</v>
      </c>
      <c r="C58" s="1" t="n">
        <v>46196</v>
      </c>
      <c r="D58" t="inlineStr">
        <is>
          <t>ÖSTERGÖTLANDS LÄN</t>
        </is>
      </c>
      <c r="E58" t="inlineStr">
        <is>
          <t>LINKÖPING</t>
        </is>
      </c>
      <c r="G58" t="n">
        <v>6.7</v>
      </c>
      <c r="H58" t="n">
        <v>1</v>
      </c>
      <c r="I58" t="n">
        <v>0</v>
      </c>
      <c r="J58" t="n">
        <v>1</v>
      </c>
      <c r="K58" t="n">
        <v>0</v>
      </c>
      <c r="L58" t="n">
        <v>1</v>
      </c>
      <c r="M58" t="n">
        <v>0</v>
      </c>
      <c r="N58" t="n">
        <v>0</v>
      </c>
      <c r="O58" t="n">
        <v>2</v>
      </c>
      <c r="P58" t="n">
        <v>1</v>
      </c>
      <c r="Q58" t="n">
        <v>2</v>
      </c>
      <c r="R58" s="2" t="inlineStr">
        <is>
          <t>Skogsalm
Duvhök</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c r="Z58">
        <f>HYPERLINK("https://klasma.github.io/Logging_0580/fåglar/A 59948-2022 prioriterade fågelarter.docx", "A 59948-2022")</f>
        <v/>
      </c>
    </row>
    <row r="59" ht="15" customHeight="1">
      <c r="A59" t="inlineStr">
        <is>
          <t>A 3912-2026</t>
        </is>
      </c>
      <c r="B59" s="1" t="n">
        <v>46043</v>
      </c>
      <c r="C59" s="1" t="n">
        <v>46196</v>
      </c>
      <c r="D59" t="inlineStr">
        <is>
          <t>ÖSTERGÖTLANDS LÄN</t>
        </is>
      </c>
      <c r="E59" t="inlineStr">
        <is>
          <t>LINKÖPING</t>
        </is>
      </c>
      <c r="F59" t="inlineStr">
        <is>
          <t>Kyrkan</t>
        </is>
      </c>
      <c r="G59" t="n">
        <v>6.8</v>
      </c>
      <c r="H59" t="n">
        <v>1</v>
      </c>
      <c r="I59" t="n">
        <v>1</v>
      </c>
      <c r="J59" t="n">
        <v>0</v>
      </c>
      <c r="K59" t="n">
        <v>1</v>
      </c>
      <c r="L59" t="n">
        <v>0</v>
      </c>
      <c r="M59" t="n">
        <v>0</v>
      </c>
      <c r="N59" t="n">
        <v>0</v>
      </c>
      <c r="O59" t="n">
        <v>1</v>
      </c>
      <c r="P59" t="n">
        <v>1</v>
      </c>
      <c r="Q59" t="n">
        <v>2</v>
      </c>
      <c r="R59" s="2" t="inlineStr">
        <is>
          <t>Knärot
Grönpyrola</t>
        </is>
      </c>
      <c r="S59">
        <f>HYPERLINK("https://klasma.github.io/Logging_0580/artfynd/A 3912-2026 artfynd.xlsx", "A 3912-2026")</f>
        <v/>
      </c>
      <c r="T59">
        <f>HYPERLINK("https://klasma.github.io/Logging_0580/kartor/A 3912-2026 karta.png", "A 3912-2026")</f>
        <v/>
      </c>
      <c r="U59">
        <f>HYPERLINK("https://klasma.github.io/Logging_0580/knärot/A 3912-2026 karta knärot.png", "A 3912-2026")</f>
        <v/>
      </c>
      <c r="V59">
        <f>HYPERLINK("https://klasma.github.io/Logging_0580/klagomål/A 3912-2026 FSC-klagomål.docx", "A 3912-2026")</f>
        <v/>
      </c>
      <c r="W59">
        <f>HYPERLINK("https://klasma.github.io/Logging_0580/klagomålsmail/A 3912-2026 FSC-klagomål mail.docx", "A 3912-2026")</f>
        <v/>
      </c>
      <c r="X59">
        <f>HYPERLINK("https://klasma.github.io/Logging_0580/tillsyn/A 3912-2026 tillsynsbegäran.docx", "A 3912-2026")</f>
        <v/>
      </c>
      <c r="Y59">
        <f>HYPERLINK("https://klasma.github.io/Logging_0580/tillsynsmail/A 3912-2026 tillsynsbegäran mail.docx", "A 3912-2026")</f>
        <v/>
      </c>
    </row>
    <row r="60" ht="15" customHeight="1">
      <c r="A60" t="inlineStr">
        <is>
          <t>A 38886-2024</t>
        </is>
      </c>
      <c r="B60" s="1" t="n">
        <v>45547</v>
      </c>
      <c r="C60" s="1" t="n">
        <v>46196</v>
      </c>
      <c r="D60" t="inlineStr">
        <is>
          <t>ÖSTERGÖTLANDS LÄN</t>
        </is>
      </c>
      <c r="E60" t="inlineStr">
        <is>
          <t>LINKÖPING</t>
        </is>
      </c>
      <c r="G60" t="n">
        <v>5.3</v>
      </c>
      <c r="H60" t="n">
        <v>1</v>
      </c>
      <c r="I60" t="n">
        <v>1</v>
      </c>
      <c r="J60" t="n">
        <v>1</v>
      </c>
      <c r="K60" t="n">
        <v>0</v>
      </c>
      <c r="L60" t="n">
        <v>0</v>
      </c>
      <c r="M60" t="n">
        <v>0</v>
      </c>
      <c r="N60" t="n">
        <v>0</v>
      </c>
      <c r="O60" t="n">
        <v>1</v>
      </c>
      <c r="P60" t="n">
        <v>0</v>
      </c>
      <c r="Q60" t="n">
        <v>2</v>
      </c>
      <c r="R60" s="2" t="inlineStr">
        <is>
          <t>Gulsparv
Hasselticka</t>
        </is>
      </c>
      <c r="S60">
        <f>HYPERLINK("https://klasma.github.io/Logging_0580/artfynd/A 38886-2024 artfynd.xlsx", "A 38886-2024")</f>
        <v/>
      </c>
      <c r="T60">
        <f>HYPERLINK("https://klasma.github.io/Logging_0580/kartor/A 38886-2024 karta.png", "A 38886-2024")</f>
        <v/>
      </c>
      <c r="V60">
        <f>HYPERLINK("https://klasma.github.io/Logging_0580/klagomål/A 38886-2024 FSC-klagomål.docx", "A 38886-2024")</f>
        <v/>
      </c>
      <c r="W60">
        <f>HYPERLINK("https://klasma.github.io/Logging_0580/klagomålsmail/A 38886-2024 FSC-klagomål mail.docx", "A 38886-2024")</f>
        <v/>
      </c>
      <c r="X60">
        <f>HYPERLINK("https://klasma.github.io/Logging_0580/tillsyn/A 38886-2024 tillsynsbegäran.docx", "A 38886-2024")</f>
        <v/>
      </c>
      <c r="Y60">
        <f>HYPERLINK("https://klasma.github.io/Logging_0580/tillsynsmail/A 38886-2024 tillsynsbegäran mail.docx", "A 38886-2024")</f>
        <v/>
      </c>
      <c r="Z60">
        <f>HYPERLINK("https://klasma.github.io/Logging_0580/fåglar/A 38886-2024 prioriterade fågelarter.docx", "A 38886-2024")</f>
        <v/>
      </c>
    </row>
    <row r="61" ht="15" customHeight="1">
      <c r="A61" t="inlineStr">
        <is>
          <t>A 26007-2025</t>
        </is>
      </c>
      <c r="B61" s="1" t="n">
        <v>45804</v>
      </c>
      <c r="C61" s="1" t="n">
        <v>46196</v>
      </c>
      <c r="D61" t="inlineStr">
        <is>
          <t>ÖSTERGÖTLANDS LÄN</t>
        </is>
      </c>
      <c r="E61" t="inlineStr">
        <is>
          <t>LINKÖPING</t>
        </is>
      </c>
      <c r="G61" t="n">
        <v>1.5</v>
      </c>
      <c r="H61" t="n">
        <v>0</v>
      </c>
      <c r="I61" t="n">
        <v>0</v>
      </c>
      <c r="J61" t="n">
        <v>2</v>
      </c>
      <c r="K61" t="n">
        <v>0</v>
      </c>
      <c r="L61" t="n">
        <v>0</v>
      </c>
      <c r="M61" t="n">
        <v>0</v>
      </c>
      <c r="N61" t="n">
        <v>0</v>
      </c>
      <c r="O61" t="n">
        <v>2</v>
      </c>
      <c r="P61" t="n">
        <v>0</v>
      </c>
      <c r="Q61" t="n">
        <v>2</v>
      </c>
      <c r="R61" s="2" t="inlineStr">
        <is>
          <t>Gul dropplav
Ängsskära</t>
        </is>
      </c>
      <c r="S61">
        <f>HYPERLINK("https://klasma.github.io/Logging_0580/artfynd/A 26007-2025 artfynd.xlsx", "A 26007-2025")</f>
        <v/>
      </c>
      <c r="T61">
        <f>HYPERLINK("https://klasma.github.io/Logging_0580/kartor/A 26007-2025 karta.png", "A 26007-2025")</f>
        <v/>
      </c>
      <c r="V61">
        <f>HYPERLINK("https://klasma.github.io/Logging_0580/klagomål/A 26007-2025 FSC-klagomål.docx", "A 26007-2025")</f>
        <v/>
      </c>
      <c r="W61">
        <f>HYPERLINK("https://klasma.github.io/Logging_0580/klagomålsmail/A 26007-2025 FSC-klagomål mail.docx", "A 26007-2025")</f>
        <v/>
      </c>
      <c r="X61">
        <f>HYPERLINK("https://klasma.github.io/Logging_0580/tillsyn/A 26007-2025 tillsynsbegäran.docx", "A 26007-2025")</f>
        <v/>
      </c>
      <c r="Y61">
        <f>HYPERLINK("https://klasma.github.io/Logging_0580/tillsynsmail/A 26007-2025 tillsynsbegäran mail.docx", "A 26007-2025")</f>
        <v/>
      </c>
    </row>
    <row r="62" ht="15" customHeight="1">
      <c r="A62" t="inlineStr">
        <is>
          <t>A 44155-2024</t>
        </is>
      </c>
      <c r="B62" s="1" t="n">
        <v>45572</v>
      </c>
      <c r="C62" s="1" t="n">
        <v>46196</v>
      </c>
      <c r="D62" t="inlineStr">
        <is>
          <t>ÖSTERGÖTLANDS LÄN</t>
        </is>
      </c>
      <c r="E62" t="inlineStr">
        <is>
          <t>LINKÖPING</t>
        </is>
      </c>
      <c r="G62" t="n">
        <v>1.8</v>
      </c>
      <c r="H62" t="n">
        <v>0</v>
      </c>
      <c r="I62" t="n">
        <v>2</v>
      </c>
      <c r="J62" t="n">
        <v>0</v>
      </c>
      <c r="K62" t="n">
        <v>0</v>
      </c>
      <c r="L62" t="n">
        <v>0</v>
      </c>
      <c r="M62" t="n">
        <v>0</v>
      </c>
      <c r="N62" t="n">
        <v>0</v>
      </c>
      <c r="O62" t="n">
        <v>0</v>
      </c>
      <c r="P62" t="n">
        <v>0</v>
      </c>
      <c r="Q62" t="n">
        <v>2</v>
      </c>
      <c r="R62" s="2" t="inlineStr">
        <is>
          <t>Dolkstekelsglasvinge
Sotlav</t>
        </is>
      </c>
      <c r="S62">
        <f>HYPERLINK("https://klasma.github.io/Logging_0580/artfynd/A 44155-2024 artfynd.xlsx", "A 44155-2024")</f>
        <v/>
      </c>
      <c r="T62">
        <f>HYPERLINK("https://klasma.github.io/Logging_0580/kartor/A 44155-2024 karta.png", "A 44155-2024")</f>
        <v/>
      </c>
      <c r="V62">
        <f>HYPERLINK("https://klasma.github.io/Logging_0580/klagomål/A 44155-2024 FSC-klagomål.docx", "A 44155-2024")</f>
        <v/>
      </c>
      <c r="W62">
        <f>HYPERLINK("https://klasma.github.io/Logging_0580/klagomålsmail/A 44155-2024 FSC-klagomål mail.docx", "A 44155-2024")</f>
        <v/>
      </c>
      <c r="X62">
        <f>HYPERLINK("https://klasma.github.io/Logging_0580/tillsyn/A 44155-2024 tillsynsbegäran.docx", "A 44155-2024")</f>
        <v/>
      </c>
      <c r="Y62">
        <f>HYPERLINK("https://klasma.github.io/Logging_0580/tillsynsmail/A 44155-2024 tillsynsbegäran mail.docx", "A 44155-2024")</f>
        <v/>
      </c>
    </row>
    <row r="63" ht="15" customHeight="1">
      <c r="A63" t="inlineStr">
        <is>
          <t>A 22833-2023</t>
        </is>
      </c>
      <c r="B63" s="1" t="n">
        <v>45071</v>
      </c>
      <c r="C63" s="1" t="n">
        <v>46196</v>
      </c>
      <c r="D63" t="inlineStr">
        <is>
          <t>ÖSTERGÖTLANDS LÄN</t>
        </is>
      </c>
      <c r="E63" t="inlineStr">
        <is>
          <t>LINKÖPING</t>
        </is>
      </c>
      <c r="F63" t="inlineStr">
        <is>
          <t>Kommuner</t>
        </is>
      </c>
      <c r="G63" t="n">
        <v>1</v>
      </c>
      <c r="H63" t="n">
        <v>1</v>
      </c>
      <c r="I63" t="n">
        <v>1</v>
      </c>
      <c r="J63" t="n">
        <v>0</v>
      </c>
      <c r="K63" t="n">
        <v>0</v>
      </c>
      <c r="L63" t="n">
        <v>1</v>
      </c>
      <c r="M63" t="n">
        <v>0</v>
      </c>
      <c r="N63" t="n">
        <v>0</v>
      </c>
      <c r="O63" t="n">
        <v>1</v>
      </c>
      <c r="P63" t="n">
        <v>1</v>
      </c>
      <c r="Q63" t="n">
        <v>2</v>
      </c>
      <c r="R63" s="2" t="inlineStr">
        <is>
          <t>Bombmurkla
Trådticka</t>
        </is>
      </c>
      <c r="S63">
        <f>HYPERLINK("https://klasma.github.io/Logging_0580/artfynd/A 22833-2023 artfynd.xlsx", "A 22833-2023")</f>
        <v/>
      </c>
      <c r="T63">
        <f>HYPERLINK("https://klasma.github.io/Logging_0580/kartor/A 22833-2023 karta.png", "A 22833-2023")</f>
        <v/>
      </c>
      <c r="V63">
        <f>HYPERLINK("https://klasma.github.io/Logging_0580/klagomål/A 22833-2023 FSC-klagomål.docx", "A 22833-2023")</f>
        <v/>
      </c>
      <c r="W63">
        <f>HYPERLINK("https://klasma.github.io/Logging_0580/klagomålsmail/A 22833-2023 FSC-klagomål mail.docx", "A 22833-2023")</f>
        <v/>
      </c>
      <c r="X63">
        <f>HYPERLINK("https://klasma.github.io/Logging_0580/tillsyn/A 22833-2023 tillsynsbegäran.docx", "A 22833-2023")</f>
        <v/>
      </c>
      <c r="Y63">
        <f>HYPERLINK("https://klasma.github.io/Logging_0580/tillsynsmail/A 22833-2023 tillsynsbegäran mail.docx", "A 22833-2023")</f>
        <v/>
      </c>
    </row>
    <row r="64" ht="15" customHeight="1">
      <c r="A64" t="inlineStr">
        <is>
          <t>A 8818-2025</t>
        </is>
      </c>
      <c r="B64" s="1" t="n">
        <v>45712</v>
      </c>
      <c r="C64" s="1" t="n">
        <v>46196</v>
      </c>
      <c r="D64" t="inlineStr">
        <is>
          <t>ÖSTERGÖTLANDS LÄN</t>
        </is>
      </c>
      <c r="E64" t="inlineStr">
        <is>
          <t>LINKÖPING</t>
        </is>
      </c>
      <c r="F64" t="inlineStr">
        <is>
          <t>Kommuner</t>
        </is>
      </c>
      <c r="G64" t="n">
        <v>0.6</v>
      </c>
      <c r="H64" t="n">
        <v>0</v>
      </c>
      <c r="I64" t="n">
        <v>0</v>
      </c>
      <c r="J64" t="n">
        <v>2</v>
      </c>
      <c r="K64" t="n">
        <v>0</v>
      </c>
      <c r="L64" t="n">
        <v>0</v>
      </c>
      <c r="M64" t="n">
        <v>0</v>
      </c>
      <c r="N64" t="n">
        <v>0</v>
      </c>
      <c r="O64" t="n">
        <v>2</v>
      </c>
      <c r="P64" t="n">
        <v>0</v>
      </c>
      <c r="Q64" t="n">
        <v>2</v>
      </c>
      <c r="R64" s="2" t="inlineStr">
        <is>
          <t>Klubbsprötad bastardsvärmare
Luddvicker</t>
        </is>
      </c>
      <c r="S64">
        <f>HYPERLINK("https://klasma.github.io/Logging_0580/artfynd/A 8818-2025 artfynd.xlsx", "A 8818-2025")</f>
        <v/>
      </c>
      <c r="T64">
        <f>HYPERLINK("https://klasma.github.io/Logging_0580/kartor/A 8818-2025 karta.png", "A 8818-2025")</f>
        <v/>
      </c>
      <c r="V64">
        <f>HYPERLINK("https://klasma.github.io/Logging_0580/klagomål/A 8818-2025 FSC-klagomål.docx", "A 8818-2025")</f>
        <v/>
      </c>
      <c r="W64">
        <f>HYPERLINK("https://klasma.github.io/Logging_0580/klagomålsmail/A 8818-2025 FSC-klagomål mail.docx", "A 8818-2025")</f>
        <v/>
      </c>
      <c r="X64">
        <f>HYPERLINK("https://klasma.github.io/Logging_0580/tillsyn/A 8818-2025 tillsynsbegäran.docx", "A 8818-2025")</f>
        <v/>
      </c>
      <c r="Y64">
        <f>HYPERLINK("https://klasma.github.io/Logging_0580/tillsynsmail/A 8818-2025 tillsynsbegäran mail.docx", "A 8818-2025")</f>
        <v/>
      </c>
    </row>
    <row r="65" ht="15" customHeight="1">
      <c r="A65" t="inlineStr">
        <is>
          <t>A 59674-2024</t>
        </is>
      </c>
      <c r="B65" s="1" t="n">
        <v>45639</v>
      </c>
      <c r="C65" s="1" t="n">
        <v>46196</v>
      </c>
      <c r="D65" t="inlineStr">
        <is>
          <t>ÖSTERGÖTLANDS LÄN</t>
        </is>
      </c>
      <c r="E65" t="inlineStr">
        <is>
          <t>LINKÖPING</t>
        </is>
      </c>
      <c r="G65" t="n">
        <v>6.3</v>
      </c>
      <c r="H65" t="n">
        <v>0</v>
      </c>
      <c r="I65" t="n">
        <v>1</v>
      </c>
      <c r="J65" t="n">
        <v>1</v>
      </c>
      <c r="K65" t="n">
        <v>0</v>
      </c>
      <c r="L65" t="n">
        <v>0</v>
      </c>
      <c r="M65" t="n">
        <v>0</v>
      </c>
      <c r="N65" t="n">
        <v>0</v>
      </c>
      <c r="O65" t="n">
        <v>1</v>
      </c>
      <c r="P65" t="n">
        <v>0</v>
      </c>
      <c r="Q65" t="n">
        <v>2</v>
      </c>
      <c r="R65" s="2" t="inlineStr">
        <is>
          <t>Rödbrun blekspik
Brun nållav</t>
        </is>
      </c>
      <c r="S65">
        <f>HYPERLINK("https://klasma.github.io/Logging_0580/artfynd/A 59674-2024 artfynd.xlsx", "A 59674-2024")</f>
        <v/>
      </c>
      <c r="T65">
        <f>HYPERLINK("https://klasma.github.io/Logging_0580/kartor/A 59674-2024 karta.png", "A 59674-2024")</f>
        <v/>
      </c>
      <c r="V65">
        <f>HYPERLINK("https://klasma.github.io/Logging_0580/klagomål/A 59674-2024 FSC-klagomål.docx", "A 59674-2024")</f>
        <v/>
      </c>
      <c r="W65">
        <f>HYPERLINK("https://klasma.github.io/Logging_0580/klagomålsmail/A 59674-2024 FSC-klagomål mail.docx", "A 59674-2024")</f>
        <v/>
      </c>
      <c r="X65">
        <f>HYPERLINK("https://klasma.github.io/Logging_0580/tillsyn/A 59674-2024 tillsynsbegäran.docx", "A 59674-2024")</f>
        <v/>
      </c>
      <c r="Y65">
        <f>HYPERLINK("https://klasma.github.io/Logging_0580/tillsynsmail/A 59674-2024 tillsynsbegäran mail.docx", "A 59674-2024")</f>
        <v/>
      </c>
    </row>
    <row r="66" ht="15" customHeight="1">
      <c r="A66" t="inlineStr">
        <is>
          <t>A 15290-2025</t>
        </is>
      </c>
      <c r="B66" s="1" t="n">
        <v>45745</v>
      </c>
      <c r="C66" s="1" t="n">
        <v>46196</v>
      </c>
      <c r="D66" t="inlineStr">
        <is>
          <t>ÖSTERGÖTLANDS LÄN</t>
        </is>
      </c>
      <c r="E66" t="inlineStr">
        <is>
          <t>LINKÖPING</t>
        </is>
      </c>
      <c r="G66" t="n">
        <v>18.4</v>
      </c>
      <c r="H66" t="n">
        <v>1</v>
      </c>
      <c r="I66" t="n">
        <v>0</v>
      </c>
      <c r="J66" t="n">
        <v>1</v>
      </c>
      <c r="K66" t="n">
        <v>0</v>
      </c>
      <c r="L66" t="n">
        <v>0</v>
      </c>
      <c r="M66" t="n">
        <v>0</v>
      </c>
      <c r="N66" t="n">
        <v>0</v>
      </c>
      <c r="O66" t="n">
        <v>1</v>
      </c>
      <c r="P66" t="n">
        <v>0</v>
      </c>
      <c r="Q66" t="n">
        <v>2</v>
      </c>
      <c r="R66" s="2" t="inlineStr">
        <is>
          <t>Storgröe
Havsörn</t>
        </is>
      </c>
      <c r="S66">
        <f>HYPERLINK("https://klasma.github.io/Logging_0580/artfynd/A 15290-2025 artfynd.xlsx", "A 15290-2025")</f>
        <v/>
      </c>
      <c r="T66">
        <f>HYPERLINK("https://klasma.github.io/Logging_0580/kartor/A 15290-2025 karta.png", "A 15290-2025")</f>
        <v/>
      </c>
      <c r="V66">
        <f>HYPERLINK("https://klasma.github.io/Logging_0580/klagomål/A 15290-2025 FSC-klagomål.docx", "A 15290-2025")</f>
        <v/>
      </c>
      <c r="W66">
        <f>HYPERLINK("https://klasma.github.io/Logging_0580/klagomålsmail/A 15290-2025 FSC-klagomål mail.docx", "A 15290-2025")</f>
        <v/>
      </c>
      <c r="X66">
        <f>HYPERLINK("https://klasma.github.io/Logging_0580/tillsyn/A 15290-2025 tillsynsbegäran.docx", "A 15290-2025")</f>
        <v/>
      </c>
      <c r="Y66">
        <f>HYPERLINK("https://klasma.github.io/Logging_0580/tillsynsmail/A 15290-2025 tillsynsbegäran mail.docx", "A 15290-2025")</f>
        <v/>
      </c>
      <c r="Z66">
        <f>HYPERLINK("https://klasma.github.io/Logging_0580/fåglar/A 15290-2025 prioriterade fågelarter.docx", "A 15290-2025")</f>
        <v/>
      </c>
    </row>
    <row r="67" ht="15" customHeight="1">
      <c r="A67" t="inlineStr">
        <is>
          <t>A 48298-2025</t>
        </is>
      </c>
      <c r="B67" s="1" t="n">
        <v>45932</v>
      </c>
      <c r="C67" s="1" t="n">
        <v>46196</v>
      </c>
      <c r="D67" t="inlineStr">
        <is>
          <t>ÖSTERGÖTLANDS LÄN</t>
        </is>
      </c>
      <c r="E67" t="inlineStr">
        <is>
          <t>LINKÖPING</t>
        </is>
      </c>
      <c r="F67" t="inlineStr">
        <is>
          <t>Övriga Aktiebolag</t>
        </is>
      </c>
      <c r="G67" t="n">
        <v>1.7</v>
      </c>
      <c r="H67" t="n">
        <v>1</v>
      </c>
      <c r="I67" t="n">
        <v>1</v>
      </c>
      <c r="J67" t="n">
        <v>0</v>
      </c>
      <c r="K67" t="n">
        <v>0</v>
      </c>
      <c r="L67" t="n">
        <v>1</v>
      </c>
      <c r="M67" t="n">
        <v>0</v>
      </c>
      <c r="N67" t="n">
        <v>0</v>
      </c>
      <c r="O67" t="n">
        <v>1</v>
      </c>
      <c r="P67" t="n">
        <v>1</v>
      </c>
      <c r="Q67" t="n">
        <v>2</v>
      </c>
      <c r="R67" s="2" t="inlineStr">
        <is>
          <t>Bombmurkla
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15844-2026</t>
        </is>
      </c>
      <c r="B68" s="1" t="n">
        <v>46107</v>
      </c>
      <c r="C68" s="1" t="n">
        <v>46196</v>
      </c>
      <c r="D68" t="inlineStr">
        <is>
          <t>ÖSTERGÖTLANDS LÄN</t>
        </is>
      </c>
      <c r="E68" t="inlineStr">
        <is>
          <t>LINKÖPING</t>
        </is>
      </c>
      <c r="F68" t="inlineStr">
        <is>
          <t>Sveaskog</t>
        </is>
      </c>
      <c r="G68" t="n">
        <v>10.6</v>
      </c>
      <c r="H68" t="n">
        <v>0</v>
      </c>
      <c r="I68" t="n">
        <v>2</v>
      </c>
      <c r="J68" t="n">
        <v>0</v>
      </c>
      <c r="K68" t="n">
        <v>0</v>
      </c>
      <c r="L68" t="n">
        <v>0</v>
      </c>
      <c r="M68" t="n">
        <v>0</v>
      </c>
      <c r="N68" t="n">
        <v>0</v>
      </c>
      <c r="O68" t="n">
        <v>0</v>
      </c>
      <c r="P68" t="n">
        <v>0</v>
      </c>
      <c r="Q68" t="n">
        <v>2</v>
      </c>
      <c r="R68" s="2" t="inlineStr">
        <is>
          <t>Fällmossa
Toppvaxing</t>
        </is>
      </c>
      <c r="S68">
        <f>HYPERLINK("https://klasma.github.io/Logging_0580/artfynd/A 15844-2026 artfynd.xlsx", "A 15844-2026")</f>
        <v/>
      </c>
      <c r="T68">
        <f>HYPERLINK("https://klasma.github.io/Logging_0580/kartor/A 15844-2026 karta.png", "A 15844-2026")</f>
        <v/>
      </c>
      <c r="V68">
        <f>HYPERLINK("https://klasma.github.io/Logging_0580/klagomål/A 15844-2026 FSC-klagomål.docx", "A 15844-2026")</f>
        <v/>
      </c>
      <c r="W68">
        <f>HYPERLINK("https://klasma.github.io/Logging_0580/klagomålsmail/A 15844-2026 FSC-klagomål mail.docx", "A 15844-2026")</f>
        <v/>
      </c>
      <c r="X68">
        <f>HYPERLINK("https://klasma.github.io/Logging_0580/tillsyn/A 15844-2026 tillsynsbegäran.docx", "A 15844-2026")</f>
        <v/>
      </c>
      <c r="Y68">
        <f>HYPERLINK("https://klasma.github.io/Logging_0580/tillsynsmail/A 15844-2026 tillsynsbegäran mail.docx", "A 15844-2026")</f>
        <v/>
      </c>
    </row>
    <row r="69" ht="15" customHeight="1">
      <c r="A69" t="inlineStr">
        <is>
          <t>A 25900-2026</t>
        </is>
      </c>
      <c r="B69" s="1" t="n">
        <v>46178</v>
      </c>
      <c r="C69" s="1" t="n">
        <v>46196</v>
      </c>
      <c r="D69" t="inlineStr">
        <is>
          <t>ÖSTERGÖTLANDS LÄN</t>
        </is>
      </c>
      <c r="E69" t="inlineStr">
        <is>
          <t>LINKÖPING</t>
        </is>
      </c>
      <c r="G69" t="n">
        <v>3.7</v>
      </c>
      <c r="H69" t="n">
        <v>1</v>
      </c>
      <c r="I69" t="n">
        <v>1</v>
      </c>
      <c r="J69" t="n">
        <v>0</v>
      </c>
      <c r="K69" t="n">
        <v>1</v>
      </c>
      <c r="L69" t="n">
        <v>0</v>
      </c>
      <c r="M69" t="n">
        <v>0</v>
      </c>
      <c r="N69" t="n">
        <v>0</v>
      </c>
      <c r="O69" t="n">
        <v>1</v>
      </c>
      <c r="P69" t="n">
        <v>1</v>
      </c>
      <c r="Q69" t="n">
        <v>2</v>
      </c>
      <c r="R69" s="2" t="inlineStr">
        <is>
          <t>Lungrot
Skogsknipprot</t>
        </is>
      </c>
      <c r="S69">
        <f>HYPERLINK("https://klasma.github.io/Logging_0580/artfynd/A 25900-2026 artfynd.xlsx", "A 25900-2026")</f>
        <v/>
      </c>
      <c r="T69">
        <f>HYPERLINK("https://klasma.github.io/Logging_0580/kartor/A 25900-2026 karta.png", "A 25900-2026")</f>
        <v/>
      </c>
      <c r="V69">
        <f>HYPERLINK("https://klasma.github.io/Logging_0580/klagomål/A 25900-2026 FSC-klagomål.docx", "A 25900-2026")</f>
        <v/>
      </c>
      <c r="W69">
        <f>HYPERLINK("https://klasma.github.io/Logging_0580/klagomålsmail/A 25900-2026 FSC-klagomål mail.docx", "A 25900-2026")</f>
        <v/>
      </c>
      <c r="X69">
        <f>HYPERLINK("https://klasma.github.io/Logging_0580/tillsyn/A 25900-2026 tillsynsbegäran.docx", "A 25900-2026")</f>
        <v/>
      </c>
      <c r="Y69">
        <f>HYPERLINK("https://klasma.github.io/Logging_0580/tillsynsmail/A 25900-2026 tillsynsbegäran mail.docx", "A 25900-2026")</f>
        <v/>
      </c>
    </row>
    <row r="70" ht="15" customHeight="1">
      <c r="A70" t="inlineStr">
        <is>
          <t>A 5911-2022</t>
        </is>
      </c>
      <c r="B70" s="1" t="n">
        <v>44597</v>
      </c>
      <c r="C70" s="1" t="n">
        <v>46196</v>
      </c>
      <c r="D70" t="inlineStr">
        <is>
          <t>ÖSTERGÖTLANDS LÄN</t>
        </is>
      </c>
      <c r="E70" t="inlineStr">
        <is>
          <t>LINKÖPING</t>
        </is>
      </c>
      <c r="G70" t="n">
        <v>3.5</v>
      </c>
      <c r="H70" t="n">
        <v>1</v>
      </c>
      <c r="I70" t="n">
        <v>1</v>
      </c>
      <c r="J70" t="n">
        <v>1</v>
      </c>
      <c r="K70" t="n">
        <v>0</v>
      </c>
      <c r="L70" t="n">
        <v>0</v>
      </c>
      <c r="M70" t="n">
        <v>0</v>
      </c>
      <c r="N70" t="n">
        <v>0</v>
      </c>
      <c r="O70" t="n">
        <v>1</v>
      </c>
      <c r="P70" t="n">
        <v>0</v>
      </c>
      <c r="Q70" t="n">
        <v>2</v>
      </c>
      <c r="R70" s="2" t="inlineStr">
        <is>
          <t>Spindelört
Ekoxe</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22074-2026</t>
        </is>
      </c>
      <c r="B71" s="1" t="n">
        <v>46153</v>
      </c>
      <c r="C71" s="1" t="n">
        <v>46196</v>
      </c>
      <c r="D71" t="inlineStr">
        <is>
          <t>ÖSTERGÖTLANDS LÄN</t>
        </is>
      </c>
      <c r="E71" t="inlineStr">
        <is>
          <t>LINKÖPING</t>
        </is>
      </c>
      <c r="G71" t="n">
        <v>1.9</v>
      </c>
      <c r="H71" t="n">
        <v>0</v>
      </c>
      <c r="I71" t="n">
        <v>2</v>
      </c>
      <c r="J71" t="n">
        <v>0</v>
      </c>
      <c r="K71" t="n">
        <v>0</v>
      </c>
      <c r="L71" t="n">
        <v>0</v>
      </c>
      <c r="M71" t="n">
        <v>0</v>
      </c>
      <c r="N71" t="n">
        <v>0</v>
      </c>
      <c r="O71" t="n">
        <v>0</v>
      </c>
      <c r="P71" t="n">
        <v>0</v>
      </c>
      <c r="Q71" t="n">
        <v>2</v>
      </c>
      <c r="R71" s="2" t="inlineStr">
        <is>
          <t>Blomkålssvamp
Mandelriska</t>
        </is>
      </c>
      <c r="S71">
        <f>HYPERLINK("https://klasma.github.io/Logging_0580/artfynd/A 22074-2026 artfynd.xlsx", "A 22074-2026")</f>
        <v/>
      </c>
      <c r="T71">
        <f>HYPERLINK("https://klasma.github.io/Logging_0580/kartor/A 22074-2026 karta.png", "A 22074-2026")</f>
        <v/>
      </c>
      <c r="V71">
        <f>HYPERLINK("https://klasma.github.io/Logging_0580/klagomål/A 22074-2026 FSC-klagomål.docx", "A 22074-2026")</f>
        <v/>
      </c>
      <c r="W71">
        <f>HYPERLINK("https://klasma.github.io/Logging_0580/klagomålsmail/A 22074-2026 FSC-klagomål mail.docx", "A 22074-2026")</f>
        <v/>
      </c>
      <c r="X71">
        <f>HYPERLINK("https://klasma.github.io/Logging_0580/tillsyn/A 22074-2026 tillsynsbegäran.docx", "A 22074-2026")</f>
        <v/>
      </c>
      <c r="Y71">
        <f>HYPERLINK("https://klasma.github.io/Logging_0580/tillsynsmail/A 22074-2026 tillsynsbegäran mail.docx", "A 22074-2026")</f>
        <v/>
      </c>
    </row>
    <row r="72" ht="15" customHeight="1">
      <c r="A72" t="inlineStr">
        <is>
          <t>A 1268-2023</t>
        </is>
      </c>
      <c r="B72" s="1" t="n">
        <v>44936</v>
      </c>
      <c r="C72" s="1" t="n">
        <v>46196</v>
      </c>
      <c r="D72" t="inlineStr">
        <is>
          <t>ÖSTERGÖTLANDS LÄN</t>
        </is>
      </c>
      <c r="E72" t="inlineStr">
        <is>
          <t>LINKÖPING</t>
        </is>
      </c>
      <c r="G72" t="n">
        <v>4.6</v>
      </c>
      <c r="H72" t="n">
        <v>0</v>
      </c>
      <c r="I72" t="n">
        <v>2</v>
      </c>
      <c r="J72" t="n">
        <v>0</v>
      </c>
      <c r="K72" t="n">
        <v>0</v>
      </c>
      <c r="L72" t="n">
        <v>0</v>
      </c>
      <c r="M72" t="n">
        <v>0</v>
      </c>
      <c r="N72" t="n">
        <v>0</v>
      </c>
      <c r="O72" t="n">
        <v>0</v>
      </c>
      <c r="P72" t="n">
        <v>0</v>
      </c>
      <c r="Q72" t="n">
        <v>2</v>
      </c>
      <c r="R72" s="2" t="inlineStr">
        <is>
          <t>Brun nållav
Gulpudrad spiklav</t>
        </is>
      </c>
      <c r="S72">
        <f>HYPERLINK("https://klasma.github.io/Logging_0580/artfynd/A 1268-2023 artfynd.xlsx", "A 1268-2023")</f>
        <v/>
      </c>
      <c r="T72">
        <f>HYPERLINK("https://klasma.github.io/Logging_0580/kartor/A 1268-2023 karta.png", "A 1268-2023")</f>
        <v/>
      </c>
      <c r="V72">
        <f>HYPERLINK("https://klasma.github.io/Logging_0580/klagomål/A 1268-2023 FSC-klagomål.docx", "A 1268-2023")</f>
        <v/>
      </c>
      <c r="W72">
        <f>HYPERLINK("https://klasma.github.io/Logging_0580/klagomålsmail/A 1268-2023 FSC-klagomål mail.docx", "A 1268-2023")</f>
        <v/>
      </c>
      <c r="X72">
        <f>HYPERLINK("https://klasma.github.io/Logging_0580/tillsyn/A 1268-2023 tillsynsbegäran.docx", "A 1268-2023")</f>
        <v/>
      </c>
      <c r="Y72">
        <f>HYPERLINK("https://klasma.github.io/Logging_0580/tillsynsmail/A 1268-2023 tillsynsbegäran mail.docx", "A 1268-2023")</f>
        <v/>
      </c>
    </row>
    <row r="73" ht="15" customHeight="1">
      <c r="A73" t="inlineStr">
        <is>
          <t>A 58068-2021</t>
        </is>
      </c>
      <c r="B73" s="1" t="n">
        <v>44487</v>
      </c>
      <c r="C73" s="1" t="n">
        <v>46196</v>
      </c>
      <c r="D73" t="inlineStr">
        <is>
          <t>ÖSTERGÖTLANDS LÄN</t>
        </is>
      </c>
      <c r="E73" t="inlineStr">
        <is>
          <t>LINKÖPING</t>
        </is>
      </c>
      <c r="F73" t="inlineStr">
        <is>
          <t>Övriga Aktiebolag</t>
        </is>
      </c>
      <c r="G73" t="n">
        <v>1.2</v>
      </c>
      <c r="H73" t="n">
        <v>0</v>
      </c>
      <c r="I73" t="n">
        <v>0</v>
      </c>
      <c r="J73" t="n">
        <v>2</v>
      </c>
      <c r="K73" t="n">
        <v>0</v>
      </c>
      <c r="L73" t="n">
        <v>0</v>
      </c>
      <c r="M73" t="n">
        <v>0</v>
      </c>
      <c r="N73" t="n">
        <v>0</v>
      </c>
      <c r="O73" t="n">
        <v>2</v>
      </c>
      <c r="P73" t="n">
        <v>0</v>
      </c>
      <c r="Q73" t="n">
        <v>2</v>
      </c>
      <c r="R73" s="2" t="inlineStr">
        <is>
          <t>Rödbrun blekspik
Skuggorangelav</t>
        </is>
      </c>
      <c r="S73">
        <f>HYPERLINK("https://klasma.github.io/Logging_0580/artfynd/A 58068-2021 artfynd.xlsx", "A 58068-2021")</f>
        <v/>
      </c>
      <c r="T73">
        <f>HYPERLINK("https://klasma.github.io/Logging_0580/kartor/A 58068-2021 karta.png", "A 58068-2021")</f>
        <v/>
      </c>
      <c r="V73">
        <f>HYPERLINK("https://klasma.github.io/Logging_0580/klagomål/A 58068-2021 FSC-klagomål.docx", "A 58068-2021")</f>
        <v/>
      </c>
      <c r="W73">
        <f>HYPERLINK("https://klasma.github.io/Logging_0580/klagomålsmail/A 58068-2021 FSC-klagomål mail.docx", "A 58068-2021")</f>
        <v/>
      </c>
      <c r="X73">
        <f>HYPERLINK("https://klasma.github.io/Logging_0580/tillsyn/A 58068-2021 tillsynsbegäran.docx", "A 58068-2021")</f>
        <v/>
      </c>
      <c r="Y73">
        <f>HYPERLINK("https://klasma.github.io/Logging_0580/tillsynsmail/A 58068-2021 tillsynsbegäran mail.docx", "A 58068-2021")</f>
        <v/>
      </c>
    </row>
    <row r="74" ht="15" customHeight="1">
      <c r="A74" t="inlineStr">
        <is>
          <t>A 24904-2024</t>
        </is>
      </c>
      <c r="B74" s="1" t="n">
        <v>45461</v>
      </c>
      <c r="C74" s="1" t="n">
        <v>46196</v>
      </c>
      <c r="D74" t="inlineStr">
        <is>
          <t>ÖSTERGÖTLANDS LÄN</t>
        </is>
      </c>
      <c r="E74" t="inlineStr">
        <is>
          <t>LINKÖPING</t>
        </is>
      </c>
      <c r="G74" t="n">
        <v>3.8</v>
      </c>
      <c r="H74" t="n">
        <v>0</v>
      </c>
      <c r="I74" t="n">
        <v>0</v>
      </c>
      <c r="J74" t="n">
        <v>2</v>
      </c>
      <c r="K74" t="n">
        <v>0</v>
      </c>
      <c r="L74" t="n">
        <v>0</v>
      </c>
      <c r="M74" t="n">
        <v>0</v>
      </c>
      <c r="N74" t="n">
        <v>0</v>
      </c>
      <c r="O74" t="n">
        <v>2</v>
      </c>
      <c r="P74" t="n">
        <v>0</v>
      </c>
      <c r="Q74" t="n">
        <v>2</v>
      </c>
      <c r="R74" s="2" t="inlineStr">
        <is>
          <t>Solvända
Svinrot</t>
        </is>
      </c>
      <c r="S74">
        <f>HYPERLINK("https://klasma.github.io/Logging_0580/artfynd/A 24904-2024 artfynd.xlsx", "A 24904-2024")</f>
        <v/>
      </c>
      <c r="T74">
        <f>HYPERLINK("https://klasma.github.io/Logging_0580/kartor/A 24904-2024 karta.png", "A 24904-2024")</f>
        <v/>
      </c>
      <c r="V74">
        <f>HYPERLINK("https://klasma.github.io/Logging_0580/klagomål/A 24904-2024 FSC-klagomål.docx", "A 24904-2024")</f>
        <v/>
      </c>
      <c r="W74">
        <f>HYPERLINK("https://klasma.github.io/Logging_0580/klagomålsmail/A 24904-2024 FSC-klagomål mail.docx", "A 24904-2024")</f>
        <v/>
      </c>
      <c r="X74">
        <f>HYPERLINK("https://klasma.github.io/Logging_0580/tillsyn/A 24904-2024 tillsynsbegäran.docx", "A 24904-2024")</f>
        <v/>
      </c>
      <c r="Y74">
        <f>HYPERLINK("https://klasma.github.io/Logging_0580/tillsynsmail/A 24904-2024 tillsynsbegäran mail.docx", "A 24904-2024")</f>
        <v/>
      </c>
    </row>
    <row r="75" ht="15" customHeight="1">
      <c r="A75" t="inlineStr">
        <is>
          <t>A 34881-2023</t>
        </is>
      </c>
      <c r="B75" s="1" t="n">
        <v>45140</v>
      </c>
      <c r="C75" s="1" t="n">
        <v>46196</v>
      </c>
      <c r="D75" t="inlineStr">
        <is>
          <t>ÖSTERGÖTLANDS LÄN</t>
        </is>
      </c>
      <c r="E75" t="inlineStr">
        <is>
          <t>LINKÖPING</t>
        </is>
      </c>
      <c r="G75" t="n">
        <v>1.9</v>
      </c>
      <c r="H75" t="n">
        <v>1</v>
      </c>
      <c r="I75" t="n">
        <v>0</v>
      </c>
      <c r="J75" t="n">
        <v>1</v>
      </c>
      <c r="K75" t="n">
        <v>0</v>
      </c>
      <c r="L75" t="n">
        <v>0</v>
      </c>
      <c r="M75" t="n">
        <v>0</v>
      </c>
      <c r="N75" t="n">
        <v>0</v>
      </c>
      <c r="O75" t="n">
        <v>1</v>
      </c>
      <c r="P75" t="n">
        <v>0</v>
      </c>
      <c r="Q75" t="n">
        <v>2</v>
      </c>
      <c r="R75" s="2" t="inlineStr">
        <is>
          <t>Tallticka
Kopparödla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49188-2024</t>
        </is>
      </c>
      <c r="B76" s="1" t="n">
        <v>45595</v>
      </c>
      <c r="C76" s="1" t="n">
        <v>46196</v>
      </c>
      <c r="D76" t="inlineStr">
        <is>
          <t>ÖSTERGÖTLANDS LÄN</t>
        </is>
      </c>
      <c r="E76" t="inlineStr">
        <is>
          <t>LINKÖPING</t>
        </is>
      </c>
      <c r="G76" t="n">
        <v>3.1</v>
      </c>
      <c r="H76" t="n">
        <v>0</v>
      </c>
      <c r="I76" t="n">
        <v>0</v>
      </c>
      <c r="J76" t="n">
        <v>0</v>
      </c>
      <c r="K76" t="n">
        <v>0</v>
      </c>
      <c r="L76" t="n">
        <v>2</v>
      </c>
      <c r="M76" t="n">
        <v>0</v>
      </c>
      <c r="N76" t="n">
        <v>0</v>
      </c>
      <c r="O76" t="n">
        <v>2</v>
      </c>
      <c r="P76" t="n">
        <v>2</v>
      </c>
      <c r="Q76" t="n">
        <v>2</v>
      </c>
      <c r="R76" s="2" t="inlineStr">
        <is>
          <t>Ask
Skogsalm</t>
        </is>
      </c>
      <c r="S76">
        <f>HYPERLINK("https://klasma.github.io/Logging_0580/artfynd/A 49188-2024 artfynd.xlsx", "A 49188-2024")</f>
        <v/>
      </c>
      <c r="T76">
        <f>HYPERLINK("https://klasma.github.io/Logging_0580/kartor/A 49188-2024 karta.png", "A 49188-2024")</f>
        <v/>
      </c>
      <c r="V76">
        <f>HYPERLINK("https://klasma.github.io/Logging_0580/klagomål/A 49188-2024 FSC-klagomål.docx", "A 49188-2024")</f>
        <v/>
      </c>
      <c r="W76">
        <f>HYPERLINK("https://klasma.github.io/Logging_0580/klagomålsmail/A 49188-2024 FSC-klagomål mail.docx", "A 49188-2024")</f>
        <v/>
      </c>
      <c r="X76">
        <f>HYPERLINK("https://klasma.github.io/Logging_0580/tillsyn/A 49188-2024 tillsynsbegäran.docx", "A 49188-2024")</f>
        <v/>
      </c>
      <c r="Y76">
        <f>HYPERLINK("https://klasma.github.io/Logging_0580/tillsynsmail/A 49188-2024 tillsynsbegäran mail.docx", "A 49188-2024")</f>
        <v/>
      </c>
    </row>
    <row r="77" ht="15" customHeight="1">
      <c r="A77" t="inlineStr">
        <is>
          <t>A 40309-2024</t>
        </is>
      </c>
      <c r="B77" s="1" t="n">
        <v>45554</v>
      </c>
      <c r="C77" s="1" t="n">
        <v>46196</v>
      </c>
      <c r="D77" t="inlineStr">
        <is>
          <t>ÖSTERGÖTLANDS LÄN</t>
        </is>
      </c>
      <c r="E77" t="inlineStr">
        <is>
          <t>LINKÖPING</t>
        </is>
      </c>
      <c r="F77" t="inlineStr">
        <is>
          <t>Allmännings- och besparingsskogar</t>
        </is>
      </c>
      <c r="G77" t="n">
        <v>6</v>
      </c>
      <c r="H77" t="n">
        <v>1</v>
      </c>
      <c r="I77" t="n">
        <v>0</v>
      </c>
      <c r="J77" t="n">
        <v>1</v>
      </c>
      <c r="K77" t="n">
        <v>0</v>
      </c>
      <c r="L77" t="n">
        <v>1</v>
      </c>
      <c r="M77" t="n">
        <v>0</v>
      </c>
      <c r="N77" t="n">
        <v>0</v>
      </c>
      <c r="O77" t="n">
        <v>2</v>
      </c>
      <c r="P77" t="n">
        <v>1</v>
      </c>
      <c r="Q77" t="n">
        <v>2</v>
      </c>
      <c r="R77" s="2" t="inlineStr">
        <is>
          <t>Almlav
Talltita</t>
        </is>
      </c>
      <c r="S77">
        <f>HYPERLINK("https://klasma.github.io/Logging_0580/artfynd/A 40309-2024 artfynd.xlsx", "A 40309-2024")</f>
        <v/>
      </c>
      <c r="T77">
        <f>HYPERLINK("https://klasma.github.io/Logging_0580/kartor/A 40309-2024 karta.png", "A 40309-2024")</f>
        <v/>
      </c>
      <c r="V77">
        <f>HYPERLINK("https://klasma.github.io/Logging_0580/klagomål/A 40309-2024 FSC-klagomål.docx", "A 40309-2024")</f>
        <v/>
      </c>
      <c r="W77">
        <f>HYPERLINK("https://klasma.github.io/Logging_0580/klagomålsmail/A 40309-2024 FSC-klagomål mail.docx", "A 40309-2024")</f>
        <v/>
      </c>
      <c r="X77">
        <f>HYPERLINK("https://klasma.github.io/Logging_0580/tillsyn/A 40309-2024 tillsynsbegäran.docx", "A 40309-2024")</f>
        <v/>
      </c>
      <c r="Y77">
        <f>HYPERLINK("https://klasma.github.io/Logging_0580/tillsynsmail/A 40309-2024 tillsynsbegäran mail.docx", "A 40309-2024")</f>
        <v/>
      </c>
      <c r="Z77">
        <f>HYPERLINK("https://klasma.github.io/Logging_0580/fåglar/A 40309-2024 prioriterade fågelarter.docx", "A 40309-2024")</f>
        <v/>
      </c>
    </row>
    <row r="78" ht="15" customHeight="1">
      <c r="A78" t="inlineStr">
        <is>
          <t>A 20297-2025</t>
        </is>
      </c>
      <c r="B78" s="1" t="n">
        <v>45774</v>
      </c>
      <c r="C78" s="1" t="n">
        <v>46196</v>
      </c>
      <c r="D78" t="inlineStr">
        <is>
          <t>ÖSTERGÖTLANDS LÄN</t>
        </is>
      </c>
      <c r="E78" t="inlineStr">
        <is>
          <t>LINKÖPING</t>
        </is>
      </c>
      <c r="G78" t="n">
        <v>1.5</v>
      </c>
      <c r="H78" t="n">
        <v>1</v>
      </c>
      <c r="I78" t="n">
        <v>1</v>
      </c>
      <c r="J78" t="n">
        <v>0</v>
      </c>
      <c r="K78" t="n">
        <v>0</v>
      </c>
      <c r="L78" t="n">
        <v>0</v>
      </c>
      <c r="M78" t="n">
        <v>0</v>
      </c>
      <c r="N78" t="n">
        <v>0</v>
      </c>
      <c r="O78" t="n">
        <v>0</v>
      </c>
      <c r="P78" t="n">
        <v>0</v>
      </c>
      <c r="Q78" t="n">
        <v>2</v>
      </c>
      <c r="R78" s="2" t="inlineStr">
        <is>
          <t>Blanksvart trämyra
Blåsippa</t>
        </is>
      </c>
      <c r="S78">
        <f>HYPERLINK("https://klasma.github.io/Logging_0580/artfynd/A 20297-2025 artfynd.xlsx", "A 20297-2025")</f>
        <v/>
      </c>
      <c r="T78">
        <f>HYPERLINK("https://klasma.github.io/Logging_0580/kartor/A 20297-2025 karta.png", "A 20297-2025")</f>
        <v/>
      </c>
      <c r="V78">
        <f>HYPERLINK("https://klasma.github.io/Logging_0580/klagomål/A 20297-2025 FSC-klagomål.docx", "A 20297-2025")</f>
        <v/>
      </c>
      <c r="W78">
        <f>HYPERLINK("https://klasma.github.io/Logging_0580/klagomålsmail/A 20297-2025 FSC-klagomål mail.docx", "A 20297-2025")</f>
        <v/>
      </c>
      <c r="X78">
        <f>HYPERLINK("https://klasma.github.io/Logging_0580/tillsyn/A 20297-2025 tillsynsbegäran.docx", "A 20297-2025")</f>
        <v/>
      </c>
      <c r="Y78">
        <f>HYPERLINK("https://klasma.github.io/Logging_0580/tillsynsmail/A 20297-2025 tillsynsbegäran mail.docx", "A 20297-2025")</f>
        <v/>
      </c>
    </row>
    <row r="79" ht="15" customHeight="1">
      <c r="A79" t="inlineStr">
        <is>
          <t>A 56741-2023</t>
        </is>
      </c>
      <c r="B79" s="1" t="n">
        <v>45244</v>
      </c>
      <c r="C79" s="1" t="n">
        <v>46196</v>
      </c>
      <c r="D79" t="inlineStr">
        <is>
          <t>ÖSTERGÖTLANDS LÄN</t>
        </is>
      </c>
      <c r="E79" t="inlineStr">
        <is>
          <t>LINKÖPING</t>
        </is>
      </c>
      <c r="F79" t="inlineStr">
        <is>
          <t>Övriga Aktiebolag</t>
        </is>
      </c>
      <c r="G79" t="n">
        <v>1.1</v>
      </c>
      <c r="H79" t="n">
        <v>0</v>
      </c>
      <c r="I79" t="n">
        <v>2</v>
      </c>
      <c r="J79" t="n">
        <v>0</v>
      </c>
      <c r="K79" t="n">
        <v>0</v>
      </c>
      <c r="L79" t="n">
        <v>0</v>
      </c>
      <c r="M79" t="n">
        <v>0</v>
      </c>
      <c r="N79" t="n">
        <v>0</v>
      </c>
      <c r="O79" t="n">
        <v>0</v>
      </c>
      <c r="P79" t="n">
        <v>0</v>
      </c>
      <c r="Q79" t="n">
        <v>2</v>
      </c>
      <c r="R79" s="2" t="inlineStr">
        <is>
          <t>Fällmossa
Guldlockmossa</t>
        </is>
      </c>
      <c r="S79">
        <f>HYPERLINK("https://klasma.github.io/Logging_0580/artfynd/A 56741-2023 artfynd.xlsx", "A 56741-2023")</f>
        <v/>
      </c>
      <c r="T79">
        <f>HYPERLINK("https://klasma.github.io/Logging_0580/kartor/A 56741-2023 karta.png", "A 56741-2023")</f>
        <v/>
      </c>
      <c r="V79">
        <f>HYPERLINK("https://klasma.github.io/Logging_0580/klagomål/A 56741-2023 FSC-klagomål.docx", "A 56741-2023")</f>
        <v/>
      </c>
      <c r="W79">
        <f>HYPERLINK("https://klasma.github.io/Logging_0580/klagomålsmail/A 56741-2023 FSC-klagomål mail.docx", "A 56741-2023")</f>
        <v/>
      </c>
      <c r="X79">
        <f>HYPERLINK("https://klasma.github.io/Logging_0580/tillsyn/A 56741-2023 tillsynsbegäran.docx", "A 56741-2023")</f>
        <v/>
      </c>
      <c r="Y79">
        <f>HYPERLINK("https://klasma.github.io/Logging_0580/tillsynsmail/A 56741-2023 tillsynsbegäran mail.docx", "A 56741-2023")</f>
        <v/>
      </c>
    </row>
    <row r="80" ht="15" customHeight="1">
      <c r="A80" t="inlineStr">
        <is>
          <t>A 1207-2023</t>
        </is>
      </c>
      <c r="B80" s="1" t="n">
        <v>44930</v>
      </c>
      <c r="C80" s="1" t="n">
        <v>46196</v>
      </c>
      <c r="D80" t="inlineStr">
        <is>
          <t>ÖSTERGÖTLANDS LÄN</t>
        </is>
      </c>
      <c r="E80" t="inlineStr">
        <is>
          <t>LINKÖPING</t>
        </is>
      </c>
      <c r="F80" t="inlineStr">
        <is>
          <t>Övriga statliga verk och myndigheter</t>
        </is>
      </c>
      <c r="G80" t="n">
        <v>32.8</v>
      </c>
      <c r="H80" t="n">
        <v>0</v>
      </c>
      <c r="I80" t="n">
        <v>1</v>
      </c>
      <c r="J80" t="n">
        <v>1</v>
      </c>
      <c r="K80" t="n">
        <v>0</v>
      </c>
      <c r="L80" t="n">
        <v>0</v>
      </c>
      <c r="M80" t="n">
        <v>0</v>
      </c>
      <c r="N80" t="n">
        <v>0</v>
      </c>
      <c r="O80" t="n">
        <v>1</v>
      </c>
      <c r="P80" t="n">
        <v>0</v>
      </c>
      <c r="Q80" t="n">
        <v>2</v>
      </c>
      <c r="R80" s="2" t="inlineStr">
        <is>
          <t>Jungfrulin
Platt fjädermossa</t>
        </is>
      </c>
      <c r="S80">
        <f>HYPERLINK("https://klasma.github.io/Logging_0580/artfynd/A 1207-2023 artfynd.xlsx", "A 1207-2023")</f>
        <v/>
      </c>
      <c r="T80">
        <f>HYPERLINK("https://klasma.github.io/Logging_0580/kartor/A 1207-2023 karta.png", "A 1207-2023")</f>
        <v/>
      </c>
      <c r="V80">
        <f>HYPERLINK("https://klasma.github.io/Logging_0580/klagomål/A 1207-2023 FSC-klagomål.docx", "A 1207-2023")</f>
        <v/>
      </c>
      <c r="W80">
        <f>HYPERLINK("https://klasma.github.io/Logging_0580/klagomålsmail/A 1207-2023 FSC-klagomål mail.docx", "A 1207-2023")</f>
        <v/>
      </c>
      <c r="X80">
        <f>HYPERLINK("https://klasma.github.io/Logging_0580/tillsyn/A 1207-2023 tillsynsbegäran.docx", "A 1207-2023")</f>
        <v/>
      </c>
      <c r="Y80">
        <f>HYPERLINK("https://klasma.github.io/Logging_0580/tillsynsmail/A 1207-2023 tillsynsbegäran mail.docx", "A 1207-2023")</f>
        <v/>
      </c>
    </row>
    <row r="81" ht="15" customHeight="1">
      <c r="A81" t="inlineStr">
        <is>
          <t>A 41751-2023</t>
        </is>
      </c>
      <c r="B81" s="1" t="n">
        <v>45176</v>
      </c>
      <c r="C81" s="1" t="n">
        <v>46196</v>
      </c>
      <c r="D81" t="inlineStr">
        <is>
          <t>ÖSTERGÖTLANDS LÄN</t>
        </is>
      </c>
      <c r="E81" t="inlineStr">
        <is>
          <t>LINKÖPING</t>
        </is>
      </c>
      <c r="G81" t="n">
        <v>1.5</v>
      </c>
      <c r="H81" t="n">
        <v>1</v>
      </c>
      <c r="I81" t="n">
        <v>0</v>
      </c>
      <c r="J81" t="n">
        <v>1</v>
      </c>
      <c r="K81" t="n">
        <v>0</v>
      </c>
      <c r="L81" t="n">
        <v>0</v>
      </c>
      <c r="M81" t="n">
        <v>0</v>
      </c>
      <c r="N81" t="n">
        <v>0</v>
      </c>
      <c r="O81" t="n">
        <v>1</v>
      </c>
      <c r="P81" t="n">
        <v>0</v>
      </c>
      <c r="Q81" t="n">
        <v>2</v>
      </c>
      <c r="R81" s="2" t="inlineStr">
        <is>
          <t>Svinrot
Grönvit nattviol</t>
        </is>
      </c>
      <c r="S81">
        <f>HYPERLINK("https://klasma.github.io/Logging_0580/artfynd/A 41751-2023 artfynd.xlsx", "A 41751-2023")</f>
        <v/>
      </c>
      <c r="T81">
        <f>HYPERLINK("https://klasma.github.io/Logging_0580/kartor/A 41751-2023 karta.png", "A 41751-2023")</f>
        <v/>
      </c>
      <c r="V81">
        <f>HYPERLINK("https://klasma.github.io/Logging_0580/klagomål/A 41751-2023 FSC-klagomål.docx", "A 41751-2023")</f>
        <v/>
      </c>
      <c r="W81">
        <f>HYPERLINK("https://klasma.github.io/Logging_0580/klagomålsmail/A 41751-2023 FSC-klagomål mail.docx", "A 41751-2023")</f>
        <v/>
      </c>
      <c r="X81">
        <f>HYPERLINK("https://klasma.github.io/Logging_0580/tillsyn/A 41751-2023 tillsynsbegäran.docx", "A 41751-2023")</f>
        <v/>
      </c>
      <c r="Y81">
        <f>HYPERLINK("https://klasma.github.io/Logging_0580/tillsynsmail/A 41751-2023 tillsynsbegäran mail.docx", "A 41751-2023")</f>
        <v/>
      </c>
    </row>
    <row r="82" ht="15" customHeight="1">
      <c r="A82" t="inlineStr">
        <is>
          <t>A 35948-2023</t>
        </is>
      </c>
      <c r="B82" s="1" t="n">
        <v>45148</v>
      </c>
      <c r="C82" s="1" t="n">
        <v>46196</v>
      </c>
      <c r="D82" t="inlineStr">
        <is>
          <t>ÖSTERGÖTLANDS LÄN</t>
        </is>
      </c>
      <c r="E82" t="inlineStr">
        <is>
          <t>LINKÖPING</t>
        </is>
      </c>
      <c r="G82" t="n">
        <v>1.9</v>
      </c>
      <c r="H82" t="n">
        <v>0</v>
      </c>
      <c r="I82" t="n">
        <v>2</v>
      </c>
      <c r="J82" t="n">
        <v>0</v>
      </c>
      <c r="K82" t="n">
        <v>0</v>
      </c>
      <c r="L82" t="n">
        <v>0</v>
      </c>
      <c r="M82" t="n">
        <v>0</v>
      </c>
      <c r="N82" t="n">
        <v>0</v>
      </c>
      <c r="O82" t="n">
        <v>0</v>
      </c>
      <c r="P82" t="n">
        <v>0</v>
      </c>
      <c r="Q82" t="n">
        <v>2</v>
      </c>
      <c r="R82" s="2" t="inlineStr">
        <is>
          <t>Brun nållav
Fällmossa</t>
        </is>
      </c>
      <c r="S82">
        <f>HYPERLINK("https://klasma.github.io/Logging_0580/artfynd/A 35948-2023 artfynd.xlsx", "A 35948-2023")</f>
        <v/>
      </c>
      <c r="T82">
        <f>HYPERLINK("https://klasma.github.io/Logging_0580/kartor/A 35948-2023 karta.png", "A 35948-2023")</f>
        <v/>
      </c>
      <c r="V82">
        <f>HYPERLINK("https://klasma.github.io/Logging_0580/klagomål/A 35948-2023 FSC-klagomål.docx", "A 35948-2023")</f>
        <v/>
      </c>
      <c r="W82">
        <f>HYPERLINK("https://klasma.github.io/Logging_0580/klagomålsmail/A 35948-2023 FSC-klagomål mail.docx", "A 35948-2023")</f>
        <v/>
      </c>
      <c r="X82">
        <f>HYPERLINK("https://klasma.github.io/Logging_0580/tillsyn/A 35948-2023 tillsynsbegäran.docx", "A 35948-2023")</f>
        <v/>
      </c>
      <c r="Y82">
        <f>HYPERLINK("https://klasma.github.io/Logging_0580/tillsynsmail/A 35948-2023 tillsynsbegäran mail.docx", "A 35948-2023")</f>
        <v/>
      </c>
    </row>
    <row r="83" ht="15" customHeight="1">
      <c r="A83" t="inlineStr">
        <is>
          <t>A 42858-2023</t>
        </is>
      </c>
      <c r="B83" s="1" t="n">
        <v>45177</v>
      </c>
      <c r="C83" s="1" t="n">
        <v>46196</v>
      </c>
      <c r="D83" t="inlineStr">
        <is>
          <t>ÖSTERGÖTLANDS LÄN</t>
        </is>
      </c>
      <c r="E83" t="inlineStr">
        <is>
          <t>LINKÖPING</t>
        </is>
      </c>
      <c r="G83" t="n">
        <v>5.3</v>
      </c>
      <c r="H83" t="n">
        <v>1</v>
      </c>
      <c r="I83" t="n">
        <v>0</v>
      </c>
      <c r="J83" t="n">
        <v>1</v>
      </c>
      <c r="K83" t="n">
        <v>0</v>
      </c>
      <c r="L83" t="n">
        <v>0</v>
      </c>
      <c r="M83" t="n">
        <v>0</v>
      </c>
      <c r="N83" t="n">
        <v>0</v>
      </c>
      <c r="O83" t="n">
        <v>1</v>
      </c>
      <c r="P83" t="n">
        <v>0</v>
      </c>
      <c r="Q83" t="n">
        <v>2</v>
      </c>
      <c r="R83" s="2" t="inlineStr">
        <is>
          <t>Svinrot
Skogsödla</t>
        </is>
      </c>
      <c r="S83">
        <f>HYPERLINK("https://klasma.github.io/Logging_0580/artfynd/A 42858-2023 artfynd.xlsx", "A 42858-2023")</f>
        <v/>
      </c>
      <c r="T83">
        <f>HYPERLINK("https://klasma.github.io/Logging_0580/kartor/A 42858-2023 karta.png", "A 42858-2023")</f>
        <v/>
      </c>
      <c r="V83">
        <f>HYPERLINK("https://klasma.github.io/Logging_0580/klagomål/A 42858-2023 FSC-klagomål.docx", "A 42858-2023")</f>
        <v/>
      </c>
      <c r="W83">
        <f>HYPERLINK("https://klasma.github.io/Logging_0580/klagomålsmail/A 42858-2023 FSC-klagomål mail.docx", "A 42858-2023")</f>
        <v/>
      </c>
      <c r="X83">
        <f>HYPERLINK("https://klasma.github.io/Logging_0580/tillsyn/A 42858-2023 tillsynsbegäran.docx", "A 42858-2023")</f>
        <v/>
      </c>
      <c r="Y83">
        <f>HYPERLINK("https://klasma.github.io/Logging_0580/tillsynsmail/A 42858-2023 tillsynsbegäran mail.docx", "A 42858-2023")</f>
        <v/>
      </c>
    </row>
    <row r="84" ht="15" customHeight="1">
      <c r="A84" t="inlineStr">
        <is>
          <t>A 55344-2024</t>
        </is>
      </c>
      <c r="B84" s="1" t="n">
        <v>45621</v>
      </c>
      <c r="C84" s="1" t="n">
        <v>46196</v>
      </c>
      <c r="D84" t="inlineStr">
        <is>
          <t>ÖSTERGÖTLANDS LÄN</t>
        </is>
      </c>
      <c r="E84" t="inlineStr">
        <is>
          <t>LINKÖPING</t>
        </is>
      </c>
      <c r="G84" t="n">
        <v>6.6</v>
      </c>
      <c r="H84" t="n">
        <v>0</v>
      </c>
      <c r="I84" t="n">
        <v>0</v>
      </c>
      <c r="J84" t="n">
        <v>2</v>
      </c>
      <c r="K84" t="n">
        <v>0</v>
      </c>
      <c r="L84" t="n">
        <v>0</v>
      </c>
      <c r="M84" t="n">
        <v>0</v>
      </c>
      <c r="N84" t="n">
        <v>0</v>
      </c>
      <c r="O84" t="n">
        <v>2</v>
      </c>
      <c r="P84" t="n">
        <v>0</v>
      </c>
      <c r="Q84" t="n">
        <v>2</v>
      </c>
      <c r="R84" s="2" t="inlineStr">
        <is>
          <t>Kandelabersvamp
Stjärnnästing</t>
        </is>
      </c>
      <c r="S84">
        <f>HYPERLINK("https://klasma.github.io/Logging_0580/artfynd/A 55344-2024 artfynd.xlsx", "A 55344-2024")</f>
        <v/>
      </c>
      <c r="T84">
        <f>HYPERLINK("https://klasma.github.io/Logging_0580/kartor/A 55344-2024 karta.png", "A 55344-2024")</f>
        <v/>
      </c>
      <c r="V84">
        <f>HYPERLINK("https://klasma.github.io/Logging_0580/klagomål/A 55344-2024 FSC-klagomål.docx", "A 55344-2024")</f>
        <v/>
      </c>
      <c r="W84">
        <f>HYPERLINK("https://klasma.github.io/Logging_0580/klagomålsmail/A 55344-2024 FSC-klagomål mail.docx", "A 55344-2024")</f>
        <v/>
      </c>
      <c r="X84">
        <f>HYPERLINK("https://klasma.github.io/Logging_0580/tillsyn/A 55344-2024 tillsynsbegäran.docx", "A 55344-2024")</f>
        <v/>
      </c>
      <c r="Y84">
        <f>HYPERLINK("https://klasma.github.io/Logging_0580/tillsynsmail/A 55344-2024 tillsynsbegäran mail.docx", "A 55344-2024")</f>
        <v/>
      </c>
    </row>
    <row r="85" ht="15" customHeight="1">
      <c r="A85" t="inlineStr">
        <is>
          <t>A 20295-2025</t>
        </is>
      </c>
      <c r="B85" s="1" t="n">
        <v>45774</v>
      </c>
      <c r="C85" s="1" t="n">
        <v>46196</v>
      </c>
      <c r="D85" t="inlineStr">
        <is>
          <t>ÖSTERGÖTLANDS LÄN</t>
        </is>
      </c>
      <c r="E85" t="inlineStr">
        <is>
          <t>LINKÖPING</t>
        </is>
      </c>
      <c r="G85" t="n">
        <v>3</v>
      </c>
      <c r="H85" t="n">
        <v>1</v>
      </c>
      <c r="I85" t="n">
        <v>0</v>
      </c>
      <c r="J85" t="n">
        <v>1</v>
      </c>
      <c r="K85" t="n">
        <v>0</v>
      </c>
      <c r="L85" t="n">
        <v>0</v>
      </c>
      <c r="M85" t="n">
        <v>0</v>
      </c>
      <c r="N85" t="n">
        <v>0</v>
      </c>
      <c r="O85" t="n">
        <v>1</v>
      </c>
      <c r="P85" t="n">
        <v>0</v>
      </c>
      <c r="Q85" t="n">
        <v>2</v>
      </c>
      <c r="R85" s="2" t="inlineStr">
        <is>
          <t>Tallticka
Röd glada</t>
        </is>
      </c>
      <c r="S85">
        <f>HYPERLINK("https://klasma.github.io/Logging_0580/artfynd/A 20295-2025 artfynd.xlsx", "A 20295-2025")</f>
        <v/>
      </c>
      <c r="T85">
        <f>HYPERLINK("https://klasma.github.io/Logging_0580/kartor/A 20295-2025 karta.png", "A 20295-2025")</f>
        <v/>
      </c>
      <c r="V85">
        <f>HYPERLINK("https://klasma.github.io/Logging_0580/klagomål/A 20295-2025 FSC-klagomål.docx", "A 20295-2025")</f>
        <v/>
      </c>
      <c r="W85">
        <f>HYPERLINK("https://klasma.github.io/Logging_0580/klagomålsmail/A 20295-2025 FSC-klagomål mail.docx", "A 20295-2025")</f>
        <v/>
      </c>
      <c r="X85">
        <f>HYPERLINK("https://klasma.github.io/Logging_0580/tillsyn/A 20295-2025 tillsynsbegäran.docx", "A 20295-2025")</f>
        <v/>
      </c>
      <c r="Y85">
        <f>HYPERLINK("https://klasma.github.io/Logging_0580/tillsynsmail/A 20295-2025 tillsynsbegäran mail.docx", "A 20295-2025")</f>
        <v/>
      </c>
      <c r="Z85">
        <f>HYPERLINK("https://klasma.github.io/Logging_0580/fåglar/A 20295-2025 prioriterade fågelarter.docx", "A 20295-2025")</f>
        <v/>
      </c>
    </row>
    <row r="86" ht="15" customHeight="1">
      <c r="A86" t="inlineStr">
        <is>
          <t>A 38143-2021</t>
        </is>
      </c>
      <c r="B86" s="1" t="n">
        <v>44405</v>
      </c>
      <c r="C86" s="1" t="n">
        <v>46196</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46196</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46196</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71127-2021</t>
        </is>
      </c>
      <c r="B89" s="1" t="n">
        <v>44537</v>
      </c>
      <c r="C89" s="1" t="n">
        <v>46196</v>
      </c>
      <c r="D89" t="inlineStr">
        <is>
          <t>ÖSTERGÖTLANDS LÄN</t>
        </is>
      </c>
      <c r="E89" t="inlineStr">
        <is>
          <t>LINKÖPING</t>
        </is>
      </c>
      <c r="F89" t="inlineStr">
        <is>
          <t>Kommuner</t>
        </is>
      </c>
      <c r="G89" t="n">
        <v>7.2</v>
      </c>
      <c r="H89" t="n">
        <v>0</v>
      </c>
      <c r="I89" t="n">
        <v>0</v>
      </c>
      <c r="J89" t="n">
        <v>1</v>
      </c>
      <c r="K89" t="n">
        <v>0</v>
      </c>
      <c r="L89" t="n">
        <v>0</v>
      </c>
      <c r="M89" t="n">
        <v>0</v>
      </c>
      <c r="N89" t="n">
        <v>0</v>
      </c>
      <c r="O89" t="n">
        <v>1</v>
      </c>
      <c r="P89" t="n">
        <v>0</v>
      </c>
      <c r="Q89" t="n">
        <v>1</v>
      </c>
      <c r="R89" s="2" t="inlineStr">
        <is>
          <t>Svinrot</t>
        </is>
      </c>
      <c r="S89">
        <f>HYPERLINK("https://klasma.github.io/Logging_0580/artfynd/A 71127-2021 artfynd.xlsx", "A 71127-2021")</f>
        <v/>
      </c>
      <c r="T89">
        <f>HYPERLINK("https://klasma.github.io/Logging_0580/kartor/A 71127-2021 karta.png", "A 71127-2021")</f>
        <v/>
      </c>
      <c r="V89">
        <f>HYPERLINK("https://klasma.github.io/Logging_0580/klagomål/A 71127-2021 FSC-klagomål.docx", "A 71127-2021")</f>
        <v/>
      </c>
      <c r="W89">
        <f>HYPERLINK("https://klasma.github.io/Logging_0580/klagomålsmail/A 71127-2021 FSC-klagomål mail.docx", "A 71127-2021")</f>
        <v/>
      </c>
      <c r="X89">
        <f>HYPERLINK("https://klasma.github.io/Logging_0580/tillsyn/A 71127-2021 tillsynsbegäran.docx", "A 71127-2021")</f>
        <v/>
      </c>
      <c r="Y89">
        <f>HYPERLINK("https://klasma.github.io/Logging_0580/tillsynsmail/A 71127-2021 tillsynsbegäran mail.docx", "A 71127-2021")</f>
        <v/>
      </c>
    </row>
    <row r="90" ht="15" customHeight="1">
      <c r="A90" t="inlineStr">
        <is>
          <t>A 1716-2023</t>
        </is>
      </c>
      <c r="B90" s="1" t="n">
        <v>44938</v>
      </c>
      <c r="C90" s="1" t="n">
        <v>46196</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1716-2023 artfynd.xlsx", "A 1716-2023")</f>
        <v/>
      </c>
      <c r="T90">
        <f>HYPERLINK("https://klasma.github.io/Logging_0580/kartor/A 1716-2023 karta.png", "A 1716-2023")</f>
        <v/>
      </c>
      <c r="V90">
        <f>HYPERLINK("https://klasma.github.io/Logging_0580/klagomål/A 1716-2023 FSC-klagomål.docx", "A 1716-2023")</f>
        <v/>
      </c>
      <c r="W90">
        <f>HYPERLINK("https://klasma.github.io/Logging_0580/klagomålsmail/A 1716-2023 FSC-klagomål mail.docx", "A 1716-2023")</f>
        <v/>
      </c>
      <c r="X90">
        <f>HYPERLINK("https://klasma.github.io/Logging_0580/tillsyn/A 1716-2023 tillsynsbegäran.docx", "A 1716-2023")</f>
        <v/>
      </c>
      <c r="Y90">
        <f>HYPERLINK("https://klasma.github.io/Logging_0580/tillsynsmail/A 1716-2023 tillsynsbegäran mail.docx", "A 1716-2023")</f>
        <v/>
      </c>
    </row>
    <row r="91" ht="15" customHeight="1">
      <c r="A91" t="inlineStr">
        <is>
          <t>A 931-2025</t>
        </is>
      </c>
      <c r="B91" s="1" t="n">
        <v>45665</v>
      </c>
      <c r="C91" s="1" t="n">
        <v>46196</v>
      </c>
      <c r="D91" t="inlineStr">
        <is>
          <t>ÖSTERGÖTLANDS LÄN</t>
        </is>
      </c>
      <c r="E91" t="inlineStr">
        <is>
          <t>LINKÖPING</t>
        </is>
      </c>
      <c r="F91" t="inlineStr">
        <is>
          <t>Övriga Aktiebolag</t>
        </is>
      </c>
      <c r="G91" t="n">
        <v>0.8</v>
      </c>
      <c r="H91" t="n">
        <v>0</v>
      </c>
      <c r="I91" t="n">
        <v>0</v>
      </c>
      <c r="J91" t="n">
        <v>1</v>
      </c>
      <c r="K91" t="n">
        <v>0</v>
      </c>
      <c r="L91" t="n">
        <v>0</v>
      </c>
      <c r="M91" t="n">
        <v>0</v>
      </c>
      <c r="N91" t="n">
        <v>0</v>
      </c>
      <c r="O91" t="n">
        <v>1</v>
      </c>
      <c r="P91" t="n">
        <v>0</v>
      </c>
      <c r="Q91" t="n">
        <v>1</v>
      </c>
      <c r="R91" s="2" t="inlineStr">
        <is>
          <t>Tallticka</t>
        </is>
      </c>
      <c r="S91">
        <f>HYPERLINK("https://klasma.github.io/Logging_0580/artfynd/A 931-2025 artfynd.xlsx", "A 931-2025")</f>
        <v/>
      </c>
      <c r="T91">
        <f>HYPERLINK("https://klasma.github.io/Logging_0580/kartor/A 931-2025 karta.png", "A 931-2025")</f>
        <v/>
      </c>
      <c r="V91">
        <f>HYPERLINK("https://klasma.github.io/Logging_0580/klagomål/A 931-2025 FSC-klagomål.docx", "A 931-2025")</f>
        <v/>
      </c>
      <c r="W91">
        <f>HYPERLINK("https://klasma.github.io/Logging_0580/klagomålsmail/A 931-2025 FSC-klagomål mail.docx", "A 931-2025")</f>
        <v/>
      </c>
      <c r="X91">
        <f>HYPERLINK("https://klasma.github.io/Logging_0580/tillsyn/A 931-2025 tillsynsbegäran.docx", "A 931-2025")</f>
        <v/>
      </c>
      <c r="Y91">
        <f>HYPERLINK("https://klasma.github.io/Logging_0580/tillsynsmail/A 931-2025 tillsynsbegäran mail.docx", "A 931-2025")</f>
        <v/>
      </c>
    </row>
    <row r="92" ht="15" customHeight="1">
      <c r="A92" t="inlineStr">
        <is>
          <t>A 41749-2023</t>
        </is>
      </c>
      <c r="B92" s="1" t="n">
        <v>45176</v>
      </c>
      <c r="C92" s="1" t="n">
        <v>46196</v>
      </c>
      <c r="D92" t="inlineStr">
        <is>
          <t>ÖSTERGÖTLANDS LÄN</t>
        </is>
      </c>
      <c r="E92" t="inlineStr">
        <is>
          <t>LINKÖPING</t>
        </is>
      </c>
      <c r="G92" t="n">
        <v>3.6</v>
      </c>
      <c r="H92" t="n">
        <v>0</v>
      </c>
      <c r="I92" t="n">
        <v>0</v>
      </c>
      <c r="J92" t="n">
        <v>1</v>
      </c>
      <c r="K92" t="n">
        <v>0</v>
      </c>
      <c r="L92" t="n">
        <v>0</v>
      </c>
      <c r="M92" t="n">
        <v>0</v>
      </c>
      <c r="N92" t="n">
        <v>0</v>
      </c>
      <c r="O92" t="n">
        <v>1</v>
      </c>
      <c r="P92" t="n">
        <v>0</v>
      </c>
      <c r="Q92" t="n">
        <v>1</v>
      </c>
      <c r="R92" s="2" t="inlineStr">
        <is>
          <t>Svinrot</t>
        </is>
      </c>
      <c r="S92">
        <f>HYPERLINK("https://klasma.github.io/Logging_0580/artfynd/A 41749-2023 artfynd.xlsx", "A 41749-2023")</f>
        <v/>
      </c>
      <c r="T92">
        <f>HYPERLINK("https://klasma.github.io/Logging_0580/kartor/A 41749-2023 karta.png", "A 41749-2023")</f>
        <v/>
      </c>
      <c r="V92">
        <f>HYPERLINK("https://klasma.github.io/Logging_0580/klagomål/A 41749-2023 FSC-klagomål.docx", "A 41749-2023")</f>
        <v/>
      </c>
      <c r="W92">
        <f>HYPERLINK("https://klasma.github.io/Logging_0580/klagomålsmail/A 41749-2023 FSC-klagomål mail.docx", "A 41749-2023")</f>
        <v/>
      </c>
      <c r="X92">
        <f>HYPERLINK("https://klasma.github.io/Logging_0580/tillsyn/A 41749-2023 tillsynsbegäran.docx", "A 41749-2023")</f>
        <v/>
      </c>
      <c r="Y92">
        <f>HYPERLINK("https://klasma.github.io/Logging_0580/tillsynsmail/A 41749-2023 tillsynsbegäran mail.docx", "A 41749-2023")</f>
        <v/>
      </c>
    </row>
    <row r="93" ht="15" customHeight="1">
      <c r="A93" t="inlineStr">
        <is>
          <t>A 10797-2024</t>
        </is>
      </c>
      <c r="B93" s="1" t="n">
        <v>45369</v>
      </c>
      <c r="C93" s="1" t="n">
        <v>46196</v>
      </c>
      <c r="D93" t="inlineStr">
        <is>
          <t>ÖSTERGÖTLANDS LÄN</t>
        </is>
      </c>
      <c r="E93" t="inlineStr">
        <is>
          <t>LINKÖPING</t>
        </is>
      </c>
      <c r="G93" t="n">
        <v>1.5</v>
      </c>
      <c r="H93" t="n">
        <v>0</v>
      </c>
      <c r="I93" t="n">
        <v>0</v>
      </c>
      <c r="J93" t="n">
        <v>0</v>
      </c>
      <c r="K93" t="n">
        <v>0</v>
      </c>
      <c r="L93" t="n">
        <v>1</v>
      </c>
      <c r="M93" t="n">
        <v>0</v>
      </c>
      <c r="N93" t="n">
        <v>0</v>
      </c>
      <c r="O93" t="n">
        <v>1</v>
      </c>
      <c r="P93" t="n">
        <v>1</v>
      </c>
      <c r="Q93" t="n">
        <v>1</v>
      </c>
      <c r="R93" s="2" t="inlineStr">
        <is>
          <t>Skogsalm</t>
        </is>
      </c>
      <c r="S93">
        <f>HYPERLINK("https://klasma.github.io/Logging_0580/artfynd/A 10797-2024 artfynd.xlsx", "A 10797-2024")</f>
        <v/>
      </c>
      <c r="T93">
        <f>HYPERLINK("https://klasma.github.io/Logging_0580/kartor/A 10797-2024 karta.png", "A 10797-2024")</f>
        <v/>
      </c>
      <c r="V93">
        <f>HYPERLINK("https://klasma.github.io/Logging_0580/klagomål/A 10797-2024 FSC-klagomål.docx", "A 10797-2024")</f>
        <v/>
      </c>
      <c r="W93">
        <f>HYPERLINK("https://klasma.github.io/Logging_0580/klagomålsmail/A 10797-2024 FSC-klagomål mail.docx", "A 10797-2024")</f>
        <v/>
      </c>
      <c r="X93">
        <f>HYPERLINK("https://klasma.github.io/Logging_0580/tillsyn/A 10797-2024 tillsynsbegäran.docx", "A 10797-2024")</f>
        <v/>
      </c>
      <c r="Y93">
        <f>HYPERLINK("https://klasma.github.io/Logging_0580/tillsynsmail/A 10797-2024 tillsynsbegäran mail.docx", "A 10797-2024")</f>
        <v/>
      </c>
    </row>
    <row r="94" ht="15" customHeight="1">
      <c r="A94" t="inlineStr">
        <is>
          <t>A 55165-2025</t>
        </is>
      </c>
      <c r="B94" s="1" t="n">
        <v>45968</v>
      </c>
      <c r="C94" s="1" t="n">
        <v>46196</v>
      </c>
      <c r="D94" t="inlineStr">
        <is>
          <t>ÖSTERGÖTLANDS LÄN</t>
        </is>
      </c>
      <c r="E94" t="inlineStr">
        <is>
          <t>LINKÖPING</t>
        </is>
      </c>
      <c r="G94" t="n">
        <v>2.4</v>
      </c>
      <c r="H94" t="n">
        <v>0</v>
      </c>
      <c r="I94" t="n">
        <v>0</v>
      </c>
      <c r="J94" t="n">
        <v>1</v>
      </c>
      <c r="K94" t="n">
        <v>0</v>
      </c>
      <c r="L94" t="n">
        <v>0</v>
      </c>
      <c r="M94" t="n">
        <v>0</v>
      </c>
      <c r="N94" t="n">
        <v>0</v>
      </c>
      <c r="O94" t="n">
        <v>1</v>
      </c>
      <c r="P94" t="n">
        <v>0</v>
      </c>
      <c r="Q94" t="n">
        <v>1</v>
      </c>
      <c r="R94" s="2" t="inlineStr">
        <is>
          <t>Kandelabersvamp</t>
        </is>
      </c>
      <c r="S94">
        <f>HYPERLINK("https://klasma.github.io/Logging_0580/artfynd/A 55165-2025 artfynd.xlsx", "A 55165-2025")</f>
        <v/>
      </c>
      <c r="T94">
        <f>HYPERLINK("https://klasma.github.io/Logging_0580/kartor/A 55165-2025 karta.png", "A 55165-2025")</f>
        <v/>
      </c>
      <c r="V94">
        <f>HYPERLINK("https://klasma.github.io/Logging_0580/klagomål/A 55165-2025 FSC-klagomål.docx", "A 55165-2025")</f>
        <v/>
      </c>
      <c r="W94">
        <f>HYPERLINK("https://klasma.github.io/Logging_0580/klagomålsmail/A 55165-2025 FSC-klagomål mail.docx", "A 55165-2025")</f>
        <v/>
      </c>
      <c r="X94">
        <f>HYPERLINK("https://klasma.github.io/Logging_0580/tillsyn/A 55165-2025 tillsynsbegäran.docx", "A 55165-2025")</f>
        <v/>
      </c>
      <c r="Y94">
        <f>HYPERLINK("https://klasma.github.io/Logging_0580/tillsynsmail/A 55165-2025 tillsynsbegäran mail.docx", "A 55165-2025")</f>
        <v/>
      </c>
    </row>
    <row r="95" ht="15" customHeight="1">
      <c r="A95" t="inlineStr">
        <is>
          <t>A 43989-2025</t>
        </is>
      </c>
      <c r="B95" s="1" t="n">
        <v>45915</v>
      </c>
      <c r="C95" s="1" t="n">
        <v>46196</v>
      </c>
      <c r="D95" t="inlineStr">
        <is>
          <t>ÖSTERGÖTLANDS LÄN</t>
        </is>
      </c>
      <c r="E95" t="inlineStr">
        <is>
          <t>LINKÖPING</t>
        </is>
      </c>
      <c r="F95" t="inlineStr">
        <is>
          <t>Allmännings- och besparingsskogar</t>
        </is>
      </c>
      <c r="G95" t="n">
        <v>3.5</v>
      </c>
      <c r="H95" t="n">
        <v>0</v>
      </c>
      <c r="I95" t="n">
        <v>0</v>
      </c>
      <c r="J95" t="n">
        <v>1</v>
      </c>
      <c r="K95" t="n">
        <v>0</v>
      </c>
      <c r="L95" t="n">
        <v>0</v>
      </c>
      <c r="M95" t="n">
        <v>0</v>
      </c>
      <c r="N95" t="n">
        <v>0</v>
      </c>
      <c r="O95" t="n">
        <v>1</v>
      </c>
      <c r="P95" t="n">
        <v>0</v>
      </c>
      <c r="Q95" t="n">
        <v>1</v>
      </c>
      <c r="R95" s="2" t="inlineStr">
        <is>
          <t>Kavelhirs</t>
        </is>
      </c>
      <c r="S95">
        <f>HYPERLINK("https://klasma.github.io/Logging_0580/artfynd/A 43989-2025 artfynd.xlsx", "A 43989-2025")</f>
        <v/>
      </c>
      <c r="T95">
        <f>HYPERLINK("https://klasma.github.io/Logging_0580/kartor/A 43989-2025 karta.png", "A 43989-2025")</f>
        <v/>
      </c>
      <c r="V95">
        <f>HYPERLINK("https://klasma.github.io/Logging_0580/klagomål/A 43989-2025 FSC-klagomål.docx", "A 43989-2025")</f>
        <v/>
      </c>
      <c r="W95">
        <f>HYPERLINK("https://klasma.github.io/Logging_0580/klagomålsmail/A 43989-2025 FSC-klagomål mail.docx", "A 43989-2025")</f>
        <v/>
      </c>
      <c r="X95">
        <f>HYPERLINK("https://klasma.github.io/Logging_0580/tillsyn/A 43989-2025 tillsynsbegäran.docx", "A 43989-2025")</f>
        <v/>
      </c>
      <c r="Y95">
        <f>HYPERLINK("https://klasma.github.io/Logging_0580/tillsynsmail/A 43989-2025 tillsynsbegäran mail.docx", "A 43989-2025")</f>
        <v/>
      </c>
    </row>
    <row r="96" ht="15" customHeight="1">
      <c r="A96" t="inlineStr">
        <is>
          <t>A 59205-2025</t>
        </is>
      </c>
      <c r="B96" s="1" t="n">
        <v>45988</v>
      </c>
      <c r="C96" s="1" t="n">
        <v>46196</v>
      </c>
      <c r="D96" t="inlineStr">
        <is>
          <t>ÖSTERGÖTLANDS LÄN</t>
        </is>
      </c>
      <c r="E96" t="inlineStr">
        <is>
          <t>LINKÖPING</t>
        </is>
      </c>
      <c r="F96" t="inlineStr">
        <is>
          <t>Sveaskog</t>
        </is>
      </c>
      <c r="G96" t="n">
        <v>11.3</v>
      </c>
      <c r="H96" t="n">
        <v>0</v>
      </c>
      <c r="I96" t="n">
        <v>0</v>
      </c>
      <c r="J96" t="n">
        <v>0</v>
      </c>
      <c r="K96" t="n">
        <v>1</v>
      </c>
      <c r="L96" t="n">
        <v>0</v>
      </c>
      <c r="M96" t="n">
        <v>0</v>
      </c>
      <c r="N96" t="n">
        <v>0</v>
      </c>
      <c r="O96" t="n">
        <v>1</v>
      </c>
      <c r="P96" t="n">
        <v>1</v>
      </c>
      <c r="Q96" t="n">
        <v>1</v>
      </c>
      <c r="R96" s="2" t="inlineStr">
        <is>
          <t>Smalsprötad bastardsvärmare</t>
        </is>
      </c>
      <c r="S96">
        <f>HYPERLINK("https://klasma.github.io/Logging_0580/artfynd/A 59205-2025 artfynd.xlsx", "A 59205-2025")</f>
        <v/>
      </c>
      <c r="T96">
        <f>HYPERLINK("https://klasma.github.io/Logging_0580/kartor/A 59205-2025 karta.png", "A 59205-2025")</f>
        <v/>
      </c>
      <c r="V96">
        <f>HYPERLINK("https://klasma.github.io/Logging_0580/klagomål/A 59205-2025 FSC-klagomål.docx", "A 59205-2025")</f>
        <v/>
      </c>
      <c r="W96">
        <f>HYPERLINK("https://klasma.github.io/Logging_0580/klagomålsmail/A 59205-2025 FSC-klagomål mail.docx", "A 59205-2025")</f>
        <v/>
      </c>
      <c r="X96">
        <f>HYPERLINK("https://klasma.github.io/Logging_0580/tillsyn/A 59205-2025 tillsynsbegäran.docx", "A 59205-2025")</f>
        <v/>
      </c>
      <c r="Y96">
        <f>HYPERLINK("https://klasma.github.io/Logging_0580/tillsynsmail/A 59205-2025 tillsynsbegäran mail.docx", "A 59205-2025")</f>
        <v/>
      </c>
    </row>
    <row r="97" ht="15" customHeight="1">
      <c r="A97" t="inlineStr">
        <is>
          <t>A 30985-2022</t>
        </is>
      </c>
      <c r="B97" s="1" t="n">
        <v>44768</v>
      </c>
      <c r="C97" s="1" t="n">
        <v>46196</v>
      </c>
      <c r="D97" t="inlineStr">
        <is>
          <t>ÖSTERGÖTLANDS LÄN</t>
        </is>
      </c>
      <c r="E97" t="inlineStr">
        <is>
          <t>LINKÖPING</t>
        </is>
      </c>
      <c r="G97" t="n">
        <v>1.1</v>
      </c>
      <c r="H97" t="n">
        <v>1</v>
      </c>
      <c r="I97" t="n">
        <v>0</v>
      </c>
      <c r="J97" t="n">
        <v>0</v>
      </c>
      <c r="K97" t="n">
        <v>0</v>
      </c>
      <c r="L97" t="n">
        <v>0</v>
      </c>
      <c r="M97" t="n">
        <v>0</v>
      </c>
      <c r="N97" t="n">
        <v>0</v>
      </c>
      <c r="O97" t="n">
        <v>0</v>
      </c>
      <c r="P97" t="n">
        <v>0</v>
      </c>
      <c r="Q97" t="n">
        <v>1</v>
      </c>
      <c r="R97" s="2" t="inlineStr">
        <is>
          <t>Vanliga ängsnycklar</t>
        </is>
      </c>
      <c r="S97">
        <f>HYPERLINK("https://klasma.github.io/Logging_0580/artfynd/A 30985-2022 artfynd.xlsx", "A 30985-2022")</f>
        <v/>
      </c>
      <c r="T97">
        <f>HYPERLINK("https://klasma.github.io/Logging_0580/kartor/A 30985-2022 karta.png", "A 30985-2022")</f>
        <v/>
      </c>
      <c r="V97">
        <f>HYPERLINK("https://klasma.github.io/Logging_0580/klagomål/A 30985-2022 FSC-klagomål.docx", "A 30985-2022")</f>
        <v/>
      </c>
      <c r="W97">
        <f>HYPERLINK("https://klasma.github.io/Logging_0580/klagomålsmail/A 30985-2022 FSC-klagomål mail.docx", "A 30985-2022")</f>
        <v/>
      </c>
      <c r="X97">
        <f>HYPERLINK("https://klasma.github.io/Logging_0580/tillsyn/A 30985-2022 tillsynsbegäran.docx", "A 30985-2022")</f>
        <v/>
      </c>
      <c r="Y97">
        <f>HYPERLINK("https://klasma.github.io/Logging_0580/tillsynsmail/A 30985-2022 tillsynsbegäran mail.docx", "A 30985-2022")</f>
        <v/>
      </c>
    </row>
    <row r="98" ht="15" customHeight="1">
      <c r="A98" t="inlineStr">
        <is>
          <t>A 27403-2025</t>
        </is>
      </c>
      <c r="B98" s="1" t="n">
        <v>45812</v>
      </c>
      <c r="C98" s="1" t="n">
        <v>46196</v>
      </c>
      <c r="D98" t="inlineStr">
        <is>
          <t>ÖSTERGÖTLANDS LÄN</t>
        </is>
      </c>
      <c r="E98" t="inlineStr">
        <is>
          <t>LINKÖPING</t>
        </is>
      </c>
      <c r="G98" t="n">
        <v>1.4</v>
      </c>
      <c r="H98" t="n">
        <v>0</v>
      </c>
      <c r="I98" t="n">
        <v>0</v>
      </c>
      <c r="J98" t="n">
        <v>1</v>
      </c>
      <c r="K98" t="n">
        <v>0</v>
      </c>
      <c r="L98" t="n">
        <v>0</v>
      </c>
      <c r="M98" t="n">
        <v>0</v>
      </c>
      <c r="N98" t="n">
        <v>0</v>
      </c>
      <c r="O98" t="n">
        <v>1</v>
      </c>
      <c r="P98" t="n">
        <v>0</v>
      </c>
      <c r="Q98" t="n">
        <v>1</v>
      </c>
      <c r="R98" s="2" t="inlineStr">
        <is>
          <t>Tallticka</t>
        </is>
      </c>
      <c r="S98">
        <f>HYPERLINK("https://klasma.github.io/Logging_0580/artfynd/A 27403-2025 artfynd.xlsx", "A 27403-2025")</f>
        <v/>
      </c>
      <c r="T98">
        <f>HYPERLINK("https://klasma.github.io/Logging_0580/kartor/A 27403-2025 karta.png", "A 27403-2025")</f>
        <v/>
      </c>
      <c r="V98">
        <f>HYPERLINK("https://klasma.github.io/Logging_0580/klagomål/A 27403-2025 FSC-klagomål.docx", "A 27403-2025")</f>
        <v/>
      </c>
      <c r="W98">
        <f>HYPERLINK("https://klasma.github.io/Logging_0580/klagomålsmail/A 27403-2025 FSC-klagomål mail.docx", "A 27403-2025")</f>
        <v/>
      </c>
      <c r="X98">
        <f>HYPERLINK("https://klasma.github.io/Logging_0580/tillsyn/A 27403-2025 tillsynsbegäran.docx", "A 27403-2025")</f>
        <v/>
      </c>
      <c r="Y98">
        <f>HYPERLINK("https://klasma.github.io/Logging_0580/tillsynsmail/A 27403-2025 tillsynsbegäran mail.docx", "A 27403-2025")</f>
        <v/>
      </c>
    </row>
    <row r="99" ht="15" customHeight="1">
      <c r="A99" t="inlineStr">
        <is>
          <t>A 27798-2025</t>
        </is>
      </c>
      <c r="B99" s="1" t="n">
        <v>45816</v>
      </c>
      <c r="C99" s="1" t="n">
        <v>46196</v>
      </c>
      <c r="D99" t="inlineStr">
        <is>
          <t>ÖSTERGÖTLANDS LÄN</t>
        </is>
      </c>
      <c r="E99" t="inlineStr">
        <is>
          <t>LINKÖPING</t>
        </is>
      </c>
      <c r="G99" t="n">
        <v>1.9</v>
      </c>
      <c r="H99" t="n">
        <v>0</v>
      </c>
      <c r="I99" t="n">
        <v>0</v>
      </c>
      <c r="J99" t="n">
        <v>0</v>
      </c>
      <c r="K99" t="n">
        <v>1</v>
      </c>
      <c r="L99" t="n">
        <v>0</v>
      </c>
      <c r="M99" t="n">
        <v>0</v>
      </c>
      <c r="N99" t="n">
        <v>0</v>
      </c>
      <c r="O99" t="n">
        <v>1</v>
      </c>
      <c r="P99" t="n">
        <v>1</v>
      </c>
      <c r="Q99" t="n">
        <v>1</v>
      </c>
      <c r="R99" s="2" t="inlineStr">
        <is>
          <t>Igelkott</t>
        </is>
      </c>
      <c r="S99">
        <f>HYPERLINK("https://klasma.github.io/Logging_0580/artfynd/A 27798-2025 artfynd.xlsx", "A 27798-2025")</f>
        <v/>
      </c>
      <c r="T99">
        <f>HYPERLINK("https://klasma.github.io/Logging_0580/kartor/A 27798-2025 karta.png", "A 27798-2025")</f>
        <v/>
      </c>
      <c r="V99">
        <f>HYPERLINK("https://klasma.github.io/Logging_0580/klagomål/A 27798-2025 FSC-klagomål.docx", "A 27798-2025")</f>
        <v/>
      </c>
      <c r="W99">
        <f>HYPERLINK("https://klasma.github.io/Logging_0580/klagomålsmail/A 27798-2025 FSC-klagomål mail.docx", "A 27798-2025")</f>
        <v/>
      </c>
      <c r="X99">
        <f>HYPERLINK("https://klasma.github.io/Logging_0580/tillsyn/A 27798-2025 tillsynsbegäran.docx", "A 27798-2025")</f>
        <v/>
      </c>
      <c r="Y99">
        <f>HYPERLINK("https://klasma.github.io/Logging_0580/tillsynsmail/A 27798-2025 tillsynsbegäran mail.docx", "A 27798-2025")</f>
        <v/>
      </c>
    </row>
    <row r="100" ht="15" customHeight="1">
      <c r="A100" t="inlineStr">
        <is>
          <t>A 50034-2025</t>
        </is>
      </c>
      <c r="B100" s="1" t="n">
        <v>45941</v>
      </c>
      <c r="C100" s="1" t="n">
        <v>46196</v>
      </c>
      <c r="D100" t="inlineStr">
        <is>
          <t>ÖSTERGÖTLANDS LÄN</t>
        </is>
      </c>
      <c r="E100" t="inlineStr">
        <is>
          <t>LINKÖPING</t>
        </is>
      </c>
      <c r="G100" t="n">
        <v>6.2</v>
      </c>
      <c r="H100" t="n">
        <v>0</v>
      </c>
      <c r="I100" t="n">
        <v>0</v>
      </c>
      <c r="J100" t="n">
        <v>0</v>
      </c>
      <c r="K100" t="n">
        <v>0</v>
      </c>
      <c r="L100" t="n">
        <v>1</v>
      </c>
      <c r="M100" t="n">
        <v>0</v>
      </c>
      <c r="N100" t="n">
        <v>0</v>
      </c>
      <c r="O100" t="n">
        <v>1</v>
      </c>
      <c r="P100" t="n">
        <v>1</v>
      </c>
      <c r="Q100" t="n">
        <v>1</v>
      </c>
      <c r="R100" s="2" t="inlineStr">
        <is>
          <t>Skogsalm</t>
        </is>
      </c>
      <c r="S100">
        <f>HYPERLINK("https://klasma.github.io/Logging_0580/artfynd/A 50034-2025 artfynd.xlsx", "A 50034-2025")</f>
        <v/>
      </c>
      <c r="T100">
        <f>HYPERLINK("https://klasma.github.io/Logging_0580/kartor/A 50034-2025 karta.png", "A 50034-2025")</f>
        <v/>
      </c>
      <c r="V100">
        <f>HYPERLINK("https://klasma.github.io/Logging_0580/klagomål/A 50034-2025 FSC-klagomål.docx", "A 50034-2025")</f>
        <v/>
      </c>
      <c r="W100">
        <f>HYPERLINK("https://klasma.github.io/Logging_0580/klagomålsmail/A 50034-2025 FSC-klagomål mail.docx", "A 50034-2025")</f>
        <v/>
      </c>
      <c r="X100">
        <f>HYPERLINK("https://klasma.github.io/Logging_0580/tillsyn/A 50034-2025 tillsynsbegäran.docx", "A 50034-2025")</f>
        <v/>
      </c>
      <c r="Y100">
        <f>HYPERLINK("https://klasma.github.io/Logging_0580/tillsynsmail/A 50034-2025 tillsynsbegäran mail.docx", "A 50034-2025")</f>
        <v/>
      </c>
    </row>
    <row r="101" ht="15" customHeight="1">
      <c r="A101" t="inlineStr">
        <is>
          <t>A 34864-2023</t>
        </is>
      </c>
      <c r="B101" s="1" t="n">
        <v>45141</v>
      </c>
      <c r="C101" s="1" t="n">
        <v>46196</v>
      </c>
      <c r="D101" t="inlineStr">
        <is>
          <t>ÖSTERGÖTLANDS LÄN</t>
        </is>
      </c>
      <c r="E101" t="inlineStr">
        <is>
          <t>LINKÖPING</t>
        </is>
      </c>
      <c r="G101" t="n">
        <v>3.3</v>
      </c>
      <c r="H101" t="n">
        <v>0</v>
      </c>
      <c r="I101" t="n">
        <v>0</v>
      </c>
      <c r="J101" t="n">
        <v>1</v>
      </c>
      <c r="K101" t="n">
        <v>0</v>
      </c>
      <c r="L101" t="n">
        <v>0</v>
      </c>
      <c r="M101" t="n">
        <v>0</v>
      </c>
      <c r="N101" t="n">
        <v>0</v>
      </c>
      <c r="O101" t="n">
        <v>1</v>
      </c>
      <c r="P101" t="n">
        <v>0</v>
      </c>
      <c r="Q101" t="n">
        <v>1</v>
      </c>
      <c r="R101" s="2" t="inlineStr">
        <is>
          <t>Svinrot</t>
        </is>
      </c>
      <c r="S101">
        <f>HYPERLINK("https://klasma.github.io/Logging_0580/artfynd/A 34864-2023 artfynd.xlsx", "A 34864-2023")</f>
        <v/>
      </c>
      <c r="T101">
        <f>HYPERLINK("https://klasma.github.io/Logging_0580/kartor/A 34864-2023 karta.png", "A 34864-2023")</f>
        <v/>
      </c>
      <c r="V101">
        <f>HYPERLINK("https://klasma.github.io/Logging_0580/klagomål/A 34864-2023 FSC-klagomål.docx", "A 34864-2023")</f>
        <v/>
      </c>
      <c r="W101">
        <f>HYPERLINK("https://klasma.github.io/Logging_0580/klagomålsmail/A 34864-2023 FSC-klagomål mail.docx", "A 34864-2023")</f>
        <v/>
      </c>
      <c r="X101">
        <f>HYPERLINK("https://klasma.github.io/Logging_0580/tillsyn/A 34864-2023 tillsynsbegäran.docx", "A 34864-2023")</f>
        <v/>
      </c>
      <c r="Y101">
        <f>HYPERLINK("https://klasma.github.io/Logging_0580/tillsynsmail/A 34864-2023 tillsynsbegäran mail.docx", "A 34864-2023")</f>
        <v/>
      </c>
    </row>
    <row r="102" ht="15" customHeight="1">
      <c r="A102" t="inlineStr">
        <is>
          <t>A 36723-2023</t>
        </is>
      </c>
      <c r="B102" s="1" t="n">
        <v>45153</v>
      </c>
      <c r="C102" s="1" t="n">
        <v>46196</v>
      </c>
      <c r="D102" t="inlineStr">
        <is>
          <t>ÖSTERGÖTLANDS LÄN</t>
        </is>
      </c>
      <c r="E102" t="inlineStr">
        <is>
          <t>LINKÖPING</t>
        </is>
      </c>
      <c r="F102" t="inlineStr">
        <is>
          <t>Allmännings- och besparingsskogar</t>
        </is>
      </c>
      <c r="G102" t="n">
        <v>9.9</v>
      </c>
      <c r="H102" t="n">
        <v>0</v>
      </c>
      <c r="I102" t="n">
        <v>0</v>
      </c>
      <c r="J102" t="n">
        <v>0</v>
      </c>
      <c r="K102" t="n">
        <v>0</v>
      </c>
      <c r="L102" t="n">
        <v>1</v>
      </c>
      <c r="M102" t="n">
        <v>0</v>
      </c>
      <c r="N102" t="n">
        <v>0</v>
      </c>
      <c r="O102" t="n">
        <v>1</v>
      </c>
      <c r="P102" t="n">
        <v>1</v>
      </c>
      <c r="Q102" t="n">
        <v>1</v>
      </c>
      <c r="R102" s="2" t="inlineStr">
        <is>
          <t>Bitter taggsvamp</t>
        </is>
      </c>
      <c r="S102">
        <f>HYPERLINK("https://klasma.github.io/Logging_0580/artfynd/A 36723-2023 artfynd.xlsx", "A 36723-2023")</f>
        <v/>
      </c>
      <c r="T102">
        <f>HYPERLINK("https://klasma.github.io/Logging_0580/kartor/A 36723-2023 karta.png", "A 36723-2023")</f>
        <v/>
      </c>
      <c r="V102">
        <f>HYPERLINK("https://klasma.github.io/Logging_0580/klagomål/A 36723-2023 FSC-klagomål.docx", "A 36723-2023")</f>
        <v/>
      </c>
      <c r="W102">
        <f>HYPERLINK("https://klasma.github.io/Logging_0580/klagomålsmail/A 36723-2023 FSC-klagomål mail.docx", "A 36723-2023")</f>
        <v/>
      </c>
      <c r="X102">
        <f>HYPERLINK("https://klasma.github.io/Logging_0580/tillsyn/A 36723-2023 tillsynsbegäran.docx", "A 36723-2023")</f>
        <v/>
      </c>
      <c r="Y102">
        <f>HYPERLINK("https://klasma.github.io/Logging_0580/tillsynsmail/A 36723-2023 tillsynsbegäran mail.docx", "A 36723-2023")</f>
        <v/>
      </c>
    </row>
    <row r="103" ht="15" customHeight="1">
      <c r="A103" t="inlineStr">
        <is>
          <t>A 25568-2024</t>
        </is>
      </c>
      <c r="B103" s="1" t="n">
        <v>45463</v>
      </c>
      <c r="C103" s="1" t="n">
        <v>46196</v>
      </c>
      <c r="D103" t="inlineStr">
        <is>
          <t>ÖSTERGÖTLANDS LÄN</t>
        </is>
      </c>
      <c r="E103" t="inlineStr">
        <is>
          <t>LINKÖPING</t>
        </is>
      </c>
      <c r="G103" t="n">
        <v>1.8</v>
      </c>
      <c r="H103" t="n">
        <v>1</v>
      </c>
      <c r="I103" t="n">
        <v>0</v>
      </c>
      <c r="J103" t="n">
        <v>0</v>
      </c>
      <c r="K103" t="n">
        <v>0</v>
      </c>
      <c r="L103" t="n">
        <v>0</v>
      </c>
      <c r="M103" t="n">
        <v>0</v>
      </c>
      <c r="N103" t="n">
        <v>0</v>
      </c>
      <c r="O103" t="n">
        <v>0</v>
      </c>
      <c r="P103" t="n">
        <v>0</v>
      </c>
      <c r="Q103" t="n">
        <v>1</v>
      </c>
      <c r="R103" s="2" t="inlineStr">
        <is>
          <t>Gröngöling</t>
        </is>
      </c>
      <c r="S103">
        <f>HYPERLINK("https://klasma.github.io/Logging_0580/artfynd/A 25568-2024 artfynd.xlsx", "A 25568-2024")</f>
        <v/>
      </c>
      <c r="T103">
        <f>HYPERLINK("https://klasma.github.io/Logging_0580/kartor/A 25568-2024 karta.png", "A 25568-2024")</f>
        <v/>
      </c>
      <c r="V103">
        <f>HYPERLINK("https://klasma.github.io/Logging_0580/klagomål/A 25568-2024 FSC-klagomål.docx", "A 25568-2024")</f>
        <v/>
      </c>
      <c r="W103">
        <f>HYPERLINK("https://klasma.github.io/Logging_0580/klagomålsmail/A 25568-2024 FSC-klagomål mail.docx", "A 25568-2024")</f>
        <v/>
      </c>
      <c r="X103">
        <f>HYPERLINK("https://klasma.github.io/Logging_0580/tillsyn/A 25568-2024 tillsynsbegäran.docx", "A 25568-2024")</f>
        <v/>
      </c>
      <c r="Y103">
        <f>HYPERLINK("https://klasma.github.io/Logging_0580/tillsynsmail/A 25568-2024 tillsynsbegäran mail.docx", "A 25568-2024")</f>
        <v/>
      </c>
    </row>
    <row r="104" ht="15" customHeight="1">
      <c r="A104" t="inlineStr">
        <is>
          <t>A 37683-2024</t>
        </is>
      </c>
      <c r="B104" s="1" t="n">
        <v>45541</v>
      </c>
      <c r="C104" s="1" t="n">
        <v>46196</v>
      </c>
      <c r="D104" t="inlineStr">
        <is>
          <t>ÖSTERGÖTLANDS LÄN</t>
        </is>
      </c>
      <c r="E104" t="inlineStr">
        <is>
          <t>LINKÖPING</t>
        </is>
      </c>
      <c r="G104" t="n">
        <v>0.6</v>
      </c>
      <c r="H104" t="n">
        <v>0</v>
      </c>
      <c r="I104" t="n">
        <v>1</v>
      </c>
      <c r="J104" t="n">
        <v>0</v>
      </c>
      <c r="K104" t="n">
        <v>0</v>
      </c>
      <c r="L104" t="n">
        <v>0</v>
      </c>
      <c r="M104" t="n">
        <v>0</v>
      </c>
      <c r="N104" t="n">
        <v>0</v>
      </c>
      <c r="O104" t="n">
        <v>0</v>
      </c>
      <c r="P104" t="n">
        <v>0</v>
      </c>
      <c r="Q104" t="n">
        <v>1</v>
      </c>
      <c r="R104" s="2" t="inlineStr">
        <is>
          <t>Tibast</t>
        </is>
      </c>
      <c r="S104">
        <f>HYPERLINK("https://klasma.github.io/Logging_0580/artfynd/A 37683-2024 artfynd.xlsx", "A 37683-2024")</f>
        <v/>
      </c>
      <c r="T104">
        <f>HYPERLINK("https://klasma.github.io/Logging_0580/kartor/A 37683-2024 karta.png", "A 37683-2024")</f>
        <v/>
      </c>
      <c r="V104">
        <f>HYPERLINK("https://klasma.github.io/Logging_0580/klagomål/A 37683-2024 FSC-klagomål.docx", "A 37683-2024")</f>
        <v/>
      </c>
      <c r="W104">
        <f>HYPERLINK("https://klasma.github.io/Logging_0580/klagomålsmail/A 37683-2024 FSC-klagomål mail.docx", "A 37683-2024")</f>
        <v/>
      </c>
      <c r="X104">
        <f>HYPERLINK("https://klasma.github.io/Logging_0580/tillsyn/A 37683-2024 tillsynsbegäran.docx", "A 37683-2024")</f>
        <v/>
      </c>
      <c r="Y104">
        <f>HYPERLINK("https://klasma.github.io/Logging_0580/tillsynsmail/A 37683-2024 tillsynsbegäran mail.docx", "A 37683-2024")</f>
        <v/>
      </c>
    </row>
    <row r="105" ht="15" customHeight="1">
      <c r="A105" t="inlineStr">
        <is>
          <t>A 11033-2026</t>
        </is>
      </c>
      <c r="B105" s="1" t="n">
        <v>46079</v>
      </c>
      <c r="C105" s="1" t="n">
        <v>46196</v>
      </c>
      <c r="D105" t="inlineStr">
        <is>
          <t>ÖSTERGÖTLANDS LÄN</t>
        </is>
      </c>
      <c r="E105" t="inlineStr">
        <is>
          <t>LINKÖPING</t>
        </is>
      </c>
      <c r="G105" t="n">
        <v>7.9</v>
      </c>
      <c r="H105" t="n">
        <v>0</v>
      </c>
      <c r="I105" t="n">
        <v>0</v>
      </c>
      <c r="J105" t="n">
        <v>1</v>
      </c>
      <c r="K105" t="n">
        <v>0</v>
      </c>
      <c r="L105" t="n">
        <v>0</v>
      </c>
      <c r="M105" t="n">
        <v>0</v>
      </c>
      <c r="N105" t="n">
        <v>0</v>
      </c>
      <c r="O105" t="n">
        <v>1</v>
      </c>
      <c r="P105" t="n">
        <v>0</v>
      </c>
      <c r="Q105" t="n">
        <v>1</v>
      </c>
      <c r="R105" s="2" t="inlineStr">
        <is>
          <t>Gullpudra</t>
        </is>
      </c>
      <c r="S105">
        <f>HYPERLINK("https://klasma.github.io/Logging_0580/artfynd/A 11033-2026 artfynd.xlsx", "A 11033-2026")</f>
        <v/>
      </c>
      <c r="T105">
        <f>HYPERLINK("https://klasma.github.io/Logging_0580/kartor/A 11033-2026 karta.png", "A 11033-2026")</f>
        <v/>
      </c>
      <c r="V105">
        <f>HYPERLINK("https://klasma.github.io/Logging_0580/klagomål/A 11033-2026 FSC-klagomål.docx", "A 11033-2026")</f>
        <v/>
      </c>
      <c r="W105">
        <f>HYPERLINK("https://klasma.github.io/Logging_0580/klagomålsmail/A 11033-2026 FSC-klagomål mail.docx", "A 11033-2026")</f>
        <v/>
      </c>
      <c r="X105">
        <f>HYPERLINK("https://klasma.github.io/Logging_0580/tillsyn/A 11033-2026 tillsynsbegäran.docx", "A 11033-2026")</f>
        <v/>
      </c>
      <c r="Y105">
        <f>HYPERLINK("https://klasma.github.io/Logging_0580/tillsynsmail/A 11033-2026 tillsynsbegäran mail.docx", "A 11033-2026")</f>
        <v/>
      </c>
    </row>
    <row r="106" ht="15" customHeight="1">
      <c r="A106" t="inlineStr">
        <is>
          <t>A 51484-2023</t>
        </is>
      </c>
      <c r="B106" s="1" t="n">
        <v>45222</v>
      </c>
      <c r="C106" s="1" t="n">
        <v>46196</v>
      </c>
      <c r="D106" t="inlineStr">
        <is>
          <t>ÖSTERGÖTLANDS LÄN</t>
        </is>
      </c>
      <c r="E106" t="inlineStr">
        <is>
          <t>LINKÖPING</t>
        </is>
      </c>
      <c r="F106" t="inlineStr">
        <is>
          <t>Övriga Aktiebolag</t>
        </is>
      </c>
      <c r="G106" t="n">
        <v>7.7</v>
      </c>
      <c r="H106" t="n">
        <v>1</v>
      </c>
      <c r="I106" t="n">
        <v>0</v>
      </c>
      <c r="J106" t="n">
        <v>1</v>
      </c>
      <c r="K106" t="n">
        <v>0</v>
      </c>
      <c r="L106" t="n">
        <v>0</v>
      </c>
      <c r="M106" t="n">
        <v>0</v>
      </c>
      <c r="N106" t="n">
        <v>0</v>
      </c>
      <c r="O106" t="n">
        <v>1</v>
      </c>
      <c r="P106" t="n">
        <v>0</v>
      </c>
      <c r="Q106" t="n">
        <v>1</v>
      </c>
      <c r="R106" s="2" t="inlineStr">
        <is>
          <t>Järnsparv</t>
        </is>
      </c>
      <c r="S106">
        <f>HYPERLINK("https://klasma.github.io/Logging_0580/artfynd/A 51484-2023 artfynd.xlsx", "A 51484-2023")</f>
        <v/>
      </c>
      <c r="T106">
        <f>HYPERLINK("https://klasma.github.io/Logging_0580/kartor/A 51484-2023 karta.png", "A 51484-2023")</f>
        <v/>
      </c>
      <c r="V106">
        <f>HYPERLINK("https://klasma.github.io/Logging_0580/klagomål/A 51484-2023 FSC-klagomål.docx", "A 51484-2023")</f>
        <v/>
      </c>
      <c r="W106">
        <f>HYPERLINK("https://klasma.github.io/Logging_0580/klagomålsmail/A 51484-2023 FSC-klagomål mail.docx", "A 51484-2023")</f>
        <v/>
      </c>
      <c r="X106">
        <f>HYPERLINK("https://klasma.github.io/Logging_0580/tillsyn/A 51484-2023 tillsynsbegäran.docx", "A 51484-2023")</f>
        <v/>
      </c>
      <c r="Y106">
        <f>HYPERLINK("https://klasma.github.io/Logging_0580/tillsynsmail/A 51484-2023 tillsynsbegäran mail.docx", "A 51484-2023")</f>
        <v/>
      </c>
      <c r="Z106">
        <f>HYPERLINK("https://klasma.github.io/Logging_0580/fåglar/A 51484-2023 prioriterade fågelarter.docx", "A 51484-2023")</f>
        <v/>
      </c>
    </row>
    <row r="107" ht="15" customHeight="1">
      <c r="A107" t="inlineStr">
        <is>
          <t>A 56651-2023</t>
        </is>
      </c>
      <c r="B107" s="1" t="n">
        <v>45243</v>
      </c>
      <c r="C107" s="1" t="n">
        <v>46196</v>
      </c>
      <c r="D107" t="inlineStr">
        <is>
          <t>ÖSTERGÖTLANDS LÄN</t>
        </is>
      </c>
      <c r="E107" t="inlineStr">
        <is>
          <t>LINKÖPING</t>
        </is>
      </c>
      <c r="F107" t="inlineStr">
        <is>
          <t>Övriga Aktiebolag</t>
        </is>
      </c>
      <c r="G107" t="n">
        <v>2.3</v>
      </c>
      <c r="H107" t="n">
        <v>0</v>
      </c>
      <c r="I107" t="n">
        <v>0</v>
      </c>
      <c r="J107" t="n">
        <v>1</v>
      </c>
      <c r="K107" t="n">
        <v>0</v>
      </c>
      <c r="L107" t="n">
        <v>0</v>
      </c>
      <c r="M107" t="n">
        <v>0</v>
      </c>
      <c r="N107" t="n">
        <v>0</v>
      </c>
      <c r="O107" t="n">
        <v>1</v>
      </c>
      <c r="P107" t="n">
        <v>0</v>
      </c>
      <c r="Q107" t="n">
        <v>1</v>
      </c>
      <c r="R107" s="2" t="inlineStr">
        <is>
          <t>Gul dropplav</t>
        </is>
      </c>
      <c r="S107">
        <f>HYPERLINK("https://klasma.github.io/Logging_0580/artfynd/A 56651-2023 artfynd.xlsx", "A 56651-2023")</f>
        <v/>
      </c>
      <c r="T107">
        <f>HYPERLINK("https://klasma.github.io/Logging_0580/kartor/A 56651-2023 karta.png", "A 56651-2023")</f>
        <v/>
      </c>
      <c r="V107">
        <f>HYPERLINK("https://klasma.github.io/Logging_0580/klagomål/A 56651-2023 FSC-klagomål.docx", "A 56651-2023")</f>
        <v/>
      </c>
      <c r="W107">
        <f>HYPERLINK("https://klasma.github.io/Logging_0580/klagomålsmail/A 56651-2023 FSC-klagomål mail.docx", "A 56651-2023")</f>
        <v/>
      </c>
      <c r="X107">
        <f>HYPERLINK("https://klasma.github.io/Logging_0580/tillsyn/A 56651-2023 tillsynsbegäran.docx", "A 56651-2023")</f>
        <v/>
      </c>
      <c r="Y107">
        <f>HYPERLINK("https://klasma.github.io/Logging_0580/tillsynsmail/A 56651-2023 tillsynsbegäran mail.docx", "A 56651-2023")</f>
        <v/>
      </c>
    </row>
    <row r="108" ht="15" customHeight="1">
      <c r="A108" t="inlineStr">
        <is>
          <t>A 25229-2026</t>
        </is>
      </c>
      <c r="B108" s="1" t="n">
        <v>46175</v>
      </c>
      <c r="C108" s="1" t="n">
        <v>46196</v>
      </c>
      <c r="D108" t="inlineStr">
        <is>
          <t>ÖSTERGÖTLANDS LÄN</t>
        </is>
      </c>
      <c r="E108" t="inlineStr">
        <is>
          <t>LINKÖPING</t>
        </is>
      </c>
      <c r="G108" t="n">
        <v>2.5</v>
      </c>
      <c r="H108" t="n">
        <v>1</v>
      </c>
      <c r="I108" t="n">
        <v>1</v>
      </c>
      <c r="J108" t="n">
        <v>0</v>
      </c>
      <c r="K108" t="n">
        <v>0</v>
      </c>
      <c r="L108" t="n">
        <v>0</v>
      </c>
      <c r="M108" t="n">
        <v>0</v>
      </c>
      <c r="N108" t="n">
        <v>0</v>
      </c>
      <c r="O108" t="n">
        <v>0</v>
      </c>
      <c r="P108" t="n">
        <v>0</v>
      </c>
      <c r="Q108" t="n">
        <v>1</v>
      </c>
      <c r="R108" s="2" t="inlineStr">
        <is>
          <t>Ekoxe</t>
        </is>
      </c>
      <c r="S108">
        <f>HYPERLINK("https://klasma.github.io/Logging_0580/artfynd/A 25229-2026 artfynd.xlsx", "A 25229-2026")</f>
        <v/>
      </c>
      <c r="T108">
        <f>HYPERLINK("https://klasma.github.io/Logging_0580/kartor/A 25229-2026 karta.png", "A 25229-2026")</f>
        <v/>
      </c>
      <c r="V108">
        <f>HYPERLINK("https://klasma.github.io/Logging_0580/klagomål/A 25229-2026 FSC-klagomål.docx", "A 25229-2026")</f>
        <v/>
      </c>
      <c r="W108">
        <f>HYPERLINK("https://klasma.github.io/Logging_0580/klagomålsmail/A 25229-2026 FSC-klagomål mail.docx", "A 25229-2026")</f>
        <v/>
      </c>
      <c r="X108">
        <f>HYPERLINK("https://klasma.github.io/Logging_0580/tillsyn/A 25229-2026 tillsynsbegäran.docx", "A 25229-2026")</f>
        <v/>
      </c>
      <c r="Y108">
        <f>HYPERLINK("https://klasma.github.io/Logging_0580/tillsynsmail/A 25229-2026 tillsynsbegäran mail.docx", "A 25229-2026")</f>
        <v/>
      </c>
    </row>
    <row r="109" ht="15" customHeight="1">
      <c r="A109" t="inlineStr">
        <is>
          <t>A 60311-2025</t>
        </is>
      </c>
      <c r="B109" s="1" t="n">
        <v>45994</v>
      </c>
      <c r="C109" s="1" t="n">
        <v>46196</v>
      </c>
      <c r="D109" t="inlineStr">
        <is>
          <t>ÖSTERGÖTLANDS LÄN</t>
        </is>
      </c>
      <c r="E109" t="inlineStr">
        <is>
          <t>LINKÖPING</t>
        </is>
      </c>
      <c r="G109" t="n">
        <v>1.9</v>
      </c>
      <c r="H109" t="n">
        <v>0</v>
      </c>
      <c r="I109" t="n">
        <v>0</v>
      </c>
      <c r="J109" t="n">
        <v>1</v>
      </c>
      <c r="K109" t="n">
        <v>0</v>
      </c>
      <c r="L109" t="n">
        <v>0</v>
      </c>
      <c r="M109" t="n">
        <v>0</v>
      </c>
      <c r="N109" t="n">
        <v>0</v>
      </c>
      <c r="O109" t="n">
        <v>1</v>
      </c>
      <c r="P109" t="n">
        <v>0</v>
      </c>
      <c r="Q109" t="n">
        <v>1</v>
      </c>
      <c r="R109" s="2" t="inlineStr">
        <is>
          <t>Gammelekslav</t>
        </is>
      </c>
      <c r="S109">
        <f>HYPERLINK("https://klasma.github.io/Logging_0580/artfynd/A 60311-2025 artfynd.xlsx", "A 60311-2025")</f>
        <v/>
      </c>
      <c r="T109">
        <f>HYPERLINK("https://klasma.github.io/Logging_0580/kartor/A 60311-2025 karta.png", "A 60311-2025")</f>
        <v/>
      </c>
      <c r="V109">
        <f>HYPERLINK("https://klasma.github.io/Logging_0580/klagomål/A 60311-2025 FSC-klagomål.docx", "A 60311-2025")</f>
        <v/>
      </c>
      <c r="W109">
        <f>HYPERLINK("https://klasma.github.io/Logging_0580/klagomålsmail/A 60311-2025 FSC-klagomål mail.docx", "A 60311-2025")</f>
        <v/>
      </c>
      <c r="X109">
        <f>HYPERLINK("https://klasma.github.io/Logging_0580/tillsyn/A 60311-2025 tillsynsbegäran.docx", "A 60311-2025")</f>
        <v/>
      </c>
      <c r="Y109">
        <f>HYPERLINK("https://klasma.github.io/Logging_0580/tillsynsmail/A 60311-2025 tillsynsbegäran mail.docx", "A 60311-2025")</f>
        <v/>
      </c>
    </row>
    <row r="110" ht="15" customHeight="1">
      <c r="A110" t="inlineStr">
        <is>
          <t>A 25262-2026</t>
        </is>
      </c>
      <c r="B110" s="1" t="n">
        <v>46175</v>
      </c>
      <c r="C110" s="1" t="n">
        <v>46196</v>
      </c>
      <c r="D110" t="inlineStr">
        <is>
          <t>ÖSTERGÖTLANDS LÄN</t>
        </is>
      </c>
      <c r="E110" t="inlineStr">
        <is>
          <t>LINKÖPING</t>
        </is>
      </c>
      <c r="G110" t="n">
        <v>0.9</v>
      </c>
      <c r="H110" t="n">
        <v>0</v>
      </c>
      <c r="I110" t="n">
        <v>0</v>
      </c>
      <c r="J110" t="n">
        <v>1</v>
      </c>
      <c r="K110" t="n">
        <v>0</v>
      </c>
      <c r="L110" t="n">
        <v>0</v>
      </c>
      <c r="M110" t="n">
        <v>0</v>
      </c>
      <c r="N110" t="n">
        <v>0</v>
      </c>
      <c r="O110" t="n">
        <v>1</v>
      </c>
      <c r="P110" t="n">
        <v>0</v>
      </c>
      <c r="Q110" t="n">
        <v>1</v>
      </c>
      <c r="R110" s="2" t="inlineStr">
        <is>
          <t>Gullklöver</t>
        </is>
      </c>
      <c r="S110">
        <f>HYPERLINK("https://klasma.github.io/Logging_0580/artfynd/A 25262-2026 artfynd.xlsx", "A 25262-2026")</f>
        <v/>
      </c>
      <c r="T110">
        <f>HYPERLINK("https://klasma.github.io/Logging_0580/kartor/A 25262-2026 karta.png", "A 25262-2026")</f>
        <v/>
      </c>
      <c r="V110">
        <f>HYPERLINK("https://klasma.github.io/Logging_0580/klagomål/A 25262-2026 FSC-klagomål.docx", "A 25262-2026")</f>
        <v/>
      </c>
      <c r="W110">
        <f>HYPERLINK("https://klasma.github.io/Logging_0580/klagomålsmail/A 25262-2026 FSC-klagomål mail.docx", "A 25262-2026")</f>
        <v/>
      </c>
      <c r="X110">
        <f>HYPERLINK("https://klasma.github.io/Logging_0580/tillsyn/A 25262-2026 tillsynsbegäran.docx", "A 25262-2026")</f>
        <v/>
      </c>
      <c r="Y110">
        <f>HYPERLINK("https://klasma.github.io/Logging_0580/tillsynsmail/A 25262-2026 tillsynsbegäran mail.docx", "A 25262-2026")</f>
        <v/>
      </c>
    </row>
    <row r="111" ht="15" customHeight="1">
      <c r="A111" t="inlineStr">
        <is>
          <t>A 17444-2025</t>
        </is>
      </c>
      <c r="B111" s="1" t="n">
        <v>45757</v>
      </c>
      <c r="C111" s="1" t="n">
        <v>46196</v>
      </c>
      <c r="D111" t="inlineStr">
        <is>
          <t>ÖSTERGÖTLANDS LÄN</t>
        </is>
      </c>
      <c r="E111" t="inlineStr">
        <is>
          <t>LINKÖPING</t>
        </is>
      </c>
      <c r="G111" t="n">
        <v>1.3</v>
      </c>
      <c r="H111" t="n">
        <v>1</v>
      </c>
      <c r="I111" t="n">
        <v>0</v>
      </c>
      <c r="J111" t="n">
        <v>1</v>
      </c>
      <c r="K111" t="n">
        <v>0</v>
      </c>
      <c r="L111" t="n">
        <v>0</v>
      </c>
      <c r="M111" t="n">
        <v>0</v>
      </c>
      <c r="N111" t="n">
        <v>0</v>
      </c>
      <c r="O111" t="n">
        <v>1</v>
      </c>
      <c r="P111" t="n">
        <v>0</v>
      </c>
      <c r="Q111" t="n">
        <v>1</v>
      </c>
      <c r="R111" s="2" t="inlineStr">
        <is>
          <t>Dårgräsfjäril</t>
        </is>
      </c>
      <c r="S111">
        <f>HYPERLINK("https://klasma.github.io/Logging_0580/artfynd/A 17444-2025 artfynd.xlsx", "A 17444-2025")</f>
        <v/>
      </c>
      <c r="T111">
        <f>HYPERLINK("https://klasma.github.io/Logging_0580/kartor/A 17444-2025 karta.png", "A 17444-2025")</f>
        <v/>
      </c>
      <c r="V111">
        <f>HYPERLINK("https://klasma.github.io/Logging_0580/klagomål/A 17444-2025 FSC-klagomål.docx", "A 17444-2025")</f>
        <v/>
      </c>
      <c r="W111">
        <f>HYPERLINK("https://klasma.github.io/Logging_0580/klagomålsmail/A 17444-2025 FSC-klagomål mail.docx", "A 17444-2025")</f>
        <v/>
      </c>
      <c r="X111">
        <f>HYPERLINK("https://klasma.github.io/Logging_0580/tillsyn/A 17444-2025 tillsynsbegäran.docx", "A 17444-2025")</f>
        <v/>
      </c>
      <c r="Y111">
        <f>HYPERLINK("https://klasma.github.io/Logging_0580/tillsynsmail/A 17444-2025 tillsynsbegäran mail.docx", "A 17444-2025")</f>
        <v/>
      </c>
    </row>
    <row r="112" ht="15" customHeight="1">
      <c r="A112" t="inlineStr">
        <is>
          <t>A 25901-2026</t>
        </is>
      </c>
      <c r="B112" s="1" t="n">
        <v>46178</v>
      </c>
      <c r="C112" s="1" t="n">
        <v>46196</v>
      </c>
      <c r="D112" t="inlineStr">
        <is>
          <t>ÖSTERGÖTLANDS LÄN</t>
        </is>
      </c>
      <c r="E112" t="inlineStr">
        <is>
          <t>LINKÖPING</t>
        </is>
      </c>
      <c r="G112" t="n">
        <v>4.9</v>
      </c>
      <c r="H112" t="n">
        <v>1</v>
      </c>
      <c r="I112" t="n">
        <v>1</v>
      </c>
      <c r="J112" t="n">
        <v>0</v>
      </c>
      <c r="K112" t="n">
        <v>0</v>
      </c>
      <c r="L112" t="n">
        <v>0</v>
      </c>
      <c r="M112" t="n">
        <v>0</v>
      </c>
      <c r="N112" t="n">
        <v>0</v>
      </c>
      <c r="O112" t="n">
        <v>0</v>
      </c>
      <c r="P112" t="n">
        <v>0</v>
      </c>
      <c r="Q112" t="n">
        <v>1</v>
      </c>
      <c r="R112" s="2" t="inlineStr">
        <is>
          <t>Skogsknipprot</t>
        </is>
      </c>
      <c r="S112">
        <f>HYPERLINK("https://klasma.github.io/Logging_0580/artfynd/A 25901-2026 artfynd.xlsx", "A 25901-2026")</f>
        <v/>
      </c>
      <c r="T112">
        <f>HYPERLINK("https://klasma.github.io/Logging_0580/kartor/A 25901-2026 karta.png", "A 25901-2026")</f>
        <v/>
      </c>
      <c r="V112">
        <f>HYPERLINK("https://klasma.github.io/Logging_0580/klagomål/A 25901-2026 FSC-klagomål.docx", "A 25901-2026")</f>
        <v/>
      </c>
      <c r="W112">
        <f>HYPERLINK("https://klasma.github.io/Logging_0580/klagomålsmail/A 25901-2026 FSC-klagomål mail.docx", "A 25901-2026")</f>
        <v/>
      </c>
      <c r="X112">
        <f>HYPERLINK("https://klasma.github.io/Logging_0580/tillsyn/A 25901-2026 tillsynsbegäran.docx", "A 25901-2026")</f>
        <v/>
      </c>
      <c r="Y112">
        <f>HYPERLINK("https://klasma.github.io/Logging_0580/tillsynsmail/A 25901-2026 tillsynsbegäran mail.docx", "A 25901-2026")</f>
        <v/>
      </c>
    </row>
    <row r="113" ht="15" customHeight="1">
      <c r="A113" t="inlineStr">
        <is>
          <t>A 54332-2025</t>
        </is>
      </c>
      <c r="B113" s="1" t="n">
        <v>45965</v>
      </c>
      <c r="C113" s="1" t="n">
        <v>46196</v>
      </c>
      <c r="D113" t="inlineStr">
        <is>
          <t>ÖSTERGÖTLANDS LÄN</t>
        </is>
      </c>
      <c r="E113" t="inlineStr">
        <is>
          <t>LINKÖPING</t>
        </is>
      </c>
      <c r="F113" t="inlineStr">
        <is>
          <t>Sveaskog</t>
        </is>
      </c>
      <c r="G113" t="n">
        <v>0.9</v>
      </c>
      <c r="H113" t="n">
        <v>0</v>
      </c>
      <c r="I113" t="n">
        <v>0</v>
      </c>
      <c r="J113" t="n">
        <v>1</v>
      </c>
      <c r="K113" t="n">
        <v>0</v>
      </c>
      <c r="L113" t="n">
        <v>0</v>
      </c>
      <c r="M113" t="n">
        <v>0</v>
      </c>
      <c r="N113" t="n">
        <v>0</v>
      </c>
      <c r="O113" t="n">
        <v>1</v>
      </c>
      <c r="P113" t="n">
        <v>0</v>
      </c>
      <c r="Q113" t="n">
        <v>1</v>
      </c>
      <c r="R113" s="2" t="inlineStr">
        <is>
          <t>Jungfrulin</t>
        </is>
      </c>
      <c r="S113">
        <f>HYPERLINK("https://klasma.github.io/Logging_0580/artfynd/A 54332-2025 artfynd.xlsx", "A 54332-2025")</f>
        <v/>
      </c>
      <c r="T113">
        <f>HYPERLINK("https://klasma.github.io/Logging_0580/kartor/A 54332-2025 karta.png", "A 54332-2025")</f>
        <v/>
      </c>
      <c r="V113">
        <f>HYPERLINK("https://klasma.github.io/Logging_0580/klagomål/A 54332-2025 FSC-klagomål.docx", "A 54332-2025")</f>
        <v/>
      </c>
      <c r="W113">
        <f>HYPERLINK("https://klasma.github.io/Logging_0580/klagomålsmail/A 54332-2025 FSC-klagomål mail.docx", "A 54332-2025")</f>
        <v/>
      </c>
      <c r="X113">
        <f>HYPERLINK("https://klasma.github.io/Logging_0580/tillsyn/A 54332-2025 tillsynsbegäran.docx", "A 54332-2025")</f>
        <v/>
      </c>
      <c r="Y113">
        <f>HYPERLINK("https://klasma.github.io/Logging_0580/tillsynsmail/A 54332-2025 tillsynsbegäran mail.docx", "A 54332-2025")</f>
        <v/>
      </c>
    </row>
    <row r="114" ht="15" customHeight="1">
      <c r="A114" t="inlineStr">
        <is>
          <t>A 57766-2023</t>
        </is>
      </c>
      <c r="B114" s="1" t="n">
        <v>45246</v>
      </c>
      <c r="C114" s="1" t="n">
        <v>46196</v>
      </c>
      <c r="D114" t="inlineStr">
        <is>
          <t>ÖSTERGÖTLANDS LÄN</t>
        </is>
      </c>
      <c r="E114" t="inlineStr">
        <is>
          <t>LINKÖPING</t>
        </is>
      </c>
      <c r="F114" t="inlineStr">
        <is>
          <t>Allmännings- och besparingsskogar</t>
        </is>
      </c>
      <c r="G114" t="n">
        <v>12.8</v>
      </c>
      <c r="H114" t="n">
        <v>1</v>
      </c>
      <c r="I114" t="n">
        <v>0</v>
      </c>
      <c r="J114" t="n">
        <v>0</v>
      </c>
      <c r="K114" t="n">
        <v>0</v>
      </c>
      <c r="L114" t="n">
        <v>0</v>
      </c>
      <c r="M114" t="n">
        <v>0</v>
      </c>
      <c r="N114" t="n">
        <v>0</v>
      </c>
      <c r="O114" t="n">
        <v>0</v>
      </c>
      <c r="P114" t="n">
        <v>0</v>
      </c>
      <c r="Q114" t="n">
        <v>1</v>
      </c>
      <c r="R114" s="2" t="inlineStr">
        <is>
          <t>Vanlig padda</t>
        </is>
      </c>
      <c r="S114">
        <f>HYPERLINK("https://klasma.github.io/Logging_0580/artfynd/A 57766-2023 artfynd.xlsx", "A 57766-2023")</f>
        <v/>
      </c>
      <c r="T114">
        <f>HYPERLINK("https://klasma.github.io/Logging_0580/kartor/A 57766-2023 karta.png", "A 57766-2023")</f>
        <v/>
      </c>
      <c r="V114">
        <f>HYPERLINK("https://klasma.github.io/Logging_0580/klagomål/A 57766-2023 FSC-klagomål.docx", "A 57766-2023")</f>
        <v/>
      </c>
      <c r="W114">
        <f>HYPERLINK("https://klasma.github.io/Logging_0580/klagomålsmail/A 57766-2023 FSC-klagomål mail.docx", "A 57766-2023")</f>
        <v/>
      </c>
      <c r="X114">
        <f>HYPERLINK("https://klasma.github.io/Logging_0580/tillsyn/A 57766-2023 tillsynsbegäran.docx", "A 57766-2023")</f>
        <v/>
      </c>
      <c r="Y114">
        <f>HYPERLINK("https://klasma.github.io/Logging_0580/tillsynsmail/A 57766-2023 tillsynsbegäran mail.docx", "A 57766-2023")</f>
        <v/>
      </c>
    </row>
    <row r="115" ht="15" customHeight="1">
      <c r="A115" t="inlineStr">
        <is>
          <t>A 51583-2024</t>
        </is>
      </c>
      <c r="B115" s="1" t="n">
        <v>45604</v>
      </c>
      <c r="C115" s="1" t="n">
        <v>46196</v>
      </c>
      <c r="D115" t="inlineStr">
        <is>
          <t>ÖSTERGÖTLANDS LÄN</t>
        </is>
      </c>
      <c r="E115" t="inlineStr">
        <is>
          <t>LINKÖPING</t>
        </is>
      </c>
      <c r="F115" t="inlineStr">
        <is>
          <t>Övriga Aktiebolag</t>
        </is>
      </c>
      <c r="G115" t="n">
        <v>8.699999999999999</v>
      </c>
      <c r="H115" t="n">
        <v>1</v>
      </c>
      <c r="I115" t="n">
        <v>0</v>
      </c>
      <c r="J115" t="n">
        <v>0</v>
      </c>
      <c r="K115" t="n">
        <v>1</v>
      </c>
      <c r="L115" t="n">
        <v>0</v>
      </c>
      <c r="M115" t="n">
        <v>0</v>
      </c>
      <c r="N115" t="n">
        <v>0</v>
      </c>
      <c r="O115" t="n">
        <v>1</v>
      </c>
      <c r="P115" t="n">
        <v>1</v>
      </c>
      <c r="Q115" t="n">
        <v>1</v>
      </c>
      <c r="R115" s="2" t="inlineStr">
        <is>
          <t>Läderbagge</t>
        </is>
      </c>
      <c r="S115">
        <f>HYPERLINK("https://klasma.github.io/Logging_0580/artfynd/A 51583-2024 artfynd.xlsx", "A 51583-2024")</f>
        <v/>
      </c>
      <c r="T115">
        <f>HYPERLINK("https://klasma.github.io/Logging_0580/kartor/A 51583-2024 karta.png", "A 51583-2024")</f>
        <v/>
      </c>
      <c r="V115">
        <f>HYPERLINK("https://klasma.github.io/Logging_0580/klagomål/A 51583-2024 FSC-klagomål.docx", "A 51583-2024")</f>
        <v/>
      </c>
      <c r="W115">
        <f>HYPERLINK("https://klasma.github.io/Logging_0580/klagomålsmail/A 51583-2024 FSC-klagomål mail.docx", "A 51583-2024")</f>
        <v/>
      </c>
      <c r="X115">
        <f>HYPERLINK("https://klasma.github.io/Logging_0580/tillsyn/A 51583-2024 tillsynsbegäran.docx", "A 51583-2024")</f>
        <v/>
      </c>
      <c r="Y115">
        <f>HYPERLINK("https://klasma.github.io/Logging_0580/tillsynsmail/A 51583-2024 tillsynsbegäran mail.docx", "A 51583-2024")</f>
        <v/>
      </c>
    </row>
    <row r="116" ht="15" customHeight="1">
      <c r="A116" t="inlineStr">
        <is>
          <t>A 1084-2023</t>
        </is>
      </c>
      <c r="B116" s="1" t="n">
        <v>44929</v>
      </c>
      <c r="C116" s="1" t="n">
        <v>46196</v>
      </c>
      <c r="D116" t="inlineStr">
        <is>
          <t>ÖSTERGÖTLANDS LÄN</t>
        </is>
      </c>
      <c r="E116" t="inlineStr">
        <is>
          <t>LINKÖPING</t>
        </is>
      </c>
      <c r="G116" t="n">
        <v>10.4</v>
      </c>
      <c r="H116" t="n">
        <v>0</v>
      </c>
      <c r="I116" t="n">
        <v>1</v>
      </c>
      <c r="J116" t="n">
        <v>0</v>
      </c>
      <c r="K116" t="n">
        <v>0</v>
      </c>
      <c r="L116" t="n">
        <v>0</v>
      </c>
      <c r="M116" t="n">
        <v>0</v>
      </c>
      <c r="N116" t="n">
        <v>0</v>
      </c>
      <c r="O116" t="n">
        <v>0</v>
      </c>
      <c r="P116" t="n">
        <v>0</v>
      </c>
      <c r="Q116" t="n">
        <v>1</v>
      </c>
      <c r="R116" s="2" t="inlineStr">
        <is>
          <t>Grovticka</t>
        </is>
      </c>
      <c r="S116">
        <f>HYPERLINK("https://klasma.github.io/Logging_0580/artfynd/A 1084-2023 artfynd.xlsx", "A 1084-2023")</f>
        <v/>
      </c>
      <c r="T116">
        <f>HYPERLINK("https://klasma.github.io/Logging_0580/kartor/A 1084-2023 karta.png", "A 1084-2023")</f>
        <v/>
      </c>
      <c r="V116">
        <f>HYPERLINK("https://klasma.github.io/Logging_0580/klagomål/A 1084-2023 FSC-klagomål.docx", "A 1084-2023")</f>
        <v/>
      </c>
      <c r="W116">
        <f>HYPERLINK("https://klasma.github.io/Logging_0580/klagomålsmail/A 1084-2023 FSC-klagomål mail.docx", "A 1084-2023")</f>
        <v/>
      </c>
      <c r="X116">
        <f>HYPERLINK("https://klasma.github.io/Logging_0580/tillsyn/A 1084-2023 tillsynsbegäran.docx", "A 1084-2023")</f>
        <v/>
      </c>
      <c r="Y116">
        <f>HYPERLINK("https://klasma.github.io/Logging_0580/tillsynsmail/A 1084-2023 tillsynsbegäran mail.docx", "A 1084-2023")</f>
        <v/>
      </c>
    </row>
    <row r="117" ht="15" customHeight="1">
      <c r="A117" t="inlineStr">
        <is>
          <t>A 40315-2024</t>
        </is>
      </c>
      <c r="B117" s="1" t="n">
        <v>45554</v>
      </c>
      <c r="C117" s="1" t="n">
        <v>46196</v>
      </c>
      <c r="D117" t="inlineStr">
        <is>
          <t>ÖSTERGÖTLANDS LÄN</t>
        </is>
      </c>
      <c r="E117" t="inlineStr">
        <is>
          <t>LINKÖPING</t>
        </is>
      </c>
      <c r="F117" t="inlineStr">
        <is>
          <t>Allmännings- och besparingsskogar</t>
        </is>
      </c>
      <c r="G117" t="n">
        <v>15.8</v>
      </c>
      <c r="H117" t="n">
        <v>0</v>
      </c>
      <c r="I117" t="n">
        <v>0</v>
      </c>
      <c r="J117" t="n">
        <v>0</v>
      </c>
      <c r="K117" t="n">
        <v>0</v>
      </c>
      <c r="L117" t="n">
        <v>1</v>
      </c>
      <c r="M117" t="n">
        <v>0</v>
      </c>
      <c r="N117" t="n">
        <v>0</v>
      </c>
      <c r="O117" t="n">
        <v>1</v>
      </c>
      <c r="P117" t="n">
        <v>1</v>
      </c>
      <c r="Q117" t="n">
        <v>1</v>
      </c>
      <c r="R117" s="2" t="inlineStr">
        <is>
          <t>Skogsalm</t>
        </is>
      </c>
      <c r="S117">
        <f>HYPERLINK("https://klasma.github.io/Logging_0580/artfynd/A 40315-2024 artfynd.xlsx", "A 40315-2024")</f>
        <v/>
      </c>
      <c r="T117">
        <f>HYPERLINK("https://klasma.github.io/Logging_0580/kartor/A 40315-2024 karta.png", "A 40315-2024")</f>
        <v/>
      </c>
      <c r="V117">
        <f>HYPERLINK("https://klasma.github.io/Logging_0580/klagomål/A 40315-2024 FSC-klagomål.docx", "A 40315-2024")</f>
        <v/>
      </c>
      <c r="W117">
        <f>HYPERLINK("https://klasma.github.io/Logging_0580/klagomålsmail/A 40315-2024 FSC-klagomål mail.docx", "A 40315-2024")</f>
        <v/>
      </c>
      <c r="X117">
        <f>HYPERLINK("https://klasma.github.io/Logging_0580/tillsyn/A 40315-2024 tillsynsbegäran.docx", "A 40315-2024")</f>
        <v/>
      </c>
      <c r="Y117">
        <f>HYPERLINK("https://klasma.github.io/Logging_0580/tillsynsmail/A 40315-2024 tillsynsbegäran mail.docx", "A 40315-2024")</f>
        <v/>
      </c>
    </row>
    <row r="118" ht="15" customHeight="1">
      <c r="A118" t="inlineStr">
        <is>
          <t>A 45806-2024</t>
        </is>
      </c>
      <c r="B118" s="1" t="n">
        <v>45579</v>
      </c>
      <c r="C118" s="1" t="n">
        <v>46196</v>
      </c>
      <c r="D118" t="inlineStr">
        <is>
          <t>ÖSTERGÖTLANDS LÄN</t>
        </is>
      </c>
      <c r="E118" t="inlineStr">
        <is>
          <t>LINKÖPING</t>
        </is>
      </c>
      <c r="G118" t="n">
        <v>1.6</v>
      </c>
      <c r="H118" t="n">
        <v>0</v>
      </c>
      <c r="I118" t="n">
        <v>1</v>
      </c>
      <c r="J118" t="n">
        <v>0</v>
      </c>
      <c r="K118" t="n">
        <v>0</v>
      </c>
      <c r="L118" t="n">
        <v>0</v>
      </c>
      <c r="M118" t="n">
        <v>0</v>
      </c>
      <c r="N118" t="n">
        <v>0</v>
      </c>
      <c r="O118" t="n">
        <v>0</v>
      </c>
      <c r="P118" t="n">
        <v>0</v>
      </c>
      <c r="Q118" t="n">
        <v>1</v>
      </c>
      <c r="R118" s="2" t="inlineStr">
        <is>
          <t>Brun nållav</t>
        </is>
      </c>
      <c r="S118">
        <f>HYPERLINK("https://klasma.github.io/Logging_0580/artfynd/A 45806-2024 artfynd.xlsx", "A 45806-2024")</f>
        <v/>
      </c>
      <c r="T118">
        <f>HYPERLINK("https://klasma.github.io/Logging_0580/kartor/A 45806-2024 karta.png", "A 45806-2024")</f>
        <v/>
      </c>
      <c r="V118">
        <f>HYPERLINK("https://klasma.github.io/Logging_0580/klagomål/A 45806-2024 FSC-klagomål.docx", "A 45806-2024")</f>
        <v/>
      </c>
      <c r="W118">
        <f>HYPERLINK("https://klasma.github.io/Logging_0580/klagomålsmail/A 45806-2024 FSC-klagomål mail.docx", "A 45806-2024")</f>
        <v/>
      </c>
      <c r="X118">
        <f>HYPERLINK("https://klasma.github.io/Logging_0580/tillsyn/A 45806-2024 tillsynsbegäran.docx", "A 45806-2024")</f>
        <v/>
      </c>
      <c r="Y118">
        <f>HYPERLINK("https://klasma.github.io/Logging_0580/tillsynsmail/A 45806-2024 tillsynsbegäran mail.docx", "A 45806-2024")</f>
        <v/>
      </c>
    </row>
    <row r="119" ht="15" customHeight="1">
      <c r="A119" t="inlineStr">
        <is>
          <t>A 56756-2023</t>
        </is>
      </c>
      <c r="B119" s="1" t="n">
        <v>45244</v>
      </c>
      <c r="C119" s="1" t="n">
        <v>46196</v>
      </c>
      <c r="D119" t="inlineStr">
        <is>
          <t>ÖSTERGÖTLANDS LÄN</t>
        </is>
      </c>
      <c r="E119" t="inlineStr">
        <is>
          <t>LINKÖPING</t>
        </is>
      </c>
      <c r="F119" t="inlineStr">
        <is>
          <t>Övriga Aktiebolag</t>
        </is>
      </c>
      <c r="G119" t="n">
        <v>0.8</v>
      </c>
      <c r="H119" t="n">
        <v>1</v>
      </c>
      <c r="I119" t="n">
        <v>0</v>
      </c>
      <c r="J119" t="n">
        <v>0</v>
      </c>
      <c r="K119" t="n">
        <v>0</v>
      </c>
      <c r="L119" t="n">
        <v>0</v>
      </c>
      <c r="M119" t="n">
        <v>0</v>
      </c>
      <c r="N119" t="n">
        <v>0</v>
      </c>
      <c r="O119" t="n">
        <v>0</v>
      </c>
      <c r="P119" t="n">
        <v>0</v>
      </c>
      <c r="Q119" t="n">
        <v>1</v>
      </c>
      <c r="R119" s="2" t="inlineStr">
        <is>
          <t>Kråka</t>
        </is>
      </c>
      <c r="S119">
        <f>HYPERLINK("https://klasma.github.io/Logging_0580/artfynd/A 56756-2023 artfynd.xlsx", "A 56756-2023")</f>
        <v/>
      </c>
      <c r="T119">
        <f>HYPERLINK("https://klasma.github.io/Logging_0580/kartor/A 56756-2023 karta.png", "A 56756-2023")</f>
        <v/>
      </c>
      <c r="V119">
        <f>HYPERLINK("https://klasma.github.io/Logging_0580/klagomål/A 56756-2023 FSC-klagomål.docx", "A 56756-2023")</f>
        <v/>
      </c>
      <c r="W119">
        <f>HYPERLINK("https://klasma.github.io/Logging_0580/klagomålsmail/A 56756-2023 FSC-klagomål mail.docx", "A 56756-2023")</f>
        <v/>
      </c>
      <c r="X119">
        <f>HYPERLINK("https://klasma.github.io/Logging_0580/tillsyn/A 56756-2023 tillsynsbegäran.docx", "A 56756-2023")</f>
        <v/>
      </c>
      <c r="Y119">
        <f>HYPERLINK("https://klasma.github.io/Logging_0580/tillsynsmail/A 56756-2023 tillsynsbegäran mail.docx", "A 56756-2023")</f>
        <v/>
      </c>
    </row>
    <row r="120" ht="15" customHeight="1">
      <c r="A120" t="inlineStr">
        <is>
          <t>A 56128-2022</t>
        </is>
      </c>
      <c r="B120" s="1" t="n">
        <v>44889</v>
      </c>
      <c r="C120" s="1" t="n">
        <v>46196</v>
      </c>
      <c r="D120" t="inlineStr">
        <is>
          <t>ÖSTERGÖTLANDS LÄN</t>
        </is>
      </c>
      <c r="E120" t="inlineStr">
        <is>
          <t>LINKÖPING</t>
        </is>
      </c>
      <c r="G120" t="n">
        <v>2</v>
      </c>
      <c r="H120" t="n">
        <v>0</v>
      </c>
      <c r="I120" t="n">
        <v>1</v>
      </c>
      <c r="J120" t="n">
        <v>0</v>
      </c>
      <c r="K120" t="n">
        <v>0</v>
      </c>
      <c r="L120" t="n">
        <v>0</v>
      </c>
      <c r="M120" t="n">
        <v>0</v>
      </c>
      <c r="N120" t="n">
        <v>0</v>
      </c>
      <c r="O120" t="n">
        <v>0</v>
      </c>
      <c r="P120" t="n">
        <v>0</v>
      </c>
      <c r="Q120" t="n">
        <v>1</v>
      </c>
      <c r="R120" s="2" t="inlineStr">
        <is>
          <t>Tibast</t>
        </is>
      </c>
      <c r="S120">
        <f>HYPERLINK("https://klasma.github.io/Logging_0580/artfynd/A 56128-2022 artfynd.xlsx", "A 56128-2022")</f>
        <v/>
      </c>
      <c r="T120">
        <f>HYPERLINK("https://klasma.github.io/Logging_0580/kartor/A 56128-2022 karta.png", "A 56128-2022")</f>
        <v/>
      </c>
      <c r="V120">
        <f>HYPERLINK("https://klasma.github.io/Logging_0580/klagomål/A 56128-2022 FSC-klagomål.docx", "A 56128-2022")</f>
        <v/>
      </c>
      <c r="W120">
        <f>HYPERLINK("https://klasma.github.io/Logging_0580/klagomålsmail/A 56128-2022 FSC-klagomål mail.docx", "A 56128-2022")</f>
        <v/>
      </c>
      <c r="X120">
        <f>HYPERLINK("https://klasma.github.io/Logging_0580/tillsyn/A 56128-2022 tillsynsbegäran.docx", "A 56128-2022")</f>
        <v/>
      </c>
      <c r="Y120">
        <f>HYPERLINK("https://klasma.github.io/Logging_0580/tillsynsmail/A 56128-2022 tillsynsbegäran mail.docx", "A 56128-2022")</f>
        <v/>
      </c>
    </row>
    <row r="121" ht="15" customHeight="1">
      <c r="A121" t="inlineStr">
        <is>
          <t>A 51571-2024</t>
        </is>
      </c>
      <c r="B121" s="1" t="n">
        <v>45604</v>
      </c>
      <c r="C121" s="1" t="n">
        <v>46196</v>
      </c>
      <c r="D121" t="inlineStr">
        <is>
          <t>ÖSTERGÖTLANDS LÄN</t>
        </is>
      </c>
      <c r="E121" t="inlineStr">
        <is>
          <t>LINKÖPING</t>
        </is>
      </c>
      <c r="F121" t="inlineStr">
        <is>
          <t>Övriga Aktiebolag</t>
        </is>
      </c>
      <c r="G121" t="n">
        <v>1.4</v>
      </c>
      <c r="H121" t="n">
        <v>0</v>
      </c>
      <c r="I121" t="n">
        <v>0</v>
      </c>
      <c r="J121" t="n">
        <v>1</v>
      </c>
      <c r="K121" t="n">
        <v>0</v>
      </c>
      <c r="L121" t="n">
        <v>0</v>
      </c>
      <c r="M121" t="n">
        <v>0</v>
      </c>
      <c r="N121" t="n">
        <v>0</v>
      </c>
      <c r="O121" t="n">
        <v>1</v>
      </c>
      <c r="P121" t="n">
        <v>0</v>
      </c>
      <c r="Q121" t="n">
        <v>1</v>
      </c>
      <c r="R121" s="2" t="inlineStr">
        <is>
          <t>Ekticka</t>
        </is>
      </c>
      <c r="S121">
        <f>HYPERLINK("https://klasma.github.io/Logging_0580/artfynd/A 51571-2024 artfynd.xlsx", "A 51571-2024")</f>
        <v/>
      </c>
      <c r="T121">
        <f>HYPERLINK("https://klasma.github.io/Logging_0580/kartor/A 51571-2024 karta.png", "A 51571-2024")</f>
        <v/>
      </c>
      <c r="V121">
        <f>HYPERLINK("https://klasma.github.io/Logging_0580/klagomål/A 51571-2024 FSC-klagomål.docx", "A 51571-2024")</f>
        <v/>
      </c>
      <c r="W121">
        <f>HYPERLINK("https://klasma.github.io/Logging_0580/klagomålsmail/A 51571-2024 FSC-klagomål mail.docx", "A 51571-2024")</f>
        <v/>
      </c>
      <c r="X121">
        <f>HYPERLINK("https://klasma.github.io/Logging_0580/tillsyn/A 51571-2024 tillsynsbegäran.docx", "A 51571-2024")</f>
        <v/>
      </c>
      <c r="Y121">
        <f>HYPERLINK("https://klasma.github.io/Logging_0580/tillsynsmail/A 51571-2024 tillsynsbegäran mail.docx", "A 51571-2024")</f>
        <v/>
      </c>
    </row>
    <row r="122" ht="15" customHeight="1">
      <c r="A122" t="inlineStr">
        <is>
          <t>A 22842-2023</t>
        </is>
      </c>
      <c r="B122" s="1" t="n">
        <v>45071</v>
      </c>
      <c r="C122" s="1" t="n">
        <v>46196</v>
      </c>
      <c r="D122" t="inlineStr">
        <is>
          <t>ÖSTERGÖTLANDS LÄN</t>
        </is>
      </c>
      <c r="E122" t="inlineStr">
        <is>
          <t>LINKÖPING</t>
        </is>
      </c>
      <c r="F122" t="inlineStr">
        <is>
          <t>Kommuner</t>
        </is>
      </c>
      <c r="G122" t="n">
        <v>1.3</v>
      </c>
      <c r="H122" t="n">
        <v>1</v>
      </c>
      <c r="I122" t="n">
        <v>0</v>
      </c>
      <c r="J122" t="n">
        <v>0</v>
      </c>
      <c r="K122" t="n">
        <v>0</v>
      </c>
      <c r="L122" t="n">
        <v>0</v>
      </c>
      <c r="M122" t="n">
        <v>0</v>
      </c>
      <c r="N122" t="n">
        <v>0</v>
      </c>
      <c r="O122" t="n">
        <v>0</v>
      </c>
      <c r="P122" t="n">
        <v>0</v>
      </c>
      <c r="Q122" t="n">
        <v>1</v>
      </c>
      <c r="R122" s="2" t="inlineStr">
        <is>
          <t>Grönvit nattviol</t>
        </is>
      </c>
      <c r="S122">
        <f>HYPERLINK("https://klasma.github.io/Logging_0580/artfynd/A 22842-2023 artfynd.xlsx", "A 22842-2023")</f>
        <v/>
      </c>
      <c r="T122">
        <f>HYPERLINK("https://klasma.github.io/Logging_0580/kartor/A 22842-2023 karta.png", "A 22842-2023")</f>
        <v/>
      </c>
      <c r="V122">
        <f>HYPERLINK("https://klasma.github.io/Logging_0580/klagomål/A 22842-2023 FSC-klagomål.docx", "A 22842-2023")</f>
        <v/>
      </c>
      <c r="W122">
        <f>HYPERLINK("https://klasma.github.io/Logging_0580/klagomålsmail/A 22842-2023 FSC-klagomål mail.docx", "A 22842-2023")</f>
        <v/>
      </c>
      <c r="X122">
        <f>HYPERLINK("https://klasma.github.io/Logging_0580/tillsyn/A 22842-2023 tillsynsbegäran.docx", "A 22842-2023")</f>
        <v/>
      </c>
      <c r="Y122">
        <f>HYPERLINK("https://klasma.github.io/Logging_0580/tillsynsmail/A 22842-2023 tillsynsbegäran mail.docx", "A 22842-2023")</f>
        <v/>
      </c>
    </row>
    <row r="123" ht="15" customHeight="1">
      <c r="A123" t="inlineStr">
        <is>
          <t>A 1924-2024</t>
        </is>
      </c>
      <c r="B123" s="1" t="n">
        <v>45308</v>
      </c>
      <c r="C123" s="1" t="n">
        <v>46196</v>
      </c>
      <c r="D123" t="inlineStr">
        <is>
          <t>ÖSTERGÖTLANDS LÄN</t>
        </is>
      </c>
      <c r="E123" t="inlineStr">
        <is>
          <t>LINKÖPING</t>
        </is>
      </c>
      <c r="F123" t="inlineStr">
        <is>
          <t>Övriga Aktiebolag</t>
        </is>
      </c>
      <c r="G123" t="n">
        <v>0.5</v>
      </c>
      <c r="H123" t="n">
        <v>0</v>
      </c>
      <c r="I123" t="n">
        <v>1</v>
      </c>
      <c r="J123" t="n">
        <v>0</v>
      </c>
      <c r="K123" t="n">
        <v>0</v>
      </c>
      <c r="L123" t="n">
        <v>0</v>
      </c>
      <c r="M123" t="n">
        <v>0</v>
      </c>
      <c r="N123" t="n">
        <v>0</v>
      </c>
      <c r="O123" t="n">
        <v>0</v>
      </c>
      <c r="P123" t="n">
        <v>0</v>
      </c>
      <c r="Q123" t="n">
        <v>1</v>
      </c>
      <c r="R123" s="2" t="inlineStr">
        <is>
          <t>Svart trolldruva</t>
        </is>
      </c>
      <c r="S123">
        <f>HYPERLINK("https://klasma.github.io/Logging_0580/artfynd/A 1924-2024 artfynd.xlsx", "A 1924-2024")</f>
        <v/>
      </c>
      <c r="T123">
        <f>HYPERLINK("https://klasma.github.io/Logging_0580/kartor/A 1924-2024 karta.png", "A 1924-2024")</f>
        <v/>
      </c>
      <c r="V123">
        <f>HYPERLINK("https://klasma.github.io/Logging_0580/klagomål/A 1924-2024 FSC-klagomål.docx", "A 1924-2024")</f>
        <v/>
      </c>
      <c r="W123">
        <f>HYPERLINK("https://klasma.github.io/Logging_0580/klagomålsmail/A 1924-2024 FSC-klagomål mail.docx", "A 1924-2024")</f>
        <v/>
      </c>
      <c r="X123">
        <f>HYPERLINK("https://klasma.github.io/Logging_0580/tillsyn/A 1924-2024 tillsynsbegäran.docx", "A 1924-2024")</f>
        <v/>
      </c>
      <c r="Y123">
        <f>HYPERLINK("https://klasma.github.io/Logging_0580/tillsynsmail/A 1924-2024 tillsynsbegäran mail.docx", "A 1924-2024")</f>
        <v/>
      </c>
    </row>
    <row r="124" ht="15" customHeight="1">
      <c r="A124" t="inlineStr">
        <is>
          <t>A 21782-2024</t>
        </is>
      </c>
      <c r="B124" s="1" t="n">
        <v>45442</v>
      </c>
      <c r="C124" s="1" t="n">
        <v>46196</v>
      </c>
      <c r="D124" t="inlineStr">
        <is>
          <t>ÖSTERGÖTLANDS LÄN</t>
        </is>
      </c>
      <c r="E124" t="inlineStr">
        <is>
          <t>LINKÖPING</t>
        </is>
      </c>
      <c r="G124" t="n">
        <v>1.4</v>
      </c>
      <c r="H124" t="n">
        <v>1</v>
      </c>
      <c r="I124" t="n">
        <v>0</v>
      </c>
      <c r="J124" t="n">
        <v>0</v>
      </c>
      <c r="K124" t="n">
        <v>0</v>
      </c>
      <c r="L124" t="n">
        <v>0</v>
      </c>
      <c r="M124" t="n">
        <v>0</v>
      </c>
      <c r="N124" t="n">
        <v>0</v>
      </c>
      <c r="O124" t="n">
        <v>0</v>
      </c>
      <c r="P124" t="n">
        <v>0</v>
      </c>
      <c r="Q124" t="n">
        <v>1</v>
      </c>
      <c r="R124" s="2" t="inlineStr">
        <is>
          <t>Fjällvråk</t>
        </is>
      </c>
      <c r="S124">
        <f>HYPERLINK("https://klasma.github.io/Logging_0580/artfynd/A 21782-2024 artfynd.xlsx", "A 21782-2024")</f>
        <v/>
      </c>
      <c r="T124">
        <f>HYPERLINK("https://klasma.github.io/Logging_0580/kartor/A 21782-2024 karta.png", "A 21782-2024")</f>
        <v/>
      </c>
      <c r="V124">
        <f>HYPERLINK("https://klasma.github.io/Logging_0580/klagomål/A 21782-2024 FSC-klagomål.docx", "A 21782-2024")</f>
        <v/>
      </c>
      <c r="W124">
        <f>HYPERLINK("https://klasma.github.io/Logging_0580/klagomålsmail/A 21782-2024 FSC-klagomål mail.docx", "A 21782-2024")</f>
        <v/>
      </c>
      <c r="X124">
        <f>HYPERLINK("https://klasma.github.io/Logging_0580/tillsyn/A 21782-2024 tillsynsbegäran.docx", "A 21782-2024")</f>
        <v/>
      </c>
      <c r="Y124">
        <f>HYPERLINK("https://klasma.github.io/Logging_0580/tillsynsmail/A 21782-2024 tillsynsbegäran mail.docx", "A 21782-2024")</f>
        <v/>
      </c>
      <c r="Z124">
        <f>HYPERLINK("https://klasma.github.io/Logging_0580/fåglar/A 21782-2024 prioriterade fågelarter.docx", "A 21782-2024")</f>
        <v/>
      </c>
    </row>
    <row r="125" ht="15" customHeight="1">
      <c r="A125" t="inlineStr">
        <is>
          <t>A 3011-2023</t>
        </is>
      </c>
      <c r="B125" s="1" t="n">
        <v>44945</v>
      </c>
      <c r="C125" s="1" t="n">
        <v>46196</v>
      </c>
      <c r="D125" t="inlineStr">
        <is>
          <t>ÖSTERGÖTLANDS LÄN</t>
        </is>
      </c>
      <c r="E125" t="inlineStr">
        <is>
          <t>LINKÖPING</t>
        </is>
      </c>
      <c r="G125" t="n">
        <v>0.6</v>
      </c>
      <c r="H125" t="n">
        <v>1</v>
      </c>
      <c r="I125" t="n">
        <v>0</v>
      </c>
      <c r="J125" t="n">
        <v>1</v>
      </c>
      <c r="K125" t="n">
        <v>0</v>
      </c>
      <c r="L125" t="n">
        <v>0</v>
      </c>
      <c r="M125" t="n">
        <v>0</v>
      </c>
      <c r="N125" t="n">
        <v>0</v>
      </c>
      <c r="O125" t="n">
        <v>1</v>
      </c>
      <c r="P125" t="n">
        <v>0</v>
      </c>
      <c r="Q125" t="n">
        <v>1</v>
      </c>
      <c r="R125" s="2" t="inlineStr">
        <is>
          <t>Dårgräsfjäril</t>
        </is>
      </c>
      <c r="S125">
        <f>HYPERLINK("https://klasma.github.io/Logging_0580/artfynd/A 3011-2023 artfynd.xlsx", "A 3011-2023")</f>
        <v/>
      </c>
      <c r="T125">
        <f>HYPERLINK("https://klasma.github.io/Logging_0580/kartor/A 3011-2023 karta.png", "A 3011-2023")</f>
        <v/>
      </c>
      <c r="V125">
        <f>HYPERLINK("https://klasma.github.io/Logging_0580/klagomål/A 3011-2023 FSC-klagomål.docx", "A 3011-2023")</f>
        <v/>
      </c>
      <c r="W125">
        <f>HYPERLINK("https://klasma.github.io/Logging_0580/klagomålsmail/A 3011-2023 FSC-klagomål mail.docx", "A 3011-2023")</f>
        <v/>
      </c>
      <c r="X125">
        <f>HYPERLINK("https://klasma.github.io/Logging_0580/tillsyn/A 3011-2023 tillsynsbegäran.docx", "A 3011-2023")</f>
        <v/>
      </c>
      <c r="Y125">
        <f>HYPERLINK("https://klasma.github.io/Logging_0580/tillsynsmail/A 3011-2023 tillsynsbegäran mail.docx", "A 3011-2023")</f>
        <v/>
      </c>
    </row>
    <row r="126" ht="15" customHeight="1">
      <c r="A126" t="inlineStr">
        <is>
          <t>A 17157-2024</t>
        </is>
      </c>
      <c r="B126" s="1" t="n">
        <v>45412</v>
      </c>
      <c r="C126" s="1" t="n">
        <v>46196</v>
      </c>
      <c r="D126" t="inlineStr">
        <is>
          <t>ÖSTERGÖTLANDS LÄN</t>
        </is>
      </c>
      <c r="E126" t="inlineStr">
        <is>
          <t>LINKÖPING</t>
        </is>
      </c>
      <c r="G126" t="n">
        <v>0.8</v>
      </c>
      <c r="H126" t="n">
        <v>1</v>
      </c>
      <c r="I126" t="n">
        <v>1</v>
      </c>
      <c r="J126" t="n">
        <v>0</v>
      </c>
      <c r="K126" t="n">
        <v>0</v>
      </c>
      <c r="L126" t="n">
        <v>0</v>
      </c>
      <c r="M126" t="n">
        <v>0</v>
      </c>
      <c r="N126" t="n">
        <v>0</v>
      </c>
      <c r="O126" t="n">
        <v>0</v>
      </c>
      <c r="P126" t="n">
        <v>0</v>
      </c>
      <c r="Q126" t="n">
        <v>1</v>
      </c>
      <c r="R126" s="2" t="inlineStr">
        <is>
          <t>Ekoxe</t>
        </is>
      </c>
      <c r="S126">
        <f>HYPERLINK("https://klasma.github.io/Logging_0580/artfynd/A 17157-2024 artfynd.xlsx", "A 17157-2024")</f>
        <v/>
      </c>
      <c r="T126">
        <f>HYPERLINK("https://klasma.github.io/Logging_0580/kartor/A 17157-2024 karta.png", "A 17157-2024")</f>
        <v/>
      </c>
      <c r="V126">
        <f>HYPERLINK("https://klasma.github.io/Logging_0580/klagomål/A 17157-2024 FSC-klagomål.docx", "A 17157-2024")</f>
        <v/>
      </c>
      <c r="W126">
        <f>HYPERLINK("https://klasma.github.io/Logging_0580/klagomålsmail/A 17157-2024 FSC-klagomål mail.docx", "A 17157-2024")</f>
        <v/>
      </c>
      <c r="X126">
        <f>HYPERLINK("https://klasma.github.io/Logging_0580/tillsyn/A 17157-2024 tillsynsbegäran.docx", "A 17157-2024")</f>
        <v/>
      </c>
      <c r="Y126">
        <f>HYPERLINK("https://klasma.github.io/Logging_0580/tillsynsmail/A 17157-2024 tillsynsbegäran mail.docx", "A 17157-2024")</f>
        <v/>
      </c>
    </row>
    <row r="127" ht="15" customHeight="1">
      <c r="A127" t="inlineStr">
        <is>
          <t>A 56841-2023</t>
        </is>
      </c>
      <c r="B127" s="1" t="n">
        <v>45244</v>
      </c>
      <c r="C127" s="1" t="n">
        <v>46196</v>
      </c>
      <c r="D127" t="inlineStr">
        <is>
          <t>ÖSTERGÖTLANDS LÄN</t>
        </is>
      </c>
      <c r="E127" t="inlineStr">
        <is>
          <t>LINKÖPING</t>
        </is>
      </c>
      <c r="F127" t="inlineStr">
        <is>
          <t>Övriga Aktiebolag</t>
        </is>
      </c>
      <c r="G127" t="n">
        <v>0.5</v>
      </c>
      <c r="H127" t="n">
        <v>0</v>
      </c>
      <c r="I127" t="n">
        <v>1</v>
      </c>
      <c r="J127" t="n">
        <v>0</v>
      </c>
      <c r="K127" t="n">
        <v>0</v>
      </c>
      <c r="L127" t="n">
        <v>0</v>
      </c>
      <c r="M127" t="n">
        <v>0</v>
      </c>
      <c r="N127" t="n">
        <v>0</v>
      </c>
      <c r="O127" t="n">
        <v>0</v>
      </c>
      <c r="P127" t="n">
        <v>0</v>
      </c>
      <c r="Q127" t="n">
        <v>1</v>
      </c>
      <c r="R127" s="2" t="inlineStr">
        <is>
          <t>Svart trolldruva</t>
        </is>
      </c>
      <c r="S127">
        <f>HYPERLINK("https://klasma.github.io/Logging_0580/artfynd/A 56841-2023 artfynd.xlsx", "A 56841-2023")</f>
        <v/>
      </c>
      <c r="T127">
        <f>HYPERLINK("https://klasma.github.io/Logging_0580/kartor/A 56841-2023 karta.png", "A 56841-2023")</f>
        <v/>
      </c>
      <c r="V127">
        <f>HYPERLINK("https://klasma.github.io/Logging_0580/klagomål/A 56841-2023 FSC-klagomål.docx", "A 56841-2023")</f>
        <v/>
      </c>
      <c r="W127">
        <f>HYPERLINK("https://klasma.github.io/Logging_0580/klagomålsmail/A 56841-2023 FSC-klagomål mail.docx", "A 56841-2023")</f>
        <v/>
      </c>
      <c r="X127">
        <f>HYPERLINK("https://klasma.github.io/Logging_0580/tillsyn/A 56841-2023 tillsynsbegäran.docx", "A 56841-2023")</f>
        <v/>
      </c>
      <c r="Y127">
        <f>HYPERLINK("https://klasma.github.io/Logging_0580/tillsynsmail/A 56841-2023 tillsynsbegäran mail.docx", "A 56841-2023")</f>
        <v/>
      </c>
    </row>
    <row r="128" ht="15" customHeight="1">
      <c r="A128" t="inlineStr">
        <is>
          <t>A 3007-2023</t>
        </is>
      </c>
      <c r="B128" s="1" t="n">
        <v>44945</v>
      </c>
      <c r="C128" s="1" t="n">
        <v>46196</v>
      </c>
      <c r="D128" t="inlineStr">
        <is>
          <t>ÖSTERGÖTLANDS LÄN</t>
        </is>
      </c>
      <c r="E128" t="inlineStr">
        <is>
          <t>LINKÖPING</t>
        </is>
      </c>
      <c r="G128" t="n">
        <v>2.6</v>
      </c>
      <c r="H128" t="n">
        <v>0</v>
      </c>
      <c r="I128" t="n">
        <v>0</v>
      </c>
      <c r="J128" t="n">
        <v>1</v>
      </c>
      <c r="K128" t="n">
        <v>0</v>
      </c>
      <c r="L128" t="n">
        <v>0</v>
      </c>
      <c r="M128" t="n">
        <v>0</v>
      </c>
      <c r="N128" t="n">
        <v>0</v>
      </c>
      <c r="O128" t="n">
        <v>1</v>
      </c>
      <c r="P128" t="n">
        <v>0</v>
      </c>
      <c r="Q128" t="n">
        <v>1</v>
      </c>
      <c r="R128" s="2" t="inlineStr">
        <is>
          <t>Sårläka</t>
        </is>
      </c>
      <c r="S128">
        <f>HYPERLINK("https://klasma.github.io/Logging_0580/artfynd/A 3007-2023 artfynd.xlsx", "A 3007-2023")</f>
        <v/>
      </c>
      <c r="T128">
        <f>HYPERLINK("https://klasma.github.io/Logging_0580/kartor/A 3007-2023 karta.png", "A 3007-2023")</f>
        <v/>
      </c>
      <c r="V128">
        <f>HYPERLINK("https://klasma.github.io/Logging_0580/klagomål/A 3007-2023 FSC-klagomål.docx", "A 3007-2023")</f>
        <v/>
      </c>
      <c r="W128">
        <f>HYPERLINK("https://klasma.github.io/Logging_0580/klagomålsmail/A 3007-2023 FSC-klagomål mail.docx", "A 3007-2023")</f>
        <v/>
      </c>
      <c r="X128">
        <f>HYPERLINK("https://klasma.github.io/Logging_0580/tillsyn/A 3007-2023 tillsynsbegäran.docx", "A 3007-2023")</f>
        <v/>
      </c>
      <c r="Y128">
        <f>HYPERLINK("https://klasma.github.io/Logging_0580/tillsynsmail/A 3007-2023 tillsynsbegäran mail.docx", "A 3007-2023")</f>
        <v/>
      </c>
    </row>
    <row r="129" ht="15" customHeight="1">
      <c r="A129" t="inlineStr">
        <is>
          <t>A 54034-2022</t>
        </is>
      </c>
      <c r="B129" s="1" t="n">
        <v>44881</v>
      </c>
      <c r="C129" s="1" t="n">
        <v>46196</v>
      </c>
      <c r="D129" t="inlineStr">
        <is>
          <t>ÖSTERGÖTLANDS LÄN</t>
        </is>
      </c>
      <c r="E129" t="inlineStr">
        <is>
          <t>LINKÖPING</t>
        </is>
      </c>
      <c r="G129" t="n">
        <v>0.5</v>
      </c>
      <c r="H129" t="n">
        <v>0</v>
      </c>
      <c r="I129" t="n">
        <v>0</v>
      </c>
      <c r="J129" t="n">
        <v>1</v>
      </c>
      <c r="K129" t="n">
        <v>0</v>
      </c>
      <c r="L129" t="n">
        <v>0</v>
      </c>
      <c r="M129" t="n">
        <v>0</v>
      </c>
      <c r="N129" t="n">
        <v>0</v>
      </c>
      <c r="O129" t="n">
        <v>1</v>
      </c>
      <c r="P129" t="n">
        <v>0</v>
      </c>
      <c r="Q129" t="n">
        <v>1</v>
      </c>
      <c r="R129" s="2" t="inlineStr">
        <is>
          <t>Klasefibbla</t>
        </is>
      </c>
      <c r="S129">
        <f>HYPERLINK("https://klasma.github.io/Logging_0580/artfynd/A 54034-2022 artfynd.xlsx", "A 54034-2022")</f>
        <v/>
      </c>
      <c r="T129">
        <f>HYPERLINK("https://klasma.github.io/Logging_0580/kartor/A 54034-2022 karta.png", "A 54034-2022")</f>
        <v/>
      </c>
      <c r="V129">
        <f>HYPERLINK("https://klasma.github.io/Logging_0580/klagomål/A 54034-2022 FSC-klagomål.docx", "A 54034-2022")</f>
        <v/>
      </c>
      <c r="W129">
        <f>HYPERLINK("https://klasma.github.io/Logging_0580/klagomålsmail/A 54034-2022 FSC-klagomål mail.docx", "A 54034-2022")</f>
        <v/>
      </c>
      <c r="X129">
        <f>HYPERLINK("https://klasma.github.io/Logging_0580/tillsyn/A 54034-2022 tillsynsbegäran.docx", "A 54034-2022")</f>
        <v/>
      </c>
      <c r="Y129">
        <f>HYPERLINK("https://klasma.github.io/Logging_0580/tillsynsmail/A 54034-2022 tillsynsbegäran mail.docx", "A 54034-2022")</f>
        <v/>
      </c>
    </row>
    <row r="130" ht="15" customHeight="1">
      <c r="A130" t="inlineStr">
        <is>
          <t>A 24586-2024</t>
        </is>
      </c>
      <c r="B130" s="1" t="n">
        <v>45460</v>
      </c>
      <c r="C130" s="1" t="n">
        <v>46196</v>
      </c>
      <c r="D130" t="inlineStr">
        <is>
          <t>ÖSTERGÖTLANDS LÄN</t>
        </is>
      </c>
      <c r="E130" t="inlineStr">
        <is>
          <t>LINKÖPING</t>
        </is>
      </c>
      <c r="G130" t="n">
        <v>4</v>
      </c>
      <c r="H130" t="n">
        <v>0</v>
      </c>
      <c r="I130" t="n">
        <v>0</v>
      </c>
      <c r="J130" t="n">
        <v>1</v>
      </c>
      <c r="K130" t="n">
        <v>0</v>
      </c>
      <c r="L130" t="n">
        <v>0</v>
      </c>
      <c r="M130" t="n">
        <v>0</v>
      </c>
      <c r="N130" t="n">
        <v>0</v>
      </c>
      <c r="O130" t="n">
        <v>1</v>
      </c>
      <c r="P130" t="n">
        <v>0</v>
      </c>
      <c r="Q130" t="n">
        <v>1</v>
      </c>
      <c r="R130" s="2" t="inlineStr">
        <is>
          <t>Reliktbock</t>
        </is>
      </c>
      <c r="S130">
        <f>HYPERLINK("https://klasma.github.io/Logging_0580/artfynd/A 24586-2024 artfynd.xlsx", "A 24586-2024")</f>
        <v/>
      </c>
      <c r="T130">
        <f>HYPERLINK("https://klasma.github.io/Logging_0580/kartor/A 24586-2024 karta.png", "A 24586-2024")</f>
        <v/>
      </c>
      <c r="V130">
        <f>HYPERLINK("https://klasma.github.io/Logging_0580/klagomål/A 24586-2024 FSC-klagomål.docx", "A 24586-2024")</f>
        <v/>
      </c>
      <c r="W130">
        <f>HYPERLINK("https://klasma.github.io/Logging_0580/klagomålsmail/A 24586-2024 FSC-klagomål mail.docx", "A 24586-2024")</f>
        <v/>
      </c>
      <c r="X130">
        <f>HYPERLINK("https://klasma.github.io/Logging_0580/tillsyn/A 24586-2024 tillsynsbegäran.docx", "A 24586-2024")</f>
        <v/>
      </c>
      <c r="Y130">
        <f>HYPERLINK("https://klasma.github.io/Logging_0580/tillsynsmail/A 24586-2024 tillsynsbegäran mail.docx", "A 24586-2024")</f>
        <v/>
      </c>
    </row>
    <row r="131" ht="15" customHeight="1">
      <c r="A131" t="inlineStr">
        <is>
          <t>A 3627-2023</t>
        </is>
      </c>
      <c r="B131" s="1" t="n">
        <v>44950</v>
      </c>
      <c r="C131" s="1" t="n">
        <v>46196</v>
      </c>
      <c r="D131" t="inlineStr">
        <is>
          <t>ÖSTERGÖTLANDS LÄN</t>
        </is>
      </c>
      <c r="E131" t="inlineStr">
        <is>
          <t>LINKÖPING</t>
        </is>
      </c>
      <c r="G131" t="n">
        <v>3.1</v>
      </c>
      <c r="H131" t="n">
        <v>0</v>
      </c>
      <c r="I131" t="n">
        <v>0</v>
      </c>
      <c r="J131" t="n">
        <v>1</v>
      </c>
      <c r="K131" t="n">
        <v>0</v>
      </c>
      <c r="L131" t="n">
        <v>0</v>
      </c>
      <c r="M131" t="n">
        <v>0</v>
      </c>
      <c r="N131" t="n">
        <v>0</v>
      </c>
      <c r="O131" t="n">
        <v>1</v>
      </c>
      <c r="P131" t="n">
        <v>0</v>
      </c>
      <c r="Q131" t="n">
        <v>1</v>
      </c>
      <c r="R131" s="2" t="inlineStr">
        <is>
          <t>Svinrot</t>
        </is>
      </c>
      <c r="S131">
        <f>HYPERLINK("https://klasma.github.io/Logging_0580/artfynd/A 3627-2023 artfynd.xlsx", "A 3627-2023")</f>
        <v/>
      </c>
      <c r="T131">
        <f>HYPERLINK("https://klasma.github.io/Logging_0580/kartor/A 3627-2023 karta.png", "A 3627-2023")</f>
        <v/>
      </c>
      <c r="V131">
        <f>HYPERLINK("https://klasma.github.io/Logging_0580/klagomål/A 3627-2023 FSC-klagomål.docx", "A 3627-2023")</f>
        <v/>
      </c>
      <c r="W131">
        <f>HYPERLINK("https://klasma.github.io/Logging_0580/klagomålsmail/A 3627-2023 FSC-klagomål mail.docx", "A 3627-2023")</f>
        <v/>
      </c>
      <c r="X131">
        <f>HYPERLINK("https://klasma.github.io/Logging_0580/tillsyn/A 3627-2023 tillsynsbegäran.docx", "A 3627-2023")</f>
        <v/>
      </c>
      <c r="Y131">
        <f>HYPERLINK("https://klasma.github.io/Logging_0580/tillsynsmail/A 3627-2023 tillsynsbegäran mail.docx", "A 3627-2023")</f>
        <v/>
      </c>
    </row>
    <row r="132" ht="15" customHeight="1">
      <c r="A132" t="inlineStr">
        <is>
          <t>A 167-2024</t>
        </is>
      </c>
      <c r="B132" s="1" t="n">
        <v>45294</v>
      </c>
      <c r="C132" s="1" t="n">
        <v>46196</v>
      </c>
      <c r="D132" t="inlineStr">
        <is>
          <t>ÖSTERGÖTLANDS LÄN</t>
        </is>
      </c>
      <c r="E132" t="inlineStr">
        <is>
          <t>LINKÖPING</t>
        </is>
      </c>
      <c r="F132" t="inlineStr">
        <is>
          <t>Allmännings- och besparingsskogar</t>
        </is>
      </c>
      <c r="G132" t="n">
        <v>11.6</v>
      </c>
      <c r="H132" t="n">
        <v>0</v>
      </c>
      <c r="I132" t="n">
        <v>0</v>
      </c>
      <c r="J132" t="n">
        <v>0</v>
      </c>
      <c r="K132" t="n">
        <v>1</v>
      </c>
      <c r="L132" t="n">
        <v>0</v>
      </c>
      <c r="M132" t="n">
        <v>0</v>
      </c>
      <c r="N132" t="n">
        <v>0</v>
      </c>
      <c r="O132" t="n">
        <v>1</v>
      </c>
      <c r="P132" t="n">
        <v>1</v>
      </c>
      <c r="Q132" t="n">
        <v>1</v>
      </c>
      <c r="R132" s="2" t="inlineStr">
        <is>
          <t>Silverblåvinge</t>
        </is>
      </c>
      <c r="S132">
        <f>HYPERLINK("https://klasma.github.io/Logging_0580/artfynd/A 167-2024 artfynd.xlsx", "A 167-2024")</f>
        <v/>
      </c>
      <c r="T132">
        <f>HYPERLINK("https://klasma.github.io/Logging_0580/kartor/A 167-2024 karta.png", "A 167-2024")</f>
        <v/>
      </c>
      <c r="V132">
        <f>HYPERLINK("https://klasma.github.io/Logging_0580/klagomål/A 167-2024 FSC-klagomål.docx", "A 167-2024")</f>
        <v/>
      </c>
      <c r="W132">
        <f>HYPERLINK("https://klasma.github.io/Logging_0580/klagomålsmail/A 167-2024 FSC-klagomål mail.docx", "A 167-2024")</f>
        <v/>
      </c>
      <c r="X132">
        <f>HYPERLINK("https://klasma.github.io/Logging_0580/tillsyn/A 167-2024 tillsynsbegäran.docx", "A 167-2024")</f>
        <v/>
      </c>
      <c r="Y132">
        <f>HYPERLINK("https://klasma.github.io/Logging_0580/tillsynsmail/A 167-2024 tillsynsbegäran mail.docx", "A 167-2024")</f>
        <v/>
      </c>
    </row>
    <row r="133" ht="15" customHeight="1">
      <c r="A133" t="inlineStr">
        <is>
          <t>A 62071-2023</t>
        </is>
      </c>
      <c r="B133" s="1" t="n">
        <v>45266</v>
      </c>
      <c r="C133" s="1" t="n">
        <v>46196</v>
      </c>
      <c r="D133" t="inlineStr">
        <is>
          <t>ÖSTERGÖTLANDS LÄN</t>
        </is>
      </c>
      <c r="E133" t="inlineStr">
        <is>
          <t>LINKÖPING</t>
        </is>
      </c>
      <c r="G133" t="n">
        <v>6.5</v>
      </c>
      <c r="H133" t="n">
        <v>0</v>
      </c>
      <c r="I133" t="n">
        <v>0</v>
      </c>
      <c r="J133" t="n">
        <v>1</v>
      </c>
      <c r="K133" t="n">
        <v>0</v>
      </c>
      <c r="L133" t="n">
        <v>0</v>
      </c>
      <c r="M133" t="n">
        <v>0</v>
      </c>
      <c r="N133" t="n">
        <v>0</v>
      </c>
      <c r="O133" t="n">
        <v>1</v>
      </c>
      <c r="P133" t="n">
        <v>0</v>
      </c>
      <c r="Q133" t="n">
        <v>1</v>
      </c>
      <c r="R133" s="2" t="inlineStr">
        <is>
          <t>Svinrot</t>
        </is>
      </c>
      <c r="S133">
        <f>HYPERLINK("https://klasma.github.io/Logging_0580/artfynd/A 62071-2023 artfynd.xlsx", "A 62071-2023")</f>
        <v/>
      </c>
      <c r="T133">
        <f>HYPERLINK("https://klasma.github.io/Logging_0580/kartor/A 62071-2023 karta.png", "A 62071-2023")</f>
        <v/>
      </c>
      <c r="V133">
        <f>HYPERLINK("https://klasma.github.io/Logging_0580/klagomål/A 62071-2023 FSC-klagomål.docx", "A 62071-2023")</f>
        <v/>
      </c>
      <c r="W133">
        <f>HYPERLINK("https://klasma.github.io/Logging_0580/klagomålsmail/A 62071-2023 FSC-klagomål mail.docx", "A 62071-2023")</f>
        <v/>
      </c>
      <c r="X133">
        <f>HYPERLINK("https://klasma.github.io/Logging_0580/tillsyn/A 62071-2023 tillsynsbegäran.docx", "A 62071-2023")</f>
        <v/>
      </c>
      <c r="Y133">
        <f>HYPERLINK("https://klasma.github.io/Logging_0580/tillsynsmail/A 62071-2023 tillsynsbegäran mail.docx", "A 62071-2023")</f>
        <v/>
      </c>
    </row>
    <row r="134" ht="15" customHeight="1">
      <c r="A134" t="inlineStr">
        <is>
          <t>A 30551-2023</t>
        </is>
      </c>
      <c r="B134" s="1" t="n">
        <v>45111</v>
      </c>
      <c r="C134" s="1" t="n">
        <v>46196</v>
      </c>
      <c r="D134" t="inlineStr">
        <is>
          <t>ÖSTERGÖTLANDS LÄN</t>
        </is>
      </c>
      <c r="E134" t="inlineStr">
        <is>
          <t>LINKÖPING</t>
        </is>
      </c>
      <c r="G134" t="n">
        <v>0.6</v>
      </c>
      <c r="H134" t="n">
        <v>0</v>
      </c>
      <c r="I134" t="n">
        <v>1</v>
      </c>
      <c r="J134" t="n">
        <v>0</v>
      </c>
      <c r="K134" t="n">
        <v>0</v>
      </c>
      <c r="L134" t="n">
        <v>0</v>
      </c>
      <c r="M134" t="n">
        <v>0</v>
      </c>
      <c r="N134" t="n">
        <v>0</v>
      </c>
      <c r="O134" t="n">
        <v>0</v>
      </c>
      <c r="P134" t="n">
        <v>0</v>
      </c>
      <c r="Q134" t="n">
        <v>1</v>
      </c>
      <c r="R134" s="2" t="inlineStr">
        <is>
          <t>Fällmossa</t>
        </is>
      </c>
      <c r="S134">
        <f>HYPERLINK("https://klasma.github.io/Logging_0580/artfynd/A 30551-2023 artfynd.xlsx", "A 30551-2023")</f>
        <v/>
      </c>
      <c r="T134">
        <f>HYPERLINK("https://klasma.github.io/Logging_0580/kartor/A 30551-2023 karta.png", "A 30551-2023")</f>
        <v/>
      </c>
      <c r="V134">
        <f>HYPERLINK("https://klasma.github.io/Logging_0580/klagomål/A 30551-2023 FSC-klagomål.docx", "A 30551-2023")</f>
        <v/>
      </c>
      <c r="W134">
        <f>HYPERLINK("https://klasma.github.io/Logging_0580/klagomålsmail/A 30551-2023 FSC-klagomål mail.docx", "A 30551-2023")</f>
        <v/>
      </c>
      <c r="X134">
        <f>HYPERLINK("https://klasma.github.io/Logging_0580/tillsyn/A 30551-2023 tillsynsbegäran.docx", "A 30551-2023")</f>
        <v/>
      </c>
      <c r="Y134">
        <f>HYPERLINK("https://klasma.github.io/Logging_0580/tillsynsmail/A 30551-2023 tillsynsbegäran mail.docx", "A 30551-2023")</f>
        <v/>
      </c>
    </row>
    <row r="135" ht="15" customHeight="1">
      <c r="A135" t="inlineStr">
        <is>
          <t>A 3397-2023</t>
        </is>
      </c>
      <c r="B135" s="1" t="n">
        <v>44949</v>
      </c>
      <c r="C135" s="1" t="n">
        <v>46196</v>
      </c>
      <c r="D135" t="inlineStr">
        <is>
          <t>ÖSTERGÖTLANDS LÄN</t>
        </is>
      </c>
      <c r="E135" t="inlineStr">
        <is>
          <t>LINKÖPING</t>
        </is>
      </c>
      <c r="G135" t="n">
        <v>4.1</v>
      </c>
      <c r="H135" t="n">
        <v>0</v>
      </c>
      <c r="I135" t="n">
        <v>0</v>
      </c>
      <c r="J135" t="n">
        <v>1</v>
      </c>
      <c r="K135" t="n">
        <v>0</v>
      </c>
      <c r="L135" t="n">
        <v>0</v>
      </c>
      <c r="M135" t="n">
        <v>0</v>
      </c>
      <c r="N135" t="n">
        <v>0</v>
      </c>
      <c r="O135" t="n">
        <v>1</v>
      </c>
      <c r="P135" t="n">
        <v>0</v>
      </c>
      <c r="Q135" t="n">
        <v>1</v>
      </c>
      <c r="R135" s="2" t="inlineStr">
        <is>
          <t>Svinrot</t>
        </is>
      </c>
      <c r="S135">
        <f>HYPERLINK("https://klasma.github.io/Logging_0580/artfynd/A 3397-2023 artfynd.xlsx", "A 3397-2023")</f>
        <v/>
      </c>
      <c r="T135">
        <f>HYPERLINK("https://klasma.github.io/Logging_0580/kartor/A 3397-2023 karta.png", "A 3397-2023")</f>
        <v/>
      </c>
      <c r="V135">
        <f>HYPERLINK("https://klasma.github.io/Logging_0580/klagomål/A 3397-2023 FSC-klagomål.docx", "A 3397-2023")</f>
        <v/>
      </c>
      <c r="W135">
        <f>HYPERLINK("https://klasma.github.io/Logging_0580/klagomålsmail/A 3397-2023 FSC-klagomål mail.docx", "A 3397-2023")</f>
        <v/>
      </c>
      <c r="X135">
        <f>HYPERLINK("https://klasma.github.io/Logging_0580/tillsyn/A 3397-2023 tillsynsbegäran.docx", "A 3397-2023")</f>
        <v/>
      </c>
      <c r="Y135">
        <f>HYPERLINK("https://klasma.github.io/Logging_0580/tillsynsmail/A 3397-2023 tillsynsbegäran mail.docx", "A 3397-2023")</f>
        <v/>
      </c>
    </row>
    <row r="136" ht="15" customHeight="1">
      <c r="A136" t="inlineStr">
        <is>
          <t>A 30429-2024</t>
        </is>
      </c>
      <c r="B136" s="1" t="n">
        <v>45491</v>
      </c>
      <c r="C136" s="1" t="n">
        <v>46196</v>
      </c>
      <c r="D136" t="inlineStr">
        <is>
          <t>ÖSTERGÖTLANDS LÄN</t>
        </is>
      </c>
      <c r="E136" t="inlineStr">
        <is>
          <t>LINKÖPING</t>
        </is>
      </c>
      <c r="G136" t="n">
        <v>2.2</v>
      </c>
      <c r="H136" t="n">
        <v>0</v>
      </c>
      <c r="I136" t="n">
        <v>0</v>
      </c>
      <c r="J136" t="n">
        <v>1</v>
      </c>
      <c r="K136" t="n">
        <v>0</v>
      </c>
      <c r="L136" t="n">
        <v>0</v>
      </c>
      <c r="M136" t="n">
        <v>0</v>
      </c>
      <c r="N136" t="n">
        <v>0</v>
      </c>
      <c r="O136" t="n">
        <v>1</v>
      </c>
      <c r="P136" t="n">
        <v>0</v>
      </c>
      <c r="Q136" t="n">
        <v>1</v>
      </c>
      <c r="R136" s="2" t="inlineStr">
        <is>
          <t>Rödlånke</t>
        </is>
      </c>
      <c r="S136">
        <f>HYPERLINK("https://klasma.github.io/Logging_0580/artfynd/A 30429-2024 artfynd.xlsx", "A 30429-2024")</f>
        <v/>
      </c>
      <c r="T136">
        <f>HYPERLINK("https://klasma.github.io/Logging_0580/kartor/A 30429-2024 karta.png", "A 30429-2024")</f>
        <v/>
      </c>
      <c r="V136">
        <f>HYPERLINK("https://klasma.github.io/Logging_0580/klagomål/A 30429-2024 FSC-klagomål.docx", "A 30429-2024")</f>
        <v/>
      </c>
      <c r="W136">
        <f>HYPERLINK("https://klasma.github.io/Logging_0580/klagomålsmail/A 30429-2024 FSC-klagomål mail.docx", "A 30429-2024")</f>
        <v/>
      </c>
      <c r="X136">
        <f>HYPERLINK("https://klasma.github.io/Logging_0580/tillsyn/A 30429-2024 tillsynsbegäran.docx", "A 30429-2024")</f>
        <v/>
      </c>
      <c r="Y136">
        <f>HYPERLINK("https://klasma.github.io/Logging_0580/tillsynsmail/A 30429-2024 tillsynsbegäran mail.docx", "A 30429-2024")</f>
        <v/>
      </c>
    </row>
    <row r="137" ht="15" customHeight="1">
      <c r="A137" t="inlineStr">
        <is>
          <t>A 60573-2021</t>
        </is>
      </c>
      <c r="B137" s="1" t="n">
        <v>44496</v>
      </c>
      <c r="C137" s="1" t="n">
        <v>46196</v>
      </c>
      <c r="D137" t="inlineStr">
        <is>
          <t>ÖSTERGÖTLANDS LÄN</t>
        </is>
      </c>
      <c r="E137" t="inlineStr">
        <is>
          <t>LINKÖPING</t>
        </is>
      </c>
      <c r="F137" t="inlineStr">
        <is>
          <t>Övriga Aktiebolag</t>
        </is>
      </c>
      <c r="G137" t="n">
        <v>5.6</v>
      </c>
      <c r="H137" t="n">
        <v>0</v>
      </c>
      <c r="I137" t="n">
        <v>0</v>
      </c>
      <c r="J137" t="n">
        <v>1</v>
      </c>
      <c r="K137" t="n">
        <v>0</v>
      </c>
      <c r="L137" t="n">
        <v>0</v>
      </c>
      <c r="M137" t="n">
        <v>0</v>
      </c>
      <c r="N137" t="n">
        <v>0</v>
      </c>
      <c r="O137" t="n">
        <v>1</v>
      </c>
      <c r="P137" t="n">
        <v>0</v>
      </c>
      <c r="Q137" t="n">
        <v>1</v>
      </c>
      <c r="R137" s="2" t="inlineStr">
        <is>
          <t>Sommarfibbla</t>
        </is>
      </c>
      <c r="S137">
        <f>HYPERLINK("https://klasma.github.io/Logging_0580/artfynd/A 60573-2021 artfynd.xlsx", "A 60573-2021")</f>
        <v/>
      </c>
      <c r="T137">
        <f>HYPERLINK("https://klasma.github.io/Logging_0580/kartor/A 60573-2021 karta.png", "A 60573-2021")</f>
        <v/>
      </c>
      <c r="V137">
        <f>HYPERLINK("https://klasma.github.io/Logging_0580/klagomål/A 60573-2021 FSC-klagomål.docx", "A 60573-2021")</f>
        <v/>
      </c>
      <c r="W137">
        <f>HYPERLINK("https://klasma.github.io/Logging_0580/klagomålsmail/A 60573-2021 FSC-klagomål mail.docx", "A 60573-2021")</f>
        <v/>
      </c>
      <c r="X137">
        <f>HYPERLINK("https://klasma.github.io/Logging_0580/tillsyn/A 60573-2021 tillsynsbegäran.docx", "A 60573-2021")</f>
        <v/>
      </c>
      <c r="Y137">
        <f>HYPERLINK("https://klasma.github.io/Logging_0580/tillsynsmail/A 60573-2021 tillsynsbegäran mail.docx", "A 60573-2021")</f>
        <v/>
      </c>
    </row>
    <row r="138" ht="15" customHeight="1">
      <c r="A138" t="inlineStr">
        <is>
          <t>A 38881-2021</t>
        </is>
      </c>
      <c r="B138" s="1" t="n">
        <v>44411</v>
      </c>
      <c r="C138" s="1" t="n">
        <v>46196</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46196</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46196</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46196</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46196</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46196</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46196</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46196</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46196</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46196</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46196</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46196</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46196</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46196</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46196</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47462-2022</t>
        </is>
      </c>
      <c r="B153" s="1" t="n">
        <v>44853</v>
      </c>
      <c r="C153" s="1" t="n">
        <v>46196</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32433-2022</t>
        </is>
      </c>
      <c r="B154" s="1" t="n">
        <v>44782</v>
      </c>
      <c r="C154" s="1" t="n">
        <v>46196</v>
      </c>
      <c r="D154" t="inlineStr">
        <is>
          <t>ÖSTERGÖTLANDS LÄN</t>
        </is>
      </c>
      <c r="E154" t="inlineStr">
        <is>
          <t>LINKÖPING</t>
        </is>
      </c>
      <c r="G154" t="n">
        <v>11.3</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46196</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31703-2022</t>
        </is>
      </c>
      <c r="B156" s="1" t="n">
        <v>44776</v>
      </c>
      <c r="C156" s="1" t="n">
        <v>46196</v>
      </c>
      <c r="D156" t="inlineStr">
        <is>
          <t>ÖSTERGÖTLANDS LÄN</t>
        </is>
      </c>
      <c r="E156" t="inlineStr">
        <is>
          <t>LINKÖPING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46196</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46196</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46196</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46196</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46196</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49791-2021</t>
        </is>
      </c>
      <c r="B162" s="1" t="n">
        <v>44455</v>
      </c>
      <c r="C162" s="1" t="n">
        <v>46196</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37012-2021</t>
        </is>
      </c>
      <c r="B163" s="1" t="n">
        <v>44393</v>
      </c>
      <c r="C163" s="1" t="n">
        <v>46196</v>
      </c>
      <c r="D163" t="inlineStr">
        <is>
          <t>ÖSTERGÖTLANDS LÄN</t>
        </is>
      </c>
      <c r="E163" t="inlineStr">
        <is>
          <t>LINKÖPING</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29470-2022</t>
        </is>
      </c>
      <c r="B164" s="1" t="n">
        <v>44753</v>
      </c>
      <c r="C164" s="1" t="n">
        <v>46196</v>
      </c>
      <c r="D164" t="inlineStr">
        <is>
          <t>ÖSTERGÖTLANDS LÄN</t>
        </is>
      </c>
      <c r="E164" t="inlineStr">
        <is>
          <t>LINKÖPING</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46730-2021</t>
        </is>
      </c>
      <c r="B165" s="1" t="n">
        <v>44445</v>
      </c>
      <c r="C165" s="1" t="n">
        <v>46196</v>
      </c>
      <c r="D165" t="inlineStr">
        <is>
          <t>ÖSTERGÖTLANDS LÄN</t>
        </is>
      </c>
      <c r="E165" t="inlineStr">
        <is>
          <t>LINKÖPING</t>
        </is>
      </c>
      <c r="F165" t="inlineStr">
        <is>
          <t>Övriga statliga verk och myndigheter</t>
        </is>
      </c>
      <c r="G165" t="n">
        <v>1.1</v>
      </c>
      <c r="H165" t="n">
        <v>0</v>
      </c>
      <c r="I165" t="n">
        <v>0</v>
      </c>
      <c r="J165" t="n">
        <v>0</v>
      </c>
      <c r="K165" t="n">
        <v>0</v>
      </c>
      <c r="L165" t="n">
        <v>0</v>
      </c>
      <c r="M165" t="n">
        <v>0</v>
      </c>
      <c r="N165" t="n">
        <v>0</v>
      </c>
      <c r="O165" t="n">
        <v>0</v>
      </c>
      <c r="P165" t="n">
        <v>0</v>
      </c>
      <c r="Q165" t="n">
        <v>0</v>
      </c>
      <c r="R165" s="2" t="inlineStr"/>
    </row>
    <row r="166" ht="15" customHeight="1">
      <c r="A166" t="inlineStr">
        <is>
          <t>A 34487-2021</t>
        </is>
      </c>
      <c r="B166" s="1" t="n">
        <v>44382</v>
      </c>
      <c r="C166" s="1" t="n">
        <v>46196</v>
      </c>
      <c r="D166" t="inlineStr">
        <is>
          <t>ÖSTERGÖTLANDS LÄN</t>
        </is>
      </c>
      <c r="E166" t="inlineStr">
        <is>
          <t>LINKÖPING</t>
        </is>
      </c>
      <c r="G166" t="n">
        <v>7.5</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46196</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46196</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58258-2021</t>
        </is>
      </c>
      <c r="B169" s="1" t="n">
        <v>44487</v>
      </c>
      <c r="C169" s="1" t="n">
        <v>46196</v>
      </c>
      <c r="D169" t="inlineStr">
        <is>
          <t>ÖSTERGÖTLANDS LÄN</t>
        </is>
      </c>
      <c r="E169" t="inlineStr">
        <is>
          <t>LINKÖPING</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58287-2021</t>
        </is>
      </c>
      <c r="B170" s="1" t="n">
        <v>44487</v>
      </c>
      <c r="C170" s="1" t="n">
        <v>46196</v>
      </c>
      <c r="D170" t="inlineStr">
        <is>
          <t>ÖSTERGÖTLANDS LÄN</t>
        </is>
      </c>
      <c r="E170" t="inlineStr">
        <is>
          <t>LINKÖPING</t>
        </is>
      </c>
      <c r="F170" t="inlineStr">
        <is>
          <t>Övriga Aktiebolag</t>
        </is>
      </c>
      <c r="G170" t="n">
        <v>1.5</v>
      </c>
      <c r="H170" t="n">
        <v>0</v>
      </c>
      <c r="I170" t="n">
        <v>0</v>
      </c>
      <c r="J170" t="n">
        <v>0</v>
      </c>
      <c r="K170" t="n">
        <v>0</v>
      </c>
      <c r="L170" t="n">
        <v>0</v>
      </c>
      <c r="M170" t="n">
        <v>0</v>
      </c>
      <c r="N170" t="n">
        <v>0</v>
      </c>
      <c r="O170" t="n">
        <v>0</v>
      </c>
      <c r="P170" t="n">
        <v>0</v>
      </c>
      <c r="Q170" t="n">
        <v>0</v>
      </c>
      <c r="R170" s="2" t="inlineStr"/>
    </row>
    <row r="171" ht="15" customHeight="1">
      <c r="A171" t="inlineStr">
        <is>
          <t>A 53660-2021</t>
        </is>
      </c>
      <c r="B171" s="1" t="n">
        <v>44469</v>
      </c>
      <c r="C171" s="1" t="n">
        <v>46196</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52966-2021</t>
        </is>
      </c>
      <c r="B172" s="1" t="n">
        <v>44467</v>
      </c>
      <c r="C172" s="1" t="n">
        <v>46196</v>
      </c>
      <c r="D172" t="inlineStr">
        <is>
          <t>ÖSTERGÖTLANDS LÄN</t>
        </is>
      </c>
      <c r="E172" t="inlineStr">
        <is>
          <t>LINKÖPING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38130-2021</t>
        </is>
      </c>
      <c r="B173" s="1" t="n">
        <v>44405</v>
      </c>
      <c r="C173" s="1" t="n">
        <v>46196</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46196</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52968-2021</t>
        </is>
      </c>
      <c r="B175" s="1" t="n">
        <v>44467</v>
      </c>
      <c r="C175" s="1" t="n">
        <v>46196</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46196</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46196</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46196</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23175-2022</t>
        </is>
      </c>
      <c r="B179" s="1" t="n">
        <v>44719</v>
      </c>
      <c r="C179" s="1" t="n">
        <v>46196</v>
      </c>
      <c r="D179" t="inlineStr">
        <is>
          <t>ÖSTERGÖTLANDS LÄN</t>
        </is>
      </c>
      <c r="E179" t="inlineStr">
        <is>
          <t>LINKÖPING</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58266-2021</t>
        </is>
      </c>
      <c r="B180" s="1" t="n">
        <v>44487</v>
      </c>
      <c r="C180" s="1" t="n">
        <v>46196</v>
      </c>
      <c r="D180" t="inlineStr">
        <is>
          <t>ÖSTERGÖTLANDS LÄN</t>
        </is>
      </c>
      <c r="E180" t="inlineStr">
        <is>
          <t>LINKÖPING</t>
        </is>
      </c>
      <c r="F180" t="inlineStr">
        <is>
          <t>Övriga Aktiebolag</t>
        </is>
      </c>
      <c r="G180" t="n">
        <v>3.2</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46196</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46196</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36341-2022</t>
        </is>
      </c>
      <c r="B183" s="1" t="n">
        <v>44803</v>
      </c>
      <c r="C183" s="1" t="n">
        <v>46196</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54467-2022</t>
        </is>
      </c>
      <c r="B184" s="1" t="n">
        <v>44882</v>
      </c>
      <c r="C184" s="1" t="n">
        <v>46196</v>
      </c>
      <c r="D184" t="inlineStr">
        <is>
          <t>ÖSTERGÖTLANDS LÄN</t>
        </is>
      </c>
      <c r="E184" t="inlineStr">
        <is>
          <t>LINKÖPING</t>
        </is>
      </c>
      <c r="F184" t="inlineStr">
        <is>
          <t>Sveaskog</t>
        </is>
      </c>
      <c r="G184" t="n">
        <v>2.5</v>
      </c>
      <c r="H184" t="n">
        <v>0</v>
      </c>
      <c r="I184" t="n">
        <v>0</v>
      </c>
      <c r="J184" t="n">
        <v>0</v>
      </c>
      <c r="K184" t="n">
        <v>0</v>
      </c>
      <c r="L184" t="n">
        <v>0</v>
      </c>
      <c r="M184" t="n">
        <v>0</v>
      </c>
      <c r="N184" t="n">
        <v>0</v>
      </c>
      <c r="O184" t="n">
        <v>0</v>
      </c>
      <c r="P184" t="n">
        <v>0</v>
      </c>
      <c r="Q184" t="n">
        <v>0</v>
      </c>
      <c r="R184" s="2" t="inlineStr"/>
    </row>
    <row r="185" ht="15" customHeight="1">
      <c r="A185" t="inlineStr">
        <is>
          <t>A 4240-2022</t>
        </is>
      </c>
      <c r="B185" s="1" t="n">
        <v>44588</v>
      </c>
      <c r="C185" s="1" t="n">
        <v>46196</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46196</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46196</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46196</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46196</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46196</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46196</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37934-2022</t>
        </is>
      </c>
      <c r="B192" s="1" t="n">
        <v>44809</v>
      </c>
      <c r="C192" s="1" t="n">
        <v>46196</v>
      </c>
      <c r="D192" t="inlineStr">
        <is>
          <t>ÖSTERGÖTLANDS LÄN</t>
        </is>
      </c>
      <c r="E192" t="inlineStr">
        <is>
          <t>LINKÖPING</t>
        </is>
      </c>
      <c r="G192" t="n">
        <v>1.6</v>
      </c>
      <c r="H192" t="n">
        <v>0</v>
      </c>
      <c r="I192" t="n">
        <v>0</v>
      </c>
      <c r="J192" t="n">
        <v>0</v>
      </c>
      <c r="K192" t="n">
        <v>0</v>
      </c>
      <c r="L192" t="n">
        <v>0</v>
      </c>
      <c r="M192" t="n">
        <v>0</v>
      </c>
      <c r="N192" t="n">
        <v>0</v>
      </c>
      <c r="O192" t="n">
        <v>0</v>
      </c>
      <c r="P192" t="n">
        <v>0</v>
      </c>
      <c r="Q192" t="n">
        <v>0</v>
      </c>
      <c r="R192" s="2" t="inlineStr"/>
    </row>
    <row r="193" ht="15" customHeight="1">
      <c r="A193" t="inlineStr">
        <is>
          <t>A 44849-2022</t>
        </is>
      </c>
      <c r="B193" s="1" t="n">
        <v>44841</v>
      </c>
      <c r="C193" s="1" t="n">
        <v>46196</v>
      </c>
      <c r="D193" t="inlineStr">
        <is>
          <t>ÖSTERGÖTLANDS LÄN</t>
        </is>
      </c>
      <c r="E193" t="inlineStr">
        <is>
          <t>LINKÖPING</t>
        </is>
      </c>
      <c r="G193" t="n">
        <v>1.1</v>
      </c>
      <c r="H193" t="n">
        <v>0</v>
      </c>
      <c r="I193" t="n">
        <v>0</v>
      </c>
      <c r="J193" t="n">
        <v>0</v>
      </c>
      <c r="K193" t="n">
        <v>0</v>
      </c>
      <c r="L193" t="n">
        <v>0</v>
      </c>
      <c r="M193" t="n">
        <v>0</v>
      </c>
      <c r="N193" t="n">
        <v>0</v>
      </c>
      <c r="O193" t="n">
        <v>0</v>
      </c>
      <c r="P193" t="n">
        <v>0</v>
      </c>
      <c r="Q193" t="n">
        <v>0</v>
      </c>
      <c r="R193" s="2" t="inlineStr"/>
    </row>
    <row r="194" ht="15" customHeight="1">
      <c r="A194" t="inlineStr">
        <is>
          <t>A 70835-2021</t>
        </is>
      </c>
      <c r="B194" s="1" t="n">
        <v>44537</v>
      </c>
      <c r="C194" s="1" t="n">
        <v>46196</v>
      </c>
      <c r="D194" t="inlineStr">
        <is>
          <t>ÖSTERGÖTLANDS LÄN</t>
        </is>
      </c>
      <c r="E194" t="inlineStr">
        <is>
          <t>LINKÖPING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46196</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46196</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46196</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46196</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46196</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46196</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46196</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46196</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23416-2022</t>
        </is>
      </c>
      <c r="B203" s="1" t="n">
        <v>44720</v>
      </c>
      <c r="C203" s="1" t="n">
        <v>46196</v>
      </c>
      <c r="D203" t="inlineStr">
        <is>
          <t>ÖSTERGÖTLANDS LÄN</t>
        </is>
      </c>
      <c r="E203" t="inlineStr">
        <is>
          <t>LINKÖPING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5605-2022</t>
        </is>
      </c>
      <c r="B204" s="1" t="n">
        <v>44595</v>
      </c>
      <c r="C204" s="1" t="n">
        <v>46196</v>
      </c>
      <c r="D204" t="inlineStr">
        <is>
          <t>ÖSTERGÖTLANDS LÄN</t>
        </is>
      </c>
      <c r="E204" t="inlineStr">
        <is>
          <t>LINKÖPING</t>
        </is>
      </c>
      <c r="F204" t="inlineStr">
        <is>
          <t>Övriga statliga verk och myndigheter</t>
        </is>
      </c>
      <c r="G204" t="n">
        <v>3</v>
      </c>
      <c r="H204" t="n">
        <v>0</v>
      </c>
      <c r="I204" t="n">
        <v>0</v>
      </c>
      <c r="J204" t="n">
        <v>0</v>
      </c>
      <c r="K204" t="n">
        <v>0</v>
      </c>
      <c r="L204" t="n">
        <v>0</v>
      </c>
      <c r="M204" t="n">
        <v>0</v>
      </c>
      <c r="N204" t="n">
        <v>0</v>
      </c>
      <c r="O204" t="n">
        <v>0</v>
      </c>
      <c r="P204" t="n">
        <v>0</v>
      </c>
      <c r="Q204" t="n">
        <v>0</v>
      </c>
      <c r="R204" s="2" t="inlineStr"/>
    </row>
    <row r="205" ht="15" customHeight="1">
      <c r="A205" t="inlineStr">
        <is>
          <t>A 56688-2021</t>
        </is>
      </c>
      <c r="B205" s="1" t="n">
        <v>44481</v>
      </c>
      <c r="C205" s="1" t="n">
        <v>46196</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27769-2022</t>
        </is>
      </c>
      <c r="B206" s="1" t="n">
        <v>44743</v>
      </c>
      <c r="C206" s="1" t="n">
        <v>46196</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33891-2021</t>
        </is>
      </c>
      <c r="B207" s="1" t="n">
        <v>44378</v>
      </c>
      <c r="C207" s="1" t="n">
        <v>46196</v>
      </c>
      <c r="D207" t="inlineStr">
        <is>
          <t>ÖSTERGÖTLANDS LÄN</t>
        </is>
      </c>
      <c r="E207" t="inlineStr">
        <is>
          <t>LINKÖPING</t>
        </is>
      </c>
      <c r="G207" t="n">
        <v>5.1</v>
      </c>
      <c r="H207" t="n">
        <v>0</v>
      </c>
      <c r="I207" t="n">
        <v>0</v>
      </c>
      <c r="J207" t="n">
        <v>0</v>
      </c>
      <c r="K207" t="n">
        <v>0</v>
      </c>
      <c r="L207" t="n">
        <v>0</v>
      </c>
      <c r="M207" t="n">
        <v>0</v>
      </c>
      <c r="N207" t="n">
        <v>0</v>
      </c>
      <c r="O207" t="n">
        <v>0</v>
      </c>
      <c r="P207" t="n">
        <v>0</v>
      </c>
      <c r="Q207" t="n">
        <v>0</v>
      </c>
      <c r="R207" s="2" t="inlineStr"/>
    </row>
    <row r="208" ht="15" customHeight="1">
      <c r="A208" t="inlineStr">
        <is>
          <t>A 61153-2021</t>
        </is>
      </c>
      <c r="B208" s="1" t="n">
        <v>44497</v>
      </c>
      <c r="C208" s="1" t="n">
        <v>46196</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33885-2021</t>
        </is>
      </c>
      <c r="B209" s="1" t="n">
        <v>44378</v>
      </c>
      <c r="C209" s="1" t="n">
        <v>46196</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46490-2022</t>
        </is>
      </c>
      <c r="B210" s="1" t="n">
        <v>44848</v>
      </c>
      <c r="C210" s="1" t="n">
        <v>46196</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34486-2021</t>
        </is>
      </c>
      <c r="B211" s="1" t="n">
        <v>44382</v>
      </c>
      <c r="C211" s="1" t="n">
        <v>46196</v>
      </c>
      <c r="D211" t="inlineStr">
        <is>
          <t>ÖSTERGÖTLANDS LÄN</t>
        </is>
      </c>
      <c r="E211" t="inlineStr">
        <is>
          <t>LINKÖPING</t>
        </is>
      </c>
      <c r="G211" t="n">
        <v>4.4</v>
      </c>
      <c r="H211" t="n">
        <v>0</v>
      </c>
      <c r="I211" t="n">
        <v>0</v>
      </c>
      <c r="J211" t="n">
        <v>0</v>
      </c>
      <c r="K211" t="n">
        <v>0</v>
      </c>
      <c r="L211" t="n">
        <v>0</v>
      </c>
      <c r="M211" t="n">
        <v>0</v>
      </c>
      <c r="N211" t="n">
        <v>0</v>
      </c>
      <c r="O211" t="n">
        <v>0</v>
      </c>
      <c r="P211" t="n">
        <v>0</v>
      </c>
      <c r="Q211" t="n">
        <v>0</v>
      </c>
      <c r="R211" s="2" t="inlineStr"/>
    </row>
    <row r="212" ht="15" customHeight="1">
      <c r="A212" t="inlineStr">
        <is>
          <t>A 31732-2022</t>
        </is>
      </c>
      <c r="B212" s="1" t="n">
        <v>44776</v>
      </c>
      <c r="C212" s="1" t="n">
        <v>46196</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41426-2022</t>
        </is>
      </c>
      <c r="B213" s="1" t="n">
        <v>44826</v>
      </c>
      <c r="C213" s="1" t="n">
        <v>46196</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34162-2022</t>
        </is>
      </c>
      <c r="B214" s="1" t="n">
        <v>44791</v>
      </c>
      <c r="C214" s="1" t="n">
        <v>46196</v>
      </c>
      <c r="D214" t="inlineStr">
        <is>
          <t>ÖSTERGÖTLANDS LÄN</t>
        </is>
      </c>
      <c r="E214" t="inlineStr">
        <is>
          <t>LINKÖPING</t>
        </is>
      </c>
      <c r="G214" t="n">
        <v>3</v>
      </c>
      <c r="H214" t="n">
        <v>0</v>
      </c>
      <c r="I214" t="n">
        <v>0</v>
      </c>
      <c r="J214" t="n">
        <v>0</v>
      </c>
      <c r="K214" t="n">
        <v>0</v>
      </c>
      <c r="L214" t="n">
        <v>0</v>
      </c>
      <c r="M214" t="n">
        <v>0</v>
      </c>
      <c r="N214" t="n">
        <v>0</v>
      </c>
      <c r="O214" t="n">
        <v>0</v>
      </c>
      <c r="P214" t="n">
        <v>0</v>
      </c>
      <c r="Q214" t="n">
        <v>0</v>
      </c>
      <c r="R214" s="2" t="inlineStr"/>
    </row>
    <row r="215" ht="15" customHeight="1">
      <c r="A215" t="inlineStr">
        <is>
          <t>A 12412-2022</t>
        </is>
      </c>
      <c r="B215" s="1" t="n">
        <v>44638</v>
      </c>
      <c r="C215" s="1" t="n">
        <v>46196</v>
      </c>
      <c r="D215" t="inlineStr">
        <is>
          <t>ÖSTERGÖTLANDS LÄN</t>
        </is>
      </c>
      <c r="E215" t="inlineStr">
        <is>
          <t>LINKÖPING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61333-2021</t>
        </is>
      </c>
      <c r="B216" s="1" t="n">
        <v>44498</v>
      </c>
      <c r="C216" s="1" t="n">
        <v>46196</v>
      </c>
      <c r="D216" t="inlineStr">
        <is>
          <t>ÖSTERGÖTLANDS LÄN</t>
        </is>
      </c>
      <c r="E216" t="inlineStr">
        <is>
          <t>LINKÖPING</t>
        </is>
      </c>
      <c r="G216" t="n">
        <v>7.5</v>
      </c>
      <c r="H216" t="n">
        <v>0</v>
      </c>
      <c r="I216" t="n">
        <v>0</v>
      </c>
      <c r="J216" t="n">
        <v>0</v>
      </c>
      <c r="K216" t="n">
        <v>0</v>
      </c>
      <c r="L216" t="n">
        <v>0</v>
      </c>
      <c r="M216" t="n">
        <v>0</v>
      </c>
      <c r="N216" t="n">
        <v>0</v>
      </c>
      <c r="O216" t="n">
        <v>0</v>
      </c>
      <c r="P216" t="n">
        <v>0</v>
      </c>
      <c r="Q216" t="n">
        <v>0</v>
      </c>
      <c r="R216" s="2" t="inlineStr"/>
    </row>
    <row r="217" ht="15" customHeight="1">
      <c r="A217" t="inlineStr">
        <is>
          <t>A 32255-2021</t>
        </is>
      </c>
      <c r="B217" s="1" t="n">
        <v>44371</v>
      </c>
      <c r="C217" s="1" t="n">
        <v>46196</v>
      </c>
      <c r="D217" t="inlineStr">
        <is>
          <t>ÖSTERGÖTLANDS LÄN</t>
        </is>
      </c>
      <c r="E217" t="inlineStr">
        <is>
          <t>LINKÖPING</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38235-2022</t>
        </is>
      </c>
      <c r="B218" s="1" t="n">
        <v>44812</v>
      </c>
      <c r="C218" s="1" t="n">
        <v>46196</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34880-2022</t>
        </is>
      </c>
      <c r="B219" s="1" t="n">
        <v>44796</v>
      </c>
      <c r="C219" s="1" t="n">
        <v>46196</v>
      </c>
      <c r="D219" t="inlineStr">
        <is>
          <t>ÖSTERGÖTLANDS LÄN</t>
        </is>
      </c>
      <c r="E219" t="inlineStr">
        <is>
          <t>LINKÖPING</t>
        </is>
      </c>
      <c r="F219" t="inlineStr">
        <is>
          <t>Övriga statliga verk och myndigheter</t>
        </is>
      </c>
      <c r="G219" t="n">
        <v>4</v>
      </c>
      <c r="H219" t="n">
        <v>0</v>
      </c>
      <c r="I219" t="n">
        <v>0</v>
      </c>
      <c r="J219" t="n">
        <v>0</v>
      </c>
      <c r="K219" t="n">
        <v>0</v>
      </c>
      <c r="L219" t="n">
        <v>0</v>
      </c>
      <c r="M219" t="n">
        <v>0</v>
      </c>
      <c r="N219" t="n">
        <v>0</v>
      </c>
      <c r="O219" t="n">
        <v>0</v>
      </c>
      <c r="P219" t="n">
        <v>0</v>
      </c>
      <c r="Q219" t="n">
        <v>0</v>
      </c>
      <c r="R219" s="2" t="inlineStr"/>
    </row>
    <row r="220" ht="15" customHeight="1">
      <c r="A220" t="inlineStr">
        <is>
          <t>A 54845-2023</t>
        </is>
      </c>
      <c r="B220" s="1" t="n">
        <v>45236</v>
      </c>
      <c r="C220" s="1" t="n">
        <v>46196</v>
      </c>
      <c r="D220" t="inlineStr">
        <is>
          <t>ÖSTERGÖTLANDS LÄN</t>
        </is>
      </c>
      <c r="E220" t="inlineStr">
        <is>
          <t>LINKÖPING</t>
        </is>
      </c>
      <c r="F220" t="inlineStr">
        <is>
          <t>Övriga Aktiebolag</t>
        </is>
      </c>
      <c r="G220" t="n">
        <v>5.7</v>
      </c>
      <c r="H220" t="n">
        <v>0</v>
      </c>
      <c r="I220" t="n">
        <v>0</v>
      </c>
      <c r="J220" t="n">
        <v>0</v>
      </c>
      <c r="K220" t="n">
        <v>0</v>
      </c>
      <c r="L220" t="n">
        <v>0</v>
      </c>
      <c r="M220" t="n">
        <v>0</v>
      </c>
      <c r="N220" t="n">
        <v>0</v>
      </c>
      <c r="O220" t="n">
        <v>0</v>
      </c>
      <c r="P220" t="n">
        <v>0</v>
      </c>
      <c r="Q220" t="n">
        <v>0</v>
      </c>
      <c r="R220" s="2" t="inlineStr"/>
    </row>
    <row r="221" ht="15" customHeight="1">
      <c r="A221" t="inlineStr">
        <is>
          <t>A 34558-2022</t>
        </is>
      </c>
      <c r="B221" s="1" t="n">
        <v>44794</v>
      </c>
      <c r="C221" s="1" t="n">
        <v>46196</v>
      </c>
      <c r="D221" t="inlineStr">
        <is>
          <t>ÖSTERGÖTLANDS LÄN</t>
        </is>
      </c>
      <c r="E221" t="inlineStr">
        <is>
          <t>LINKÖPING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63489-2023</t>
        </is>
      </c>
      <c r="B222" s="1" t="n">
        <v>45274</v>
      </c>
      <c r="C222" s="1" t="n">
        <v>46196</v>
      </c>
      <c r="D222" t="inlineStr">
        <is>
          <t>ÖSTERGÖTLANDS LÄN</t>
        </is>
      </c>
      <c r="E222" t="inlineStr">
        <is>
          <t>LINKÖPING</t>
        </is>
      </c>
      <c r="G222" t="n">
        <v>2.3</v>
      </c>
      <c r="H222" t="n">
        <v>0</v>
      </c>
      <c r="I222" t="n">
        <v>0</v>
      </c>
      <c r="J222" t="n">
        <v>0</v>
      </c>
      <c r="K222" t="n">
        <v>0</v>
      </c>
      <c r="L222" t="n">
        <v>0</v>
      </c>
      <c r="M222" t="n">
        <v>0</v>
      </c>
      <c r="N222" t="n">
        <v>0</v>
      </c>
      <c r="O222" t="n">
        <v>0</v>
      </c>
      <c r="P222" t="n">
        <v>0</v>
      </c>
      <c r="Q222" t="n">
        <v>0</v>
      </c>
      <c r="R222" s="2" t="inlineStr"/>
    </row>
    <row r="223" ht="15" customHeight="1">
      <c r="A223" t="inlineStr">
        <is>
          <t>A 24351-2024</t>
        </is>
      </c>
      <c r="B223" s="1" t="n">
        <v>45457</v>
      </c>
      <c r="C223" s="1" t="n">
        <v>46196</v>
      </c>
      <c r="D223" t="inlineStr">
        <is>
          <t>ÖSTERGÖTLANDS LÄN</t>
        </is>
      </c>
      <c r="E223" t="inlineStr">
        <is>
          <t>LINKÖPING</t>
        </is>
      </c>
      <c r="G223" t="n">
        <v>11.9</v>
      </c>
      <c r="H223" t="n">
        <v>0</v>
      </c>
      <c r="I223" t="n">
        <v>0</v>
      </c>
      <c r="J223" t="n">
        <v>0</v>
      </c>
      <c r="K223" t="n">
        <v>0</v>
      </c>
      <c r="L223" t="n">
        <v>0</v>
      </c>
      <c r="M223" t="n">
        <v>0</v>
      </c>
      <c r="N223" t="n">
        <v>0</v>
      </c>
      <c r="O223" t="n">
        <v>0</v>
      </c>
      <c r="P223" t="n">
        <v>0</v>
      </c>
      <c r="Q223" t="n">
        <v>0</v>
      </c>
      <c r="R223" s="2" t="inlineStr"/>
    </row>
    <row r="224" ht="15" customHeight="1">
      <c r="A224" t="inlineStr">
        <is>
          <t>A 28266-2024</t>
        </is>
      </c>
      <c r="B224" s="1" t="n">
        <v>45477</v>
      </c>
      <c r="C224" s="1" t="n">
        <v>46196</v>
      </c>
      <c r="D224" t="inlineStr">
        <is>
          <t>ÖSTERGÖTLANDS LÄN</t>
        </is>
      </c>
      <c r="E224" t="inlineStr">
        <is>
          <t>LINKÖPING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3008-2023</t>
        </is>
      </c>
      <c r="B225" s="1" t="n">
        <v>44945</v>
      </c>
      <c r="C225" s="1" t="n">
        <v>46196</v>
      </c>
      <c r="D225" t="inlineStr">
        <is>
          <t>ÖSTERGÖTLANDS LÄN</t>
        </is>
      </c>
      <c r="E225" t="inlineStr">
        <is>
          <t>LINKÖPING</t>
        </is>
      </c>
      <c r="G225" t="n">
        <v>19.3</v>
      </c>
      <c r="H225" t="n">
        <v>0</v>
      </c>
      <c r="I225" t="n">
        <v>0</v>
      </c>
      <c r="J225" t="n">
        <v>0</v>
      </c>
      <c r="K225" t="n">
        <v>0</v>
      </c>
      <c r="L225" t="n">
        <v>0</v>
      </c>
      <c r="M225" t="n">
        <v>0</v>
      </c>
      <c r="N225" t="n">
        <v>0</v>
      </c>
      <c r="O225" t="n">
        <v>0</v>
      </c>
      <c r="P225" t="n">
        <v>0</v>
      </c>
      <c r="Q225" t="n">
        <v>0</v>
      </c>
      <c r="R225" s="2" t="inlineStr"/>
    </row>
    <row r="226" ht="15" customHeight="1">
      <c r="A226" t="inlineStr">
        <is>
          <t>A 20455-2024</t>
        </is>
      </c>
      <c r="B226" s="1" t="n">
        <v>45435</v>
      </c>
      <c r="C226" s="1" t="n">
        <v>46196</v>
      </c>
      <c r="D226" t="inlineStr">
        <is>
          <t>ÖSTERGÖTLANDS LÄN</t>
        </is>
      </c>
      <c r="E226" t="inlineStr">
        <is>
          <t>LINKÖPING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12035-2025</t>
        </is>
      </c>
      <c r="B227" s="1" t="n">
        <v>45728</v>
      </c>
      <c r="C227" s="1" t="n">
        <v>46196</v>
      </c>
      <c r="D227" t="inlineStr">
        <is>
          <t>ÖSTERGÖTLANDS LÄN</t>
        </is>
      </c>
      <c r="E227" t="inlineStr">
        <is>
          <t>LINKÖPING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224-2024</t>
        </is>
      </c>
      <c r="B228" s="1" t="n">
        <v>45294</v>
      </c>
      <c r="C228" s="1" t="n">
        <v>46196</v>
      </c>
      <c r="D228" t="inlineStr">
        <is>
          <t>ÖSTERGÖTLANDS LÄN</t>
        </is>
      </c>
      <c r="E228" t="inlineStr">
        <is>
          <t>LINKÖPING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25418-2023</t>
        </is>
      </c>
      <c r="B229" s="1" t="n">
        <v>45089</v>
      </c>
      <c r="C229" s="1" t="n">
        <v>46196</v>
      </c>
      <c r="D229" t="inlineStr">
        <is>
          <t>ÖSTERGÖTLANDS LÄN</t>
        </is>
      </c>
      <c r="E229" t="inlineStr">
        <is>
          <t>LINKÖPING</t>
        </is>
      </c>
      <c r="F229" t="inlineStr">
        <is>
          <t>Övriga Aktiebolag</t>
        </is>
      </c>
      <c r="G229" t="n">
        <v>2.4</v>
      </c>
      <c r="H229" t="n">
        <v>0</v>
      </c>
      <c r="I229" t="n">
        <v>0</v>
      </c>
      <c r="J229" t="n">
        <v>0</v>
      </c>
      <c r="K229" t="n">
        <v>0</v>
      </c>
      <c r="L229" t="n">
        <v>0</v>
      </c>
      <c r="M229" t="n">
        <v>0</v>
      </c>
      <c r="N229" t="n">
        <v>0</v>
      </c>
      <c r="O229" t="n">
        <v>0</v>
      </c>
      <c r="P229" t="n">
        <v>0</v>
      </c>
      <c r="Q229" t="n">
        <v>0</v>
      </c>
      <c r="R229" s="2" t="inlineStr"/>
    </row>
    <row r="230" ht="15" customHeight="1">
      <c r="A230" t="inlineStr">
        <is>
          <t>A 34877-2023</t>
        </is>
      </c>
      <c r="B230" s="1" t="n">
        <v>45140</v>
      </c>
      <c r="C230" s="1" t="n">
        <v>46196</v>
      </c>
      <c r="D230" t="inlineStr">
        <is>
          <t>ÖSTERGÖTLANDS LÄN</t>
        </is>
      </c>
      <c r="E230" t="inlineStr">
        <is>
          <t>LINKÖPING</t>
        </is>
      </c>
      <c r="G230" t="n">
        <v>1.9</v>
      </c>
      <c r="H230" t="n">
        <v>0</v>
      </c>
      <c r="I230" t="n">
        <v>0</v>
      </c>
      <c r="J230" t="n">
        <v>0</v>
      </c>
      <c r="K230" t="n">
        <v>0</v>
      </c>
      <c r="L230" t="n">
        <v>0</v>
      </c>
      <c r="M230" t="n">
        <v>0</v>
      </c>
      <c r="N230" t="n">
        <v>0</v>
      </c>
      <c r="O230" t="n">
        <v>0</v>
      </c>
      <c r="P230" t="n">
        <v>0</v>
      </c>
      <c r="Q230" t="n">
        <v>0</v>
      </c>
      <c r="R230" s="2" t="inlineStr"/>
    </row>
    <row r="231" ht="15" customHeight="1">
      <c r="A231" t="inlineStr">
        <is>
          <t>A 30856-2022</t>
        </is>
      </c>
      <c r="B231" s="1" t="n">
        <v>44767</v>
      </c>
      <c r="C231" s="1" t="n">
        <v>46196</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57745-2022</t>
        </is>
      </c>
      <c r="B232" s="1" t="n">
        <v>44897</v>
      </c>
      <c r="C232" s="1" t="n">
        <v>46196</v>
      </c>
      <c r="D232" t="inlineStr">
        <is>
          <t>ÖSTERGÖTLANDS LÄN</t>
        </is>
      </c>
      <c r="E232" t="inlineStr">
        <is>
          <t>LINKÖPING</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30855-2022</t>
        </is>
      </c>
      <c r="B233" s="1" t="n">
        <v>44767</v>
      </c>
      <c r="C233" s="1" t="n">
        <v>46196</v>
      </c>
      <c r="D233" t="inlineStr">
        <is>
          <t>ÖSTERGÖTLANDS LÄN</t>
        </is>
      </c>
      <c r="E233" t="inlineStr">
        <is>
          <t>LINKÖPING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52220-2023</t>
        </is>
      </c>
      <c r="B234" s="1" t="n">
        <v>45217</v>
      </c>
      <c r="C234" s="1" t="n">
        <v>46196</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52225-2023</t>
        </is>
      </c>
      <c r="B235" s="1" t="n">
        <v>45217</v>
      </c>
      <c r="C235" s="1" t="n">
        <v>46196</v>
      </c>
      <c r="D235" t="inlineStr">
        <is>
          <t>ÖSTERGÖTLANDS LÄN</t>
        </is>
      </c>
      <c r="E235" t="inlineStr">
        <is>
          <t>LINKÖPING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1993-2023</t>
        </is>
      </c>
      <c r="B236" s="1" t="n">
        <v>44939</v>
      </c>
      <c r="C236" s="1" t="n">
        <v>46196</v>
      </c>
      <c r="D236" t="inlineStr">
        <is>
          <t>ÖSTERGÖTLANDS LÄN</t>
        </is>
      </c>
      <c r="E236" t="inlineStr">
        <is>
          <t>LINKÖPING</t>
        </is>
      </c>
      <c r="G236" t="n">
        <v>3.7</v>
      </c>
      <c r="H236" t="n">
        <v>0</v>
      </c>
      <c r="I236" t="n">
        <v>0</v>
      </c>
      <c r="J236" t="n">
        <v>0</v>
      </c>
      <c r="K236" t="n">
        <v>0</v>
      </c>
      <c r="L236" t="n">
        <v>0</v>
      </c>
      <c r="M236" t="n">
        <v>0</v>
      </c>
      <c r="N236" t="n">
        <v>0</v>
      </c>
      <c r="O236" t="n">
        <v>0</v>
      </c>
      <c r="P236" t="n">
        <v>0</v>
      </c>
      <c r="Q236" t="n">
        <v>0</v>
      </c>
      <c r="R236" s="2" t="inlineStr"/>
    </row>
    <row r="237" ht="15" customHeight="1">
      <c r="A237" t="inlineStr">
        <is>
          <t>A 22264-2025</t>
        </is>
      </c>
      <c r="B237" s="1" t="n">
        <v>45785</v>
      </c>
      <c r="C237" s="1" t="n">
        <v>46196</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9473-2024</t>
        </is>
      </c>
      <c r="B238" s="1" t="n">
        <v>45359</v>
      </c>
      <c r="C238" s="1" t="n">
        <v>46196</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6859-2024</t>
        </is>
      </c>
      <c r="B239" s="1" t="n">
        <v>45342</v>
      </c>
      <c r="C239" s="1" t="n">
        <v>46196</v>
      </c>
      <c r="D239" t="inlineStr">
        <is>
          <t>ÖSTERGÖTLANDS LÄN</t>
        </is>
      </c>
      <c r="E239" t="inlineStr">
        <is>
          <t>LINKÖPING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44287-2024</t>
        </is>
      </c>
      <c r="B240" s="1" t="n">
        <v>45573</v>
      </c>
      <c r="C240" s="1" t="n">
        <v>46196</v>
      </c>
      <c r="D240" t="inlineStr">
        <is>
          <t>ÖSTERGÖTLANDS LÄN</t>
        </is>
      </c>
      <c r="E240" t="inlineStr">
        <is>
          <t>LINKÖPING</t>
        </is>
      </c>
      <c r="G240" t="n">
        <v>12.7</v>
      </c>
      <c r="H240" t="n">
        <v>0</v>
      </c>
      <c r="I240" t="n">
        <v>0</v>
      </c>
      <c r="J240" t="n">
        <v>0</v>
      </c>
      <c r="K240" t="n">
        <v>0</v>
      </c>
      <c r="L240" t="n">
        <v>0</v>
      </c>
      <c r="M240" t="n">
        <v>0</v>
      </c>
      <c r="N240" t="n">
        <v>0</v>
      </c>
      <c r="O240" t="n">
        <v>0</v>
      </c>
      <c r="P240" t="n">
        <v>0</v>
      </c>
      <c r="Q240" t="n">
        <v>0</v>
      </c>
      <c r="R240" s="2" t="inlineStr"/>
    </row>
    <row r="241" ht="15" customHeight="1">
      <c r="A241" t="inlineStr">
        <is>
          <t>A 42832-2023</t>
        </is>
      </c>
      <c r="B241" s="1" t="n">
        <v>45182</v>
      </c>
      <c r="C241" s="1" t="n">
        <v>46196</v>
      </c>
      <c r="D241" t="inlineStr">
        <is>
          <t>ÖSTERGÖTLANDS LÄN</t>
        </is>
      </c>
      <c r="E241" t="inlineStr">
        <is>
          <t>LINKÖPING</t>
        </is>
      </c>
      <c r="G241" t="n">
        <v>2.5</v>
      </c>
      <c r="H241" t="n">
        <v>0</v>
      </c>
      <c r="I241" t="n">
        <v>0</v>
      </c>
      <c r="J241" t="n">
        <v>0</v>
      </c>
      <c r="K241" t="n">
        <v>0</v>
      </c>
      <c r="L241" t="n">
        <v>0</v>
      </c>
      <c r="M241" t="n">
        <v>0</v>
      </c>
      <c r="N241" t="n">
        <v>0</v>
      </c>
      <c r="O241" t="n">
        <v>0</v>
      </c>
      <c r="P241" t="n">
        <v>0</v>
      </c>
      <c r="Q241" t="n">
        <v>0</v>
      </c>
      <c r="R241" s="2" t="inlineStr"/>
    </row>
    <row r="242" ht="15" customHeight="1">
      <c r="A242" t="inlineStr">
        <is>
          <t>A 52111-2025</t>
        </is>
      </c>
      <c r="B242" s="1" t="n">
        <v>45952</v>
      </c>
      <c r="C242" s="1" t="n">
        <v>46196</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56560-2023</t>
        </is>
      </c>
      <c r="B243" s="1" t="n">
        <v>45238</v>
      </c>
      <c r="C243" s="1" t="n">
        <v>46196</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572-2025</t>
        </is>
      </c>
      <c r="B244" s="1" t="n">
        <v>45664</v>
      </c>
      <c r="C244" s="1" t="n">
        <v>46196</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52740-2025</t>
        </is>
      </c>
      <c r="B245" s="1" t="n">
        <v>45957</v>
      </c>
      <c r="C245" s="1" t="n">
        <v>46196</v>
      </c>
      <c r="D245" t="inlineStr">
        <is>
          <t>ÖSTERGÖTLANDS LÄN</t>
        </is>
      </c>
      <c r="E245" t="inlineStr">
        <is>
          <t>LINKÖPING</t>
        </is>
      </c>
      <c r="G245" t="n">
        <v>3.7</v>
      </c>
      <c r="H245" t="n">
        <v>0</v>
      </c>
      <c r="I245" t="n">
        <v>0</v>
      </c>
      <c r="J245" t="n">
        <v>0</v>
      </c>
      <c r="K245" t="n">
        <v>0</v>
      </c>
      <c r="L245" t="n">
        <v>0</v>
      </c>
      <c r="M245" t="n">
        <v>0</v>
      </c>
      <c r="N245" t="n">
        <v>0</v>
      </c>
      <c r="O245" t="n">
        <v>0</v>
      </c>
      <c r="P245" t="n">
        <v>0</v>
      </c>
      <c r="Q245" t="n">
        <v>0</v>
      </c>
      <c r="R245" s="2" t="inlineStr"/>
    </row>
    <row r="246" ht="15" customHeight="1">
      <c r="A246" t="inlineStr">
        <is>
          <t>A 38580-2024</t>
        </is>
      </c>
      <c r="B246" s="1" t="n">
        <v>45546</v>
      </c>
      <c r="C246" s="1" t="n">
        <v>46196</v>
      </c>
      <c r="D246" t="inlineStr">
        <is>
          <t>ÖSTERGÖTLANDS LÄN</t>
        </is>
      </c>
      <c r="E246" t="inlineStr">
        <is>
          <t>LINKÖPING</t>
        </is>
      </c>
      <c r="G246" t="n">
        <v>4.8</v>
      </c>
      <c r="H246" t="n">
        <v>0</v>
      </c>
      <c r="I246" t="n">
        <v>0</v>
      </c>
      <c r="J246" t="n">
        <v>0</v>
      </c>
      <c r="K246" t="n">
        <v>0</v>
      </c>
      <c r="L246" t="n">
        <v>0</v>
      </c>
      <c r="M246" t="n">
        <v>0</v>
      </c>
      <c r="N246" t="n">
        <v>0</v>
      </c>
      <c r="O246" t="n">
        <v>0</v>
      </c>
      <c r="P246" t="n">
        <v>0</v>
      </c>
      <c r="Q246" t="n">
        <v>0</v>
      </c>
      <c r="R246" s="2" t="inlineStr"/>
    </row>
    <row r="247" ht="15" customHeight="1">
      <c r="A247" t="inlineStr">
        <is>
          <t>A 57752-2023</t>
        </is>
      </c>
      <c r="B247" s="1" t="n">
        <v>45246</v>
      </c>
      <c r="C247" s="1" t="n">
        <v>46196</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52412-2023</t>
        </is>
      </c>
      <c r="B248" s="1" t="n">
        <v>45225</v>
      </c>
      <c r="C248" s="1" t="n">
        <v>46196</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52413-2023</t>
        </is>
      </c>
      <c r="B249" s="1" t="n">
        <v>45225</v>
      </c>
      <c r="C249" s="1" t="n">
        <v>46196</v>
      </c>
      <c r="D249" t="inlineStr">
        <is>
          <t>ÖSTERGÖTLANDS LÄN</t>
        </is>
      </c>
      <c r="E249" t="inlineStr">
        <is>
          <t>LINKÖPING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52802-2025</t>
        </is>
      </c>
      <c r="B250" s="1" t="n">
        <v>45957</v>
      </c>
      <c r="C250" s="1" t="n">
        <v>46196</v>
      </c>
      <c r="D250" t="inlineStr">
        <is>
          <t>ÖSTERGÖTLANDS LÄN</t>
        </is>
      </c>
      <c r="E250" t="inlineStr">
        <is>
          <t>LINKÖPING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52743-2025</t>
        </is>
      </c>
      <c r="B251" s="1" t="n">
        <v>45957</v>
      </c>
      <c r="C251" s="1" t="n">
        <v>46196</v>
      </c>
      <c r="D251" t="inlineStr">
        <is>
          <t>ÖSTERGÖTLANDS LÄN</t>
        </is>
      </c>
      <c r="E251" t="inlineStr">
        <is>
          <t>LINKÖPING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29312-2024</t>
        </is>
      </c>
      <c r="B252" s="1" t="n">
        <v>45483</v>
      </c>
      <c r="C252" s="1" t="n">
        <v>46196</v>
      </c>
      <c r="D252" t="inlineStr">
        <is>
          <t>ÖSTERGÖTLANDS LÄN</t>
        </is>
      </c>
      <c r="E252" t="inlineStr">
        <is>
          <t>LINKÖPING</t>
        </is>
      </c>
      <c r="G252" t="n">
        <v>2.1</v>
      </c>
      <c r="H252" t="n">
        <v>0</v>
      </c>
      <c r="I252" t="n">
        <v>0</v>
      </c>
      <c r="J252" t="n">
        <v>0</v>
      </c>
      <c r="K252" t="n">
        <v>0</v>
      </c>
      <c r="L252" t="n">
        <v>0</v>
      </c>
      <c r="M252" t="n">
        <v>0</v>
      </c>
      <c r="N252" t="n">
        <v>0</v>
      </c>
      <c r="O252" t="n">
        <v>0</v>
      </c>
      <c r="P252" t="n">
        <v>0</v>
      </c>
      <c r="Q252" t="n">
        <v>0</v>
      </c>
      <c r="R252" s="2" t="inlineStr"/>
    </row>
    <row r="253" ht="15" customHeight="1">
      <c r="A253" t="inlineStr">
        <is>
          <t>A 3008-2023</t>
        </is>
      </c>
      <c r="B253" s="1" t="n">
        <v>44945</v>
      </c>
      <c r="C253" s="1" t="n">
        <v>46196</v>
      </c>
      <c r="D253" t="inlineStr">
        <is>
          <t>ÖSTERGÖTLANDS LÄN</t>
        </is>
      </c>
      <c r="E253" t="inlineStr">
        <is>
          <t>LINKÖPING</t>
        </is>
      </c>
      <c r="G253" t="n">
        <v>19.3</v>
      </c>
      <c r="H253" t="n">
        <v>0</v>
      </c>
      <c r="I253" t="n">
        <v>0</v>
      </c>
      <c r="J253" t="n">
        <v>0</v>
      </c>
      <c r="K253" t="n">
        <v>0</v>
      </c>
      <c r="L253" t="n">
        <v>0</v>
      </c>
      <c r="M253" t="n">
        <v>0</v>
      </c>
      <c r="N253" t="n">
        <v>0</v>
      </c>
      <c r="O253" t="n">
        <v>0</v>
      </c>
      <c r="P253" t="n">
        <v>0</v>
      </c>
      <c r="Q253" t="n">
        <v>0</v>
      </c>
      <c r="R253" s="2" t="inlineStr"/>
    </row>
    <row r="254" ht="15" customHeight="1">
      <c r="A254" t="inlineStr">
        <is>
          <t>A 23768-2025</t>
        </is>
      </c>
      <c r="B254" s="1" t="n">
        <v>45793</v>
      </c>
      <c r="C254" s="1" t="n">
        <v>46196</v>
      </c>
      <c r="D254" t="inlineStr">
        <is>
          <t>ÖSTERGÖTLANDS LÄN</t>
        </is>
      </c>
      <c r="E254" t="inlineStr">
        <is>
          <t>LINKÖPING</t>
        </is>
      </c>
      <c r="G254" t="n">
        <v>3.4</v>
      </c>
      <c r="H254" t="n">
        <v>0</v>
      </c>
      <c r="I254" t="n">
        <v>0</v>
      </c>
      <c r="J254" t="n">
        <v>0</v>
      </c>
      <c r="K254" t="n">
        <v>0</v>
      </c>
      <c r="L254" t="n">
        <v>0</v>
      </c>
      <c r="M254" t="n">
        <v>0</v>
      </c>
      <c r="N254" t="n">
        <v>0</v>
      </c>
      <c r="O254" t="n">
        <v>0</v>
      </c>
      <c r="P254" t="n">
        <v>0</v>
      </c>
      <c r="Q254" t="n">
        <v>0</v>
      </c>
      <c r="R254" s="2" t="inlineStr"/>
    </row>
    <row r="255" ht="15" customHeight="1">
      <c r="A255" t="inlineStr">
        <is>
          <t>A 48699-2024</t>
        </is>
      </c>
      <c r="B255" s="1" t="n">
        <v>45593</v>
      </c>
      <c r="C255" s="1" t="n">
        <v>46196</v>
      </c>
      <c r="D255" t="inlineStr">
        <is>
          <t>ÖSTERGÖTLANDS LÄN</t>
        </is>
      </c>
      <c r="E255" t="inlineStr">
        <is>
          <t>LINKÖPING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55102-2025</t>
        </is>
      </c>
      <c r="B256" s="1" t="n">
        <v>45968</v>
      </c>
      <c r="C256" s="1" t="n">
        <v>46196</v>
      </c>
      <c r="D256" t="inlineStr">
        <is>
          <t>ÖSTERGÖTLANDS LÄN</t>
        </is>
      </c>
      <c r="E256" t="inlineStr">
        <is>
          <t>LINKÖPING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55132-2025</t>
        </is>
      </c>
      <c r="B257" s="1" t="n">
        <v>45968</v>
      </c>
      <c r="C257" s="1" t="n">
        <v>46196</v>
      </c>
      <c r="D257" t="inlineStr">
        <is>
          <t>ÖSTERGÖTLANDS LÄN</t>
        </is>
      </c>
      <c r="E257" t="inlineStr">
        <is>
          <t>LINKÖPING</t>
        </is>
      </c>
      <c r="G257" t="n">
        <v>2.4</v>
      </c>
      <c r="H257" t="n">
        <v>0</v>
      </c>
      <c r="I257" t="n">
        <v>0</v>
      </c>
      <c r="J257" t="n">
        <v>0</v>
      </c>
      <c r="K257" t="n">
        <v>0</v>
      </c>
      <c r="L257" t="n">
        <v>0</v>
      </c>
      <c r="M257" t="n">
        <v>0</v>
      </c>
      <c r="N257" t="n">
        <v>0</v>
      </c>
      <c r="O257" t="n">
        <v>0</v>
      </c>
      <c r="P257" t="n">
        <v>0</v>
      </c>
      <c r="Q257" t="n">
        <v>0</v>
      </c>
      <c r="R257" s="2" t="inlineStr"/>
    </row>
    <row r="258" ht="15" customHeight="1">
      <c r="A258" t="inlineStr">
        <is>
          <t>A 55109-2025</t>
        </is>
      </c>
      <c r="B258" s="1" t="n">
        <v>45968</v>
      </c>
      <c r="C258" s="1" t="n">
        <v>46196</v>
      </c>
      <c r="D258" t="inlineStr">
        <is>
          <t>ÖSTERGÖTLANDS LÄN</t>
        </is>
      </c>
      <c r="E258" t="inlineStr">
        <is>
          <t>LINKÖPING</t>
        </is>
      </c>
      <c r="G258" t="n">
        <v>3.2</v>
      </c>
      <c r="H258" t="n">
        <v>0</v>
      </c>
      <c r="I258" t="n">
        <v>0</v>
      </c>
      <c r="J258" t="n">
        <v>0</v>
      </c>
      <c r="K258" t="n">
        <v>0</v>
      </c>
      <c r="L258" t="n">
        <v>0</v>
      </c>
      <c r="M258" t="n">
        <v>0</v>
      </c>
      <c r="N258" t="n">
        <v>0</v>
      </c>
      <c r="O258" t="n">
        <v>0</v>
      </c>
      <c r="P258" t="n">
        <v>0</v>
      </c>
      <c r="Q258" t="n">
        <v>0</v>
      </c>
      <c r="R258" s="2" t="inlineStr"/>
    </row>
    <row r="259" ht="15" customHeight="1">
      <c r="A259" t="inlineStr">
        <is>
          <t>A 13911-2025</t>
        </is>
      </c>
      <c r="B259" s="1" t="n">
        <v>45737</v>
      </c>
      <c r="C259" s="1" t="n">
        <v>46196</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44280-2024</t>
        </is>
      </c>
      <c r="B260" s="1" t="n">
        <v>45573</v>
      </c>
      <c r="C260" s="1" t="n">
        <v>46196</v>
      </c>
      <c r="D260" t="inlineStr">
        <is>
          <t>ÖSTERGÖTLANDS LÄN</t>
        </is>
      </c>
      <c r="E260" t="inlineStr">
        <is>
          <t>LINKÖPING</t>
        </is>
      </c>
      <c r="G260" t="n">
        <v>5.3</v>
      </c>
      <c r="H260" t="n">
        <v>0</v>
      </c>
      <c r="I260" t="n">
        <v>0</v>
      </c>
      <c r="J260" t="n">
        <v>0</v>
      </c>
      <c r="K260" t="n">
        <v>0</v>
      </c>
      <c r="L260" t="n">
        <v>0</v>
      </c>
      <c r="M260" t="n">
        <v>0</v>
      </c>
      <c r="N260" t="n">
        <v>0</v>
      </c>
      <c r="O260" t="n">
        <v>0</v>
      </c>
      <c r="P260" t="n">
        <v>0</v>
      </c>
      <c r="Q260" t="n">
        <v>0</v>
      </c>
      <c r="R260" s="2" t="inlineStr"/>
    </row>
    <row r="261" ht="15" customHeight="1">
      <c r="A261" t="inlineStr">
        <is>
          <t>A 56113-2025</t>
        </is>
      </c>
      <c r="B261" s="1" t="n">
        <v>45973</v>
      </c>
      <c r="C261" s="1" t="n">
        <v>46196</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56105-2025</t>
        </is>
      </c>
      <c r="B262" s="1" t="n">
        <v>45973</v>
      </c>
      <c r="C262" s="1" t="n">
        <v>46196</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55945-2024</t>
        </is>
      </c>
      <c r="B263" s="1" t="n">
        <v>45623</v>
      </c>
      <c r="C263" s="1" t="n">
        <v>46196</v>
      </c>
      <c r="D263" t="inlineStr">
        <is>
          <t>ÖSTERGÖTLANDS LÄN</t>
        </is>
      </c>
      <c r="E263" t="inlineStr">
        <is>
          <t>LINKÖPING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34928-2023</t>
        </is>
      </c>
      <c r="B264" s="1" t="n">
        <v>45142</v>
      </c>
      <c r="C264" s="1" t="n">
        <v>46196</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1263-2024</t>
        </is>
      </c>
      <c r="B265" s="1" t="n">
        <v>45302</v>
      </c>
      <c r="C265" s="1" t="n">
        <v>46196</v>
      </c>
      <c r="D265" t="inlineStr">
        <is>
          <t>ÖSTERGÖTLANDS LÄN</t>
        </is>
      </c>
      <c r="E265" t="inlineStr">
        <is>
          <t>LINKÖPING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52531-2023</t>
        </is>
      </c>
      <c r="B266" s="1" t="n">
        <v>45225</v>
      </c>
      <c r="C266" s="1" t="n">
        <v>46196</v>
      </c>
      <c r="D266" t="inlineStr">
        <is>
          <t>ÖSTERGÖTLANDS LÄN</t>
        </is>
      </c>
      <c r="E266" t="inlineStr">
        <is>
          <t>LINKÖPING</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41511-2025</t>
        </is>
      </c>
      <c r="B267" s="1" t="n">
        <v>45901</v>
      </c>
      <c r="C267" s="1" t="n">
        <v>46196</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56704-2025</t>
        </is>
      </c>
      <c r="B268" s="1" t="n">
        <v>45977</v>
      </c>
      <c r="C268" s="1" t="n">
        <v>46196</v>
      </c>
      <c r="D268" t="inlineStr">
        <is>
          <t>ÖSTERGÖTLANDS LÄN</t>
        </is>
      </c>
      <c r="E268" t="inlineStr">
        <is>
          <t>LINKÖPING</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29293-2025</t>
        </is>
      </c>
      <c r="B269" s="1" t="n">
        <v>45824</v>
      </c>
      <c r="C269" s="1" t="n">
        <v>46196</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25996-2025</t>
        </is>
      </c>
      <c r="B270" s="1" t="n">
        <v>45804</v>
      </c>
      <c r="C270" s="1" t="n">
        <v>46196</v>
      </c>
      <c r="D270" t="inlineStr">
        <is>
          <t>ÖSTERGÖTLANDS LÄN</t>
        </is>
      </c>
      <c r="E270" t="inlineStr">
        <is>
          <t>LINKÖPING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20293-2025</t>
        </is>
      </c>
      <c r="B271" s="1" t="n">
        <v>45774</v>
      </c>
      <c r="C271" s="1" t="n">
        <v>46196</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44170-2025</t>
        </is>
      </c>
      <c r="B272" s="1" t="n">
        <v>45915</v>
      </c>
      <c r="C272" s="1" t="n">
        <v>46196</v>
      </c>
      <c r="D272" t="inlineStr">
        <is>
          <t>ÖSTERGÖTLANDS LÄN</t>
        </is>
      </c>
      <c r="E272" t="inlineStr">
        <is>
          <t>LINKÖPING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43755-2025</t>
        </is>
      </c>
      <c r="B273" s="1" t="n">
        <v>45912</v>
      </c>
      <c r="C273" s="1" t="n">
        <v>46196</v>
      </c>
      <c r="D273" t="inlineStr">
        <is>
          <t>ÖSTERGÖTLANDS LÄN</t>
        </is>
      </c>
      <c r="E273" t="inlineStr">
        <is>
          <t>LINKÖPING</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43758-2025</t>
        </is>
      </c>
      <c r="B274" s="1" t="n">
        <v>45912</v>
      </c>
      <c r="C274" s="1" t="n">
        <v>46196</v>
      </c>
      <c r="D274" t="inlineStr">
        <is>
          <t>ÖSTERGÖTLANDS LÄN</t>
        </is>
      </c>
      <c r="E274" t="inlineStr">
        <is>
          <t>LINKÖPING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43753-2025</t>
        </is>
      </c>
      <c r="B275" s="1" t="n">
        <v>45912</v>
      </c>
      <c r="C275" s="1" t="n">
        <v>46196</v>
      </c>
      <c r="D275" t="inlineStr">
        <is>
          <t>ÖSTERGÖTLANDS LÄN</t>
        </is>
      </c>
      <c r="E275" t="inlineStr">
        <is>
          <t>LINKÖPING</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50963-2021</t>
        </is>
      </c>
      <c r="B276" s="1" t="n">
        <v>44460</v>
      </c>
      <c r="C276" s="1" t="n">
        <v>46196</v>
      </c>
      <c r="D276" t="inlineStr">
        <is>
          <t>ÖSTERGÖTLANDS LÄN</t>
        </is>
      </c>
      <c r="E276" t="inlineStr">
        <is>
          <t>LINKÖPING</t>
        </is>
      </c>
      <c r="G276" t="n">
        <v>4.4</v>
      </c>
      <c r="H276" t="n">
        <v>0</v>
      </c>
      <c r="I276" t="n">
        <v>0</v>
      </c>
      <c r="J276" t="n">
        <v>0</v>
      </c>
      <c r="K276" t="n">
        <v>0</v>
      </c>
      <c r="L276" t="n">
        <v>0</v>
      </c>
      <c r="M276" t="n">
        <v>0</v>
      </c>
      <c r="N276" t="n">
        <v>0</v>
      </c>
      <c r="O276" t="n">
        <v>0</v>
      </c>
      <c r="P276" t="n">
        <v>0</v>
      </c>
      <c r="Q276" t="n">
        <v>0</v>
      </c>
      <c r="R276" s="2" t="inlineStr"/>
    </row>
    <row r="277" ht="15" customHeight="1">
      <c r="A277" t="inlineStr">
        <is>
          <t>A 61307-2021</t>
        </is>
      </c>
      <c r="B277" s="1" t="n">
        <v>44498</v>
      </c>
      <c r="C277" s="1" t="n">
        <v>46196</v>
      </c>
      <c r="D277" t="inlineStr">
        <is>
          <t>ÖSTERGÖTLANDS LÄN</t>
        </is>
      </c>
      <c r="E277" t="inlineStr">
        <is>
          <t>LINKÖPING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61325-2021</t>
        </is>
      </c>
      <c r="B278" s="1" t="n">
        <v>44498</v>
      </c>
      <c r="C278" s="1" t="n">
        <v>46196</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63665-2023</t>
        </is>
      </c>
      <c r="B279" s="1" t="n">
        <v>45275</v>
      </c>
      <c r="C279" s="1" t="n">
        <v>46196</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33867-2023</t>
        </is>
      </c>
      <c r="B280" s="1" t="n">
        <v>45133</v>
      </c>
      <c r="C280" s="1" t="n">
        <v>46196</v>
      </c>
      <c r="D280" t="inlineStr">
        <is>
          <t>ÖSTERGÖTLANDS LÄN</t>
        </is>
      </c>
      <c r="E280" t="inlineStr">
        <is>
          <t>LINKÖPING</t>
        </is>
      </c>
      <c r="G280" t="n">
        <v>2.3</v>
      </c>
      <c r="H280" t="n">
        <v>0</v>
      </c>
      <c r="I280" t="n">
        <v>0</v>
      </c>
      <c r="J280" t="n">
        <v>0</v>
      </c>
      <c r="K280" t="n">
        <v>0</v>
      </c>
      <c r="L280" t="n">
        <v>0</v>
      </c>
      <c r="M280" t="n">
        <v>0</v>
      </c>
      <c r="N280" t="n">
        <v>0</v>
      </c>
      <c r="O280" t="n">
        <v>0</v>
      </c>
      <c r="P280" t="n">
        <v>0</v>
      </c>
      <c r="Q280" t="n">
        <v>0</v>
      </c>
      <c r="R280" s="2" t="inlineStr"/>
    </row>
    <row r="281" ht="15" customHeight="1">
      <c r="A281" t="inlineStr">
        <is>
          <t>A 59472-2025</t>
        </is>
      </c>
      <c r="B281" s="1" t="n">
        <v>45989</v>
      </c>
      <c r="C281" s="1" t="n">
        <v>46196</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45112-2025</t>
        </is>
      </c>
      <c r="B282" s="1" t="n">
        <v>45919</v>
      </c>
      <c r="C282" s="1" t="n">
        <v>46196</v>
      </c>
      <c r="D282" t="inlineStr">
        <is>
          <t>ÖSTERGÖTLANDS LÄN</t>
        </is>
      </c>
      <c r="E282" t="inlineStr">
        <is>
          <t>LINKÖPING</t>
        </is>
      </c>
      <c r="G282" t="n">
        <v>3.5</v>
      </c>
      <c r="H282" t="n">
        <v>0</v>
      </c>
      <c r="I282" t="n">
        <v>0</v>
      </c>
      <c r="J282" t="n">
        <v>0</v>
      </c>
      <c r="K282" t="n">
        <v>0</v>
      </c>
      <c r="L282" t="n">
        <v>0</v>
      </c>
      <c r="M282" t="n">
        <v>0</v>
      </c>
      <c r="N282" t="n">
        <v>0</v>
      </c>
      <c r="O282" t="n">
        <v>0</v>
      </c>
      <c r="P282" t="n">
        <v>0</v>
      </c>
      <c r="Q282" t="n">
        <v>0</v>
      </c>
      <c r="R282" s="2" t="inlineStr"/>
    </row>
    <row r="283" ht="15" customHeight="1">
      <c r="A283" t="inlineStr">
        <is>
          <t>A 38317-2024</t>
        </is>
      </c>
      <c r="B283" s="1" t="n">
        <v>45545</v>
      </c>
      <c r="C283" s="1" t="n">
        <v>46196</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45634-2025</t>
        </is>
      </c>
      <c r="B284" s="1" t="n">
        <v>45922</v>
      </c>
      <c r="C284" s="1" t="n">
        <v>46196</v>
      </c>
      <c r="D284" t="inlineStr">
        <is>
          <t>ÖSTERGÖTLANDS LÄN</t>
        </is>
      </c>
      <c r="E284" t="inlineStr">
        <is>
          <t>LINKÖPING</t>
        </is>
      </c>
      <c r="F284" t="inlineStr">
        <is>
          <t>Övriga Aktiebolag</t>
        </is>
      </c>
      <c r="G284" t="n">
        <v>0.3</v>
      </c>
      <c r="H284" t="n">
        <v>0</v>
      </c>
      <c r="I284" t="n">
        <v>0</v>
      </c>
      <c r="J284" t="n">
        <v>0</v>
      </c>
      <c r="K284" t="n">
        <v>0</v>
      </c>
      <c r="L284" t="n">
        <v>0</v>
      </c>
      <c r="M284" t="n">
        <v>0</v>
      </c>
      <c r="N284" t="n">
        <v>0</v>
      </c>
      <c r="O284" t="n">
        <v>0</v>
      </c>
      <c r="P284" t="n">
        <v>0</v>
      </c>
      <c r="Q284" t="n">
        <v>0</v>
      </c>
      <c r="R284" s="2" t="inlineStr"/>
    </row>
    <row r="285" ht="15" customHeight="1">
      <c r="A285" t="inlineStr">
        <is>
          <t>A 60087-2025</t>
        </is>
      </c>
      <c r="B285" s="1" t="n">
        <v>45993</v>
      </c>
      <c r="C285" s="1" t="n">
        <v>46196</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58947-2022</t>
        </is>
      </c>
      <c r="B286" s="1" t="n">
        <v>44903</v>
      </c>
      <c r="C286" s="1" t="n">
        <v>46196</v>
      </c>
      <c r="D286" t="inlineStr">
        <is>
          <t>ÖSTERGÖTLANDS LÄN</t>
        </is>
      </c>
      <c r="E286" t="inlineStr">
        <is>
          <t>LINKÖPING</t>
        </is>
      </c>
      <c r="G286" t="n">
        <v>4</v>
      </c>
      <c r="H286" t="n">
        <v>0</v>
      </c>
      <c r="I286" t="n">
        <v>0</v>
      </c>
      <c r="J286" t="n">
        <v>0</v>
      </c>
      <c r="K286" t="n">
        <v>0</v>
      </c>
      <c r="L286" t="n">
        <v>0</v>
      </c>
      <c r="M286" t="n">
        <v>0</v>
      </c>
      <c r="N286" t="n">
        <v>0</v>
      </c>
      <c r="O286" t="n">
        <v>0</v>
      </c>
      <c r="P286" t="n">
        <v>0</v>
      </c>
      <c r="Q286" t="n">
        <v>0</v>
      </c>
      <c r="R286" s="2" t="inlineStr"/>
    </row>
    <row r="287" ht="15" customHeight="1">
      <c r="A287" t="inlineStr">
        <is>
          <t>A 46377-2025</t>
        </is>
      </c>
      <c r="B287" s="1" t="n">
        <v>45925</v>
      </c>
      <c r="C287" s="1" t="n">
        <v>46196</v>
      </c>
      <c r="D287" t="inlineStr">
        <is>
          <t>ÖSTERGÖTLANDS LÄN</t>
        </is>
      </c>
      <c r="E287" t="inlineStr">
        <is>
          <t>LINKÖPING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16665-2023</t>
        </is>
      </c>
      <c r="B288" s="1" t="n">
        <v>45030</v>
      </c>
      <c r="C288" s="1" t="n">
        <v>46196</v>
      </c>
      <c r="D288" t="inlineStr">
        <is>
          <t>ÖSTERGÖTLANDS LÄN</t>
        </is>
      </c>
      <c r="E288" t="inlineStr">
        <is>
          <t>LINKÖPING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60703-2025</t>
        </is>
      </c>
      <c r="B289" s="1" t="n">
        <v>45996</v>
      </c>
      <c r="C289" s="1" t="n">
        <v>46196</v>
      </c>
      <c r="D289" t="inlineStr">
        <is>
          <t>ÖSTERGÖTLANDS LÄN</t>
        </is>
      </c>
      <c r="E289" t="inlineStr">
        <is>
          <t>LINKÖPING</t>
        </is>
      </c>
      <c r="F289" t="inlineStr">
        <is>
          <t>Övriga Aktiebolag</t>
        </is>
      </c>
      <c r="G289" t="n">
        <v>1.3</v>
      </c>
      <c r="H289" t="n">
        <v>0</v>
      </c>
      <c r="I289" t="n">
        <v>0</v>
      </c>
      <c r="J289" t="n">
        <v>0</v>
      </c>
      <c r="K289" t="n">
        <v>0</v>
      </c>
      <c r="L289" t="n">
        <v>0</v>
      </c>
      <c r="M289" t="n">
        <v>0</v>
      </c>
      <c r="N289" t="n">
        <v>0</v>
      </c>
      <c r="O289" t="n">
        <v>0</v>
      </c>
      <c r="P289" t="n">
        <v>0</v>
      </c>
      <c r="Q289" t="n">
        <v>0</v>
      </c>
      <c r="R289" s="2" t="inlineStr"/>
    </row>
    <row r="290" ht="15" customHeight="1">
      <c r="A290" t="inlineStr">
        <is>
          <t>A 46847-2025</t>
        </is>
      </c>
      <c r="B290" s="1" t="n">
        <v>45928</v>
      </c>
      <c r="C290" s="1" t="n">
        <v>46196</v>
      </c>
      <c r="D290" t="inlineStr">
        <is>
          <t>ÖSTERGÖTLANDS LÄN</t>
        </is>
      </c>
      <c r="E290" t="inlineStr">
        <is>
          <t>LINKÖPING</t>
        </is>
      </c>
      <c r="G290" t="n">
        <v>4.6</v>
      </c>
      <c r="H290" t="n">
        <v>0</v>
      </c>
      <c r="I290" t="n">
        <v>0</v>
      </c>
      <c r="J290" t="n">
        <v>0</v>
      </c>
      <c r="K290" t="n">
        <v>0</v>
      </c>
      <c r="L290" t="n">
        <v>0</v>
      </c>
      <c r="M290" t="n">
        <v>0</v>
      </c>
      <c r="N290" t="n">
        <v>0</v>
      </c>
      <c r="O290" t="n">
        <v>0</v>
      </c>
      <c r="P290" t="n">
        <v>0</v>
      </c>
      <c r="Q290" t="n">
        <v>0</v>
      </c>
      <c r="R290" s="2" t="inlineStr"/>
    </row>
    <row r="291" ht="15" customHeight="1">
      <c r="A291" t="inlineStr">
        <is>
          <t>A 47233-2025</t>
        </is>
      </c>
      <c r="B291" s="1" t="n">
        <v>45930</v>
      </c>
      <c r="C291" s="1" t="n">
        <v>46196</v>
      </c>
      <c r="D291" t="inlineStr">
        <is>
          <t>ÖSTERGÖTLANDS LÄN</t>
        </is>
      </c>
      <c r="E291" t="inlineStr">
        <is>
          <t>LINKÖPING</t>
        </is>
      </c>
      <c r="G291" t="n">
        <v>4.3</v>
      </c>
      <c r="H291" t="n">
        <v>0</v>
      </c>
      <c r="I291" t="n">
        <v>0</v>
      </c>
      <c r="J291" t="n">
        <v>0</v>
      </c>
      <c r="K291" t="n">
        <v>0</v>
      </c>
      <c r="L291" t="n">
        <v>0</v>
      </c>
      <c r="M291" t="n">
        <v>0</v>
      </c>
      <c r="N291" t="n">
        <v>0</v>
      </c>
      <c r="O291" t="n">
        <v>0</v>
      </c>
      <c r="P291" t="n">
        <v>0</v>
      </c>
      <c r="Q291" t="n">
        <v>0</v>
      </c>
      <c r="R291" s="2" t="inlineStr"/>
    </row>
    <row r="292" ht="15" customHeight="1">
      <c r="A292" t="inlineStr">
        <is>
          <t>A 61230-2025</t>
        </is>
      </c>
      <c r="B292" s="1" t="n">
        <v>46000</v>
      </c>
      <c r="C292" s="1" t="n">
        <v>46196</v>
      </c>
      <c r="D292" t="inlineStr">
        <is>
          <t>ÖSTERGÖTLANDS LÄN</t>
        </is>
      </c>
      <c r="E292" t="inlineStr">
        <is>
          <t>LINKÖPING</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60001-2022</t>
        </is>
      </c>
      <c r="B293" s="1" t="n">
        <v>44909</v>
      </c>
      <c r="C293" s="1" t="n">
        <v>46196</v>
      </c>
      <c r="D293" t="inlineStr">
        <is>
          <t>ÖSTERGÖTLANDS LÄN</t>
        </is>
      </c>
      <c r="E293" t="inlineStr">
        <is>
          <t>LINKÖPING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60013-2022</t>
        </is>
      </c>
      <c r="B294" s="1" t="n">
        <v>44909</v>
      </c>
      <c r="C294" s="1" t="n">
        <v>46196</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27797-2025</t>
        </is>
      </c>
      <c r="B295" s="1" t="n">
        <v>45816</v>
      </c>
      <c r="C295" s="1" t="n">
        <v>46196</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1211-2023</t>
        </is>
      </c>
      <c r="B296" s="1" t="n">
        <v>44930</v>
      </c>
      <c r="C296" s="1" t="n">
        <v>46196</v>
      </c>
      <c r="D296" t="inlineStr">
        <is>
          <t>ÖSTERGÖTLANDS LÄN</t>
        </is>
      </c>
      <c r="E296" t="inlineStr">
        <is>
          <t>LINKÖPING</t>
        </is>
      </c>
      <c r="F296" t="inlineStr">
        <is>
          <t>Övriga statliga verk och myndigheter</t>
        </is>
      </c>
      <c r="G296" t="n">
        <v>7.9</v>
      </c>
      <c r="H296" t="n">
        <v>0</v>
      </c>
      <c r="I296" t="n">
        <v>0</v>
      </c>
      <c r="J296" t="n">
        <v>0</v>
      </c>
      <c r="K296" t="n">
        <v>0</v>
      </c>
      <c r="L296" t="n">
        <v>0</v>
      </c>
      <c r="M296" t="n">
        <v>0</v>
      </c>
      <c r="N296" t="n">
        <v>0</v>
      </c>
      <c r="O296" t="n">
        <v>0</v>
      </c>
      <c r="P296" t="n">
        <v>0</v>
      </c>
      <c r="Q296" t="n">
        <v>0</v>
      </c>
      <c r="R296" s="2" t="inlineStr"/>
    </row>
    <row r="297" ht="15" customHeight="1">
      <c r="A297" t="inlineStr">
        <is>
          <t>A 48266-2025</t>
        </is>
      </c>
      <c r="B297" s="1" t="n">
        <v>45932</v>
      </c>
      <c r="C297" s="1" t="n">
        <v>46196</v>
      </c>
      <c r="D297" t="inlineStr">
        <is>
          <t>ÖSTERGÖTLANDS LÄN</t>
        </is>
      </c>
      <c r="E297" t="inlineStr">
        <is>
          <t>LINKÖPING</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38136-2023</t>
        </is>
      </c>
      <c r="B298" s="1" t="n">
        <v>45161</v>
      </c>
      <c r="C298" s="1" t="n">
        <v>46196</v>
      </c>
      <c r="D298" t="inlineStr">
        <is>
          <t>ÖSTERGÖTLANDS LÄN</t>
        </is>
      </c>
      <c r="E298" t="inlineStr">
        <is>
          <t>LINKÖPING</t>
        </is>
      </c>
      <c r="G298" t="n">
        <v>5.6</v>
      </c>
      <c r="H298" t="n">
        <v>0</v>
      </c>
      <c r="I298" t="n">
        <v>0</v>
      </c>
      <c r="J298" t="n">
        <v>0</v>
      </c>
      <c r="K298" t="n">
        <v>0</v>
      </c>
      <c r="L298" t="n">
        <v>0</v>
      </c>
      <c r="M298" t="n">
        <v>0</v>
      </c>
      <c r="N298" t="n">
        <v>0</v>
      </c>
      <c r="O298" t="n">
        <v>0</v>
      </c>
      <c r="P298" t="n">
        <v>0</v>
      </c>
      <c r="Q298" t="n">
        <v>0</v>
      </c>
      <c r="R298" s="2" t="inlineStr"/>
    </row>
    <row r="299" ht="15" customHeight="1">
      <c r="A299" t="inlineStr">
        <is>
          <t>A 61645-2025</t>
        </is>
      </c>
      <c r="B299" s="1" t="n">
        <v>46002</v>
      </c>
      <c r="C299" s="1" t="n">
        <v>46196</v>
      </c>
      <c r="D299" t="inlineStr">
        <is>
          <t>ÖSTERGÖTLANDS LÄN</t>
        </is>
      </c>
      <c r="E299" t="inlineStr">
        <is>
          <t>LINKÖPING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29027-2025</t>
        </is>
      </c>
      <c r="B300" s="1" t="n">
        <v>45821</v>
      </c>
      <c r="C300" s="1" t="n">
        <v>46196</v>
      </c>
      <c r="D300" t="inlineStr">
        <is>
          <t>ÖSTERGÖTLANDS LÄN</t>
        </is>
      </c>
      <c r="E300" t="inlineStr">
        <is>
          <t>LINKÖPING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49647-2025</t>
        </is>
      </c>
      <c r="B301" s="1" t="n">
        <v>45938</v>
      </c>
      <c r="C301" s="1" t="n">
        <v>46196</v>
      </c>
      <c r="D301" t="inlineStr">
        <is>
          <t>ÖSTERGÖTLANDS LÄN</t>
        </is>
      </c>
      <c r="E301" t="inlineStr">
        <is>
          <t>LINKÖPING</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49654-2025</t>
        </is>
      </c>
      <c r="B302" s="1" t="n">
        <v>45938</v>
      </c>
      <c r="C302" s="1" t="n">
        <v>46196</v>
      </c>
      <c r="D302" t="inlineStr">
        <is>
          <t>ÖSTERGÖTLANDS LÄN</t>
        </is>
      </c>
      <c r="E302" t="inlineStr">
        <is>
          <t>LINKÖPING</t>
        </is>
      </c>
      <c r="F302" t="inlineStr">
        <is>
          <t>Övriga Aktiebolag</t>
        </is>
      </c>
      <c r="G302" t="n">
        <v>3.1</v>
      </c>
      <c r="H302" t="n">
        <v>0</v>
      </c>
      <c r="I302" t="n">
        <v>0</v>
      </c>
      <c r="J302" t="n">
        <v>0</v>
      </c>
      <c r="K302" t="n">
        <v>0</v>
      </c>
      <c r="L302" t="n">
        <v>0</v>
      </c>
      <c r="M302" t="n">
        <v>0</v>
      </c>
      <c r="N302" t="n">
        <v>0</v>
      </c>
      <c r="O302" t="n">
        <v>0</v>
      </c>
      <c r="P302" t="n">
        <v>0</v>
      </c>
      <c r="Q302" t="n">
        <v>0</v>
      </c>
      <c r="R302" s="2" t="inlineStr"/>
    </row>
    <row r="303" ht="15" customHeight="1">
      <c r="A303" t="inlineStr">
        <is>
          <t>A 49615-2025</t>
        </is>
      </c>
      <c r="B303" s="1" t="n">
        <v>45938</v>
      </c>
      <c r="C303" s="1" t="n">
        <v>46196</v>
      </c>
      <c r="D303" t="inlineStr">
        <is>
          <t>ÖSTERGÖTLANDS LÄN</t>
        </is>
      </c>
      <c r="E303" t="inlineStr">
        <is>
          <t>LINKÖPING</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49633-2025</t>
        </is>
      </c>
      <c r="B304" s="1" t="n">
        <v>45938</v>
      </c>
      <c r="C304" s="1" t="n">
        <v>46196</v>
      </c>
      <c r="D304" t="inlineStr">
        <is>
          <t>ÖSTERGÖTLANDS LÄN</t>
        </is>
      </c>
      <c r="E304" t="inlineStr">
        <is>
          <t>LINKÖPING</t>
        </is>
      </c>
      <c r="F304" t="inlineStr">
        <is>
          <t>Övriga Aktiebolag</t>
        </is>
      </c>
      <c r="G304" t="n">
        <v>0.7</v>
      </c>
      <c r="H304" t="n">
        <v>0</v>
      </c>
      <c r="I304" t="n">
        <v>0</v>
      </c>
      <c r="J304" t="n">
        <v>0</v>
      </c>
      <c r="K304" t="n">
        <v>0</v>
      </c>
      <c r="L304" t="n">
        <v>0</v>
      </c>
      <c r="M304" t="n">
        <v>0</v>
      </c>
      <c r="N304" t="n">
        <v>0</v>
      </c>
      <c r="O304" t="n">
        <v>0</v>
      </c>
      <c r="P304" t="n">
        <v>0</v>
      </c>
      <c r="Q304" t="n">
        <v>0</v>
      </c>
      <c r="R304" s="2" t="inlineStr"/>
    </row>
    <row r="305" ht="15" customHeight="1">
      <c r="A305" t="inlineStr">
        <is>
          <t>A 2085-2024</t>
        </is>
      </c>
      <c r="B305" s="1" t="n">
        <v>45309</v>
      </c>
      <c r="C305" s="1" t="n">
        <v>46196</v>
      </c>
      <c r="D305" t="inlineStr">
        <is>
          <t>ÖSTERGÖTLANDS LÄN</t>
        </is>
      </c>
      <c r="E305" t="inlineStr">
        <is>
          <t>LINKÖPING</t>
        </is>
      </c>
      <c r="G305" t="n">
        <v>4.5</v>
      </c>
      <c r="H305" t="n">
        <v>0</v>
      </c>
      <c r="I305" t="n">
        <v>0</v>
      </c>
      <c r="J305" t="n">
        <v>0</v>
      </c>
      <c r="K305" t="n">
        <v>0</v>
      </c>
      <c r="L305" t="n">
        <v>0</v>
      </c>
      <c r="M305" t="n">
        <v>0</v>
      </c>
      <c r="N305" t="n">
        <v>0</v>
      </c>
      <c r="O305" t="n">
        <v>0</v>
      </c>
      <c r="P305" t="n">
        <v>0</v>
      </c>
      <c r="Q305" t="n">
        <v>0</v>
      </c>
      <c r="R305" s="2" t="inlineStr"/>
    </row>
    <row r="306" ht="15" customHeight="1">
      <c r="A306" t="inlineStr">
        <is>
          <t>A 63144-2025</t>
        </is>
      </c>
      <c r="B306" s="1" t="n">
        <v>46010</v>
      </c>
      <c r="C306" s="1" t="n">
        <v>46196</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50056-2025</t>
        </is>
      </c>
      <c r="B307" s="1" t="n">
        <v>45941</v>
      </c>
      <c r="C307" s="1" t="n">
        <v>46196</v>
      </c>
      <c r="D307" t="inlineStr">
        <is>
          <t>ÖSTERGÖTLANDS LÄN</t>
        </is>
      </c>
      <c r="E307" t="inlineStr">
        <is>
          <t>LINKÖPING</t>
        </is>
      </c>
      <c r="G307" t="n">
        <v>0.3</v>
      </c>
      <c r="H307" t="n">
        <v>0</v>
      </c>
      <c r="I307" t="n">
        <v>0</v>
      </c>
      <c r="J307" t="n">
        <v>0</v>
      </c>
      <c r="K307" t="n">
        <v>0</v>
      </c>
      <c r="L307" t="n">
        <v>0</v>
      </c>
      <c r="M307" t="n">
        <v>0</v>
      </c>
      <c r="N307" t="n">
        <v>0</v>
      </c>
      <c r="O307" t="n">
        <v>0</v>
      </c>
      <c r="P307" t="n">
        <v>0</v>
      </c>
      <c r="Q307" t="n">
        <v>0</v>
      </c>
      <c r="R307" s="2" t="inlineStr"/>
    </row>
    <row r="308" ht="15" customHeight="1">
      <c r="A308" t="inlineStr">
        <is>
          <t>A 30468-2023</t>
        </is>
      </c>
      <c r="B308" s="1" t="n">
        <v>45111</v>
      </c>
      <c r="C308" s="1" t="n">
        <v>46196</v>
      </c>
      <c r="D308" t="inlineStr">
        <is>
          <t>ÖSTERGÖTLANDS LÄN</t>
        </is>
      </c>
      <c r="E308" t="inlineStr">
        <is>
          <t>LINKÖPING</t>
        </is>
      </c>
      <c r="G308" t="n">
        <v>10.1</v>
      </c>
      <c r="H308" t="n">
        <v>0</v>
      </c>
      <c r="I308" t="n">
        <v>0</v>
      </c>
      <c r="J308" t="n">
        <v>0</v>
      </c>
      <c r="K308" t="n">
        <v>0</v>
      </c>
      <c r="L308" t="n">
        <v>0</v>
      </c>
      <c r="M308" t="n">
        <v>0</v>
      </c>
      <c r="N308" t="n">
        <v>0</v>
      </c>
      <c r="O308" t="n">
        <v>0</v>
      </c>
      <c r="P308" t="n">
        <v>0</v>
      </c>
      <c r="Q308" t="n">
        <v>0</v>
      </c>
      <c r="R308" s="2" t="inlineStr"/>
    </row>
    <row r="309" ht="15" customHeight="1">
      <c r="A309" t="inlineStr">
        <is>
          <t>A 50667-2025</t>
        </is>
      </c>
      <c r="B309" s="1" t="n">
        <v>45945</v>
      </c>
      <c r="C309" s="1" t="n">
        <v>46196</v>
      </c>
      <c r="D309" t="inlineStr">
        <is>
          <t>ÖSTERGÖTLANDS LÄN</t>
        </is>
      </c>
      <c r="E309" t="inlineStr">
        <is>
          <t>LINKÖPING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29599-2025</t>
        </is>
      </c>
      <c r="B310" s="1" t="n">
        <v>45825</v>
      </c>
      <c r="C310" s="1" t="n">
        <v>46196</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38715-2023</t>
        </is>
      </c>
      <c r="B311" s="1" t="n">
        <v>45160</v>
      </c>
      <c r="C311" s="1" t="n">
        <v>46196</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858-2026</t>
        </is>
      </c>
      <c r="B312" s="1" t="n">
        <v>46030</v>
      </c>
      <c r="C312" s="1" t="n">
        <v>46196</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873-2026</t>
        </is>
      </c>
      <c r="B313" s="1" t="n">
        <v>46030</v>
      </c>
      <c r="C313" s="1" t="n">
        <v>46196</v>
      </c>
      <c r="D313" t="inlineStr">
        <is>
          <t>ÖSTERGÖTLANDS LÄN</t>
        </is>
      </c>
      <c r="E313" t="inlineStr">
        <is>
          <t>LINKÖPING</t>
        </is>
      </c>
      <c r="G313" t="n">
        <v>4.1</v>
      </c>
      <c r="H313" t="n">
        <v>0</v>
      </c>
      <c r="I313" t="n">
        <v>0</v>
      </c>
      <c r="J313" t="n">
        <v>0</v>
      </c>
      <c r="K313" t="n">
        <v>0</v>
      </c>
      <c r="L313" t="n">
        <v>0</v>
      </c>
      <c r="M313" t="n">
        <v>0</v>
      </c>
      <c r="N313" t="n">
        <v>0</v>
      </c>
      <c r="O313" t="n">
        <v>0</v>
      </c>
      <c r="P313" t="n">
        <v>0</v>
      </c>
      <c r="Q313" t="n">
        <v>0</v>
      </c>
      <c r="R313" s="2" t="inlineStr"/>
    </row>
    <row r="314" ht="15" customHeight="1">
      <c r="A314" t="inlineStr">
        <is>
          <t>A 856-2026</t>
        </is>
      </c>
      <c r="B314" s="1" t="n">
        <v>46030</v>
      </c>
      <c r="C314" s="1" t="n">
        <v>46196</v>
      </c>
      <c r="D314" t="inlineStr">
        <is>
          <t>ÖSTERGÖTLANDS LÄN</t>
        </is>
      </c>
      <c r="E314" t="inlineStr">
        <is>
          <t>LINKÖPING</t>
        </is>
      </c>
      <c r="G314" t="n">
        <v>6.4</v>
      </c>
      <c r="H314" t="n">
        <v>0</v>
      </c>
      <c r="I314" t="n">
        <v>0</v>
      </c>
      <c r="J314" t="n">
        <v>0</v>
      </c>
      <c r="K314" t="n">
        <v>0</v>
      </c>
      <c r="L314" t="n">
        <v>0</v>
      </c>
      <c r="M314" t="n">
        <v>0</v>
      </c>
      <c r="N314" t="n">
        <v>0</v>
      </c>
      <c r="O314" t="n">
        <v>0</v>
      </c>
      <c r="P314" t="n">
        <v>0</v>
      </c>
      <c r="Q314" t="n">
        <v>0</v>
      </c>
      <c r="R314" s="2" t="inlineStr"/>
    </row>
    <row r="315" ht="15" customHeight="1">
      <c r="A315" t="inlineStr">
        <is>
          <t>A 860-2026</t>
        </is>
      </c>
      <c r="B315" s="1" t="n">
        <v>46030</v>
      </c>
      <c r="C315" s="1" t="n">
        <v>46196</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31581-2025</t>
        </is>
      </c>
      <c r="B316" s="1" t="n">
        <v>45833</v>
      </c>
      <c r="C316" s="1" t="n">
        <v>46196</v>
      </c>
      <c r="D316" t="inlineStr">
        <is>
          <t>ÖSTERGÖTLANDS LÄN</t>
        </is>
      </c>
      <c r="E316" t="inlineStr">
        <is>
          <t>LINKÖPING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31585-2025</t>
        </is>
      </c>
      <c r="B317" s="1" t="n">
        <v>45833</v>
      </c>
      <c r="C317" s="1" t="n">
        <v>46196</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940-2026</t>
        </is>
      </c>
      <c r="B318" s="1" t="n">
        <v>46030</v>
      </c>
      <c r="C318" s="1" t="n">
        <v>46196</v>
      </c>
      <c r="D318" t="inlineStr">
        <is>
          <t>ÖSTERGÖTLANDS LÄN</t>
        </is>
      </c>
      <c r="E318" t="inlineStr">
        <is>
          <t>LINKÖPING</t>
        </is>
      </c>
      <c r="F318" t="inlineStr">
        <is>
          <t>Allmännings- och besparingsskogar</t>
        </is>
      </c>
      <c r="G318" t="n">
        <v>2.9</v>
      </c>
      <c r="H318" t="n">
        <v>0</v>
      </c>
      <c r="I318" t="n">
        <v>0</v>
      </c>
      <c r="J318" t="n">
        <v>0</v>
      </c>
      <c r="K318" t="n">
        <v>0</v>
      </c>
      <c r="L318" t="n">
        <v>0</v>
      </c>
      <c r="M318" t="n">
        <v>0</v>
      </c>
      <c r="N318" t="n">
        <v>0</v>
      </c>
      <c r="O318" t="n">
        <v>0</v>
      </c>
      <c r="P318" t="n">
        <v>0</v>
      </c>
      <c r="Q318" t="n">
        <v>0</v>
      </c>
      <c r="R318" s="2" t="inlineStr"/>
    </row>
    <row r="319" ht="15" customHeight="1">
      <c r="A319" t="inlineStr">
        <is>
          <t>A 944-2026</t>
        </is>
      </c>
      <c r="B319" s="1" t="n">
        <v>46030</v>
      </c>
      <c r="C319" s="1" t="n">
        <v>46196</v>
      </c>
      <c r="D319" t="inlineStr">
        <is>
          <t>ÖSTERGÖTLANDS LÄN</t>
        </is>
      </c>
      <c r="E319" t="inlineStr">
        <is>
          <t>LINKÖPING</t>
        </is>
      </c>
      <c r="F319" t="inlineStr">
        <is>
          <t>Allmännings- och besparingsskogar</t>
        </is>
      </c>
      <c r="G319" t="n">
        <v>0.9</v>
      </c>
      <c r="H319" t="n">
        <v>0</v>
      </c>
      <c r="I319" t="n">
        <v>0</v>
      </c>
      <c r="J319" t="n">
        <v>0</v>
      </c>
      <c r="K319" t="n">
        <v>0</v>
      </c>
      <c r="L319" t="n">
        <v>0</v>
      </c>
      <c r="M319" t="n">
        <v>0</v>
      </c>
      <c r="N319" t="n">
        <v>0</v>
      </c>
      <c r="O319" t="n">
        <v>0</v>
      </c>
      <c r="P319" t="n">
        <v>0</v>
      </c>
      <c r="Q319" t="n">
        <v>0</v>
      </c>
      <c r="R319" s="2" t="inlineStr"/>
    </row>
    <row r="320" ht="15" customHeight="1">
      <c r="A320" t="inlineStr">
        <is>
          <t>A 927-2026</t>
        </is>
      </c>
      <c r="B320" s="1" t="n">
        <v>46030</v>
      </c>
      <c r="C320" s="1" t="n">
        <v>46196</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859-2026</t>
        </is>
      </c>
      <c r="B321" s="1" t="n">
        <v>46030</v>
      </c>
      <c r="C321" s="1" t="n">
        <v>46196</v>
      </c>
      <c r="D321" t="inlineStr">
        <is>
          <t>ÖSTERGÖTLANDS LÄN</t>
        </is>
      </c>
      <c r="E321" t="inlineStr">
        <is>
          <t>LINKÖPING</t>
        </is>
      </c>
      <c r="G321" t="n">
        <v>0.2</v>
      </c>
      <c r="H321" t="n">
        <v>0</v>
      </c>
      <c r="I321" t="n">
        <v>0</v>
      </c>
      <c r="J321" t="n">
        <v>0</v>
      </c>
      <c r="K321" t="n">
        <v>0</v>
      </c>
      <c r="L321" t="n">
        <v>0</v>
      </c>
      <c r="M321" t="n">
        <v>0</v>
      </c>
      <c r="N321" t="n">
        <v>0</v>
      </c>
      <c r="O321" t="n">
        <v>0</v>
      </c>
      <c r="P321" t="n">
        <v>0</v>
      </c>
      <c r="Q321" t="n">
        <v>0</v>
      </c>
      <c r="R321" s="2" t="inlineStr"/>
    </row>
    <row r="322" ht="15" customHeight="1">
      <c r="A322" t="inlineStr">
        <is>
          <t>A 2030-2026</t>
        </is>
      </c>
      <c r="B322" s="1" t="n">
        <v>46035</v>
      </c>
      <c r="C322" s="1" t="n">
        <v>46196</v>
      </c>
      <c r="D322" t="inlineStr">
        <is>
          <t>ÖSTERGÖTLANDS LÄN</t>
        </is>
      </c>
      <c r="E322" t="inlineStr">
        <is>
          <t>LINKÖPING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2031-2026</t>
        </is>
      </c>
      <c r="B323" s="1" t="n">
        <v>46035</v>
      </c>
      <c r="C323" s="1" t="n">
        <v>46196</v>
      </c>
      <c r="D323" t="inlineStr">
        <is>
          <t>ÖSTERGÖTLANDS LÄN</t>
        </is>
      </c>
      <c r="E323" t="inlineStr">
        <is>
          <t>LINKÖPING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46687-2021</t>
        </is>
      </c>
      <c r="B324" s="1" t="n">
        <v>44445</v>
      </c>
      <c r="C324" s="1" t="n">
        <v>46196</v>
      </c>
      <c r="D324" t="inlineStr">
        <is>
          <t>ÖSTERGÖTLANDS LÄN</t>
        </is>
      </c>
      <c r="E324" t="inlineStr">
        <is>
          <t>LINKÖPING</t>
        </is>
      </c>
      <c r="F324" t="inlineStr">
        <is>
          <t>Övriga statliga verk och myndigheter</t>
        </is>
      </c>
      <c r="G324" t="n">
        <v>2.3</v>
      </c>
      <c r="H324" t="n">
        <v>0</v>
      </c>
      <c r="I324" t="n">
        <v>0</v>
      </c>
      <c r="J324" t="n">
        <v>0</v>
      </c>
      <c r="K324" t="n">
        <v>0</v>
      </c>
      <c r="L324" t="n">
        <v>0</v>
      </c>
      <c r="M324" t="n">
        <v>0</v>
      </c>
      <c r="N324" t="n">
        <v>0</v>
      </c>
      <c r="O324" t="n">
        <v>0</v>
      </c>
      <c r="P324" t="n">
        <v>0</v>
      </c>
      <c r="Q324" t="n">
        <v>0</v>
      </c>
      <c r="R324" s="2" t="inlineStr"/>
    </row>
    <row r="325" ht="15" customHeight="1">
      <c r="A325" t="inlineStr">
        <is>
          <t>A 17103-2025</t>
        </is>
      </c>
      <c r="B325" s="1" t="n">
        <v>45755</v>
      </c>
      <c r="C325" s="1" t="n">
        <v>46196</v>
      </c>
      <c r="D325" t="inlineStr">
        <is>
          <t>ÖSTERGÖTLANDS LÄN</t>
        </is>
      </c>
      <c r="E325" t="inlineStr">
        <is>
          <t>LINKÖPING</t>
        </is>
      </c>
      <c r="G325" t="n">
        <v>1.9</v>
      </c>
      <c r="H325" t="n">
        <v>0</v>
      </c>
      <c r="I325" t="n">
        <v>0</v>
      </c>
      <c r="J325" t="n">
        <v>0</v>
      </c>
      <c r="K325" t="n">
        <v>0</v>
      </c>
      <c r="L325" t="n">
        <v>0</v>
      </c>
      <c r="M325" t="n">
        <v>0</v>
      </c>
      <c r="N325" t="n">
        <v>0</v>
      </c>
      <c r="O325" t="n">
        <v>0</v>
      </c>
      <c r="P325" t="n">
        <v>0</v>
      </c>
      <c r="Q325" t="n">
        <v>0</v>
      </c>
      <c r="R325" s="2" t="inlineStr"/>
    </row>
    <row r="326" ht="15" customHeight="1">
      <c r="A326" t="inlineStr">
        <is>
          <t>A 3043-2026</t>
        </is>
      </c>
      <c r="B326" s="1" t="n">
        <v>46038</v>
      </c>
      <c r="C326" s="1" t="n">
        <v>46196</v>
      </c>
      <c r="D326" t="inlineStr">
        <is>
          <t>ÖSTERGÖTLANDS LÄN</t>
        </is>
      </c>
      <c r="E326" t="inlineStr">
        <is>
          <t>LINKÖPING</t>
        </is>
      </c>
      <c r="G326" t="n">
        <v>2.5</v>
      </c>
      <c r="H326" t="n">
        <v>0</v>
      </c>
      <c r="I326" t="n">
        <v>0</v>
      </c>
      <c r="J326" t="n">
        <v>0</v>
      </c>
      <c r="K326" t="n">
        <v>0</v>
      </c>
      <c r="L326" t="n">
        <v>0</v>
      </c>
      <c r="M326" t="n">
        <v>0</v>
      </c>
      <c r="N326" t="n">
        <v>0</v>
      </c>
      <c r="O326" t="n">
        <v>0</v>
      </c>
      <c r="P326" t="n">
        <v>0</v>
      </c>
      <c r="Q326" t="n">
        <v>0</v>
      </c>
      <c r="R326" s="2" t="inlineStr"/>
    </row>
    <row r="327" ht="15" customHeight="1">
      <c r="A327" t="inlineStr">
        <is>
          <t>A 3044-2026</t>
        </is>
      </c>
      <c r="B327" s="1" t="n">
        <v>46038</v>
      </c>
      <c r="C327" s="1" t="n">
        <v>46196</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53529-2024</t>
        </is>
      </c>
      <c r="B328" s="1" t="n">
        <v>45614</v>
      </c>
      <c r="C328" s="1" t="n">
        <v>46196</v>
      </c>
      <c r="D328" t="inlineStr">
        <is>
          <t>ÖSTERGÖTLANDS LÄN</t>
        </is>
      </c>
      <c r="E328" t="inlineStr">
        <is>
          <t>LINKÖPING</t>
        </is>
      </c>
      <c r="G328" t="n">
        <v>6.7</v>
      </c>
      <c r="H328" t="n">
        <v>0</v>
      </c>
      <c r="I328" t="n">
        <v>0</v>
      </c>
      <c r="J328" t="n">
        <v>0</v>
      </c>
      <c r="K328" t="n">
        <v>0</v>
      </c>
      <c r="L328" t="n">
        <v>0</v>
      </c>
      <c r="M328" t="n">
        <v>0</v>
      </c>
      <c r="N328" t="n">
        <v>0</v>
      </c>
      <c r="O328" t="n">
        <v>0</v>
      </c>
      <c r="P328" t="n">
        <v>0</v>
      </c>
      <c r="Q328" t="n">
        <v>0</v>
      </c>
      <c r="R328" s="2" t="inlineStr"/>
    </row>
    <row r="329" ht="15" customHeight="1">
      <c r="A329" t="inlineStr">
        <is>
          <t>A 62012-2024</t>
        </is>
      </c>
      <c r="B329" s="1" t="n">
        <v>45655</v>
      </c>
      <c r="C329" s="1" t="n">
        <v>46196</v>
      </c>
      <c r="D329" t="inlineStr">
        <is>
          <t>ÖSTERGÖTLANDS LÄN</t>
        </is>
      </c>
      <c r="E329" t="inlineStr">
        <is>
          <t>LINKÖPING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40618-2021</t>
        </is>
      </c>
      <c r="B330" s="1" t="n">
        <v>44420</v>
      </c>
      <c r="C330" s="1" t="n">
        <v>46196</v>
      </c>
      <c r="D330" t="inlineStr">
        <is>
          <t>ÖSTERGÖTLANDS LÄN</t>
        </is>
      </c>
      <c r="E330" t="inlineStr">
        <is>
          <t>LINKÖPING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56180-2024</t>
        </is>
      </c>
      <c r="B331" s="1" t="n">
        <v>45624</v>
      </c>
      <c r="C331" s="1" t="n">
        <v>46196</v>
      </c>
      <c r="D331" t="inlineStr">
        <is>
          <t>ÖSTERGÖTLANDS LÄN</t>
        </is>
      </c>
      <c r="E331" t="inlineStr">
        <is>
          <t>LINKÖPING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35178-2025</t>
        </is>
      </c>
      <c r="B332" s="1" t="n">
        <v>45852</v>
      </c>
      <c r="C332" s="1" t="n">
        <v>46196</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6384-2026</t>
        </is>
      </c>
      <c r="B333" s="1" t="n">
        <v>46055</v>
      </c>
      <c r="C333" s="1" t="n">
        <v>46196</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6164-2026</t>
        </is>
      </c>
      <c r="B334" s="1" t="n">
        <v>46055</v>
      </c>
      <c r="C334" s="1" t="n">
        <v>46196</v>
      </c>
      <c r="D334" t="inlineStr">
        <is>
          <t>ÖSTERGÖTLANDS LÄN</t>
        </is>
      </c>
      <c r="E334" t="inlineStr">
        <is>
          <t>LINKÖPING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35757-2025</t>
        </is>
      </c>
      <c r="B335" s="1" t="n">
        <v>45860</v>
      </c>
      <c r="C335" s="1" t="n">
        <v>46196</v>
      </c>
      <c r="D335" t="inlineStr">
        <is>
          <t>ÖSTERGÖTLANDS LÄN</t>
        </is>
      </c>
      <c r="E335" t="inlineStr">
        <is>
          <t>LINKÖPING</t>
        </is>
      </c>
      <c r="G335" t="n">
        <v>5.7</v>
      </c>
      <c r="H335" t="n">
        <v>0</v>
      </c>
      <c r="I335" t="n">
        <v>0</v>
      </c>
      <c r="J335" t="n">
        <v>0</v>
      </c>
      <c r="K335" t="n">
        <v>0</v>
      </c>
      <c r="L335" t="n">
        <v>0</v>
      </c>
      <c r="M335" t="n">
        <v>0</v>
      </c>
      <c r="N335" t="n">
        <v>0</v>
      </c>
      <c r="O335" t="n">
        <v>0</v>
      </c>
      <c r="P335" t="n">
        <v>0</v>
      </c>
      <c r="Q335" t="n">
        <v>0</v>
      </c>
      <c r="R335" s="2" t="inlineStr"/>
    </row>
    <row r="336" ht="15" customHeight="1">
      <c r="A336" t="inlineStr">
        <is>
          <t>A 35745-2025</t>
        </is>
      </c>
      <c r="B336" s="1" t="n">
        <v>45860</v>
      </c>
      <c r="C336" s="1" t="n">
        <v>46196</v>
      </c>
      <c r="D336" t="inlineStr">
        <is>
          <t>ÖSTERGÖTLANDS LÄN</t>
        </is>
      </c>
      <c r="E336" t="inlineStr">
        <is>
          <t>LINKÖPING</t>
        </is>
      </c>
      <c r="G336" t="n">
        <v>4.4</v>
      </c>
      <c r="H336" t="n">
        <v>0</v>
      </c>
      <c r="I336" t="n">
        <v>0</v>
      </c>
      <c r="J336" t="n">
        <v>0</v>
      </c>
      <c r="K336" t="n">
        <v>0</v>
      </c>
      <c r="L336" t="n">
        <v>0</v>
      </c>
      <c r="M336" t="n">
        <v>0</v>
      </c>
      <c r="N336" t="n">
        <v>0</v>
      </c>
      <c r="O336" t="n">
        <v>0</v>
      </c>
      <c r="P336" t="n">
        <v>0</v>
      </c>
      <c r="Q336" t="n">
        <v>0</v>
      </c>
      <c r="R336" s="2" t="inlineStr"/>
    </row>
    <row r="337" ht="15" customHeight="1">
      <c r="A337" t="inlineStr">
        <is>
          <t>A 35747-2025</t>
        </is>
      </c>
      <c r="B337" s="1" t="n">
        <v>45860</v>
      </c>
      <c r="C337" s="1" t="n">
        <v>46196</v>
      </c>
      <c r="D337" t="inlineStr">
        <is>
          <t>ÖSTERGÖTLANDS LÄN</t>
        </is>
      </c>
      <c r="E337" t="inlineStr">
        <is>
          <t>LINKÖPING</t>
        </is>
      </c>
      <c r="G337" t="n">
        <v>2.4</v>
      </c>
      <c r="H337" t="n">
        <v>0</v>
      </c>
      <c r="I337" t="n">
        <v>0</v>
      </c>
      <c r="J337" t="n">
        <v>0</v>
      </c>
      <c r="K337" t="n">
        <v>0</v>
      </c>
      <c r="L337" t="n">
        <v>0</v>
      </c>
      <c r="M337" t="n">
        <v>0</v>
      </c>
      <c r="N337" t="n">
        <v>0</v>
      </c>
      <c r="O337" t="n">
        <v>0</v>
      </c>
      <c r="P337" t="n">
        <v>0</v>
      </c>
      <c r="Q337" t="n">
        <v>0</v>
      </c>
      <c r="R337" s="2" t="inlineStr"/>
    </row>
    <row r="338" ht="15" customHeight="1">
      <c r="A338" t="inlineStr">
        <is>
          <t>A 30471-2023</t>
        </is>
      </c>
      <c r="B338" s="1" t="n">
        <v>45111</v>
      </c>
      <c r="C338" s="1" t="n">
        <v>46196</v>
      </c>
      <c r="D338" t="inlineStr">
        <is>
          <t>ÖSTERGÖTLANDS LÄN</t>
        </is>
      </c>
      <c r="E338" t="inlineStr">
        <is>
          <t>LINKÖPING</t>
        </is>
      </c>
      <c r="G338" t="n">
        <v>2.9</v>
      </c>
      <c r="H338" t="n">
        <v>0</v>
      </c>
      <c r="I338" t="n">
        <v>0</v>
      </c>
      <c r="J338" t="n">
        <v>0</v>
      </c>
      <c r="K338" t="n">
        <v>0</v>
      </c>
      <c r="L338" t="n">
        <v>0</v>
      </c>
      <c r="M338" t="n">
        <v>0</v>
      </c>
      <c r="N338" t="n">
        <v>0</v>
      </c>
      <c r="O338" t="n">
        <v>0</v>
      </c>
      <c r="P338" t="n">
        <v>0</v>
      </c>
      <c r="Q338" t="n">
        <v>0</v>
      </c>
      <c r="R338" s="2" t="inlineStr"/>
    </row>
    <row r="339" ht="15" customHeight="1">
      <c r="A339" t="inlineStr">
        <is>
          <t>A 35759-2025</t>
        </is>
      </c>
      <c r="B339" s="1" t="n">
        <v>45860</v>
      </c>
      <c r="C339" s="1" t="n">
        <v>46196</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227-2024</t>
        </is>
      </c>
      <c r="B340" s="1" t="n">
        <v>45294</v>
      </c>
      <c r="C340" s="1" t="n">
        <v>46196</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30434-2024</t>
        </is>
      </c>
      <c r="B341" s="1" t="n">
        <v>45491</v>
      </c>
      <c r="C341" s="1" t="n">
        <v>46196</v>
      </c>
      <c r="D341" t="inlineStr">
        <is>
          <t>ÖSTERGÖTLANDS LÄN</t>
        </is>
      </c>
      <c r="E341" t="inlineStr">
        <is>
          <t>LINKÖPING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56917-2022</t>
        </is>
      </c>
      <c r="B342" s="1" t="n">
        <v>44894</v>
      </c>
      <c r="C342" s="1" t="n">
        <v>46196</v>
      </c>
      <c r="D342" t="inlineStr">
        <is>
          <t>ÖSTERGÖTLANDS LÄN</t>
        </is>
      </c>
      <c r="E342" t="inlineStr">
        <is>
          <t>LINKÖPING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25829-2025</t>
        </is>
      </c>
      <c r="B343" s="1" t="n">
        <v>45804</v>
      </c>
      <c r="C343" s="1" t="n">
        <v>46196</v>
      </c>
      <c r="D343" t="inlineStr">
        <is>
          <t>ÖSTERGÖTLANDS LÄN</t>
        </is>
      </c>
      <c r="E343" t="inlineStr">
        <is>
          <t>LINKÖPING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2997-2025</t>
        </is>
      </c>
      <c r="B344" s="1" t="n">
        <v>45678</v>
      </c>
      <c r="C344" s="1" t="n">
        <v>46196</v>
      </c>
      <c r="D344" t="inlineStr">
        <is>
          <t>ÖSTERGÖTLANDS LÄN</t>
        </is>
      </c>
      <c r="E344" t="inlineStr">
        <is>
          <t>LINKÖPING</t>
        </is>
      </c>
      <c r="G344" t="n">
        <v>2.7</v>
      </c>
      <c r="H344" t="n">
        <v>0</v>
      </c>
      <c r="I344" t="n">
        <v>0</v>
      </c>
      <c r="J344" t="n">
        <v>0</v>
      </c>
      <c r="K344" t="n">
        <v>0</v>
      </c>
      <c r="L344" t="n">
        <v>0</v>
      </c>
      <c r="M344" t="n">
        <v>0</v>
      </c>
      <c r="N344" t="n">
        <v>0</v>
      </c>
      <c r="O344" t="n">
        <v>0</v>
      </c>
      <c r="P344" t="n">
        <v>0</v>
      </c>
      <c r="Q344" t="n">
        <v>0</v>
      </c>
      <c r="R344" s="2" t="inlineStr"/>
    </row>
    <row r="345" ht="15" customHeight="1">
      <c r="A345" t="inlineStr">
        <is>
          <t>A 61281-2021</t>
        </is>
      </c>
      <c r="B345" s="1" t="n">
        <v>44498</v>
      </c>
      <c r="C345" s="1" t="n">
        <v>46196</v>
      </c>
      <c r="D345" t="inlineStr">
        <is>
          <t>ÖSTERGÖTLANDS LÄN</t>
        </is>
      </c>
      <c r="E345" t="inlineStr">
        <is>
          <t>LINKÖPING</t>
        </is>
      </c>
      <c r="G345" t="n">
        <v>4.5</v>
      </c>
      <c r="H345" t="n">
        <v>0</v>
      </c>
      <c r="I345" t="n">
        <v>0</v>
      </c>
      <c r="J345" t="n">
        <v>0</v>
      </c>
      <c r="K345" t="n">
        <v>0</v>
      </c>
      <c r="L345" t="n">
        <v>0</v>
      </c>
      <c r="M345" t="n">
        <v>0</v>
      </c>
      <c r="N345" t="n">
        <v>0</v>
      </c>
      <c r="O345" t="n">
        <v>0</v>
      </c>
      <c r="P345" t="n">
        <v>0</v>
      </c>
      <c r="Q345" t="n">
        <v>0</v>
      </c>
      <c r="R345" s="2" t="inlineStr"/>
    </row>
    <row r="346" ht="15" customHeight="1">
      <c r="A346" t="inlineStr">
        <is>
          <t>A 63935-2021</t>
        </is>
      </c>
      <c r="B346" s="1" t="n">
        <v>44509</v>
      </c>
      <c r="C346" s="1" t="n">
        <v>46196</v>
      </c>
      <c r="D346" t="inlineStr">
        <is>
          <t>ÖSTERGÖTLANDS LÄN</t>
        </is>
      </c>
      <c r="E346" t="inlineStr">
        <is>
          <t>LINKÖPING</t>
        </is>
      </c>
      <c r="F346" t="inlineStr">
        <is>
          <t>Övriga statliga verk och myndigheter</t>
        </is>
      </c>
      <c r="G346" t="n">
        <v>2.8</v>
      </c>
      <c r="H346" t="n">
        <v>0</v>
      </c>
      <c r="I346" t="n">
        <v>0</v>
      </c>
      <c r="J346" t="n">
        <v>0</v>
      </c>
      <c r="K346" t="n">
        <v>0</v>
      </c>
      <c r="L346" t="n">
        <v>0</v>
      </c>
      <c r="M346" t="n">
        <v>0</v>
      </c>
      <c r="N346" t="n">
        <v>0</v>
      </c>
      <c r="O346" t="n">
        <v>0</v>
      </c>
      <c r="P346" t="n">
        <v>0</v>
      </c>
      <c r="Q346" t="n">
        <v>0</v>
      </c>
      <c r="R346" s="2" t="inlineStr"/>
    </row>
    <row r="347" ht="15" customHeight="1">
      <c r="A347" t="inlineStr">
        <is>
          <t>A 55345-2021</t>
        </is>
      </c>
      <c r="B347" s="1" t="n">
        <v>44475</v>
      </c>
      <c r="C347" s="1" t="n">
        <v>46196</v>
      </c>
      <c r="D347" t="inlineStr">
        <is>
          <t>ÖSTERGÖTLANDS LÄN</t>
        </is>
      </c>
      <c r="E347" t="inlineStr">
        <is>
          <t>LINKÖPING</t>
        </is>
      </c>
      <c r="G347" t="n">
        <v>5.7</v>
      </c>
      <c r="H347" t="n">
        <v>0</v>
      </c>
      <c r="I347" t="n">
        <v>0</v>
      </c>
      <c r="J347" t="n">
        <v>0</v>
      </c>
      <c r="K347" t="n">
        <v>0</v>
      </c>
      <c r="L347" t="n">
        <v>0</v>
      </c>
      <c r="M347" t="n">
        <v>0</v>
      </c>
      <c r="N347" t="n">
        <v>0</v>
      </c>
      <c r="O347" t="n">
        <v>0</v>
      </c>
      <c r="P347" t="n">
        <v>0</v>
      </c>
      <c r="Q347" t="n">
        <v>0</v>
      </c>
      <c r="R347" s="2" t="inlineStr"/>
    </row>
    <row r="348" ht="15" customHeight="1">
      <c r="A348" t="inlineStr">
        <is>
          <t>A 41345-2021</t>
        </is>
      </c>
      <c r="B348" s="1" t="n">
        <v>44424</v>
      </c>
      <c r="C348" s="1" t="n">
        <v>46196</v>
      </c>
      <c r="D348" t="inlineStr">
        <is>
          <t>ÖSTERGÖTLANDS LÄN</t>
        </is>
      </c>
      <c r="E348" t="inlineStr">
        <is>
          <t>LINKÖPING</t>
        </is>
      </c>
      <c r="F348" t="inlineStr">
        <is>
          <t>Sveaskog</t>
        </is>
      </c>
      <c r="G348" t="n">
        <v>6.3</v>
      </c>
      <c r="H348" t="n">
        <v>0</v>
      </c>
      <c r="I348" t="n">
        <v>0</v>
      </c>
      <c r="J348" t="n">
        <v>0</v>
      </c>
      <c r="K348" t="n">
        <v>0</v>
      </c>
      <c r="L348" t="n">
        <v>0</v>
      </c>
      <c r="M348" t="n">
        <v>0</v>
      </c>
      <c r="N348" t="n">
        <v>0</v>
      </c>
      <c r="O348" t="n">
        <v>0</v>
      </c>
      <c r="P348" t="n">
        <v>0</v>
      </c>
      <c r="Q348" t="n">
        <v>0</v>
      </c>
      <c r="R348" s="2" t="inlineStr"/>
    </row>
    <row r="349" ht="15" customHeight="1">
      <c r="A349" t="inlineStr">
        <is>
          <t>A 10479-2026</t>
        </is>
      </c>
      <c r="B349" s="1" t="n">
        <v>46077</v>
      </c>
      <c r="C349" s="1" t="n">
        <v>46196</v>
      </c>
      <c r="D349" t="inlineStr">
        <is>
          <t>ÖSTERGÖTLANDS LÄN</t>
        </is>
      </c>
      <c r="E349" t="inlineStr">
        <is>
          <t>LINKÖPING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16213-2025</t>
        </is>
      </c>
      <c r="B350" s="1" t="n">
        <v>45750</v>
      </c>
      <c r="C350" s="1" t="n">
        <v>46196</v>
      </c>
      <c r="D350" t="inlineStr">
        <is>
          <t>ÖSTERGÖTLANDS LÄN</t>
        </is>
      </c>
      <c r="E350" t="inlineStr">
        <is>
          <t>LINKÖPING</t>
        </is>
      </c>
      <c r="G350" t="n">
        <v>3.4</v>
      </c>
      <c r="H350" t="n">
        <v>0</v>
      </c>
      <c r="I350" t="n">
        <v>0</v>
      </c>
      <c r="J350" t="n">
        <v>0</v>
      </c>
      <c r="K350" t="n">
        <v>0</v>
      </c>
      <c r="L350" t="n">
        <v>0</v>
      </c>
      <c r="M350" t="n">
        <v>0</v>
      </c>
      <c r="N350" t="n">
        <v>0</v>
      </c>
      <c r="O350" t="n">
        <v>0</v>
      </c>
      <c r="P350" t="n">
        <v>0</v>
      </c>
      <c r="Q350" t="n">
        <v>0</v>
      </c>
      <c r="R350" s="2" t="inlineStr"/>
    </row>
    <row r="351" ht="15" customHeight="1">
      <c r="A351" t="inlineStr">
        <is>
          <t>A 10477-2026</t>
        </is>
      </c>
      <c r="B351" s="1" t="n">
        <v>46077</v>
      </c>
      <c r="C351" s="1" t="n">
        <v>46196</v>
      </c>
      <c r="D351" t="inlineStr">
        <is>
          <t>ÖSTERGÖTLANDS LÄN</t>
        </is>
      </c>
      <c r="E351" t="inlineStr">
        <is>
          <t>LINKÖPING</t>
        </is>
      </c>
      <c r="G351" t="n">
        <v>9.6</v>
      </c>
      <c r="H351" t="n">
        <v>0</v>
      </c>
      <c r="I351" t="n">
        <v>0</v>
      </c>
      <c r="J351" t="n">
        <v>0</v>
      </c>
      <c r="K351" t="n">
        <v>0</v>
      </c>
      <c r="L351" t="n">
        <v>0</v>
      </c>
      <c r="M351" t="n">
        <v>0</v>
      </c>
      <c r="N351" t="n">
        <v>0</v>
      </c>
      <c r="O351" t="n">
        <v>0</v>
      </c>
      <c r="P351" t="n">
        <v>0</v>
      </c>
      <c r="Q351" t="n">
        <v>0</v>
      </c>
      <c r="R351" s="2" t="inlineStr"/>
    </row>
    <row r="352" ht="15" customHeight="1">
      <c r="A352" t="inlineStr">
        <is>
          <t>A 11036-2026</t>
        </is>
      </c>
      <c r="B352" s="1" t="n">
        <v>46079</v>
      </c>
      <c r="C352" s="1" t="n">
        <v>46196</v>
      </c>
      <c r="D352" t="inlineStr">
        <is>
          <t>ÖSTERGÖTLANDS LÄN</t>
        </is>
      </c>
      <c r="E352" t="inlineStr">
        <is>
          <t>LINKÖPING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46225-2021</t>
        </is>
      </c>
      <c r="B353" s="1" t="n">
        <v>44442</v>
      </c>
      <c r="C353" s="1" t="n">
        <v>46196</v>
      </c>
      <c r="D353" t="inlineStr">
        <is>
          <t>ÖSTERGÖTLANDS LÄN</t>
        </is>
      </c>
      <c r="E353" t="inlineStr">
        <is>
          <t>LINKÖPING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17898-2022</t>
        </is>
      </c>
      <c r="B354" s="1" t="n">
        <v>44683</v>
      </c>
      <c r="C354" s="1" t="n">
        <v>46196</v>
      </c>
      <c r="D354" t="inlineStr">
        <is>
          <t>ÖSTERGÖTLANDS LÄN</t>
        </is>
      </c>
      <c r="E354" t="inlineStr">
        <is>
          <t>LINKÖPING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63487-2023</t>
        </is>
      </c>
      <c r="B355" s="1" t="n">
        <v>45274</v>
      </c>
      <c r="C355" s="1" t="n">
        <v>46196</v>
      </c>
      <c r="D355" t="inlineStr">
        <is>
          <t>ÖSTERGÖTLANDS LÄN</t>
        </is>
      </c>
      <c r="E355" t="inlineStr">
        <is>
          <t>LINKÖPING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35463-2023</t>
        </is>
      </c>
      <c r="B356" s="1" t="n">
        <v>45146</v>
      </c>
      <c r="C356" s="1" t="n">
        <v>46196</v>
      </c>
      <c r="D356" t="inlineStr">
        <is>
          <t>ÖSTERGÖTLANDS LÄN</t>
        </is>
      </c>
      <c r="E356" t="inlineStr">
        <is>
          <t>LINKÖPING</t>
        </is>
      </c>
      <c r="F356" t="inlineStr">
        <is>
          <t>Övriga Aktiebolag</t>
        </is>
      </c>
      <c r="G356" t="n">
        <v>1.8</v>
      </c>
      <c r="H356" t="n">
        <v>0</v>
      </c>
      <c r="I356" t="n">
        <v>0</v>
      </c>
      <c r="J356" t="n">
        <v>0</v>
      </c>
      <c r="K356" t="n">
        <v>0</v>
      </c>
      <c r="L356" t="n">
        <v>0</v>
      </c>
      <c r="M356" t="n">
        <v>0</v>
      </c>
      <c r="N356" t="n">
        <v>0</v>
      </c>
      <c r="O356" t="n">
        <v>0</v>
      </c>
      <c r="P356" t="n">
        <v>0</v>
      </c>
      <c r="Q356" t="n">
        <v>0</v>
      </c>
      <c r="R356" s="2" t="inlineStr"/>
    </row>
    <row r="357" ht="15" customHeight="1">
      <c r="A357" t="inlineStr">
        <is>
          <t>A 11891-2026</t>
        </is>
      </c>
      <c r="B357" s="1" t="n">
        <v>46085</v>
      </c>
      <c r="C357" s="1" t="n">
        <v>46196</v>
      </c>
      <c r="D357" t="inlineStr">
        <is>
          <t>ÖSTERGÖTLANDS LÄN</t>
        </is>
      </c>
      <c r="E357" t="inlineStr">
        <is>
          <t>LINKÖPING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11888-2026</t>
        </is>
      </c>
      <c r="B358" s="1" t="n">
        <v>46085</v>
      </c>
      <c r="C358" s="1" t="n">
        <v>46196</v>
      </c>
      <c r="D358" t="inlineStr">
        <is>
          <t>ÖSTERGÖTLANDS LÄN</t>
        </is>
      </c>
      <c r="E358" t="inlineStr">
        <is>
          <t>LINKÖPING</t>
        </is>
      </c>
      <c r="G358" t="n">
        <v>3.6</v>
      </c>
      <c r="H358" t="n">
        <v>0</v>
      </c>
      <c r="I358" t="n">
        <v>0</v>
      </c>
      <c r="J358" t="n">
        <v>0</v>
      </c>
      <c r="K358" t="n">
        <v>0</v>
      </c>
      <c r="L358" t="n">
        <v>0</v>
      </c>
      <c r="M358" t="n">
        <v>0</v>
      </c>
      <c r="N358" t="n">
        <v>0</v>
      </c>
      <c r="O358" t="n">
        <v>0</v>
      </c>
      <c r="P358" t="n">
        <v>0</v>
      </c>
      <c r="Q358" t="n">
        <v>0</v>
      </c>
      <c r="R358" s="2" t="inlineStr"/>
    </row>
    <row r="359" ht="15" customHeight="1">
      <c r="A359" t="inlineStr">
        <is>
          <t>A 55632-2022</t>
        </is>
      </c>
      <c r="B359" s="1" t="n">
        <v>44888</v>
      </c>
      <c r="C359" s="1" t="n">
        <v>46196</v>
      </c>
      <c r="D359" t="inlineStr">
        <is>
          <t>ÖSTERGÖTLANDS LÄN</t>
        </is>
      </c>
      <c r="E359" t="inlineStr">
        <is>
          <t>LINKÖPING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12251-2026</t>
        </is>
      </c>
      <c r="B360" s="1" t="n">
        <v>46087</v>
      </c>
      <c r="C360" s="1" t="n">
        <v>46196</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63559-2023</t>
        </is>
      </c>
      <c r="B361" s="1" t="n">
        <v>45275</v>
      </c>
      <c r="C361" s="1" t="n">
        <v>46196</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12254-2026</t>
        </is>
      </c>
      <c r="B362" s="1" t="n">
        <v>46087</v>
      </c>
      <c r="C362" s="1" t="n">
        <v>46196</v>
      </c>
      <c r="D362" t="inlineStr">
        <is>
          <t>ÖSTERGÖTLANDS LÄN</t>
        </is>
      </c>
      <c r="E362" t="inlineStr">
        <is>
          <t>LINKÖPING</t>
        </is>
      </c>
      <c r="G362" t="n">
        <v>10.4</v>
      </c>
      <c r="H362" t="n">
        <v>0</v>
      </c>
      <c r="I362" t="n">
        <v>0</v>
      </c>
      <c r="J362" t="n">
        <v>0</v>
      </c>
      <c r="K362" t="n">
        <v>0</v>
      </c>
      <c r="L362" t="n">
        <v>0</v>
      </c>
      <c r="M362" t="n">
        <v>0</v>
      </c>
      <c r="N362" t="n">
        <v>0</v>
      </c>
      <c r="O362" t="n">
        <v>0</v>
      </c>
      <c r="P362" t="n">
        <v>0</v>
      </c>
      <c r="Q362" t="n">
        <v>0</v>
      </c>
      <c r="R362" s="2" t="inlineStr"/>
    </row>
    <row r="363" ht="15" customHeight="1">
      <c r="A363" t="inlineStr">
        <is>
          <t>A 58114-2021</t>
        </is>
      </c>
      <c r="B363" s="1" t="n">
        <v>44487</v>
      </c>
      <c r="C363" s="1" t="n">
        <v>46196</v>
      </c>
      <c r="D363" t="inlineStr">
        <is>
          <t>ÖSTERGÖTLANDS LÄN</t>
        </is>
      </c>
      <c r="E363" t="inlineStr">
        <is>
          <t>LINKÖPING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55944-2024</t>
        </is>
      </c>
      <c r="B364" s="1" t="n">
        <v>45623</v>
      </c>
      <c r="C364" s="1" t="n">
        <v>46196</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55947-2024</t>
        </is>
      </c>
      <c r="B365" s="1" t="n">
        <v>45623</v>
      </c>
      <c r="C365" s="1" t="n">
        <v>46196</v>
      </c>
      <c r="D365" t="inlineStr">
        <is>
          <t>ÖSTERGÖTLANDS LÄN</t>
        </is>
      </c>
      <c r="E365" t="inlineStr">
        <is>
          <t>LINKÖPING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3374-2023</t>
        </is>
      </c>
      <c r="B366" s="1" t="n">
        <v>44949</v>
      </c>
      <c r="C366" s="1" t="n">
        <v>46196</v>
      </c>
      <c r="D366" t="inlineStr">
        <is>
          <t>ÖSTERGÖTLANDS LÄN</t>
        </is>
      </c>
      <c r="E366" t="inlineStr">
        <is>
          <t>LINKÖPING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24151-2024</t>
        </is>
      </c>
      <c r="B367" s="1" t="n">
        <v>45456</v>
      </c>
      <c r="C367" s="1" t="n">
        <v>46196</v>
      </c>
      <c r="D367" t="inlineStr">
        <is>
          <t>ÖSTERGÖTLANDS LÄN</t>
        </is>
      </c>
      <c r="E367" t="inlineStr">
        <is>
          <t>LINKÖPING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13927-2026</t>
        </is>
      </c>
      <c r="B368" s="1" t="n">
        <v>46098</v>
      </c>
      <c r="C368" s="1" t="n">
        <v>46196</v>
      </c>
      <c r="D368" t="inlineStr">
        <is>
          <t>ÖSTERGÖTLANDS LÄN</t>
        </is>
      </c>
      <c r="E368" t="inlineStr">
        <is>
          <t>LINKÖPING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5099-2026</t>
        </is>
      </c>
      <c r="B369" s="1" t="n">
        <v>46049</v>
      </c>
      <c r="C369" s="1" t="n">
        <v>46196</v>
      </c>
      <c r="D369" t="inlineStr">
        <is>
          <t>ÖSTERGÖTLANDS LÄN</t>
        </is>
      </c>
      <c r="E369" t="inlineStr">
        <is>
          <t>LINKÖPING</t>
        </is>
      </c>
      <c r="G369" t="n">
        <v>5</v>
      </c>
      <c r="H369" t="n">
        <v>0</v>
      </c>
      <c r="I369" t="n">
        <v>0</v>
      </c>
      <c r="J369" t="n">
        <v>0</v>
      </c>
      <c r="K369" t="n">
        <v>0</v>
      </c>
      <c r="L369" t="n">
        <v>0</v>
      </c>
      <c r="M369" t="n">
        <v>0</v>
      </c>
      <c r="N369" t="n">
        <v>0</v>
      </c>
      <c r="O369" t="n">
        <v>0</v>
      </c>
      <c r="P369" t="n">
        <v>0</v>
      </c>
      <c r="Q369" t="n">
        <v>0</v>
      </c>
      <c r="R369" s="2" t="inlineStr"/>
    </row>
    <row r="370" ht="15" customHeight="1">
      <c r="A370" t="inlineStr">
        <is>
          <t>A 13565-2026</t>
        </is>
      </c>
      <c r="B370" s="1" t="n">
        <v>46094</v>
      </c>
      <c r="C370" s="1" t="n">
        <v>46196</v>
      </c>
      <c r="D370" t="inlineStr">
        <is>
          <t>ÖSTERGÖTLANDS LÄN</t>
        </is>
      </c>
      <c r="E370" t="inlineStr">
        <is>
          <t>LINKÖPING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14576-2023</t>
        </is>
      </c>
      <c r="B371" s="1" t="n">
        <v>45013</v>
      </c>
      <c r="C371" s="1" t="n">
        <v>46196</v>
      </c>
      <c r="D371" t="inlineStr">
        <is>
          <t>ÖSTERGÖTLANDS LÄN</t>
        </is>
      </c>
      <c r="E371" t="inlineStr">
        <is>
          <t>LINKÖPING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14157-2026</t>
        </is>
      </c>
      <c r="B372" s="1" t="n">
        <v>46099</v>
      </c>
      <c r="C372" s="1" t="n">
        <v>46196</v>
      </c>
      <c r="D372" t="inlineStr">
        <is>
          <t>ÖSTERGÖTLANDS LÄN</t>
        </is>
      </c>
      <c r="E372" t="inlineStr">
        <is>
          <t>LINKÖPING</t>
        </is>
      </c>
      <c r="F372" t="inlineStr">
        <is>
          <t>Allmännings- och besparingsskogar</t>
        </is>
      </c>
      <c r="G372" t="n">
        <v>1.6</v>
      </c>
      <c r="H372" t="n">
        <v>0</v>
      </c>
      <c r="I372" t="n">
        <v>0</v>
      </c>
      <c r="J372" t="n">
        <v>0</v>
      </c>
      <c r="K372" t="n">
        <v>0</v>
      </c>
      <c r="L372" t="n">
        <v>0</v>
      </c>
      <c r="M372" t="n">
        <v>0</v>
      </c>
      <c r="N372" t="n">
        <v>0</v>
      </c>
      <c r="O372" t="n">
        <v>0</v>
      </c>
      <c r="P372" t="n">
        <v>0</v>
      </c>
      <c r="Q372" t="n">
        <v>0</v>
      </c>
      <c r="R372" s="2" t="inlineStr"/>
    </row>
    <row r="373" ht="15" customHeight="1">
      <c r="A373" t="inlineStr">
        <is>
          <t>A 74160-2021</t>
        </is>
      </c>
      <c r="B373" s="1" t="n">
        <v>44558</v>
      </c>
      <c r="C373" s="1" t="n">
        <v>46196</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15850-2026</t>
        </is>
      </c>
      <c r="B374" s="1" t="n">
        <v>46107</v>
      </c>
      <c r="C374" s="1" t="n">
        <v>46196</v>
      </c>
      <c r="D374" t="inlineStr">
        <is>
          <t>ÖSTERGÖTLANDS LÄN</t>
        </is>
      </c>
      <c r="E374" t="inlineStr">
        <is>
          <t>LINKÖPING</t>
        </is>
      </c>
      <c r="F374" t="inlineStr">
        <is>
          <t>Sveaskog</t>
        </is>
      </c>
      <c r="G374" t="n">
        <v>1</v>
      </c>
      <c r="H374" t="n">
        <v>0</v>
      </c>
      <c r="I374" t="n">
        <v>0</v>
      </c>
      <c r="J374" t="n">
        <v>0</v>
      </c>
      <c r="K374" t="n">
        <v>0</v>
      </c>
      <c r="L374" t="n">
        <v>0</v>
      </c>
      <c r="M374" t="n">
        <v>0</v>
      </c>
      <c r="N374" t="n">
        <v>0</v>
      </c>
      <c r="O374" t="n">
        <v>0</v>
      </c>
      <c r="P374" t="n">
        <v>0</v>
      </c>
      <c r="Q374" t="n">
        <v>0</v>
      </c>
      <c r="R374" s="2" t="inlineStr"/>
    </row>
    <row r="375" ht="15" customHeight="1">
      <c r="A375" t="inlineStr">
        <is>
          <t>A 22289-2026</t>
        </is>
      </c>
      <c r="B375" s="1" t="n">
        <v>46154</v>
      </c>
      <c r="C375" s="1" t="n">
        <v>46196</v>
      </c>
      <c r="D375" t="inlineStr">
        <is>
          <t>ÖSTERGÖTLANDS LÄN</t>
        </is>
      </c>
      <c r="E375" t="inlineStr">
        <is>
          <t>LINKÖPING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22271-2026</t>
        </is>
      </c>
      <c r="B376" s="1" t="n">
        <v>46154</v>
      </c>
      <c r="C376" s="1" t="n">
        <v>46196</v>
      </c>
      <c r="D376" t="inlineStr">
        <is>
          <t>ÖSTERGÖTLANDS LÄN</t>
        </is>
      </c>
      <c r="E376" t="inlineStr">
        <is>
          <t>LINKÖPING</t>
        </is>
      </c>
      <c r="F376" t="inlineStr">
        <is>
          <t>Sveaskog</t>
        </is>
      </c>
      <c r="G376" t="n">
        <v>6.5</v>
      </c>
      <c r="H376" t="n">
        <v>0</v>
      </c>
      <c r="I376" t="n">
        <v>0</v>
      </c>
      <c r="J376" t="n">
        <v>0</v>
      </c>
      <c r="K376" t="n">
        <v>0</v>
      </c>
      <c r="L376" t="n">
        <v>0</v>
      </c>
      <c r="M376" t="n">
        <v>0</v>
      </c>
      <c r="N376" t="n">
        <v>0</v>
      </c>
      <c r="O376" t="n">
        <v>0</v>
      </c>
      <c r="P376" t="n">
        <v>0</v>
      </c>
      <c r="Q376" t="n">
        <v>0</v>
      </c>
      <c r="R376" s="2" t="inlineStr"/>
    </row>
    <row r="377" ht="15" customHeight="1">
      <c r="A377" t="inlineStr">
        <is>
          <t>A 22272-2026</t>
        </is>
      </c>
      <c r="B377" s="1" t="n">
        <v>46154</v>
      </c>
      <c r="C377" s="1" t="n">
        <v>46196</v>
      </c>
      <c r="D377" t="inlineStr">
        <is>
          <t>ÖSTERGÖTLANDS LÄN</t>
        </is>
      </c>
      <c r="E377" t="inlineStr">
        <is>
          <t>LINKÖPING</t>
        </is>
      </c>
      <c r="F377" t="inlineStr">
        <is>
          <t>Sveaskog</t>
        </is>
      </c>
      <c r="G377" t="n">
        <v>0.4</v>
      </c>
      <c r="H377" t="n">
        <v>0</v>
      </c>
      <c r="I377" t="n">
        <v>0</v>
      </c>
      <c r="J377" t="n">
        <v>0</v>
      </c>
      <c r="K377" t="n">
        <v>0</v>
      </c>
      <c r="L377" t="n">
        <v>0</v>
      </c>
      <c r="M377" t="n">
        <v>0</v>
      </c>
      <c r="N377" t="n">
        <v>0</v>
      </c>
      <c r="O377" t="n">
        <v>0</v>
      </c>
      <c r="P377" t="n">
        <v>0</v>
      </c>
      <c r="Q377" t="n">
        <v>0</v>
      </c>
      <c r="R377" s="2" t="inlineStr"/>
    </row>
    <row r="378" ht="15" customHeight="1">
      <c r="A378" t="inlineStr">
        <is>
          <t>A 22286-2026</t>
        </is>
      </c>
      <c r="B378" s="1" t="n">
        <v>46154</v>
      </c>
      <c r="C378" s="1" t="n">
        <v>46196</v>
      </c>
      <c r="D378" t="inlineStr">
        <is>
          <t>ÖSTERGÖTLANDS LÄN</t>
        </is>
      </c>
      <c r="E378" t="inlineStr">
        <is>
          <t>LINKÖPING</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22282-2026</t>
        </is>
      </c>
      <c r="B379" s="1" t="n">
        <v>46154</v>
      </c>
      <c r="C379" s="1" t="n">
        <v>46196</v>
      </c>
      <c r="D379" t="inlineStr">
        <is>
          <t>ÖSTERGÖTLANDS LÄN</t>
        </is>
      </c>
      <c r="E379" t="inlineStr">
        <is>
          <t>LINKÖPING</t>
        </is>
      </c>
      <c r="F379" t="inlineStr">
        <is>
          <t>Sveaskog</t>
        </is>
      </c>
      <c r="G379" t="n">
        <v>6.7</v>
      </c>
      <c r="H379" t="n">
        <v>0</v>
      </c>
      <c r="I379" t="n">
        <v>0</v>
      </c>
      <c r="J379" t="n">
        <v>0</v>
      </c>
      <c r="K379" t="n">
        <v>0</v>
      </c>
      <c r="L379" t="n">
        <v>0</v>
      </c>
      <c r="M379" t="n">
        <v>0</v>
      </c>
      <c r="N379" t="n">
        <v>0</v>
      </c>
      <c r="O379" t="n">
        <v>0</v>
      </c>
      <c r="P379" t="n">
        <v>0</v>
      </c>
      <c r="Q379" t="n">
        <v>0</v>
      </c>
      <c r="R379" s="2" t="inlineStr"/>
    </row>
    <row r="380" ht="15" customHeight="1">
      <c r="A380" t="inlineStr">
        <is>
          <t>A 16967-2026</t>
        </is>
      </c>
      <c r="B380" s="1" t="n">
        <v>46114</v>
      </c>
      <c r="C380" s="1" t="n">
        <v>46196</v>
      </c>
      <c r="D380" t="inlineStr">
        <is>
          <t>ÖSTERGÖTLANDS LÄN</t>
        </is>
      </c>
      <c r="E380" t="inlineStr">
        <is>
          <t>LINKÖPING</t>
        </is>
      </c>
      <c r="F380" t="inlineStr">
        <is>
          <t>Sveaskog</t>
        </is>
      </c>
      <c r="G380" t="n">
        <v>3.4</v>
      </c>
      <c r="H380" t="n">
        <v>0</v>
      </c>
      <c r="I380" t="n">
        <v>0</v>
      </c>
      <c r="J380" t="n">
        <v>0</v>
      </c>
      <c r="K380" t="n">
        <v>0</v>
      </c>
      <c r="L380" t="n">
        <v>0</v>
      </c>
      <c r="M380" t="n">
        <v>0</v>
      </c>
      <c r="N380" t="n">
        <v>0</v>
      </c>
      <c r="O380" t="n">
        <v>0</v>
      </c>
      <c r="P380" t="n">
        <v>0</v>
      </c>
      <c r="Q380" t="n">
        <v>0</v>
      </c>
      <c r="R380" s="2" t="inlineStr"/>
    </row>
    <row r="381" ht="15" customHeight="1">
      <c r="A381" t="inlineStr">
        <is>
          <t>A 27766-2022</t>
        </is>
      </c>
      <c r="B381" s="1" t="n">
        <v>44743</v>
      </c>
      <c r="C381" s="1" t="n">
        <v>46196</v>
      </c>
      <c r="D381" t="inlineStr">
        <is>
          <t>ÖSTERGÖTLANDS LÄN</t>
        </is>
      </c>
      <c r="E381" t="inlineStr">
        <is>
          <t>LINKÖPING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53641-2023</t>
        </is>
      </c>
      <c r="B382" s="1" t="n">
        <v>45230</v>
      </c>
      <c r="C382" s="1" t="n">
        <v>46196</v>
      </c>
      <c r="D382" t="inlineStr">
        <is>
          <t>ÖSTERGÖTLANDS LÄN</t>
        </is>
      </c>
      <c r="E382" t="inlineStr">
        <is>
          <t>LINKÖPING</t>
        </is>
      </c>
      <c r="G382" t="n">
        <v>1.7</v>
      </c>
      <c r="H382" t="n">
        <v>0</v>
      </c>
      <c r="I382" t="n">
        <v>0</v>
      </c>
      <c r="J382" t="n">
        <v>0</v>
      </c>
      <c r="K382" t="n">
        <v>0</v>
      </c>
      <c r="L382" t="n">
        <v>0</v>
      </c>
      <c r="M382" t="n">
        <v>0</v>
      </c>
      <c r="N382" t="n">
        <v>0</v>
      </c>
      <c r="O382" t="n">
        <v>0</v>
      </c>
      <c r="P382" t="n">
        <v>0</v>
      </c>
      <c r="Q382" t="n">
        <v>0</v>
      </c>
      <c r="R382" s="2" t="inlineStr"/>
    </row>
    <row r="383" ht="15" customHeight="1">
      <c r="A383" t="inlineStr">
        <is>
          <t>A 17513-2026</t>
        </is>
      </c>
      <c r="B383" s="1" t="n">
        <v>46120</v>
      </c>
      <c r="C383" s="1" t="n">
        <v>46196</v>
      </c>
      <c r="D383" t="inlineStr">
        <is>
          <t>ÖSTERGÖTLANDS LÄN</t>
        </is>
      </c>
      <c r="E383" t="inlineStr">
        <is>
          <t>LINKÖPING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33000-2023</t>
        </is>
      </c>
      <c r="B384" s="1" t="n">
        <v>45125</v>
      </c>
      <c r="C384" s="1" t="n">
        <v>46196</v>
      </c>
      <c r="D384" t="inlineStr">
        <is>
          <t>ÖSTERGÖTLANDS LÄN</t>
        </is>
      </c>
      <c r="E384" t="inlineStr">
        <is>
          <t>LINKÖPING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52892-2024</t>
        </is>
      </c>
      <c r="B385" s="1" t="n">
        <v>45610</v>
      </c>
      <c r="C385" s="1" t="n">
        <v>46196</v>
      </c>
      <c r="D385" t="inlineStr">
        <is>
          <t>ÖSTERGÖTLANDS LÄN</t>
        </is>
      </c>
      <c r="E385" t="inlineStr">
        <is>
          <t>LINKÖPING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24436-2026</t>
        </is>
      </c>
      <c r="B386" s="1" t="n">
        <v>46169</v>
      </c>
      <c r="C386" s="1" t="n">
        <v>46196</v>
      </c>
      <c r="D386" t="inlineStr">
        <is>
          <t>ÖSTERGÖTLANDS LÄN</t>
        </is>
      </c>
      <c r="E386" t="inlineStr">
        <is>
          <t>LINKÖPING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24618-2026</t>
        </is>
      </c>
      <c r="B387" s="1" t="n">
        <v>46169</v>
      </c>
      <c r="C387" s="1" t="n">
        <v>46196</v>
      </c>
      <c r="D387" t="inlineStr">
        <is>
          <t>ÖSTERGÖTLANDS LÄN</t>
        </is>
      </c>
      <c r="E387" t="inlineStr">
        <is>
          <t>LINKÖPING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24792-2026</t>
        </is>
      </c>
      <c r="B388" s="1" t="n">
        <v>46170</v>
      </c>
      <c r="C388" s="1" t="n">
        <v>46196</v>
      </c>
      <c r="D388" t="inlineStr">
        <is>
          <t>ÖSTERGÖTLANDS LÄN</t>
        </is>
      </c>
      <c r="E388" t="inlineStr">
        <is>
          <t>LINKÖPING</t>
        </is>
      </c>
      <c r="F388" t="inlineStr">
        <is>
          <t>Övriga Aktiebolag</t>
        </is>
      </c>
      <c r="G388" t="n">
        <v>2</v>
      </c>
      <c r="H388" t="n">
        <v>0</v>
      </c>
      <c r="I388" t="n">
        <v>0</v>
      </c>
      <c r="J388" t="n">
        <v>0</v>
      </c>
      <c r="K388" t="n">
        <v>0</v>
      </c>
      <c r="L388" t="n">
        <v>0</v>
      </c>
      <c r="M388" t="n">
        <v>0</v>
      </c>
      <c r="N388" t="n">
        <v>0</v>
      </c>
      <c r="O388" t="n">
        <v>0</v>
      </c>
      <c r="P388" t="n">
        <v>0</v>
      </c>
      <c r="Q388" t="n">
        <v>0</v>
      </c>
      <c r="R388" s="2" t="inlineStr"/>
    </row>
    <row r="389" ht="15" customHeight="1">
      <c r="A389" t="inlineStr">
        <is>
          <t>A 24619-2026</t>
        </is>
      </c>
      <c r="B389" s="1" t="n">
        <v>46169</v>
      </c>
      <c r="C389" s="1" t="n">
        <v>46196</v>
      </c>
      <c r="D389" t="inlineStr">
        <is>
          <t>ÖSTERGÖTLANDS LÄN</t>
        </is>
      </c>
      <c r="E389" t="inlineStr">
        <is>
          <t>LINKÖPING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22284-2026</t>
        </is>
      </c>
      <c r="B390" s="1" t="n">
        <v>46154</v>
      </c>
      <c r="C390" s="1" t="n">
        <v>46196</v>
      </c>
      <c r="D390" t="inlineStr">
        <is>
          <t>ÖSTERGÖTLANDS LÄN</t>
        </is>
      </c>
      <c r="E390" t="inlineStr">
        <is>
          <t>LINKÖPING</t>
        </is>
      </c>
      <c r="F390" t="inlineStr">
        <is>
          <t>Sveaskog</t>
        </is>
      </c>
      <c r="G390" t="n">
        <v>4.4</v>
      </c>
      <c r="H390" t="n">
        <v>0</v>
      </c>
      <c r="I390" t="n">
        <v>0</v>
      </c>
      <c r="J390" t="n">
        <v>0</v>
      </c>
      <c r="K390" t="n">
        <v>0</v>
      </c>
      <c r="L390" t="n">
        <v>0</v>
      </c>
      <c r="M390" t="n">
        <v>0</v>
      </c>
      <c r="N390" t="n">
        <v>0</v>
      </c>
      <c r="O390" t="n">
        <v>0</v>
      </c>
      <c r="P390" t="n">
        <v>0</v>
      </c>
      <c r="Q390" t="n">
        <v>0</v>
      </c>
      <c r="R390" s="2" t="inlineStr"/>
    </row>
    <row r="391" ht="15" customHeight="1">
      <c r="A391" t="inlineStr">
        <is>
          <t>A 20291-2025</t>
        </is>
      </c>
      <c r="B391" s="1" t="n">
        <v>45774</v>
      </c>
      <c r="C391" s="1" t="n">
        <v>46196</v>
      </c>
      <c r="D391" t="inlineStr">
        <is>
          <t>ÖSTERGÖTLANDS LÄN</t>
        </is>
      </c>
      <c r="E391" t="inlineStr">
        <is>
          <t>LINKÖPING</t>
        </is>
      </c>
      <c r="G391" t="n">
        <v>2.3</v>
      </c>
      <c r="H391" t="n">
        <v>0</v>
      </c>
      <c r="I391" t="n">
        <v>0</v>
      </c>
      <c r="J391" t="n">
        <v>0</v>
      </c>
      <c r="K391" t="n">
        <v>0</v>
      </c>
      <c r="L391" t="n">
        <v>0</v>
      </c>
      <c r="M391" t="n">
        <v>0</v>
      </c>
      <c r="N391" t="n">
        <v>0</v>
      </c>
      <c r="O391" t="n">
        <v>0</v>
      </c>
      <c r="P391" t="n">
        <v>0</v>
      </c>
      <c r="Q391" t="n">
        <v>0</v>
      </c>
      <c r="R391" s="2" t="inlineStr"/>
    </row>
    <row r="392" ht="15" customHeight="1">
      <c r="A392" t="inlineStr">
        <is>
          <t>A 51191-2022</t>
        </is>
      </c>
      <c r="B392" s="1" t="n">
        <v>44865</v>
      </c>
      <c r="C392" s="1" t="n">
        <v>46196</v>
      </c>
      <c r="D392" t="inlineStr">
        <is>
          <t>ÖSTERGÖTLANDS LÄN</t>
        </is>
      </c>
      <c r="E392" t="inlineStr">
        <is>
          <t>LINKÖPING</t>
        </is>
      </c>
      <c r="G392" t="n">
        <v>2.2</v>
      </c>
      <c r="H392" t="n">
        <v>0</v>
      </c>
      <c r="I392" t="n">
        <v>0</v>
      </c>
      <c r="J392" t="n">
        <v>0</v>
      </c>
      <c r="K392" t="n">
        <v>0</v>
      </c>
      <c r="L392" t="n">
        <v>0</v>
      </c>
      <c r="M392" t="n">
        <v>0</v>
      </c>
      <c r="N392" t="n">
        <v>0</v>
      </c>
      <c r="O392" t="n">
        <v>0</v>
      </c>
      <c r="P392" t="n">
        <v>0</v>
      </c>
      <c r="Q392" t="n">
        <v>0</v>
      </c>
      <c r="R392" s="2" t="inlineStr"/>
    </row>
    <row r="393" ht="15" customHeight="1">
      <c r="A393" t="inlineStr">
        <is>
          <t>A 19523-2026</t>
        </is>
      </c>
      <c r="B393" s="1" t="n">
        <v>46134</v>
      </c>
      <c r="C393" s="1" t="n">
        <v>46196</v>
      </c>
      <c r="D393" t="inlineStr">
        <is>
          <t>ÖSTERGÖTLANDS LÄN</t>
        </is>
      </c>
      <c r="E393" t="inlineStr">
        <is>
          <t>LINKÖPING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20298-2025</t>
        </is>
      </c>
      <c r="B394" s="1" t="n">
        <v>45774</v>
      </c>
      <c r="C394" s="1" t="n">
        <v>46196</v>
      </c>
      <c r="D394" t="inlineStr">
        <is>
          <t>ÖSTERGÖTLANDS LÄN</t>
        </is>
      </c>
      <c r="E394" t="inlineStr">
        <is>
          <t>LINKÖPING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55004-2025</t>
        </is>
      </c>
      <c r="B395" s="1" t="n">
        <v>45967</v>
      </c>
      <c r="C395" s="1" t="n">
        <v>46196</v>
      </c>
      <c r="D395" t="inlineStr">
        <is>
          <t>ÖSTERGÖTLANDS LÄN</t>
        </is>
      </c>
      <c r="E395" t="inlineStr">
        <is>
          <t>LINKÖPING</t>
        </is>
      </c>
      <c r="G395" t="n">
        <v>2.5</v>
      </c>
      <c r="H395" t="n">
        <v>0</v>
      </c>
      <c r="I395" t="n">
        <v>0</v>
      </c>
      <c r="J395" t="n">
        <v>0</v>
      </c>
      <c r="K395" t="n">
        <v>0</v>
      </c>
      <c r="L395" t="n">
        <v>0</v>
      </c>
      <c r="M395" t="n">
        <v>0</v>
      </c>
      <c r="N395" t="n">
        <v>0</v>
      </c>
      <c r="O395" t="n">
        <v>0</v>
      </c>
      <c r="P395" t="n">
        <v>0</v>
      </c>
      <c r="Q395" t="n">
        <v>0</v>
      </c>
      <c r="R395" s="2" t="inlineStr"/>
    </row>
    <row r="396" ht="15" customHeight="1">
      <c r="A396" t="inlineStr">
        <is>
          <t>A 12174-2026</t>
        </is>
      </c>
      <c r="B396" s="1" t="n">
        <v>46086</v>
      </c>
      <c r="C396" s="1" t="n">
        <v>46196</v>
      </c>
      <c r="D396" t="inlineStr">
        <is>
          <t>ÖSTERGÖTLANDS LÄN</t>
        </is>
      </c>
      <c r="E396" t="inlineStr">
        <is>
          <t>LINKÖPING</t>
        </is>
      </c>
      <c r="G396" t="n">
        <v>7.2</v>
      </c>
      <c r="H396" t="n">
        <v>0</v>
      </c>
      <c r="I396" t="n">
        <v>0</v>
      </c>
      <c r="J396" t="n">
        <v>0</v>
      </c>
      <c r="K396" t="n">
        <v>0</v>
      </c>
      <c r="L396" t="n">
        <v>0</v>
      </c>
      <c r="M396" t="n">
        <v>0</v>
      </c>
      <c r="N396" t="n">
        <v>0</v>
      </c>
      <c r="O396" t="n">
        <v>0</v>
      </c>
      <c r="P396" t="n">
        <v>0</v>
      </c>
      <c r="Q396" t="n">
        <v>0</v>
      </c>
      <c r="R396" s="2" t="inlineStr"/>
    </row>
    <row r="397" ht="15" customHeight="1">
      <c r="A397" t="inlineStr">
        <is>
          <t>A 12175-2026</t>
        </is>
      </c>
      <c r="B397" s="1" t="n">
        <v>46086</v>
      </c>
      <c r="C397" s="1" t="n">
        <v>46196</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49650-2025</t>
        </is>
      </c>
      <c r="B398" s="1" t="n">
        <v>45938</v>
      </c>
      <c r="C398" s="1" t="n">
        <v>46196</v>
      </c>
      <c r="D398" t="inlineStr">
        <is>
          <t>ÖSTERGÖTLANDS LÄN</t>
        </is>
      </c>
      <c r="E398" t="inlineStr">
        <is>
          <t>LINKÖPING</t>
        </is>
      </c>
      <c r="F398" t="inlineStr">
        <is>
          <t>Övriga Aktiebolag</t>
        </is>
      </c>
      <c r="G398" t="n">
        <v>1.5</v>
      </c>
      <c r="H398" t="n">
        <v>0</v>
      </c>
      <c r="I398" t="n">
        <v>0</v>
      </c>
      <c r="J398" t="n">
        <v>0</v>
      </c>
      <c r="K398" t="n">
        <v>0</v>
      </c>
      <c r="L398" t="n">
        <v>0</v>
      </c>
      <c r="M398" t="n">
        <v>0</v>
      </c>
      <c r="N398" t="n">
        <v>0</v>
      </c>
      <c r="O398" t="n">
        <v>0</v>
      </c>
      <c r="P398" t="n">
        <v>0</v>
      </c>
      <c r="Q398" t="n">
        <v>0</v>
      </c>
      <c r="R398" s="2" t="inlineStr"/>
    </row>
    <row r="399" ht="15" customHeight="1">
      <c r="A399" t="inlineStr">
        <is>
          <t>A 62791-2025</t>
        </is>
      </c>
      <c r="B399" s="1" t="n">
        <v>46008</v>
      </c>
      <c r="C399" s="1" t="n">
        <v>46196</v>
      </c>
      <c r="D399" t="inlineStr">
        <is>
          <t>ÖSTERGÖTLANDS LÄN</t>
        </is>
      </c>
      <c r="E399" t="inlineStr">
        <is>
          <t>LINKÖPING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8967-2025</t>
        </is>
      </c>
      <c r="B400" s="1" t="n">
        <v>45712</v>
      </c>
      <c r="C400" s="1" t="n">
        <v>46196</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14135-2026</t>
        </is>
      </c>
      <c r="B401" s="1" t="n">
        <v>46099</v>
      </c>
      <c r="C401" s="1" t="n">
        <v>46196</v>
      </c>
      <c r="D401" t="inlineStr">
        <is>
          <t>ÖSTERGÖTLANDS LÄN</t>
        </is>
      </c>
      <c r="E401" t="inlineStr">
        <is>
          <t>LINKÖPING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12289-2025</t>
        </is>
      </c>
      <c r="B402" s="1" t="n">
        <v>45729</v>
      </c>
      <c r="C402" s="1" t="n">
        <v>46196</v>
      </c>
      <c r="D402" t="inlineStr">
        <is>
          <t>ÖSTERGÖTLANDS LÄN</t>
        </is>
      </c>
      <c r="E402" t="inlineStr">
        <is>
          <t>LINKÖPING</t>
        </is>
      </c>
      <c r="F402" t="inlineStr">
        <is>
          <t>Övriga statliga verk och myndigheter</t>
        </is>
      </c>
      <c r="G402" t="n">
        <v>6.5</v>
      </c>
      <c r="H402" t="n">
        <v>0</v>
      </c>
      <c r="I402" t="n">
        <v>0</v>
      </c>
      <c r="J402" t="n">
        <v>0</v>
      </c>
      <c r="K402" t="n">
        <v>0</v>
      </c>
      <c r="L402" t="n">
        <v>0</v>
      </c>
      <c r="M402" t="n">
        <v>0</v>
      </c>
      <c r="N402" t="n">
        <v>0</v>
      </c>
      <c r="O402" t="n">
        <v>0</v>
      </c>
      <c r="P402" t="n">
        <v>0</v>
      </c>
      <c r="Q402" t="n">
        <v>0</v>
      </c>
      <c r="R402" s="2" t="inlineStr"/>
    </row>
    <row r="403" ht="15" customHeight="1">
      <c r="A403" t="inlineStr">
        <is>
          <t>A 25962-2026</t>
        </is>
      </c>
      <c r="B403" s="1" t="n">
        <v>46181</v>
      </c>
      <c r="C403" s="1" t="n">
        <v>46196</v>
      </c>
      <c r="D403" t="inlineStr">
        <is>
          <t>ÖSTERGÖTLANDS LÄN</t>
        </is>
      </c>
      <c r="E403" t="inlineStr">
        <is>
          <t>LINKÖPING</t>
        </is>
      </c>
      <c r="G403" t="n">
        <v>2.3</v>
      </c>
      <c r="H403" t="n">
        <v>0</v>
      </c>
      <c r="I403" t="n">
        <v>0</v>
      </c>
      <c r="J403" t="n">
        <v>0</v>
      </c>
      <c r="K403" t="n">
        <v>0</v>
      </c>
      <c r="L403" t="n">
        <v>0</v>
      </c>
      <c r="M403" t="n">
        <v>0</v>
      </c>
      <c r="N403" t="n">
        <v>0</v>
      </c>
      <c r="O403" t="n">
        <v>0</v>
      </c>
      <c r="P403" t="n">
        <v>0</v>
      </c>
      <c r="Q403" t="n">
        <v>0</v>
      </c>
      <c r="R403" s="2" t="inlineStr"/>
    </row>
    <row r="404" ht="15" customHeight="1">
      <c r="A404" t="inlineStr">
        <is>
          <t>A 9434-2024</t>
        </is>
      </c>
      <c r="B404" s="1" t="n">
        <v>45359</v>
      </c>
      <c r="C404" s="1" t="n">
        <v>46196</v>
      </c>
      <c r="D404" t="inlineStr">
        <is>
          <t>ÖSTERGÖTLANDS LÄN</t>
        </is>
      </c>
      <c r="E404" t="inlineStr">
        <is>
          <t>LINKÖPING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13266-2025</t>
        </is>
      </c>
      <c r="B405" s="1" t="n">
        <v>45735</v>
      </c>
      <c r="C405" s="1" t="n">
        <v>46196</v>
      </c>
      <c r="D405" t="inlineStr">
        <is>
          <t>ÖSTERGÖTLANDS LÄN</t>
        </is>
      </c>
      <c r="E405" t="inlineStr">
        <is>
          <t>LINKÖPING</t>
        </is>
      </c>
      <c r="G405" t="n">
        <v>3.1</v>
      </c>
      <c r="H405" t="n">
        <v>0</v>
      </c>
      <c r="I405" t="n">
        <v>0</v>
      </c>
      <c r="J405" t="n">
        <v>0</v>
      </c>
      <c r="K405" t="n">
        <v>0</v>
      </c>
      <c r="L405" t="n">
        <v>0</v>
      </c>
      <c r="M405" t="n">
        <v>0</v>
      </c>
      <c r="N405" t="n">
        <v>0</v>
      </c>
      <c r="O405" t="n">
        <v>0</v>
      </c>
      <c r="P405" t="n">
        <v>0</v>
      </c>
      <c r="Q405" t="n">
        <v>0</v>
      </c>
      <c r="R405" s="2" t="inlineStr"/>
    </row>
    <row r="406" ht="15" customHeight="1">
      <c r="A406" t="inlineStr">
        <is>
          <t>A 42623-2025</t>
        </is>
      </c>
      <c r="B406" s="1" t="n">
        <v>45905</v>
      </c>
      <c r="C406" s="1" t="n">
        <v>46196</v>
      </c>
      <c r="D406" t="inlineStr">
        <is>
          <t>ÖSTERGÖTLANDS LÄN</t>
        </is>
      </c>
      <c r="E406" t="inlineStr">
        <is>
          <t>LINKÖPING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25955-2026</t>
        </is>
      </c>
      <c r="B407" s="1" t="n">
        <v>46181</v>
      </c>
      <c r="C407" s="1" t="n">
        <v>46196</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12181-2026</t>
        </is>
      </c>
      <c r="B408" s="1" t="n">
        <v>46086</v>
      </c>
      <c r="C408" s="1" t="n">
        <v>46196</v>
      </c>
      <c r="D408" t="inlineStr">
        <is>
          <t>ÖSTERGÖTLANDS LÄN</t>
        </is>
      </c>
      <c r="E408" t="inlineStr">
        <is>
          <t>LINKÖPING</t>
        </is>
      </c>
      <c r="G408" t="n">
        <v>2.2</v>
      </c>
      <c r="H408" t="n">
        <v>0</v>
      </c>
      <c r="I408" t="n">
        <v>0</v>
      </c>
      <c r="J408" t="n">
        <v>0</v>
      </c>
      <c r="K408" t="n">
        <v>0</v>
      </c>
      <c r="L408" t="n">
        <v>0</v>
      </c>
      <c r="M408" t="n">
        <v>0</v>
      </c>
      <c r="N408" t="n">
        <v>0</v>
      </c>
      <c r="O408" t="n">
        <v>0</v>
      </c>
      <c r="P408" t="n">
        <v>0</v>
      </c>
      <c r="Q408" t="n">
        <v>0</v>
      </c>
      <c r="R408" s="2" t="inlineStr"/>
    </row>
    <row r="409" ht="15" customHeight="1">
      <c r="A409" t="inlineStr">
        <is>
          <t>A 50182-2023</t>
        </is>
      </c>
      <c r="B409" s="1" t="n">
        <v>45208</v>
      </c>
      <c r="C409" s="1" t="n">
        <v>46196</v>
      </c>
      <c r="D409" t="inlineStr">
        <is>
          <t>ÖSTERGÖTLANDS LÄN</t>
        </is>
      </c>
      <c r="E409" t="inlineStr">
        <is>
          <t>LINKÖPING</t>
        </is>
      </c>
      <c r="G409" t="n">
        <v>2.5</v>
      </c>
      <c r="H409" t="n">
        <v>0</v>
      </c>
      <c r="I409" t="n">
        <v>0</v>
      </c>
      <c r="J409" t="n">
        <v>0</v>
      </c>
      <c r="K409" t="n">
        <v>0</v>
      </c>
      <c r="L409" t="n">
        <v>0</v>
      </c>
      <c r="M409" t="n">
        <v>0</v>
      </c>
      <c r="N409" t="n">
        <v>0</v>
      </c>
      <c r="O409" t="n">
        <v>0</v>
      </c>
      <c r="P409" t="n">
        <v>0</v>
      </c>
      <c r="Q409" t="n">
        <v>0</v>
      </c>
      <c r="R409" s="2" t="inlineStr"/>
    </row>
    <row r="410" ht="15" customHeight="1">
      <c r="A410" t="inlineStr">
        <is>
          <t>A 7133-2026</t>
        </is>
      </c>
      <c r="B410" s="1" t="n">
        <v>46057</v>
      </c>
      <c r="C410" s="1" t="n">
        <v>46196</v>
      </c>
      <c r="D410" t="inlineStr">
        <is>
          <t>ÖSTERGÖTLANDS LÄN</t>
        </is>
      </c>
      <c r="E410" t="inlineStr">
        <is>
          <t>LINKÖPING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38971-2025</t>
        </is>
      </c>
      <c r="B411" s="1" t="n">
        <v>45887</v>
      </c>
      <c r="C411" s="1" t="n">
        <v>46196</v>
      </c>
      <c r="D411" t="inlineStr">
        <is>
          <t>ÖSTERGÖTLANDS LÄN</t>
        </is>
      </c>
      <c r="E411" t="inlineStr">
        <is>
          <t>LINKÖPING</t>
        </is>
      </c>
      <c r="G411" t="n">
        <v>3.9</v>
      </c>
      <c r="H411" t="n">
        <v>0</v>
      </c>
      <c r="I411" t="n">
        <v>0</v>
      </c>
      <c r="J411" t="n">
        <v>0</v>
      </c>
      <c r="K411" t="n">
        <v>0</v>
      </c>
      <c r="L411" t="n">
        <v>0</v>
      </c>
      <c r="M411" t="n">
        <v>0</v>
      </c>
      <c r="N411" t="n">
        <v>0</v>
      </c>
      <c r="O411" t="n">
        <v>0</v>
      </c>
      <c r="P411" t="n">
        <v>0</v>
      </c>
      <c r="Q411" t="n">
        <v>0</v>
      </c>
      <c r="R411" s="2" t="inlineStr"/>
    </row>
    <row r="412" ht="15" customHeight="1">
      <c r="A412" t="inlineStr">
        <is>
          <t>A 35781-2023</t>
        </is>
      </c>
      <c r="B412" s="1" t="n">
        <v>45147</v>
      </c>
      <c r="C412" s="1" t="n">
        <v>46196</v>
      </c>
      <c r="D412" t="inlineStr">
        <is>
          <t>ÖSTERGÖTLANDS LÄN</t>
        </is>
      </c>
      <c r="E412" t="inlineStr">
        <is>
          <t>LINKÖPING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33800-2023</t>
        </is>
      </c>
      <c r="B413" s="1" t="n">
        <v>45121</v>
      </c>
      <c r="C413" s="1" t="n">
        <v>46196</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61298-2021</t>
        </is>
      </c>
      <c r="B414" s="1" t="n">
        <v>44498</v>
      </c>
      <c r="C414" s="1" t="n">
        <v>46196</v>
      </c>
      <c r="D414" t="inlineStr">
        <is>
          <t>ÖSTERGÖTLANDS LÄN</t>
        </is>
      </c>
      <c r="E414" t="inlineStr">
        <is>
          <t>LINKÖPING</t>
        </is>
      </c>
      <c r="G414" t="n">
        <v>4.3</v>
      </c>
      <c r="H414" t="n">
        <v>0</v>
      </c>
      <c r="I414" t="n">
        <v>0</v>
      </c>
      <c r="J414" t="n">
        <v>0</v>
      </c>
      <c r="K414" t="n">
        <v>0</v>
      </c>
      <c r="L414" t="n">
        <v>0</v>
      </c>
      <c r="M414" t="n">
        <v>0</v>
      </c>
      <c r="N414" t="n">
        <v>0</v>
      </c>
      <c r="O414" t="n">
        <v>0</v>
      </c>
      <c r="P414" t="n">
        <v>0</v>
      </c>
      <c r="Q414" t="n">
        <v>0</v>
      </c>
      <c r="R414" s="2" t="inlineStr"/>
    </row>
    <row r="415" ht="15" customHeight="1">
      <c r="A415" t="inlineStr">
        <is>
          <t>A 6387-2022</t>
        </is>
      </c>
      <c r="B415" s="1" t="n">
        <v>44600</v>
      </c>
      <c r="C415" s="1" t="n">
        <v>46196</v>
      </c>
      <c r="D415" t="inlineStr">
        <is>
          <t>ÖSTERGÖTLANDS LÄN</t>
        </is>
      </c>
      <c r="E415" t="inlineStr">
        <is>
          <t>LINKÖPING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48707-2023</t>
        </is>
      </c>
      <c r="B416" s="1" t="n">
        <v>45202</v>
      </c>
      <c r="C416" s="1" t="n">
        <v>46196</v>
      </c>
      <c r="D416" t="inlineStr">
        <is>
          <t>ÖSTERGÖTLANDS LÄN</t>
        </is>
      </c>
      <c r="E416" t="inlineStr">
        <is>
          <t>LINKÖPING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21247-2026</t>
        </is>
      </c>
      <c r="B417" s="1" t="n">
        <v>46147</v>
      </c>
      <c r="C417" s="1" t="n">
        <v>46196</v>
      </c>
      <c r="D417" t="inlineStr">
        <is>
          <t>ÖSTERGÖTLANDS LÄN</t>
        </is>
      </c>
      <c r="E417" t="inlineStr">
        <is>
          <t>LINKÖPING</t>
        </is>
      </c>
      <c r="F417" t="inlineStr">
        <is>
          <t>Sveaskog</t>
        </is>
      </c>
      <c r="G417" t="n">
        <v>0.4</v>
      </c>
      <c r="H417" t="n">
        <v>0</v>
      </c>
      <c r="I417" t="n">
        <v>0</v>
      </c>
      <c r="J417" t="n">
        <v>0</v>
      </c>
      <c r="K417" t="n">
        <v>0</v>
      </c>
      <c r="L417" t="n">
        <v>0</v>
      </c>
      <c r="M417" t="n">
        <v>0</v>
      </c>
      <c r="N417" t="n">
        <v>0</v>
      </c>
      <c r="O417" t="n">
        <v>0</v>
      </c>
      <c r="P417" t="n">
        <v>0</v>
      </c>
      <c r="Q417" t="n">
        <v>0</v>
      </c>
      <c r="R417" s="2" t="inlineStr"/>
    </row>
    <row r="418" ht="15" customHeight="1">
      <c r="A418" t="inlineStr">
        <is>
          <t>A 21246-2026</t>
        </is>
      </c>
      <c r="B418" s="1" t="n">
        <v>46147</v>
      </c>
      <c r="C418" s="1" t="n">
        <v>46196</v>
      </c>
      <c r="D418" t="inlineStr">
        <is>
          <t>ÖSTERGÖTLANDS LÄN</t>
        </is>
      </c>
      <c r="E418" t="inlineStr">
        <is>
          <t>LINKÖPING</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21248-2026</t>
        </is>
      </c>
      <c r="B419" s="1" t="n">
        <v>46147</v>
      </c>
      <c r="C419" s="1" t="n">
        <v>46196</v>
      </c>
      <c r="D419" t="inlineStr">
        <is>
          <t>ÖSTERGÖTLANDS LÄN</t>
        </is>
      </c>
      <c r="E419" t="inlineStr">
        <is>
          <t>LINKÖPING</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21374-2026</t>
        </is>
      </c>
      <c r="B420" s="1" t="n">
        <v>46145</v>
      </c>
      <c r="C420" s="1" t="n">
        <v>46196</v>
      </c>
      <c r="D420" t="inlineStr">
        <is>
          <t>ÖSTERGÖTLANDS LÄN</t>
        </is>
      </c>
      <c r="E420" t="inlineStr">
        <is>
          <t>LINKÖPING</t>
        </is>
      </c>
      <c r="G420" t="n">
        <v>3.7</v>
      </c>
      <c r="H420" t="n">
        <v>0</v>
      </c>
      <c r="I420" t="n">
        <v>0</v>
      </c>
      <c r="J420" t="n">
        <v>0</v>
      </c>
      <c r="K420" t="n">
        <v>0</v>
      </c>
      <c r="L420" t="n">
        <v>0</v>
      </c>
      <c r="M420" t="n">
        <v>0</v>
      </c>
      <c r="N420" t="n">
        <v>0</v>
      </c>
      <c r="O420" t="n">
        <v>0</v>
      </c>
      <c r="P420" t="n">
        <v>0</v>
      </c>
      <c r="Q420" t="n">
        <v>0</v>
      </c>
      <c r="R420" s="2" t="inlineStr"/>
    </row>
    <row r="421" ht="15" customHeight="1">
      <c r="A421" t="inlineStr">
        <is>
          <t>A 26002-2025</t>
        </is>
      </c>
      <c r="B421" s="1" t="n">
        <v>45804</v>
      </c>
      <c r="C421" s="1" t="n">
        <v>46196</v>
      </c>
      <c r="D421" t="inlineStr">
        <is>
          <t>ÖSTERGÖTLANDS LÄN</t>
        </is>
      </c>
      <c r="E421" t="inlineStr">
        <is>
          <t>LINKÖPING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31635-2023</t>
        </is>
      </c>
      <c r="B422" s="1" t="n">
        <v>45105</v>
      </c>
      <c r="C422" s="1" t="n">
        <v>46196</v>
      </c>
      <c r="D422" t="inlineStr">
        <is>
          <t>ÖSTERGÖTLANDS LÄN</t>
        </is>
      </c>
      <c r="E422" t="inlineStr">
        <is>
          <t>LINKÖPING</t>
        </is>
      </c>
      <c r="F422" t="inlineStr">
        <is>
          <t>Övriga statliga verk och myndigheter</t>
        </is>
      </c>
      <c r="G422" t="n">
        <v>4.6</v>
      </c>
      <c r="H422" t="n">
        <v>0</v>
      </c>
      <c r="I422" t="n">
        <v>0</v>
      </c>
      <c r="J422" t="n">
        <v>0</v>
      </c>
      <c r="K422" t="n">
        <v>0</v>
      </c>
      <c r="L422" t="n">
        <v>0</v>
      </c>
      <c r="M422" t="n">
        <v>0</v>
      </c>
      <c r="N422" t="n">
        <v>0</v>
      </c>
      <c r="O422" t="n">
        <v>0</v>
      </c>
      <c r="P422" t="n">
        <v>0</v>
      </c>
      <c r="Q422" t="n">
        <v>0</v>
      </c>
      <c r="R422" s="2" t="inlineStr"/>
    </row>
    <row r="423" ht="15" customHeight="1">
      <c r="A423" t="inlineStr">
        <is>
          <t>A 22070-2026</t>
        </is>
      </c>
      <c r="B423" s="1" t="n">
        <v>46153</v>
      </c>
      <c r="C423" s="1" t="n">
        <v>46196</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12089-2025</t>
        </is>
      </c>
      <c r="B424" s="1" t="n">
        <v>45729</v>
      </c>
      <c r="C424" s="1" t="n">
        <v>46196</v>
      </c>
      <c r="D424" t="inlineStr">
        <is>
          <t>ÖSTERGÖTLANDS LÄN</t>
        </is>
      </c>
      <c r="E424" t="inlineStr">
        <is>
          <t>LINKÖPING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15658-2023</t>
        </is>
      </c>
      <c r="B425" s="1" t="n">
        <v>45021</v>
      </c>
      <c r="C425" s="1" t="n">
        <v>46196</v>
      </c>
      <c r="D425" t="inlineStr">
        <is>
          <t>ÖSTERGÖTLANDS LÄN</t>
        </is>
      </c>
      <c r="E425" t="inlineStr">
        <is>
          <t>LINKÖPING</t>
        </is>
      </c>
      <c r="G425" t="n">
        <v>1.4</v>
      </c>
      <c r="H425" t="n">
        <v>0</v>
      </c>
      <c r="I425" t="n">
        <v>0</v>
      </c>
      <c r="J425" t="n">
        <v>0</v>
      </c>
      <c r="K425" t="n">
        <v>0</v>
      </c>
      <c r="L425" t="n">
        <v>0</v>
      </c>
      <c r="M425" t="n">
        <v>0</v>
      </c>
      <c r="N425" t="n">
        <v>0</v>
      </c>
      <c r="O425" t="n">
        <v>0</v>
      </c>
      <c r="P425" t="n">
        <v>0</v>
      </c>
      <c r="Q425" t="n">
        <v>0</v>
      </c>
      <c r="R425" s="2" t="inlineStr"/>
    </row>
    <row r="426" ht="15" customHeight="1">
      <c r="A426" t="inlineStr">
        <is>
          <t>A 64694-2023</t>
        </is>
      </c>
      <c r="B426" s="1" t="n">
        <v>45281</v>
      </c>
      <c r="C426" s="1" t="n">
        <v>46196</v>
      </c>
      <c r="D426" t="inlineStr">
        <is>
          <t>ÖSTERGÖTLANDS LÄN</t>
        </is>
      </c>
      <c r="E426" t="inlineStr">
        <is>
          <t>LINKÖPING</t>
        </is>
      </c>
      <c r="F426" t="inlineStr">
        <is>
          <t>Övriga statliga verk och myndigheter</t>
        </is>
      </c>
      <c r="G426" t="n">
        <v>4.9</v>
      </c>
      <c r="H426" t="n">
        <v>0</v>
      </c>
      <c r="I426" t="n">
        <v>0</v>
      </c>
      <c r="J426" t="n">
        <v>0</v>
      </c>
      <c r="K426" t="n">
        <v>0</v>
      </c>
      <c r="L426" t="n">
        <v>0</v>
      </c>
      <c r="M426" t="n">
        <v>0</v>
      </c>
      <c r="N426" t="n">
        <v>0</v>
      </c>
      <c r="O426" t="n">
        <v>0</v>
      </c>
      <c r="P426" t="n">
        <v>0</v>
      </c>
      <c r="Q426" t="n">
        <v>0</v>
      </c>
      <c r="R426" s="2" t="inlineStr"/>
    </row>
    <row r="427" ht="15" customHeight="1">
      <c r="A427" t="inlineStr">
        <is>
          <t>A 32602-2022</t>
        </is>
      </c>
      <c r="B427" s="1" t="n">
        <v>44783</v>
      </c>
      <c r="C427" s="1" t="n">
        <v>46196</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267-2023</t>
        </is>
      </c>
      <c r="B428" s="1" t="n">
        <v>44928</v>
      </c>
      <c r="C428" s="1" t="n">
        <v>46196</v>
      </c>
      <c r="D428" t="inlineStr">
        <is>
          <t>ÖSTERGÖTLANDS LÄN</t>
        </is>
      </c>
      <c r="E428" t="inlineStr">
        <is>
          <t>LINKÖPING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940-2023</t>
        </is>
      </c>
      <c r="B429" s="1" t="n">
        <v>44933</v>
      </c>
      <c r="C429" s="1" t="n">
        <v>46196</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30980-2022</t>
        </is>
      </c>
      <c r="B430" s="1" t="n">
        <v>44768</v>
      </c>
      <c r="C430" s="1" t="n">
        <v>46196</v>
      </c>
      <c r="D430" t="inlineStr">
        <is>
          <t>ÖSTERGÖTLANDS LÄN</t>
        </is>
      </c>
      <c r="E430" t="inlineStr">
        <is>
          <t>LINKÖPING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60007-2022</t>
        </is>
      </c>
      <c r="B431" s="1" t="n">
        <v>44909</v>
      </c>
      <c r="C431" s="1" t="n">
        <v>46196</v>
      </c>
      <c r="D431" t="inlineStr">
        <is>
          <t>ÖSTERGÖTLANDS LÄN</t>
        </is>
      </c>
      <c r="E431" t="inlineStr">
        <is>
          <t>LINKÖPING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50799-2022</t>
        </is>
      </c>
      <c r="B432" s="1" t="n">
        <v>44862</v>
      </c>
      <c r="C432" s="1" t="n">
        <v>46196</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56064-2022</t>
        </is>
      </c>
      <c r="B433" s="1" t="n">
        <v>44889</v>
      </c>
      <c r="C433" s="1" t="n">
        <v>46196</v>
      </c>
      <c r="D433" t="inlineStr">
        <is>
          <t>ÖSTERGÖTLANDS LÄN</t>
        </is>
      </c>
      <c r="E433" t="inlineStr">
        <is>
          <t>LINKÖPING</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47703-2023</t>
        </is>
      </c>
      <c r="B434" s="1" t="n">
        <v>45203</v>
      </c>
      <c r="C434" s="1" t="n">
        <v>46196</v>
      </c>
      <c r="D434" t="inlineStr">
        <is>
          <t>ÖSTERGÖTLANDS LÄN</t>
        </is>
      </c>
      <c r="E434" t="inlineStr">
        <is>
          <t>LINKÖPING</t>
        </is>
      </c>
      <c r="G434" t="n">
        <v>4.1</v>
      </c>
      <c r="H434" t="n">
        <v>0</v>
      </c>
      <c r="I434" t="n">
        <v>0</v>
      </c>
      <c r="J434" t="n">
        <v>0</v>
      </c>
      <c r="K434" t="n">
        <v>0</v>
      </c>
      <c r="L434" t="n">
        <v>0</v>
      </c>
      <c r="M434" t="n">
        <v>0</v>
      </c>
      <c r="N434" t="n">
        <v>0</v>
      </c>
      <c r="O434" t="n">
        <v>0</v>
      </c>
      <c r="P434" t="n">
        <v>0</v>
      </c>
      <c r="Q434" t="n">
        <v>0</v>
      </c>
      <c r="R434" s="2" t="inlineStr"/>
    </row>
    <row r="435" ht="15" customHeight="1">
      <c r="A435" t="inlineStr">
        <is>
          <t>A 16111-2022</t>
        </is>
      </c>
      <c r="B435" s="1" t="n">
        <v>44665</v>
      </c>
      <c r="C435" s="1" t="n">
        <v>46196</v>
      </c>
      <c r="D435" t="inlineStr">
        <is>
          <t>ÖSTERGÖTLANDS LÄN</t>
        </is>
      </c>
      <c r="E435" t="inlineStr">
        <is>
          <t>LINKÖPING</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48962-2022</t>
        </is>
      </c>
      <c r="B436" s="1" t="n">
        <v>44860</v>
      </c>
      <c r="C436" s="1" t="n">
        <v>46196</v>
      </c>
      <c r="D436" t="inlineStr">
        <is>
          <t>ÖSTERGÖTLANDS LÄN</t>
        </is>
      </c>
      <c r="E436" t="inlineStr">
        <is>
          <t>LINKÖPING</t>
        </is>
      </c>
      <c r="G436" t="n">
        <v>2.9</v>
      </c>
      <c r="H436" t="n">
        <v>0</v>
      </c>
      <c r="I436" t="n">
        <v>0</v>
      </c>
      <c r="J436" t="n">
        <v>0</v>
      </c>
      <c r="K436" t="n">
        <v>0</v>
      </c>
      <c r="L436" t="n">
        <v>0</v>
      </c>
      <c r="M436" t="n">
        <v>0</v>
      </c>
      <c r="N436" t="n">
        <v>0</v>
      </c>
      <c r="O436" t="n">
        <v>0</v>
      </c>
      <c r="P436" t="n">
        <v>0</v>
      </c>
      <c r="Q436" t="n">
        <v>0</v>
      </c>
      <c r="R436" s="2" t="inlineStr"/>
    </row>
    <row r="437" ht="15" customHeight="1">
      <c r="A437" t="inlineStr">
        <is>
          <t>A 34641-2022</t>
        </is>
      </c>
      <c r="B437" s="1" t="n">
        <v>44795</v>
      </c>
      <c r="C437" s="1" t="n">
        <v>46196</v>
      </c>
      <c r="D437" t="inlineStr">
        <is>
          <t>ÖSTERGÖTLANDS LÄN</t>
        </is>
      </c>
      <c r="E437" t="inlineStr">
        <is>
          <t>LINKÖPING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938-2023</t>
        </is>
      </c>
      <c r="B438" s="1" t="n">
        <v>44933</v>
      </c>
      <c r="C438" s="1" t="n">
        <v>46196</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2389-2023</t>
        </is>
      </c>
      <c r="B439" s="1" t="n">
        <v>44942</v>
      </c>
      <c r="C439" s="1" t="n">
        <v>46196</v>
      </c>
      <c r="D439" t="inlineStr">
        <is>
          <t>ÖSTERGÖTLANDS LÄN</t>
        </is>
      </c>
      <c r="E439" t="inlineStr">
        <is>
          <t>LINKÖPING</t>
        </is>
      </c>
      <c r="G439" t="n">
        <v>3.3</v>
      </c>
      <c r="H439" t="n">
        <v>0</v>
      </c>
      <c r="I439" t="n">
        <v>0</v>
      </c>
      <c r="J439" t="n">
        <v>0</v>
      </c>
      <c r="K439" t="n">
        <v>0</v>
      </c>
      <c r="L439" t="n">
        <v>0</v>
      </c>
      <c r="M439" t="n">
        <v>0</v>
      </c>
      <c r="N439" t="n">
        <v>0</v>
      </c>
      <c r="O439" t="n">
        <v>0</v>
      </c>
      <c r="P439" t="n">
        <v>0</v>
      </c>
      <c r="Q439" t="n">
        <v>0</v>
      </c>
      <c r="R439" s="2" t="inlineStr"/>
    </row>
    <row r="440" ht="15" customHeight="1">
      <c r="A440" t="inlineStr">
        <is>
          <t>A 48-2024</t>
        </is>
      </c>
      <c r="B440" s="1" t="n">
        <v>45293</v>
      </c>
      <c r="C440" s="1" t="n">
        <v>46196</v>
      </c>
      <c r="D440" t="inlineStr">
        <is>
          <t>ÖSTERGÖTLANDS LÄN</t>
        </is>
      </c>
      <c r="E440" t="inlineStr">
        <is>
          <t>LINKÖPING</t>
        </is>
      </c>
      <c r="G440" t="n">
        <v>4.6</v>
      </c>
      <c r="H440" t="n">
        <v>0</v>
      </c>
      <c r="I440" t="n">
        <v>0</v>
      </c>
      <c r="J440" t="n">
        <v>0</v>
      </c>
      <c r="K440" t="n">
        <v>0</v>
      </c>
      <c r="L440" t="n">
        <v>0</v>
      </c>
      <c r="M440" t="n">
        <v>0</v>
      </c>
      <c r="N440" t="n">
        <v>0</v>
      </c>
      <c r="O440" t="n">
        <v>0</v>
      </c>
      <c r="P440" t="n">
        <v>0</v>
      </c>
      <c r="Q440" t="n">
        <v>0</v>
      </c>
      <c r="R440" s="2" t="inlineStr"/>
    </row>
    <row r="441" ht="15" customHeight="1">
      <c r="A441" t="inlineStr">
        <is>
          <t>A 45771-2023</t>
        </is>
      </c>
      <c r="B441" s="1" t="n">
        <v>45195</v>
      </c>
      <c r="C441" s="1" t="n">
        <v>46196</v>
      </c>
      <c r="D441" t="inlineStr">
        <is>
          <t>ÖSTERGÖTLANDS LÄN</t>
        </is>
      </c>
      <c r="E441" t="inlineStr">
        <is>
          <t>LINKÖPING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30547-2023</t>
        </is>
      </c>
      <c r="B442" s="1" t="n">
        <v>45111</v>
      </c>
      <c r="C442" s="1" t="n">
        <v>46196</v>
      </c>
      <c r="D442" t="inlineStr">
        <is>
          <t>ÖSTERGÖTLANDS LÄN</t>
        </is>
      </c>
      <c r="E442" t="inlineStr">
        <is>
          <t>LINKÖPING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40502-2024</t>
        </is>
      </c>
      <c r="B443" s="1" t="n">
        <v>45555</v>
      </c>
      <c r="C443" s="1" t="n">
        <v>46196</v>
      </c>
      <c r="D443" t="inlineStr">
        <is>
          <t>ÖSTERGÖTLANDS LÄN</t>
        </is>
      </c>
      <c r="E443" t="inlineStr">
        <is>
          <t>LINKÖPING</t>
        </is>
      </c>
      <c r="F443" t="inlineStr">
        <is>
          <t>Allmännings- och besparingsskogar</t>
        </is>
      </c>
      <c r="G443" t="n">
        <v>17.5</v>
      </c>
      <c r="H443" t="n">
        <v>0</v>
      </c>
      <c r="I443" t="n">
        <v>0</v>
      </c>
      <c r="J443" t="n">
        <v>0</v>
      </c>
      <c r="K443" t="n">
        <v>0</v>
      </c>
      <c r="L443" t="n">
        <v>0</v>
      </c>
      <c r="M443" t="n">
        <v>0</v>
      </c>
      <c r="N443" t="n">
        <v>0</v>
      </c>
      <c r="O443" t="n">
        <v>0</v>
      </c>
      <c r="P443" t="n">
        <v>0</v>
      </c>
      <c r="Q443" t="n">
        <v>0</v>
      </c>
      <c r="R443" s="2" t="inlineStr"/>
    </row>
    <row r="444" ht="15" customHeight="1">
      <c r="A444" t="inlineStr">
        <is>
          <t>A 24464-2023</t>
        </is>
      </c>
      <c r="B444" s="1" t="n">
        <v>45082</v>
      </c>
      <c r="C444" s="1" t="n">
        <v>46196</v>
      </c>
      <c r="D444" t="inlineStr">
        <is>
          <t>ÖSTERGÖTLANDS LÄN</t>
        </is>
      </c>
      <c r="E444" t="inlineStr">
        <is>
          <t>LINKÖPING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24467-2023</t>
        </is>
      </c>
      <c r="B445" s="1" t="n">
        <v>45082</v>
      </c>
      <c r="C445" s="1" t="n">
        <v>46196</v>
      </c>
      <c r="D445" t="inlineStr">
        <is>
          <t>ÖSTERGÖTLANDS LÄN</t>
        </is>
      </c>
      <c r="E445" t="inlineStr">
        <is>
          <t>LINKÖPING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48389-2024</t>
        </is>
      </c>
      <c r="B446" s="1" t="n">
        <v>45590</v>
      </c>
      <c r="C446" s="1" t="n">
        <v>46196</v>
      </c>
      <c r="D446" t="inlineStr">
        <is>
          <t>ÖSTERGÖTLANDS LÄN</t>
        </is>
      </c>
      <c r="E446" t="inlineStr">
        <is>
          <t>LINKÖPING</t>
        </is>
      </c>
      <c r="G446" t="n">
        <v>2.6</v>
      </c>
      <c r="H446" t="n">
        <v>0</v>
      </c>
      <c r="I446" t="n">
        <v>0</v>
      </c>
      <c r="J446" t="n">
        <v>0</v>
      </c>
      <c r="K446" t="n">
        <v>0</v>
      </c>
      <c r="L446" t="n">
        <v>0</v>
      </c>
      <c r="M446" t="n">
        <v>0</v>
      </c>
      <c r="N446" t="n">
        <v>0</v>
      </c>
      <c r="O446" t="n">
        <v>0</v>
      </c>
      <c r="P446" t="n">
        <v>0</v>
      </c>
      <c r="Q446" t="n">
        <v>0</v>
      </c>
      <c r="R446" s="2" t="inlineStr"/>
    </row>
    <row r="447" ht="15" customHeight="1">
      <c r="A447" t="inlineStr">
        <is>
          <t>A 56792-2023</t>
        </is>
      </c>
      <c r="B447" s="1" t="n">
        <v>45244</v>
      </c>
      <c r="C447" s="1" t="n">
        <v>46196</v>
      </c>
      <c r="D447" t="inlineStr">
        <is>
          <t>ÖSTERGÖTLANDS LÄN</t>
        </is>
      </c>
      <c r="E447" t="inlineStr">
        <is>
          <t>LINKÖPING</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39017-2021</t>
        </is>
      </c>
      <c r="B448" s="1" t="n">
        <v>44412</v>
      </c>
      <c r="C448" s="1" t="n">
        <v>46196</v>
      </c>
      <c r="D448" t="inlineStr">
        <is>
          <t>ÖSTERGÖTLANDS LÄN</t>
        </is>
      </c>
      <c r="E448" t="inlineStr">
        <is>
          <t>LINKÖPING</t>
        </is>
      </c>
      <c r="F448" t="inlineStr">
        <is>
          <t>Övriga statliga verk och myndigheter</t>
        </is>
      </c>
      <c r="G448" t="n">
        <v>0.8</v>
      </c>
      <c r="H448" t="n">
        <v>0</v>
      </c>
      <c r="I448" t="n">
        <v>0</v>
      </c>
      <c r="J448" t="n">
        <v>0</v>
      </c>
      <c r="K448" t="n">
        <v>0</v>
      </c>
      <c r="L448" t="n">
        <v>0</v>
      </c>
      <c r="M448" t="n">
        <v>0</v>
      </c>
      <c r="N448" t="n">
        <v>0</v>
      </c>
      <c r="O448" t="n">
        <v>0</v>
      </c>
      <c r="P448" t="n">
        <v>0</v>
      </c>
      <c r="Q448" t="n">
        <v>0</v>
      </c>
      <c r="R448" s="2" t="inlineStr"/>
    </row>
    <row r="449" ht="15" customHeight="1">
      <c r="A449" t="inlineStr">
        <is>
          <t>A 1260-2023</t>
        </is>
      </c>
      <c r="B449" s="1" t="n">
        <v>44936</v>
      </c>
      <c r="C449" s="1" t="n">
        <v>46196</v>
      </c>
      <c r="D449" t="inlineStr">
        <is>
          <t>ÖSTERGÖTLANDS LÄN</t>
        </is>
      </c>
      <c r="E449" t="inlineStr">
        <is>
          <t>LINKÖPING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1355-2023</t>
        </is>
      </c>
      <c r="B450" s="1" t="n">
        <v>44931</v>
      </c>
      <c r="C450" s="1" t="n">
        <v>46196</v>
      </c>
      <c r="D450" t="inlineStr">
        <is>
          <t>ÖSTERGÖTLANDS LÄN</t>
        </is>
      </c>
      <c r="E450" t="inlineStr">
        <is>
          <t>LINKÖPING</t>
        </is>
      </c>
      <c r="G450" t="n">
        <v>4</v>
      </c>
      <c r="H450" t="n">
        <v>0</v>
      </c>
      <c r="I450" t="n">
        <v>0</v>
      </c>
      <c r="J450" t="n">
        <v>0</v>
      </c>
      <c r="K450" t="n">
        <v>0</v>
      </c>
      <c r="L450" t="n">
        <v>0</v>
      </c>
      <c r="M450" t="n">
        <v>0</v>
      </c>
      <c r="N450" t="n">
        <v>0</v>
      </c>
      <c r="O450" t="n">
        <v>0</v>
      </c>
      <c r="P450" t="n">
        <v>0</v>
      </c>
      <c r="Q450" t="n">
        <v>0</v>
      </c>
      <c r="R450" s="2" t="inlineStr"/>
    </row>
    <row r="451" ht="15" customHeight="1">
      <c r="A451" t="inlineStr">
        <is>
          <t>A 3007-2025</t>
        </is>
      </c>
      <c r="B451" s="1" t="n">
        <v>45678</v>
      </c>
      <c r="C451" s="1" t="n">
        <v>46196</v>
      </c>
      <c r="D451" t="inlineStr">
        <is>
          <t>ÖSTERGÖTLANDS LÄN</t>
        </is>
      </c>
      <c r="E451" t="inlineStr">
        <is>
          <t>LINKÖPING</t>
        </is>
      </c>
      <c r="G451" t="n">
        <v>3.1</v>
      </c>
      <c r="H451" t="n">
        <v>0</v>
      </c>
      <c r="I451" t="n">
        <v>0</v>
      </c>
      <c r="J451" t="n">
        <v>0</v>
      </c>
      <c r="K451" t="n">
        <v>0</v>
      </c>
      <c r="L451" t="n">
        <v>0</v>
      </c>
      <c r="M451" t="n">
        <v>0</v>
      </c>
      <c r="N451" t="n">
        <v>0</v>
      </c>
      <c r="O451" t="n">
        <v>0</v>
      </c>
      <c r="P451" t="n">
        <v>0</v>
      </c>
      <c r="Q451" t="n">
        <v>0</v>
      </c>
      <c r="R451" s="2" t="inlineStr"/>
    </row>
    <row r="452" ht="15" customHeight="1">
      <c r="A452" t="inlineStr">
        <is>
          <t>A 10492-2022</t>
        </is>
      </c>
      <c r="B452" s="1" t="n">
        <v>44623</v>
      </c>
      <c r="C452" s="1" t="n">
        <v>46196</v>
      </c>
      <c r="D452" t="inlineStr">
        <is>
          <t>ÖSTERGÖTLANDS LÄN</t>
        </is>
      </c>
      <c r="E452" t="inlineStr">
        <is>
          <t>LINKÖPING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30465-2023</t>
        </is>
      </c>
      <c r="B453" s="1" t="n">
        <v>45111</v>
      </c>
      <c r="C453" s="1" t="n">
        <v>46196</v>
      </c>
      <c r="D453" t="inlineStr">
        <is>
          <t>ÖSTERGÖTLANDS LÄN</t>
        </is>
      </c>
      <c r="E453" t="inlineStr">
        <is>
          <t>LINKÖPING</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39021-2021</t>
        </is>
      </c>
      <c r="B454" s="1" t="n">
        <v>44412</v>
      </c>
      <c r="C454" s="1" t="n">
        <v>46196</v>
      </c>
      <c r="D454" t="inlineStr">
        <is>
          <t>ÖSTERGÖTLANDS LÄN</t>
        </is>
      </c>
      <c r="E454" t="inlineStr">
        <is>
          <t>LINKÖPING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62353-2022</t>
        </is>
      </c>
      <c r="B455" s="1" t="n">
        <v>44923</v>
      </c>
      <c r="C455" s="1" t="n">
        <v>46196</v>
      </c>
      <c r="D455" t="inlineStr">
        <is>
          <t>ÖSTERGÖTLANDS LÄN</t>
        </is>
      </c>
      <c r="E455" t="inlineStr">
        <is>
          <t>LINKÖPING</t>
        </is>
      </c>
      <c r="F455" t="inlineStr">
        <is>
          <t>Allmännings- och besparingsskogar</t>
        </is>
      </c>
      <c r="G455" t="n">
        <v>1.7</v>
      </c>
      <c r="H455" t="n">
        <v>0</v>
      </c>
      <c r="I455" t="n">
        <v>0</v>
      </c>
      <c r="J455" t="n">
        <v>0</v>
      </c>
      <c r="K455" t="n">
        <v>0</v>
      </c>
      <c r="L455" t="n">
        <v>0</v>
      </c>
      <c r="M455" t="n">
        <v>0</v>
      </c>
      <c r="N455" t="n">
        <v>0</v>
      </c>
      <c r="O455" t="n">
        <v>0</v>
      </c>
      <c r="P455" t="n">
        <v>0</v>
      </c>
      <c r="Q455" t="n">
        <v>0</v>
      </c>
      <c r="R455" s="2" t="inlineStr"/>
    </row>
    <row r="456" ht="15" customHeight="1">
      <c r="A456" t="inlineStr">
        <is>
          <t>A 30111-2024</t>
        </is>
      </c>
      <c r="B456" s="1" t="n">
        <v>45489</v>
      </c>
      <c r="C456" s="1" t="n">
        <v>46196</v>
      </c>
      <c r="D456" t="inlineStr">
        <is>
          <t>ÖSTERGÖTLANDS LÄN</t>
        </is>
      </c>
      <c r="E456" t="inlineStr">
        <is>
          <t>LINKÖPING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30119-2024</t>
        </is>
      </c>
      <c r="B457" s="1" t="n">
        <v>45489</v>
      </c>
      <c r="C457" s="1" t="n">
        <v>46196</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29411-2023</t>
        </is>
      </c>
      <c r="B458" s="1" t="n">
        <v>45106</v>
      </c>
      <c r="C458" s="1" t="n">
        <v>46196</v>
      </c>
      <c r="D458" t="inlineStr">
        <is>
          <t>ÖSTERGÖTLANDS LÄN</t>
        </is>
      </c>
      <c r="E458" t="inlineStr">
        <is>
          <t>LINKÖPING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29412-2023</t>
        </is>
      </c>
      <c r="B459" s="1" t="n">
        <v>45106</v>
      </c>
      <c r="C459" s="1" t="n">
        <v>46196</v>
      </c>
      <c r="D459" t="inlineStr">
        <is>
          <t>ÖSTERGÖTLANDS LÄN</t>
        </is>
      </c>
      <c r="E459" t="inlineStr">
        <is>
          <t>LINKÖPING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421-2024</t>
        </is>
      </c>
      <c r="B460" s="1" t="n">
        <v>45296</v>
      </c>
      <c r="C460" s="1" t="n">
        <v>46196</v>
      </c>
      <c r="D460" t="inlineStr">
        <is>
          <t>ÖSTERGÖTLANDS LÄN</t>
        </is>
      </c>
      <c r="E460" t="inlineStr">
        <is>
          <t>LINKÖPING</t>
        </is>
      </c>
      <c r="G460" t="n">
        <v>3.7</v>
      </c>
      <c r="H460" t="n">
        <v>0</v>
      </c>
      <c r="I460" t="n">
        <v>0</v>
      </c>
      <c r="J460" t="n">
        <v>0</v>
      </c>
      <c r="K460" t="n">
        <v>0</v>
      </c>
      <c r="L460" t="n">
        <v>0</v>
      </c>
      <c r="M460" t="n">
        <v>0</v>
      </c>
      <c r="N460" t="n">
        <v>0</v>
      </c>
      <c r="O460" t="n">
        <v>0</v>
      </c>
      <c r="P460" t="n">
        <v>0</v>
      </c>
      <c r="Q460" t="n">
        <v>0</v>
      </c>
      <c r="R460" s="2" t="inlineStr"/>
    </row>
    <row r="461" ht="15" customHeight="1">
      <c r="A461" t="inlineStr">
        <is>
          <t>A 22043-2023</t>
        </is>
      </c>
      <c r="B461" s="1" t="n">
        <v>45069</v>
      </c>
      <c r="C461" s="1" t="n">
        <v>46196</v>
      </c>
      <c r="D461" t="inlineStr">
        <is>
          <t>ÖSTERGÖTLANDS LÄN</t>
        </is>
      </c>
      <c r="E461" t="inlineStr">
        <is>
          <t>LINKÖPING</t>
        </is>
      </c>
      <c r="G461" t="n">
        <v>5.9</v>
      </c>
      <c r="H461" t="n">
        <v>0</v>
      </c>
      <c r="I461" t="n">
        <v>0</v>
      </c>
      <c r="J461" t="n">
        <v>0</v>
      </c>
      <c r="K461" t="n">
        <v>0</v>
      </c>
      <c r="L461" t="n">
        <v>0</v>
      </c>
      <c r="M461" t="n">
        <v>0</v>
      </c>
      <c r="N461" t="n">
        <v>0</v>
      </c>
      <c r="O461" t="n">
        <v>0</v>
      </c>
      <c r="P461" t="n">
        <v>0</v>
      </c>
      <c r="Q461" t="n">
        <v>0</v>
      </c>
      <c r="R461" s="2" t="inlineStr"/>
    </row>
    <row r="462" ht="15" customHeight="1">
      <c r="A462" t="inlineStr">
        <is>
          <t>A 61532-2021</t>
        </is>
      </c>
      <c r="B462" s="1" t="n">
        <v>44501</v>
      </c>
      <c r="C462" s="1" t="n">
        <v>46196</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14028-2024</t>
        </is>
      </c>
      <c r="B463" s="1" t="n">
        <v>45392</v>
      </c>
      <c r="C463" s="1" t="n">
        <v>46196</v>
      </c>
      <c r="D463" t="inlineStr">
        <is>
          <t>ÖSTERGÖTLANDS LÄN</t>
        </is>
      </c>
      <c r="E463" t="inlineStr">
        <is>
          <t>LINKÖPING</t>
        </is>
      </c>
      <c r="G463" t="n">
        <v>1.7</v>
      </c>
      <c r="H463" t="n">
        <v>0</v>
      </c>
      <c r="I463" t="n">
        <v>0</v>
      </c>
      <c r="J463" t="n">
        <v>0</v>
      </c>
      <c r="K463" t="n">
        <v>0</v>
      </c>
      <c r="L463" t="n">
        <v>0</v>
      </c>
      <c r="M463" t="n">
        <v>0</v>
      </c>
      <c r="N463" t="n">
        <v>0</v>
      </c>
      <c r="O463" t="n">
        <v>0</v>
      </c>
      <c r="P463" t="n">
        <v>0</v>
      </c>
      <c r="Q463" t="n">
        <v>0</v>
      </c>
      <c r="R463" s="2" t="inlineStr"/>
    </row>
    <row r="464" ht="15" customHeight="1">
      <c r="A464" t="inlineStr">
        <is>
          <t>A 40431-2024</t>
        </is>
      </c>
      <c r="B464" s="1" t="n">
        <v>45555</v>
      </c>
      <c r="C464" s="1" t="n">
        <v>46196</v>
      </c>
      <c r="D464" t="inlineStr">
        <is>
          <t>ÖSTERGÖTLANDS LÄN</t>
        </is>
      </c>
      <c r="E464" t="inlineStr">
        <is>
          <t>LINKÖPING</t>
        </is>
      </c>
      <c r="F464" t="inlineStr">
        <is>
          <t>Allmännings- och besparingsskogar</t>
        </is>
      </c>
      <c r="G464" t="n">
        <v>2.9</v>
      </c>
      <c r="H464" t="n">
        <v>0</v>
      </c>
      <c r="I464" t="n">
        <v>0</v>
      </c>
      <c r="J464" t="n">
        <v>0</v>
      </c>
      <c r="K464" t="n">
        <v>0</v>
      </c>
      <c r="L464" t="n">
        <v>0</v>
      </c>
      <c r="M464" t="n">
        <v>0</v>
      </c>
      <c r="N464" t="n">
        <v>0</v>
      </c>
      <c r="O464" t="n">
        <v>0</v>
      </c>
      <c r="P464" t="n">
        <v>0</v>
      </c>
      <c r="Q464" t="n">
        <v>0</v>
      </c>
      <c r="R464" s="2" t="inlineStr"/>
    </row>
    <row r="465" ht="15" customHeight="1">
      <c r="A465" t="inlineStr">
        <is>
          <t>A 60860-2024</t>
        </is>
      </c>
      <c r="B465" s="1" t="n">
        <v>45644</v>
      </c>
      <c r="C465" s="1" t="n">
        <v>46196</v>
      </c>
      <c r="D465" t="inlineStr">
        <is>
          <t>ÖSTERGÖTLANDS LÄN</t>
        </is>
      </c>
      <c r="E465" t="inlineStr">
        <is>
          <t>LINKÖPING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2697-2023</t>
        </is>
      </c>
      <c r="B466" s="1" t="n">
        <v>44944</v>
      </c>
      <c r="C466" s="1" t="n">
        <v>46196</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60985-2023</t>
        </is>
      </c>
      <c r="B467" s="1" t="n">
        <v>45261</v>
      </c>
      <c r="C467" s="1" t="n">
        <v>46196</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55009-2023</t>
        </is>
      </c>
      <c r="B468" s="1" t="n">
        <v>45237</v>
      </c>
      <c r="C468" s="1" t="n">
        <v>46196</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34872-2023</t>
        </is>
      </c>
      <c r="B469" s="1" t="n">
        <v>45140</v>
      </c>
      <c r="C469" s="1" t="n">
        <v>46196</v>
      </c>
      <c r="D469" t="inlineStr">
        <is>
          <t>ÖSTERGÖTLANDS LÄN</t>
        </is>
      </c>
      <c r="E469" t="inlineStr">
        <is>
          <t>LINKÖPING</t>
        </is>
      </c>
      <c r="G469" t="n">
        <v>4.8</v>
      </c>
      <c r="H469" t="n">
        <v>0</v>
      </c>
      <c r="I469" t="n">
        <v>0</v>
      </c>
      <c r="J469" t="n">
        <v>0</v>
      </c>
      <c r="K469" t="n">
        <v>0</v>
      </c>
      <c r="L469" t="n">
        <v>0</v>
      </c>
      <c r="M469" t="n">
        <v>0</v>
      </c>
      <c r="N469" t="n">
        <v>0</v>
      </c>
      <c r="O469" t="n">
        <v>0</v>
      </c>
      <c r="P469" t="n">
        <v>0</v>
      </c>
      <c r="Q469" t="n">
        <v>0</v>
      </c>
      <c r="R469" s="2" t="inlineStr"/>
    </row>
    <row r="470" ht="15" customHeight="1">
      <c r="A470" t="inlineStr">
        <is>
          <t>A 36336-2022</t>
        </is>
      </c>
      <c r="B470" s="1" t="n">
        <v>44803</v>
      </c>
      <c r="C470" s="1" t="n">
        <v>46196</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25097-2023</t>
        </is>
      </c>
      <c r="B471" s="1" t="n">
        <v>45086</v>
      </c>
      <c r="C471" s="1" t="n">
        <v>46196</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10461-2023</t>
        </is>
      </c>
      <c r="B472" s="1" t="n">
        <v>44987</v>
      </c>
      <c r="C472" s="1" t="n">
        <v>46196</v>
      </c>
      <c r="D472" t="inlineStr">
        <is>
          <t>ÖSTERGÖTLANDS LÄN</t>
        </is>
      </c>
      <c r="E472" t="inlineStr">
        <is>
          <t>LINKÖPING</t>
        </is>
      </c>
      <c r="G472" t="n">
        <v>7.8</v>
      </c>
      <c r="H472" t="n">
        <v>0</v>
      </c>
      <c r="I472" t="n">
        <v>0</v>
      </c>
      <c r="J472" t="n">
        <v>0</v>
      </c>
      <c r="K472" t="n">
        <v>0</v>
      </c>
      <c r="L472" t="n">
        <v>0</v>
      </c>
      <c r="M472" t="n">
        <v>0</v>
      </c>
      <c r="N472" t="n">
        <v>0</v>
      </c>
      <c r="O472" t="n">
        <v>0</v>
      </c>
      <c r="P472" t="n">
        <v>0</v>
      </c>
      <c r="Q472" t="n">
        <v>0</v>
      </c>
      <c r="R472" s="2" t="inlineStr"/>
    </row>
    <row r="473" ht="15" customHeight="1">
      <c r="A473" t="inlineStr">
        <is>
          <t>A 50386-2021</t>
        </is>
      </c>
      <c r="B473" s="1" t="n">
        <v>44459</v>
      </c>
      <c r="C473" s="1" t="n">
        <v>46196</v>
      </c>
      <c r="D473" t="inlineStr">
        <is>
          <t>ÖSTERGÖTLANDS LÄN</t>
        </is>
      </c>
      <c r="E473" t="inlineStr">
        <is>
          <t>LINKÖPING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350-2022</t>
        </is>
      </c>
      <c r="B474" s="1" t="n">
        <v>44565</v>
      </c>
      <c r="C474" s="1" t="n">
        <v>46196</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18891-2022</t>
        </is>
      </c>
      <c r="B475" s="1" t="n">
        <v>44690</v>
      </c>
      <c r="C475" s="1" t="n">
        <v>46196</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30976-2022</t>
        </is>
      </c>
      <c r="B476" s="1" t="n">
        <v>44768</v>
      </c>
      <c r="C476" s="1" t="n">
        <v>46196</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55736-2022</t>
        </is>
      </c>
      <c r="B477" s="1" t="n">
        <v>44888</v>
      </c>
      <c r="C477" s="1" t="n">
        <v>46196</v>
      </c>
      <c r="D477" t="inlineStr">
        <is>
          <t>ÖSTERGÖTLANDS LÄN</t>
        </is>
      </c>
      <c r="E477" t="inlineStr">
        <is>
          <t>LINKÖPING</t>
        </is>
      </c>
      <c r="G477" t="n">
        <v>5.5</v>
      </c>
      <c r="H477" t="n">
        <v>0</v>
      </c>
      <c r="I477" t="n">
        <v>0</v>
      </c>
      <c r="J477" t="n">
        <v>0</v>
      </c>
      <c r="K477" t="n">
        <v>0</v>
      </c>
      <c r="L477" t="n">
        <v>0</v>
      </c>
      <c r="M477" t="n">
        <v>0</v>
      </c>
      <c r="N477" t="n">
        <v>0</v>
      </c>
      <c r="O477" t="n">
        <v>0</v>
      </c>
      <c r="P477" t="n">
        <v>0</v>
      </c>
      <c r="Q477" t="n">
        <v>0</v>
      </c>
      <c r="R477" s="2" t="inlineStr"/>
    </row>
    <row r="478" ht="15" customHeight="1">
      <c r="A478" t="inlineStr">
        <is>
          <t>A 10194-2023</t>
        </is>
      </c>
      <c r="B478" s="1" t="n">
        <v>44986</v>
      </c>
      <c r="C478" s="1" t="n">
        <v>46196</v>
      </c>
      <c r="D478" t="inlineStr">
        <is>
          <t>ÖSTERGÖTLANDS LÄN</t>
        </is>
      </c>
      <c r="E478" t="inlineStr">
        <is>
          <t>LINKÖPING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7702-2023</t>
        </is>
      </c>
      <c r="B479" s="1" t="n">
        <v>44967</v>
      </c>
      <c r="C479" s="1" t="n">
        <v>46196</v>
      </c>
      <c r="D479" t="inlineStr">
        <is>
          <t>ÖSTERGÖTLANDS LÄN</t>
        </is>
      </c>
      <c r="E479" t="inlineStr">
        <is>
          <t>LINKÖPING</t>
        </is>
      </c>
      <c r="F479" t="inlineStr">
        <is>
          <t>Övriga statliga verk och myndigheter</t>
        </is>
      </c>
      <c r="G479" t="n">
        <v>8</v>
      </c>
      <c r="H479" t="n">
        <v>0</v>
      </c>
      <c r="I479" t="n">
        <v>0</v>
      </c>
      <c r="J479" t="n">
        <v>0</v>
      </c>
      <c r="K479" t="n">
        <v>0</v>
      </c>
      <c r="L479" t="n">
        <v>0</v>
      </c>
      <c r="M479" t="n">
        <v>0</v>
      </c>
      <c r="N479" t="n">
        <v>0</v>
      </c>
      <c r="O479" t="n">
        <v>0</v>
      </c>
      <c r="P479" t="n">
        <v>0</v>
      </c>
      <c r="Q479" t="n">
        <v>0</v>
      </c>
      <c r="R479" s="2" t="inlineStr"/>
    </row>
    <row r="480" ht="15" customHeight="1">
      <c r="A480" t="inlineStr">
        <is>
          <t>A 42000-2023</t>
        </is>
      </c>
      <c r="B480" s="1" t="n">
        <v>45177</v>
      </c>
      <c r="C480" s="1" t="n">
        <v>46196</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31534-2023</t>
        </is>
      </c>
      <c r="B481" s="1" t="n">
        <v>45116</v>
      </c>
      <c r="C481" s="1" t="n">
        <v>46196</v>
      </c>
      <c r="D481" t="inlineStr">
        <is>
          <t>ÖSTERGÖTLANDS LÄN</t>
        </is>
      </c>
      <c r="E481" t="inlineStr">
        <is>
          <t>LINKÖPING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35427-2023</t>
        </is>
      </c>
      <c r="B482" s="1" t="n">
        <v>45146</v>
      </c>
      <c r="C482" s="1" t="n">
        <v>46196</v>
      </c>
      <c r="D482" t="inlineStr">
        <is>
          <t>ÖSTERGÖTLANDS LÄN</t>
        </is>
      </c>
      <c r="E482" t="inlineStr">
        <is>
          <t>LINKÖPING</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36725-2023</t>
        </is>
      </c>
      <c r="B483" s="1" t="n">
        <v>45153</v>
      </c>
      <c r="C483" s="1" t="n">
        <v>46196</v>
      </c>
      <c r="D483" t="inlineStr">
        <is>
          <t>ÖSTERGÖTLANDS LÄN</t>
        </is>
      </c>
      <c r="E483" t="inlineStr">
        <is>
          <t>LINKÖPING</t>
        </is>
      </c>
      <c r="F483" t="inlineStr">
        <is>
          <t>Allmännings- och besparingsskogar</t>
        </is>
      </c>
      <c r="G483" t="n">
        <v>2.6</v>
      </c>
      <c r="H483" t="n">
        <v>0</v>
      </c>
      <c r="I483" t="n">
        <v>0</v>
      </c>
      <c r="J483" t="n">
        <v>0</v>
      </c>
      <c r="K483" t="n">
        <v>0</v>
      </c>
      <c r="L483" t="n">
        <v>0</v>
      </c>
      <c r="M483" t="n">
        <v>0</v>
      </c>
      <c r="N483" t="n">
        <v>0</v>
      </c>
      <c r="O483" t="n">
        <v>0</v>
      </c>
      <c r="P483" t="n">
        <v>0</v>
      </c>
      <c r="Q483" t="n">
        <v>0</v>
      </c>
      <c r="R483" s="2" t="inlineStr"/>
    </row>
    <row r="484" ht="15" customHeight="1">
      <c r="A484" t="inlineStr">
        <is>
          <t>A 53639-2023</t>
        </is>
      </c>
      <c r="B484" s="1" t="n">
        <v>45230</v>
      </c>
      <c r="C484" s="1" t="n">
        <v>46196</v>
      </c>
      <c r="D484" t="inlineStr">
        <is>
          <t>ÖSTERGÖTLANDS LÄN</t>
        </is>
      </c>
      <c r="E484" t="inlineStr">
        <is>
          <t>LINKÖPING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1657-2024</t>
        </is>
      </c>
      <c r="B485" s="1" t="n">
        <v>45306</v>
      </c>
      <c r="C485" s="1" t="n">
        <v>46196</v>
      </c>
      <c r="D485" t="inlineStr">
        <is>
          <t>ÖSTERGÖTLANDS LÄN</t>
        </is>
      </c>
      <c r="E485" t="inlineStr">
        <is>
          <t>LINKÖPING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50784-2022</t>
        </is>
      </c>
      <c r="B486" s="1" t="n">
        <v>44862</v>
      </c>
      <c r="C486" s="1" t="n">
        <v>46196</v>
      </c>
      <c r="D486" t="inlineStr">
        <is>
          <t>ÖSTERGÖTLANDS LÄN</t>
        </is>
      </c>
      <c r="E486" t="inlineStr">
        <is>
          <t>LINKÖPING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26803-2024</t>
        </is>
      </c>
      <c r="B487" s="1" t="n">
        <v>45470</v>
      </c>
      <c r="C487" s="1" t="n">
        <v>46196</v>
      </c>
      <c r="D487" t="inlineStr">
        <is>
          <t>ÖSTERGÖTLANDS LÄN</t>
        </is>
      </c>
      <c r="E487" t="inlineStr">
        <is>
          <t>LINKÖPING</t>
        </is>
      </c>
      <c r="F487" t="inlineStr">
        <is>
          <t>Allmännings- och besparingsskogar</t>
        </is>
      </c>
      <c r="G487" t="n">
        <v>4.5</v>
      </c>
      <c r="H487" t="n">
        <v>0</v>
      </c>
      <c r="I487" t="n">
        <v>0</v>
      </c>
      <c r="J487" t="n">
        <v>0</v>
      </c>
      <c r="K487" t="n">
        <v>0</v>
      </c>
      <c r="L487" t="n">
        <v>0</v>
      </c>
      <c r="M487" t="n">
        <v>0</v>
      </c>
      <c r="N487" t="n">
        <v>0</v>
      </c>
      <c r="O487" t="n">
        <v>0</v>
      </c>
      <c r="P487" t="n">
        <v>0</v>
      </c>
      <c r="Q487" t="n">
        <v>0</v>
      </c>
      <c r="R487" s="2" t="inlineStr"/>
    </row>
    <row r="488" ht="15" customHeight="1">
      <c r="A488" t="inlineStr">
        <is>
          <t>A 60472-2022</t>
        </is>
      </c>
      <c r="B488" s="1" t="n">
        <v>44911</v>
      </c>
      <c r="C488" s="1" t="n">
        <v>46196</v>
      </c>
      <c r="D488" t="inlineStr">
        <is>
          <t>ÖSTERGÖTLANDS LÄN</t>
        </is>
      </c>
      <c r="E488" t="inlineStr">
        <is>
          <t>LINKÖPING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43934-2023</t>
        </is>
      </c>
      <c r="B489" s="1" t="n">
        <v>45187</v>
      </c>
      <c r="C489" s="1" t="n">
        <v>46196</v>
      </c>
      <c r="D489" t="inlineStr">
        <is>
          <t>ÖSTERGÖTLANDS LÄN</t>
        </is>
      </c>
      <c r="E489" t="inlineStr">
        <is>
          <t>LINKÖPING</t>
        </is>
      </c>
      <c r="F489" t="inlineStr">
        <is>
          <t>Övriga Aktiebolag</t>
        </is>
      </c>
      <c r="G489" t="n">
        <v>3.8</v>
      </c>
      <c r="H489" t="n">
        <v>0</v>
      </c>
      <c r="I489" t="n">
        <v>0</v>
      </c>
      <c r="J489" t="n">
        <v>0</v>
      </c>
      <c r="K489" t="n">
        <v>0</v>
      </c>
      <c r="L489" t="n">
        <v>0</v>
      </c>
      <c r="M489" t="n">
        <v>0</v>
      </c>
      <c r="N489" t="n">
        <v>0</v>
      </c>
      <c r="O489" t="n">
        <v>0</v>
      </c>
      <c r="P489" t="n">
        <v>0</v>
      </c>
      <c r="Q489" t="n">
        <v>0</v>
      </c>
      <c r="R489" s="2" t="inlineStr"/>
    </row>
    <row r="490" ht="15" customHeight="1">
      <c r="A490" t="inlineStr">
        <is>
          <t>A 1209-2023</t>
        </is>
      </c>
      <c r="B490" s="1" t="n">
        <v>44930</v>
      </c>
      <c r="C490" s="1" t="n">
        <v>46196</v>
      </c>
      <c r="D490" t="inlineStr">
        <is>
          <t>ÖSTERGÖTLANDS LÄN</t>
        </is>
      </c>
      <c r="E490" t="inlineStr">
        <is>
          <t>LINKÖPING</t>
        </is>
      </c>
      <c r="F490" t="inlineStr">
        <is>
          <t>Övriga statliga verk och myndigheter</t>
        </is>
      </c>
      <c r="G490" t="n">
        <v>25.8</v>
      </c>
      <c r="H490" t="n">
        <v>0</v>
      </c>
      <c r="I490" t="n">
        <v>0</v>
      </c>
      <c r="J490" t="n">
        <v>0</v>
      </c>
      <c r="K490" t="n">
        <v>0</v>
      </c>
      <c r="L490" t="n">
        <v>0</v>
      </c>
      <c r="M490" t="n">
        <v>0</v>
      </c>
      <c r="N490" t="n">
        <v>0</v>
      </c>
      <c r="O490" t="n">
        <v>0</v>
      </c>
      <c r="P490" t="n">
        <v>0</v>
      </c>
      <c r="Q490" t="n">
        <v>0</v>
      </c>
      <c r="R490" s="2" t="inlineStr"/>
    </row>
    <row r="491" ht="15" customHeight="1">
      <c r="A491" t="inlineStr">
        <is>
          <t>A 10407-2025</t>
        </is>
      </c>
      <c r="B491" s="1" t="n">
        <v>45720</v>
      </c>
      <c r="C491" s="1" t="n">
        <v>46196</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11590-2023</t>
        </is>
      </c>
      <c r="B492" s="1" t="n">
        <v>44994</v>
      </c>
      <c r="C492" s="1" t="n">
        <v>46196</v>
      </c>
      <c r="D492" t="inlineStr">
        <is>
          <t>ÖSTERGÖTLANDS LÄN</t>
        </is>
      </c>
      <c r="E492" t="inlineStr">
        <is>
          <t>LINKÖPING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19169-2023</t>
        </is>
      </c>
      <c r="B493" s="1" t="n">
        <v>45044</v>
      </c>
      <c r="C493" s="1" t="n">
        <v>46196</v>
      </c>
      <c r="D493" t="inlineStr">
        <is>
          <t>ÖSTERGÖTLANDS LÄN</t>
        </is>
      </c>
      <c r="E493" t="inlineStr">
        <is>
          <t>LINKÖPING</t>
        </is>
      </c>
      <c r="G493" t="n">
        <v>2.7</v>
      </c>
      <c r="H493" t="n">
        <v>0</v>
      </c>
      <c r="I493" t="n">
        <v>0</v>
      </c>
      <c r="J493" t="n">
        <v>0</v>
      </c>
      <c r="K493" t="n">
        <v>0</v>
      </c>
      <c r="L493" t="n">
        <v>0</v>
      </c>
      <c r="M493" t="n">
        <v>0</v>
      </c>
      <c r="N493" t="n">
        <v>0</v>
      </c>
      <c r="O493" t="n">
        <v>0</v>
      </c>
      <c r="P493" t="n">
        <v>0</v>
      </c>
      <c r="Q493" t="n">
        <v>0</v>
      </c>
      <c r="R493" s="2" t="inlineStr"/>
    </row>
    <row r="494" ht="15" customHeight="1">
      <c r="A494" t="inlineStr">
        <is>
          <t>A 672-2024</t>
        </is>
      </c>
      <c r="B494" s="1" t="n">
        <v>45300</v>
      </c>
      <c r="C494" s="1" t="n">
        <v>46196</v>
      </c>
      <c r="D494" t="inlineStr">
        <is>
          <t>ÖSTERGÖTLANDS LÄN</t>
        </is>
      </c>
      <c r="E494" t="inlineStr">
        <is>
          <t>LINKÖPING</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55493-2021</t>
        </is>
      </c>
      <c r="B495" s="1" t="n">
        <v>44475</v>
      </c>
      <c r="C495" s="1" t="n">
        <v>46196</v>
      </c>
      <c r="D495" t="inlineStr">
        <is>
          <t>ÖSTERGÖTLANDS LÄN</t>
        </is>
      </c>
      <c r="E495" t="inlineStr">
        <is>
          <t>LINKÖPING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14093-2024</t>
        </is>
      </c>
      <c r="B496" s="1" t="n">
        <v>45392</v>
      </c>
      <c r="C496" s="1" t="n">
        <v>46196</v>
      </c>
      <c r="D496" t="inlineStr">
        <is>
          <t>ÖSTERGÖTLANDS LÄN</t>
        </is>
      </c>
      <c r="E496" t="inlineStr">
        <is>
          <t>LINKÖPING</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62019-2024</t>
        </is>
      </c>
      <c r="B497" s="1" t="n">
        <v>45655</v>
      </c>
      <c r="C497" s="1" t="n">
        <v>46196</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25119-2023</t>
        </is>
      </c>
      <c r="B498" s="1" t="n">
        <v>45086</v>
      </c>
      <c r="C498" s="1" t="n">
        <v>46196</v>
      </c>
      <c r="D498" t="inlineStr">
        <is>
          <t>ÖSTERGÖTLANDS LÄN</t>
        </is>
      </c>
      <c r="E498" t="inlineStr">
        <is>
          <t>LINKÖPING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57396-2021</t>
        </is>
      </c>
      <c r="B499" s="1" t="n">
        <v>44483</v>
      </c>
      <c r="C499" s="1" t="n">
        <v>46196</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17143-2025</t>
        </is>
      </c>
      <c r="B500" s="1" t="n">
        <v>45755</v>
      </c>
      <c r="C500" s="1" t="n">
        <v>46196</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17124-2025</t>
        </is>
      </c>
      <c r="B501" s="1" t="n">
        <v>45755</v>
      </c>
      <c r="C501" s="1" t="n">
        <v>46196</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17126-2025</t>
        </is>
      </c>
      <c r="B502" s="1" t="n">
        <v>45755</v>
      </c>
      <c r="C502" s="1" t="n">
        <v>46196</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31640-2023</t>
        </is>
      </c>
      <c r="B503" s="1" t="n">
        <v>45117</v>
      </c>
      <c r="C503" s="1" t="n">
        <v>46196</v>
      </c>
      <c r="D503" t="inlineStr">
        <is>
          <t>ÖSTERGÖTLANDS LÄN</t>
        </is>
      </c>
      <c r="E503" t="inlineStr">
        <is>
          <t>LINKÖPING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11790-2024</t>
        </is>
      </c>
      <c r="B504" s="1" t="n">
        <v>45374</v>
      </c>
      <c r="C504" s="1" t="n">
        <v>46196</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61281-2021</t>
        </is>
      </c>
      <c r="B505" s="1" t="n">
        <v>44498</v>
      </c>
      <c r="C505" s="1" t="n">
        <v>46196</v>
      </c>
      <c r="D505" t="inlineStr">
        <is>
          <t>ÖSTERGÖTLANDS LÄN</t>
        </is>
      </c>
      <c r="E505" t="inlineStr">
        <is>
          <t>LINKÖPING</t>
        </is>
      </c>
      <c r="G505" t="n">
        <v>4.5</v>
      </c>
      <c r="H505" t="n">
        <v>0</v>
      </c>
      <c r="I505" t="n">
        <v>0</v>
      </c>
      <c r="J505" t="n">
        <v>0</v>
      </c>
      <c r="K505" t="n">
        <v>0</v>
      </c>
      <c r="L505" t="n">
        <v>0</v>
      </c>
      <c r="M505" t="n">
        <v>0</v>
      </c>
      <c r="N505" t="n">
        <v>0</v>
      </c>
      <c r="O505" t="n">
        <v>0</v>
      </c>
      <c r="P505" t="n">
        <v>0</v>
      </c>
      <c r="Q505" t="n">
        <v>0</v>
      </c>
      <c r="R505" s="2" t="inlineStr"/>
    </row>
    <row r="506" ht="15" customHeight="1">
      <c r="A506" t="inlineStr">
        <is>
          <t>A 6206-2024</t>
        </is>
      </c>
      <c r="B506" s="1" t="n">
        <v>45337</v>
      </c>
      <c r="C506" s="1" t="n">
        <v>46196</v>
      </c>
      <c r="D506" t="inlineStr">
        <is>
          <t>ÖSTERGÖTLANDS LÄN</t>
        </is>
      </c>
      <c r="E506" t="inlineStr">
        <is>
          <t>LINKÖPING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168-2024</t>
        </is>
      </c>
      <c r="B507" s="1" t="n">
        <v>45294</v>
      </c>
      <c r="C507" s="1" t="n">
        <v>46196</v>
      </c>
      <c r="D507" t="inlineStr">
        <is>
          <t>ÖSTERGÖTLANDS LÄN</t>
        </is>
      </c>
      <c r="E507" t="inlineStr">
        <is>
          <t>LINKÖPING</t>
        </is>
      </c>
      <c r="F507" t="inlineStr">
        <is>
          <t>Allmännings- och besparingsskogar</t>
        </is>
      </c>
      <c r="G507" t="n">
        <v>8.9</v>
      </c>
      <c r="H507" t="n">
        <v>0</v>
      </c>
      <c r="I507" t="n">
        <v>0</v>
      </c>
      <c r="J507" t="n">
        <v>0</v>
      </c>
      <c r="K507" t="n">
        <v>0</v>
      </c>
      <c r="L507" t="n">
        <v>0</v>
      </c>
      <c r="M507" t="n">
        <v>0</v>
      </c>
      <c r="N507" t="n">
        <v>0</v>
      </c>
      <c r="O507" t="n">
        <v>0</v>
      </c>
      <c r="P507" t="n">
        <v>0</v>
      </c>
      <c r="Q507" t="n">
        <v>0</v>
      </c>
      <c r="R507" s="2" t="inlineStr"/>
    </row>
    <row r="508" ht="15" customHeight="1">
      <c r="A508" t="inlineStr">
        <is>
          <t>A 56623-2024</t>
        </is>
      </c>
      <c r="B508" s="1" t="n">
        <v>45625</v>
      </c>
      <c r="C508" s="1" t="n">
        <v>46196</v>
      </c>
      <c r="D508" t="inlineStr">
        <is>
          <t>ÖSTERGÖTLANDS LÄN</t>
        </is>
      </c>
      <c r="E508" t="inlineStr">
        <is>
          <t>LINKÖPING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11330-2023</t>
        </is>
      </c>
      <c r="B509" s="1" t="n">
        <v>44993</v>
      </c>
      <c r="C509" s="1" t="n">
        <v>46196</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63304-2021</t>
        </is>
      </c>
      <c r="B510" s="1" t="n">
        <v>44508</v>
      </c>
      <c r="C510" s="1" t="n">
        <v>46196</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14528-2025</t>
        </is>
      </c>
      <c r="B511" s="1" t="n">
        <v>45741</v>
      </c>
      <c r="C511" s="1" t="n">
        <v>46196</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3530-2024</t>
        </is>
      </c>
      <c r="B512" s="1" t="n">
        <v>45320</v>
      </c>
      <c r="C512" s="1" t="n">
        <v>46196</v>
      </c>
      <c r="D512" t="inlineStr">
        <is>
          <t>ÖSTERGÖTLANDS LÄN</t>
        </is>
      </c>
      <c r="E512" t="inlineStr">
        <is>
          <t>LINKÖPING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62073-2023</t>
        </is>
      </c>
      <c r="B513" s="1" t="n">
        <v>45266</v>
      </c>
      <c r="C513" s="1" t="n">
        <v>46196</v>
      </c>
      <c r="D513" t="inlineStr">
        <is>
          <t>ÖSTERGÖTLANDS LÄN</t>
        </is>
      </c>
      <c r="E513" t="inlineStr">
        <is>
          <t>LINKÖPING</t>
        </is>
      </c>
      <c r="F513" t="inlineStr">
        <is>
          <t>Allmännings- och besparingsskogar</t>
        </is>
      </c>
      <c r="G513" t="n">
        <v>1.8</v>
      </c>
      <c r="H513" t="n">
        <v>0</v>
      </c>
      <c r="I513" t="n">
        <v>0</v>
      </c>
      <c r="J513" t="n">
        <v>0</v>
      </c>
      <c r="K513" t="n">
        <v>0</v>
      </c>
      <c r="L513" t="n">
        <v>0</v>
      </c>
      <c r="M513" t="n">
        <v>0</v>
      </c>
      <c r="N513" t="n">
        <v>0</v>
      </c>
      <c r="O513" t="n">
        <v>0</v>
      </c>
      <c r="P513" t="n">
        <v>0</v>
      </c>
      <c r="Q513" t="n">
        <v>0</v>
      </c>
      <c r="R513" s="2" t="inlineStr"/>
    </row>
    <row r="514" ht="15" customHeight="1">
      <c r="A514" t="inlineStr">
        <is>
          <t>A 5872-2025</t>
        </is>
      </c>
      <c r="B514" s="1" t="n">
        <v>45695</v>
      </c>
      <c r="C514" s="1" t="n">
        <v>46196</v>
      </c>
      <c r="D514" t="inlineStr">
        <is>
          <t>ÖSTERGÖTLANDS LÄN</t>
        </is>
      </c>
      <c r="E514" t="inlineStr">
        <is>
          <t>LINKÖPING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53814-2023</t>
        </is>
      </c>
      <c r="B515" s="1" t="n">
        <v>45231</v>
      </c>
      <c r="C515" s="1" t="n">
        <v>46196</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3432-2023</t>
        </is>
      </c>
      <c r="B516" s="1" t="n">
        <v>44949</v>
      </c>
      <c r="C516" s="1" t="n">
        <v>46196</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54425-2022</t>
        </is>
      </c>
      <c r="B517" s="1" t="n">
        <v>44882</v>
      </c>
      <c r="C517" s="1" t="n">
        <v>46196</v>
      </c>
      <c r="D517" t="inlineStr">
        <is>
          <t>ÖSTERGÖTLANDS LÄN</t>
        </is>
      </c>
      <c r="E517" t="inlineStr">
        <is>
          <t>LINKÖPING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54428-2022</t>
        </is>
      </c>
      <c r="B518" s="1" t="n">
        <v>44882</v>
      </c>
      <c r="C518" s="1" t="n">
        <v>46196</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660-2023</t>
        </is>
      </c>
      <c r="B519" s="1" t="n">
        <v>44930</v>
      </c>
      <c r="C519" s="1" t="n">
        <v>46196</v>
      </c>
      <c r="D519" t="inlineStr">
        <is>
          <t>ÖSTERGÖTLANDS LÄN</t>
        </is>
      </c>
      <c r="E519" t="inlineStr">
        <is>
          <t>LINKÖPING</t>
        </is>
      </c>
      <c r="F519" t="inlineStr">
        <is>
          <t>Kyrkan</t>
        </is>
      </c>
      <c r="G519" t="n">
        <v>1.6</v>
      </c>
      <c r="H519" t="n">
        <v>0</v>
      </c>
      <c r="I519" t="n">
        <v>0</v>
      </c>
      <c r="J519" t="n">
        <v>0</v>
      </c>
      <c r="K519" t="n">
        <v>0</v>
      </c>
      <c r="L519" t="n">
        <v>0</v>
      </c>
      <c r="M519" t="n">
        <v>0</v>
      </c>
      <c r="N519" t="n">
        <v>0</v>
      </c>
      <c r="O519" t="n">
        <v>0</v>
      </c>
      <c r="P519" t="n">
        <v>0</v>
      </c>
      <c r="Q519" t="n">
        <v>0</v>
      </c>
      <c r="R519" s="2" t="inlineStr"/>
    </row>
    <row r="520" ht="15" customHeight="1">
      <c r="A520" t="inlineStr">
        <is>
          <t>A 62501-2023</t>
        </is>
      </c>
      <c r="B520" s="1" t="n">
        <v>45268</v>
      </c>
      <c r="C520" s="1" t="n">
        <v>46196</v>
      </c>
      <c r="D520" t="inlineStr">
        <is>
          <t>ÖSTERGÖTLANDS LÄN</t>
        </is>
      </c>
      <c r="E520" t="inlineStr">
        <is>
          <t>LINKÖPING</t>
        </is>
      </c>
      <c r="G520" t="n">
        <v>7.4</v>
      </c>
      <c r="H520" t="n">
        <v>0</v>
      </c>
      <c r="I520" t="n">
        <v>0</v>
      </c>
      <c r="J520" t="n">
        <v>0</v>
      </c>
      <c r="K520" t="n">
        <v>0</v>
      </c>
      <c r="L520" t="n">
        <v>0</v>
      </c>
      <c r="M520" t="n">
        <v>0</v>
      </c>
      <c r="N520" t="n">
        <v>0</v>
      </c>
      <c r="O520" t="n">
        <v>0</v>
      </c>
      <c r="P520" t="n">
        <v>0</v>
      </c>
      <c r="Q520" t="n">
        <v>0</v>
      </c>
      <c r="R520" s="2" t="inlineStr"/>
    </row>
    <row r="521" ht="15" customHeight="1">
      <c r="A521" t="inlineStr">
        <is>
          <t>A 13413-2023</t>
        </is>
      </c>
      <c r="B521" s="1" t="n">
        <v>45005</v>
      </c>
      <c r="C521" s="1" t="n">
        <v>46196</v>
      </c>
      <c r="D521" t="inlineStr">
        <is>
          <t>ÖSTERGÖTLANDS LÄN</t>
        </is>
      </c>
      <c r="E521" t="inlineStr">
        <is>
          <t>LINKÖPING</t>
        </is>
      </c>
      <c r="G521" t="n">
        <v>2.4</v>
      </c>
      <c r="H521" t="n">
        <v>0</v>
      </c>
      <c r="I521" t="n">
        <v>0</v>
      </c>
      <c r="J521" t="n">
        <v>0</v>
      </c>
      <c r="K521" t="n">
        <v>0</v>
      </c>
      <c r="L521" t="n">
        <v>0</v>
      </c>
      <c r="M521" t="n">
        <v>0</v>
      </c>
      <c r="N521" t="n">
        <v>0</v>
      </c>
      <c r="O521" t="n">
        <v>0</v>
      </c>
      <c r="P521" t="n">
        <v>0</v>
      </c>
      <c r="Q521" t="n">
        <v>0</v>
      </c>
      <c r="R521" s="2" t="inlineStr"/>
    </row>
    <row r="522" ht="15" customHeight="1">
      <c r="A522" t="inlineStr">
        <is>
          <t>A 26620-2023</t>
        </is>
      </c>
      <c r="B522" s="1" t="n">
        <v>45092</v>
      </c>
      <c r="C522" s="1" t="n">
        <v>46196</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63554-2023</t>
        </is>
      </c>
      <c r="B523" s="1" t="n">
        <v>45275</v>
      </c>
      <c r="C523" s="1" t="n">
        <v>46196</v>
      </c>
      <c r="D523" t="inlineStr">
        <is>
          <t>ÖSTERGÖTLANDS LÄN</t>
        </is>
      </c>
      <c r="E523" t="inlineStr">
        <is>
          <t>LINKÖPING</t>
        </is>
      </c>
      <c r="G523" t="n">
        <v>4.3</v>
      </c>
      <c r="H523" t="n">
        <v>0</v>
      </c>
      <c r="I523" t="n">
        <v>0</v>
      </c>
      <c r="J523" t="n">
        <v>0</v>
      </c>
      <c r="K523" t="n">
        <v>0</v>
      </c>
      <c r="L523" t="n">
        <v>0</v>
      </c>
      <c r="M523" t="n">
        <v>0</v>
      </c>
      <c r="N523" t="n">
        <v>0</v>
      </c>
      <c r="O523" t="n">
        <v>0</v>
      </c>
      <c r="P523" t="n">
        <v>0</v>
      </c>
      <c r="Q523" t="n">
        <v>0</v>
      </c>
      <c r="R523" s="2" t="inlineStr"/>
    </row>
    <row r="524" ht="15" customHeight="1">
      <c r="A524" t="inlineStr">
        <is>
          <t>A 63638-2023</t>
        </is>
      </c>
      <c r="B524" s="1" t="n">
        <v>45275</v>
      </c>
      <c r="C524" s="1" t="n">
        <v>46196</v>
      </c>
      <c r="D524" t="inlineStr">
        <is>
          <t>ÖSTERGÖTLANDS LÄN</t>
        </is>
      </c>
      <c r="E524" t="inlineStr">
        <is>
          <t>LINKÖPING</t>
        </is>
      </c>
      <c r="F524" t="inlineStr">
        <is>
          <t>Övriga Aktiebolag</t>
        </is>
      </c>
      <c r="G524" t="n">
        <v>2.4</v>
      </c>
      <c r="H524" t="n">
        <v>0</v>
      </c>
      <c r="I524" t="n">
        <v>0</v>
      </c>
      <c r="J524" t="n">
        <v>0</v>
      </c>
      <c r="K524" t="n">
        <v>0</v>
      </c>
      <c r="L524" t="n">
        <v>0</v>
      </c>
      <c r="M524" t="n">
        <v>0</v>
      </c>
      <c r="N524" t="n">
        <v>0</v>
      </c>
      <c r="O524" t="n">
        <v>0</v>
      </c>
      <c r="P524" t="n">
        <v>0</v>
      </c>
      <c r="Q524" t="n">
        <v>0</v>
      </c>
      <c r="R524" s="2" t="inlineStr"/>
    </row>
    <row r="525" ht="15" customHeight="1">
      <c r="A525" t="inlineStr">
        <is>
          <t>A 63658-2023</t>
        </is>
      </c>
      <c r="B525" s="1" t="n">
        <v>45275</v>
      </c>
      <c r="C525" s="1" t="n">
        <v>46196</v>
      </c>
      <c r="D525" t="inlineStr">
        <is>
          <t>ÖSTERGÖTLANDS LÄN</t>
        </is>
      </c>
      <c r="E525" t="inlineStr">
        <is>
          <t>LINKÖPING</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16820-2024</t>
        </is>
      </c>
      <c r="B526" s="1" t="n">
        <v>45411</v>
      </c>
      <c r="C526" s="1" t="n">
        <v>46196</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15121-2022</t>
        </is>
      </c>
      <c r="B527" s="1" t="n">
        <v>44658</v>
      </c>
      <c r="C527" s="1" t="n">
        <v>46196</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50743-2023</t>
        </is>
      </c>
      <c r="B528" s="1" t="n">
        <v>45217</v>
      </c>
      <c r="C528" s="1" t="n">
        <v>46196</v>
      </c>
      <c r="D528" t="inlineStr">
        <is>
          <t>ÖSTERGÖTLANDS LÄN</t>
        </is>
      </c>
      <c r="E528" t="inlineStr">
        <is>
          <t>LINKÖPING</t>
        </is>
      </c>
      <c r="G528" t="n">
        <v>2.7</v>
      </c>
      <c r="H528" t="n">
        <v>0</v>
      </c>
      <c r="I528" t="n">
        <v>0</v>
      </c>
      <c r="J528" t="n">
        <v>0</v>
      </c>
      <c r="K528" t="n">
        <v>0</v>
      </c>
      <c r="L528" t="n">
        <v>0</v>
      </c>
      <c r="M528" t="n">
        <v>0</v>
      </c>
      <c r="N528" t="n">
        <v>0</v>
      </c>
      <c r="O528" t="n">
        <v>0</v>
      </c>
      <c r="P528" t="n">
        <v>0</v>
      </c>
      <c r="Q528" t="n">
        <v>0</v>
      </c>
      <c r="R528" s="2" t="inlineStr"/>
    </row>
    <row r="529" ht="15" customHeight="1">
      <c r="A529" t="inlineStr">
        <is>
          <t>A 13687-2025</t>
        </is>
      </c>
      <c r="B529" s="1" t="n">
        <v>45737</v>
      </c>
      <c r="C529" s="1" t="n">
        <v>46196</v>
      </c>
      <c r="D529" t="inlineStr">
        <is>
          <t>ÖSTERGÖTLANDS LÄN</t>
        </is>
      </c>
      <c r="E529" t="inlineStr">
        <is>
          <t>LINKÖPING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13695-2025</t>
        </is>
      </c>
      <c r="B530" s="1" t="n">
        <v>45737</v>
      </c>
      <c r="C530" s="1" t="n">
        <v>46196</v>
      </c>
      <c r="D530" t="inlineStr">
        <is>
          <t>ÖSTERGÖTLANDS LÄN</t>
        </is>
      </c>
      <c r="E530" t="inlineStr">
        <is>
          <t>LINKÖPING</t>
        </is>
      </c>
      <c r="G530" t="n">
        <v>5.3</v>
      </c>
      <c r="H530" t="n">
        <v>0</v>
      </c>
      <c r="I530" t="n">
        <v>0</v>
      </c>
      <c r="J530" t="n">
        <v>0</v>
      </c>
      <c r="K530" t="n">
        <v>0</v>
      </c>
      <c r="L530" t="n">
        <v>0</v>
      </c>
      <c r="M530" t="n">
        <v>0</v>
      </c>
      <c r="N530" t="n">
        <v>0</v>
      </c>
      <c r="O530" t="n">
        <v>0</v>
      </c>
      <c r="P530" t="n">
        <v>0</v>
      </c>
      <c r="Q530" t="n">
        <v>0</v>
      </c>
      <c r="R530" s="2" t="inlineStr"/>
    </row>
    <row r="531" ht="15" customHeight="1">
      <c r="A531" t="inlineStr">
        <is>
          <t>A 20294-2025</t>
        </is>
      </c>
      <c r="B531" s="1" t="n">
        <v>45774</v>
      </c>
      <c r="C531" s="1" t="n">
        <v>46196</v>
      </c>
      <c r="D531" t="inlineStr">
        <is>
          <t>ÖSTERGÖTLANDS LÄN</t>
        </is>
      </c>
      <c r="E531" t="inlineStr">
        <is>
          <t>LINKÖPING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52125-2022</t>
        </is>
      </c>
      <c r="B532" s="1" t="n">
        <v>44873</v>
      </c>
      <c r="C532" s="1" t="n">
        <v>46196</v>
      </c>
      <c r="D532" t="inlineStr">
        <is>
          <t>ÖSTERGÖTLANDS LÄN</t>
        </is>
      </c>
      <c r="E532" t="inlineStr">
        <is>
          <t>LINKÖPING</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27343-2023</t>
        </is>
      </c>
      <c r="B533" s="1" t="n">
        <v>45096</v>
      </c>
      <c r="C533" s="1" t="n">
        <v>46196</v>
      </c>
      <c r="D533" t="inlineStr">
        <is>
          <t>ÖSTERGÖTLANDS LÄN</t>
        </is>
      </c>
      <c r="E533" t="inlineStr">
        <is>
          <t>LINKÖPING</t>
        </is>
      </c>
      <c r="F533" t="inlineStr">
        <is>
          <t>Allmännings- och besparingsskogar</t>
        </is>
      </c>
      <c r="G533" t="n">
        <v>6.9</v>
      </c>
      <c r="H533" t="n">
        <v>0</v>
      </c>
      <c r="I533" t="n">
        <v>0</v>
      </c>
      <c r="J533" t="n">
        <v>0</v>
      </c>
      <c r="K533" t="n">
        <v>0</v>
      </c>
      <c r="L533" t="n">
        <v>0</v>
      </c>
      <c r="M533" t="n">
        <v>0</v>
      </c>
      <c r="N533" t="n">
        <v>0</v>
      </c>
      <c r="O533" t="n">
        <v>0</v>
      </c>
      <c r="P533" t="n">
        <v>0</v>
      </c>
      <c r="Q533" t="n">
        <v>0</v>
      </c>
      <c r="R533" s="2" t="inlineStr"/>
    </row>
    <row r="534" ht="15" customHeight="1">
      <c r="A534" t="inlineStr">
        <is>
          <t>A 14520-2025</t>
        </is>
      </c>
      <c r="B534" s="1" t="n">
        <v>45741</v>
      </c>
      <c r="C534" s="1" t="n">
        <v>46196</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31548-2022</t>
        </is>
      </c>
      <c r="B535" s="1" t="n">
        <v>44775</v>
      </c>
      <c r="C535" s="1" t="n">
        <v>46196</v>
      </c>
      <c r="D535" t="inlineStr">
        <is>
          <t>ÖSTERGÖTLANDS LÄN</t>
        </is>
      </c>
      <c r="E535" t="inlineStr">
        <is>
          <t>LINKÖPING</t>
        </is>
      </c>
      <c r="G535" t="n">
        <v>0.9</v>
      </c>
      <c r="H535" t="n">
        <v>0</v>
      </c>
      <c r="I535" t="n">
        <v>0</v>
      </c>
      <c r="J535" t="n">
        <v>0</v>
      </c>
      <c r="K535" t="n">
        <v>0</v>
      </c>
      <c r="L535" t="n">
        <v>0</v>
      </c>
      <c r="M535" t="n">
        <v>0</v>
      </c>
      <c r="N535" t="n">
        <v>0</v>
      </c>
      <c r="O535" t="n">
        <v>0</v>
      </c>
      <c r="P535" t="n">
        <v>0</v>
      </c>
      <c r="Q535" t="n">
        <v>0</v>
      </c>
      <c r="R535" s="2" t="inlineStr"/>
    </row>
    <row r="536" ht="15" customHeight="1">
      <c r="A536" t="inlineStr">
        <is>
          <t>A 62017-2024</t>
        </is>
      </c>
      <c r="B536" s="1" t="n">
        <v>45655</v>
      </c>
      <c r="C536" s="1" t="n">
        <v>46196</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17785-2023</t>
        </is>
      </c>
      <c r="B537" s="1" t="n">
        <v>45037</v>
      </c>
      <c r="C537" s="1" t="n">
        <v>46196</v>
      </c>
      <c r="D537" t="inlineStr">
        <is>
          <t>ÖSTERGÖTLANDS LÄN</t>
        </is>
      </c>
      <c r="E537" t="inlineStr">
        <is>
          <t>LINKÖPING</t>
        </is>
      </c>
      <c r="F537" t="inlineStr">
        <is>
          <t>Allmännings- och besparingsskogar</t>
        </is>
      </c>
      <c r="G537" t="n">
        <v>3.1</v>
      </c>
      <c r="H537" t="n">
        <v>0</v>
      </c>
      <c r="I537" t="n">
        <v>0</v>
      </c>
      <c r="J537" t="n">
        <v>0</v>
      </c>
      <c r="K537" t="n">
        <v>0</v>
      </c>
      <c r="L537" t="n">
        <v>0</v>
      </c>
      <c r="M537" t="n">
        <v>0</v>
      </c>
      <c r="N537" t="n">
        <v>0</v>
      </c>
      <c r="O537" t="n">
        <v>0</v>
      </c>
      <c r="P537" t="n">
        <v>0</v>
      </c>
      <c r="Q537" t="n">
        <v>0</v>
      </c>
      <c r="R537" s="2" t="inlineStr"/>
    </row>
    <row r="538" ht="15" customHeight="1">
      <c r="A538" t="inlineStr">
        <is>
          <t>A 62686-2023</t>
        </is>
      </c>
      <c r="B538" s="1" t="n">
        <v>45271</v>
      </c>
      <c r="C538" s="1" t="n">
        <v>46196</v>
      </c>
      <c r="D538" t="inlineStr">
        <is>
          <t>ÖSTERGÖTLANDS LÄN</t>
        </is>
      </c>
      <c r="E538" t="inlineStr">
        <is>
          <t>LINKÖPING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42044-2023</t>
        </is>
      </c>
      <c r="B539" s="1" t="n">
        <v>45177</v>
      </c>
      <c r="C539" s="1" t="n">
        <v>46196</v>
      </c>
      <c r="D539" t="inlineStr">
        <is>
          <t>ÖSTERGÖTLANDS LÄN</t>
        </is>
      </c>
      <c r="E539" t="inlineStr">
        <is>
          <t>LINKÖPING</t>
        </is>
      </c>
      <c r="G539" t="n">
        <v>3.9</v>
      </c>
      <c r="H539" t="n">
        <v>0</v>
      </c>
      <c r="I539" t="n">
        <v>0</v>
      </c>
      <c r="J539" t="n">
        <v>0</v>
      </c>
      <c r="K539" t="n">
        <v>0</v>
      </c>
      <c r="L539" t="n">
        <v>0</v>
      </c>
      <c r="M539" t="n">
        <v>0</v>
      </c>
      <c r="N539" t="n">
        <v>0</v>
      </c>
      <c r="O539" t="n">
        <v>0</v>
      </c>
      <c r="P539" t="n">
        <v>0</v>
      </c>
      <c r="Q539" t="n">
        <v>0</v>
      </c>
      <c r="R539" s="2" t="inlineStr"/>
    </row>
    <row r="540" ht="15" customHeight="1">
      <c r="A540" t="inlineStr">
        <is>
          <t>A 49656-2021</t>
        </is>
      </c>
      <c r="B540" s="1" t="n">
        <v>44454</v>
      </c>
      <c r="C540" s="1" t="n">
        <v>46196</v>
      </c>
      <c r="D540" t="inlineStr">
        <is>
          <t>ÖSTERGÖTLANDS LÄN</t>
        </is>
      </c>
      <c r="E540" t="inlineStr">
        <is>
          <t>LINKÖPING</t>
        </is>
      </c>
      <c r="G540" t="n">
        <v>2.3</v>
      </c>
      <c r="H540" t="n">
        <v>0</v>
      </c>
      <c r="I540" t="n">
        <v>0</v>
      </c>
      <c r="J540" t="n">
        <v>0</v>
      </c>
      <c r="K540" t="n">
        <v>0</v>
      </c>
      <c r="L540" t="n">
        <v>0</v>
      </c>
      <c r="M540" t="n">
        <v>0</v>
      </c>
      <c r="N540" t="n">
        <v>0</v>
      </c>
      <c r="O540" t="n">
        <v>0</v>
      </c>
      <c r="P540" t="n">
        <v>0</v>
      </c>
      <c r="Q540" t="n">
        <v>0</v>
      </c>
      <c r="R540" s="2" t="inlineStr"/>
    </row>
    <row r="541" ht="15" customHeight="1">
      <c r="A541" t="inlineStr">
        <is>
          <t>A 38230-2023</t>
        </is>
      </c>
      <c r="B541" s="1" t="n">
        <v>45161</v>
      </c>
      <c r="C541" s="1" t="n">
        <v>46196</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4908-2023</t>
        </is>
      </c>
      <c r="B542" s="1" t="n">
        <v>44958</v>
      </c>
      <c r="C542" s="1" t="n">
        <v>46196</v>
      </c>
      <c r="D542" t="inlineStr">
        <is>
          <t>ÖSTERGÖTLANDS LÄN</t>
        </is>
      </c>
      <c r="E542" t="inlineStr">
        <is>
          <t>LINKÖPING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1265-2023</t>
        </is>
      </c>
      <c r="B543" s="1" t="n">
        <v>44936</v>
      </c>
      <c r="C543" s="1" t="n">
        <v>46196</v>
      </c>
      <c r="D543" t="inlineStr">
        <is>
          <t>ÖSTERGÖTLANDS LÄN</t>
        </is>
      </c>
      <c r="E543" t="inlineStr">
        <is>
          <t>LINKÖPING</t>
        </is>
      </c>
      <c r="G543" t="n">
        <v>2.3</v>
      </c>
      <c r="H543" t="n">
        <v>0</v>
      </c>
      <c r="I543" t="n">
        <v>0</v>
      </c>
      <c r="J543" t="n">
        <v>0</v>
      </c>
      <c r="K543" t="n">
        <v>0</v>
      </c>
      <c r="L543" t="n">
        <v>0</v>
      </c>
      <c r="M543" t="n">
        <v>0</v>
      </c>
      <c r="N543" t="n">
        <v>0</v>
      </c>
      <c r="O543" t="n">
        <v>0</v>
      </c>
      <c r="P543" t="n">
        <v>0</v>
      </c>
      <c r="Q543" t="n">
        <v>0</v>
      </c>
      <c r="R543" s="2" t="inlineStr"/>
    </row>
    <row r="544" ht="15" customHeight="1">
      <c r="A544" t="inlineStr">
        <is>
          <t>A 12411-2022</t>
        </is>
      </c>
      <c r="B544" s="1" t="n">
        <v>44638</v>
      </c>
      <c r="C544" s="1" t="n">
        <v>46196</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23491-2024</t>
        </is>
      </c>
      <c r="B545" s="1" t="n">
        <v>45453</v>
      </c>
      <c r="C545" s="1" t="n">
        <v>46196</v>
      </c>
      <c r="D545" t="inlineStr">
        <is>
          <t>ÖSTERGÖTLANDS LÄN</t>
        </is>
      </c>
      <c r="E545" t="inlineStr">
        <is>
          <t>LINKÖPING</t>
        </is>
      </c>
      <c r="G545" t="n">
        <v>2.2</v>
      </c>
      <c r="H545" t="n">
        <v>0</v>
      </c>
      <c r="I545" t="n">
        <v>0</v>
      </c>
      <c r="J545" t="n">
        <v>0</v>
      </c>
      <c r="K545" t="n">
        <v>0</v>
      </c>
      <c r="L545" t="n">
        <v>0</v>
      </c>
      <c r="M545" t="n">
        <v>0</v>
      </c>
      <c r="N545" t="n">
        <v>0</v>
      </c>
      <c r="O545" t="n">
        <v>0</v>
      </c>
      <c r="P545" t="n">
        <v>0</v>
      </c>
      <c r="Q545" t="n">
        <v>0</v>
      </c>
      <c r="R545" s="2" t="inlineStr"/>
    </row>
    <row r="546" ht="15" customHeight="1">
      <c r="A546" t="inlineStr">
        <is>
          <t>A 70-2024</t>
        </is>
      </c>
      <c r="B546" s="1" t="n">
        <v>45293</v>
      </c>
      <c r="C546" s="1" t="n">
        <v>46196</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6054-2022</t>
        </is>
      </c>
      <c r="B547" s="1" t="n">
        <v>44599</v>
      </c>
      <c r="C547" s="1" t="n">
        <v>46196</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31725-2022</t>
        </is>
      </c>
      <c r="B548" s="1" t="n">
        <v>44776</v>
      </c>
      <c r="C548" s="1" t="n">
        <v>46196</v>
      </c>
      <c r="D548" t="inlineStr">
        <is>
          <t>ÖSTERGÖTLANDS LÄN</t>
        </is>
      </c>
      <c r="E548" t="inlineStr">
        <is>
          <t>LINKÖPING</t>
        </is>
      </c>
      <c r="G548" t="n">
        <v>2.6</v>
      </c>
      <c r="H548" t="n">
        <v>0</v>
      </c>
      <c r="I548" t="n">
        <v>0</v>
      </c>
      <c r="J548" t="n">
        <v>0</v>
      </c>
      <c r="K548" t="n">
        <v>0</v>
      </c>
      <c r="L548" t="n">
        <v>0</v>
      </c>
      <c r="M548" t="n">
        <v>0</v>
      </c>
      <c r="N548" t="n">
        <v>0</v>
      </c>
      <c r="O548" t="n">
        <v>0</v>
      </c>
      <c r="P548" t="n">
        <v>0</v>
      </c>
      <c r="Q548" t="n">
        <v>0</v>
      </c>
      <c r="R548" s="2" t="inlineStr"/>
    </row>
    <row r="549" ht="15" customHeight="1">
      <c r="A549" t="inlineStr">
        <is>
          <t>A 57391-2023</t>
        </is>
      </c>
      <c r="B549" s="1" t="n">
        <v>45245</v>
      </c>
      <c r="C549" s="1" t="n">
        <v>46196</v>
      </c>
      <c r="D549" t="inlineStr">
        <is>
          <t>ÖSTERGÖTLANDS LÄN</t>
        </is>
      </c>
      <c r="E549" t="inlineStr">
        <is>
          <t>LINKÖPING</t>
        </is>
      </c>
      <c r="F549" t="inlineStr">
        <is>
          <t>Övriga Aktiebolag</t>
        </is>
      </c>
      <c r="G549" t="n">
        <v>1.7</v>
      </c>
      <c r="H549" t="n">
        <v>0</v>
      </c>
      <c r="I549" t="n">
        <v>0</v>
      </c>
      <c r="J549" t="n">
        <v>0</v>
      </c>
      <c r="K549" t="n">
        <v>0</v>
      </c>
      <c r="L549" t="n">
        <v>0</v>
      </c>
      <c r="M549" t="n">
        <v>0</v>
      </c>
      <c r="N549" t="n">
        <v>0</v>
      </c>
      <c r="O549" t="n">
        <v>0</v>
      </c>
      <c r="P549" t="n">
        <v>0</v>
      </c>
      <c r="Q549" t="n">
        <v>0</v>
      </c>
      <c r="R549" s="2" t="inlineStr"/>
    </row>
    <row r="550" ht="15" customHeight="1">
      <c r="A550" t="inlineStr">
        <is>
          <t>A 7992-2023</t>
        </is>
      </c>
      <c r="B550" s="1" t="n">
        <v>44970</v>
      </c>
      <c r="C550" s="1" t="n">
        <v>46196</v>
      </c>
      <c r="D550" t="inlineStr">
        <is>
          <t>ÖSTERGÖTLANDS LÄN</t>
        </is>
      </c>
      <c r="E550" t="inlineStr">
        <is>
          <t>LINKÖPING</t>
        </is>
      </c>
      <c r="F550" t="inlineStr">
        <is>
          <t>Kommuner</t>
        </is>
      </c>
      <c r="G550" t="n">
        <v>1</v>
      </c>
      <c r="H550" t="n">
        <v>0</v>
      </c>
      <c r="I550" t="n">
        <v>0</v>
      </c>
      <c r="J550" t="n">
        <v>0</v>
      </c>
      <c r="K550" t="n">
        <v>0</v>
      </c>
      <c r="L550" t="n">
        <v>0</v>
      </c>
      <c r="M550" t="n">
        <v>0</v>
      </c>
      <c r="N550" t="n">
        <v>0</v>
      </c>
      <c r="O550" t="n">
        <v>0</v>
      </c>
      <c r="P550" t="n">
        <v>0</v>
      </c>
      <c r="Q550" t="n">
        <v>0</v>
      </c>
      <c r="R550" s="2" t="inlineStr"/>
    </row>
    <row r="551" ht="15" customHeight="1">
      <c r="A551" t="inlineStr">
        <is>
          <t>A 13689-2025</t>
        </is>
      </c>
      <c r="B551" s="1" t="n">
        <v>45737</v>
      </c>
      <c r="C551" s="1" t="n">
        <v>46196</v>
      </c>
      <c r="D551" t="inlineStr">
        <is>
          <t>ÖSTERGÖTLANDS LÄN</t>
        </is>
      </c>
      <c r="E551" t="inlineStr">
        <is>
          <t>LINKÖPING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13696-2025</t>
        </is>
      </c>
      <c r="B552" s="1" t="n">
        <v>45737</v>
      </c>
      <c r="C552" s="1" t="n">
        <v>46196</v>
      </c>
      <c r="D552" t="inlineStr">
        <is>
          <t>ÖSTERGÖTLANDS LÄN</t>
        </is>
      </c>
      <c r="E552" t="inlineStr">
        <is>
          <t>LINKÖPING</t>
        </is>
      </c>
      <c r="G552" t="n">
        <v>3.5</v>
      </c>
      <c r="H552" t="n">
        <v>0</v>
      </c>
      <c r="I552" t="n">
        <v>0</v>
      </c>
      <c r="J552" t="n">
        <v>0</v>
      </c>
      <c r="K552" t="n">
        <v>0</v>
      </c>
      <c r="L552" t="n">
        <v>0</v>
      </c>
      <c r="M552" t="n">
        <v>0</v>
      </c>
      <c r="N552" t="n">
        <v>0</v>
      </c>
      <c r="O552" t="n">
        <v>0</v>
      </c>
      <c r="P552" t="n">
        <v>0</v>
      </c>
      <c r="Q552" t="n">
        <v>0</v>
      </c>
      <c r="R552" s="2" t="inlineStr"/>
    </row>
    <row r="553" ht="15" customHeight="1">
      <c r="A553" t="inlineStr">
        <is>
          <t>A 32346-2023</t>
        </is>
      </c>
      <c r="B553" s="1" t="n">
        <v>45120</v>
      </c>
      <c r="C553" s="1" t="n">
        <v>46196</v>
      </c>
      <c r="D553" t="inlineStr">
        <is>
          <t>ÖSTERGÖTLANDS LÄN</t>
        </is>
      </c>
      <c r="E553" t="inlineStr">
        <is>
          <t>LINKÖPING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7808-2022</t>
        </is>
      </c>
      <c r="B554" s="1" t="n">
        <v>44608</v>
      </c>
      <c r="C554" s="1" t="n">
        <v>46196</v>
      </c>
      <c r="D554" t="inlineStr">
        <is>
          <t>ÖSTERGÖTLANDS LÄN</t>
        </is>
      </c>
      <c r="E554" t="inlineStr">
        <is>
          <t>LINKÖPING</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27844-2024</t>
        </is>
      </c>
      <c r="B555" s="1" t="n">
        <v>45475</v>
      </c>
      <c r="C555" s="1" t="n">
        <v>46196</v>
      </c>
      <c r="D555" t="inlineStr">
        <is>
          <t>ÖSTERGÖTLANDS LÄN</t>
        </is>
      </c>
      <c r="E555" t="inlineStr">
        <is>
          <t>LINKÖPING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40810-2022</t>
        </is>
      </c>
      <c r="B556" s="1" t="n">
        <v>44824</v>
      </c>
      <c r="C556" s="1" t="n">
        <v>46196</v>
      </c>
      <c r="D556" t="inlineStr">
        <is>
          <t>ÖSTERGÖTLANDS LÄN</t>
        </is>
      </c>
      <c r="E556" t="inlineStr">
        <is>
          <t>LINKÖPING</t>
        </is>
      </c>
      <c r="G556" t="n">
        <v>2.8</v>
      </c>
      <c r="H556" t="n">
        <v>0</v>
      </c>
      <c r="I556" t="n">
        <v>0</v>
      </c>
      <c r="J556" t="n">
        <v>0</v>
      </c>
      <c r="K556" t="n">
        <v>0</v>
      </c>
      <c r="L556" t="n">
        <v>0</v>
      </c>
      <c r="M556" t="n">
        <v>0</v>
      </c>
      <c r="N556" t="n">
        <v>0</v>
      </c>
      <c r="O556" t="n">
        <v>0</v>
      </c>
      <c r="P556" t="n">
        <v>0</v>
      </c>
      <c r="Q556" t="n">
        <v>0</v>
      </c>
      <c r="R556" s="2" t="inlineStr"/>
    </row>
    <row r="557" ht="15" customHeight="1">
      <c r="A557" t="inlineStr">
        <is>
          <t>A 51559-2024</t>
        </is>
      </c>
      <c r="B557" s="1" t="n">
        <v>45604</v>
      </c>
      <c r="C557" s="1" t="n">
        <v>46196</v>
      </c>
      <c r="D557" t="inlineStr">
        <is>
          <t>ÖSTERGÖTLANDS LÄN</t>
        </is>
      </c>
      <c r="E557" t="inlineStr">
        <is>
          <t>LINKÖPING</t>
        </is>
      </c>
      <c r="F557" t="inlineStr">
        <is>
          <t>Övriga Aktiebolag</t>
        </is>
      </c>
      <c r="G557" t="n">
        <v>2.4</v>
      </c>
      <c r="H557" t="n">
        <v>0</v>
      </c>
      <c r="I557" t="n">
        <v>0</v>
      </c>
      <c r="J557" t="n">
        <v>0</v>
      </c>
      <c r="K557" t="n">
        <v>0</v>
      </c>
      <c r="L557" t="n">
        <v>0</v>
      </c>
      <c r="M557" t="n">
        <v>0</v>
      </c>
      <c r="N557" t="n">
        <v>0</v>
      </c>
      <c r="O557" t="n">
        <v>0</v>
      </c>
      <c r="P557" t="n">
        <v>0</v>
      </c>
      <c r="Q557" t="n">
        <v>0</v>
      </c>
      <c r="R557" s="2" t="inlineStr"/>
    </row>
    <row r="558" ht="15" customHeight="1">
      <c r="A558" t="inlineStr">
        <is>
          <t>A 49979-2022</t>
        </is>
      </c>
      <c r="B558" s="1" t="n">
        <v>44865</v>
      </c>
      <c r="C558" s="1" t="n">
        <v>46196</v>
      </c>
      <c r="D558" t="inlineStr">
        <is>
          <t>ÖSTERGÖTLANDS LÄN</t>
        </is>
      </c>
      <c r="E558" t="inlineStr">
        <is>
          <t>LINKÖPING</t>
        </is>
      </c>
      <c r="F558" t="inlineStr">
        <is>
          <t>Övriga Aktiebolag</t>
        </is>
      </c>
      <c r="G558" t="n">
        <v>11.4</v>
      </c>
      <c r="H558" t="n">
        <v>0</v>
      </c>
      <c r="I558" t="n">
        <v>0</v>
      </c>
      <c r="J558" t="n">
        <v>0</v>
      </c>
      <c r="K558" t="n">
        <v>0</v>
      </c>
      <c r="L558" t="n">
        <v>0</v>
      </c>
      <c r="M558" t="n">
        <v>0</v>
      </c>
      <c r="N558" t="n">
        <v>0</v>
      </c>
      <c r="O558" t="n">
        <v>0</v>
      </c>
      <c r="P558" t="n">
        <v>0</v>
      </c>
      <c r="Q558" t="n">
        <v>0</v>
      </c>
      <c r="R558" s="2" t="inlineStr"/>
    </row>
    <row r="559" ht="15" customHeight="1">
      <c r="A559" t="inlineStr">
        <is>
          <t>A 39219-2021</t>
        </is>
      </c>
      <c r="B559" s="1" t="n">
        <v>44413</v>
      </c>
      <c r="C559" s="1" t="n">
        <v>46196</v>
      </c>
      <c r="D559" t="inlineStr">
        <is>
          <t>ÖSTERGÖTLANDS LÄN</t>
        </is>
      </c>
      <c r="E559" t="inlineStr">
        <is>
          <t>LINKÖPING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39224-2021</t>
        </is>
      </c>
      <c r="B560" s="1" t="n">
        <v>44413</v>
      </c>
      <c r="C560" s="1" t="n">
        <v>46196</v>
      </c>
      <c r="D560" t="inlineStr">
        <is>
          <t>ÖSTERGÖTLANDS LÄN</t>
        </is>
      </c>
      <c r="E560" t="inlineStr">
        <is>
          <t>LINKÖPING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62495-2023</t>
        </is>
      </c>
      <c r="B561" s="1" t="n">
        <v>45268</v>
      </c>
      <c r="C561" s="1" t="n">
        <v>46196</v>
      </c>
      <c r="D561" t="inlineStr">
        <is>
          <t>ÖSTERGÖTLANDS LÄN</t>
        </is>
      </c>
      <c r="E561" t="inlineStr">
        <is>
          <t>LINKÖPING</t>
        </is>
      </c>
      <c r="G561" t="n">
        <v>4.1</v>
      </c>
      <c r="H561" t="n">
        <v>0</v>
      </c>
      <c r="I561" t="n">
        <v>0</v>
      </c>
      <c r="J561" t="n">
        <v>0</v>
      </c>
      <c r="K561" t="n">
        <v>0</v>
      </c>
      <c r="L561" t="n">
        <v>0</v>
      </c>
      <c r="M561" t="n">
        <v>0</v>
      </c>
      <c r="N561" t="n">
        <v>0</v>
      </c>
      <c r="O561" t="n">
        <v>0</v>
      </c>
      <c r="P561" t="n">
        <v>0</v>
      </c>
      <c r="Q561" t="n">
        <v>0</v>
      </c>
      <c r="R561" s="2" t="inlineStr"/>
    </row>
    <row r="562" ht="15" customHeight="1">
      <c r="A562" t="inlineStr">
        <is>
          <t>A 29413-2023</t>
        </is>
      </c>
      <c r="B562" s="1" t="n">
        <v>45106</v>
      </c>
      <c r="C562" s="1" t="n">
        <v>46196</v>
      </c>
      <c r="D562" t="inlineStr">
        <is>
          <t>ÖSTERGÖTLANDS LÄN</t>
        </is>
      </c>
      <c r="E562" t="inlineStr">
        <is>
          <t>LINKÖPING</t>
        </is>
      </c>
      <c r="G562" t="n">
        <v>8</v>
      </c>
      <c r="H562" t="n">
        <v>0</v>
      </c>
      <c r="I562" t="n">
        <v>0</v>
      </c>
      <c r="J562" t="n">
        <v>0</v>
      </c>
      <c r="K562" t="n">
        <v>0</v>
      </c>
      <c r="L562" t="n">
        <v>0</v>
      </c>
      <c r="M562" t="n">
        <v>0</v>
      </c>
      <c r="N562" t="n">
        <v>0</v>
      </c>
      <c r="O562" t="n">
        <v>0</v>
      </c>
      <c r="P562" t="n">
        <v>0</v>
      </c>
      <c r="Q562" t="n">
        <v>0</v>
      </c>
      <c r="R562" s="2" t="inlineStr"/>
    </row>
    <row r="563" ht="15" customHeight="1">
      <c r="A563" t="inlineStr">
        <is>
          <t>A 25948-2023</t>
        </is>
      </c>
      <c r="B563" s="1" t="n">
        <v>45090</v>
      </c>
      <c r="C563" s="1" t="n">
        <v>46196</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1627-2023</t>
        </is>
      </c>
      <c r="B564" s="1" t="n">
        <v>44937</v>
      </c>
      <c r="C564" s="1" t="n">
        <v>46196</v>
      </c>
      <c r="D564" t="inlineStr">
        <is>
          <t>ÖSTERGÖTLANDS LÄN</t>
        </is>
      </c>
      <c r="E564" t="inlineStr">
        <is>
          <t>LINKÖPING</t>
        </is>
      </c>
      <c r="G564" t="n">
        <v>10.8</v>
      </c>
      <c r="H564" t="n">
        <v>0</v>
      </c>
      <c r="I564" t="n">
        <v>0</v>
      </c>
      <c r="J564" t="n">
        <v>0</v>
      </c>
      <c r="K564" t="n">
        <v>0</v>
      </c>
      <c r="L564" t="n">
        <v>0</v>
      </c>
      <c r="M564" t="n">
        <v>0</v>
      </c>
      <c r="N564" t="n">
        <v>0</v>
      </c>
      <c r="O564" t="n">
        <v>0</v>
      </c>
      <c r="P564" t="n">
        <v>0</v>
      </c>
      <c r="Q564" t="n">
        <v>0</v>
      </c>
      <c r="R564" s="2" t="inlineStr"/>
    </row>
    <row r="565" ht="15" customHeight="1">
      <c r="A565" t="inlineStr">
        <is>
          <t>A 30481-2023</t>
        </is>
      </c>
      <c r="B565" s="1" t="n">
        <v>45111</v>
      </c>
      <c r="C565" s="1" t="n">
        <v>46196</v>
      </c>
      <c r="D565" t="inlineStr">
        <is>
          <t>ÖSTERGÖTLANDS LÄN</t>
        </is>
      </c>
      <c r="E565" t="inlineStr">
        <is>
          <t>LINKÖPING</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11671-2023</t>
        </is>
      </c>
      <c r="B566" s="1" t="n">
        <v>44994</v>
      </c>
      <c r="C566" s="1" t="n">
        <v>46196</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3013-2023</t>
        </is>
      </c>
      <c r="B567" s="1" t="n">
        <v>44945</v>
      </c>
      <c r="C567" s="1" t="n">
        <v>46196</v>
      </c>
      <c r="D567" t="inlineStr">
        <is>
          <t>ÖSTERGÖTLANDS LÄN</t>
        </is>
      </c>
      <c r="E567" t="inlineStr">
        <is>
          <t>LINKÖPING</t>
        </is>
      </c>
      <c r="G567" t="n">
        <v>5.2</v>
      </c>
      <c r="H567" t="n">
        <v>0</v>
      </c>
      <c r="I567" t="n">
        <v>0</v>
      </c>
      <c r="J567" t="n">
        <v>0</v>
      </c>
      <c r="K567" t="n">
        <v>0</v>
      </c>
      <c r="L567" t="n">
        <v>0</v>
      </c>
      <c r="M567" t="n">
        <v>0</v>
      </c>
      <c r="N567" t="n">
        <v>0</v>
      </c>
      <c r="O567" t="n">
        <v>0</v>
      </c>
      <c r="P567" t="n">
        <v>0</v>
      </c>
      <c r="Q567" t="n">
        <v>0</v>
      </c>
      <c r="R567" s="2" t="inlineStr"/>
    </row>
    <row r="568" ht="15" customHeight="1">
      <c r="A568" t="inlineStr">
        <is>
          <t>A 49747-2024</t>
        </is>
      </c>
      <c r="B568" s="1" t="n">
        <v>45596</v>
      </c>
      <c r="C568" s="1" t="n">
        <v>46196</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42997-2021</t>
        </is>
      </c>
      <c r="B569" s="1" t="n">
        <v>44431</v>
      </c>
      <c r="C569" s="1" t="n">
        <v>46196</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23735-2023</t>
        </is>
      </c>
      <c r="B570" s="1" t="n">
        <v>45077</v>
      </c>
      <c r="C570" s="1" t="n">
        <v>46196</v>
      </c>
      <c r="D570" t="inlineStr">
        <is>
          <t>ÖSTERGÖTLANDS LÄN</t>
        </is>
      </c>
      <c r="E570" t="inlineStr">
        <is>
          <t>LINKÖPING</t>
        </is>
      </c>
      <c r="G570" t="n">
        <v>1.7</v>
      </c>
      <c r="H570" t="n">
        <v>0</v>
      </c>
      <c r="I570" t="n">
        <v>0</v>
      </c>
      <c r="J570" t="n">
        <v>0</v>
      </c>
      <c r="K570" t="n">
        <v>0</v>
      </c>
      <c r="L570" t="n">
        <v>0</v>
      </c>
      <c r="M570" t="n">
        <v>0</v>
      </c>
      <c r="N570" t="n">
        <v>0</v>
      </c>
      <c r="O570" t="n">
        <v>0</v>
      </c>
      <c r="P570" t="n">
        <v>0</v>
      </c>
      <c r="Q570" t="n">
        <v>0</v>
      </c>
      <c r="R570" s="2" t="inlineStr"/>
    </row>
    <row r="571" ht="15" customHeight="1">
      <c r="A571" t="inlineStr">
        <is>
          <t>A 45821-2024</t>
        </is>
      </c>
      <c r="B571" s="1" t="n">
        <v>45579</v>
      </c>
      <c r="C571" s="1" t="n">
        <v>46196</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53647-2021</t>
        </is>
      </c>
      <c r="B572" s="1" t="n">
        <v>44469</v>
      </c>
      <c r="C572" s="1" t="n">
        <v>46196</v>
      </c>
      <c r="D572" t="inlineStr">
        <is>
          <t>ÖSTERGÖTLANDS LÄN</t>
        </is>
      </c>
      <c r="E572" t="inlineStr">
        <is>
          <t>LINKÖPING</t>
        </is>
      </c>
      <c r="G572" t="n">
        <v>2.3</v>
      </c>
      <c r="H572" t="n">
        <v>0</v>
      </c>
      <c r="I572" t="n">
        <v>0</v>
      </c>
      <c r="J572" t="n">
        <v>0</v>
      </c>
      <c r="K572" t="n">
        <v>0</v>
      </c>
      <c r="L572" t="n">
        <v>0</v>
      </c>
      <c r="M572" t="n">
        <v>0</v>
      </c>
      <c r="N572" t="n">
        <v>0</v>
      </c>
      <c r="O572" t="n">
        <v>0</v>
      </c>
      <c r="P572" t="n">
        <v>0</v>
      </c>
      <c r="Q572" t="n">
        <v>0</v>
      </c>
      <c r="R572" s="2" t="inlineStr"/>
    </row>
    <row r="573" ht="15" customHeight="1">
      <c r="A573" t="inlineStr">
        <is>
          <t>A 6599-2023</t>
        </is>
      </c>
      <c r="B573" s="1" t="n">
        <v>44966</v>
      </c>
      <c r="C573" s="1" t="n">
        <v>46196</v>
      </c>
      <c r="D573" t="inlineStr">
        <is>
          <t>ÖSTERGÖTLANDS LÄN</t>
        </is>
      </c>
      <c r="E573" t="inlineStr">
        <is>
          <t>LINKÖPING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35735-2023</t>
        </is>
      </c>
      <c r="B574" s="1" t="n">
        <v>45147</v>
      </c>
      <c r="C574" s="1" t="n">
        <v>46196</v>
      </c>
      <c r="D574" t="inlineStr">
        <is>
          <t>ÖSTERGÖTLANDS LÄN</t>
        </is>
      </c>
      <c r="E574" t="inlineStr">
        <is>
          <t>LINKÖPING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45831-2024</t>
        </is>
      </c>
      <c r="B575" s="1" t="n">
        <v>45579</v>
      </c>
      <c r="C575" s="1" t="n">
        <v>46196</v>
      </c>
      <c r="D575" t="inlineStr">
        <is>
          <t>ÖSTERGÖTLANDS LÄN</t>
        </is>
      </c>
      <c r="E575" t="inlineStr">
        <is>
          <t>LINKÖPING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37154-2023</t>
        </is>
      </c>
      <c r="B576" s="1" t="n">
        <v>45155</v>
      </c>
      <c r="C576" s="1" t="n">
        <v>46196</v>
      </c>
      <c r="D576" t="inlineStr">
        <is>
          <t>ÖSTERGÖTLANDS LÄN</t>
        </is>
      </c>
      <c r="E576" t="inlineStr">
        <is>
          <t>LINKÖPING</t>
        </is>
      </c>
      <c r="G576" t="n">
        <v>1.7</v>
      </c>
      <c r="H576" t="n">
        <v>0</v>
      </c>
      <c r="I576" t="n">
        <v>0</v>
      </c>
      <c r="J576" t="n">
        <v>0</v>
      </c>
      <c r="K576" t="n">
        <v>0</v>
      </c>
      <c r="L576" t="n">
        <v>0</v>
      </c>
      <c r="M576" t="n">
        <v>0</v>
      </c>
      <c r="N576" t="n">
        <v>0</v>
      </c>
      <c r="O576" t="n">
        <v>0</v>
      </c>
      <c r="P576" t="n">
        <v>0</v>
      </c>
      <c r="Q576" t="n">
        <v>0</v>
      </c>
      <c r="R576" s="2" t="inlineStr"/>
    </row>
    <row r="577" ht="15" customHeight="1">
      <c r="A577" t="inlineStr">
        <is>
          <t>A 53812-2023</t>
        </is>
      </c>
      <c r="B577" s="1" t="n">
        <v>45231</v>
      </c>
      <c r="C577" s="1" t="n">
        <v>46196</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53830-2023</t>
        </is>
      </c>
      <c r="B578" s="1" t="n">
        <v>45230</v>
      </c>
      <c r="C578" s="1" t="n">
        <v>46196</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53816-2023</t>
        </is>
      </c>
      <c r="B579" s="1" t="n">
        <v>45231</v>
      </c>
      <c r="C579" s="1" t="n">
        <v>46196</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63935-2021</t>
        </is>
      </c>
      <c r="B580" s="1" t="n">
        <v>44509</v>
      </c>
      <c r="C580" s="1" t="n">
        <v>46196</v>
      </c>
      <c r="D580" t="inlineStr">
        <is>
          <t>ÖSTERGÖTLANDS LÄN</t>
        </is>
      </c>
      <c r="E580" t="inlineStr">
        <is>
          <t>LINKÖPING</t>
        </is>
      </c>
      <c r="F580" t="inlineStr">
        <is>
          <t>Övriga statliga verk och myndigheter</t>
        </is>
      </c>
      <c r="G580" t="n">
        <v>2.8</v>
      </c>
      <c r="H580" t="n">
        <v>0</v>
      </c>
      <c r="I580" t="n">
        <v>0</v>
      </c>
      <c r="J580" t="n">
        <v>0</v>
      </c>
      <c r="K580" t="n">
        <v>0</v>
      </c>
      <c r="L580" t="n">
        <v>0</v>
      </c>
      <c r="M580" t="n">
        <v>0</v>
      </c>
      <c r="N580" t="n">
        <v>0</v>
      </c>
      <c r="O580" t="n">
        <v>0</v>
      </c>
      <c r="P580" t="n">
        <v>0</v>
      </c>
      <c r="Q580" t="n">
        <v>0</v>
      </c>
      <c r="R580" s="2" t="inlineStr"/>
    </row>
    <row r="581" ht="15" customHeight="1">
      <c r="A581" t="inlineStr">
        <is>
          <t>A 6726-2024</t>
        </is>
      </c>
      <c r="B581" s="1" t="n">
        <v>45341</v>
      </c>
      <c r="C581" s="1" t="n">
        <v>46196</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29309-2024</t>
        </is>
      </c>
      <c r="B582" s="1" t="n">
        <v>45483</v>
      </c>
      <c r="C582" s="1" t="n">
        <v>46196</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53411-2023</t>
        </is>
      </c>
      <c r="B583" s="1" t="n">
        <v>45229</v>
      </c>
      <c r="C583" s="1" t="n">
        <v>46196</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26788-2022</t>
        </is>
      </c>
      <c r="B584" s="1" t="n">
        <v>44740</v>
      </c>
      <c r="C584" s="1" t="n">
        <v>46196</v>
      </c>
      <c r="D584" t="inlineStr">
        <is>
          <t>ÖSTERGÖTLANDS LÄN</t>
        </is>
      </c>
      <c r="E584" t="inlineStr">
        <is>
          <t>LINKÖPING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24462-2023</t>
        </is>
      </c>
      <c r="B585" s="1" t="n">
        <v>45082</v>
      </c>
      <c r="C585" s="1" t="n">
        <v>46196</v>
      </c>
      <c r="D585" t="inlineStr">
        <is>
          <t>ÖSTERGÖTLANDS LÄN</t>
        </is>
      </c>
      <c r="E585" t="inlineStr">
        <is>
          <t>LINKÖPING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62015-2024</t>
        </is>
      </c>
      <c r="B586" s="1" t="n">
        <v>45655</v>
      </c>
      <c r="C586" s="1" t="n">
        <v>46196</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10741-2023</t>
        </is>
      </c>
      <c r="B587" s="1" t="n">
        <v>44988</v>
      </c>
      <c r="C587" s="1" t="n">
        <v>46196</v>
      </c>
      <c r="D587" t="inlineStr">
        <is>
          <t>ÖSTERGÖTLANDS LÄN</t>
        </is>
      </c>
      <c r="E587" t="inlineStr">
        <is>
          <t>LINKÖPING</t>
        </is>
      </c>
      <c r="F587" t="inlineStr">
        <is>
          <t>Allmännings- och besparingsskogar</t>
        </is>
      </c>
      <c r="G587" t="n">
        <v>11.2</v>
      </c>
      <c r="H587" t="n">
        <v>0</v>
      </c>
      <c r="I587" t="n">
        <v>0</v>
      </c>
      <c r="J587" t="n">
        <v>0</v>
      </c>
      <c r="K587" t="n">
        <v>0</v>
      </c>
      <c r="L587" t="n">
        <v>0</v>
      </c>
      <c r="M587" t="n">
        <v>0</v>
      </c>
      <c r="N587" t="n">
        <v>0</v>
      </c>
      <c r="O587" t="n">
        <v>0</v>
      </c>
      <c r="P587" t="n">
        <v>0</v>
      </c>
      <c r="Q587" t="n">
        <v>0</v>
      </c>
      <c r="R587" s="2" t="inlineStr"/>
    </row>
    <row r="588" ht="15" customHeight="1">
      <c r="A588" t="inlineStr">
        <is>
          <t>A 43473-2024</t>
        </is>
      </c>
      <c r="B588" s="1" t="n">
        <v>45568</v>
      </c>
      <c r="C588" s="1" t="n">
        <v>46196</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43475-2024</t>
        </is>
      </c>
      <c r="B589" s="1" t="n">
        <v>45568</v>
      </c>
      <c r="C589" s="1" t="n">
        <v>46196</v>
      </c>
      <c r="D589" t="inlineStr">
        <is>
          <t>ÖSTERGÖTLANDS LÄN</t>
        </is>
      </c>
      <c r="E589" t="inlineStr">
        <is>
          <t>LINKÖPING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29859-2024</t>
        </is>
      </c>
      <c r="B590" s="1" t="n">
        <v>45485</v>
      </c>
      <c r="C590" s="1" t="n">
        <v>46196</v>
      </c>
      <c r="D590" t="inlineStr">
        <is>
          <t>ÖSTERGÖTLANDS LÄN</t>
        </is>
      </c>
      <c r="E590" t="inlineStr">
        <is>
          <t>LINKÖPING</t>
        </is>
      </c>
      <c r="G590" t="n">
        <v>0.4</v>
      </c>
      <c r="H590" t="n">
        <v>0</v>
      </c>
      <c r="I590" t="n">
        <v>0</v>
      </c>
      <c r="J590" t="n">
        <v>0</v>
      </c>
      <c r="K590" t="n">
        <v>0</v>
      </c>
      <c r="L590" t="n">
        <v>0</v>
      </c>
      <c r="M590" t="n">
        <v>0</v>
      </c>
      <c r="N590" t="n">
        <v>0</v>
      </c>
      <c r="O590" t="n">
        <v>0</v>
      </c>
      <c r="P590" t="n">
        <v>0</v>
      </c>
      <c r="Q590" t="n">
        <v>0</v>
      </c>
      <c r="R590" s="2" t="inlineStr"/>
    </row>
    <row r="591" ht="15" customHeight="1">
      <c r="A591" t="inlineStr">
        <is>
          <t>A 45819-2024</t>
        </is>
      </c>
      <c r="B591" s="1" t="n">
        <v>45579</v>
      </c>
      <c r="C591" s="1" t="n">
        <v>46196</v>
      </c>
      <c r="D591" t="inlineStr">
        <is>
          <t>ÖSTERGÖTLANDS LÄN</t>
        </is>
      </c>
      <c r="E591" t="inlineStr">
        <is>
          <t>LINKÖPING</t>
        </is>
      </c>
      <c r="G591" t="n">
        <v>5</v>
      </c>
      <c r="H591" t="n">
        <v>0</v>
      </c>
      <c r="I591" t="n">
        <v>0</v>
      </c>
      <c r="J591" t="n">
        <v>0</v>
      </c>
      <c r="K591" t="n">
        <v>0</v>
      </c>
      <c r="L591" t="n">
        <v>0</v>
      </c>
      <c r="M591" t="n">
        <v>0</v>
      </c>
      <c r="N591" t="n">
        <v>0</v>
      </c>
      <c r="O591" t="n">
        <v>0</v>
      </c>
      <c r="P591" t="n">
        <v>0</v>
      </c>
      <c r="Q591" t="n">
        <v>0</v>
      </c>
      <c r="R591" s="2" t="inlineStr"/>
    </row>
    <row r="592" ht="15" customHeight="1">
      <c r="A592" t="inlineStr">
        <is>
          <t>A 15754-2025</t>
        </is>
      </c>
      <c r="B592" s="1" t="n">
        <v>45748</v>
      </c>
      <c r="C592" s="1" t="n">
        <v>46196</v>
      </c>
      <c r="D592" t="inlineStr">
        <is>
          <t>ÖSTERGÖTLANDS LÄN</t>
        </is>
      </c>
      <c r="E592" t="inlineStr">
        <is>
          <t>LINKÖPING</t>
        </is>
      </c>
      <c r="G592" t="n">
        <v>1.7</v>
      </c>
      <c r="H592" t="n">
        <v>0</v>
      </c>
      <c r="I592" t="n">
        <v>0</v>
      </c>
      <c r="J592" t="n">
        <v>0</v>
      </c>
      <c r="K592" t="n">
        <v>0</v>
      </c>
      <c r="L592" t="n">
        <v>0</v>
      </c>
      <c r="M592" t="n">
        <v>0</v>
      </c>
      <c r="N592" t="n">
        <v>0</v>
      </c>
      <c r="O592" t="n">
        <v>0</v>
      </c>
      <c r="P592" t="n">
        <v>0</v>
      </c>
      <c r="Q592" t="n">
        <v>0</v>
      </c>
      <c r="R592" s="2" t="inlineStr"/>
    </row>
    <row r="593" ht="15" customHeight="1">
      <c r="A593" t="inlineStr">
        <is>
          <t>A 30518-2024</t>
        </is>
      </c>
      <c r="B593" s="1" t="n">
        <v>45492</v>
      </c>
      <c r="C593" s="1" t="n">
        <v>46196</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53797-2023</t>
        </is>
      </c>
      <c r="B594" s="1" t="n">
        <v>45230</v>
      </c>
      <c r="C594" s="1" t="n">
        <v>46196</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55345-2021</t>
        </is>
      </c>
      <c r="B595" s="1" t="n">
        <v>44475</v>
      </c>
      <c r="C595" s="1" t="n">
        <v>46196</v>
      </c>
      <c r="D595" t="inlineStr">
        <is>
          <t>ÖSTERGÖTLANDS LÄN</t>
        </is>
      </c>
      <c r="E595" t="inlineStr">
        <is>
          <t>LINKÖPING</t>
        </is>
      </c>
      <c r="G595" t="n">
        <v>5.7</v>
      </c>
      <c r="H595" t="n">
        <v>0</v>
      </c>
      <c r="I595" t="n">
        <v>0</v>
      </c>
      <c r="J595" t="n">
        <v>0</v>
      </c>
      <c r="K595" t="n">
        <v>0</v>
      </c>
      <c r="L595" t="n">
        <v>0</v>
      </c>
      <c r="M595" t="n">
        <v>0</v>
      </c>
      <c r="N595" t="n">
        <v>0</v>
      </c>
      <c r="O595" t="n">
        <v>0</v>
      </c>
      <c r="P595" t="n">
        <v>0</v>
      </c>
      <c r="Q595" t="n">
        <v>0</v>
      </c>
      <c r="R595" s="2" t="inlineStr"/>
    </row>
    <row r="596" ht="15" customHeight="1">
      <c r="A596" t="inlineStr">
        <is>
          <t>A 10198-2023</t>
        </is>
      </c>
      <c r="B596" s="1" t="n">
        <v>44986</v>
      </c>
      <c r="C596" s="1" t="n">
        <v>46196</v>
      </c>
      <c r="D596" t="inlineStr">
        <is>
          <t>ÖSTERGÖTLANDS LÄN</t>
        </is>
      </c>
      <c r="E596" t="inlineStr">
        <is>
          <t>LINKÖPING</t>
        </is>
      </c>
      <c r="G596" t="n">
        <v>4.6</v>
      </c>
      <c r="H596" t="n">
        <v>0</v>
      </c>
      <c r="I596" t="n">
        <v>0</v>
      </c>
      <c r="J596" t="n">
        <v>0</v>
      </c>
      <c r="K596" t="n">
        <v>0</v>
      </c>
      <c r="L596" t="n">
        <v>0</v>
      </c>
      <c r="M596" t="n">
        <v>0</v>
      </c>
      <c r="N596" t="n">
        <v>0</v>
      </c>
      <c r="O596" t="n">
        <v>0</v>
      </c>
      <c r="P596" t="n">
        <v>0</v>
      </c>
      <c r="Q596" t="n">
        <v>0</v>
      </c>
      <c r="R596" s="2" t="inlineStr"/>
    </row>
    <row r="597" ht="15" customHeight="1">
      <c r="A597" t="inlineStr">
        <is>
          <t>A 4298-2023</t>
        </is>
      </c>
      <c r="B597" s="1" t="n">
        <v>44953</v>
      </c>
      <c r="C597" s="1" t="n">
        <v>46196</v>
      </c>
      <c r="D597" t="inlineStr">
        <is>
          <t>ÖSTERGÖTLANDS LÄN</t>
        </is>
      </c>
      <c r="E597" t="inlineStr">
        <is>
          <t>LINKÖPING</t>
        </is>
      </c>
      <c r="G597" t="n">
        <v>2.8</v>
      </c>
      <c r="H597" t="n">
        <v>0</v>
      </c>
      <c r="I597" t="n">
        <v>0</v>
      </c>
      <c r="J597" t="n">
        <v>0</v>
      </c>
      <c r="K597" t="n">
        <v>0</v>
      </c>
      <c r="L597" t="n">
        <v>0</v>
      </c>
      <c r="M597" t="n">
        <v>0</v>
      </c>
      <c r="N597" t="n">
        <v>0</v>
      </c>
      <c r="O597" t="n">
        <v>0</v>
      </c>
      <c r="P597" t="n">
        <v>0</v>
      </c>
      <c r="Q597" t="n">
        <v>0</v>
      </c>
      <c r="R597" s="2" t="inlineStr"/>
    </row>
    <row r="598" ht="15" customHeight="1">
      <c r="A598" t="inlineStr">
        <is>
          <t>A 12428-2024</t>
        </is>
      </c>
      <c r="B598" s="1" t="n">
        <v>45379</v>
      </c>
      <c r="C598" s="1" t="n">
        <v>46196</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26618-2023</t>
        </is>
      </c>
      <c r="B599" s="1" t="n">
        <v>45092</v>
      </c>
      <c r="C599" s="1" t="n">
        <v>46196</v>
      </c>
      <c r="D599" t="inlineStr">
        <is>
          <t>ÖSTERGÖTLANDS LÄN</t>
        </is>
      </c>
      <c r="E599" t="inlineStr">
        <is>
          <t>LINKÖPING</t>
        </is>
      </c>
      <c r="G599" t="n">
        <v>6.9</v>
      </c>
      <c r="H599" t="n">
        <v>0</v>
      </c>
      <c r="I599" t="n">
        <v>0</v>
      </c>
      <c r="J599" t="n">
        <v>0</v>
      </c>
      <c r="K599" t="n">
        <v>0</v>
      </c>
      <c r="L599" t="n">
        <v>0</v>
      </c>
      <c r="M599" t="n">
        <v>0</v>
      </c>
      <c r="N599" t="n">
        <v>0</v>
      </c>
      <c r="O599" t="n">
        <v>0</v>
      </c>
      <c r="P599" t="n">
        <v>0</v>
      </c>
      <c r="Q599" t="n">
        <v>0</v>
      </c>
      <c r="R599" s="2" t="inlineStr"/>
    </row>
    <row r="600" ht="15" customHeight="1">
      <c r="A600" t="inlineStr">
        <is>
          <t>A 34930-2023</t>
        </is>
      </c>
      <c r="B600" s="1" t="n">
        <v>45142</v>
      </c>
      <c r="C600" s="1" t="n">
        <v>46196</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670-2024</t>
        </is>
      </c>
      <c r="B601" s="1" t="n">
        <v>45300</v>
      </c>
      <c r="C601" s="1" t="n">
        <v>46196</v>
      </c>
      <c r="D601" t="inlineStr">
        <is>
          <t>ÖSTERGÖTLANDS LÄN</t>
        </is>
      </c>
      <c r="E601" t="inlineStr">
        <is>
          <t>LINKÖPING</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63845-2021</t>
        </is>
      </c>
      <c r="B602" s="1" t="n">
        <v>44509</v>
      </c>
      <c r="C602" s="1" t="n">
        <v>46196</v>
      </c>
      <c r="D602" t="inlineStr">
        <is>
          <t>ÖSTERGÖTLANDS LÄN</t>
        </is>
      </c>
      <c r="E602" t="inlineStr">
        <is>
          <t>LINKÖPING</t>
        </is>
      </c>
      <c r="G602" t="n">
        <v>5</v>
      </c>
      <c r="H602" t="n">
        <v>0</v>
      </c>
      <c r="I602" t="n">
        <v>0</v>
      </c>
      <c r="J602" t="n">
        <v>0</v>
      </c>
      <c r="K602" t="n">
        <v>0</v>
      </c>
      <c r="L602" t="n">
        <v>0</v>
      </c>
      <c r="M602" t="n">
        <v>0</v>
      </c>
      <c r="N602" t="n">
        <v>0</v>
      </c>
      <c r="O602" t="n">
        <v>0</v>
      </c>
      <c r="P602" t="n">
        <v>0</v>
      </c>
      <c r="Q602" t="n">
        <v>0</v>
      </c>
      <c r="R602" s="2" t="inlineStr"/>
    </row>
    <row r="603" ht="15" customHeight="1">
      <c r="A603" t="inlineStr">
        <is>
          <t>A 36336-2023</t>
        </is>
      </c>
      <c r="B603" s="1" t="n">
        <v>45152</v>
      </c>
      <c r="C603" s="1" t="n">
        <v>46196</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48829-2023</t>
        </is>
      </c>
      <c r="B604" s="1" t="n">
        <v>45209</v>
      </c>
      <c r="C604" s="1" t="n">
        <v>46196</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48186-2022</t>
        </is>
      </c>
      <c r="B605" s="1" t="n">
        <v>44858</v>
      </c>
      <c r="C605" s="1" t="n">
        <v>46196</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63669-2023</t>
        </is>
      </c>
      <c r="B606" s="1" t="n">
        <v>45275</v>
      </c>
      <c r="C606" s="1" t="n">
        <v>46196</v>
      </c>
      <c r="D606" t="inlineStr">
        <is>
          <t>ÖSTERGÖTLANDS LÄN</t>
        </is>
      </c>
      <c r="E606" t="inlineStr">
        <is>
          <t>LINKÖPING</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59576-2024</t>
        </is>
      </c>
      <c r="B607" s="1" t="n">
        <v>45638</v>
      </c>
      <c r="C607" s="1" t="n">
        <v>46196</v>
      </c>
      <c r="D607" t="inlineStr">
        <is>
          <t>ÖSTERGÖTLANDS LÄN</t>
        </is>
      </c>
      <c r="E607" t="inlineStr">
        <is>
          <t>LINKÖPING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59642-2024</t>
        </is>
      </c>
      <c r="B608" s="1" t="n">
        <v>45639</v>
      </c>
      <c r="C608" s="1" t="n">
        <v>46196</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18916-2024</t>
        </is>
      </c>
      <c r="B609" s="1" t="n">
        <v>45427</v>
      </c>
      <c r="C609" s="1" t="n">
        <v>46196</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11084-2022</t>
        </is>
      </c>
      <c r="B610" s="1" t="n">
        <v>44628</v>
      </c>
      <c r="C610" s="1" t="n">
        <v>46196</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10203-2023</t>
        </is>
      </c>
      <c r="B611" s="1" t="n">
        <v>44986</v>
      </c>
      <c r="C611" s="1" t="n">
        <v>46196</v>
      </c>
      <c r="D611" t="inlineStr">
        <is>
          <t>ÖSTERGÖTLANDS LÄN</t>
        </is>
      </c>
      <c r="E611" t="inlineStr">
        <is>
          <t>LINKÖPING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2618-2023</t>
        </is>
      </c>
      <c r="B612" s="1" t="n">
        <v>44944</v>
      </c>
      <c r="C612" s="1" t="n">
        <v>46196</v>
      </c>
      <c r="D612" t="inlineStr">
        <is>
          <t>ÖSTERGÖTLANDS LÄN</t>
        </is>
      </c>
      <c r="E612" t="inlineStr">
        <is>
          <t>LINKÖPING</t>
        </is>
      </c>
      <c r="G612" t="n">
        <v>4.3</v>
      </c>
      <c r="H612" t="n">
        <v>0</v>
      </c>
      <c r="I612" t="n">
        <v>0</v>
      </c>
      <c r="J612" t="n">
        <v>0</v>
      </c>
      <c r="K612" t="n">
        <v>0</v>
      </c>
      <c r="L612" t="n">
        <v>0</v>
      </c>
      <c r="M612" t="n">
        <v>0</v>
      </c>
      <c r="N612" t="n">
        <v>0</v>
      </c>
      <c r="O612" t="n">
        <v>0</v>
      </c>
      <c r="P612" t="n">
        <v>0</v>
      </c>
      <c r="Q612" t="n">
        <v>0</v>
      </c>
      <c r="R612" s="2" t="inlineStr"/>
    </row>
    <row r="613" ht="15" customHeight="1">
      <c r="A613" t="inlineStr">
        <is>
          <t>A 62020-2024</t>
        </is>
      </c>
      <c r="B613" s="1" t="n">
        <v>45655</v>
      </c>
      <c r="C613" s="1" t="n">
        <v>46196</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62021-2024</t>
        </is>
      </c>
      <c r="B614" s="1" t="n">
        <v>45655</v>
      </c>
      <c r="C614" s="1" t="n">
        <v>46196</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49928-2024</t>
        </is>
      </c>
      <c r="B615" s="1" t="n">
        <v>45597</v>
      </c>
      <c r="C615" s="1" t="n">
        <v>46196</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51405-2023</t>
        </is>
      </c>
      <c r="B616" s="1" t="n">
        <v>45219</v>
      </c>
      <c r="C616" s="1" t="n">
        <v>46196</v>
      </c>
      <c r="D616" t="inlineStr">
        <is>
          <t>ÖSTERGÖTLANDS LÄN</t>
        </is>
      </c>
      <c r="E616" t="inlineStr">
        <is>
          <t>LINKÖPING</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11601-2023</t>
        </is>
      </c>
      <c r="B617" s="1" t="n">
        <v>44994</v>
      </c>
      <c r="C617" s="1" t="n">
        <v>46196</v>
      </c>
      <c r="D617" t="inlineStr">
        <is>
          <t>ÖSTERGÖTLANDS LÄN</t>
        </is>
      </c>
      <c r="E617" t="inlineStr">
        <is>
          <t>LINKÖPING</t>
        </is>
      </c>
      <c r="G617" t="n">
        <v>1.7</v>
      </c>
      <c r="H617" t="n">
        <v>0</v>
      </c>
      <c r="I617" t="n">
        <v>0</v>
      </c>
      <c r="J617" t="n">
        <v>0</v>
      </c>
      <c r="K617" t="n">
        <v>0</v>
      </c>
      <c r="L617" t="n">
        <v>0</v>
      </c>
      <c r="M617" t="n">
        <v>0</v>
      </c>
      <c r="N617" t="n">
        <v>0</v>
      </c>
      <c r="O617" t="n">
        <v>0</v>
      </c>
      <c r="P617" t="n">
        <v>0</v>
      </c>
      <c r="Q617" t="n">
        <v>0</v>
      </c>
      <c r="R617" s="2" t="inlineStr"/>
    </row>
    <row r="618" ht="15" customHeight="1">
      <c r="A618" t="inlineStr">
        <is>
          <t>A 40338-2024</t>
        </is>
      </c>
      <c r="B618" s="1" t="n">
        <v>45555</v>
      </c>
      <c r="C618" s="1" t="n">
        <v>46196</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7343-2025</t>
        </is>
      </c>
      <c r="B619" s="1" t="n">
        <v>45703</v>
      </c>
      <c r="C619" s="1" t="n">
        <v>46196</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48271-2023</t>
        </is>
      </c>
      <c r="B620" s="1" t="n">
        <v>45205</v>
      </c>
      <c r="C620" s="1" t="n">
        <v>46196</v>
      </c>
      <c r="D620" t="inlineStr">
        <is>
          <t>ÖSTERGÖTLANDS LÄN</t>
        </is>
      </c>
      <c r="E620" t="inlineStr">
        <is>
          <t>LINKÖPING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12720-2022</t>
        </is>
      </c>
      <c r="B621" s="1" t="n">
        <v>44641</v>
      </c>
      <c r="C621" s="1" t="n">
        <v>46196</v>
      </c>
      <c r="D621" t="inlineStr">
        <is>
          <t>ÖSTERGÖTLANDS LÄN</t>
        </is>
      </c>
      <c r="E621" t="inlineStr">
        <is>
          <t>LINKÖPING</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62018-2024</t>
        </is>
      </c>
      <c r="B622" s="1" t="n">
        <v>45655</v>
      </c>
      <c r="C622" s="1" t="n">
        <v>46196</v>
      </c>
      <c r="D622" t="inlineStr">
        <is>
          <t>ÖSTERGÖTLANDS LÄN</t>
        </is>
      </c>
      <c r="E622" t="inlineStr">
        <is>
          <t>LINKÖPING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30860-2022</t>
        </is>
      </c>
      <c r="B623" s="1" t="n">
        <v>44767</v>
      </c>
      <c r="C623" s="1" t="n">
        <v>46196</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60004-2022</t>
        </is>
      </c>
      <c r="B624" s="1" t="n">
        <v>44909</v>
      </c>
      <c r="C624" s="1" t="n">
        <v>46196</v>
      </c>
      <c r="D624" t="inlineStr">
        <is>
          <t>ÖSTERGÖTLANDS LÄN</t>
        </is>
      </c>
      <c r="E624" t="inlineStr">
        <is>
          <t>LINKÖPING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60010-2022</t>
        </is>
      </c>
      <c r="B625" s="1" t="n">
        <v>44909</v>
      </c>
      <c r="C625" s="1" t="n">
        <v>46196</v>
      </c>
      <c r="D625" t="inlineStr">
        <is>
          <t>ÖSTERGÖTLANDS LÄN</t>
        </is>
      </c>
      <c r="E625" t="inlineStr">
        <is>
          <t>LINKÖPING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53827-2023</t>
        </is>
      </c>
      <c r="B626" s="1" t="n">
        <v>45230</v>
      </c>
      <c r="C626" s="1" t="n">
        <v>46196</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61649-2023</t>
        </is>
      </c>
      <c r="B627" s="1" t="n">
        <v>45265</v>
      </c>
      <c r="C627" s="1" t="n">
        <v>46196</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223-2024</t>
        </is>
      </c>
      <c r="B628" s="1" t="n">
        <v>45294</v>
      </c>
      <c r="C628" s="1" t="n">
        <v>46196</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19464-2024</t>
        </is>
      </c>
      <c r="B629" s="1" t="n">
        <v>45429</v>
      </c>
      <c r="C629" s="1" t="n">
        <v>46196</v>
      </c>
      <c r="D629" t="inlineStr">
        <is>
          <t>ÖSTERGÖTLANDS LÄN</t>
        </is>
      </c>
      <c r="E629" t="inlineStr">
        <is>
          <t>LINKÖPING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630-2024</t>
        </is>
      </c>
      <c r="B630" s="1" t="n">
        <v>45299</v>
      </c>
      <c r="C630" s="1" t="n">
        <v>46196</v>
      </c>
      <c r="D630" t="inlineStr">
        <is>
          <t>ÖSTERGÖTLANDS LÄN</t>
        </is>
      </c>
      <c r="E630" t="inlineStr">
        <is>
          <t>LINKÖPING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30433-2024</t>
        </is>
      </c>
      <c r="B631" s="1" t="n">
        <v>45491</v>
      </c>
      <c r="C631" s="1" t="n">
        <v>46196</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63528-2023</t>
        </is>
      </c>
      <c r="B632" s="1" t="n">
        <v>45274</v>
      </c>
      <c r="C632" s="1" t="n">
        <v>46196</v>
      </c>
      <c r="D632" t="inlineStr">
        <is>
          <t>ÖSTERGÖTLANDS LÄN</t>
        </is>
      </c>
      <c r="E632" t="inlineStr">
        <is>
          <t>LINKÖPING</t>
        </is>
      </c>
      <c r="G632" t="n">
        <v>1.6</v>
      </c>
      <c r="H632" t="n">
        <v>0</v>
      </c>
      <c r="I632" t="n">
        <v>0</v>
      </c>
      <c r="J632" t="n">
        <v>0</v>
      </c>
      <c r="K632" t="n">
        <v>0</v>
      </c>
      <c r="L632" t="n">
        <v>0</v>
      </c>
      <c r="M632" t="n">
        <v>0</v>
      </c>
      <c r="N632" t="n">
        <v>0</v>
      </c>
      <c r="O632" t="n">
        <v>0</v>
      </c>
      <c r="P632" t="n">
        <v>0</v>
      </c>
      <c r="Q632" t="n">
        <v>0</v>
      </c>
      <c r="R632" s="2" t="inlineStr"/>
    </row>
    <row r="633" ht="15" customHeight="1">
      <c r="A633" t="inlineStr">
        <is>
          <t>A 61936-2023</t>
        </is>
      </c>
      <c r="B633" s="1" t="n">
        <v>45266</v>
      </c>
      <c r="C633" s="1" t="n">
        <v>46196</v>
      </c>
      <c r="D633" t="inlineStr">
        <is>
          <t>ÖSTERGÖTLANDS LÄN</t>
        </is>
      </c>
      <c r="E633" t="inlineStr">
        <is>
          <t>LINKÖPING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62492-2023</t>
        </is>
      </c>
      <c r="B634" s="1" t="n">
        <v>45268</v>
      </c>
      <c r="C634" s="1" t="n">
        <v>46196</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674-2024</t>
        </is>
      </c>
      <c r="B635" s="1" t="n">
        <v>45300</v>
      </c>
      <c r="C635" s="1" t="n">
        <v>46196</v>
      </c>
      <c r="D635" t="inlineStr">
        <is>
          <t>ÖSTERGÖTLANDS LÄN</t>
        </is>
      </c>
      <c r="E635" t="inlineStr">
        <is>
          <t>LINKÖPING</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6782-2024</t>
        </is>
      </c>
      <c r="B636" s="1" t="n">
        <v>45342</v>
      </c>
      <c r="C636" s="1" t="n">
        <v>46196</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10094-2024</t>
        </is>
      </c>
      <c r="B637" s="1" t="n">
        <v>45364</v>
      </c>
      <c r="C637" s="1" t="n">
        <v>46196</v>
      </c>
      <c r="D637" t="inlineStr">
        <is>
          <t>ÖSTERGÖTLANDS LÄN</t>
        </is>
      </c>
      <c r="E637" t="inlineStr">
        <is>
          <t>LINKÖPING</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63684-2023</t>
        </is>
      </c>
      <c r="B638" s="1" t="n">
        <v>45275</v>
      </c>
      <c r="C638" s="1" t="n">
        <v>46196</v>
      </c>
      <c r="D638" t="inlineStr">
        <is>
          <t>ÖSTERGÖTLANDS LÄN</t>
        </is>
      </c>
      <c r="E638" t="inlineStr">
        <is>
          <t>LINKÖPING</t>
        </is>
      </c>
      <c r="G638" t="n">
        <v>0.4</v>
      </c>
      <c r="H638" t="n">
        <v>0</v>
      </c>
      <c r="I638" t="n">
        <v>0</v>
      </c>
      <c r="J638" t="n">
        <v>0</v>
      </c>
      <c r="K638" t="n">
        <v>0</v>
      </c>
      <c r="L638" t="n">
        <v>0</v>
      </c>
      <c r="M638" t="n">
        <v>0</v>
      </c>
      <c r="N638" t="n">
        <v>0</v>
      </c>
      <c r="O638" t="n">
        <v>0</v>
      </c>
      <c r="P638" t="n">
        <v>0</v>
      </c>
      <c r="Q638" t="n">
        <v>0</v>
      </c>
      <c r="R638" s="2" t="inlineStr"/>
    </row>
    <row r="639" ht="15" customHeight="1">
      <c r="A639" t="inlineStr">
        <is>
          <t>A 63688-2023</t>
        </is>
      </c>
      <c r="B639" s="1" t="n">
        <v>45275</v>
      </c>
      <c r="C639" s="1" t="n">
        <v>46196</v>
      </c>
      <c r="D639" t="inlineStr">
        <is>
          <t>ÖSTERGÖTLANDS LÄN</t>
        </is>
      </c>
      <c r="E639" t="inlineStr">
        <is>
          <t>LINKÖPING</t>
        </is>
      </c>
      <c r="F639" t="inlineStr">
        <is>
          <t>Övriga Aktiebolag</t>
        </is>
      </c>
      <c r="G639" t="n">
        <v>2.4</v>
      </c>
      <c r="H639" t="n">
        <v>0</v>
      </c>
      <c r="I639" t="n">
        <v>0</v>
      </c>
      <c r="J639" t="n">
        <v>0</v>
      </c>
      <c r="K639" t="n">
        <v>0</v>
      </c>
      <c r="L639" t="n">
        <v>0</v>
      </c>
      <c r="M639" t="n">
        <v>0</v>
      </c>
      <c r="N639" t="n">
        <v>0</v>
      </c>
      <c r="O639" t="n">
        <v>0</v>
      </c>
      <c r="P639" t="n">
        <v>0</v>
      </c>
      <c r="Q639" t="n">
        <v>0</v>
      </c>
      <c r="R639" s="2" t="inlineStr"/>
    </row>
    <row r="640" ht="15" customHeight="1">
      <c r="A640" t="inlineStr">
        <is>
          <t>A 63691-2023</t>
        </is>
      </c>
      <c r="B640" s="1" t="n">
        <v>45275</v>
      </c>
      <c r="C640" s="1" t="n">
        <v>46196</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36657-2023</t>
        </is>
      </c>
      <c r="B641" s="1" t="n">
        <v>45153</v>
      </c>
      <c r="C641" s="1" t="n">
        <v>46196</v>
      </c>
      <c r="D641" t="inlineStr">
        <is>
          <t>ÖSTERGÖTLANDS LÄN</t>
        </is>
      </c>
      <c r="E641" t="inlineStr">
        <is>
          <t>LINKÖPING</t>
        </is>
      </c>
      <c r="F641" t="inlineStr">
        <is>
          <t>Allmännings- och besparingsskogar</t>
        </is>
      </c>
      <c r="G641" t="n">
        <v>2</v>
      </c>
      <c r="H641" t="n">
        <v>0</v>
      </c>
      <c r="I641" t="n">
        <v>0</v>
      </c>
      <c r="J641" t="n">
        <v>0</v>
      </c>
      <c r="K641" t="n">
        <v>0</v>
      </c>
      <c r="L641" t="n">
        <v>0</v>
      </c>
      <c r="M641" t="n">
        <v>0</v>
      </c>
      <c r="N641" t="n">
        <v>0</v>
      </c>
      <c r="O641" t="n">
        <v>0</v>
      </c>
      <c r="P641" t="n">
        <v>0</v>
      </c>
      <c r="Q641" t="n">
        <v>0</v>
      </c>
      <c r="R641" s="2" t="inlineStr"/>
    </row>
    <row r="642" ht="15" customHeight="1">
      <c r="A642" t="inlineStr">
        <is>
          <t>A 14667-2024</t>
        </is>
      </c>
      <c r="B642" s="1" t="n">
        <v>45397</v>
      </c>
      <c r="C642" s="1" t="n">
        <v>46196</v>
      </c>
      <c r="D642" t="inlineStr">
        <is>
          <t>ÖSTERGÖTLANDS LÄN</t>
        </is>
      </c>
      <c r="E642" t="inlineStr">
        <is>
          <t>LINKÖPING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15714-2024</t>
        </is>
      </c>
      <c r="B643" s="1" t="n">
        <v>45404</v>
      </c>
      <c r="C643" s="1" t="n">
        <v>46196</v>
      </c>
      <c r="D643" t="inlineStr">
        <is>
          <t>ÖSTERGÖTLANDS LÄN</t>
        </is>
      </c>
      <c r="E643" t="inlineStr">
        <is>
          <t>LINKÖPING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37715-2022</t>
        </is>
      </c>
      <c r="B644" s="1" t="n">
        <v>44810</v>
      </c>
      <c r="C644" s="1" t="n">
        <v>46196</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30435-2024</t>
        </is>
      </c>
      <c r="B645" s="1" t="n">
        <v>45491</v>
      </c>
      <c r="C645" s="1" t="n">
        <v>46196</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38231-2022</t>
        </is>
      </c>
      <c r="B646" s="1" t="n">
        <v>44812</v>
      </c>
      <c r="C646" s="1" t="n">
        <v>46196</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34557-2022</t>
        </is>
      </c>
      <c r="B647" s="1" t="n">
        <v>44794</v>
      </c>
      <c r="C647" s="1" t="n">
        <v>46196</v>
      </c>
      <c r="D647" t="inlineStr">
        <is>
          <t>ÖSTERGÖTLANDS LÄN</t>
        </is>
      </c>
      <c r="E647" t="inlineStr">
        <is>
          <t>LINKÖPING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13011-2022</t>
        </is>
      </c>
      <c r="B648" s="1" t="n">
        <v>44643</v>
      </c>
      <c r="C648" s="1" t="n">
        <v>46196</v>
      </c>
      <c r="D648" t="inlineStr">
        <is>
          <t>ÖSTERGÖTLANDS LÄN</t>
        </is>
      </c>
      <c r="E648" t="inlineStr">
        <is>
          <t>LINKÖPING</t>
        </is>
      </c>
      <c r="G648" t="n">
        <v>3.7</v>
      </c>
      <c r="H648" t="n">
        <v>0</v>
      </c>
      <c r="I648" t="n">
        <v>0</v>
      </c>
      <c r="J648" t="n">
        <v>0</v>
      </c>
      <c r="K648" t="n">
        <v>0</v>
      </c>
      <c r="L648" t="n">
        <v>0</v>
      </c>
      <c r="M648" t="n">
        <v>0</v>
      </c>
      <c r="N648" t="n">
        <v>0</v>
      </c>
      <c r="O648" t="n">
        <v>0</v>
      </c>
      <c r="P648" t="n">
        <v>0</v>
      </c>
      <c r="Q648" t="n">
        <v>0</v>
      </c>
      <c r="R648" s="2" t="inlineStr"/>
    </row>
    <row r="649" ht="15" customHeight="1">
      <c r="A649" t="inlineStr">
        <is>
          <t>A 617-2024</t>
        </is>
      </c>
      <c r="B649" s="1" t="n">
        <v>45299</v>
      </c>
      <c r="C649" s="1" t="n">
        <v>46196</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19362-2023</t>
        </is>
      </c>
      <c r="B650" s="1" t="n">
        <v>45049</v>
      </c>
      <c r="C650" s="1" t="n">
        <v>46196</v>
      </c>
      <c r="D650" t="inlineStr">
        <is>
          <t>ÖSTERGÖTLANDS LÄN</t>
        </is>
      </c>
      <c r="E650" t="inlineStr">
        <is>
          <t>LINKÖPING</t>
        </is>
      </c>
      <c r="G650" t="n">
        <v>0.1</v>
      </c>
      <c r="H650" t="n">
        <v>0</v>
      </c>
      <c r="I650" t="n">
        <v>0</v>
      </c>
      <c r="J650" t="n">
        <v>0</v>
      </c>
      <c r="K650" t="n">
        <v>0</v>
      </c>
      <c r="L650" t="n">
        <v>0</v>
      </c>
      <c r="M650" t="n">
        <v>0</v>
      </c>
      <c r="N650" t="n">
        <v>0</v>
      </c>
      <c r="O650" t="n">
        <v>0</v>
      </c>
      <c r="P650" t="n">
        <v>0</v>
      </c>
      <c r="Q650" t="n">
        <v>0</v>
      </c>
      <c r="R650" s="2" t="inlineStr"/>
    </row>
    <row r="651" ht="15" customHeight="1">
      <c r="A651" t="inlineStr">
        <is>
          <t>A 19132-2023</t>
        </is>
      </c>
      <c r="B651" s="1" t="n">
        <v>45048</v>
      </c>
      <c r="C651" s="1" t="n">
        <v>46196</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20296-2025</t>
        </is>
      </c>
      <c r="B652" s="1" t="n">
        <v>45774</v>
      </c>
      <c r="C652" s="1" t="n">
        <v>46196</v>
      </c>
      <c r="D652" t="inlineStr">
        <is>
          <t>ÖSTERGÖTLANDS LÄN</t>
        </is>
      </c>
      <c r="E652" t="inlineStr">
        <is>
          <t>LINKÖPING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48839-2022</t>
        </is>
      </c>
      <c r="B653" s="1" t="n">
        <v>44859</v>
      </c>
      <c r="C653" s="1" t="n">
        <v>46196</v>
      </c>
      <c r="D653" t="inlineStr">
        <is>
          <t>ÖSTERGÖTLANDS LÄN</t>
        </is>
      </c>
      <c r="E653" t="inlineStr">
        <is>
          <t>LINKÖPING</t>
        </is>
      </c>
      <c r="F653" t="inlineStr">
        <is>
          <t>Övriga Aktiebolag</t>
        </is>
      </c>
      <c r="G653" t="n">
        <v>0.6</v>
      </c>
      <c r="H653" t="n">
        <v>0</v>
      </c>
      <c r="I653" t="n">
        <v>0</v>
      </c>
      <c r="J653" t="n">
        <v>0</v>
      </c>
      <c r="K653" t="n">
        <v>0</v>
      </c>
      <c r="L653" t="n">
        <v>0</v>
      </c>
      <c r="M653" t="n">
        <v>0</v>
      </c>
      <c r="N653" t="n">
        <v>0</v>
      </c>
      <c r="O653" t="n">
        <v>0</v>
      </c>
      <c r="P653" t="n">
        <v>0</v>
      </c>
      <c r="Q653" t="n">
        <v>0</v>
      </c>
      <c r="R653" s="2" t="inlineStr"/>
    </row>
    <row r="654" ht="15" customHeight="1">
      <c r="A654" t="inlineStr">
        <is>
          <t>A 63678-2023</t>
        </is>
      </c>
      <c r="B654" s="1" t="n">
        <v>45275</v>
      </c>
      <c r="C654" s="1" t="n">
        <v>46196</v>
      </c>
      <c r="D654" t="inlineStr">
        <is>
          <t>ÖSTERGÖTLANDS LÄN</t>
        </is>
      </c>
      <c r="E654" t="inlineStr">
        <is>
          <t>LINKÖPING</t>
        </is>
      </c>
      <c r="F654" t="inlineStr">
        <is>
          <t>Övriga Aktiebolag</t>
        </is>
      </c>
      <c r="G654" t="n">
        <v>0.4</v>
      </c>
      <c r="H654" t="n">
        <v>0</v>
      </c>
      <c r="I654" t="n">
        <v>0</v>
      </c>
      <c r="J654" t="n">
        <v>0</v>
      </c>
      <c r="K654" t="n">
        <v>0</v>
      </c>
      <c r="L654" t="n">
        <v>0</v>
      </c>
      <c r="M654" t="n">
        <v>0</v>
      </c>
      <c r="N654" t="n">
        <v>0</v>
      </c>
      <c r="O654" t="n">
        <v>0</v>
      </c>
      <c r="P654" t="n">
        <v>0</v>
      </c>
      <c r="Q654" t="n">
        <v>0</v>
      </c>
      <c r="R654" s="2" t="inlineStr"/>
    </row>
    <row r="655" ht="15" customHeight="1">
      <c r="A655" t="inlineStr">
        <is>
          <t>A 1844-2025</t>
        </is>
      </c>
      <c r="B655" s="1" t="n">
        <v>45671</v>
      </c>
      <c r="C655" s="1" t="n">
        <v>46196</v>
      </c>
      <c r="D655" t="inlineStr">
        <is>
          <t>ÖSTERGÖTLANDS LÄN</t>
        </is>
      </c>
      <c r="E655" t="inlineStr">
        <is>
          <t>LINKÖPING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21165-2025</t>
        </is>
      </c>
      <c r="B656" s="1" t="n">
        <v>45779</v>
      </c>
      <c r="C656" s="1" t="n">
        <v>46196</v>
      </c>
      <c r="D656" t="inlineStr">
        <is>
          <t>ÖSTERGÖTLANDS LÄN</t>
        </is>
      </c>
      <c r="E656" t="inlineStr">
        <is>
          <t>LINKÖPING</t>
        </is>
      </c>
      <c r="G656" t="n">
        <v>1.2</v>
      </c>
      <c r="H656" t="n">
        <v>0</v>
      </c>
      <c r="I656" t="n">
        <v>0</v>
      </c>
      <c r="J656" t="n">
        <v>0</v>
      </c>
      <c r="K656" t="n">
        <v>0</v>
      </c>
      <c r="L656" t="n">
        <v>0</v>
      </c>
      <c r="M656" t="n">
        <v>0</v>
      </c>
      <c r="N656" t="n">
        <v>0</v>
      </c>
      <c r="O656" t="n">
        <v>0</v>
      </c>
      <c r="P656" t="n">
        <v>0</v>
      </c>
      <c r="Q656" t="n">
        <v>0</v>
      </c>
      <c r="R656" s="2" t="inlineStr"/>
    </row>
    <row r="657">
      <c r="A657" t="inlineStr">
        <is>
          <t>A 21155-2025</t>
        </is>
      </c>
      <c r="B657" s="1" t="n">
        <v>45779</v>
      </c>
      <c r="C657" s="1" t="n">
        <v>46196</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2026-06-23T04:32:27Z</dcterms:created>
  <dcterms:modified xmlns:dcterms="http://purl.org/dc/terms/" xmlns:xsi="http://www.w3.org/2001/XMLSchema-instance" xsi:type="dcterms:W3CDTF">2026-06-23T04:32:27Z</dcterms:modified>
</cp:coreProperties>
</file>