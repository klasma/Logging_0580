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45986</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45986</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45986</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45986</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45986</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45986</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45986</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45986</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45986</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45986</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45986</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45986</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58068-2021</t>
        </is>
      </c>
      <c r="B24" s="1" t="n">
        <v>44487</v>
      </c>
      <c r="C24" s="1" t="n">
        <v>45986</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50404-2023</t>
        </is>
      </c>
      <c r="B25" s="1" t="n">
        <v>45216</v>
      </c>
      <c r="C25" s="1" t="n">
        <v>45986</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45986</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45986</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45986</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50048-2025</t>
        </is>
      </c>
      <c r="B29" s="1" t="n">
        <v>45941</v>
      </c>
      <c r="C29" s="1" t="n">
        <v>45986</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58068-2021</t>
        </is>
      </c>
      <c r="B30" s="1" t="n">
        <v>44487</v>
      </c>
      <c r="C30" s="1" t="n">
        <v>45986</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25985-2025</t>
        </is>
      </c>
      <c r="B31" s="1" t="n">
        <v>45804.64479166667</v>
      </c>
      <c r="C31" s="1" t="n">
        <v>45986</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22040-2023</t>
        </is>
      </c>
      <c r="B32" s="1" t="n">
        <v>45068</v>
      </c>
      <c r="C32" s="1" t="n">
        <v>45986</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45986</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45986</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45986</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45986</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45986</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45986</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45986</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45986</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45986</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45986</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45986</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45986</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45986</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45986</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45986</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45986</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45986</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45986</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45986</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45986</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45986</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22526-2025</t>
        </is>
      </c>
      <c r="B54" s="1" t="n">
        <v>45786.78096064815</v>
      </c>
      <c r="C54" s="1" t="n">
        <v>45986</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59948-2022</t>
        </is>
      </c>
      <c r="B55" s="1" t="n">
        <v>44909</v>
      </c>
      <c r="C55" s="1" t="n">
        <v>45986</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43989-2025</t>
        </is>
      </c>
      <c r="B56" s="1" t="n">
        <v>45915.44128472222</v>
      </c>
      <c r="C56" s="1" t="n">
        <v>45986</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27403-2025</t>
        </is>
      </c>
      <c r="B57" s="1" t="n">
        <v>45812.72518518518</v>
      </c>
      <c r="C57" s="1" t="n">
        <v>45986</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44760-2025</t>
        </is>
      </c>
      <c r="B58" s="1" t="n">
        <v>45917.71873842592</v>
      </c>
      <c r="C58" s="1" t="n">
        <v>45986</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37683-2024</t>
        </is>
      </c>
      <c r="B59" s="1" t="n">
        <v>45541.59120370371</v>
      </c>
      <c r="C59" s="1" t="n">
        <v>45986</v>
      </c>
      <c r="D59" t="inlineStr">
        <is>
          <t>ÖSTERGÖTLANDS LÄN</t>
        </is>
      </c>
      <c r="E59" t="inlineStr">
        <is>
          <t>LINKÖPING</t>
        </is>
      </c>
      <c r="G59" t="n">
        <v>0.6</v>
      </c>
      <c r="H59" t="n">
        <v>0</v>
      </c>
      <c r="I59" t="n">
        <v>1</v>
      </c>
      <c r="J59" t="n">
        <v>0</v>
      </c>
      <c r="K59" t="n">
        <v>0</v>
      </c>
      <c r="L59" t="n">
        <v>0</v>
      </c>
      <c r="M59" t="n">
        <v>0</v>
      </c>
      <c r="N59" t="n">
        <v>0</v>
      </c>
      <c r="O59" t="n">
        <v>0</v>
      </c>
      <c r="P59" t="n">
        <v>0</v>
      </c>
      <c r="Q59" t="n">
        <v>1</v>
      </c>
      <c r="R59" s="2" t="inlineStr">
        <is>
          <t>Tibast</t>
        </is>
      </c>
      <c r="S59">
        <f>HYPERLINK("https://klasma.github.io/Logging_0580/artfynd/A 37683-2024 artfynd.xlsx", "A 37683-2024")</f>
        <v/>
      </c>
      <c r="T59">
        <f>HYPERLINK("https://klasma.github.io/Logging_0580/kartor/A 37683-2024 karta.png", "A 37683-2024")</f>
        <v/>
      </c>
      <c r="V59">
        <f>HYPERLINK("https://klasma.github.io/Logging_0580/klagomål/A 37683-2024 FSC-klagomål.docx", "A 37683-2024")</f>
        <v/>
      </c>
      <c r="W59">
        <f>HYPERLINK("https://klasma.github.io/Logging_0580/klagomålsmail/A 37683-2024 FSC-klagomål mail.docx", "A 37683-2024")</f>
        <v/>
      </c>
      <c r="X59">
        <f>HYPERLINK("https://klasma.github.io/Logging_0580/tillsyn/A 37683-2024 tillsynsbegäran.docx", "A 37683-2024")</f>
        <v/>
      </c>
      <c r="Y59">
        <f>HYPERLINK("https://klasma.github.io/Logging_0580/tillsynsmail/A 37683-2024 tillsynsbegäran mail.docx", "A 37683-2024")</f>
        <v/>
      </c>
    </row>
    <row r="60" ht="15" customHeight="1">
      <c r="A60" t="inlineStr">
        <is>
          <t>A 56112-2025</t>
        </is>
      </c>
      <c r="B60" s="1" t="n">
        <v>45973.73625</v>
      </c>
      <c r="C60" s="1" t="n">
        <v>45986</v>
      </c>
      <c r="D60" t="inlineStr">
        <is>
          <t>ÖSTERGÖTLANDS LÄN</t>
        </is>
      </c>
      <c r="E60" t="inlineStr">
        <is>
          <t>LINKÖPING</t>
        </is>
      </c>
      <c r="G60" t="n">
        <v>0.6</v>
      </c>
      <c r="H60" t="n">
        <v>0</v>
      </c>
      <c r="I60" t="n">
        <v>0</v>
      </c>
      <c r="J60" t="n">
        <v>1</v>
      </c>
      <c r="K60" t="n">
        <v>0</v>
      </c>
      <c r="L60" t="n">
        <v>0</v>
      </c>
      <c r="M60" t="n">
        <v>0</v>
      </c>
      <c r="N60" t="n">
        <v>0</v>
      </c>
      <c r="O60" t="n">
        <v>1</v>
      </c>
      <c r="P60" t="n">
        <v>0</v>
      </c>
      <c r="Q60" t="n">
        <v>1</v>
      </c>
      <c r="R60" s="2" t="inlineStr">
        <is>
          <t>Solvända</t>
        </is>
      </c>
      <c r="S60">
        <f>HYPERLINK("https://klasma.github.io/Logging_0580/artfynd/A 56112-2025 artfynd.xlsx", "A 56112-2025")</f>
        <v/>
      </c>
      <c r="T60">
        <f>HYPERLINK("https://klasma.github.io/Logging_0580/kartor/A 56112-2025 karta.png", "A 56112-2025")</f>
        <v/>
      </c>
      <c r="V60">
        <f>HYPERLINK("https://klasma.github.io/Logging_0580/klagomål/A 56112-2025 FSC-klagomål.docx", "A 56112-2025")</f>
        <v/>
      </c>
      <c r="W60">
        <f>HYPERLINK("https://klasma.github.io/Logging_0580/klagomålsmail/A 56112-2025 FSC-klagomål mail.docx", "A 56112-2025")</f>
        <v/>
      </c>
      <c r="X60">
        <f>HYPERLINK("https://klasma.github.io/Logging_0580/tillsyn/A 56112-2025 tillsynsbegäran.docx", "A 56112-2025")</f>
        <v/>
      </c>
      <c r="Y60">
        <f>HYPERLINK("https://klasma.github.io/Logging_0580/tillsynsmail/A 56112-2025 tillsynsbegäran mail.docx", "A 56112-2025")</f>
        <v/>
      </c>
    </row>
    <row r="61" ht="15" customHeight="1">
      <c r="A61" t="inlineStr">
        <is>
          <t>A 48347-2025</t>
        </is>
      </c>
      <c r="B61" s="1" t="n">
        <v>45932</v>
      </c>
      <c r="C61" s="1" t="n">
        <v>45986</v>
      </c>
      <c r="D61" t="inlineStr">
        <is>
          <t>ÖSTERGÖTLANDS LÄN</t>
        </is>
      </c>
      <c r="E61" t="inlineStr">
        <is>
          <t>LINKÖPING</t>
        </is>
      </c>
      <c r="F61" t="inlineStr">
        <is>
          <t>Övriga Aktiebolag</t>
        </is>
      </c>
      <c r="G61" t="n">
        <v>0.9</v>
      </c>
      <c r="H61" t="n">
        <v>0</v>
      </c>
      <c r="I61" t="n">
        <v>0</v>
      </c>
      <c r="J61" t="n">
        <v>1</v>
      </c>
      <c r="K61" t="n">
        <v>0</v>
      </c>
      <c r="L61" t="n">
        <v>0</v>
      </c>
      <c r="M61" t="n">
        <v>0</v>
      </c>
      <c r="N61" t="n">
        <v>0</v>
      </c>
      <c r="O61" t="n">
        <v>1</v>
      </c>
      <c r="P61" t="n">
        <v>0</v>
      </c>
      <c r="Q61" t="n">
        <v>1</v>
      </c>
      <c r="R61" s="2" t="inlineStr">
        <is>
          <t>Igelkott</t>
        </is>
      </c>
      <c r="S61">
        <f>HYPERLINK("https://klasma.github.io/Logging_0580/artfynd/A 48347-2025 artfynd.xlsx", "A 48347-2025")</f>
        <v/>
      </c>
      <c r="T61">
        <f>HYPERLINK("https://klasma.github.io/Logging_0580/kartor/A 48347-2025 karta.png", "A 48347-2025")</f>
        <v/>
      </c>
      <c r="V61">
        <f>HYPERLINK("https://klasma.github.io/Logging_0580/klagomål/A 48347-2025 FSC-klagomål.docx", "A 48347-2025")</f>
        <v/>
      </c>
      <c r="W61">
        <f>HYPERLINK("https://klasma.github.io/Logging_0580/klagomålsmail/A 48347-2025 FSC-klagomål mail.docx", "A 48347-2025")</f>
        <v/>
      </c>
      <c r="X61">
        <f>HYPERLINK("https://klasma.github.io/Logging_0580/tillsyn/A 48347-2025 tillsynsbegäran.docx", "A 48347-2025")</f>
        <v/>
      </c>
      <c r="Y61">
        <f>HYPERLINK("https://klasma.github.io/Logging_0580/tillsynsmail/A 48347-2025 tillsynsbegäran mail.docx", "A 48347-2025")</f>
        <v/>
      </c>
    </row>
    <row r="62" ht="15" customHeight="1">
      <c r="A62" t="inlineStr">
        <is>
          <t>A 48353-2025</t>
        </is>
      </c>
      <c r="B62" s="1" t="n">
        <v>45932</v>
      </c>
      <c r="C62" s="1" t="n">
        <v>45986</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48273-2025</t>
        </is>
      </c>
      <c r="B63" s="1" t="n">
        <v>45932</v>
      </c>
      <c r="C63" s="1" t="n">
        <v>45986</v>
      </c>
      <c r="D63" t="inlineStr">
        <is>
          <t>ÖSTERGÖTLANDS LÄN</t>
        </is>
      </c>
      <c r="E63" t="inlineStr">
        <is>
          <t>LINKÖPING</t>
        </is>
      </c>
      <c r="F63" t="inlineStr">
        <is>
          <t>Övriga Aktiebolag</t>
        </is>
      </c>
      <c r="G63" t="n">
        <v>4.6</v>
      </c>
      <c r="H63" t="n">
        <v>0</v>
      </c>
      <c r="I63" t="n">
        <v>0</v>
      </c>
      <c r="J63" t="n">
        <v>1</v>
      </c>
      <c r="K63" t="n">
        <v>0</v>
      </c>
      <c r="L63" t="n">
        <v>0</v>
      </c>
      <c r="M63" t="n">
        <v>0</v>
      </c>
      <c r="N63" t="n">
        <v>0</v>
      </c>
      <c r="O63" t="n">
        <v>1</v>
      </c>
      <c r="P63" t="n">
        <v>0</v>
      </c>
      <c r="Q63" t="n">
        <v>1</v>
      </c>
      <c r="R63" s="2" t="inlineStr">
        <is>
          <t>Barrviolspindling</t>
        </is>
      </c>
      <c r="S63">
        <f>HYPERLINK("https://klasma.github.io/Logging_0580/artfynd/A 48273-2025 artfynd.xlsx", "A 48273-2025")</f>
        <v/>
      </c>
      <c r="T63">
        <f>HYPERLINK("https://klasma.github.io/Logging_0580/kartor/A 48273-2025 karta.png", "A 48273-2025")</f>
        <v/>
      </c>
      <c r="V63">
        <f>HYPERLINK("https://klasma.github.io/Logging_0580/klagomål/A 48273-2025 FSC-klagomål.docx", "A 48273-2025")</f>
        <v/>
      </c>
      <c r="W63">
        <f>HYPERLINK("https://klasma.github.io/Logging_0580/klagomålsmail/A 48273-2025 FSC-klagomål mail.docx", "A 48273-2025")</f>
        <v/>
      </c>
      <c r="X63">
        <f>HYPERLINK("https://klasma.github.io/Logging_0580/tillsyn/A 48273-2025 tillsynsbegäran.docx", "A 48273-2025")</f>
        <v/>
      </c>
      <c r="Y63">
        <f>HYPERLINK("https://klasma.github.io/Logging_0580/tillsynsmail/A 48273-2025 tillsynsbegäran mail.docx", "A 48273-2025")</f>
        <v/>
      </c>
    </row>
    <row r="64" ht="15" customHeight="1">
      <c r="A64" t="inlineStr">
        <is>
          <t>A 56651-2023</t>
        </is>
      </c>
      <c r="B64" s="1" t="n">
        <v>45243</v>
      </c>
      <c r="C64" s="1" t="n">
        <v>45986</v>
      </c>
      <c r="D64" t="inlineStr">
        <is>
          <t>ÖSTERGÖTLANDS LÄN</t>
        </is>
      </c>
      <c r="E64" t="inlineStr">
        <is>
          <t>LINKÖPING</t>
        </is>
      </c>
      <c r="F64" t="inlineStr">
        <is>
          <t>Övriga Aktiebolag</t>
        </is>
      </c>
      <c r="G64" t="n">
        <v>2.3</v>
      </c>
      <c r="H64" t="n">
        <v>0</v>
      </c>
      <c r="I64" t="n">
        <v>0</v>
      </c>
      <c r="J64" t="n">
        <v>1</v>
      </c>
      <c r="K64" t="n">
        <v>0</v>
      </c>
      <c r="L64" t="n">
        <v>0</v>
      </c>
      <c r="M64" t="n">
        <v>0</v>
      </c>
      <c r="N64" t="n">
        <v>0</v>
      </c>
      <c r="O64" t="n">
        <v>1</v>
      </c>
      <c r="P64" t="n">
        <v>0</v>
      </c>
      <c r="Q64" t="n">
        <v>1</v>
      </c>
      <c r="R64" s="2" t="inlineStr">
        <is>
          <t>Gul dropplav</t>
        </is>
      </c>
      <c r="S64">
        <f>HYPERLINK("https://klasma.github.io/Logging_0580/artfynd/A 56651-2023 artfynd.xlsx", "A 56651-2023")</f>
        <v/>
      </c>
      <c r="T64">
        <f>HYPERLINK("https://klasma.github.io/Logging_0580/kartor/A 56651-2023 karta.png", "A 56651-2023")</f>
        <v/>
      </c>
      <c r="V64">
        <f>HYPERLINK("https://klasma.github.io/Logging_0580/klagomål/A 56651-2023 FSC-klagomål.docx", "A 56651-2023")</f>
        <v/>
      </c>
      <c r="W64">
        <f>HYPERLINK("https://klasma.github.io/Logging_0580/klagomålsmail/A 56651-2023 FSC-klagomål mail.docx", "A 56651-2023")</f>
        <v/>
      </c>
      <c r="X64">
        <f>HYPERLINK("https://klasma.github.io/Logging_0580/tillsyn/A 56651-2023 tillsynsbegäran.docx", "A 56651-2023")</f>
        <v/>
      </c>
      <c r="Y64">
        <f>HYPERLINK("https://klasma.github.io/Logging_0580/tillsynsmail/A 56651-2023 tillsynsbegäran mail.docx", "A 56651-2023")</f>
        <v/>
      </c>
    </row>
    <row r="65" ht="15" customHeight="1">
      <c r="A65" t="inlineStr">
        <is>
          <t>A 48298-2025</t>
        </is>
      </c>
      <c r="B65" s="1" t="n">
        <v>45932</v>
      </c>
      <c r="C65" s="1" t="n">
        <v>45986</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17444-2025</t>
        </is>
      </c>
      <c r="B66" s="1" t="n">
        <v>45757.43452546297</v>
      </c>
      <c r="C66" s="1" t="n">
        <v>45986</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5911-2022</t>
        </is>
      </c>
      <c r="B67" s="1" t="n">
        <v>44597</v>
      </c>
      <c r="C67" s="1" t="n">
        <v>45986</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50034-2025</t>
        </is>
      </c>
      <c r="B68" s="1" t="n">
        <v>45941</v>
      </c>
      <c r="C68" s="1" t="n">
        <v>45986</v>
      </c>
      <c r="D68" t="inlineStr">
        <is>
          <t>ÖSTERGÖTLANDS LÄN</t>
        </is>
      </c>
      <c r="E68" t="inlineStr">
        <is>
          <t>LINKÖPING</t>
        </is>
      </c>
      <c r="G68" t="n">
        <v>6.2</v>
      </c>
      <c r="H68" t="n">
        <v>0</v>
      </c>
      <c r="I68" t="n">
        <v>0</v>
      </c>
      <c r="J68" t="n">
        <v>0</v>
      </c>
      <c r="K68" t="n">
        <v>0</v>
      </c>
      <c r="L68" t="n">
        <v>0</v>
      </c>
      <c r="M68" t="n">
        <v>1</v>
      </c>
      <c r="N68" t="n">
        <v>0</v>
      </c>
      <c r="O68" t="n">
        <v>1</v>
      </c>
      <c r="P68" t="n">
        <v>1</v>
      </c>
      <c r="Q68" t="n">
        <v>1</v>
      </c>
      <c r="R68" s="2" t="inlineStr">
        <is>
          <t>Skogsalm</t>
        </is>
      </c>
      <c r="S68">
        <f>HYPERLINK("https://klasma.github.io/Logging_0580/artfynd/A 50034-2025 artfynd.xlsx", "A 50034-2025")</f>
        <v/>
      </c>
      <c r="T68">
        <f>HYPERLINK("https://klasma.github.io/Logging_0580/kartor/A 50034-2025 karta.png", "A 50034-2025")</f>
        <v/>
      </c>
      <c r="V68">
        <f>HYPERLINK("https://klasma.github.io/Logging_0580/klagomål/A 50034-2025 FSC-klagomål.docx", "A 50034-2025")</f>
        <v/>
      </c>
      <c r="W68">
        <f>HYPERLINK("https://klasma.github.io/Logging_0580/klagomålsmail/A 50034-2025 FSC-klagomål mail.docx", "A 50034-2025")</f>
        <v/>
      </c>
      <c r="X68">
        <f>HYPERLINK("https://klasma.github.io/Logging_0580/tillsyn/A 50034-2025 tillsynsbegäran.docx", "A 50034-2025")</f>
        <v/>
      </c>
      <c r="Y68">
        <f>HYPERLINK("https://klasma.github.io/Logging_0580/tillsynsmail/A 50034-2025 tillsynsbegäran mail.docx", "A 50034-2025")</f>
        <v/>
      </c>
    </row>
    <row r="69" ht="15" customHeight="1">
      <c r="A69" t="inlineStr">
        <is>
          <t>A 90-2024</t>
        </is>
      </c>
      <c r="B69" s="1" t="n">
        <v>45293</v>
      </c>
      <c r="C69" s="1" t="n">
        <v>45986</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45986</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36723-2023</t>
        </is>
      </c>
      <c r="B71" s="1" t="n">
        <v>45153</v>
      </c>
      <c r="C71" s="1" t="n">
        <v>45986</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15290-2025</t>
        </is>
      </c>
      <c r="B72" s="1" t="n">
        <v>45745.45288194445</v>
      </c>
      <c r="C72" s="1" t="n">
        <v>45986</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34881-2023</t>
        </is>
      </c>
      <c r="B73" s="1" t="n">
        <v>45140</v>
      </c>
      <c r="C73" s="1" t="n">
        <v>45986</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50471-2024</t>
        </is>
      </c>
      <c r="B74" s="1" t="n">
        <v>45601.47166666666</v>
      </c>
      <c r="C74" s="1" t="n">
        <v>45986</v>
      </c>
      <c r="D74" t="inlineStr">
        <is>
          <t>ÖSTERGÖTLANDS LÄN</t>
        </is>
      </c>
      <c r="E74" t="inlineStr">
        <is>
          <t>LINKÖPING</t>
        </is>
      </c>
      <c r="F74" t="inlineStr">
        <is>
          <t>Övriga Aktiebolag</t>
        </is>
      </c>
      <c r="G74" t="n">
        <v>2</v>
      </c>
      <c r="H74" t="n">
        <v>0</v>
      </c>
      <c r="I74" t="n">
        <v>1</v>
      </c>
      <c r="J74" t="n">
        <v>0</v>
      </c>
      <c r="K74" t="n">
        <v>0</v>
      </c>
      <c r="L74" t="n">
        <v>0</v>
      </c>
      <c r="M74" t="n">
        <v>0</v>
      </c>
      <c r="N74" t="n">
        <v>0</v>
      </c>
      <c r="O74" t="n">
        <v>0</v>
      </c>
      <c r="P74" t="n">
        <v>0</v>
      </c>
      <c r="Q74" t="n">
        <v>1</v>
      </c>
      <c r="R74" s="2" t="inlineStr">
        <is>
          <t>Västlig hakmossa</t>
        </is>
      </c>
      <c r="S74">
        <f>HYPERLINK("https://klasma.github.io/Logging_0580/artfynd/A 50471-2024 artfynd.xlsx", "A 50471-2024")</f>
        <v/>
      </c>
      <c r="T74">
        <f>HYPERLINK("https://klasma.github.io/Logging_0580/kartor/A 50471-2024 karta.png", "A 50471-2024")</f>
        <v/>
      </c>
      <c r="V74">
        <f>HYPERLINK("https://klasma.github.io/Logging_0580/klagomål/A 50471-2024 FSC-klagomål.docx", "A 50471-2024")</f>
        <v/>
      </c>
      <c r="W74">
        <f>HYPERLINK("https://klasma.github.io/Logging_0580/klagomålsmail/A 50471-2024 FSC-klagomål mail.docx", "A 50471-2024")</f>
        <v/>
      </c>
      <c r="X74">
        <f>HYPERLINK("https://klasma.github.io/Logging_0580/tillsyn/A 50471-2024 tillsynsbegäran.docx", "A 50471-2024")</f>
        <v/>
      </c>
      <c r="Y74">
        <f>HYPERLINK("https://klasma.github.io/Logging_0580/tillsynsmail/A 50471-2024 tillsynsbegäran mail.docx", "A 50471-2024")</f>
        <v/>
      </c>
    </row>
    <row r="75" ht="15" customHeight="1">
      <c r="A75" t="inlineStr">
        <is>
          <t>A 17389-2021</t>
        </is>
      </c>
      <c r="B75" s="1" t="n">
        <v>44298.96792824074</v>
      </c>
      <c r="C75" s="1" t="n">
        <v>45986</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56128-2022</t>
        </is>
      </c>
      <c r="B76" s="1" t="n">
        <v>44889</v>
      </c>
      <c r="C76" s="1" t="n">
        <v>45986</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40309-2024</t>
        </is>
      </c>
      <c r="B77" s="1" t="n">
        <v>45554.724375</v>
      </c>
      <c r="C77" s="1" t="n">
        <v>45986</v>
      </c>
      <c r="D77" t="inlineStr">
        <is>
          <t>ÖSTERGÖTLANDS LÄN</t>
        </is>
      </c>
      <c r="E77" t="inlineStr">
        <is>
          <t>LINKÖPING</t>
        </is>
      </c>
      <c r="F77" t="inlineStr">
        <is>
          <t>Allmännings- och besparingsskogar</t>
        </is>
      </c>
      <c r="G77" t="n">
        <v>6</v>
      </c>
      <c r="H77" t="n">
        <v>0</v>
      </c>
      <c r="I77" t="n">
        <v>0</v>
      </c>
      <c r="J77" t="n">
        <v>1</v>
      </c>
      <c r="K77" t="n">
        <v>0</v>
      </c>
      <c r="L77" t="n">
        <v>0</v>
      </c>
      <c r="M77" t="n">
        <v>0</v>
      </c>
      <c r="N77" t="n">
        <v>0</v>
      </c>
      <c r="O77" t="n">
        <v>1</v>
      </c>
      <c r="P77" t="n">
        <v>0</v>
      </c>
      <c r="Q77" t="n">
        <v>1</v>
      </c>
      <c r="R77" s="2" t="inlineStr">
        <is>
          <t>Garnlav</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row>
    <row r="78" ht="15" customHeight="1">
      <c r="A78" t="inlineStr">
        <is>
          <t>A 54835-2023</t>
        </is>
      </c>
      <c r="B78" s="1" t="n">
        <v>45236</v>
      </c>
      <c r="C78" s="1" t="n">
        <v>45986</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126-2024</t>
        </is>
      </c>
      <c r="B79" s="1" t="n">
        <v>45294</v>
      </c>
      <c r="C79" s="1" t="n">
        <v>45986</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45986</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45986</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50806-2023</t>
        </is>
      </c>
      <c r="B82" s="1" t="n">
        <v>45217</v>
      </c>
      <c r="C82" s="1" t="n">
        <v>45986</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39457-2023</t>
        </is>
      </c>
      <c r="B83" s="1" t="n">
        <v>45166</v>
      </c>
      <c r="C83" s="1" t="n">
        <v>45986</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35948-2023</t>
        </is>
      </c>
      <c r="B84" s="1" t="n">
        <v>45148</v>
      </c>
      <c r="C84" s="1" t="n">
        <v>45986</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45986</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45986</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45986</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60573-2021</t>
        </is>
      </c>
      <c r="B88" s="1" t="n">
        <v>44496</v>
      </c>
      <c r="C88" s="1" t="n">
        <v>45986</v>
      </c>
      <c r="D88" t="inlineStr">
        <is>
          <t>ÖSTERGÖTLANDS LÄN</t>
        </is>
      </c>
      <c r="E88" t="inlineStr">
        <is>
          <t>LINKÖPING</t>
        </is>
      </c>
      <c r="F88" t="inlineStr">
        <is>
          <t>Övriga Aktiebolag</t>
        </is>
      </c>
      <c r="G88" t="n">
        <v>5.6</v>
      </c>
      <c r="H88" t="n">
        <v>0</v>
      </c>
      <c r="I88" t="n">
        <v>0</v>
      </c>
      <c r="J88" t="n">
        <v>1</v>
      </c>
      <c r="K88" t="n">
        <v>0</v>
      </c>
      <c r="L88" t="n">
        <v>0</v>
      </c>
      <c r="M88" t="n">
        <v>0</v>
      </c>
      <c r="N88" t="n">
        <v>0</v>
      </c>
      <c r="O88" t="n">
        <v>1</v>
      </c>
      <c r="P88" t="n">
        <v>0</v>
      </c>
      <c r="Q88" t="n">
        <v>1</v>
      </c>
      <c r="R88" s="2" t="inlineStr">
        <is>
          <t>Sommarfibbla</t>
        </is>
      </c>
      <c r="S88">
        <f>HYPERLINK("https://klasma.github.io/Logging_0580/artfynd/A 60573-2021 artfynd.xlsx", "A 60573-2021")</f>
        <v/>
      </c>
      <c r="T88">
        <f>HYPERLINK("https://klasma.github.io/Logging_0580/kartor/A 60573-2021 karta.png", "A 60573-2021")</f>
        <v/>
      </c>
      <c r="V88">
        <f>HYPERLINK("https://klasma.github.io/Logging_0580/klagomål/A 60573-2021 FSC-klagomål.docx", "A 60573-2021")</f>
        <v/>
      </c>
      <c r="W88">
        <f>HYPERLINK("https://klasma.github.io/Logging_0580/klagomålsmail/A 60573-2021 FSC-klagomål mail.docx", "A 60573-2021")</f>
        <v/>
      </c>
      <c r="X88">
        <f>HYPERLINK("https://klasma.github.io/Logging_0580/tillsyn/A 60573-2021 tillsynsbegäran.docx", "A 60573-2021")</f>
        <v/>
      </c>
      <c r="Y88">
        <f>HYPERLINK("https://klasma.github.io/Logging_0580/tillsynsmail/A 60573-2021 tillsynsbegäran mail.docx", "A 60573-2021")</f>
        <v/>
      </c>
    </row>
    <row r="89" ht="15" customHeight="1">
      <c r="A89" t="inlineStr">
        <is>
          <t>A 38881-2021</t>
        </is>
      </c>
      <c r="B89" s="1" t="n">
        <v>44411.46893518518</v>
      </c>
      <c r="C89" s="1" t="n">
        <v>45986</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45986</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45986</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45986</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45986</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45986</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67322-2021</t>
        </is>
      </c>
      <c r="B95" s="1" t="n">
        <v>44523</v>
      </c>
      <c r="C95" s="1" t="n">
        <v>45986</v>
      </c>
      <c r="D95" t="inlineStr">
        <is>
          <t>ÖSTERGÖTLANDS LÄN</t>
        </is>
      </c>
      <c r="E95" t="inlineStr">
        <is>
          <t>LINKÖPING</t>
        </is>
      </c>
      <c r="G95" t="n">
        <v>0.8</v>
      </c>
      <c r="H95" t="n">
        <v>0</v>
      </c>
      <c r="I95" t="n">
        <v>0</v>
      </c>
      <c r="J95" t="n">
        <v>0</v>
      </c>
      <c r="K95" t="n">
        <v>0</v>
      </c>
      <c r="L95" t="n">
        <v>0</v>
      </c>
      <c r="M95" t="n">
        <v>0</v>
      </c>
      <c r="N95" t="n">
        <v>0</v>
      </c>
      <c r="O95" t="n">
        <v>0</v>
      </c>
      <c r="P95" t="n">
        <v>0</v>
      </c>
      <c r="Q95" t="n">
        <v>0</v>
      </c>
      <c r="R95" s="2" t="inlineStr"/>
    </row>
    <row r="96" ht="15" customHeight="1">
      <c r="A96" t="inlineStr">
        <is>
          <t>A 7840-2022</t>
        </is>
      </c>
      <c r="B96" s="1" t="n">
        <v>44608</v>
      </c>
      <c r="C96" s="1" t="n">
        <v>45986</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40506-2021</t>
        </is>
      </c>
      <c r="B97" s="1" t="n">
        <v>44420</v>
      </c>
      <c r="C97" s="1" t="n">
        <v>45986</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6958-2021</t>
        </is>
      </c>
      <c r="B98" s="1" t="n">
        <v>44237</v>
      </c>
      <c r="C98" s="1" t="n">
        <v>45986</v>
      </c>
      <c r="D98" t="inlineStr">
        <is>
          <t>ÖSTERGÖTLANDS LÄN</t>
        </is>
      </c>
      <c r="E98" t="inlineStr">
        <is>
          <t>LINKÖPING</t>
        </is>
      </c>
      <c r="G98" t="n">
        <v>0.6</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45986</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45986</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45986</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45986</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1581-2022</t>
        </is>
      </c>
      <c r="B103" s="1" t="n">
        <v>44573</v>
      </c>
      <c r="C103" s="1" t="n">
        <v>45986</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45986</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45986</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45986</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159-2022</t>
        </is>
      </c>
      <c r="B107" s="1" t="n">
        <v>44564</v>
      </c>
      <c r="C107" s="1" t="n">
        <v>45986</v>
      </c>
      <c r="D107" t="inlineStr">
        <is>
          <t>ÖSTERGÖTLANDS LÄN</t>
        </is>
      </c>
      <c r="E107" t="inlineStr">
        <is>
          <t>LINKÖPING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45986</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45986</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45986</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45986</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38143-2021</t>
        </is>
      </c>
      <c r="B112" s="1" t="n">
        <v>44405</v>
      </c>
      <c r="C112" s="1" t="n">
        <v>45986</v>
      </c>
      <c r="D112" t="inlineStr">
        <is>
          <t>ÖSTERGÖTLANDS LÄN</t>
        </is>
      </c>
      <c r="E112" t="inlineStr">
        <is>
          <t>LINKÖPING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38254-2021</t>
        </is>
      </c>
      <c r="B113" s="1" t="n">
        <v>44405</v>
      </c>
      <c r="C113" s="1" t="n">
        <v>45986</v>
      </c>
      <c r="D113" t="inlineStr">
        <is>
          <t>ÖSTERGÖTLANDS LÄN</t>
        </is>
      </c>
      <c r="E113" t="inlineStr">
        <is>
          <t>LINKÖPING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261-2021</t>
        </is>
      </c>
      <c r="B114" s="1" t="n">
        <v>44200</v>
      </c>
      <c r="C114" s="1" t="n">
        <v>45986</v>
      </c>
      <c r="D114" t="inlineStr">
        <is>
          <t>ÖSTERGÖTLANDS LÄN</t>
        </is>
      </c>
      <c r="E114" t="inlineStr">
        <is>
          <t>LINKÖPING</t>
        </is>
      </c>
      <c r="G114" t="n">
        <v>3.1</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45986</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45986</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45986</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45986</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45986</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45986</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45986</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45986</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45986</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45986</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45986</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45986</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45986</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45986</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45986</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45986</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45986</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45986</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45986</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45986</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45986</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45986</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45986</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45986</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45986</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45986</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45986</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45986</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45986</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45986</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45986</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45986</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45986</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45986</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45986</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45986</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45986</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45986</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28447-2021</t>
        </is>
      </c>
      <c r="B153" s="1" t="n">
        <v>44356</v>
      </c>
      <c r="C153" s="1" t="n">
        <v>45986</v>
      </c>
      <c r="D153" t="inlineStr">
        <is>
          <t>ÖSTERGÖTLANDS LÄN</t>
        </is>
      </c>
      <c r="E153" t="inlineStr">
        <is>
          <t>LINKÖPING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45986</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23175-2022</t>
        </is>
      </c>
      <c r="B155" s="1" t="n">
        <v>44719</v>
      </c>
      <c r="C155" s="1" t="n">
        <v>45986</v>
      </c>
      <c r="D155" t="inlineStr">
        <is>
          <t>ÖSTERGÖTLANDS LÄN</t>
        </is>
      </c>
      <c r="E155" t="inlineStr">
        <is>
          <t>LINKÖPING</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45986</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45986</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45986</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45986</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45986</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45986</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45986</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45986</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45986</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45986</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45986</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45986</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45986</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45986</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45986</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45986</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45986</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45986</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45986</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45986</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45986</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45986</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45986</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45986</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45986</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45986</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45986</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56688-2021</t>
        </is>
      </c>
      <c r="B183" s="1" t="n">
        <v>44481</v>
      </c>
      <c r="C183" s="1" t="n">
        <v>45986</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45986</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45986</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45986</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45986</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45986</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45986</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45986</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45986</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45986</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45986</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45986</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45986</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45986</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45986</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45986</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45986</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45986</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45986</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45986</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45986</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45986</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45986</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45986</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45986</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24351-2024</t>
        </is>
      </c>
      <c r="B208" s="1" t="n">
        <v>45457.59011574074</v>
      </c>
      <c r="C208" s="1" t="n">
        <v>45986</v>
      </c>
      <c r="D208" t="inlineStr">
        <is>
          <t>ÖSTERGÖTLANDS LÄN</t>
        </is>
      </c>
      <c r="E208" t="inlineStr">
        <is>
          <t>LINKÖPING</t>
        </is>
      </c>
      <c r="G208" t="n">
        <v>11.9</v>
      </c>
      <c r="H208" t="n">
        <v>0</v>
      </c>
      <c r="I208" t="n">
        <v>0</v>
      </c>
      <c r="J208" t="n">
        <v>0</v>
      </c>
      <c r="K208" t="n">
        <v>0</v>
      </c>
      <c r="L208" t="n">
        <v>0</v>
      </c>
      <c r="M208" t="n">
        <v>0</v>
      </c>
      <c r="N208" t="n">
        <v>0</v>
      </c>
      <c r="O208" t="n">
        <v>0</v>
      </c>
      <c r="P208" t="n">
        <v>0</v>
      </c>
      <c r="Q208" t="n">
        <v>0</v>
      </c>
      <c r="R208" s="2" t="inlineStr"/>
    </row>
    <row r="209" ht="15" customHeight="1">
      <c r="A209" t="inlineStr">
        <is>
          <t>A 34558-2022</t>
        </is>
      </c>
      <c r="B209" s="1" t="n">
        <v>44794.57594907407</v>
      </c>
      <c r="C209" s="1" t="n">
        <v>45986</v>
      </c>
      <c r="D209" t="inlineStr">
        <is>
          <t>ÖSTERGÖTLANDS LÄN</t>
        </is>
      </c>
      <c r="E209" t="inlineStr">
        <is>
          <t>LINKÖPING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22772-2024</t>
        </is>
      </c>
      <c r="B210" s="1" t="n">
        <v>45448.46712962963</v>
      </c>
      <c r="C210" s="1" t="n">
        <v>45986</v>
      </c>
      <c r="D210" t="inlineStr">
        <is>
          <t>ÖSTERGÖTLANDS LÄN</t>
        </is>
      </c>
      <c r="E210" t="inlineStr">
        <is>
          <t>LINKÖPING</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63489-2023</t>
        </is>
      </c>
      <c r="B211" s="1" t="n">
        <v>45274.66761574074</v>
      </c>
      <c r="C211" s="1" t="n">
        <v>45986</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28266-2024</t>
        </is>
      </c>
      <c r="B212" s="1" t="n">
        <v>45477.43600694444</v>
      </c>
      <c r="C212" s="1" t="n">
        <v>45986</v>
      </c>
      <c r="D212" t="inlineStr">
        <is>
          <t>ÖSTERGÖTLANDS LÄN</t>
        </is>
      </c>
      <c r="E212" t="inlineStr">
        <is>
          <t>LINKÖPING</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52796-2023</t>
        </is>
      </c>
      <c r="B213" s="1" t="n">
        <v>45219</v>
      </c>
      <c r="C213" s="1" t="n">
        <v>45986</v>
      </c>
      <c r="D213" t="inlineStr">
        <is>
          <t>ÖSTERGÖTLANDS LÄN</t>
        </is>
      </c>
      <c r="E213" t="inlineStr">
        <is>
          <t>LINKÖPING</t>
        </is>
      </c>
      <c r="F213" t="inlineStr">
        <is>
          <t>Övriga statliga verk och myndigheter</t>
        </is>
      </c>
      <c r="G213" t="n">
        <v>3.9</v>
      </c>
      <c r="H213" t="n">
        <v>0</v>
      </c>
      <c r="I213" t="n">
        <v>0</v>
      </c>
      <c r="J213" t="n">
        <v>0</v>
      </c>
      <c r="K213" t="n">
        <v>0</v>
      </c>
      <c r="L213" t="n">
        <v>0</v>
      </c>
      <c r="M213" t="n">
        <v>0</v>
      </c>
      <c r="N213" t="n">
        <v>0</v>
      </c>
      <c r="O213" t="n">
        <v>0</v>
      </c>
      <c r="P213" t="n">
        <v>0</v>
      </c>
      <c r="Q213" t="n">
        <v>0</v>
      </c>
      <c r="R213" s="2" t="inlineStr"/>
    </row>
    <row r="214" ht="15" customHeight="1">
      <c r="A214" t="inlineStr">
        <is>
          <t>A 30855-2022</t>
        </is>
      </c>
      <c r="B214" s="1" t="n">
        <v>44767</v>
      </c>
      <c r="C214" s="1" t="n">
        <v>45986</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20455-2024</t>
        </is>
      </c>
      <c r="B215" s="1" t="n">
        <v>45435.65314814815</v>
      </c>
      <c r="C215" s="1" t="n">
        <v>45986</v>
      </c>
      <c r="D215" t="inlineStr">
        <is>
          <t>ÖSTERGÖTLANDS LÄN</t>
        </is>
      </c>
      <c r="E215" t="inlineStr">
        <is>
          <t>LINKÖPING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224-2024</t>
        </is>
      </c>
      <c r="B216" s="1" t="n">
        <v>45294</v>
      </c>
      <c r="C216" s="1" t="n">
        <v>45986</v>
      </c>
      <c r="D216" t="inlineStr">
        <is>
          <t>ÖSTERGÖTLANDS LÄN</t>
        </is>
      </c>
      <c r="E216" t="inlineStr">
        <is>
          <t>LINKÖPING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34877-2023</t>
        </is>
      </c>
      <c r="B217" s="1" t="n">
        <v>45140</v>
      </c>
      <c r="C217" s="1" t="n">
        <v>45986</v>
      </c>
      <c r="D217" t="inlineStr">
        <is>
          <t>ÖSTERGÖTLANDS LÄN</t>
        </is>
      </c>
      <c r="E217" t="inlineStr">
        <is>
          <t>LINKÖPING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25418-2023</t>
        </is>
      </c>
      <c r="B218" s="1" t="n">
        <v>45089</v>
      </c>
      <c r="C218" s="1" t="n">
        <v>45986</v>
      </c>
      <c r="D218" t="inlineStr">
        <is>
          <t>ÖSTERGÖTLANDS LÄN</t>
        </is>
      </c>
      <c r="E218" t="inlineStr">
        <is>
          <t>LINKÖPING</t>
        </is>
      </c>
      <c r="F218" t="inlineStr">
        <is>
          <t>Övriga Aktiebolag</t>
        </is>
      </c>
      <c r="G218" t="n">
        <v>2.4</v>
      </c>
      <c r="H218" t="n">
        <v>0</v>
      </c>
      <c r="I218" t="n">
        <v>0</v>
      </c>
      <c r="J218" t="n">
        <v>0</v>
      </c>
      <c r="K218" t="n">
        <v>0</v>
      </c>
      <c r="L218" t="n">
        <v>0</v>
      </c>
      <c r="M218" t="n">
        <v>0</v>
      </c>
      <c r="N218" t="n">
        <v>0</v>
      </c>
      <c r="O218" t="n">
        <v>0</v>
      </c>
      <c r="P218" t="n">
        <v>0</v>
      </c>
      <c r="Q218" t="n">
        <v>0</v>
      </c>
      <c r="R218" s="2" t="inlineStr"/>
    </row>
    <row r="219" ht="15" customHeight="1">
      <c r="A219" t="inlineStr">
        <is>
          <t>A 30856-2022</t>
        </is>
      </c>
      <c r="B219" s="1" t="n">
        <v>44767</v>
      </c>
      <c r="C219" s="1" t="n">
        <v>45986</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57745-2022</t>
        </is>
      </c>
      <c r="B220" s="1" t="n">
        <v>44897.58119212963</v>
      </c>
      <c r="C220" s="1" t="n">
        <v>45986</v>
      </c>
      <c r="D220" t="inlineStr">
        <is>
          <t>ÖSTERGÖTLANDS LÄN</t>
        </is>
      </c>
      <c r="E220" t="inlineStr">
        <is>
          <t>LINKÖPING</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3008-2023</t>
        </is>
      </c>
      <c r="B221" s="1" t="n">
        <v>44945.79784722222</v>
      </c>
      <c r="C221" s="1" t="n">
        <v>45986</v>
      </c>
      <c r="D221" t="inlineStr">
        <is>
          <t>ÖSTERGÖTLANDS LÄN</t>
        </is>
      </c>
      <c r="E221" t="inlineStr">
        <is>
          <t>LINKÖPING</t>
        </is>
      </c>
      <c r="G221" t="n">
        <v>19.3</v>
      </c>
      <c r="H221" t="n">
        <v>0</v>
      </c>
      <c r="I221" t="n">
        <v>0</v>
      </c>
      <c r="J221" t="n">
        <v>0</v>
      </c>
      <c r="K221" t="n">
        <v>0</v>
      </c>
      <c r="L221" t="n">
        <v>0</v>
      </c>
      <c r="M221" t="n">
        <v>0</v>
      </c>
      <c r="N221" t="n">
        <v>0</v>
      </c>
      <c r="O221" t="n">
        <v>0</v>
      </c>
      <c r="P221" t="n">
        <v>0</v>
      </c>
      <c r="Q221" t="n">
        <v>0</v>
      </c>
      <c r="R221" s="2" t="inlineStr"/>
    </row>
    <row r="222" ht="15" customHeight="1">
      <c r="A222" t="inlineStr">
        <is>
          <t>A 12035-2025</t>
        </is>
      </c>
      <c r="B222" s="1" t="n">
        <v>45728.64946759259</v>
      </c>
      <c r="C222" s="1" t="n">
        <v>45986</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34889-2023</t>
        </is>
      </c>
      <c r="B223" s="1" t="n">
        <v>45140</v>
      </c>
      <c r="C223" s="1" t="n">
        <v>45986</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1993-2023</t>
        </is>
      </c>
      <c r="B224" s="1" t="n">
        <v>44939</v>
      </c>
      <c r="C224" s="1" t="n">
        <v>45986</v>
      </c>
      <c r="D224" t="inlineStr">
        <is>
          <t>ÖSTERGÖTLANDS LÄN</t>
        </is>
      </c>
      <c r="E224" t="inlineStr">
        <is>
          <t>LINKÖPING</t>
        </is>
      </c>
      <c r="G224" t="n">
        <v>3.7</v>
      </c>
      <c r="H224" t="n">
        <v>0</v>
      </c>
      <c r="I224" t="n">
        <v>0</v>
      </c>
      <c r="J224" t="n">
        <v>0</v>
      </c>
      <c r="K224" t="n">
        <v>0</v>
      </c>
      <c r="L224" t="n">
        <v>0</v>
      </c>
      <c r="M224" t="n">
        <v>0</v>
      </c>
      <c r="N224" t="n">
        <v>0</v>
      </c>
      <c r="O224" t="n">
        <v>0</v>
      </c>
      <c r="P224" t="n">
        <v>0</v>
      </c>
      <c r="Q224" t="n">
        <v>0</v>
      </c>
      <c r="R224" s="2" t="inlineStr"/>
    </row>
    <row r="225" ht="15" customHeight="1">
      <c r="A225" t="inlineStr">
        <is>
          <t>A 52220-2023</t>
        </is>
      </c>
      <c r="B225" s="1" t="n">
        <v>45217</v>
      </c>
      <c r="C225" s="1" t="n">
        <v>45986</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52225-2023</t>
        </is>
      </c>
      <c r="B226" s="1" t="n">
        <v>45217</v>
      </c>
      <c r="C226" s="1" t="n">
        <v>45986</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42832-2023</t>
        </is>
      </c>
      <c r="B227" s="1" t="n">
        <v>45182.38091435185</v>
      </c>
      <c r="C227" s="1" t="n">
        <v>45986</v>
      </c>
      <c r="D227" t="inlineStr">
        <is>
          <t>ÖSTERGÖTLANDS LÄN</t>
        </is>
      </c>
      <c r="E227" t="inlineStr">
        <is>
          <t>LINKÖPING</t>
        </is>
      </c>
      <c r="G227" t="n">
        <v>2.5</v>
      </c>
      <c r="H227" t="n">
        <v>0</v>
      </c>
      <c r="I227" t="n">
        <v>0</v>
      </c>
      <c r="J227" t="n">
        <v>0</v>
      </c>
      <c r="K227" t="n">
        <v>0</v>
      </c>
      <c r="L227" t="n">
        <v>0</v>
      </c>
      <c r="M227" t="n">
        <v>0</v>
      </c>
      <c r="N227" t="n">
        <v>0</v>
      </c>
      <c r="O227" t="n">
        <v>0</v>
      </c>
      <c r="P227" t="n">
        <v>0</v>
      </c>
      <c r="Q227" t="n">
        <v>0</v>
      </c>
      <c r="R227" s="2" t="inlineStr"/>
    </row>
    <row r="228" ht="15" customHeight="1">
      <c r="A228" t="inlineStr">
        <is>
          <t>A 56560-2023</t>
        </is>
      </c>
      <c r="B228" s="1" t="n">
        <v>45238</v>
      </c>
      <c r="C228" s="1" t="n">
        <v>45986</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45986</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45986</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22771-2024</t>
        </is>
      </c>
      <c r="B231" s="1" t="n">
        <v>45448.46574074074</v>
      </c>
      <c r="C231" s="1" t="n">
        <v>45986</v>
      </c>
      <c r="D231" t="inlineStr">
        <is>
          <t>ÖSTERGÖTLANDS LÄN</t>
        </is>
      </c>
      <c r="E231" t="inlineStr">
        <is>
          <t>LINKÖPING</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45986</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22264-2025</t>
        </is>
      </c>
      <c r="B233" s="1" t="n">
        <v>45785</v>
      </c>
      <c r="C233" s="1" t="n">
        <v>45986</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9473-2024</t>
        </is>
      </c>
      <c r="B234" s="1" t="n">
        <v>45359.55474537037</v>
      </c>
      <c r="C234" s="1" t="n">
        <v>45986</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6859-2024</t>
        </is>
      </c>
      <c r="B235" s="1" t="n">
        <v>45342</v>
      </c>
      <c r="C235" s="1" t="n">
        <v>45986</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44287-2024</t>
        </is>
      </c>
      <c r="B236" s="1" t="n">
        <v>45573.50582175926</v>
      </c>
      <c r="C236" s="1" t="n">
        <v>45986</v>
      </c>
      <c r="D236" t="inlineStr">
        <is>
          <t>ÖSTERGÖTLANDS LÄN</t>
        </is>
      </c>
      <c r="E236" t="inlineStr">
        <is>
          <t>LINKÖPING</t>
        </is>
      </c>
      <c r="G236" t="n">
        <v>12.7</v>
      </c>
      <c r="H236" t="n">
        <v>0</v>
      </c>
      <c r="I236" t="n">
        <v>0</v>
      </c>
      <c r="J236" t="n">
        <v>0</v>
      </c>
      <c r="K236" t="n">
        <v>0</v>
      </c>
      <c r="L236" t="n">
        <v>0</v>
      </c>
      <c r="M236" t="n">
        <v>0</v>
      </c>
      <c r="N236" t="n">
        <v>0</v>
      </c>
      <c r="O236" t="n">
        <v>0</v>
      </c>
      <c r="P236" t="n">
        <v>0</v>
      </c>
      <c r="Q236" t="n">
        <v>0</v>
      </c>
      <c r="R236" s="2" t="inlineStr"/>
    </row>
    <row r="237" ht="15" customHeight="1">
      <c r="A237" t="inlineStr">
        <is>
          <t>A 22364-2025</t>
        </is>
      </c>
      <c r="B237" s="1" t="n">
        <v>45786.46930555555</v>
      </c>
      <c r="C237" s="1" t="n">
        <v>45986</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572-2025</t>
        </is>
      </c>
      <c r="B238" s="1" t="n">
        <v>45664.56349537037</v>
      </c>
      <c r="C238" s="1" t="n">
        <v>45986</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10797-2024</t>
        </is>
      </c>
      <c r="B239" s="1" t="n">
        <v>45369.6190162037</v>
      </c>
      <c r="C239" s="1" t="n">
        <v>45986</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38580-2024</t>
        </is>
      </c>
      <c r="B240" s="1" t="n">
        <v>45546.64825231482</v>
      </c>
      <c r="C240" s="1" t="n">
        <v>45986</v>
      </c>
      <c r="D240" t="inlineStr">
        <is>
          <t>ÖSTERGÖTLANDS LÄN</t>
        </is>
      </c>
      <c r="E240" t="inlineStr">
        <is>
          <t>LINKÖPING</t>
        </is>
      </c>
      <c r="G240" t="n">
        <v>4.8</v>
      </c>
      <c r="H240" t="n">
        <v>0</v>
      </c>
      <c r="I240" t="n">
        <v>0</v>
      </c>
      <c r="J240" t="n">
        <v>0</v>
      </c>
      <c r="K240" t="n">
        <v>0</v>
      </c>
      <c r="L240" t="n">
        <v>0</v>
      </c>
      <c r="M240" t="n">
        <v>0</v>
      </c>
      <c r="N240" t="n">
        <v>0</v>
      </c>
      <c r="O240" t="n">
        <v>0</v>
      </c>
      <c r="P240" t="n">
        <v>0</v>
      </c>
      <c r="Q240" t="n">
        <v>0</v>
      </c>
      <c r="R240" s="2" t="inlineStr"/>
    </row>
    <row r="241" ht="15" customHeight="1">
      <c r="A241" t="inlineStr">
        <is>
          <t>A 57752-2023</t>
        </is>
      </c>
      <c r="B241" s="1" t="n">
        <v>45246.78474537037</v>
      </c>
      <c r="C241" s="1" t="n">
        <v>45986</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3008-2023</t>
        </is>
      </c>
      <c r="B242" s="1" t="n">
        <v>44945.79784722222</v>
      </c>
      <c r="C242" s="1" t="n">
        <v>45986</v>
      </c>
      <c r="D242" t="inlineStr">
        <is>
          <t>ÖSTERGÖTLANDS LÄN</t>
        </is>
      </c>
      <c r="E242" t="inlineStr">
        <is>
          <t>LINKÖPING</t>
        </is>
      </c>
      <c r="G242" t="n">
        <v>19.3</v>
      </c>
      <c r="H242" t="n">
        <v>0</v>
      </c>
      <c r="I242" t="n">
        <v>0</v>
      </c>
      <c r="J242" t="n">
        <v>0</v>
      </c>
      <c r="K242" t="n">
        <v>0</v>
      </c>
      <c r="L242" t="n">
        <v>0</v>
      </c>
      <c r="M242" t="n">
        <v>0</v>
      </c>
      <c r="N242" t="n">
        <v>0</v>
      </c>
      <c r="O242" t="n">
        <v>0</v>
      </c>
      <c r="P242" t="n">
        <v>0</v>
      </c>
      <c r="Q242" t="n">
        <v>0</v>
      </c>
      <c r="R242" s="2" t="inlineStr"/>
    </row>
    <row r="243" ht="15" customHeight="1">
      <c r="A243" t="inlineStr">
        <is>
          <t>A 29312-2024</t>
        </is>
      </c>
      <c r="B243" s="1" t="n">
        <v>45483</v>
      </c>
      <c r="C243" s="1" t="n">
        <v>45986</v>
      </c>
      <c r="D243" t="inlineStr">
        <is>
          <t>ÖSTERGÖTLANDS LÄN</t>
        </is>
      </c>
      <c r="E243" t="inlineStr">
        <is>
          <t>LINKÖPING</t>
        </is>
      </c>
      <c r="G243" t="n">
        <v>2.1</v>
      </c>
      <c r="H243" t="n">
        <v>0</v>
      </c>
      <c r="I243" t="n">
        <v>0</v>
      </c>
      <c r="J243" t="n">
        <v>0</v>
      </c>
      <c r="K243" t="n">
        <v>0</v>
      </c>
      <c r="L243" t="n">
        <v>0</v>
      </c>
      <c r="M243" t="n">
        <v>0</v>
      </c>
      <c r="N243" t="n">
        <v>0</v>
      </c>
      <c r="O243" t="n">
        <v>0</v>
      </c>
      <c r="P243" t="n">
        <v>0</v>
      </c>
      <c r="Q243" t="n">
        <v>0</v>
      </c>
      <c r="R243" s="2" t="inlineStr"/>
    </row>
    <row r="244" ht="15" customHeight="1">
      <c r="A244" t="inlineStr">
        <is>
          <t>A 23120-2025</t>
        </is>
      </c>
      <c r="B244" s="1" t="n">
        <v>45791.37481481482</v>
      </c>
      <c r="C244" s="1" t="n">
        <v>45986</v>
      </c>
      <c r="D244" t="inlineStr">
        <is>
          <t>ÖSTERGÖTLANDS LÄN</t>
        </is>
      </c>
      <c r="E244" t="inlineStr">
        <is>
          <t>LINKÖPING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39438-2025</t>
        </is>
      </c>
      <c r="B245" s="1" t="n">
        <v>45889.68641203704</v>
      </c>
      <c r="C245" s="1" t="n">
        <v>45986</v>
      </c>
      <c r="D245" t="inlineStr">
        <is>
          <t>ÖSTERGÖTLANDS LÄN</t>
        </is>
      </c>
      <c r="E245" t="inlineStr">
        <is>
          <t>LINKÖPING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27264-2025</t>
        </is>
      </c>
      <c r="B246" s="1" t="n">
        <v>45812.4794212963</v>
      </c>
      <c r="C246" s="1" t="n">
        <v>45986</v>
      </c>
      <c r="D246" t="inlineStr">
        <is>
          <t>ÖSTERGÖTLANDS LÄN</t>
        </is>
      </c>
      <c r="E246" t="inlineStr">
        <is>
          <t>LINKÖPING</t>
        </is>
      </c>
      <c r="G246" t="n">
        <v>2.6</v>
      </c>
      <c r="H246" t="n">
        <v>0</v>
      </c>
      <c r="I246" t="n">
        <v>0</v>
      </c>
      <c r="J246" t="n">
        <v>0</v>
      </c>
      <c r="K246" t="n">
        <v>0</v>
      </c>
      <c r="L246" t="n">
        <v>0</v>
      </c>
      <c r="M246" t="n">
        <v>0</v>
      </c>
      <c r="N246" t="n">
        <v>0</v>
      </c>
      <c r="O246" t="n">
        <v>0</v>
      </c>
      <c r="P246" t="n">
        <v>0</v>
      </c>
      <c r="Q246" t="n">
        <v>0</v>
      </c>
      <c r="R246" s="2" t="inlineStr"/>
    </row>
    <row r="247" ht="15" customHeight="1">
      <c r="A247" t="inlineStr">
        <is>
          <t>A 23768-2025</t>
        </is>
      </c>
      <c r="B247" s="1" t="n">
        <v>45793.47493055555</v>
      </c>
      <c r="C247" s="1" t="n">
        <v>45986</v>
      </c>
      <c r="D247" t="inlineStr">
        <is>
          <t>ÖSTERGÖTLANDS LÄN</t>
        </is>
      </c>
      <c r="E247" t="inlineStr">
        <is>
          <t>LINKÖPING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39074-2025</t>
        </is>
      </c>
      <c r="B248" s="1" t="n">
        <v>45888</v>
      </c>
      <c r="C248" s="1" t="n">
        <v>45986</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72567-2021</t>
        </is>
      </c>
      <c r="B249" s="1" t="n">
        <v>44546.45023148148</v>
      </c>
      <c r="C249" s="1" t="n">
        <v>45986</v>
      </c>
      <c r="D249" t="inlineStr">
        <is>
          <t>ÖSTERGÖTLANDS LÄN</t>
        </is>
      </c>
      <c r="E249" t="inlineStr">
        <is>
          <t>LINKÖPING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48699-2024</t>
        </is>
      </c>
      <c r="B250" s="1" t="n">
        <v>45593.52091435185</v>
      </c>
      <c r="C250" s="1" t="n">
        <v>45986</v>
      </c>
      <c r="D250" t="inlineStr">
        <is>
          <t>ÖSTERGÖTLANDS LÄN</t>
        </is>
      </c>
      <c r="E250" t="inlineStr">
        <is>
          <t>LINKÖPING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40169-2025</t>
        </is>
      </c>
      <c r="B251" s="1" t="n">
        <v>45894.62824074074</v>
      </c>
      <c r="C251" s="1" t="n">
        <v>45986</v>
      </c>
      <c r="D251" t="inlineStr">
        <is>
          <t>ÖSTERGÖTLANDS LÄN</t>
        </is>
      </c>
      <c r="E251" t="inlineStr">
        <is>
          <t>LINKÖPING</t>
        </is>
      </c>
      <c r="G251" t="n">
        <v>2.8</v>
      </c>
      <c r="H251" t="n">
        <v>0</v>
      </c>
      <c r="I251" t="n">
        <v>0</v>
      </c>
      <c r="J251" t="n">
        <v>0</v>
      </c>
      <c r="K251" t="n">
        <v>0</v>
      </c>
      <c r="L251" t="n">
        <v>0</v>
      </c>
      <c r="M251" t="n">
        <v>0</v>
      </c>
      <c r="N251" t="n">
        <v>0</v>
      </c>
      <c r="O251" t="n">
        <v>0</v>
      </c>
      <c r="P251" t="n">
        <v>0</v>
      </c>
      <c r="Q251" t="n">
        <v>0</v>
      </c>
      <c r="R251" s="2" t="inlineStr"/>
    </row>
    <row r="252" ht="15" customHeight="1">
      <c r="A252" t="inlineStr">
        <is>
          <t>A 13911-2025</t>
        </is>
      </c>
      <c r="B252" s="1" t="n">
        <v>45737.64784722222</v>
      </c>
      <c r="C252" s="1" t="n">
        <v>45986</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44280-2024</t>
        </is>
      </c>
      <c r="B253" s="1" t="n">
        <v>45573.49461805556</v>
      </c>
      <c r="C253" s="1" t="n">
        <v>45986</v>
      </c>
      <c r="D253" t="inlineStr">
        <is>
          <t>ÖSTERGÖTLANDS LÄN</t>
        </is>
      </c>
      <c r="E253" t="inlineStr">
        <is>
          <t>LINKÖPING</t>
        </is>
      </c>
      <c r="G253" t="n">
        <v>5.3</v>
      </c>
      <c r="H253" t="n">
        <v>0</v>
      </c>
      <c r="I253" t="n">
        <v>0</v>
      </c>
      <c r="J253" t="n">
        <v>0</v>
      </c>
      <c r="K253" t="n">
        <v>0</v>
      </c>
      <c r="L253" t="n">
        <v>0</v>
      </c>
      <c r="M253" t="n">
        <v>0</v>
      </c>
      <c r="N253" t="n">
        <v>0</v>
      </c>
      <c r="O253" t="n">
        <v>0</v>
      </c>
      <c r="P253" t="n">
        <v>0</v>
      </c>
      <c r="Q253" t="n">
        <v>0</v>
      </c>
      <c r="R253" s="2" t="inlineStr"/>
    </row>
    <row r="254" ht="15" customHeight="1">
      <c r="A254" t="inlineStr">
        <is>
          <t>A 41511-2025</t>
        </is>
      </c>
      <c r="B254" s="1" t="n">
        <v>45901.53839120371</v>
      </c>
      <c r="C254" s="1" t="n">
        <v>45986</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55945-2024</t>
        </is>
      </c>
      <c r="B255" s="1" t="n">
        <v>45623.61754629629</v>
      </c>
      <c r="C255" s="1" t="n">
        <v>45986</v>
      </c>
      <c r="D255" t="inlineStr">
        <is>
          <t>ÖSTERGÖTLANDS LÄN</t>
        </is>
      </c>
      <c r="E255" t="inlineStr">
        <is>
          <t>LINKÖPING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34928-2023</t>
        </is>
      </c>
      <c r="B256" s="1" t="n">
        <v>45142</v>
      </c>
      <c r="C256" s="1" t="n">
        <v>45986</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1263-2024</t>
        </is>
      </c>
      <c r="B257" s="1" t="n">
        <v>45302</v>
      </c>
      <c r="C257" s="1" t="n">
        <v>45986</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52531-2023</t>
        </is>
      </c>
      <c r="B258" s="1" t="n">
        <v>45225</v>
      </c>
      <c r="C258" s="1" t="n">
        <v>45986</v>
      </c>
      <c r="D258" t="inlineStr">
        <is>
          <t>ÖSTERGÖTLANDS LÄN</t>
        </is>
      </c>
      <c r="E258" t="inlineStr">
        <is>
          <t>LINKÖPING</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41706-2025</t>
        </is>
      </c>
      <c r="B259" s="1" t="n">
        <v>45902.42209490741</v>
      </c>
      <c r="C259" s="1" t="n">
        <v>45986</v>
      </c>
      <c r="D259" t="inlineStr">
        <is>
          <t>ÖSTERGÖTLANDS LÄN</t>
        </is>
      </c>
      <c r="E259" t="inlineStr">
        <is>
          <t>LINKÖPING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20291-2025</t>
        </is>
      </c>
      <c r="B260" s="1" t="n">
        <v>45774.74288194445</v>
      </c>
      <c r="C260" s="1" t="n">
        <v>45986</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20293-2025</t>
        </is>
      </c>
      <c r="B261" s="1" t="n">
        <v>45774.74611111111</v>
      </c>
      <c r="C261" s="1" t="n">
        <v>45986</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50667-2025</t>
        </is>
      </c>
      <c r="B262" s="1" t="n">
        <v>45945</v>
      </c>
      <c r="C262" s="1" t="n">
        <v>45986</v>
      </c>
      <c r="D262" t="inlineStr">
        <is>
          <t>ÖSTERGÖTLANDS LÄN</t>
        </is>
      </c>
      <c r="E262" t="inlineStr">
        <is>
          <t>LINKÖPING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3042-2024</t>
        </is>
      </c>
      <c r="B263" s="1" t="n">
        <v>45316.35028935185</v>
      </c>
      <c r="C263" s="1" t="n">
        <v>45986</v>
      </c>
      <c r="D263" t="inlineStr">
        <is>
          <t>ÖSTERGÖTLANDS LÄN</t>
        </is>
      </c>
      <c r="E263" t="inlineStr">
        <is>
          <t>LINKÖPING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26002-2025</t>
        </is>
      </c>
      <c r="B264" s="1" t="n">
        <v>45804.66534722222</v>
      </c>
      <c r="C264" s="1" t="n">
        <v>45986</v>
      </c>
      <c r="D264" t="inlineStr">
        <is>
          <t>ÖSTERGÖTLANDS LÄN</t>
        </is>
      </c>
      <c r="E264" t="inlineStr">
        <is>
          <t>LINKÖPING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29293-2025</t>
        </is>
      </c>
      <c r="B265" s="1" t="n">
        <v>45824</v>
      </c>
      <c r="C265" s="1" t="n">
        <v>45986</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3041-2024</t>
        </is>
      </c>
      <c r="B266" s="1" t="n">
        <v>45316.34875</v>
      </c>
      <c r="C266" s="1" t="n">
        <v>45986</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10253-2022</t>
        </is>
      </c>
      <c r="B267" s="1" t="n">
        <v>44622</v>
      </c>
      <c r="C267" s="1" t="n">
        <v>45986</v>
      </c>
      <c r="D267" t="inlineStr">
        <is>
          <t>ÖSTERGÖTLANDS LÄN</t>
        </is>
      </c>
      <c r="E267" t="inlineStr">
        <is>
          <t>LINKÖPING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25996-2025</t>
        </is>
      </c>
      <c r="B268" s="1" t="n">
        <v>45804.65851851852</v>
      </c>
      <c r="C268" s="1" t="n">
        <v>45986</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42624-2025</t>
        </is>
      </c>
      <c r="B269" s="1" t="n">
        <v>45905</v>
      </c>
      <c r="C269" s="1" t="n">
        <v>45986</v>
      </c>
      <c r="D269" t="inlineStr">
        <is>
          <t>ÖSTERGÖTLANDS LÄN</t>
        </is>
      </c>
      <c r="E269" t="inlineStr">
        <is>
          <t>LINKÖPING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42626-2025</t>
        </is>
      </c>
      <c r="B270" s="1" t="n">
        <v>45905</v>
      </c>
      <c r="C270" s="1" t="n">
        <v>45986</v>
      </c>
      <c r="D270" t="inlineStr">
        <is>
          <t>ÖSTERGÖTLANDS LÄN</t>
        </is>
      </c>
      <c r="E270" t="inlineStr">
        <is>
          <t>LINKÖPING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50963-2021</t>
        </is>
      </c>
      <c r="B271" s="1" t="n">
        <v>44460</v>
      </c>
      <c r="C271" s="1" t="n">
        <v>45986</v>
      </c>
      <c r="D271" t="inlineStr">
        <is>
          <t>ÖSTERGÖTLANDS LÄN</t>
        </is>
      </c>
      <c r="E271" t="inlineStr">
        <is>
          <t>LINKÖPING</t>
        </is>
      </c>
      <c r="G271" t="n">
        <v>4.4</v>
      </c>
      <c r="H271" t="n">
        <v>0</v>
      </c>
      <c r="I271" t="n">
        <v>0</v>
      </c>
      <c r="J271" t="n">
        <v>0</v>
      </c>
      <c r="K271" t="n">
        <v>0</v>
      </c>
      <c r="L271" t="n">
        <v>0</v>
      </c>
      <c r="M271" t="n">
        <v>0</v>
      </c>
      <c r="N271" t="n">
        <v>0</v>
      </c>
      <c r="O271" t="n">
        <v>0</v>
      </c>
      <c r="P271" t="n">
        <v>0</v>
      </c>
      <c r="Q271" t="n">
        <v>0</v>
      </c>
      <c r="R271" s="2" t="inlineStr"/>
    </row>
    <row r="272" ht="15" customHeight="1">
      <c r="A272" t="inlineStr">
        <is>
          <t>A 61307-2021</t>
        </is>
      </c>
      <c r="B272" s="1" t="n">
        <v>44498.63928240741</v>
      </c>
      <c r="C272" s="1" t="n">
        <v>45986</v>
      </c>
      <c r="D272" t="inlineStr">
        <is>
          <t>ÖSTERGÖTLANDS LÄN</t>
        </is>
      </c>
      <c r="E272" t="inlineStr">
        <is>
          <t>LINKÖPING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61325-2021</t>
        </is>
      </c>
      <c r="B273" s="1" t="n">
        <v>44498.66814814815</v>
      </c>
      <c r="C273" s="1" t="n">
        <v>45986</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63665-2023</t>
        </is>
      </c>
      <c r="B274" s="1" t="n">
        <v>45275</v>
      </c>
      <c r="C274" s="1" t="n">
        <v>45986</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42623-2025</t>
        </is>
      </c>
      <c r="B275" s="1" t="n">
        <v>45905</v>
      </c>
      <c r="C275" s="1" t="n">
        <v>45986</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33867-2023</t>
        </is>
      </c>
      <c r="B276" s="1" t="n">
        <v>45133.94640046296</v>
      </c>
      <c r="C276" s="1" t="n">
        <v>45986</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30985-2022</t>
        </is>
      </c>
      <c r="B277" s="1" t="n">
        <v>44768</v>
      </c>
      <c r="C277" s="1" t="n">
        <v>45986</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38317-2024</t>
        </is>
      </c>
      <c r="B278" s="1" t="n">
        <v>45545.65766203704</v>
      </c>
      <c r="C278" s="1" t="n">
        <v>45986</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51802-2025</t>
        </is>
      </c>
      <c r="B279" s="1" t="n">
        <v>45950</v>
      </c>
      <c r="C279" s="1" t="n">
        <v>45986</v>
      </c>
      <c r="D279" t="inlineStr">
        <is>
          <t>ÖSTERGÖTLANDS LÄN</t>
        </is>
      </c>
      <c r="E279" t="inlineStr">
        <is>
          <t>LINKÖPING</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58947-2022</t>
        </is>
      </c>
      <c r="B280" s="1" t="n">
        <v>44903.64769675926</v>
      </c>
      <c r="C280" s="1" t="n">
        <v>45986</v>
      </c>
      <c r="D280" t="inlineStr">
        <is>
          <t>ÖSTERGÖTLANDS LÄN</t>
        </is>
      </c>
      <c r="E280" t="inlineStr">
        <is>
          <t>LINKÖPING</t>
        </is>
      </c>
      <c r="G280" t="n">
        <v>4</v>
      </c>
      <c r="H280" t="n">
        <v>0</v>
      </c>
      <c r="I280" t="n">
        <v>0</v>
      </c>
      <c r="J280" t="n">
        <v>0</v>
      </c>
      <c r="K280" t="n">
        <v>0</v>
      </c>
      <c r="L280" t="n">
        <v>0</v>
      </c>
      <c r="M280" t="n">
        <v>0</v>
      </c>
      <c r="N280" t="n">
        <v>0</v>
      </c>
      <c r="O280" t="n">
        <v>0</v>
      </c>
      <c r="P280" t="n">
        <v>0</v>
      </c>
      <c r="Q280" t="n">
        <v>0</v>
      </c>
      <c r="R280" s="2" t="inlineStr"/>
    </row>
    <row r="281" ht="15" customHeight="1">
      <c r="A281" t="inlineStr">
        <is>
          <t>A 16665-2023</t>
        </is>
      </c>
      <c r="B281" s="1" t="n">
        <v>45030.5583912037</v>
      </c>
      <c r="C281" s="1" t="n">
        <v>45986</v>
      </c>
      <c r="D281" t="inlineStr">
        <is>
          <t>ÖSTERGÖTLANDS LÄN</t>
        </is>
      </c>
      <c r="E281" t="inlineStr">
        <is>
          <t>LINKÖPING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52111-2025</t>
        </is>
      </c>
      <c r="B282" s="1" t="n">
        <v>45952.69527777778</v>
      </c>
      <c r="C282" s="1" t="n">
        <v>45986</v>
      </c>
      <c r="D282" t="inlineStr">
        <is>
          <t>ÖSTERGÖTLANDS LÄN</t>
        </is>
      </c>
      <c r="E282" t="inlineStr">
        <is>
          <t>LINKÖPING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60001-2022</t>
        </is>
      </c>
      <c r="B283" s="1" t="n">
        <v>44909.47087962963</v>
      </c>
      <c r="C283" s="1" t="n">
        <v>45986</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60013-2022</t>
        </is>
      </c>
      <c r="B284" s="1" t="n">
        <v>44909.47482638889</v>
      </c>
      <c r="C284" s="1" t="n">
        <v>45986</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1211-2023</t>
        </is>
      </c>
      <c r="B285" s="1" t="n">
        <v>44930</v>
      </c>
      <c r="C285" s="1" t="n">
        <v>45986</v>
      </c>
      <c r="D285" t="inlineStr">
        <is>
          <t>ÖSTERGÖTLANDS LÄN</t>
        </is>
      </c>
      <c r="E285" t="inlineStr">
        <is>
          <t>LINKÖPING</t>
        </is>
      </c>
      <c r="F285" t="inlineStr">
        <is>
          <t>Övriga statliga verk och myndigheter</t>
        </is>
      </c>
      <c r="G285" t="n">
        <v>7.9</v>
      </c>
      <c r="H285" t="n">
        <v>0</v>
      </c>
      <c r="I285" t="n">
        <v>0</v>
      </c>
      <c r="J285" t="n">
        <v>0</v>
      </c>
      <c r="K285" t="n">
        <v>0</v>
      </c>
      <c r="L285" t="n">
        <v>0</v>
      </c>
      <c r="M285" t="n">
        <v>0</v>
      </c>
      <c r="N285" t="n">
        <v>0</v>
      </c>
      <c r="O285" t="n">
        <v>0</v>
      </c>
      <c r="P285" t="n">
        <v>0</v>
      </c>
      <c r="Q285" t="n">
        <v>0</v>
      </c>
      <c r="R285" s="2" t="inlineStr"/>
    </row>
    <row r="286" ht="15" customHeight="1">
      <c r="A286" t="inlineStr">
        <is>
          <t>A 38136-2023</t>
        </is>
      </c>
      <c r="B286" s="1" t="n">
        <v>45161.37310185185</v>
      </c>
      <c r="C286" s="1" t="n">
        <v>45986</v>
      </c>
      <c r="D286" t="inlineStr">
        <is>
          <t>ÖSTERGÖTLANDS LÄN</t>
        </is>
      </c>
      <c r="E286" t="inlineStr">
        <is>
          <t>LINKÖPING</t>
        </is>
      </c>
      <c r="G286" t="n">
        <v>5.6</v>
      </c>
      <c r="H286" t="n">
        <v>0</v>
      </c>
      <c r="I286" t="n">
        <v>0</v>
      </c>
      <c r="J286" t="n">
        <v>0</v>
      </c>
      <c r="K286" t="n">
        <v>0</v>
      </c>
      <c r="L286" t="n">
        <v>0</v>
      </c>
      <c r="M286" t="n">
        <v>0</v>
      </c>
      <c r="N286" t="n">
        <v>0</v>
      </c>
      <c r="O286" t="n">
        <v>0</v>
      </c>
      <c r="P286" t="n">
        <v>0</v>
      </c>
      <c r="Q286" t="n">
        <v>0</v>
      </c>
      <c r="R286" s="2" t="inlineStr"/>
    </row>
    <row r="287" ht="15" customHeight="1">
      <c r="A287" t="inlineStr">
        <is>
          <t>A 52743-2025</t>
        </is>
      </c>
      <c r="B287" s="1" t="n">
        <v>45957.38039351852</v>
      </c>
      <c r="C287" s="1" t="n">
        <v>45986</v>
      </c>
      <c r="D287" t="inlineStr">
        <is>
          <t>ÖSTERGÖTLANDS LÄN</t>
        </is>
      </c>
      <c r="E287" t="inlineStr">
        <is>
          <t>LINKÖPING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12317-2025</t>
        </is>
      </c>
      <c r="B288" s="1" t="n">
        <v>45729.8487037037</v>
      </c>
      <c r="C288" s="1" t="n">
        <v>45986</v>
      </c>
      <c r="D288" t="inlineStr">
        <is>
          <t>ÖSTERGÖTLANDS LÄN</t>
        </is>
      </c>
      <c r="E288" t="inlineStr">
        <is>
          <t>LINKÖPING</t>
        </is>
      </c>
      <c r="G288" t="n">
        <v>8</v>
      </c>
      <c r="H288" t="n">
        <v>0</v>
      </c>
      <c r="I288" t="n">
        <v>0</v>
      </c>
      <c r="J288" t="n">
        <v>0</v>
      </c>
      <c r="K288" t="n">
        <v>0</v>
      </c>
      <c r="L288" t="n">
        <v>0</v>
      </c>
      <c r="M288" t="n">
        <v>0</v>
      </c>
      <c r="N288" t="n">
        <v>0</v>
      </c>
      <c r="O288" t="n">
        <v>0</v>
      </c>
      <c r="P288" t="n">
        <v>0</v>
      </c>
      <c r="Q288" t="n">
        <v>0</v>
      </c>
      <c r="R288" s="2" t="inlineStr"/>
    </row>
    <row r="289" ht="15" customHeight="1">
      <c r="A289" t="inlineStr">
        <is>
          <t>A 44170-2025</t>
        </is>
      </c>
      <c r="B289" s="1" t="n">
        <v>45915.59864583334</v>
      </c>
      <c r="C289" s="1" t="n">
        <v>45986</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36557-2023</t>
        </is>
      </c>
      <c r="B290" s="1" t="n">
        <v>45153</v>
      </c>
      <c r="C290" s="1" t="n">
        <v>45986</v>
      </c>
      <c r="D290" t="inlineStr">
        <is>
          <t>ÖSTERGÖTLANDS LÄN</t>
        </is>
      </c>
      <c r="E290" t="inlineStr">
        <is>
          <t>LINKÖPING</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2085-2024</t>
        </is>
      </c>
      <c r="B291" s="1" t="n">
        <v>45309</v>
      </c>
      <c r="C291" s="1" t="n">
        <v>45986</v>
      </c>
      <c r="D291" t="inlineStr">
        <is>
          <t>ÖSTERGÖTLANDS LÄN</t>
        </is>
      </c>
      <c r="E291" t="inlineStr">
        <is>
          <t>LINKÖPING</t>
        </is>
      </c>
      <c r="G291" t="n">
        <v>4.5</v>
      </c>
      <c r="H291" t="n">
        <v>0</v>
      </c>
      <c r="I291" t="n">
        <v>0</v>
      </c>
      <c r="J291" t="n">
        <v>0</v>
      </c>
      <c r="K291" t="n">
        <v>0</v>
      </c>
      <c r="L291" t="n">
        <v>0</v>
      </c>
      <c r="M291" t="n">
        <v>0</v>
      </c>
      <c r="N291" t="n">
        <v>0</v>
      </c>
      <c r="O291" t="n">
        <v>0</v>
      </c>
      <c r="P291" t="n">
        <v>0</v>
      </c>
      <c r="Q291" t="n">
        <v>0</v>
      </c>
      <c r="R291" s="2" t="inlineStr"/>
    </row>
    <row r="292" ht="15" customHeight="1">
      <c r="A292" t="inlineStr">
        <is>
          <t>A 43755-2025</t>
        </is>
      </c>
      <c r="B292" s="1" t="n">
        <v>45912.47329861111</v>
      </c>
      <c r="C292" s="1" t="n">
        <v>45986</v>
      </c>
      <c r="D292" t="inlineStr">
        <is>
          <t>ÖSTERGÖTLANDS LÄN</t>
        </is>
      </c>
      <c r="E292" t="inlineStr">
        <is>
          <t>LINKÖPING</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30468-2023</t>
        </is>
      </c>
      <c r="B293" s="1" t="n">
        <v>45111.58732638889</v>
      </c>
      <c r="C293" s="1" t="n">
        <v>45986</v>
      </c>
      <c r="D293" t="inlineStr">
        <is>
          <t>ÖSTERGÖTLANDS LÄN</t>
        </is>
      </c>
      <c r="E293" t="inlineStr">
        <is>
          <t>LINKÖPING</t>
        </is>
      </c>
      <c r="G293" t="n">
        <v>10.1</v>
      </c>
      <c r="H293" t="n">
        <v>0</v>
      </c>
      <c r="I293" t="n">
        <v>0</v>
      </c>
      <c r="J293" t="n">
        <v>0</v>
      </c>
      <c r="K293" t="n">
        <v>0</v>
      </c>
      <c r="L293" t="n">
        <v>0</v>
      </c>
      <c r="M293" t="n">
        <v>0</v>
      </c>
      <c r="N293" t="n">
        <v>0</v>
      </c>
      <c r="O293" t="n">
        <v>0</v>
      </c>
      <c r="P293" t="n">
        <v>0</v>
      </c>
      <c r="Q293" t="n">
        <v>0</v>
      </c>
      <c r="R293" s="2" t="inlineStr"/>
    </row>
    <row r="294" ht="15" customHeight="1">
      <c r="A294" t="inlineStr">
        <is>
          <t>A 43758-2025</t>
        </is>
      </c>
      <c r="B294" s="1" t="n">
        <v>45912.47711805555</v>
      </c>
      <c r="C294" s="1" t="n">
        <v>45986</v>
      </c>
      <c r="D294" t="inlineStr">
        <is>
          <t>ÖSTERGÖTLANDS LÄN</t>
        </is>
      </c>
      <c r="E294" t="inlineStr">
        <is>
          <t>LINKÖPING</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52802-2025</t>
        </is>
      </c>
      <c r="B295" s="1" t="n">
        <v>45957.44295138889</v>
      </c>
      <c r="C295" s="1" t="n">
        <v>45986</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38715-2023</t>
        </is>
      </c>
      <c r="B296" s="1" t="n">
        <v>45160</v>
      </c>
      <c r="C296" s="1" t="n">
        <v>45986</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43753-2025</t>
        </is>
      </c>
      <c r="B297" s="1" t="n">
        <v>45912.4715625</v>
      </c>
      <c r="C297" s="1" t="n">
        <v>45986</v>
      </c>
      <c r="D297" t="inlineStr">
        <is>
          <t>ÖSTERGÖTLANDS LÄN</t>
        </is>
      </c>
      <c r="E297" t="inlineStr">
        <is>
          <t>LINKÖPING</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52800-2025</t>
        </is>
      </c>
      <c r="B298" s="1" t="n">
        <v>45957.44152777778</v>
      </c>
      <c r="C298" s="1" t="n">
        <v>45986</v>
      </c>
      <c r="D298" t="inlineStr">
        <is>
          <t>ÖSTERGÖTLANDS LÄN</t>
        </is>
      </c>
      <c r="E298" t="inlineStr">
        <is>
          <t>LINKÖPING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34864-2023</t>
        </is>
      </c>
      <c r="B299" s="1" t="n">
        <v>45141</v>
      </c>
      <c r="C299" s="1" t="n">
        <v>45986</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46687-2021</t>
        </is>
      </c>
      <c r="B300" s="1" t="n">
        <v>44445</v>
      </c>
      <c r="C300" s="1" t="n">
        <v>45986</v>
      </c>
      <c r="D300" t="inlineStr">
        <is>
          <t>ÖSTERGÖTLANDS LÄN</t>
        </is>
      </c>
      <c r="E300" t="inlineStr">
        <is>
          <t>LINKÖPING</t>
        </is>
      </c>
      <c r="F300" t="inlineStr">
        <is>
          <t>Övriga statliga verk och myndigheter</t>
        </is>
      </c>
      <c r="G300" t="n">
        <v>2.3</v>
      </c>
      <c r="H300" t="n">
        <v>0</v>
      </c>
      <c r="I300" t="n">
        <v>0</v>
      </c>
      <c r="J300" t="n">
        <v>0</v>
      </c>
      <c r="K300" t="n">
        <v>0</v>
      </c>
      <c r="L300" t="n">
        <v>0</v>
      </c>
      <c r="M300" t="n">
        <v>0</v>
      </c>
      <c r="N300" t="n">
        <v>0</v>
      </c>
      <c r="O300" t="n">
        <v>0</v>
      </c>
      <c r="P300" t="n">
        <v>0</v>
      </c>
      <c r="Q300" t="n">
        <v>0</v>
      </c>
      <c r="R300" s="2" t="inlineStr"/>
    </row>
    <row r="301" ht="15" customHeight="1">
      <c r="A301" t="inlineStr">
        <is>
          <t>A 17103-2025</t>
        </is>
      </c>
      <c r="B301" s="1" t="n">
        <v>45755.66143518518</v>
      </c>
      <c r="C301" s="1" t="n">
        <v>45986</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44759-2025</t>
        </is>
      </c>
      <c r="B302" s="1" t="n">
        <v>45917.7152662037</v>
      </c>
      <c r="C302" s="1" t="n">
        <v>45986</v>
      </c>
      <c r="D302" t="inlineStr">
        <is>
          <t>ÖSTERGÖTLANDS LÄN</t>
        </is>
      </c>
      <c r="E302" t="inlineStr">
        <is>
          <t>LINKÖPING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27950-2025</t>
        </is>
      </c>
      <c r="B303" s="1" t="n">
        <v>45817.52960648148</v>
      </c>
      <c r="C303" s="1" t="n">
        <v>45986</v>
      </c>
      <c r="D303" t="inlineStr">
        <is>
          <t>ÖSTERGÖTLANDS LÄN</t>
        </is>
      </c>
      <c r="E303" t="inlineStr">
        <is>
          <t>LINKÖPING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40618-2021</t>
        </is>
      </c>
      <c r="B304" s="1" t="n">
        <v>44420.49575231481</v>
      </c>
      <c r="C304" s="1" t="n">
        <v>45986</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44764-2025</t>
        </is>
      </c>
      <c r="B305" s="1" t="n">
        <v>45917.72821759259</v>
      </c>
      <c r="C305" s="1" t="n">
        <v>45986</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56180-2024</t>
        </is>
      </c>
      <c r="B306" s="1" t="n">
        <v>45624.56611111111</v>
      </c>
      <c r="C306" s="1" t="n">
        <v>45986</v>
      </c>
      <c r="D306" t="inlineStr">
        <is>
          <t>ÖSTERGÖTLANDS LÄN</t>
        </is>
      </c>
      <c r="E306" t="inlineStr">
        <is>
          <t>LINKÖPING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27797-2025</t>
        </is>
      </c>
      <c r="B307" s="1" t="n">
        <v>45816.80521990741</v>
      </c>
      <c r="C307" s="1" t="n">
        <v>45986</v>
      </c>
      <c r="D307" t="inlineStr">
        <is>
          <t>ÖSTERGÖTLANDS LÄN</t>
        </is>
      </c>
      <c r="E307" t="inlineStr">
        <is>
          <t>LINKÖPING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27798-2025</t>
        </is>
      </c>
      <c r="B308" s="1" t="n">
        <v>45816.81532407407</v>
      </c>
      <c r="C308" s="1" t="n">
        <v>45986</v>
      </c>
      <c r="D308" t="inlineStr">
        <is>
          <t>ÖSTERGÖTLANDS LÄN</t>
        </is>
      </c>
      <c r="E308" t="inlineStr">
        <is>
          <t>LINKÖPING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30471-2023</t>
        </is>
      </c>
      <c r="B309" s="1" t="n">
        <v>45111.58931712963</v>
      </c>
      <c r="C309" s="1" t="n">
        <v>45986</v>
      </c>
      <c r="D309" t="inlineStr">
        <is>
          <t>ÖSTERGÖTLANDS LÄN</t>
        </is>
      </c>
      <c r="E309" t="inlineStr">
        <is>
          <t>LINKÖPING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28200-2025</t>
        </is>
      </c>
      <c r="B310" s="1" t="n">
        <v>45818.4428125</v>
      </c>
      <c r="C310" s="1" t="n">
        <v>45986</v>
      </c>
      <c r="D310" t="inlineStr">
        <is>
          <t>ÖSTERGÖTLANDS LÄN</t>
        </is>
      </c>
      <c r="E310" t="inlineStr">
        <is>
          <t>LINKÖPING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227-2024</t>
        </is>
      </c>
      <c r="B311" s="1" t="n">
        <v>45294.73603009259</v>
      </c>
      <c r="C311" s="1" t="n">
        <v>45986</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28204-2025</t>
        </is>
      </c>
      <c r="B312" s="1" t="n">
        <v>45818.4477662037</v>
      </c>
      <c r="C312" s="1" t="n">
        <v>45986</v>
      </c>
      <c r="D312" t="inlineStr">
        <is>
          <t>ÖSTERGÖTLANDS LÄN</t>
        </is>
      </c>
      <c r="E312" t="inlineStr">
        <is>
          <t>LINKÖPING</t>
        </is>
      </c>
      <c r="G312" t="n">
        <v>2.9</v>
      </c>
      <c r="H312" t="n">
        <v>0</v>
      </c>
      <c r="I312" t="n">
        <v>0</v>
      </c>
      <c r="J312" t="n">
        <v>0</v>
      </c>
      <c r="K312" t="n">
        <v>0</v>
      </c>
      <c r="L312" t="n">
        <v>0</v>
      </c>
      <c r="M312" t="n">
        <v>0</v>
      </c>
      <c r="N312" t="n">
        <v>0</v>
      </c>
      <c r="O312" t="n">
        <v>0</v>
      </c>
      <c r="P312" t="n">
        <v>0</v>
      </c>
      <c r="Q312" t="n">
        <v>0</v>
      </c>
      <c r="R312" s="2" t="inlineStr"/>
    </row>
    <row r="313" ht="15" customHeight="1">
      <c r="A313" t="inlineStr">
        <is>
          <t>A 28416-2025</t>
        </is>
      </c>
      <c r="B313" s="1" t="n">
        <v>45819.35346064815</v>
      </c>
      <c r="C313" s="1" t="n">
        <v>45986</v>
      </c>
      <c r="D313" t="inlineStr">
        <is>
          <t>ÖSTERGÖTLANDS LÄN</t>
        </is>
      </c>
      <c r="E313" t="inlineStr">
        <is>
          <t>LINKÖPING</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45112-2025</t>
        </is>
      </c>
      <c r="B314" s="1" t="n">
        <v>45919</v>
      </c>
      <c r="C314" s="1" t="n">
        <v>45986</v>
      </c>
      <c r="D314" t="inlineStr">
        <is>
          <t>ÖSTERGÖTLANDS LÄN</t>
        </is>
      </c>
      <c r="E314" t="inlineStr">
        <is>
          <t>LINKÖPING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44155-2024</t>
        </is>
      </c>
      <c r="B315" s="1" t="n">
        <v>45572.68226851852</v>
      </c>
      <c r="C315" s="1" t="n">
        <v>45986</v>
      </c>
      <c r="D315" t="inlineStr">
        <is>
          <t>ÖSTERGÖTLANDS LÄN</t>
        </is>
      </c>
      <c r="E315" t="inlineStr">
        <is>
          <t>LINKÖPING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30434-2024</t>
        </is>
      </c>
      <c r="B316" s="1" t="n">
        <v>45491.69811342593</v>
      </c>
      <c r="C316" s="1" t="n">
        <v>45986</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56917-2022</t>
        </is>
      </c>
      <c r="B317" s="1" t="n">
        <v>44894</v>
      </c>
      <c r="C317" s="1" t="n">
        <v>45986</v>
      </c>
      <c r="D317" t="inlineStr">
        <is>
          <t>ÖSTERGÖTLANDS LÄN</t>
        </is>
      </c>
      <c r="E317" t="inlineStr">
        <is>
          <t>LINKÖPING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57766-2023</t>
        </is>
      </c>
      <c r="B318" s="1" t="n">
        <v>45246</v>
      </c>
      <c r="C318" s="1" t="n">
        <v>45986</v>
      </c>
      <c r="D318" t="inlineStr">
        <is>
          <t>ÖSTERGÖTLANDS LÄN</t>
        </is>
      </c>
      <c r="E318" t="inlineStr">
        <is>
          <t>LINKÖPING</t>
        </is>
      </c>
      <c r="F318" t="inlineStr">
        <is>
          <t>Allmännings- och besparingsskogar</t>
        </is>
      </c>
      <c r="G318" t="n">
        <v>12.8</v>
      </c>
      <c r="H318" t="n">
        <v>0</v>
      </c>
      <c r="I318" t="n">
        <v>0</v>
      </c>
      <c r="J318" t="n">
        <v>0</v>
      </c>
      <c r="K318" t="n">
        <v>0</v>
      </c>
      <c r="L318" t="n">
        <v>0</v>
      </c>
      <c r="M318" t="n">
        <v>0</v>
      </c>
      <c r="N318" t="n">
        <v>0</v>
      </c>
      <c r="O318" t="n">
        <v>0</v>
      </c>
      <c r="P318" t="n">
        <v>0</v>
      </c>
      <c r="Q318" t="n">
        <v>0</v>
      </c>
      <c r="R318" s="2" t="inlineStr"/>
    </row>
    <row r="319" ht="15" customHeight="1">
      <c r="A319" t="inlineStr">
        <is>
          <t>A 28398-2025</t>
        </is>
      </c>
      <c r="B319" s="1" t="n">
        <v>45819.34208333334</v>
      </c>
      <c r="C319" s="1" t="n">
        <v>45986</v>
      </c>
      <c r="D319" t="inlineStr">
        <is>
          <t>ÖSTERGÖTLANDS LÄN</t>
        </is>
      </c>
      <c r="E319" t="inlineStr">
        <is>
          <t>LINKÖPING</t>
        </is>
      </c>
      <c r="F319" t="inlineStr">
        <is>
          <t>Sveaskog</t>
        </is>
      </c>
      <c r="G319" t="n">
        <v>7.9</v>
      </c>
      <c r="H319" t="n">
        <v>0</v>
      </c>
      <c r="I319" t="n">
        <v>0</v>
      </c>
      <c r="J319" t="n">
        <v>0</v>
      </c>
      <c r="K319" t="n">
        <v>0</v>
      </c>
      <c r="L319" t="n">
        <v>0</v>
      </c>
      <c r="M319" t="n">
        <v>0</v>
      </c>
      <c r="N319" t="n">
        <v>0</v>
      </c>
      <c r="O319" t="n">
        <v>0</v>
      </c>
      <c r="P319" t="n">
        <v>0</v>
      </c>
      <c r="Q319" t="n">
        <v>0</v>
      </c>
      <c r="R319" s="2" t="inlineStr"/>
    </row>
    <row r="320" ht="15" customHeight="1">
      <c r="A320" t="inlineStr">
        <is>
          <t>A 28209-2025</t>
        </is>
      </c>
      <c r="B320" s="1" t="n">
        <v>45818.45112268518</v>
      </c>
      <c r="C320" s="1" t="n">
        <v>45986</v>
      </c>
      <c r="D320" t="inlineStr">
        <is>
          <t>ÖSTERGÖTLANDS LÄN</t>
        </is>
      </c>
      <c r="E320" t="inlineStr">
        <is>
          <t>LINKÖPING</t>
        </is>
      </c>
      <c r="G320" t="n">
        <v>4.2</v>
      </c>
      <c r="H320" t="n">
        <v>0</v>
      </c>
      <c r="I320" t="n">
        <v>0</v>
      </c>
      <c r="J320" t="n">
        <v>0</v>
      </c>
      <c r="K320" t="n">
        <v>0</v>
      </c>
      <c r="L320" t="n">
        <v>0</v>
      </c>
      <c r="M320" t="n">
        <v>0</v>
      </c>
      <c r="N320" t="n">
        <v>0</v>
      </c>
      <c r="O320" t="n">
        <v>0</v>
      </c>
      <c r="P320" t="n">
        <v>0</v>
      </c>
      <c r="Q320" t="n">
        <v>0</v>
      </c>
      <c r="R320" s="2" t="inlineStr"/>
    </row>
    <row r="321" ht="15" customHeight="1">
      <c r="A321" t="inlineStr">
        <is>
          <t>A 45634-2025</t>
        </is>
      </c>
      <c r="B321" s="1" t="n">
        <v>45922.85089120371</v>
      </c>
      <c r="C321" s="1" t="n">
        <v>45986</v>
      </c>
      <c r="D321" t="inlineStr">
        <is>
          <t>ÖSTERGÖTLANDS LÄN</t>
        </is>
      </c>
      <c r="E321" t="inlineStr">
        <is>
          <t>LINKÖPING</t>
        </is>
      </c>
      <c r="F321" t="inlineStr">
        <is>
          <t>Övriga Aktiebolag</t>
        </is>
      </c>
      <c r="G321" t="n">
        <v>0.3</v>
      </c>
      <c r="H321" t="n">
        <v>0</v>
      </c>
      <c r="I321" t="n">
        <v>0</v>
      </c>
      <c r="J321" t="n">
        <v>0</v>
      </c>
      <c r="K321" t="n">
        <v>0</v>
      </c>
      <c r="L321" t="n">
        <v>0</v>
      </c>
      <c r="M321" t="n">
        <v>0</v>
      </c>
      <c r="N321" t="n">
        <v>0</v>
      </c>
      <c r="O321" t="n">
        <v>0</v>
      </c>
      <c r="P321" t="n">
        <v>0</v>
      </c>
      <c r="Q321" t="n">
        <v>0</v>
      </c>
      <c r="R321" s="2" t="inlineStr"/>
    </row>
    <row r="322" ht="15" customHeight="1">
      <c r="A322" t="inlineStr">
        <is>
          <t>A 25568-2024</t>
        </is>
      </c>
      <c r="B322" s="1" t="n">
        <v>45463.58699074074</v>
      </c>
      <c r="C322" s="1" t="n">
        <v>45986</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29027-2025</t>
        </is>
      </c>
      <c r="B323" s="1" t="n">
        <v>45821.4375462963</v>
      </c>
      <c r="C323" s="1" t="n">
        <v>45986</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22833-2023</t>
        </is>
      </c>
      <c r="B324" s="1" t="n">
        <v>45071</v>
      </c>
      <c r="C324" s="1" t="n">
        <v>45986</v>
      </c>
      <c r="D324" t="inlineStr">
        <is>
          <t>ÖSTERGÖTLANDS LÄN</t>
        </is>
      </c>
      <c r="E324" t="inlineStr">
        <is>
          <t>LINKÖPING</t>
        </is>
      </c>
      <c r="F324" t="inlineStr">
        <is>
          <t>Kommuner</t>
        </is>
      </c>
      <c r="G324" t="n">
        <v>1</v>
      </c>
      <c r="H324" t="n">
        <v>0</v>
      </c>
      <c r="I324" t="n">
        <v>0</v>
      </c>
      <c r="J324" t="n">
        <v>0</v>
      </c>
      <c r="K324" t="n">
        <v>0</v>
      </c>
      <c r="L324" t="n">
        <v>0</v>
      </c>
      <c r="M324" t="n">
        <v>0</v>
      </c>
      <c r="N324" t="n">
        <v>0</v>
      </c>
      <c r="O324" t="n">
        <v>0</v>
      </c>
      <c r="P324" t="n">
        <v>0</v>
      </c>
      <c r="Q324" t="n">
        <v>0</v>
      </c>
      <c r="R324" s="2" t="inlineStr"/>
    </row>
    <row r="325" ht="15" customHeight="1">
      <c r="A325" t="inlineStr">
        <is>
          <t>A 29411-2025</t>
        </is>
      </c>
      <c r="B325" s="1" t="n">
        <v>45824.6219212963</v>
      </c>
      <c r="C325" s="1" t="n">
        <v>45986</v>
      </c>
      <c r="D325" t="inlineStr">
        <is>
          <t>ÖSTERGÖTLANDS LÄN</t>
        </is>
      </c>
      <c r="E325" t="inlineStr">
        <is>
          <t>LINKÖPING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54333-2025</t>
        </is>
      </c>
      <c r="B326" s="1" t="n">
        <v>45965.35090277778</v>
      </c>
      <c r="C326" s="1" t="n">
        <v>45986</v>
      </c>
      <c r="D326" t="inlineStr">
        <is>
          <t>ÖSTERGÖTLANDS LÄN</t>
        </is>
      </c>
      <c r="E326" t="inlineStr">
        <is>
          <t>LINKÖPING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45792-2025</t>
        </is>
      </c>
      <c r="B327" s="1" t="n">
        <v>45923.56998842592</v>
      </c>
      <c r="C327" s="1" t="n">
        <v>45986</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45804-2025</t>
        </is>
      </c>
      <c r="B328" s="1" t="n">
        <v>45923.5819675926</v>
      </c>
      <c r="C328" s="1" t="n">
        <v>45986</v>
      </c>
      <c r="D328" t="inlineStr">
        <is>
          <t>ÖSTERGÖTLANDS LÄN</t>
        </is>
      </c>
      <c r="E328" t="inlineStr">
        <is>
          <t>LINKÖPING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29393-2025</t>
        </is>
      </c>
      <c r="B329" s="1" t="n">
        <v>45824.6057175926</v>
      </c>
      <c r="C329" s="1" t="n">
        <v>45986</v>
      </c>
      <c r="D329" t="inlineStr">
        <is>
          <t>ÖSTERGÖTLANDS LÄN</t>
        </is>
      </c>
      <c r="E329" t="inlineStr">
        <is>
          <t>LINKÖPING</t>
        </is>
      </c>
      <c r="F329" t="inlineStr">
        <is>
          <t>Sveaskog</t>
        </is>
      </c>
      <c r="G329" t="n">
        <v>24.6</v>
      </c>
      <c r="H329" t="n">
        <v>0</v>
      </c>
      <c r="I329" t="n">
        <v>0</v>
      </c>
      <c r="J329" t="n">
        <v>0</v>
      </c>
      <c r="K329" t="n">
        <v>0</v>
      </c>
      <c r="L329" t="n">
        <v>0</v>
      </c>
      <c r="M329" t="n">
        <v>0</v>
      </c>
      <c r="N329" t="n">
        <v>0</v>
      </c>
      <c r="O329" t="n">
        <v>0</v>
      </c>
      <c r="P329" t="n">
        <v>0</v>
      </c>
      <c r="Q329" t="n">
        <v>0</v>
      </c>
      <c r="R329" s="2" t="inlineStr"/>
    </row>
    <row r="330" ht="15" customHeight="1">
      <c r="A330" t="inlineStr">
        <is>
          <t>A 2997-2025</t>
        </is>
      </c>
      <c r="B330" s="1" t="n">
        <v>45678.54631944445</v>
      </c>
      <c r="C330" s="1" t="n">
        <v>45986</v>
      </c>
      <c r="D330" t="inlineStr">
        <is>
          <t>ÖSTERGÖTLANDS LÄN</t>
        </is>
      </c>
      <c r="E330" t="inlineStr">
        <is>
          <t>LINKÖPING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46426-2025</t>
        </is>
      </c>
      <c r="B331" s="1" t="n">
        <v>45925.6012962963</v>
      </c>
      <c r="C331" s="1" t="n">
        <v>45986</v>
      </c>
      <c r="D331" t="inlineStr">
        <is>
          <t>ÖSTERGÖTLANDS LÄN</t>
        </is>
      </c>
      <c r="E331" t="inlineStr">
        <is>
          <t>LINKÖPING</t>
        </is>
      </c>
      <c r="G331" t="n">
        <v>4.4</v>
      </c>
      <c r="H331" t="n">
        <v>0</v>
      </c>
      <c r="I331" t="n">
        <v>0</v>
      </c>
      <c r="J331" t="n">
        <v>0</v>
      </c>
      <c r="K331" t="n">
        <v>0</v>
      </c>
      <c r="L331" t="n">
        <v>0</v>
      </c>
      <c r="M331" t="n">
        <v>0</v>
      </c>
      <c r="N331" t="n">
        <v>0</v>
      </c>
      <c r="O331" t="n">
        <v>0</v>
      </c>
      <c r="P331" t="n">
        <v>0</v>
      </c>
      <c r="Q331" t="n">
        <v>0</v>
      </c>
      <c r="R331" s="2" t="inlineStr"/>
    </row>
    <row r="332" ht="15" customHeight="1">
      <c r="A332" t="inlineStr">
        <is>
          <t>A 29599-2025</t>
        </is>
      </c>
      <c r="B332" s="1" t="n">
        <v>45825.41101851852</v>
      </c>
      <c r="C332" s="1" t="n">
        <v>45986</v>
      </c>
      <c r="D332" t="inlineStr">
        <is>
          <t>ÖSTERGÖTLANDS LÄN</t>
        </is>
      </c>
      <c r="E332" t="inlineStr">
        <is>
          <t>LINKÖPING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41345-2021</t>
        </is>
      </c>
      <c r="B333" s="1" t="n">
        <v>44424.61851851852</v>
      </c>
      <c r="C333" s="1" t="n">
        <v>45986</v>
      </c>
      <c r="D333" t="inlineStr">
        <is>
          <t>ÖSTERGÖTLANDS LÄN</t>
        </is>
      </c>
      <c r="E333" t="inlineStr">
        <is>
          <t>LINKÖPING</t>
        </is>
      </c>
      <c r="F333" t="inlineStr">
        <is>
          <t>Sveaskog</t>
        </is>
      </c>
      <c r="G333" t="n">
        <v>6.3</v>
      </c>
      <c r="H333" t="n">
        <v>0</v>
      </c>
      <c r="I333" t="n">
        <v>0</v>
      </c>
      <c r="J333" t="n">
        <v>0</v>
      </c>
      <c r="K333" t="n">
        <v>0</v>
      </c>
      <c r="L333" t="n">
        <v>0</v>
      </c>
      <c r="M333" t="n">
        <v>0</v>
      </c>
      <c r="N333" t="n">
        <v>0</v>
      </c>
      <c r="O333" t="n">
        <v>0</v>
      </c>
      <c r="P333" t="n">
        <v>0</v>
      </c>
      <c r="Q333" t="n">
        <v>0</v>
      </c>
      <c r="R333" s="2" t="inlineStr"/>
    </row>
    <row r="334" ht="15" customHeight="1">
      <c r="A334" t="inlineStr">
        <is>
          <t>A 13266-2025</t>
        </is>
      </c>
      <c r="B334" s="1" t="n">
        <v>45735.53318287037</v>
      </c>
      <c r="C334" s="1" t="n">
        <v>45986</v>
      </c>
      <c r="D334" t="inlineStr">
        <is>
          <t>ÖSTERGÖTLANDS LÄN</t>
        </is>
      </c>
      <c r="E334" t="inlineStr">
        <is>
          <t>LINKÖPING</t>
        </is>
      </c>
      <c r="G334" t="n">
        <v>3.1</v>
      </c>
      <c r="H334" t="n">
        <v>0</v>
      </c>
      <c r="I334" t="n">
        <v>0</v>
      </c>
      <c r="J334" t="n">
        <v>0</v>
      </c>
      <c r="K334" t="n">
        <v>0</v>
      </c>
      <c r="L334" t="n">
        <v>0</v>
      </c>
      <c r="M334" t="n">
        <v>0</v>
      </c>
      <c r="N334" t="n">
        <v>0</v>
      </c>
      <c r="O334" t="n">
        <v>0</v>
      </c>
      <c r="P334" t="n">
        <v>0</v>
      </c>
      <c r="Q334" t="n">
        <v>0</v>
      </c>
      <c r="R334" s="2" t="inlineStr"/>
    </row>
    <row r="335" ht="15" customHeight="1">
      <c r="A335" t="inlineStr">
        <is>
          <t>A 16213-2025</t>
        </is>
      </c>
      <c r="B335" s="1" t="n">
        <v>45750.62740740741</v>
      </c>
      <c r="C335" s="1" t="n">
        <v>45986</v>
      </c>
      <c r="D335" t="inlineStr">
        <is>
          <t>ÖSTERGÖTLANDS LÄN</t>
        </is>
      </c>
      <c r="E335" t="inlineStr">
        <is>
          <t>LINKÖPING</t>
        </is>
      </c>
      <c r="G335" t="n">
        <v>3.4</v>
      </c>
      <c r="H335" t="n">
        <v>0</v>
      </c>
      <c r="I335" t="n">
        <v>0</v>
      </c>
      <c r="J335" t="n">
        <v>0</v>
      </c>
      <c r="K335" t="n">
        <v>0</v>
      </c>
      <c r="L335" t="n">
        <v>0</v>
      </c>
      <c r="M335" t="n">
        <v>0</v>
      </c>
      <c r="N335" t="n">
        <v>0</v>
      </c>
      <c r="O335" t="n">
        <v>0</v>
      </c>
      <c r="P335" t="n">
        <v>0</v>
      </c>
      <c r="Q335" t="n">
        <v>0</v>
      </c>
      <c r="R335" s="2" t="inlineStr"/>
    </row>
    <row r="336" ht="15" customHeight="1">
      <c r="A336" t="inlineStr">
        <is>
          <t>A 46428-2025</t>
        </is>
      </c>
      <c r="B336" s="1" t="n">
        <v>45925.60758101852</v>
      </c>
      <c r="C336" s="1" t="n">
        <v>45986</v>
      </c>
      <c r="D336" t="inlineStr">
        <is>
          <t>ÖSTERGÖTLANDS LÄN</t>
        </is>
      </c>
      <c r="E336" t="inlineStr">
        <is>
          <t>LINKÖPING</t>
        </is>
      </c>
      <c r="G336" t="n">
        <v>3</v>
      </c>
      <c r="H336" t="n">
        <v>0</v>
      </c>
      <c r="I336" t="n">
        <v>0</v>
      </c>
      <c r="J336" t="n">
        <v>0</v>
      </c>
      <c r="K336" t="n">
        <v>0</v>
      </c>
      <c r="L336" t="n">
        <v>0</v>
      </c>
      <c r="M336" t="n">
        <v>0</v>
      </c>
      <c r="N336" t="n">
        <v>0</v>
      </c>
      <c r="O336" t="n">
        <v>0</v>
      </c>
      <c r="P336" t="n">
        <v>0</v>
      </c>
      <c r="Q336" t="n">
        <v>0</v>
      </c>
      <c r="R336" s="2" t="inlineStr"/>
    </row>
    <row r="337" ht="15" customHeight="1">
      <c r="A337" t="inlineStr">
        <is>
          <t>A 46225-2021</t>
        </is>
      </c>
      <c r="B337" s="1" t="n">
        <v>44442</v>
      </c>
      <c r="C337" s="1" t="n">
        <v>45986</v>
      </c>
      <c r="D337" t="inlineStr">
        <is>
          <t>ÖSTERGÖTLANDS LÄN</t>
        </is>
      </c>
      <c r="E337" t="inlineStr">
        <is>
          <t>LINKÖPING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25776-2021</t>
        </is>
      </c>
      <c r="B338" s="1" t="n">
        <v>44343</v>
      </c>
      <c r="C338" s="1" t="n">
        <v>45986</v>
      </c>
      <c r="D338" t="inlineStr">
        <is>
          <t>ÖSTERGÖTLANDS LÄN</t>
        </is>
      </c>
      <c r="E338" t="inlineStr">
        <is>
          <t>LINKÖPING</t>
        </is>
      </c>
      <c r="G338" t="n">
        <v>2.6</v>
      </c>
      <c r="H338" t="n">
        <v>0</v>
      </c>
      <c r="I338" t="n">
        <v>0</v>
      </c>
      <c r="J338" t="n">
        <v>0</v>
      </c>
      <c r="K338" t="n">
        <v>0</v>
      </c>
      <c r="L338" t="n">
        <v>0</v>
      </c>
      <c r="M338" t="n">
        <v>0</v>
      </c>
      <c r="N338" t="n">
        <v>0</v>
      </c>
      <c r="O338" t="n">
        <v>0</v>
      </c>
      <c r="P338" t="n">
        <v>0</v>
      </c>
      <c r="Q338" t="n">
        <v>0</v>
      </c>
      <c r="R338" s="2" t="inlineStr"/>
    </row>
    <row r="339" ht="15" customHeight="1">
      <c r="A339" t="inlineStr">
        <is>
          <t>A 46377-2025</t>
        </is>
      </c>
      <c r="B339" s="1" t="n">
        <v>45925.51773148148</v>
      </c>
      <c r="C339" s="1" t="n">
        <v>45986</v>
      </c>
      <c r="D339" t="inlineStr">
        <is>
          <t>ÖSTERGÖTLANDS LÄN</t>
        </is>
      </c>
      <c r="E339" t="inlineStr">
        <is>
          <t>LINKÖPING</t>
        </is>
      </c>
      <c r="G339" t="n">
        <v>3.1</v>
      </c>
      <c r="H339" t="n">
        <v>0</v>
      </c>
      <c r="I339" t="n">
        <v>0</v>
      </c>
      <c r="J339" t="n">
        <v>0</v>
      </c>
      <c r="K339" t="n">
        <v>0</v>
      </c>
      <c r="L339" t="n">
        <v>0</v>
      </c>
      <c r="M339" t="n">
        <v>0</v>
      </c>
      <c r="N339" t="n">
        <v>0</v>
      </c>
      <c r="O339" t="n">
        <v>0</v>
      </c>
      <c r="P339" t="n">
        <v>0</v>
      </c>
      <c r="Q339" t="n">
        <v>0</v>
      </c>
      <c r="R339" s="2" t="inlineStr"/>
    </row>
    <row r="340" ht="15" customHeight="1">
      <c r="A340" t="inlineStr">
        <is>
          <t>A 51484-2023</t>
        </is>
      </c>
      <c r="B340" s="1" t="n">
        <v>45222</v>
      </c>
      <c r="C340" s="1" t="n">
        <v>45986</v>
      </c>
      <c r="D340" t="inlineStr">
        <is>
          <t>ÖSTERGÖTLANDS LÄN</t>
        </is>
      </c>
      <c r="E340" t="inlineStr">
        <is>
          <t>LINKÖPING</t>
        </is>
      </c>
      <c r="F340" t="inlineStr">
        <is>
          <t>Övriga Aktiebolag</t>
        </is>
      </c>
      <c r="G340" t="n">
        <v>7.7</v>
      </c>
      <c r="H340" t="n">
        <v>0</v>
      </c>
      <c r="I340" t="n">
        <v>0</v>
      </c>
      <c r="J340" t="n">
        <v>0</v>
      </c>
      <c r="K340" t="n">
        <v>0</v>
      </c>
      <c r="L340" t="n">
        <v>0</v>
      </c>
      <c r="M340" t="n">
        <v>0</v>
      </c>
      <c r="N340" t="n">
        <v>0</v>
      </c>
      <c r="O340" t="n">
        <v>0</v>
      </c>
      <c r="P340" t="n">
        <v>0</v>
      </c>
      <c r="Q340" t="n">
        <v>0</v>
      </c>
      <c r="R340" s="2" t="inlineStr"/>
    </row>
    <row r="341" ht="15" customHeight="1">
      <c r="A341" t="inlineStr">
        <is>
          <t>A 17898-2022</t>
        </is>
      </c>
      <c r="B341" s="1" t="n">
        <v>44683</v>
      </c>
      <c r="C341" s="1" t="n">
        <v>45986</v>
      </c>
      <c r="D341" t="inlineStr">
        <is>
          <t>ÖSTERGÖTLANDS LÄN</t>
        </is>
      </c>
      <c r="E341" t="inlineStr">
        <is>
          <t>LINKÖPING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30355-2025</t>
        </is>
      </c>
      <c r="B342" s="1" t="n">
        <v>45827</v>
      </c>
      <c r="C342" s="1" t="n">
        <v>45986</v>
      </c>
      <c r="D342" t="inlineStr">
        <is>
          <t>ÖSTERGÖTLANDS LÄN</t>
        </is>
      </c>
      <c r="E342" t="inlineStr">
        <is>
          <t>LINKÖPING</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55132-2025</t>
        </is>
      </c>
      <c r="B343" s="1" t="n">
        <v>45968.41912037037</v>
      </c>
      <c r="C343" s="1" t="n">
        <v>45986</v>
      </c>
      <c r="D343" t="inlineStr">
        <is>
          <t>ÖSTERGÖTLANDS LÄN</t>
        </is>
      </c>
      <c r="E343" t="inlineStr">
        <is>
          <t>LINKÖPING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30353-2025</t>
        </is>
      </c>
      <c r="B344" s="1" t="n">
        <v>45827</v>
      </c>
      <c r="C344" s="1" t="n">
        <v>45986</v>
      </c>
      <c r="D344" t="inlineStr">
        <is>
          <t>ÖSTERGÖTLANDS LÄN</t>
        </is>
      </c>
      <c r="E344" t="inlineStr">
        <is>
          <t>LINKÖPING</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63487-2023</t>
        </is>
      </c>
      <c r="B345" s="1" t="n">
        <v>45274.66712962963</v>
      </c>
      <c r="C345" s="1" t="n">
        <v>45986</v>
      </c>
      <c r="D345" t="inlineStr">
        <is>
          <t>ÖSTERGÖTLANDS LÄN</t>
        </is>
      </c>
      <c r="E345" t="inlineStr">
        <is>
          <t>LINKÖPING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35463-2023</t>
        </is>
      </c>
      <c r="B346" s="1" t="n">
        <v>45146</v>
      </c>
      <c r="C346" s="1" t="n">
        <v>45986</v>
      </c>
      <c r="D346" t="inlineStr">
        <is>
          <t>ÖSTERGÖTLANDS LÄN</t>
        </is>
      </c>
      <c r="E346" t="inlineStr">
        <is>
          <t>LINKÖPING</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55632-2022</t>
        </is>
      </c>
      <c r="B347" s="1" t="n">
        <v>44888</v>
      </c>
      <c r="C347" s="1" t="n">
        <v>45986</v>
      </c>
      <c r="D347" t="inlineStr">
        <is>
          <t>ÖSTERGÖTLANDS LÄN</t>
        </is>
      </c>
      <c r="E347" t="inlineStr">
        <is>
          <t>LINKÖPING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63559-2023</t>
        </is>
      </c>
      <c r="B348" s="1" t="n">
        <v>45275.35924768518</v>
      </c>
      <c r="C348" s="1" t="n">
        <v>45986</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55102-2025</t>
        </is>
      </c>
      <c r="B349" s="1" t="n">
        <v>45968.35410879629</v>
      </c>
      <c r="C349" s="1" t="n">
        <v>45986</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55109-2025</t>
        </is>
      </c>
      <c r="B350" s="1" t="n">
        <v>45968.37731481482</v>
      </c>
      <c r="C350" s="1" t="n">
        <v>45986</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58114-2021</t>
        </is>
      </c>
      <c r="B351" s="1" t="n">
        <v>44487</v>
      </c>
      <c r="C351" s="1" t="n">
        <v>45986</v>
      </c>
      <c r="D351" t="inlineStr">
        <is>
          <t>ÖSTERGÖTLANDS LÄN</t>
        </is>
      </c>
      <c r="E351" t="inlineStr">
        <is>
          <t>LINKÖPING</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55165-2025</t>
        </is>
      </c>
      <c r="B352" s="1" t="n">
        <v>45968.48194444444</v>
      </c>
      <c r="C352" s="1" t="n">
        <v>45986</v>
      </c>
      <c r="D352" t="inlineStr">
        <is>
          <t>ÖSTERGÖTLANDS LÄN</t>
        </is>
      </c>
      <c r="E352" t="inlineStr">
        <is>
          <t>LINKÖPING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46847-2025</t>
        </is>
      </c>
      <c r="B353" s="1" t="n">
        <v>45928.69971064815</v>
      </c>
      <c r="C353" s="1" t="n">
        <v>45986</v>
      </c>
      <c r="D353" t="inlineStr">
        <is>
          <t>ÖSTERGÖTLANDS LÄN</t>
        </is>
      </c>
      <c r="E353" t="inlineStr">
        <is>
          <t>LINKÖPING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56113-2025</t>
        </is>
      </c>
      <c r="B354" s="1" t="n">
        <v>45973.73924768518</v>
      </c>
      <c r="C354" s="1" t="n">
        <v>45986</v>
      </c>
      <c r="D354" t="inlineStr">
        <is>
          <t>ÖSTERGÖTLANDS LÄN</t>
        </is>
      </c>
      <c r="E354" t="inlineStr">
        <is>
          <t>LINKÖPING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47233-2025</t>
        </is>
      </c>
      <c r="B355" s="1" t="n">
        <v>45930.40612268518</v>
      </c>
      <c r="C355" s="1" t="n">
        <v>45986</v>
      </c>
      <c r="D355" t="inlineStr">
        <is>
          <t>ÖSTERGÖTLANDS LÄN</t>
        </is>
      </c>
      <c r="E355" t="inlineStr">
        <is>
          <t>LINKÖPING</t>
        </is>
      </c>
      <c r="G355" t="n">
        <v>4.3</v>
      </c>
      <c r="H355" t="n">
        <v>0</v>
      </c>
      <c r="I355" t="n">
        <v>0</v>
      </c>
      <c r="J355" t="n">
        <v>0</v>
      </c>
      <c r="K355" t="n">
        <v>0</v>
      </c>
      <c r="L355" t="n">
        <v>0</v>
      </c>
      <c r="M355" t="n">
        <v>0</v>
      </c>
      <c r="N355" t="n">
        <v>0</v>
      </c>
      <c r="O355" t="n">
        <v>0</v>
      </c>
      <c r="P355" t="n">
        <v>0</v>
      </c>
      <c r="Q355" t="n">
        <v>0</v>
      </c>
      <c r="R355" s="2" t="inlineStr"/>
    </row>
    <row r="356" ht="15" customHeight="1">
      <c r="A356" t="inlineStr">
        <is>
          <t>A 55944-2024</t>
        </is>
      </c>
      <c r="B356" s="1" t="n">
        <v>45623.61640046296</v>
      </c>
      <c r="C356" s="1" t="n">
        <v>45986</v>
      </c>
      <c r="D356" t="inlineStr">
        <is>
          <t>ÖSTERGÖTLANDS LÄN</t>
        </is>
      </c>
      <c r="E356" t="inlineStr">
        <is>
          <t>LINKÖPING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55947-2024</t>
        </is>
      </c>
      <c r="B357" s="1" t="n">
        <v>45623</v>
      </c>
      <c r="C357" s="1" t="n">
        <v>45986</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3374-2023</t>
        </is>
      </c>
      <c r="B358" s="1" t="n">
        <v>44949</v>
      </c>
      <c r="C358" s="1" t="n">
        <v>45986</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47606-2025</t>
        </is>
      </c>
      <c r="B359" s="1" t="n">
        <v>45931.46402777778</v>
      </c>
      <c r="C359" s="1" t="n">
        <v>45986</v>
      </c>
      <c r="D359" t="inlineStr">
        <is>
          <t>ÖSTERGÖTLANDS LÄN</t>
        </is>
      </c>
      <c r="E359" t="inlineStr">
        <is>
          <t>LINKÖPING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24151-2024</t>
        </is>
      </c>
      <c r="B360" s="1" t="n">
        <v>45456.67717592593</v>
      </c>
      <c r="C360" s="1" t="n">
        <v>45986</v>
      </c>
      <c r="D360" t="inlineStr">
        <is>
          <t>ÖSTERGÖTLANDS LÄN</t>
        </is>
      </c>
      <c r="E360" t="inlineStr">
        <is>
          <t>LINKÖPING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55683-2025</t>
        </is>
      </c>
      <c r="B361" s="1" t="n">
        <v>45972.4255324074</v>
      </c>
      <c r="C361" s="1" t="n">
        <v>45986</v>
      </c>
      <c r="D361" t="inlineStr">
        <is>
          <t>ÖSTERGÖTLANDS LÄN</t>
        </is>
      </c>
      <c r="E361" t="inlineStr">
        <is>
          <t>LINKÖPING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47304-2025</t>
        </is>
      </c>
      <c r="B362" s="1" t="n">
        <v>45930.52037037037</v>
      </c>
      <c r="C362" s="1" t="n">
        <v>45986</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56105-2025</t>
        </is>
      </c>
      <c r="B363" s="1" t="n">
        <v>45973.72855324074</v>
      </c>
      <c r="C363" s="1" t="n">
        <v>45986</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67123-2020</t>
        </is>
      </c>
      <c r="B364" s="1" t="n">
        <v>44180</v>
      </c>
      <c r="C364" s="1" t="n">
        <v>45986</v>
      </c>
      <c r="D364" t="inlineStr">
        <is>
          <t>ÖSTERGÖTLANDS LÄN</t>
        </is>
      </c>
      <c r="E364" t="inlineStr">
        <is>
          <t>LINKÖPING</t>
        </is>
      </c>
      <c r="F364" t="inlineStr">
        <is>
          <t>Övriga statliga verk och myndigheter</t>
        </is>
      </c>
      <c r="G364" t="n">
        <v>1.3</v>
      </c>
      <c r="H364" t="n">
        <v>0</v>
      </c>
      <c r="I364" t="n">
        <v>0</v>
      </c>
      <c r="J364" t="n">
        <v>0</v>
      </c>
      <c r="K364" t="n">
        <v>0</v>
      </c>
      <c r="L364" t="n">
        <v>0</v>
      </c>
      <c r="M364" t="n">
        <v>0</v>
      </c>
      <c r="N364" t="n">
        <v>0</v>
      </c>
      <c r="O364" t="n">
        <v>0</v>
      </c>
      <c r="P364" t="n">
        <v>0</v>
      </c>
      <c r="Q364" t="n">
        <v>0</v>
      </c>
      <c r="R364" s="2" t="inlineStr"/>
    </row>
    <row r="365" ht="15" customHeight="1">
      <c r="A365" t="inlineStr">
        <is>
          <t>A 14576-2023</t>
        </is>
      </c>
      <c r="B365" s="1" t="n">
        <v>45013</v>
      </c>
      <c r="C365" s="1" t="n">
        <v>45986</v>
      </c>
      <c r="D365" t="inlineStr">
        <is>
          <t>ÖSTERGÖTLANDS LÄN</t>
        </is>
      </c>
      <c r="E365" t="inlineStr">
        <is>
          <t>LINKÖPING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74160-2021</t>
        </is>
      </c>
      <c r="B366" s="1" t="n">
        <v>44558</v>
      </c>
      <c r="C366" s="1" t="n">
        <v>45986</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31581-2025</t>
        </is>
      </c>
      <c r="B367" s="1" t="n">
        <v>45833.6840162037</v>
      </c>
      <c r="C367" s="1" t="n">
        <v>45986</v>
      </c>
      <c r="D367" t="inlineStr">
        <is>
          <t>ÖSTERGÖTLANDS LÄN</t>
        </is>
      </c>
      <c r="E367" t="inlineStr">
        <is>
          <t>LINKÖPING</t>
        </is>
      </c>
      <c r="G367" t="n">
        <v>2.6</v>
      </c>
      <c r="H367" t="n">
        <v>0</v>
      </c>
      <c r="I367" t="n">
        <v>0</v>
      </c>
      <c r="J367" t="n">
        <v>0</v>
      </c>
      <c r="K367" t="n">
        <v>0</v>
      </c>
      <c r="L367" t="n">
        <v>0</v>
      </c>
      <c r="M367" t="n">
        <v>0</v>
      </c>
      <c r="N367" t="n">
        <v>0</v>
      </c>
      <c r="O367" t="n">
        <v>0</v>
      </c>
      <c r="P367" t="n">
        <v>0</v>
      </c>
      <c r="Q367" t="n">
        <v>0</v>
      </c>
      <c r="R367" s="2" t="inlineStr"/>
    </row>
    <row r="368" ht="15" customHeight="1">
      <c r="A368" t="inlineStr">
        <is>
          <t>A 31585-2025</t>
        </is>
      </c>
      <c r="B368" s="1" t="n">
        <v>45833.68815972222</v>
      </c>
      <c r="C368" s="1" t="n">
        <v>45986</v>
      </c>
      <c r="D368" t="inlineStr">
        <is>
          <t>ÖSTERGÖTLANDS LÄN</t>
        </is>
      </c>
      <c r="E368" t="inlineStr">
        <is>
          <t>LINKÖPING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54332-2025</t>
        </is>
      </c>
      <c r="B369" s="1" t="n">
        <v>45965.34915509259</v>
      </c>
      <c r="C369" s="1" t="n">
        <v>45986</v>
      </c>
      <c r="D369" t="inlineStr">
        <is>
          <t>ÖSTERGÖTLANDS LÄN</t>
        </is>
      </c>
      <c r="E369" t="inlineStr">
        <is>
          <t>LINKÖPING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48343-2025</t>
        </is>
      </c>
      <c r="B370" s="1" t="n">
        <v>45932</v>
      </c>
      <c r="C370" s="1" t="n">
        <v>45986</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27766-2022</t>
        </is>
      </c>
      <c r="B371" s="1" t="n">
        <v>44743.53112268518</v>
      </c>
      <c r="C371" s="1" t="n">
        <v>45986</v>
      </c>
      <c r="D371" t="inlineStr">
        <is>
          <t>ÖSTERGÖTLANDS LÄN</t>
        </is>
      </c>
      <c r="E371" t="inlineStr">
        <is>
          <t>LINKÖPING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48266-2025</t>
        </is>
      </c>
      <c r="B372" s="1" t="n">
        <v>45932</v>
      </c>
      <c r="C372" s="1" t="n">
        <v>45986</v>
      </c>
      <c r="D372" t="inlineStr">
        <is>
          <t>ÖSTERGÖTLANDS LÄN</t>
        </is>
      </c>
      <c r="E372" t="inlineStr">
        <is>
          <t>LINKÖPING</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53641-2023</t>
        </is>
      </c>
      <c r="B373" s="1" t="n">
        <v>45230</v>
      </c>
      <c r="C373" s="1" t="n">
        <v>45986</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33000-2023</t>
        </is>
      </c>
      <c r="B374" s="1" t="n">
        <v>45125</v>
      </c>
      <c r="C374" s="1" t="n">
        <v>45986</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54329-2025</t>
        </is>
      </c>
      <c r="B375" s="1" t="n">
        <v>45965.34706018519</v>
      </c>
      <c r="C375" s="1" t="n">
        <v>45986</v>
      </c>
      <c r="D375" t="inlineStr">
        <is>
          <t>ÖSTERGÖTLANDS LÄN</t>
        </is>
      </c>
      <c r="E375" t="inlineStr">
        <is>
          <t>LINKÖPING</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52892-2024</t>
        </is>
      </c>
      <c r="B376" s="1" t="n">
        <v>45610</v>
      </c>
      <c r="C376" s="1" t="n">
        <v>45986</v>
      </c>
      <c r="D376" t="inlineStr">
        <is>
          <t>ÖSTERGÖTLANDS LÄN</t>
        </is>
      </c>
      <c r="E376" t="inlineStr">
        <is>
          <t>LINKÖPING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30521-2024</t>
        </is>
      </c>
      <c r="B377" s="1" t="n">
        <v>45492</v>
      </c>
      <c r="C377" s="1" t="n">
        <v>45986</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51191-2022</t>
        </is>
      </c>
      <c r="B378" s="1" t="n">
        <v>44865</v>
      </c>
      <c r="C378" s="1" t="n">
        <v>45986</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48254-2025</t>
        </is>
      </c>
      <c r="B379" s="1" t="n">
        <v>45932</v>
      </c>
      <c r="C379" s="1" t="n">
        <v>45986</v>
      </c>
      <c r="D379" t="inlineStr">
        <is>
          <t>ÖSTERGÖTLANDS LÄN</t>
        </is>
      </c>
      <c r="E379" t="inlineStr">
        <is>
          <t>LINKÖPING</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56403-2025</t>
        </is>
      </c>
      <c r="B380" s="1" t="n">
        <v>45974</v>
      </c>
      <c r="C380" s="1" t="n">
        <v>45986</v>
      </c>
      <c r="D380" t="inlineStr">
        <is>
          <t>ÖSTERGÖTLANDS LÄN</t>
        </is>
      </c>
      <c r="E380" t="inlineStr">
        <is>
          <t>LINKÖPING</t>
        </is>
      </c>
      <c r="G380" t="n">
        <v>3.3</v>
      </c>
      <c r="H380" t="n">
        <v>0</v>
      </c>
      <c r="I380" t="n">
        <v>0</v>
      </c>
      <c r="J380" t="n">
        <v>0</v>
      </c>
      <c r="K380" t="n">
        <v>0</v>
      </c>
      <c r="L380" t="n">
        <v>0</v>
      </c>
      <c r="M380" t="n">
        <v>0</v>
      </c>
      <c r="N380" t="n">
        <v>0</v>
      </c>
      <c r="O380" t="n">
        <v>0</v>
      </c>
      <c r="P380" t="n">
        <v>0</v>
      </c>
      <c r="Q380" t="n">
        <v>0</v>
      </c>
      <c r="R380" s="2" t="inlineStr"/>
    </row>
    <row r="381" ht="15" customHeight="1">
      <c r="A381" t="inlineStr">
        <is>
          <t>A 12289-2025</t>
        </is>
      </c>
      <c r="B381" s="1" t="n">
        <v>45729</v>
      </c>
      <c r="C381" s="1" t="n">
        <v>45986</v>
      </c>
      <c r="D381" t="inlineStr">
        <is>
          <t>ÖSTERGÖTLANDS LÄN</t>
        </is>
      </c>
      <c r="E381" t="inlineStr">
        <is>
          <t>LINKÖPING</t>
        </is>
      </c>
      <c r="F381" t="inlineStr">
        <is>
          <t>Övriga statliga verk och myndigheter</t>
        </is>
      </c>
      <c r="G381" t="n">
        <v>6.5</v>
      </c>
      <c r="H381" t="n">
        <v>0</v>
      </c>
      <c r="I381" t="n">
        <v>0</v>
      </c>
      <c r="J381" t="n">
        <v>0</v>
      </c>
      <c r="K381" t="n">
        <v>0</v>
      </c>
      <c r="L381" t="n">
        <v>0</v>
      </c>
      <c r="M381" t="n">
        <v>0</v>
      </c>
      <c r="N381" t="n">
        <v>0</v>
      </c>
      <c r="O381" t="n">
        <v>0</v>
      </c>
      <c r="P381" t="n">
        <v>0</v>
      </c>
      <c r="Q381" t="n">
        <v>0</v>
      </c>
      <c r="R381" s="2" t="inlineStr"/>
    </row>
    <row r="382" ht="15" customHeight="1">
      <c r="A382" t="inlineStr">
        <is>
          <t>A 9434-2024</t>
        </is>
      </c>
      <c r="B382" s="1" t="n">
        <v>45359</v>
      </c>
      <c r="C382" s="1" t="n">
        <v>45986</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56704-2025</t>
        </is>
      </c>
      <c r="B383" s="1" t="n">
        <v>45977.50608796296</v>
      </c>
      <c r="C383" s="1" t="n">
        <v>45986</v>
      </c>
      <c r="D383" t="inlineStr">
        <is>
          <t>ÖSTERGÖTLANDS LÄN</t>
        </is>
      </c>
      <c r="E383" t="inlineStr">
        <is>
          <t>LINKÖPING</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42054-2022</t>
        </is>
      </c>
      <c r="B384" s="1" t="n">
        <v>44830</v>
      </c>
      <c r="C384" s="1" t="n">
        <v>45986</v>
      </c>
      <c r="D384" t="inlineStr">
        <is>
          <t>ÖSTERGÖTLANDS LÄN</t>
        </is>
      </c>
      <c r="E384" t="inlineStr">
        <is>
          <t>LINKÖPING</t>
        </is>
      </c>
      <c r="G384" t="n">
        <v>1.7</v>
      </c>
      <c r="H384" t="n">
        <v>0</v>
      </c>
      <c r="I384" t="n">
        <v>0</v>
      </c>
      <c r="J384" t="n">
        <v>0</v>
      </c>
      <c r="K384" t="n">
        <v>0</v>
      </c>
      <c r="L384" t="n">
        <v>0</v>
      </c>
      <c r="M384" t="n">
        <v>0</v>
      </c>
      <c r="N384" t="n">
        <v>0</v>
      </c>
      <c r="O384" t="n">
        <v>0</v>
      </c>
      <c r="P384" t="n">
        <v>0</v>
      </c>
      <c r="Q384" t="n">
        <v>0</v>
      </c>
      <c r="R384" s="2" t="inlineStr"/>
    </row>
    <row r="385" ht="15" customHeight="1">
      <c r="A385" t="inlineStr">
        <is>
          <t>A 50182-2023</t>
        </is>
      </c>
      <c r="B385" s="1" t="n">
        <v>45208</v>
      </c>
      <c r="C385" s="1" t="n">
        <v>45986</v>
      </c>
      <c r="D385" t="inlineStr">
        <is>
          <t>ÖSTERGÖTLANDS LÄN</t>
        </is>
      </c>
      <c r="E385" t="inlineStr">
        <is>
          <t>LINKÖPING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35781-2023</t>
        </is>
      </c>
      <c r="B386" s="1" t="n">
        <v>45147</v>
      </c>
      <c r="C386" s="1" t="n">
        <v>45986</v>
      </c>
      <c r="D386" t="inlineStr">
        <is>
          <t>ÖSTERGÖTLANDS LÄN</t>
        </is>
      </c>
      <c r="E386" t="inlineStr">
        <is>
          <t>LINKÖPING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6387-2022</t>
        </is>
      </c>
      <c r="B387" s="1" t="n">
        <v>44600</v>
      </c>
      <c r="C387" s="1" t="n">
        <v>45986</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48707-2023</t>
        </is>
      </c>
      <c r="B388" s="1" t="n">
        <v>45202</v>
      </c>
      <c r="C388" s="1" t="n">
        <v>45986</v>
      </c>
      <c r="D388" t="inlineStr">
        <is>
          <t>ÖSTERGÖTLANDS LÄN</t>
        </is>
      </c>
      <c r="E388" t="inlineStr">
        <is>
          <t>LINKÖPING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52740-2025</t>
        </is>
      </c>
      <c r="B389" s="1" t="n">
        <v>45957.37747685185</v>
      </c>
      <c r="C389" s="1" t="n">
        <v>45986</v>
      </c>
      <c r="D389" t="inlineStr">
        <is>
          <t>ÖSTERGÖTLANDS LÄN</t>
        </is>
      </c>
      <c r="E389" t="inlineStr">
        <is>
          <t>LINKÖPING</t>
        </is>
      </c>
      <c r="G389" t="n">
        <v>3.7</v>
      </c>
      <c r="H389" t="n">
        <v>0</v>
      </c>
      <c r="I389" t="n">
        <v>0</v>
      </c>
      <c r="J389" t="n">
        <v>0</v>
      </c>
      <c r="K389" t="n">
        <v>0</v>
      </c>
      <c r="L389" t="n">
        <v>0</v>
      </c>
      <c r="M389" t="n">
        <v>0</v>
      </c>
      <c r="N389" t="n">
        <v>0</v>
      </c>
      <c r="O389" t="n">
        <v>0</v>
      </c>
      <c r="P389" t="n">
        <v>0</v>
      </c>
      <c r="Q389" t="n">
        <v>0</v>
      </c>
      <c r="R389" s="2" t="inlineStr"/>
    </row>
    <row r="390" ht="15" customHeight="1">
      <c r="A390" t="inlineStr">
        <is>
          <t>A 32723-2025</t>
        </is>
      </c>
      <c r="B390" s="1" t="n">
        <v>45838</v>
      </c>
      <c r="C390" s="1" t="n">
        <v>45986</v>
      </c>
      <c r="D390" t="inlineStr">
        <is>
          <t>ÖSTERGÖTLANDS LÄN</t>
        </is>
      </c>
      <c r="E390" t="inlineStr">
        <is>
          <t>LINKÖPING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12089-2025</t>
        </is>
      </c>
      <c r="B391" s="1" t="n">
        <v>45729</v>
      </c>
      <c r="C391" s="1" t="n">
        <v>45986</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15658-2023</t>
        </is>
      </c>
      <c r="B392" s="1" t="n">
        <v>45021.41194444444</v>
      </c>
      <c r="C392" s="1" t="n">
        <v>45986</v>
      </c>
      <c r="D392" t="inlineStr">
        <is>
          <t>ÖSTERGÖTLANDS LÄN</t>
        </is>
      </c>
      <c r="E392" t="inlineStr">
        <is>
          <t>LINKÖPING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49455-2025</t>
        </is>
      </c>
      <c r="B393" s="1" t="n">
        <v>45938</v>
      </c>
      <c r="C393" s="1" t="n">
        <v>45986</v>
      </c>
      <c r="D393" t="inlineStr">
        <is>
          <t>ÖSTERGÖTLANDS LÄN</t>
        </is>
      </c>
      <c r="E393" t="inlineStr">
        <is>
          <t>LINKÖPING</t>
        </is>
      </c>
      <c r="F393" t="inlineStr">
        <is>
          <t>Övriga Aktiebolag</t>
        </is>
      </c>
      <c r="G393" t="n">
        <v>5.9</v>
      </c>
      <c r="H393" t="n">
        <v>0</v>
      </c>
      <c r="I393" t="n">
        <v>0</v>
      </c>
      <c r="J393" t="n">
        <v>0</v>
      </c>
      <c r="K393" t="n">
        <v>0</v>
      </c>
      <c r="L393" t="n">
        <v>0</v>
      </c>
      <c r="M393" t="n">
        <v>0</v>
      </c>
      <c r="N393" t="n">
        <v>0</v>
      </c>
      <c r="O393" t="n">
        <v>0</v>
      </c>
      <c r="P393" t="n">
        <v>0</v>
      </c>
      <c r="Q393" t="n">
        <v>0</v>
      </c>
      <c r="R393" s="2" t="inlineStr"/>
    </row>
    <row r="394" ht="15" customHeight="1">
      <c r="A394" t="inlineStr">
        <is>
          <t>A 38886-2024</t>
        </is>
      </c>
      <c r="B394" s="1" t="n">
        <v>45547.66443287037</v>
      </c>
      <c r="C394" s="1" t="n">
        <v>45986</v>
      </c>
      <c r="D394" t="inlineStr">
        <is>
          <t>ÖSTERGÖTLANDS LÄN</t>
        </is>
      </c>
      <c r="E394" t="inlineStr">
        <is>
          <t>LINKÖPING</t>
        </is>
      </c>
      <c r="G394" t="n">
        <v>5.3</v>
      </c>
      <c r="H394" t="n">
        <v>0</v>
      </c>
      <c r="I394" t="n">
        <v>0</v>
      </c>
      <c r="J394" t="n">
        <v>0</v>
      </c>
      <c r="K394" t="n">
        <v>0</v>
      </c>
      <c r="L394" t="n">
        <v>0</v>
      </c>
      <c r="M394" t="n">
        <v>0</v>
      </c>
      <c r="N394" t="n">
        <v>0</v>
      </c>
      <c r="O394" t="n">
        <v>0</v>
      </c>
      <c r="P394" t="n">
        <v>0</v>
      </c>
      <c r="Q394" t="n">
        <v>0</v>
      </c>
      <c r="R394" s="2" t="inlineStr"/>
    </row>
    <row r="395" ht="15" customHeight="1">
      <c r="A395" t="inlineStr">
        <is>
          <t>A 51583-2024</t>
        </is>
      </c>
      <c r="B395" s="1" t="n">
        <v>45604.6397337963</v>
      </c>
      <c r="C395" s="1" t="n">
        <v>45986</v>
      </c>
      <c r="D395" t="inlineStr">
        <is>
          <t>ÖSTERGÖTLANDS LÄN</t>
        </is>
      </c>
      <c r="E395" t="inlineStr">
        <is>
          <t>LINKÖPING</t>
        </is>
      </c>
      <c r="F395" t="inlineStr">
        <is>
          <t>Övriga Aktiebolag</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64694-2023</t>
        </is>
      </c>
      <c r="B396" s="1" t="n">
        <v>45281</v>
      </c>
      <c r="C396" s="1" t="n">
        <v>45986</v>
      </c>
      <c r="D396" t="inlineStr">
        <is>
          <t>ÖSTERGÖTLANDS LÄN</t>
        </is>
      </c>
      <c r="E396" t="inlineStr">
        <is>
          <t>LINKÖPING</t>
        </is>
      </c>
      <c r="F396" t="inlineStr">
        <is>
          <t>Övriga statliga verk och myndigheter</t>
        </is>
      </c>
      <c r="G396" t="n">
        <v>4.9</v>
      </c>
      <c r="H396" t="n">
        <v>0</v>
      </c>
      <c r="I396" t="n">
        <v>0</v>
      </c>
      <c r="J396" t="n">
        <v>0</v>
      </c>
      <c r="K396" t="n">
        <v>0</v>
      </c>
      <c r="L396" t="n">
        <v>0</v>
      </c>
      <c r="M396" t="n">
        <v>0</v>
      </c>
      <c r="N396" t="n">
        <v>0</v>
      </c>
      <c r="O396" t="n">
        <v>0</v>
      </c>
      <c r="P396" t="n">
        <v>0</v>
      </c>
      <c r="Q396" t="n">
        <v>0</v>
      </c>
      <c r="R396" s="2" t="inlineStr"/>
    </row>
    <row r="397" ht="15" customHeight="1">
      <c r="A397" t="inlineStr">
        <is>
          <t>A 49605-2025</t>
        </is>
      </c>
      <c r="B397" s="1" t="n">
        <v>45938</v>
      </c>
      <c r="C397" s="1" t="n">
        <v>45986</v>
      </c>
      <c r="D397" t="inlineStr">
        <is>
          <t>ÖSTERGÖTLANDS LÄN</t>
        </is>
      </c>
      <c r="E397" t="inlineStr">
        <is>
          <t>LINKÖPING</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49663-2025</t>
        </is>
      </c>
      <c r="B398" s="1" t="n">
        <v>45938</v>
      </c>
      <c r="C398" s="1" t="n">
        <v>45986</v>
      </c>
      <c r="D398" t="inlineStr">
        <is>
          <t>ÖSTERGÖTLANDS LÄN</t>
        </is>
      </c>
      <c r="E398" t="inlineStr">
        <is>
          <t>LINKÖPING</t>
        </is>
      </c>
      <c r="F398" t="inlineStr">
        <is>
          <t>Övriga Aktiebolag</t>
        </is>
      </c>
      <c r="G398" t="n">
        <v>1.2</v>
      </c>
      <c r="H398" t="n">
        <v>0</v>
      </c>
      <c r="I398" t="n">
        <v>0</v>
      </c>
      <c r="J398" t="n">
        <v>0</v>
      </c>
      <c r="K398" t="n">
        <v>0</v>
      </c>
      <c r="L398" t="n">
        <v>0</v>
      </c>
      <c r="M398" t="n">
        <v>0</v>
      </c>
      <c r="N398" t="n">
        <v>0</v>
      </c>
      <c r="O398" t="n">
        <v>0</v>
      </c>
      <c r="P398" t="n">
        <v>0</v>
      </c>
      <c r="Q398" t="n">
        <v>0</v>
      </c>
      <c r="R398" s="2" t="inlineStr"/>
    </row>
    <row r="399" ht="15" customHeight="1">
      <c r="A399" t="inlineStr">
        <is>
          <t>A 32602-2022</t>
        </is>
      </c>
      <c r="B399" s="1" t="n">
        <v>44783.43192129629</v>
      </c>
      <c r="C399" s="1" t="n">
        <v>45986</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49632-2025</t>
        </is>
      </c>
      <c r="B400" s="1" t="n">
        <v>45938</v>
      </c>
      <c r="C400" s="1" t="n">
        <v>45986</v>
      </c>
      <c r="D400" t="inlineStr">
        <is>
          <t>ÖSTERGÖTLANDS LÄN</t>
        </is>
      </c>
      <c r="E400" t="inlineStr">
        <is>
          <t>LINKÖPING</t>
        </is>
      </c>
      <c r="F400" t="inlineStr">
        <is>
          <t>Övriga Aktiebolag</t>
        </is>
      </c>
      <c r="G400" t="n">
        <v>1.6</v>
      </c>
      <c r="H400" t="n">
        <v>0</v>
      </c>
      <c r="I400" t="n">
        <v>0</v>
      </c>
      <c r="J400" t="n">
        <v>0</v>
      </c>
      <c r="K400" t="n">
        <v>0</v>
      </c>
      <c r="L400" t="n">
        <v>0</v>
      </c>
      <c r="M400" t="n">
        <v>0</v>
      </c>
      <c r="N400" t="n">
        <v>0</v>
      </c>
      <c r="O400" t="n">
        <v>0</v>
      </c>
      <c r="P400" t="n">
        <v>0</v>
      </c>
      <c r="Q400" t="n">
        <v>0</v>
      </c>
      <c r="R400" s="2" t="inlineStr"/>
    </row>
    <row r="401" ht="15" customHeight="1">
      <c r="A401" t="inlineStr">
        <is>
          <t>A 49647-2025</t>
        </is>
      </c>
      <c r="B401" s="1" t="n">
        <v>45938</v>
      </c>
      <c r="C401" s="1" t="n">
        <v>45986</v>
      </c>
      <c r="D401" t="inlineStr">
        <is>
          <t>ÖSTERGÖTLANDS LÄN</t>
        </is>
      </c>
      <c r="E401" t="inlineStr">
        <is>
          <t>LINKÖPING</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49652-2025</t>
        </is>
      </c>
      <c r="B402" s="1" t="n">
        <v>45938</v>
      </c>
      <c r="C402" s="1" t="n">
        <v>45986</v>
      </c>
      <c r="D402" t="inlineStr">
        <is>
          <t>ÖSTERGÖTLANDS LÄN</t>
        </is>
      </c>
      <c r="E402" t="inlineStr">
        <is>
          <t>LINKÖPING</t>
        </is>
      </c>
      <c r="F402" t="inlineStr">
        <is>
          <t>Övriga Aktiebolag</t>
        </is>
      </c>
      <c r="G402" t="n">
        <v>1.8</v>
      </c>
      <c r="H402" t="n">
        <v>0</v>
      </c>
      <c r="I402" t="n">
        <v>0</v>
      </c>
      <c r="J402" t="n">
        <v>0</v>
      </c>
      <c r="K402" t="n">
        <v>0</v>
      </c>
      <c r="L402" t="n">
        <v>0</v>
      </c>
      <c r="M402" t="n">
        <v>0</v>
      </c>
      <c r="N402" t="n">
        <v>0</v>
      </c>
      <c r="O402" t="n">
        <v>0</v>
      </c>
      <c r="P402" t="n">
        <v>0</v>
      </c>
      <c r="Q402" t="n">
        <v>0</v>
      </c>
      <c r="R402" s="2" t="inlineStr"/>
    </row>
    <row r="403" ht="15" customHeight="1">
      <c r="A403" t="inlineStr">
        <is>
          <t>A 49654-2025</t>
        </is>
      </c>
      <c r="B403" s="1" t="n">
        <v>45938</v>
      </c>
      <c r="C403" s="1" t="n">
        <v>45986</v>
      </c>
      <c r="D403" t="inlineStr">
        <is>
          <t>ÖSTERGÖTLANDS LÄN</t>
        </is>
      </c>
      <c r="E403" t="inlineStr">
        <is>
          <t>LINKÖPING</t>
        </is>
      </c>
      <c r="F403" t="inlineStr">
        <is>
          <t>Övriga Aktiebolag</t>
        </is>
      </c>
      <c r="G403" t="n">
        <v>3.1</v>
      </c>
      <c r="H403" t="n">
        <v>0</v>
      </c>
      <c r="I403" t="n">
        <v>0</v>
      </c>
      <c r="J403" t="n">
        <v>0</v>
      </c>
      <c r="K403" t="n">
        <v>0</v>
      </c>
      <c r="L403" t="n">
        <v>0</v>
      </c>
      <c r="M403" t="n">
        <v>0</v>
      </c>
      <c r="N403" t="n">
        <v>0</v>
      </c>
      <c r="O403" t="n">
        <v>0</v>
      </c>
      <c r="P403" t="n">
        <v>0</v>
      </c>
      <c r="Q403" t="n">
        <v>0</v>
      </c>
      <c r="R403" s="2" t="inlineStr"/>
    </row>
    <row r="404" ht="15" customHeight="1">
      <c r="A404" t="inlineStr">
        <is>
          <t>A 62321-2022</t>
        </is>
      </c>
      <c r="B404" s="1" t="n">
        <v>44916</v>
      </c>
      <c r="C404" s="1" t="n">
        <v>45986</v>
      </c>
      <c r="D404" t="inlineStr">
        <is>
          <t>ÖSTERGÖTLANDS LÄN</t>
        </is>
      </c>
      <c r="E404" t="inlineStr">
        <is>
          <t>LINKÖPING</t>
        </is>
      </c>
      <c r="F404" t="inlineStr">
        <is>
          <t>Kommuner</t>
        </is>
      </c>
      <c r="G404" t="n">
        <v>5.3</v>
      </c>
      <c r="H404" t="n">
        <v>0</v>
      </c>
      <c r="I404" t="n">
        <v>0</v>
      </c>
      <c r="J404" t="n">
        <v>0</v>
      </c>
      <c r="K404" t="n">
        <v>0</v>
      </c>
      <c r="L404" t="n">
        <v>0</v>
      </c>
      <c r="M404" t="n">
        <v>0</v>
      </c>
      <c r="N404" t="n">
        <v>0</v>
      </c>
      <c r="O404" t="n">
        <v>0</v>
      </c>
      <c r="P404" t="n">
        <v>0</v>
      </c>
      <c r="Q404" t="n">
        <v>0</v>
      </c>
      <c r="R404" s="2" t="inlineStr"/>
    </row>
    <row r="405" ht="15" customHeight="1">
      <c r="A405" t="inlineStr">
        <is>
          <t>A 49615-2025</t>
        </is>
      </c>
      <c r="B405" s="1" t="n">
        <v>45938</v>
      </c>
      <c r="C405" s="1" t="n">
        <v>45986</v>
      </c>
      <c r="D405" t="inlineStr">
        <is>
          <t>ÖSTERGÖTLANDS LÄN</t>
        </is>
      </c>
      <c r="E405" t="inlineStr">
        <is>
          <t>LINKÖPING</t>
        </is>
      </c>
      <c r="F405" t="inlineStr">
        <is>
          <t>Övriga Aktiebolag</t>
        </is>
      </c>
      <c r="G405" t="n">
        <v>1.6</v>
      </c>
      <c r="H405" t="n">
        <v>0</v>
      </c>
      <c r="I405" t="n">
        <v>0</v>
      </c>
      <c r="J405" t="n">
        <v>0</v>
      </c>
      <c r="K405" t="n">
        <v>0</v>
      </c>
      <c r="L405" t="n">
        <v>0</v>
      </c>
      <c r="M405" t="n">
        <v>0</v>
      </c>
      <c r="N405" t="n">
        <v>0</v>
      </c>
      <c r="O405" t="n">
        <v>0</v>
      </c>
      <c r="P405" t="n">
        <v>0</v>
      </c>
      <c r="Q405" t="n">
        <v>0</v>
      </c>
      <c r="R405" s="2" t="inlineStr"/>
    </row>
    <row r="406" ht="15" customHeight="1">
      <c r="A406" t="inlineStr">
        <is>
          <t>A 49619-2025</t>
        </is>
      </c>
      <c r="B406" s="1" t="n">
        <v>45938</v>
      </c>
      <c r="C406" s="1" t="n">
        <v>45986</v>
      </c>
      <c r="D406" t="inlineStr">
        <is>
          <t>ÖSTERGÖTLANDS LÄN</t>
        </is>
      </c>
      <c r="E406" t="inlineStr">
        <is>
          <t>LINKÖPING</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49629-2025</t>
        </is>
      </c>
      <c r="B407" s="1" t="n">
        <v>45938</v>
      </c>
      <c r="C407" s="1" t="n">
        <v>45986</v>
      </c>
      <c r="D407" t="inlineStr">
        <is>
          <t>ÖSTERGÖTLANDS LÄN</t>
        </is>
      </c>
      <c r="E407" t="inlineStr">
        <is>
          <t>LINKÖPING</t>
        </is>
      </c>
      <c r="F407" t="inlineStr">
        <is>
          <t>Övriga Aktiebolag</t>
        </is>
      </c>
      <c r="G407" t="n">
        <v>4.5</v>
      </c>
      <c r="H407" t="n">
        <v>0</v>
      </c>
      <c r="I407" t="n">
        <v>0</v>
      </c>
      <c r="J407" t="n">
        <v>0</v>
      </c>
      <c r="K407" t="n">
        <v>0</v>
      </c>
      <c r="L407" t="n">
        <v>0</v>
      </c>
      <c r="M407" t="n">
        <v>0</v>
      </c>
      <c r="N407" t="n">
        <v>0</v>
      </c>
      <c r="O407" t="n">
        <v>0</v>
      </c>
      <c r="P407" t="n">
        <v>0</v>
      </c>
      <c r="Q407" t="n">
        <v>0</v>
      </c>
      <c r="R407" s="2" t="inlineStr"/>
    </row>
    <row r="408" ht="15" customHeight="1">
      <c r="A408" t="inlineStr">
        <is>
          <t>A 49650-2025</t>
        </is>
      </c>
      <c r="B408" s="1" t="n">
        <v>45938</v>
      </c>
      <c r="C408" s="1" t="n">
        <v>45986</v>
      </c>
      <c r="D408" t="inlineStr">
        <is>
          <t>ÖSTERGÖTLANDS LÄN</t>
        </is>
      </c>
      <c r="E408" t="inlineStr">
        <is>
          <t>LINKÖPING</t>
        </is>
      </c>
      <c r="F408" t="inlineStr">
        <is>
          <t>Övriga Aktiebolag</t>
        </is>
      </c>
      <c r="G408" t="n">
        <v>1.5</v>
      </c>
      <c r="H408" t="n">
        <v>0</v>
      </c>
      <c r="I408" t="n">
        <v>0</v>
      </c>
      <c r="J408" t="n">
        <v>0</v>
      </c>
      <c r="K408" t="n">
        <v>0</v>
      </c>
      <c r="L408" t="n">
        <v>0</v>
      </c>
      <c r="M408" t="n">
        <v>0</v>
      </c>
      <c r="N408" t="n">
        <v>0</v>
      </c>
      <c r="O408" t="n">
        <v>0</v>
      </c>
      <c r="P408" t="n">
        <v>0</v>
      </c>
      <c r="Q408" t="n">
        <v>0</v>
      </c>
      <c r="R408" s="2" t="inlineStr"/>
    </row>
    <row r="409" ht="15" customHeight="1">
      <c r="A409" t="inlineStr">
        <is>
          <t>A 1084-2023</t>
        </is>
      </c>
      <c r="B409" s="1" t="n">
        <v>44929</v>
      </c>
      <c r="C409" s="1" t="n">
        <v>45986</v>
      </c>
      <c r="D409" t="inlineStr">
        <is>
          <t>ÖSTERGÖTLANDS LÄN</t>
        </is>
      </c>
      <c r="E409" t="inlineStr">
        <is>
          <t>LINKÖPING</t>
        </is>
      </c>
      <c r="G409" t="n">
        <v>10.4</v>
      </c>
      <c r="H409" t="n">
        <v>0</v>
      </c>
      <c r="I409" t="n">
        <v>0</v>
      </c>
      <c r="J409" t="n">
        <v>0</v>
      </c>
      <c r="K409" t="n">
        <v>0</v>
      </c>
      <c r="L409" t="n">
        <v>0</v>
      </c>
      <c r="M409" t="n">
        <v>0</v>
      </c>
      <c r="N409" t="n">
        <v>0</v>
      </c>
      <c r="O409" t="n">
        <v>0</v>
      </c>
      <c r="P409" t="n">
        <v>0</v>
      </c>
      <c r="Q409" t="n">
        <v>0</v>
      </c>
      <c r="R409" s="2" t="inlineStr"/>
    </row>
    <row r="410" ht="15" customHeight="1">
      <c r="A410" t="inlineStr">
        <is>
          <t>A 267-2023</t>
        </is>
      </c>
      <c r="B410" s="1" t="n">
        <v>44928.80907407407</v>
      </c>
      <c r="C410" s="1" t="n">
        <v>45986</v>
      </c>
      <c r="D410" t="inlineStr">
        <is>
          <t>ÖSTERGÖTLANDS LÄN</t>
        </is>
      </c>
      <c r="E410" t="inlineStr">
        <is>
          <t>LINKÖPING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940-2023</t>
        </is>
      </c>
      <c r="B411" s="1" t="n">
        <v>44933</v>
      </c>
      <c r="C411" s="1" t="n">
        <v>45986</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49633-2025</t>
        </is>
      </c>
      <c r="B412" s="1" t="n">
        <v>45938</v>
      </c>
      <c r="C412" s="1" t="n">
        <v>45986</v>
      </c>
      <c r="D412" t="inlineStr">
        <is>
          <t>ÖSTERGÖTLANDS LÄN</t>
        </is>
      </c>
      <c r="E412" t="inlineStr">
        <is>
          <t>LINKÖPING</t>
        </is>
      </c>
      <c r="F412" t="inlineStr">
        <is>
          <t>Övriga Aktiebolag</t>
        </is>
      </c>
      <c r="G412" t="n">
        <v>0.7</v>
      </c>
      <c r="H412" t="n">
        <v>0</v>
      </c>
      <c r="I412" t="n">
        <v>0</v>
      </c>
      <c r="J412" t="n">
        <v>0</v>
      </c>
      <c r="K412" t="n">
        <v>0</v>
      </c>
      <c r="L412" t="n">
        <v>0</v>
      </c>
      <c r="M412" t="n">
        <v>0</v>
      </c>
      <c r="N412" t="n">
        <v>0</v>
      </c>
      <c r="O412" t="n">
        <v>0</v>
      </c>
      <c r="P412" t="n">
        <v>0</v>
      </c>
      <c r="Q412" t="n">
        <v>0</v>
      </c>
      <c r="R412" s="2" t="inlineStr"/>
    </row>
    <row r="413" ht="15" customHeight="1">
      <c r="A413" t="inlineStr">
        <is>
          <t>A 6369-2023</t>
        </is>
      </c>
      <c r="B413" s="1" t="n">
        <v>44965.61106481482</v>
      </c>
      <c r="C413" s="1" t="n">
        <v>45986</v>
      </c>
      <c r="D413" t="inlineStr">
        <is>
          <t>ÖSTERGÖTLANDS LÄN</t>
        </is>
      </c>
      <c r="E413" t="inlineStr">
        <is>
          <t>LINKÖPING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30980-2022</t>
        </is>
      </c>
      <c r="B414" s="1" t="n">
        <v>44768</v>
      </c>
      <c r="C414" s="1" t="n">
        <v>45986</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60007-2022</t>
        </is>
      </c>
      <c r="B415" s="1" t="n">
        <v>44909.47282407407</v>
      </c>
      <c r="C415" s="1" t="n">
        <v>45986</v>
      </c>
      <c r="D415" t="inlineStr">
        <is>
          <t>ÖSTERGÖTLANDS LÄN</t>
        </is>
      </c>
      <c r="E415" t="inlineStr">
        <is>
          <t>LINKÖPING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33947-2025</t>
        </is>
      </c>
      <c r="B416" s="1" t="n">
        <v>45842.65444444444</v>
      </c>
      <c r="C416" s="1" t="n">
        <v>45986</v>
      </c>
      <c r="D416" t="inlineStr">
        <is>
          <t>ÖSTERGÖTLANDS LÄN</t>
        </is>
      </c>
      <c r="E416" t="inlineStr">
        <is>
          <t>LINKÖPING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53529-2024</t>
        </is>
      </c>
      <c r="B417" s="1" t="n">
        <v>45614</v>
      </c>
      <c r="C417" s="1" t="n">
        <v>45986</v>
      </c>
      <c r="D417" t="inlineStr">
        <is>
          <t>ÖSTERGÖTLANDS LÄN</t>
        </is>
      </c>
      <c r="E417" t="inlineStr">
        <is>
          <t>LINKÖPING</t>
        </is>
      </c>
      <c r="G417" t="n">
        <v>6.7</v>
      </c>
      <c r="H417" t="n">
        <v>0</v>
      </c>
      <c r="I417" t="n">
        <v>0</v>
      </c>
      <c r="J417" t="n">
        <v>0</v>
      </c>
      <c r="K417" t="n">
        <v>0</v>
      </c>
      <c r="L417" t="n">
        <v>0</v>
      </c>
      <c r="M417" t="n">
        <v>0</v>
      </c>
      <c r="N417" t="n">
        <v>0</v>
      </c>
      <c r="O417" t="n">
        <v>0</v>
      </c>
      <c r="P417" t="n">
        <v>0</v>
      </c>
      <c r="Q417" t="n">
        <v>0</v>
      </c>
      <c r="R417" s="2" t="inlineStr"/>
    </row>
    <row r="418" ht="15" customHeight="1">
      <c r="A418" t="inlineStr">
        <is>
          <t>A 50799-2022</t>
        </is>
      </c>
      <c r="B418" s="1" t="n">
        <v>44862</v>
      </c>
      <c r="C418" s="1" t="n">
        <v>45986</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62012-2024</t>
        </is>
      </c>
      <c r="B419" s="1" t="n">
        <v>45655.79679398148</v>
      </c>
      <c r="C419" s="1" t="n">
        <v>45986</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52807-2025</t>
        </is>
      </c>
      <c r="B420" s="1" t="n">
        <v>45957.44837962963</v>
      </c>
      <c r="C420" s="1" t="n">
        <v>45986</v>
      </c>
      <c r="D420" t="inlineStr">
        <is>
          <t>ÖSTERGÖTLANDS LÄN</t>
        </is>
      </c>
      <c r="E420" t="inlineStr">
        <is>
          <t>LINKÖPING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56064-2022</t>
        </is>
      </c>
      <c r="B421" s="1" t="n">
        <v>44889.59107638889</v>
      </c>
      <c r="C421" s="1" t="n">
        <v>45986</v>
      </c>
      <c r="D421" t="inlineStr">
        <is>
          <t>ÖSTERGÖTLANDS LÄN</t>
        </is>
      </c>
      <c r="E421" t="inlineStr">
        <is>
          <t>LINKÖPING</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47703-2023</t>
        </is>
      </c>
      <c r="B422" s="1" t="n">
        <v>45203</v>
      </c>
      <c r="C422" s="1" t="n">
        <v>45986</v>
      </c>
      <c r="D422" t="inlineStr">
        <is>
          <t>ÖSTERGÖTLANDS LÄN</t>
        </is>
      </c>
      <c r="E422" t="inlineStr">
        <is>
          <t>LINKÖPING</t>
        </is>
      </c>
      <c r="G422" t="n">
        <v>4.1</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45986</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48962-2022</t>
        </is>
      </c>
      <c r="B424" s="1" t="n">
        <v>44860.31635416667</v>
      </c>
      <c r="C424" s="1" t="n">
        <v>45986</v>
      </c>
      <c r="D424" t="inlineStr">
        <is>
          <t>ÖSTERGÖTLANDS LÄN</t>
        </is>
      </c>
      <c r="E424" t="inlineStr">
        <is>
          <t>LINKÖPING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40983-2025</t>
        </is>
      </c>
      <c r="B425" s="1" t="n">
        <v>45898</v>
      </c>
      <c r="C425" s="1" t="n">
        <v>45986</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27891-2021</t>
        </is>
      </c>
      <c r="B426" s="1" t="n">
        <v>44354.65108796296</v>
      </c>
      <c r="C426" s="1" t="n">
        <v>45986</v>
      </c>
      <c r="D426" t="inlineStr">
        <is>
          <t>ÖSTERGÖTLANDS LÄN</t>
        </is>
      </c>
      <c r="E426" t="inlineStr">
        <is>
          <t>LINKÖPING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20469-2025</t>
        </is>
      </c>
      <c r="B427" s="1" t="n">
        <v>45775</v>
      </c>
      <c r="C427" s="1" t="n">
        <v>45986</v>
      </c>
      <c r="D427" t="inlineStr">
        <is>
          <t>ÖSTERGÖTLANDS LÄN</t>
        </is>
      </c>
      <c r="E427" t="inlineStr">
        <is>
          <t>LINKÖPING</t>
        </is>
      </c>
      <c r="F427" t="inlineStr">
        <is>
          <t>Kyrkan</t>
        </is>
      </c>
      <c r="G427" t="n">
        <v>6.1</v>
      </c>
      <c r="H427" t="n">
        <v>0</v>
      </c>
      <c r="I427" t="n">
        <v>0</v>
      </c>
      <c r="J427" t="n">
        <v>0</v>
      </c>
      <c r="K427" t="n">
        <v>0</v>
      </c>
      <c r="L427" t="n">
        <v>0</v>
      </c>
      <c r="M427" t="n">
        <v>0</v>
      </c>
      <c r="N427" t="n">
        <v>0</v>
      </c>
      <c r="O427" t="n">
        <v>0</v>
      </c>
      <c r="P427" t="n">
        <v>0</v>
      </c>
      <c r="Q427" t="n">
        <v>0</v>
      </c>
      <c r="R427" s="2" t="inlineStr"/>
    </row>
    <row r="428" ht="15" customHeight="1">
      <c r="A428" t="inlineStr">
        <is>
          <t>A 50056-2025</t>
        </is>
      </c>
      <c r="B428" s="1" t="n">
        <v>45941</v>
      </c>
      <c r="C428" s="1" t="n">
        <v>45986</v>
      </c>
      <c r="D428" t="inlineStr">
        <is>
          <t>ÖSTERGÖTLANDS LÄN</t>
        </is>
      </c>
      <c r="E428" t="inlineStr">
        <is>
          <t>LINKÖPING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1268-2023</t>
        </is>
      </c>
      <c r="B429" s="1" t="n">
        <v>44936</v>
      </c>
      <c r="C429" s="1" t="n">
        <v>45986</v>
      </c>
      <c r="D429" t="inlineStr">
        <is>
          <t>ÖSTERGÖTLANDS LÄN</t>
        </is>
      </c>
      <c r="E429" t="inlineStr">
        <is>
          <t>LINKÖPING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62687-2023</t>
        </is>
      </c>
      <c r="B430" s="1" t="n">
        <v>45271</v>
      </c>
      <c r="C430" s="1" t="n">
        <v>45986</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34641-2022</t>
        </is>
      </c>
      <c r="B431" s="1" t="n">
        <v>44795</v>
      </c>
      <c r="C431" s="1" t="n">
        <v>45986</v>
      </c>
      <c r="D431" t="inlineStr">
        <is>
          <t>ÖSTERGÖTLANDS LÄN</t>
        </is>
      </c>
      <c r="E431" t="inlineStr">
        <is>
          <t>LINKÖPING</t>
        </is>
      </c>
      <c r="G431" t="n">
        <v>2.4</v>
      </c>
      <c r="H431" t="n">
        <v>0</v>
      </c>
      <c r="I431" t="n">
        <v>0</v>
      </c>
      <c r="J431" t="n">
        <v>0</v>
      </c>
      <c r="K431" t="n">
        <v>0</v>
      </c>
      <c r="L431" t="n">
        <v>0</v>
      </c>
      <c r="M431" t="n">
        <v>0</v>
      </c>
      <c r="N431" t="n">
        <v>0</v>
      </c>
      <c r="O431" t="n">
        <v>0</v>
      </c>
      <c r="P431" t="n">
        <v>0</v>
      </c>
      <c r="Q431" t="n">
        <v>0</v>
      </c>
      <c r="R431" s="2" t="inlineStr"/>
    </row>
    <row r="432" ht="15" customHeight="1">
      <c r="A432" t="inlineStr">
        <is>
          <t>A 938-2023</t>
        </is>
      </c>
      <c r="B432" s="1" t="n">
        <v>44933</v>
      </c>
      <c r="C432" s="1" t="n">
        <v>45986</v>
      </c>
      <c r="D432" t="inlineStr">
        <is>
          <t>ÖSTERGÖTLANDS LÄN</t>
        </is>
      </c>
      <c r="E432" t="inlineStr">
        <is>
          <t>LINKÖPING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2389-2023</t>
        </is>
      </c>
      <c r="B433" s="1" t="n">
        <v>44942</v>
      </c>
      <c r="C433" s="1" t="n">
        <v>45986</v>
      </c>
      <c r="D433" t="inlineStr">
        <is>
          <t>ÖSTERGÖTLANDS LÄN</t>
        </is>
      </c>
      <c r="E433" t="inlineStr">
        <is>
          <t>LINKÖPING</t>
        </is>
      </c>
      <c r="G433" t="n">
        <v>3.3</v>
      </c>
      <c r="H433" t="n">
        <v>0</v>
      </c>
      <c r="I433" t="n">
        <v>0</v>
      </c>
      <c r="J433" t="n">
        <v>0</v>
      </c>
      <c r="K433" t="n">
        <v>0</v>
      </c>
      <c r="L433" t="n">
        <v>0</v>
      </c>
      <c r="M433" t="n">
        <v>0</v>
      </c>
      <c r="N433" t="n">
        <v>0</v>
      </c>
      <c r="O433" t="n">
        <v>0</v>
      </c>
      <c r="P433" t="n">
        <v>0</v>
      </c>
      <c r="Q433" t="n">
        <v>0</v>
      </c>
      <c r="R433" s="2" t="inlineStr"/>
    </row>
    <row r="434" ht="15" customHeight="1">
      <c r="A434" t="inlineStr">
        <is>
          <t>A 48-2024</t>
        </is>
      </c>
      <c r="B434" s="1" t="n">
        <v>45293</v>
      </c>
      <c r="C434" s="1" t="n">
        <v>45986</v>
      </c>
      <c r="D434" t="inlineStr">
        <is>
          <t>ÖSTERGÖTLANDS LÄN</t>
        </is>
      </c>
      <c r="E434" t="inlineStr">
        <is>
          <t>LINKÖPING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45771-2023</t>
        </is>
      </c>
      <c r="B435" s="1" t="n">
        <v>45195.4384375</v>
      </c>
      <c r="C435" s="1" t="n">
        <v>45986</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30547-2023</t>
        </is>
      </c>
      <c r="B436" s="1" t="n">
        <v>45111.75905092592</v>
      </c>
      <c r="C436" s="1" t="n">
        <v>45986</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40502-2024</t>
        </is>
      </c>
      <c r="B437" s="1" t="n">
        <v>45555.57263888889</v>
      </c>
      <c r="C437" s="1" t="n">
        <v>45986</v>
      </c>
      <c r="D437" t="inlineStr">
        <is>
          <t>ÖSTERGÖTLANDS LÄN</t>
        </is>
      </c>
      <c r="E437" t="inlineStr">
        <is>
          <t>LINKÖPING</t>
        </is>
      </c>
      <c r="F437" t="inlineStr">
        <is>
          <t>Allmännings- och besparingsskogar</t>
        </is>
      </c>
      <c r="G437" t="n">
        <v>17.5</v>
      </c>
      <c r="H437" t="n">
        <v>0</v>
      </c>
      <c r="I437" t="n">
        <v>0</v>
      </c>
      <c r="J437" t="n">
        <v>0</v>
      </c>
      <c r="K437" t="n">
        <v>0</v>
      </c>
      <c r="L437" t="n">
        <v>0</v>
      </c>
      <c r="M437" t="n">
        <v>0</v>
      </c>
      <c r="N437" t="n">
        <v>0</v>
      </c>
      <c r="O437" t="n">
        <v>0</v>
      </c>
      <c r="P437" t="n">
        <v>0</v>
      </c>
      <c r="Q437" t="n">
        <v>0</v>
      </c>
      <c r="R437" s="2" t="inlineStr"/>
    </row>
    <row r="438" ht="15" customHeight="1">
      <c r="A438" t="inlineStr">
        <is>
          <t>A 33800-2023</t>
        </is>
      </c>
      <c r="B438" s="1" t="n">
        <v>45121</v>
      </c>
      <c r="C438" s="1" t="n">
        <v>45986</v>
      </c>
      <c r="D438" t="inlineStr">
        <is>
          <t>ÖSTERGÖTLANDS LÄN</t>
        </is>
      </c>
      <c r="E438" t="inlineStr">
        <is>
          <t>LINKÖPING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26007-2025</t>
        </is>
      </c>
      <c r="B439" s="1" t="n">
        <v>45804.67081018518</v>
      </c>
      <c r="C439" s="1" t="n">
        <v>45986</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35174-2025</t>
        </is>
      </c>
      <c r="B440" s="1" t="n">
        <v>45852.90648148148</v>
      </c>
      <c r="C440" s="1" t="n">
        <v>45986</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47991-2023</t>
        </is>
      </c>
      <c r="B441" s="1" t="n">
        <v>45204.62655092592</v>
      </c>
      <c r="C441" s="1" t="n">
        <v>45986</v>
      </c>
      <c r="D441" t="inlineStr">
        <is>
          <t>ÖSTERGÖTLANDS LÄN</t>
        </is>
      </c>
      <c r="E441" t="inlineStr">
        <is>
          <t>LINKÖPING</t>
        </is>
      </c>
      <c r="F441" t="inlineStr">
        <is>
          <t>Allmännings- och besparingsskogar</t>
        </is>
      </c>
      <c r="G441" t="n">
        <v>7.3</v>
      </c>
      <c r="H441" t="n">
        <v>0</v>
      </c>
      <c r="I441" t="n">
        <v>0</v>
      </c>
      <c r="J441" t="n">
        <v>0</v>
      </c>
      <c r="K441" t="n">
        <v>0</v>
      </c>
      <c r="L441" t="n">
        <v>0</v>
      </c>
      <c r="M441" t="n">
        <v>0</v>
      </c>
      <c r="N441" t="n">
        <v>0</v>
      </c>
      <c r="O441" t="n">
        <v>0</v>
      </c>
      <c r="P441" t="n">
        <v>0</v>
      </c>
      <c r="Q441" t="n">
        <v>0</v>
      </c>
      <c r="R441" s="2" t="inlineStr"/>
    </row>
    <row r="442" ht="15" customHeight="1">
      <c r="A442" t="inlineStr">
        <is>
          <t>A 35179-2025</t>
        </is>
      </c>
      <c r="B442" s="1" t="n">
        <v>45852.93737268518</v>
      </c>
      <c r="C442" s="1" t="n">
        <v>45986</v>
      </c>
      <c r="D442" t="inlineStr">
        <is>
          <t>ÖSTERGÖTLANDS LÄN</t>
        </is>
      </c>
      <c r="E442" t="inlineStr">
        <is>
          <t>LINKÖPING</t>
        </is>
      </c>
      <c r="G442" t="n">
        <v>2.2</v>
      </c>
      <c r="H442" t="n">
        <v>0</v>
      </c>
      <c r="I442" t="n">
        <v>0</v>
      </c>
      <c r="J442" t="n">
        <v>0</v>
      </c>
      <c r="K442" t="n">
        <v>0</v>
      </c>
      <c r="L442" t="n">
        <v>0</v>
      </c>
      <c r="M442" t="n">
        <v>0</v>
      </c>
      <c r="N442" t="n">
        <v>0</v>
      </c>
      <c r="O442" t="n">
        <v>0</v>
      </c>
      <c r="P442" t="n">
        <v>0</v>
      </c>
      <c r="Q442" t="n">
        <v>0</v>
      </c>
      <c r="R442" s="2" t="inlineStr"/>
    </row>
    <row r="443" ht="15" customHeight="1">
      <c r="A443" t="inlineStr">
        <is>
          <t>A 35180-2025</t>
        </is>
      </c>
      <c r="B443" s="1" t="n">
        <v>45852.9413425926</v>
      </c>
      <c r="C443" s="1" t="n">
        <v>45986</v>
      </c>
      <c r="D443" t="inlineStr">
        <is>
          <t>ÖSTERGÖTLANDS LÄN</t>
        </is>
      </c>
      <c r="E443" t="inlineStr">
        <is>
          <t>LINKÖPING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35178-2025</t>
        </is>
      </c>
      <c r="B444" s="1" t="n">
        <v>45852.91939814815</v>
      </c>
      <c r="C444" s="1" t="n">
        <v>45986</v>
      </c>
      <c r="D444" t="inlineStr">
        <is>
          <t>ÖSTERGÖTLANDS LÄN</t>
        </is>
      </c>
      <c r="E444" t="inlineStr">
        <is>
          <t>LINKÖPING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24464-2023</t>
        </is>
      </c>
      <c r="B445" s="1" t="n">
        <v>45082.58068287037</v>
      </c>
      <c r="C445" s="1" t="n">
        <v>45986</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24467-2023</t>
        </is>
      </c>
      <c r="B446" s="1" t="n">
        <v>45082</v>
      </c>
      <c r="C446" s="1" t="n">
        <v>45986</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48389-2024</t>
        </is>
      </c>
      <c r="B447" s="1" t="n">
        <v>45590.59991898148</v>
      </c>
      <c r="C447" s="1" t="n">
        <v>45986</v>
      </c>
      <c r="D447" t="inlineStr">
        <is>
          <t>ÖSTERGÖTLANDS LÄN</t>
        </is>
      </c>
      <c r="E447" t="inlineStr">
        <is>
          <t>LINKÖPING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56792-2023</t>
        </is>
      </c>
      <c r="B448" s="1" t="n">
        <v>45244</v>
      </c>
      <c r="C448" s="1" t="n">
        <v>45986</v>
      </c>
      <c r="D448" t="inlineStr">
        <is>
          <t>ÖSTERGÖTLANDS LÄN</t>
        </is>
      </c>
      <c r="E448" t="inlineStr">
        <is>
          <t>LINKÖPING</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39017-2021</t>
        </is>
      </c>
      <c r="B449" s="1" t="n">
        <v>44412</v>
      </c>
      <c r="C449" s="1" t="n">
        <v>45986</v>
      </c>
      <c r="D449" t="inlineStr">
        <is>
          <t>ÖSTERGÖTLANDS LÄN</t>
        </is>
      </c>
      <c r="E449" t="inlineStr">
        <is>
          <t>LINKÖPING</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35757-2025</t>
        </is>
      </c>
      <c r="B450" s="1" t="n">
        <v>45860.59876157407</v>
      </c>
      <c r="C450" s="1" t="n">
        <v>45986</v>
      </c>
      <c r="D450" t="inlineStr">
        <is>
          <t>ÖSTERGÖTLANDS LÄN</t>
        </is>
      </c>
      <c r="E450" t="inlineStr">
        <is>
          <t>LINKÖPING</t>
        </is>
      </c>
      <c r="G450" t="n">
        <v>5.7</v>
      </c>
      <c r="H450" t="n">
        <v>0</v>
      </c>
      <c r="I450" t="n">
        <v>0</v>
      </c>
      <c r="J450" t="n">
        <v>0</v>
      </c>
      <c r="K450" t="n">
        <v>0</v>
      </c>
      <c r="L450" t="n">
        <v>0</v>
      </c>
      <c r="M450" t="n">
        <v>0</v>
      </c>
      <c r="N450" t="n">
        <v>0</v>
      </c>
      <c r="O450" t="n">
        <v>0</v>
      </c>
      <c r="P450" t="n">
        <v>0</v>
      </c>
      <c r="Q450" t="n">
        <v>0</v>
      </c>
      <c r="R450" s="2" t="inlineStr"/>
    </row>
    <row r="451" ht="15" customHeight="1">
      <c r="A451" t="inlineStr">
        <is>
          <t>A 35745-2025</t>
        </is>
      </c>
      <c r="B451" s="1" t="n">
        <v>45860.54739583333</v>
      </c>
      <c r="C451" s="1" t="n">
        <v>45986</v>
      </c>
      <c r="D451" t="inlineStr">
        <is>
          <t>ÖSTERGÖTLANDS LÄN</t>
        </is>
      </c>
      <c r="E451" t="inlineStr">
        <is>
          <t>LINKÖPING</t>
        </is>
      </c>
      <c r="G451" t="n">
        <v>4.4</v>
      </c>
      <c r="H451" t="n">
        <v>0</v>
      </c>
      <c r="I451" t="n">
        <v>0</v>
      </c>
      <c r="J451" t="n">
        <v>0</v>
      </c>
      <c r="K451" t="n">
        <v>0</v>
      </c>
      <c r="L451" t="n">
        <v>0</v>
      </c>
      <c r="M451" t="n">
        <v>0</v>
      </c>
      <c r="N451" t="n">
        <v>0</v>
      </c>
      <c r="O451" t="n">
        <v>0</v>
      </c>
      <c r="P451" t="n">
        <v>0</v>
      </c>
      <c r="Q451" t="n">
        <v>0</v>
      </c>
      <c r="R451" s="2" t="inlineStr"/>
    </row>
    <row r="452" ht="15" customHeight="1">
      <c r="A452" t="inlineStr">
        <is>
          <t>A 1260-2023</t>
        </is>
      </c>
      <c r="B452" s="1" t="n">
        <v>44936</v>
      </c>
      <c r="C452" s="1" t="n">
        <v>45986</v>
      </c>
      <c r="D452" t="inlineStr">
        <is>
          <t>ÖSTERGÖTLANDS LÄN</t>
        </is>
      </c>
      <c r="E452" t="inlineStr">
        <is>
          <t>LINKÖPING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35747-2025</t>
        </is>
      </c>
      <c r="B453" s="1" t="n">
        <v>45860.56385416666</v>
      </c>
      <c r="C453" s="1" t="n">
        <v>45986</v>
      </c>
      <c r="D453" t="inlineStr">
        <is>
          <t>ÖSTERGÖTLANDS LÄN</t>
        </is>
      </c>
      <c r="E453" t="inlineStr">
        <is>
          <t>LINKÖPING</t>
        </is>
      </c>
      <c r="G453" t="n">
        <v>2.4</v>
      </c>
      <c r="H453" t="n">
        <v>0</v>
      </c>
      <c r="I453" t="n">
        <v>0</v>
      </c>
      <c r="J453" t="n">
        <v>0</v>
      </c>
      <c r="K453" t="n">
        <v>0</v>
      </c>
      <c r="L453" t="n">
        <v>0</v>
      </c>
      <c r="M453" t="n">
        <v>0</v>
      </c>
      <c r="N453" t="n">
        <v>0</v>
      </c>
      <c r="O453" t="n">
        <v>0</v>
      </c>
      <c r="P453" t="n">
        <v>0</v>
      </c>
      <c r="Q453" t="n">
        <v>0</v>
      </c>
      <c r="R453" s="2" t="inlineStr"/>
    </row>
    <row r="454" ht="15" customHeight="1">
      <c r="A454" t="inlineStr">
        <is>
          <t>A 1355-2023</t>
        </is>
      </c>
      <c r="B454" s="1" t="n">
        <v>44931</v>
      </c>
      <c r="C454" s="1" t="n">
        <v>45986</v>
      </c>
      <c r="D454" t="inlineStr">
        <is>
          <t>ÖSTERGÖTLANDS LÄN</t>
        </is>
      </c>
      <c r="E454" t="inlineStr">
        <is>
          <t>LINKÖPING</t>
        </is>
      </c>
      <c r="G454" t="n">
        <v>4</v>
      </c>
      <c r="H454" t="n">
        <v>0</v>
      </c>
      <c r="I454" t="n">
        <v>0</v>
      </c>
      <c r="J454" t="n">
        <v>0</v>
      </c>
      <c r="K454" t="n">
        <v>0</v>
      </c>
      <c r="L454" t="n">
        <v>0</v>
      </c>
      <c r="M454" t="n">
        <v>0</v>
      </c>
      <c r="N454" t="n">
        <v>0</v>
      </c>
      <c r="O454" t="n">
        <v>0</v>
      </c>
      <c r="P454" t="n">
        <v>0</v>
      </c>
      <c r="Q454" t="n">
        <v>0</v>
      </c>
      <c r="R454" s="2" t="inlineStr"/>
    </row>
    <row r="455" ht="15" customHeight="1">
      <c r="A455" t="inlineStr">
        <is>
          <t>A 35759-2025</t>
        </is>
      </c>
      <c r="B455" s="1" t="n">
        <v>45860</v>
      </c>
      <c r="C455" s="1" t="n">
        <v>45986</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3007-2025</t>
        </is>
      </c>
      <c r="B456" s="1" t="n">
        <v>45678.56328703704</v>
      </c>
      <c r="C456" s="1" t="n">
        <v>45986</v>
      </c>
      <c r="D456" t="inlineStr">
        <is>
          <t>ÖSTERGÖTLANDS LÄN</t>
        </is>
      </c>
      <c r="E456" t="inlineStr">
        <is>
          <t>LINKÖPING</t>
        </is>
      </c>
      <c r="G456" t="n">
        <v>3.1</v>
      </c>
      <c r="H456" t="n">
        <v>0</v>
      </c>
      <c r="I456" t="n">
        <v>0</v>
      </c>
      <c r="J456" t="n">
        <v>0</v>
      </c>
      <c r="K456" t="n">
        <v>0</v>
      </c>
      <c r="L456" t="n">
        <v>0</v>
      </c>
      <c r="M456" t="n">
        <v>0</v>
      </c>
      <c r="N456" t="n">
        <v>0</v>
      </c>
      <c r="O456" t="n">
        <v>0</v>
      </c>
      <c r="P456" t="n">
        <v>0</v>
      </c>
      <c r="Q456" t="n">
        <v>0</v>
      </c>
      <c r="R456" s="2" t="inlineStr"/>
    </row>
    <row r="457" ht="15" customHeight="1">
      <c r="A457" t="inlineStr">
        <is>
          <t>A 10492-2022</t>
        </is>
      </c>
      <c r="B457" s="1" t="n">
        <v>44623.6377199074</v>
      </c>
      <c r="C457" s="1" t="n">
        <v>45986</v>
      </c>
      <c r="D457" t="inlineStr">
        <is>
          <t>ÖSTERGÖTLANDS LÄN</t>
        </is>
      </c>
      <c r="E457" t="inlineStr">
        <is>
          <t>LINKÖPING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30465-2023</t>
        </is>
      </c>
      <c r="B458" s="1" t="n">
        <v>45111</v>
      </c>
      <c r="C458" s="1" t="n">
        <v>45986</v>
      </c>
      <c r="D458" t="inlineStr">
        <is>
          <t>ÖSTERGÖTLANDS LÄN</t>
        </is>
      </c>
      <c r="E458" t="inlineStr">
        <is>
          <t>LINKÖPING</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39021-2021</t>
        </is>
      </c>
      <c r="B459" s="1" t="n">
        <v>44412</v>
      </c>
      <c r="C459" s="1" t="n">
        <v>45986</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62353-2022</t>
        </is>
      </c>
      <c r="B460" s="1" t="n">
        <v>44923</v>
      </c>
      <c r="C460" s="1" t="n">
        <v>45986</v>
      </c>
      <c r="D460" t="inlineStr">
        <is>
          <t>ÖSTERGÖTLANDS LÄN</t>
        </is>
      </c>
      <c r="E460" t="inlineStr">
        <is>
          <t>LINKÖPING</t>
        </is>
      </c>
      <c r="F460" t="inlineStr">
        <is>
          <t>Allmännings- och besparingsskogar</t>
        </is>
      </c>
      <c r="G460" t="n">
        <v>1.7</v>
      </c>
      <c r="H460" t="n">
        <v>0</v>
      </c>
      <c r="I460" t="n">
        <v>0</v>
      </c>
      <c r="J460" t="n">
        <v>0</v>
      </c>
      <c r="K460" t="n">
        <v>0</v>
      </c>
      <c r="L460" t="n">
        <v>0</v>
      </c>
      <c r="M460" t="n">
        <v>0</v>
      </c>
      <c r="N460" t="n">
        <v>0</v>
      </c>
      <c r="O460" t="n">
        <v>0</v>
      </c>
      <c r="P460" t="n">
        <v>0</v>
      </c>
      <c r="Q460" t="n">
        <v>0</v>
      </c>
      <c r="R460" s="2" t="inlineStr"/>
    </row>
    <row r="461" ht="15" customHeight="1">
      <c r="A461" t="inlineStr">
        <is>
          <t>A 30111-2024</t>
        </is>
      </c>
      <c r="B461" s="1" t="n">
        <v>45489.46947916667</v>
      </c>
      <c r="C461" s="1" t="n">
        <v>45986</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30119-2024</t>
        </is>
      </c>
      <c r="B462" s="1" t="n">
        <v>45489</v>
      </c>
      <c r="C462" s="1" t="n">
        <v>45986</v>
      </c>
      <c r="D462" t="inlineStr">
        <is>
          <t>ÖSTERGÖTLANDS LÄN</t>
        </is>
      </c>
      <c r="E462" t="inlineStr">
        <is>
          <t>LINKÖPING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29411-2023</t>
        </is>
      </c>
      <c r="B463" s="1" t="n">
        <v>45106.46225694445</v>
      </c>
      <c r="C463" s="1" t="n">
        <v>45986</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29412-2023</t>
        </is>
      </c>
      <c r="B464" s="1" t="n">
        <v>45106.46359953703</v>
      </c>
      <c r="C464" s="1" t="n">
        <v>45986</v>
      </c>
      <c r="D464" t="inlineStr">
        <is>
          <t>ÖSTERGÖTLANDS LÄN</t>
        </is>
      </c>
      <c r="E464" t="inlineStr">
        <is>
          <t>LINKÖPING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31792-2021</t>
        </is>
      </c>
      <c r="B465" s="1" t="n">
        <v>44369</v>
      </c>
      <c r="C465" s="1" t="n">
        <v>45986</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421-2024</t>
        </is>
      </c>
      <c r="B466" s="1" t="n">
        <v>45296.51877314815</v>
      </c>
      <c r="C466" s="1" t="n">
        <v>45986</v>
      </c>
      <c r="D466" t="inlineStr">
        <is>
          <t>ÖSTERGÖTLANDS LÄN</t>
        </is>
      </c>
      <c r="E466" t="inlineStr">
        <is>
          <t>LINKÖPING</t>
        </is>
      </c>
      <c r="G466" t="n">
        <v>3.7</v>
      </c>
      <c r="H466" t="n">
        <v>0</v>
      </c>
      <c r="I466" t="n">
        <v>0</v>
      </c>
      <c r="J466" t="n">
        <v>0</v>
      </c>
      <c r="K466" t="n">
        <v>0</v>
      </c>
      <c r="L466" t="n">
        <v>0</v>
      </c>
      <c r="M466" t="n">
        <v>0</v>
      </c>
      <c r="N466" t="n">
        <v>0</v>
      </c>
      <c r="O466" t="n">
        <v>0</v>
      </c>
      <c r="P466" t="n">
        <v>0</v>
      </c>
      <c r="Q466" t="n">
        <v>0</v>
      </c>
      <c r="R466" s="2" t="inlineStr"/>
    </row>
    <row r="467" ht="15" customHeight="1">
      <c r="A467" t="inlineStr">
        <is>
          <t>A 22043-2023</t>
        </is>
      </c>
      <c r="B467" s="1" t="n">
        <v>45069.39050925926</v>
      </c>
      <c r="C467" s="1" t="n">
        <v>45986</v>
      </c>
      <c r="D467" t="inlineStr">
        <is>
          <t>ÖSTERGÖTLANDS LÄN</t>
        </is>
      </c>
      <c r="E467" t="inlineStr">
        <is>
          <t>LINKÖPING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61532-2021</t>
        </is>
      </c>
      <c r="B468" s="1" t="n">
        <v>44501</v>
      </c>
      <c r="C468" s="1" t="n">
        <v>45986</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14028-2024</t>
        </is>
      </c>
      <c r="B469" s="1" t="n">
        <v>45392</v>
      </c>
      <c r="C469" s="1" t="n">
        <v>45986</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40431-2024</t>
        </is>
      </c>
      <c r="B470" s="1" t="n">
        <v>45555.47070601852</v>
      </c>
      <c r="C470" s="1" t="n">
        <v>45986</v>
      </c>
      <c r="D470" t="inlineStr">
        <is>
          <t>ÖSTERGÖTLANDS LÄN</t>
        </is>
      </c>
      <c r="E470" t="inlineStr">
        <is>
          <t>LINKÖPING</t>
        </is>
      </c>
      <c r="F470" t="inlineStr">
        <is>
          <t>Allmännings- och besparingsskogar</t>
        </is>
      </c>
      <c r="G470" t="n">
        <v>2.9</v>
      </c>
      <c r="H470" t="n">
        <v>0</v>
      </c>
      <c r="I470" t="n">
        <v>0</v>
      </c>
      <c r="J470" t="n">
        <v>0</v>
      </c>
      <c r="K470" t="n">
        <v>0</v>
      </c>
      <c r="L470" t="n">
        <v>0</v>
      </c>
      <c r="M470" t="n">
        <v>0</v>
      </c>
      <c r="N470" t="n">
        <v>0</v>
      </c>
      <c r="O470" t="n">
        <v>0</v>
      </c>
      <c r="P470" t="n">
        <v>0</v>
      </c>
      <c r="Q470" t="n">
        <v>0</v>
      </c>
      <c r="R470" s="2" t="inlineStr"/>
    </row>
    <row r="471" ht="15" customHeight="1">
      <c r="A471" t="inlineStr">
        <is>
          <t>A 60860-2024</t>
        </is>
      </c>
      <c r="B471" s="1" t="n">
        <v>45644.6893287037</v>
      </c>
      <c r="C471" s="1" t="n">
        <v>45986</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2697-2023</t>
        </is>
      </c>
      <c r="B472" s="1" t="n">
        <v>44944</v>
      </c>
      <c r="C472" s="1" t="n">
        <v>45986</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45806-2024</t>
        </is>
      </c>
      <c r="B473" s="1" t="n">
        <v>45579.69619212963</v>
      </c>
      <c r="C473" s="1" t="n">
        <v>45986</v>
      </c>
      <c r="D473" t="inlineStr">
        <is>
          <t>ÖSTERGÖTLANDS LÄN</t>
        </is>
      </c>
      <c r="E473" t="inlineStr">
        <is>
          <t>LINKÖPING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56756-2023</t>
        </is>
      </c>
      <c r="B474" s="1" t="n">
        <v>45244</v>
      </c>
      <c r="C474" s="1" t="n">
        <v>45986</v>
      </c>
      <c r="D474" t="inlineStr">
        <is>
          <t>ÖSTERGÖTLANDS LÄN</t>
        </is>
      </c>
      <c r="E474" t="inlineStr">
        <is>
          <t>LINKÖPING</t>
        </is>
      </c>
      <c r="F474" t="inlineStr">
        <is>
          <t>Övriga Aktiebolag</t>
        </is>
      </c>
      <c r="G474" t="n">
        <v>0.8</v>
      </c>
      <c r="H474" t="n">
        <v>0</v>
      </c>
      <c r="I474" t="n">
        <v>0</v>
      </c>
      <c r="J474" t="n">
        <v>0</v>
      </c>
      <c r="K474" t="n">
        <v>0</v>
      </c>
      <c r="L474" t="n">
        <v>0</v>
      </c>
      <c r="M474" t="n">
        <v>0</v>
      </c>
      <c r="N474" t="n">
        <v>0</v>
      </c>
      <c r="O474" t="n">
        <v>0</v>
      </c>
      <c r="P474" t="n">
        <v>0</v>
      </c>
      <c r="Q474" t="n">
        <v>0</v>
      </c>
      <c r="R474" s="2" t="inlineStr"/>
    </row>
    <row r="475" ht="15" customHeight="1">
      <c r="A475" t="inlineStr">
        <is>
          <t>A 37057-2025</t>
        </is>
      </c>
      <c r="B475" s="1" t="n">
        <v>45875.37489583333</v>
      </c>
      <c r="C475" s="1" t="n">
        <v>45986</v>
      </c>
      <c r="D475" t="inlineStr">
        <is>
          <t>ÖSTERGÖTLANDS LÄN</t>
        </is>
      </c>
      <c r="E475" t="inlineStr">
        <is>
          <t>LINKÖPING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60985-2023</t>
        </is>
      </c>
      <c r="B476" s="1" t="n">
        <v>45261.48429398148</v>
      </c>
      <c r="C476" s="1" t="n">
        <v>45986</v>
      </c>
      <c r="D476" t="inlineStr">
        <is>
          <t>ÖSTERGÖTLANDS LÄN</t>
        </is>
      </c>
      <c r="E476" t="inlineStr">
        <is>
          <t>LINKÖPING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24904-2024</t>
        </is>
      </c>
      <c r="B477" s="1" t="n">
        <v>45461</v>
      </c>
      <c r="C477" s="1" t="n">
        <v>45986</v>
      </c>
      <c r="D477" t="inlineStr">
        <is>
          <t>ÖSTERGÖTLANDS LÄN</t>
        </is>
      </c>
      <c r="E477" t="inlineStr">
        <is>
          <t>LINKÖPING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55009-2023</t>
        </is>
      </c>
      <c r="B478" s="1" t="n">
        <v>45237</v>
      </c>
      <c r="C478" s="1" t="n">
        <v>45986</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34872-2023</t>
        </is>
      </c>
      <c r="B479" s="1" t="n">
        <v>45140</v>
      </c>
      <c r="C479" s="1" t="n">
        <v>45986</v>
      </c>
      <c r="D479" t="inlineStr">
        <is>
          <t>ÖSTERGÖTLANDS LÄN</t>
        </is>
      </c>
      <c r="E479" t="inlineStr">
        <is>
          <t>LINKÖPING</t>
        </is>
      </c>
      <c r="G479" t="n">
        <v>4.8</v>
      </c>
      <c r="H479" t="n">
        <v>0</v>
      </c>
      <c r="I479" t="n">
        <v>0</v>
      </c>
      <c r="J479" t="n">
        <v>0</v>
      </c>
      <c r="K479" t="n">
        <v>0</v>
      </c>
      <c r="L479" t="n">
        <v>0</v>
      </c>
      <c r="M479" t="n">
        <v>0</v>
      </c>
      <c r="N479" t="n">
        <v>0</v>
      </c>
      <c r="O479" t="n">
        <v>0</v>
      </c>
      <c r="P479" t="n">
        <v>0</v>
      </c>
      <c r="Q479" t="n">
        <v>0</v>
      </c>
      <c r="R479" s="2" t="inlineStr"/>
    </row>
    <row r="480" ht="15" customHeight="1">
      <c r="A480" t="inlineStr">
        <is>
          <t>A 36336-2022</t>
        </is>
      </c>
      <c r="B480" s="1" t="n">
        <v>44803</v>
      </c>
      <c r="C480" s="1" t="n">
        <v>45986</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25097-2023</t>
        </is>
      </c>
      <c r="B481" s="1" t="n">
        <v>45086</v>
      </c>
      <c r="C481" s="1" t="n">
        <v>45986</v>
      </c>
      <c r="D481" t="inlineStr">
        <is>
          <t>ÖSTERGÖTLANDS LÄN</t>
        </is>
      </c>
      <c r="E481" t="inlineStr">
        <is>
          <t>LINKÖPING</t>
        </is>
      </c>
      <c r="G481" t="n">
        <v>1.4</v>
      </c>
      <c r="H481" t="n">
        <v>0</v>
      </c>
      <c r="I481" t="n">
        <v>0</v>
      </c>
      <c r="J481" t="n">
        <v>0</v>
      </c>
      <c r="K481" t="n">
        <v>0</v>
      </c>
      <c r="L481" t="n">
        <v>0</v>
      </c>
      <c r="M481" t="n">
        <v>0</v>
      </c>
      <c r="N481" t="n">
        <v>0</v>
      </c>
      <c r="O481" t="n">
        <v>0</v>
      </c>
      <c r="P481" t="n">
        <v>0</v>
      </c>
      <c r="Q481" t="n">
        <v>0</v>
      </c>
      <c r="R481" s="2" t="inlineStr"/>
    </row>
    <row r="482" ht="15" customHeight="1">
      <c r="A482" t="inlineStr">
        <is>
          <t>A 10461-2023</t>
        </is>
      </c>
      <c r="B482" s="1" t="n">
        <v>44987.5969212963</v>
      </c>
      <c r="C482" s="1" t="n">
        <v>45986</v>
      </c>
      <c r="D482" t="inlineStr">
        <is>
          <t>ÖSTERGÖTLANDS LÄN</t>
        </is>
      </c>
      <c r="E482" t="inlineStr">
        <is>
          <t>LINKÖPING</t>
        </is>
      </c>
      <c r="G482" t="n">
        <v>7.8</v>
      </c>
      <c r="H482" t="n">
        <v>0</v>
      </c>
      <c r="I482" t="n">
        <v>0</v>
      </c>
      <c r="J482" t="n">
        <v>0</v>
      </c>
      <c r="K482" t="n">
        <v>0</v>
      </c>
      <c r="L482" t="n">
        <v>0</v>
      </c>
      <c r="M482" t="n">
        <v>0</v>
      </c>
      <c r="N482" t="n">
        <v>0</v>
      </c>
      <c r="O482" t="n">
        <v>0</v>
      </c>
      <c r="P482" t="n">
        <v>0</v>
      </c>
      <c r="Q482" t="n">
        <v>0</v>
      </c>
      <c r="R482" s="2" t="inlineStr"/>
    </row>
    <row r="483" ht="15" customHeight="1">
      <c r="A483" t="inlineStr">
        <is>
          <t>A 25829-2025</t>
        </is>
      </c>
      <c r="B483" s="1" t="n">
        <v>45804.44505787037</v>
      </c>
      <c r="C483" s="1" t="n">
        <v>45986</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38046-2025</t>
        </is>
      </c>
      <c r="B484" s="1" t="n">
        <v>45882.39939814815</v>
      </c>
      <c r="C484" s="1" t="n">
        <v>45986</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50386-2021</t>
        </is>
      </c>
      <c r="B485" s="1" t="n">
        <v>44459</v>
      </c>
      <c r="C485" s="1" t="n">
        <v>45986</v>
      </c>
      <c r="D485" t="inlineStr">
        <is>
          <t>ÖSTERGÖTLANDS LÄN</t>
        </is>
      </c>
      <c r="E485" t="inlineStr">
        <is>
          <t>LINKÖPING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350-2022</t>
        </is>
      </c>
      <c r="B486" s="1" t="n">
        <v>44565</v>
      </c>
      <c r="C486" s="1" t="n">
        <v>45986</v>
      </c>
      <c r="D486" t="inlineStr">
        <is>
          <t>ÖSTERGÖTLANDS LÄN</t>
        </is>
      </c>
      <c r="E486" t="inlineStr">
        <is>
          <t>LINKÖPING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18891-2022</t>
        </is>
      </c>
      <c r="B487" s="1" t="n">
        <v>44690</v>
      </c>
      <c r="C487" s="1" t="n">
        <v>45986</v>
      </c>
      <c r="D487" t="inlineStr">
        <is>
          <t>ÖSTERGÖTLANDS LÄN</t>
        </is>
      </c>
      <c r="E487" t="inlineStr">
        <is>
          <t>LINKÖPING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30976-2022</t>
        </is>
      </c>
      <c r="B488" s="1" t="n">
        <v>44768</v>
      </c>
      <c r="C488" s="1" t="n">
        <v>45986</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55736-2022</t>
        </is>
      </c>
      <c r="B489" s="1" t="n">
        <v>44888</v>
      </c>
      <c r="C489" s="1" t="n">
        <v>45986</v>
      </c>
      <c r="D489" t="inlineStr">
        <is>
          <t>ÖSTERGÖTLANDS LÄN</t>
        </is>
      </c>
      <c r="E489" t="inlineStr">
        <is>
          <t>LINKÖPING</t>
        </is>
      </c>
      <c r="G489" t="n">
        <v>5.5</v>
      </c>
      <c r="H489" t="n">
        <v>0</v>
      </c>
      <c r="I489" t="n">
        <v>0</v>
      </c>
      <c r="J489" t="n">
        <v>0</v>
      </c>
      <c r="K489" t="n">
        <v>0</v>
      </c>
      <c r="L489" t="n">
        <v>0</v>
      </c>
      <c r="M489" t="n">
        <v>0</v>
      </c>
      <c r="N489" t="n">
        <v>0</v>
      </c>
      <c r="O489" t="n">
        <v>0</v>
      </c>
      <c r="P489" t="n">
        <v>0</v>
      </c>
      <c r="Q489" t="n">
        <v>0</v>
      </c>
      <c r="R489" s="2" t="inlineStr"/>
    </row>
    <row r="490" ht="15" customHeight="1">
      <c r="A490" t="inlineStr">
        <is>
          <t>A 61281-2021</t>
        </is>
      </c>
      <c r="B490" s="1" t="n">
        <v>44498.60736111111</v>
      </c>
      <c r="C490" s="1" t="n">
        <v>45986</v>
      </c>
      <c r="D490" t="inlineStr">
        <is>
          <t>ÖSTERGÖTLANDS LÄN</t>
        </is>
      </c>
      <c r="E490" t="inlineStr">
        <is>
          <t>LINKÖPING</t>
        </is>
      </c>
      <c r="G490" t="n">
        <v>4.5</v>
      </c>
      <c r="H490" t="n">
        <v>0</v>
      </c>
      <c r="I490" t="n">
        <v>0</v>
      </c>
      <c r="J490" t="n">
        <v>0</v>
      </c>
      <c r="K490" t="n">
        <v>0</v>
      </c>
      <c r="L490" t="n">
        <v>0</v>
      </c>
      <c r="M490" t="n">
        <v>0</v>
      </c>
      <c r="N490" t="n">
        <v>0</v>
      </c>
      <c r="O490" t="n">
        <v>0</v>
      </c>
      <c r="P490" t="n">
        <v>0</v>
      </c>
      <c r="Q490" t="n">
        <v>0</v>
      </c>
      <c r="R490" s="2" t="inlineStr"/>
    </row>
    <row r="491" ht="15" customHeight="1">
      <c r="A491" t="inlineStr">
        <is>
          <t>A 25292-2021</t>
        </is>
      </c>
      <c r="B491" s="1" t="n">
        <v>44342</v>
      </c>
      <c r="C491" s="1" t="n">
        <v>45986</v>
      </c>
      <c r="D491" t="inlineStr">
        <is>
          <t>ÖSTERGÖTLANDS LÄN</t>
        </is>
      </c>
      <c r="E491" t="inlineStr">
        <is>
          <t>LINKÖPING</t>
        </is>
      </c>
      <c r="F491" t="inlineStr">
        <is>
          <t>Övriga Aktiebolag</t>
        </is>
      </c>
      <c r="G491" t="n">
        <v>12.8</v>
      </c>
      <c r="H491" t="n">
        <v>0</v>
      </c>
      <c r="I491" t="n">
        <v>0</v>
      </c>
      <c r="J491" t="n">
        <v>0</v>
      </c>
      <c r="K491" t="n">
        <v>0</v>
      </c>
      <c r="L491" t="n">
        <v>0</v>
      </c>
      <c r="M491" t="n">
        <v>0</v>
      </c>
      <c r="N491" t="n">
        <v>0</v>
      </c>
      <c r="O491" t="n">
        <v>0</v>
      </c>
      <c r="P491" t="n">
        <v>0</v>
      </c>
      <c r="Q491" t="n">
        <v>0</v>
      </c>
      <c r="R491" s="2" t="inlineStr"/>
    </row>
    <row r="492" ht="15" customHeight="1">
      <c r="A492" t="inlineStr">
        <is>
          <t>A 63935-2021</t>
        </is>
      </c>
      <c r="B492" s="1" t="n">
        <v>44509</v>
      </c>
      <c r="C492" s="1" t="n">
        <v>45986</v>
      </c>
      <c r="D492" t="inlineStr">
        <is>
          <t>ÖSTERGÖTLANDS LÄN</t>
        </is>
      </c>
      <c r="E492" t="inlineStr">
        <is>
          <t>LINKÖPING</t>
        </is>
      </c>
      <c r="F492" t="inlineStr">
        <is>
          <t>Övriga statliga verk och myndigheter</t>
        </is>
      </c>
      <c r="G492" t="n">
        <v>2.8</v>
      </c>
      <c r="H492" t="n">
        <v>0</v>
      </c>
      <c r="I492" t="n">
        <v>0</v>
      </c>
      <c r="J492" t="n">
        <v>0</v>
      </c>
      <c r="K492" t="n">
        <v>0</v>
      </c>
      <c r="L492" t="n">
        <v>0</v>
      </c>
      <c r="M492" t="n">
        <v>0</v>
      </c>
      <c r="N492" t="n">
        <v>0</v>
      </c>
      <c r="O492" t="n">
        <v>0</v>
      </c>
      <c r="P492" t="n">
        <v>0</v>
      </c>
      <c r="Q492" t="n">
        <v>0</v>
      </c>
      <c r="R492" s="2" t="inlineStr"/>
    </row>
    <row r="493" ht="15" customHeight="1">
      <c r="A493" t="inlineStr">
        <is>
          <t>A 38971-2025</t>
        </is>
      </c>
      <c r="B493" s="1" t="n">
        <v>45887.71827546296</v>
      </c>
      <c r="C493" s="1" t="n">
        <v>45986</v>
      </c>
      <c r="D493" t="inlineStr">
        <is>
          <t>ÖSTERGÖTLANDS LÄN</t>
        </is>
      </c>
      <c r="E493" t="inlineStr">
        <is>
          <t>LINKÖPING</t>
        </is>
      </c>
      <c r="G493" t="n">
        <v>3.9</v>
      </c>
      <c r="H493" t="n">
        <v>0</v>
      </c>
      <c r="I493" t="n">
        <v>0</v>
      </c>
      <c r="J493" t="n">
        <v>0</v>
      </c>
      <c r="K493" t="n">
        <v>0</v>
      </c>
      <c r="L493" t="n">
        <v>0</v>
      </c>
      <c r="M493" t="n">
        <v>0</v>
      </c>
      <c r="N493" t="n">
        <v>0</v>
      </c>
      <c r="O493" t="n">
        <v>0</v>
      </c>
      <c r="P493" t="n">
        <v>0</v>
      </c>
      <c r="Q493" t="n">
        <v>0</v>
      </c>
      <c r="R493" s="2" t="inlineStr"/>
    </row>
    <row r="494" ht="15" customHeight="1">
      <c r="A494" t="inlineStr">
        <is>
          <t>A 10194-2023</t>
        </is>
      </c>
      <c r="B494" s="1" t="n">
        <v>44986.52277777778</v>
      </c>
      <c r="C494" s="1" t="n">
        <v>45986</v>
      </c>
      <c r="D494" t="inlineStr">
        <is>
          <t>ÖSTERGÖTLANDS LÄN</t>
        </is>
      </c>
      <c r="E494" t="inlineStr">
        <is>
          <t>LINKÖPING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55345-2021</t>
        </is>
      </c>
      <c r="B495" s="1" t="n">
        <v>44475</v>
      </c>
      <c r="C495" s="1" t="n">
        <v>45986</v>
      </c>
      <c r="D495" t="inlineStr">
        <is>
          <t>ÖSTERGÖTLANDS LÄN</t>
        </is>
      </c>
      <c r="E495" t="inlineStr">
        <is>
          <t>LINKÖPING</t>
        </is>
      </c>
      <c r="G495" t="n">
        <v>5.7</v>
      </c>
      <c r="H495" t="n">
        <v>0</v>
      </c>
      <c r="I495" t="n">
        <v>0</v>
      </c>
      <c r="J495" t="n">
        <v>0</v>
      </c>
      <c r="K495" t="n">
        <v>0</v>
      </c>
      <c r="L495" t="n">
        <v>0</v>
      </c>
      <c r="M495" t="n">
        <v>0</v>
      </c>
      <c r="N495" t="n">
        <v>0</v>
      </c>
      <c r="O495" t="n">
        <v>0</v>
      </c>
      <c r="P495" t="n">
        <v>0</v>
      </c>
      <c r="Q495" t="n">
        <v>0</v>
      </c>
      <c r="R495" s="2" t="inlineStr"/>
    </row>
    <row r="496" ht="15" customHeight="1">
      <c r="A496" t="inlineStr">
        <is>
          <t>A 7702-2023</t>
        </is>
      </c>
      <c r="B496" s="1" t="n">
        <v>44967</v>
      </c>
      <c r="C496" s="1" t="n">
        <v>45986</v>
      </c>
      <c r="D496" t="inlineStr">
        <is>
          <t>ÖSTERGÖTLANDS LÄN</t>
        </is>
      </c>
      <c r="E496" t="inlineStr">
        <is>
          <t>LINKÖPING</t>
        </is>
      </c>
      <c r="F496" t="inlineStr">
        <is>
          <t>Övriga statliga verk och myndigheter</t>
        </is>
      </c>
      <c r="G496" t="n">
        <v>8</v>
      </c>
      <c r="H496" t="n">
        <v>0</v>
      </c>
      <c r="I496" t="n">
        <v>0</v>
      </c>
      <c r="J496" t="n">
        <v>0</v>
      </c>
      <c r="K496" t="n">
        <v>0</v>
      </c>
      <c r="L496" t="n">
        <v>0</v>
      </c>
      <c r="M496" t="n">
        <v>0</v>
      </c>
      <c r="N496" t="n">
        <v>0</v>
      </c>
      <c r="O496" t="n">
        <v>0</v>
      </c>
      <c r="P496" t="n">
        <v>0</v>
      </c>
      <c r="Q496" t="n">
        <v>0</v>
      </c>
      <c r="R496" s="2" t="inlineStr"/>
    </row>
    <row r="497" ht="15" customHeight="1">
      <c r="A497" t="inlineStr">
        <is>
          <t>A 42000-2023</t>
        </is>
      </c>
      <c r="B497" s="1" t="n">
        <v>45177</v>
      </c>
      <c r="C497" s="1" t="n">
        <v>45986</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31534-2023</t>
        </is>
      </c>
      <c r="B498" s="1" t="n">
        <v>45116</v>
      </c>
      <c r="C498" s="1" t="n">
        <v>45986</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35427-2023</t>
        </is>
      </c>
      <c r="B499" s="1" t="n">
        <v>45146</v>
      </c>
      <c r="C499" s="1" t="n">
        <v>45986</v>
      </c>
      <c r="D499" t="inlineStr">
        <is>
          <t>ÖSTERGÖTLANDS LÄN</t>
        </is>
      </c>
      <c r="E499" t="inlineStr">
        <is>
          <t>LINKÖPING</t>
        </is>
      </c>
      <c r="F499" t="inlineStr">
        <is>
          <t>Övriga Aktiebolag</t>
        </is>
      </c>
      <c r="G499" t="n">
        <v>2.5</v>
      </c>
      <c r="H499" t="n">
        <v>0</v>
      </c>
      <c r="I499" t="n">
        <v>0</v>
      </c>
      <c r="J499" t="n">
        <v>0</v>
      </c>
      <c r="K499" t="n">
        <v>0</v>
      </c>
      <c r="L499" t="n">
        <v>0</v>
      </c>
      <c r="M499" t="n">
        <v>0</v>
      </c>
      <c r="N499" t="n">
        <v>0</v>
      </c>
      <c r="O499" t="n">
        <v>0</v>
      </c>
      <c r="P499" t="n">
        <v>0</v>
      </c>
      <c r="Q499" t="n">
        <v>0</v>
      </c>
      <c r="R499" s="2" t="inlineStr"/>
    </row>
    <row r="500" ht="15" customHeight="1">
      <c r="A500" t="inlineStr">
        <is>
          <t>A 36725-2023</t>
        </is>
      </c>
      <c r="B500" s="1" t="n">
        <v>45153.68471064815</v>
      </c>
      <c r="C500" s="1" t="n">
        <v>45986</v>
      </c>
      <c r="D500" t="inlineStr">
        <is>
          <t>ÖSTERGÖTLANDS LÄN</t>
        </is>
      </c>
      <c r="E500" t="inlineStr">
        <is>
          <t>LINKÖPING</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53639-2023</t>
        </is>
      </c>
      <c r="B501" s="1" t="n">
        <v>45230.59686342593</v>
      </c>
      <c r="C501" s="1" t="n">
        <v>45986</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1657-2024</t>
        </is>
      </c>
      <c r="B502" s="1" t="n">
        <v>45306.82501157407</v>
      </c>
      <c r="C502" s="1" t="n">
        <v>45986</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50784-2022</t>
        </is>
      </c>
      <c r="B503" s="1" t="n">
        <v>44862</v>
      </c>
      <c r="C503" s="1" t="n">
        <v>45986</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26803-2024</t>
        </is>
      </c>
      <c r="B504" s="1" t="n">
        <v>45470</v>
      </c>
      <c r="C504" s="1" t="n">
        <v>45986</v>
      </c>
      <c r="D504" t="inlineStr">
        <is>
          <t>ÖSTERGÖTLANDS LÄN</t>
        </is>
      </c>
      <c r="E504" t="inlineStr">
        <is>
          <t>LINKÖPING</t>
        </is>
      </c>
      <c r="F504" t="inlineStr">
        <is>
          <t>Allmännings- och besparingsskogar</t>
        </is>
      </c>
      <c r="G504" t="n">
        <v>4.5</v>
      </c>
      <c r="H504" t="n">
        <v>0</v>
      </c>
      <c r="I504" t="n">
        <v>0</v>
      </c>
      <c r="J504" t="n">
        <v>0</v>
      </c>
      <c r="K504" t="n">
        <v>0</v>
      </c>
      <c r="L504" t="n">
        <v>0</v>
      </c>
      <c r="M504" t="n">
        <v>0</v>
      </c>
      <c r="N504" t="n">
        <v>0</v>
      </c>
      <c r="O504" t="n">
        <v>0</v>
      </c>
      <c r="P504" t="n">
        <v>0</v>
      </c>
      <c r="Q504" t="n">
        <v>0</v>
      </c>
      <c r="R504" s="2" t="inlineStr"/>
    </row>
    <row r="505" ht="15" customHeight="1">
      <c r="A505" t="inlineStr">
        <is>
          <t>A 19187-2021</t>
        </is>
      </c>
      <c r="B505" s="1" t="n">
        <v>44308</v>
      </c>
      <c r="C505" s="1" t="n">
        <v>45986</v>
      </c>
      <c r="D505" t="inlineStr">
        <is>
          <t>ÖSTERGÖTLANDS LÄN</t>
        </is>
      </c>
      <c r="E505" t="inlineStr">
        <is>
          <t>LINKÖPING</t>
        </is>
      </c>
      <c r="F505" t="inlineStr">
        <is>
          <t>Allmännings- och besparingsskogar</t>
        </is>
      </c>
      <c r="G505" t="n">
        <v>20</v>
      </c>
      <c r="H505" t="n">
        <v>0</v>
      </c>
      <c r="I505" t="n">
        <v>0</v>
      </c>
      <c r="J505" t="n">
        <v>0</v>
      </c>
      <c r="K505" t="n">
        <v>0</v>
      </c>
      <c r="L505" t="n">
        <v>0</v>
      </c>
      <c r="M505" t="n">
        <v>0</v>
      </c>
      <c r="N505" t="n">
        <v>0</v>
      </c>
      <c r="O505" t="n">
        <v>0</v>
      </c>
      <c r="P505" t="n">
        <v>0</v>
      </c>
      <c r="Q505" t="n">
        <v>0</v>
      </c>
      <c r="R505" s="2" t="inlineStr"/>
    </row>
    <row r="506" ht="15" customHeight="1">
      <c r="A506" t="inlineStr">
        <is>
          <t>A 60472-2022</t>
        </is>
      </c>
      <c r="B506" s="1" t="n">
        <v>44911.41037037037</v>
      </c>
      <c r="C506" s="1" t="n">
        <v>45986</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43934-2023</t>
        </is>
      </c>
      <c r="B507" s="1" t="n">
        <v>45187</v>
      </c>
      <c r="C507" s="1" t="n">
        <v>45986</v>
      </c>
      <c r="D507" t="inlineStr">
        <is>
          <t>ÖSTERGÖTLANDS LÄN</t>
        </is>
      </c>
      <c r="E507" t="inlineStr">
        <is>
          <t>LINKÖPING</t>
        </is>
      </c>
      <c r="F507" t="inlineStr">
        <is>
          <t>Övriga Aktiebolag</t>
        </is>
      </c>
      <c r="G507" t="n">
        <v>3.8</v>
      </c>
      <c r="H507" t="n">
        <v>0</v>
      </c>
      <c r="I507" t="n">
        <v>0</v>
      </c>
      <c r="J507" t="n">
        <v>0</v>
      </c>
      <c r="K507" t="n">
        <v>0</v>
      </c>
      <c r="L507" t="n">
        <v>0</v>
      </c>
      <c r="M507" t="n">
        <v>0</v>
      </c>
      <c r="N507" t="n">
        <v>0</v>
      </c>
      <c r="O507" t="n">
        <v>0</v>
      </c>
      <c r="P507" t="n">
        <v>0</v>
      </c>
      <c r="Q507" t="n">
        <v>0</v>
      </c>
      <c r="R507" s="2" t="inlineStr"/>
    </row>
    <row r="508" ht="15" customHeight="1">
      <c r="A508" t="inlineStr">
        <is>
          <t>A 22774-2024</t>
        </is>
      </c>
      <c r="B508" s="1" t="n">
        <v>45448.46924768519</v>
      </c>
      <c r="C508" s="1" t="n">
        <v>45986</v>
      </c>
      <c r="D508" t="inlineStr">
        <is>
          <t>ÖSTERGÖTLANDS LÄN</t>
        </is>
      </c>
      <c r="E508" t="inlineStr">
        <is>
          <t>LINKÖPING</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22778-2024</t>
        </is>
      </c>
      <c r="B509" s="1" t="n">
        <v>45448.47233796296</v>
      </c>
      <c r="C509" s="1" t="n">
        <v>45986</v>
      </c>
      <c r="D509" t="inlineStr">
        <is>
          <t>ÖSTERGÖTLANDS LÄN</t>
        </is>
      </c>
      <c r="E509" t="inlineStr">
        <is>
          <t>LINKÖPING</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1209-2023</t>
        </is>
      </c>
      <c r="B510" s="1" t="n">
        <v>44930</v>
      </c>
      <c r="C510" s="1" t="n">
        <v>45986</v>
      </c>
      <c r="D510" t="inlineStr">
        <is>
          <t>ÖSTERGÖTLANDS LÄN</t>
        </is>
      </c>
      <c r="E510" t="inlineStr">
        <is>
          <t>LINKÖPING</t>
        </is>
      </c>
      <c r="F510" t="inlineStr">
        <is>
          <t>Övriga statliga verk och myndigheter</t>
        </is>
      </c>
      <c r="G510" t="n">
        <v>25.8</v>
      </c>
      <c r="H510" t="n">
        <v>0</v>
      </c>
      <c r="I510" t="n">
        <v>0</v>
      </c>
      <c r="J510" t="n">
        <v>0</v>
      </c>
      <c r="K510" t="n">
        <v>0</v>
      </c>
      <c r="L510" t="n">
        <v>0</v>
      </c>
      <c r="M510" t="n">
        <v>0</v>
      </c>
      <c r="N510" t="n">
        <v>0</v>
      </c>
      <c r="O510" t="n">
        <v>0</v>
      </c>
      <c r="P510" t="n">
        <v>0</v>
      </c>
      <c r="Q510" t="n">
        <v>0</v>
      </c>
      <c r="R510" s="2" t="inlineStr"/>
    </row>
    <row r="511" ht="15" customHeight="1">
      <c r="A511" t="inlineStr">
        <is>
          <t>A 10407-2025</t>
        </is>
      </c>
      <c r="B511" s="1" t="n">
        <v>45720.62863425926</v>
      </c>
      <c r="C511" s="1" t="n">
        <v>45986</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11590-2023</t>
        </is>
      </c>
      <c r="B512" s="1" t="n">
        <v>44994.36689814815</v>
      </c>
      <c r="C512" s="1" t="n">
        <v>45986</v>
      </c>
      <c r="D512" t="inlineStr">
        <is>
          <t>ÖSTERGÖTLANDS LÄN</t>
        </is>
      </c>
      <c r="E512" t="inlineStr">
        <is>
          <t>LINKÖPING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19169-2023</t>
        </is>
      </c>
      <c r="B513" s="1" t="n">
        <v>45044</v>
      </c>
      <c r="C513" s="1" t="n">
        <v>45986</v>
      </c>
      <c r="D513" t="inlineStr">
        <is>
          <t>ÖSTERGÖTLANDS LÄN</t>
        </is>
      </c>
      <c r="E513" t="inlineStr">
        <is>
          <t>LINKÖPING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672-2024</t>
        </is>
      </c>
      <c r="B514" s="1" t="n">
        <v>45300</v>
      </c>
      <c r="C514" s="1" t="n">
        <v>45986</v>
      </c>
      <c r="D514" t="inlineStr">
        <is>
          <t>ÖSTERGÖTLANDS LÄN</t>
        </is>
      </c>
      <c r="E514" t="inlineStr">
        <is>
          <t>LINKÖPING</t>
        </is>
      </c>
      <c r="F514" t="inlineStr">
        <is>
          <t>Sveaskog</t>
        </is>
      </c>
      <c r="G514" t="n">
        <v>4.5</v>
      </c>
      <c r="H514" t="n">
        <v>0</v>
      </c>
      <c r="I514" t="n">
        <v>0</v>
      </c>
      <c r="J514" t="n">
        <v>0</v>
      </c>
      <c r="K514" t="n">
        <v>0</v>
      </c>
      <c r="L514" t="n">
        <v>0</v>
      </c>
      <c r="M514" t="n">
        <v>0</v>
      </c>
      <c r="N514" t="n">
        <v>0</v>
      </c>
      <c r="O514" t="n">
        <v>0</v>
      </c>
      <c r="P514" t="n">
        <v>0</v>
      </c>
      <c r="Q514" t="n">
        <v>0</v>
      </c>
      <c r="R514" s="2" t="inlineStr"/>
    </row>
    <row r="515" ht="15" customHeight="1">
      <c r="A515" t="inlineStr">
        <is>
          <t>A 55493-2021</t>
        </is>
      </c>
      <c r="B515" s="1" t="n">
        <v>44475.61988425926</v>
      </c>
      <c r="C515" s="1" t="n">
        <v>45986</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14093-2024</t>
        </is>
      </c>
      <c r="B516" s="1" t="n">
        <v>45392.60278935185</v>
      </c>
      <c r="C516" s="1" t="n">
        <v>45986</v>
      </c>
      <c r="D516" t="inlineStr">
        <is>
          <t>ÖSTERGÖTLANDS LÄN</t>
        </is>
      </c>
      <c r="E516" t="inlineStr">
        <is>
          <t>LINKÖPING</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62019-2024</t>
        </is>
      </c>
      <c r="B517" s="1" t="n">
        <v>45655.82</v>
      </c>
      <c r="C517" s="1" t="n">
        <v>45986</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25119-2023</t>
        </is>
      </c>
      <c r="B518" s="1" t="n">
        <v>45086.42326388889</v>
      </c>
      <c r="C518" s="1" t="n">
        <v>45986</v>
      </c>
      <c r="D518" t="inlineStr">
        <is>
          <t>ÖSTERGÖTLANDS LÄN</t>
        </is>
      </c>
      <c r="E518" t="inlineStr">
        <is>
          <t>LINKÖPING</t>
        </is>
      </c>
      <c r="G518" t="n">
        <v>3.2</v>
      </c>
      <c r="H518" t="n">
        <v>0</v>
      </c>
      <c r="I518" t="n">
        <v>0</v>
      </c>
      <c r="J518" t="n">
        <v>0</v>
      </c>
      <c r="K518" t="n">
        <v>0</v>
      </c>
      <c r="L518" t="n">
        <v>0</v>
      </c>
      <c r="M518" t="n">
        <v>0</v>
      </c>
      <c r="N518" t="n">
        <v>0</v>
      </c>
      <c r="O518" t="n">
        <v>0</v>
      </c>
      <c r="P518" t="n">
        <v>0</v>
      </c>
      <c r="Q518" t="n">
        <v>0</v>
      </c>
      <c r="R518" s="2" t="inlineStr"/>
    </row>
    <row r="519" ht="15" customHeight="1">
      <c r="A519" t="inlineStr">
        <is>
          <t>A 57396-2021</t>
        </is>
      </c>
      <c r="B519" s="1" t="n">
        <v>44483.56151620371</v>
      </c>
      <c r="C519" s="1" t="n">
        <v>45986</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51571-2024</t>
        </is>
      </c>
      <c r="B520" s="1" t="n">
        <v>45604</v>
      </c>
      <c r="C520" s="1" t="n">
        <v>45986</v>
      </c>
      <c r="D520" t="inlineStr">
        <is>
          <t>ÖSTERGÖTLANDS LÄN</t>
        </is>
      </c>
      <c r="E520" t="inlineStr">
        <is>
          <t>LINKÖPING</t>
        </is>
      </c>
      <c r="F520" t="inlineStr">
        <is>
          <t>Övriga Aktiebolag</t>
        </is>
      </c>
      <c r="G520" t="n">
        <v>1.4</v>
      </c>
      <c r="H520" t="n">
        <v>0</v>
      </c>
      <c r="I520" t="n">
        <v>0</v>
      </c>
      <c r="J520" t="n">
        <v>0</v>
      </c>
      <c r="K520" t="n">
        <v>0</v>
      </c>
      <c r="L520" t="n">
        <v>0</v>
      </c>
      <c r="M520" t="n">
        <v>0</v>
      </c>
      <c r="N520" t="n">
        <v>0</v>
      </c>
      <c r="O520" t="n">
        <v>0</v>
      </c>
      <c r="P520" t="n">
        <v>0</v>
      </c>
      <c r="Q520" t="n">
        <v>0</v>
      </c>
      <c r="R520" s="2" t="inlineStr"/>
    </row>
    <row r="521" ht="15" customHeight="1">
      <c r="A521" t="inlineStr">
        <is>
          <t>A 17143-2025</t>
        </is>
      </c>
      <c r="B521" s="1" t="n">
        <v>45755.92731481481</v>
      </c>
      <c r="C521" s="1" t="n">
        <v>45986</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17124-2025</t>
        </is>
      </c>
      <c r="B522" s="1" t="n">
        <v>45755.69678240741</v>
      </c>
      <c r="C522" s="1" t="n">
        <v>45986</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17126-2025</t>
        </is>
      </c>
      <c r="B523" s="1" t="n">
        <v>45755.70814814815</v>
      </c>
      <c r="C523" s="1" t="n">
        <v>45986</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31640-2023</t>
        </is>
      </c>
      <c r="B524" s="1" t="n">
        <v>45117</v>
      </c>
      <c r="C524" s="1" t="n">
        <v>45986</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11790-2024</t>
        </is>
      </c>
      <c r="B525" s="1" t="n">
        <v>45374</v>
      </c>
      <c r="C525" s="1" t="n">
        <v>45986</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61281-2021</t>
        </is>
      </c>
      <c r="B526" s="1" t="n">
        <v>44498.60736111111</v>
      </c>
      <c r="C526" s="1" t="n">
        <v>45986</v>
      </c>
      <c r="D526" t="inlineStr">
        <is>
          <t>ÖSTERGÖTLANDS LÄN</t>
        </is>
      </c>
      <c r="E526" t="inlineStr">
        <is>
          <t>LINKÖPING</t>
        </is>
      </c>
      <c r="G526" t="n">
        <v>4.5</v>
      </c>
      <c r="H526" t="n">
        <v>0</v>
      </c>
      <c r="I526" t="n">
        <v>0</v>
      </c>
      <c r="J526" t="n">
        <v>0</v>
      </c>
      <c r="K526" t="n">
        <v>0</v>
      </c>
      <c r="L526" t="n">
        <v>0</v>
      </c>
      <c r="M526" t="n">
        <v>0</v>
      </c>
      <c r="N526" t="n">
        <v>0</v>
      </c>
      <c r="O526" t="n">
        <v>0</v>
      </c>
      <c r="P526" t="n">
        <v>0</v>
      </c>
      <c r="Q526" t="n">
        <v>0</v>
      </c>
      <c r="R526" s="2" t="inlineStr"/>
    </row>
    <row r="527" ht="15" customHeight="1">
      <c r="A527" t="inlineStr">
        <is>
          <t>A 6206-2024</t>
        </is>
      </c>
      <c r="B527" s="1" t="n">
        <v>45337.5977662037</v>
      </c>
      <c r="C527" s="1" t="n">
        <v>45986</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168-2024</t>
        </is>
      </c>
      <c r="B528" s="1" t="n">
        <v>45294</v>
      </c>
      <c r="C528" s="1" t="n">
        <v>45986</v>
      </c>
      <c r="D528" t="inlineStr">
        <is>
          <t>ÖSTERGÖTLANDS LÄN</t>
        </is>
      </c>
      <c r="E528" t="inlineStr">
        <is>
          <t>LINKÖPING</t>
        </is>
      </c>
      <c r="F528" t="inlineStr">
        <is>
          <t>Allmännings- och besparingsskogar</t>
        </is>
      </c>
      <c r="G528" t="n">
        <v>8.9</v>
      </c>
      <c r="H528" t="n">
        <v>0</v>
      </c>
      <c r="I528" t="n">
        <v>0</v>
      </c>
      <c r="J528" t="n">
        <v>0</v>
      </c>
      <c r="K528" t="n">
        <v>0</v>
      </c>
      <c r="L528" t="n">
        <v>0</v>
      </c>
      <c r="M528" t="n">
        <v>0</v>
      </c>
      <c r="N528" t="n">
        <v>0</v>
      </c>
      <c r="O528" t="n">
        <v>0</v>
      </c>
      <c r="P528" t="n">
        <v>0</v>
      </c>
      <c r="Q528" t="n">
        <v>0</v>
      </c>
      <c r="R528" s="2" t="inlineStr"/>
    </row>
    <row r="529" ht="15" customHeight="1">
      <c r="A529" t="inlineStr">
        <is>
          <t>A 51919-2024</t>
        </is>
      </c>
      <c r="B529" s="1" t="n">
        <v>45607.60791666667</v>
      </c>
      <c r="C529" s="1" t="n">
        <v>45986</v>
      </c>
      <c r="D529" t="inlineStr">
        <is>
          <t>ÖSTERGÖTLANDS LÄN</t>
        </is>
      </c>
      <c r="E529" t="inlineStr">
        <is>
          <t>LINKÖPING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56623-2024</t>
        </is>
      </c>
      <c r="B530" s="1" t="n">
        <v>45625</v>
      </c>
      <c r="C530" s="1" t="n">
        <v>45986</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11330-2023</t>
        </is>
      </c>
      <c r="B531" s="1" t="n">
        <v>44993.24648148148</v>
      </c>
      <c r="C531" s="1" t="n">
        <v>45986</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63304-2021</t>
        </is>
      </c>
      <c r="B532" s="1" t="n">
        <v>44508.4396412037</v>
      </c>
      <c r="C532" s="1" t="n">
        <v>45986</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14528-2025</t>
        </is>
      </c>
      <c r="B533" s="1" t="n">
        <v>45741</v>
      </c>
      <c r="C533" s="1" t="n">
        <v>45986</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3530-2024</t>
        </is>
      </c>
      <c r="B534" s="1" t="n">
        <v>45320.54717592592</v>
      </c>
      <c r="C534" s="1" t="n">
        <v>45986</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62073-2023</t>
        </is>
      </c>
      <c r="B535" s="1" t="n">
        <v>45266.73844907407</v>
      </c>
      <c r="C535" s="1" t="n">
        <v>45986</v>
      </c>
      <c r="D535" t="inlineStr">
        <is>
          <t>ÖSTERGÖTLANDS LÄN</t>
        </is>
      </c>
      <c r="E535" t="inlineStr">
        <is>
          <t>LINKÖPING</t>
        </is>
      </c>
      <c r="F535" t="inlineStr">
        <is>
          <t>Allmännings- och besparingsskogar</t>
        </is>
      </c>
      <c r="G535" t="n">
        <v>1.8</v>
      </c>
      <c r="H535" t="n">
        <v>0</v>
      </c>
      <c r="I535" t="n">
        <v>0</v>
      </c>
      <c r="J535" t="n">
        <v>0</v>
      </c>
      <c r="K535" t="n">
        <v>0</v>
      </c>
      <c r="L535" t="n">
        <v>0</v>
      </c>
      <c r="M535" t="n">
        <v>0</v>
      </c>
      <c r="N535" t="n">
        <v>0</v>
      </c>
      <c r="O535" t="n">
        <v>0</v>
      </c>
      <c r="P535" t="n">
        <v>0</v>
      </c>
      <c r="Q535" t="n">
        <v>0</v>
      </c>
      <c r="R535" s="2" t="inlineStr"/>
    </row>
    <row r="536" ht="15" customHeight="1">
      <c r="A536" t="inlineStr">
        <is>
          <t>A 5872-2025</t>
        </is>
      </c>
      <c r="B536" s="1" t="n">
        <v>45695.36659722222</v>
      </c>
      <c r="C536" s="1" t="n">
        <v>45986</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53814-2023</t>
        </is>
      </c>
      <c r="B537" s="1" t="n">
        <v>45231</v>
      </c>
      <c r="C537" s="1" t="n">
        <v>45986</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3432-2023</t>
        </is>
      </c>
      <c r="B538" s="1" t="n">
        <v>44949</v>
      </c>
      <c r="C538" s="1" t="n">
        <v>45986</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54425-2022</t>
        </is>
      </c>
      <c r="B539" s="1" t="n">
        <v>44882.57453703704</v>
      </c>
      <c r="C539" s="1" t="n">
        <v>45986</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54428-2022</t>
        </is>
      </c>
      <c r="B540" s="1" t="n">
        <v>44882.57643518518</v>
      </c>
      <c r="C540" s="1" t="n">
        <v>45986</v>
      </c>
      <c r="D540" t="inlineStr">
        <is>
          <t>ÖSTERGÖTLANDS LÄN</t>
        </is>
      </c>
      <c r="E540" t="inlineStr">
        <is>
          <t>LINKÖPING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660-2023</t>
        </is>
      </c>
      <c r="B541" s="1" t="n">
        <v>44930</v>
      </c>
      <c r="C541" s="1" t="n">
        <v>45986</v>
      </c>
      <c r="D541" t="inlineStr">
        <is>
          <t>ÖSTERGÖTLANDS LÄN</t>
        </is>
      </c>
      <c r="E541" t="inlineStr">
        <is>
          <t>LINKÖPING</t>
        </is>
      </c>
      <c r="F541" t="inlineStr">
        <is>
          <t>Kyrkan</t>
        </is>
      </c>
      <c r="G541" t="n">
        <v>1.6</v>
      </c>
      <c r="H541" t="n">
        <v>0</v>
      </c>
      <c r="I541" t="n">
        <v>0</v>
      </c>
      <c r="J541" t="n">
        <v>0</v>
      </c>
      <c r="K541" t="n">
        <v>0</v>
      </c>
      <c r="L541" t="n">
        <v>0</v>
      </c>
      <c r="M541" t="n">
        <v>0</v>
      </c>
      <c r="N541" t="n">
        <v>0</v>
      </c>
      <c r="O541" t="n">
        <v>0</v>
      </c>
      <c r="P541" t="n">
        <v>0</v>
      </c>
      <c r="Q541" t="n">
        <v>0</v>
      </c>
      <c r="R541" s="2" t="inlineStr"/>
    </row>
    <row r="542" ht="15" customHeight="1">
      <c r="A542" t="inlineStr">
        <is>
          <t>A 62501-2023</t>
        </is>
      </c>
      <c r="B542" s="1" t="n">
        <v>45268</v>
      </c>
      <c r="C542" s="1" t="n">
        <v>45986</v>
      </c>
      <c r="D542" t="inlineStr">
        <is>
          <t>ÖSTERGÖTLANDS LÄN</t>
        </is>
      </c>
      <c r="E542" t="inlineStr">
        <is>
          <t>LINKÖPING</t>
        </is>
      </c>
      <c r="G542" t="n">
        <v>7.4</v>
      </c>
      <c r="H542" t="n">
        <v>0</v>
      </c>
      <c r="I542" t="n">
        <v>0</v>
      </c>
      <c r="J542" t="n">
        <v>0</v>
      </c>
      <c r="K542" t="n">
        <v>0</v>
      </c>
      <c r="L542" t="n">
        <v>0</v>
      </c>
      <c r="M542" t="n">
        <v>0</v>
      </c>
      <c r="N542" t="n">
        <v>0</v>
      </c>
      <c r="O542" t="n">
        <v>0</v>
      </c>
      <c r="P542" t="n">
        <v>0</v>
      </c>
      <c r="Q542" t="n">
        <v>0</v>
      </c>
      <c r="R542" s="2" t="inlineStr"/>
    </row>
    <row r="543" ht="15" customHeight="1">
      <c r="A543" t="inlineStr">
        <is>
          <t>A 13413-2023</t>
        </is>
      </c>
      <c r="B543" s="1" t="n">
        <v>45005.58341435185</v>
      </c>
      <c r="C543" s="1" t="n">
        <v>45986</v>
      </c>
      <c r="D543" t="inlineStr">
        <is>
          <t>ÖSTERGÖTLANDS LÄN</t>
        </is>
      </c>
      <c r="E543" t="inlineStr">
        <is>
          <t>LINKÖPING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26620-2023</t>
        </is>
      </c>
      <c r="B544" s="1" t="n">
        <v>45092.70390046296</v>
      </c>
      <c r="C544" s="1" t="n">
        <v>45986</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16462-2021</t>
        </is>
      </c>
      <c r="B545" s="1" t="n">
        <v>44293</v>
      </c>
      <c r="C545" s="1" t="n">
        <v>45986</v>
      </c>
      <c r="D545" t="inlineStr">
        <is>
          <t>ÖSTERGÖTLANDS LÄN</t>
        </is>
      </c>
      <c r="E545" t="inlineStr">
        <is>
          <t>LINKÖPING</t>
        </is>
      </c>
      <c r="F545" t="inlineStr">
        <is>
          <t>Allmännings- och besparingsskogar</t>
        </is>
      </c>
      <c r="G545" t="n">
        <v>24.7</v>
      </c>
      <c r="H545" t="n">
        <v>0</v>
      </c>
      <c r="I545" t="n">
        <v>0</v>
      </c>
      <c r="J545" t="n">
        <v>0</v>
      </c>
      <c r="K545" t="n">
        <v>0</v>
      </c>
      <c r="L545" t="n">
        <v>0</v>
      </c>
      <c r="M545" t="n">
        <v>0</v>
      </c>
      <c r="N545" t="n">
        <v>0</v>
      </c>
      <c r="O545" t="n">
        <v>0</v>
      </c>
      <c r="P545" t="n">
        <v>0</v>
      </c>
      <c r="Q545" t="n">
        <v>0</v>
      </c>
      <c r="R545" s="2" t="inlineStr"/>
    </row>
    <row r="546" ht="15" customHeight="1">
      <c r="A546" t="inlineStr">
        <is>
          <t>A 63554-2023</t>
        </is>
      </c>
      <c r="B546" s="1" t="n">
        <v>45275</v>
      </c>
      <c r="C546" s="1" t="n">
        <v>45986</v>
      </c>
      <c r="D546" t="inlineStr">
        <is>
          <t>ÖSTERGÖTLANDS LÄN</t>
        </is>
      </c>
      <c r="E546" t="inlineStr">
        <is>
          <t>LINKÖPING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63638-2023</t>
        </is>
      </c>
      <c r="B547" s="1" t="n">
        <v>45275</v>
      </c>
      <c r="C547" s="1" t="n">
        <v>45986</v>
      </c>
      <c r="D547" t="inlineStr">
        <is>
          <t>ÖSTERGÖTLANDS LÄN</t>
        </is>
      </c>
      <c r="E547" t="inlineStr">
        <is>
          <t>LINKÖPING</t>
        </is>
      </c>
      <c r="F547" t="inlineStr">
        <is>
          <t>Övriga Aktiebolag</t>
        </is>
      </c>
      <c r="G547" t="n">
        <v>2.4</v>
      </c>
      <c r="H547" t="n">
        <v>0</v>
      </c>
      <c r="I547" t="n">
        <v>0</v>
      </c>
      <c r="J547" t="n">
        <v>0</v>
      </c>
      <c r="K547" t="n">
        <v>0</v>
      </c>
      <c r="L547" t="n">
        <v>0</v>
      </c>
      <c r="M547" t="n">
        <v>0</v>
      </c>
      <c r="N547" t="n">
        <v>0</v>
      </c>
      <c r="O547" t="n">
        <v>0</v>
      </c>
      <c r="P547" t="n">
        <v>0</v>
      </c>
      <c r="Q547" t="n">
        <v>0</v>
      </c>
      <c r="R547" s="2" t="inlineStr"/>
    </row>
    <row r="548" ht="15" customHeight="1">
      <c r="A548" t="inlineStr">
        <is>
          <t>A 63658-2023</t>
        </is>
      </c>
      <c r="B548" s="1" t="n">
        <v>45275</v>
      </c>
      <c r="C548" s="1" t="n">
        <v>45986</v>
      </c>
      <c r="D548" t="inlineStr">
        <is>
          <t>ÖSTERGÖTLANDS LÄN</t>
        </is>
      </c>
      <c r="E548" t="inlineStr">
        <is>
          <t>LINKÖPING</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16820-2024</t>
        </is>
      </c>
      <c r="B549" s="1" t="n">
        <v>45411.46809027778</v>
      </c>
      <c r="C549" s="1" t="n">
        <v>45986</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4456-2024</t>
        </is>
      </c>
      <c r="B550" s="1" t="n">
        <v>45327.52847222222</v>
      </c>
      <c r="C550" s="1" t="n">
        <v>45986</v>
      </c>
      <c r="D550" t="inlineStr">
        <is>
          <t>ÖSTERGÖTLANDS LÄN</t>
        </is>
      </c>
      <c r="E550" t="inlineStr">
        <is>
          <t>LINKÖPING</t>
        </is>
      </c>
      <c r="G550" t="n">
        <v>2.7</v>
      </c>
      <c r="H550" t="n">
        <v>0</v>
      </c>
      <c r="I550" t="n">
        <v>0</v>
      </c>
      <c r="J550" t="n">
        <v>0</v>
      </c>
      <c r="K550" t="n">
        <v>0</v>
      </c>
      <c r="L550" t="n">
        <v>0</v>
      </c>
      <c r="M550" t="n">
        <v>0</v>
      </c>
      <c r="N550" t="n">
        <v>0</v>
      </c>
      <c r="O550" t="n">
        <v>0</v>
      </c>
      <c r="P550" t="n">
        <v>0</v>
      </c>
      <c r="Q550" t="n">
        <v>0</v>
      </c>
      <c r="R550" s="2" t="inlineStr"/>
    </row>
    <row r="551" ht="15" customHeight="1">
      <c r="A551" t="inlineStr">
        <is>
          <t>A 20298-2025</t>
        </is>
      </c>
      <c r="B551" s="1" t="n">
        <v>45774.75024305555</v>
      </c>
      <c r="C551" s="1" t="n">
        <v>45986</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15121-2022</t>
        </is>
      </c>
      <c r="B552" s="1" t="n">
        <v>44658</v>
      </c>
      <c r="C552" s="1" t="n">
        <v>45986</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50743-2023</t>
        </is>
      </c>
      <c r="B553" s="1" t="n">
        <v>45217</v>
      </c>
      <c r="C553" s="1" t="n">
        <v>45986</v>
      </c>
      <c r="D553" t="inlineStr">
        <is>
          <t>ÖSTERGÖTLANDS LÄN</t>
        </is>
      </c>
      <c r="E553" t="inlineStr">
        <is>
          <t>LINKÖPING</t>
        </is>
      </c>
      <c r="G553" t="n">
        <v>2.7</v>
      </c>
      <c r="H553" t="n">
        <v>0</v>
      </c>
      <c r="I553" t="n">
        <v>0</v>
      </c>
      <c r="J553" t="n">
        <v>0</v>
      </c>
      <c r="K553" t="n">
        <v>0</v>
      </c>
      <c r="L553" t="n">
        <v>0</v>
      </c>
      <c r="M553" t="n">
        <v>0</v>
      </c>
      <c r="N553" t="n">
        <v>0</v>
      </c>
      <c r="O553" t="n">
        <v>0</v>
      </c>
      <c r="P553" t="n">
        <v>0</v>
      </c>
      <c r="Q553" t="n">
        <v>0</v>
      </c>
      <c r="R553" s="2" t="inlineStr"/>
    </row>
    <row r="554" ht="15" customHeight="1">
      <c r="A554" t="inlineStr">
        <is>
          <t>A 1440-2021</t>
        </is>
      </c>
      <c r="B554" s="1" t="n">
        <v>44208</v>
      </c>
      <c r="C554" s="1" t="n">
        <v>45986</v>
      </c>
      <c r="D554" t="inlineStr">
        <is>
          <t>ÖSTERGÖTLANDS LÄN</t>
        </is>
      </c>
      <c r="E554" t="inlineStr">
        <is>
          <t>LINKÖPING</t>
        </is>
      </c>
      <c r="G554" t="n">
        <v>8.4</v>
      </c>
      <c r="H554" t="n">
        <v>0</v>
      </c>
      <c r="I554" t="n">
        <v>0</v>
      </c>
      <c r="J554" t="n">
        <v>0</v>
      </c>
      <c r="K554" t="n">
        <v>0</v>
      </c>
      <c r="L554" t="n">
        <v>0</v>
      </c>
      <c r="M554" t="n">
        <v>0</v>
      </c>
      <c r="N554" t="n">
        <v>0</v>
      </c>
      <c r="O554" t="n">
        <v>0</v>
      </c>
      <c r="P554" t="n">
        <v>0</v>
      </c>
      <c r="Q554" t="n">
        <v>0</v>
      </c>
      <c r="R554" s="2" t="inlineStr"/>
    </row>
    <row r="555" ht="15" customHeight="1">
      <c r="A555" t="inlineStr">
        <is>
          <t>A 13687-2025</t>
        </is>
      </c>
      <c r="B555" s="1" t="n">
        <v>45737.31425925926</v>
      </c>
      <c r="C555" s="1" t="n">
        <v>45986</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13695-2025</t>
        </is>
      </c>
      <c r="B556" s="1" t="n">
        <v>45737.32219907407</v>
      </c>
      <c r="C556" s="1" t="n">
        <v>45986</v>
      </c>
      <c r="D556" t="inlineStr">
        <is>
          <t>ÖSTERGÖTLANDS LÄN</t>
        </is>
      </c>
      <c r="E556" t="inlineStr">
        <is>
          <t>LINKÖPING</t>
        </is>
      </c>
      <c r="G556" t="n">
        <v>5.3</v>
      </c>
      <c r="H556" t="n">
        <v>0</v>
      </c>
      <c r="I556" t="n">
        <v>0</v>
      </c>
      <c r="J556" t="n">
        <v>0</v>
      </c>
      <c r="K556" t="n">
        <v>0</v>
      </c>
      <c r="L556" t="n">
        <v>0</v>
      </c>
      <c r="M556" t="n">
        <v>0</v>
      </c>
      <c r="N556" t="n">
        <v>0</v>
      </c>
      <c r="O556" t="n">
        <v>0</v>
      </c>
      <c r="P556" t="n">
        <v>0</v>
      </c>
      <c r="Q556" t="n">
        <v>0</v>
      </c>
      <c r="R556" s="2" t="inlineStr"/>
    </row>
    <row r="557" ht="15" customHeight="1">
      <c r="A557" t="inlineStr">
        <is>
          <t>A 20294-2025</t>
        </is>
      </c>
      <c r="B557" s="1" t="n">
        <v>45774.74667824074</v>
      </c>
      <c r="C557" s="1" t="n">
        <v>45986</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17128-2025</t>
        </is>
      </c>
      <c r="B558" s="1" t="n">
        <v>45755.72622685185</v>
      </c>
      <c r="C558" s="1" t="n">
        <v>45986</v>
      </c>
      <c r="D558" t="inlineStr">
        <is>
          <t>ÖSTERGÖTLANDS LÄN</t>
        </is>
      </c>
      <c r="E558" t="inlineStr">
        <is>
          <t>LINKÖPING</t>
        </is>
      </c>
      <c r="G558" t="n">
        <v>2.9</v>
      </c>
      <c r="H558" t="n">
        <v>0</v>
      </c>
      <c r="I558" t="n">
        <v>0</v>
      </c>
      <c r="J558" t="n">
        <v>0</v>
      </c>
      <c r="K558" t="n">
        <v>0</v>
      </c>
      <c r="L558" t="n">
        <v>0</v>
      </c>
      <c r="M558" t="n">
        <v>0</v>
      </c>
      <c r="N558" t="n">
        <v>0</v>
      </c>
      <c r="O558" t="n">
        <v>0</v>
      </c>
      <c r="P558" t="n">
        <v>0</v>
      </c>
      <c r="Q558" t="n">
        <v>0</v>
      </c>
      <c r="R558" s="2" t="inlineStr"/>
    </row>
    <row r="559" ht="15" customHeight="1">
      <c r="A559" t="inlineStr">
        <is>
          <t>A 52125-2022</t>
        </is>
      </c>
      <c r="B559" s="1" t="n">
        <v>44873</v>
      </c>
      <c r="C559" s="1" t="n">
        <v>45986</v>
      </c>
      <c r="D559" t="inlineStr">
        <is>
          <t>ÖSTERGÖTLANDS LÄN</t>
        </is>
      </c>
      <c r="E559" t="inlineStr">
        <is>
          <t>LINKÖPING</t>
        </is>
      </c>
      <c r="F559" t="inlineStr">
        <is>
          <t>Övriga Aktiebolag</t>
        </is>
      </c>
      <c r="G559" t="n">
        <v>0.7</v>
      </c>
      <c r="H559" t="n">
        <v>0</v>
      </c>
      <c r="I559" t="n">
        <v>0</v>
      </c>
      <c r="J559" t="n">
        <v>0</v>
      </c>
      <c r="K559" t="n">
        <v>0</v>
      </c>
      <c r="L559" t="n">
        <v>0</v>
      </c>
      <c r="M559" t="n">
        <v>0</v>
      </c>
      <c r="N559" t="n">
        <v>0</v>
      </c>
      <c r="O559" t="n">
        <v>0</v>
      </c>
      <c r="P559" t="n">
        <v>0</v>
      </c>
      <c r="Q559" t="n">
        <v>0</v>
      </c>
      <c r="R559" s="2" t="inlineStr"/>
    </row>
    <row r="560" ht="15" customHeight="1">
      <c r="A560" t="inlineStr">
        <is>
          <t>A 27343-2023</t>
        </is>
      </c>
      <c r="B560" s="1" t="n">
        <v>45096</v>
      </c>
      <c r="C560" s="1" t="n">
        <v>45986</v>
      </c>
      <c r="D560" t="inlineStr">
        <is>
          <t>ÖSTERGÖTLANDS LÄN</t>
        </is>
      </c>
      <c r="E560" t="inlineStr">
        <is>
          <t>LINKÖPING</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22842-2023</t>
        </is>
      </c>
      <c r="B561" s="1" t="n">
        <v>45071</v>
      </c>
      <c r="C561" s="1" t="n">
        <v>45986</v>
      </c>
      <c r="D561" t="inlineStr">
        <is>
          <t>ÖSTERGÖTLANDS LÄN</t>
        </is>
      </c>
      <c r="E561" t="inlineStr">
        <is>
          <t>LINKÖPING</t>
        </is>
      </c>
      <c r="F561" t="inlineStr">
        <is>
          <t>Kommuner</t>
        </is>
      </c>
      <c r="G561" t="n">
        <v>1.3</v>
      </c>
      <c r="H561" t="n">
        <v>0</v>
      </c>
      <c r="I561" t="n">
        <v>0</v>
      </c>
      <c r="J561" t="n">
        <v>0</v>
      </c>
      <c r="K561" t="n">
        <v>0</v>
      </c>
      <c r="L561" t="n">
        <v>0</v>
      </c>
      <c r="M561" t="n">
        <v>0</v>
      </c>
      <c r="N561" t="n">
        <v>0</v>
      </c>
      <c r="O561" t="n">
        <v>0</v>
      </c>
      <c r="P561" t="n">
        <v>0</v>
      </c>
      <c r="Q561" t="n">
        <v>0</v>
      </c>
      <c r="R561" s="2" t="inlineStr"/>
    </row>
    <row r="562" ht="15" customHeight="1">
      <c r="A562" t="inlineStr">
        <is>
          <t>A 14520-2025</t>
        </is>
      </c>
      <c r="B562" s="1" t="n">
        <v>45741</v>
      </c>
      <c r="C562" s="1" t="n">
        <v>45986</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31548-2022</t>
        </is>
      </c>
      <c r="B563" s="1" t="n">
        <v>44775.39832175926</v>
      </c>
      <c r="C563" s="1" t="n">
        <v>45986</v>
      </c>
      <c r="D563" t="inlineStr">
        <is>
          <t>ÖSTERGÖTLANDS LÄN</t>
        </is>
      </c>
      <c r="E563" t="inlineStr">
        <is>
          <t>LINKÖPING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62017-2024</t>
        </is>
      </c>
      <c r="B564" s="1" t="n">
        <v>45655.81140046296</v>
      </c>
      <c r="C564" s="1" t="n">
        <v>45986</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17785-2023</t>
        </is>
      </c>
      <c r="B565" s="1" t="n">
        <v>45037.55094907407</v>
      </c>
      <c r="C565" s="1" t="n">
        <v>45986</v>
      </c>
      <c r="D565" t="inlineStr">
        <is>
          <t>ÖSTERGÖTLANDS LÄN</t>
        </is>
      </c>
      <c r="E565" t="inlineStr">
        <is>
          <t>LINKÖPING</t>
        </is>
      </c>
      <c r="F565" t="inlineStr">
        <is>
          <t>Allmännings- och besparingsskogar</t>
        </is>
      </c>
      <c r="G565" t="n">
        <v>3.1</v>
      </c>
      <c r="H565" t="n">
        <v>0</v>
      </c>
      <c r="I565" t="n">
        <v>0</v>
      </c>
      <c r="J565" t="n">
        <v>0</v>
      </c>
      <c r="K565" t="n">
        <v>0</v>
      </c>
      <c r="L565" t="n">
        <v>0</v>
      </c>
      <c r="M565" t="n">
        <v>0</v>
      </c>
      <c r="N565" t="n">
        <v>0</v>
      </c>
      <c r="O565" t="n">
        <v>0</v>
      </c>
      <c r="P565" t="n">
        <v>0</v>
      </c>
      <c r="Q565" t="n">
        <v>0</v>
      </c>
      <c r="R565" s="2" t="inlineStr"/>
    </row>
    <row r="566" ht="15" customHeight="1">
      <c r="A566" t="inlineStr">
        <is>
          <t>A 62686-2023</t>
        </is>
      </c>
      <c r="B566" s="1" t="n">
        <v>45271</v>
      </c>
      <c r="C566" s="1" t="n">
        <v>45986</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42044-2023</t>
        </is>
      </c>
      <c r="B567" s="1" t="n">
        <v>45177</v>
      </c>
      <c r="C567" s="1" t="n">
        <v>45986</v>
      </c>
      <c r="D567" t="inlineStr">
        <is>
          <t>ÖSTERGÖTLANDS LÄN</t>
        </is>
      </c>
      <c r="E567" t="inlineStr">
        <is>
          <t>LINKÖPING</t>
        </is>
      </c>
      <c r="G567" t="n">
        <v>3.9</v>
      </c>
      <c r="H567" t="n">
        <v>0</v>
      </c>
      <c r="I567" t="n">
        <v>0</v>
      </c>
      <c r="J567" t="n">
        <v>0</v>
      </c>
      <c r="K567" t="n">
        <v>0</v>
      </c>
      <c r="L567" t="n">
        <v>0</v>
      </c>
      <c r="M567" t="n">
        <v>0</v>
      </c>
      <c r="N567" t="n">
        <v>0</v>
      </c>
      <c r="O567" t="n">
        <v>0</v>
      </c>
      <c r="P567" t="n">
        <v>0</v>
      </c>
      <c r="Q567" t="n">
        <v>0</v>
      </c>
      <c r="R567" s="2" t="inlineStr"/>
    </row>
    <row r="568" ht="15" customHeight="1">
      <c r="A568" t="inlineStr">
        <is>
          <t>A 5314-2021</t>
        </is>
      </c>
      <c r="B568" s="1" t="n">
        <v>44229</v>
      </c>
      <c r="C568" s="1" t="n">
        <v>45986</v>
      </c>
      <c r="D568" t="inlineStr">
        <is>
          <t>ÖSTERGÖTLANDS LÄN</t>
        </is>
      </c>
      <c r="E568" t="inlineStr">
        <is>
          <t>LINKÖPING</t>
        </is>
      </c>
      <c r="G568" t="n">
        <v>6.2</v>
      </c>
      <c r="H568" t="n">
        <v>0</v>
      </c>
      <c r="I568" t="n">
        <v>0</v>
      </c>
      <c r="J568" t="n">
        <v>0</v>
      </c>
      <c r="K568" t="n">
        <v>0</v>
      </c>
      <c r="L568" t="n">
        <v>0</v>
      </c>
      <c r="M568" t="n">
        <v>0</v>
      </c>
      <c r="N568" t="n">
        <v>0</v>
      </c>
      <c r="O568" t="n">
        <v>0</v>
      </c>
      <c r="P568" t="n">
        <v>0</v>
      </c>
      <c r="Q568" t="n">
        <v>0</v>
      </c>
      <c r="R568" s="2" t="inlineStr"/>
    </row>
    <row r="569" ht="15" customHeight="1">
      <c r="A569" t="inlineStr">
        <is>
          <t>A 49656-2021</t>
        </is>
      </c>
      <c r="B569" s="1" t="n">
        <v>44454</v>
      </c>
      <c r="C569" s="1" t="n">
        <v>45986</v>
      </c>
      <c r="D569" t="inlineStr">
        <is>
          <t>ÖSTERGÖTLANDS LÄN</t>
        </is>
      </c>
      <c r="E569" t="inlineStr">
        <is>
          <t>LINKÖPING</t>
        </is>
      </c>
      <c r="G569" t="n">
        <v>2.3</v>
      </c>
      <c r="H569" t="n">
        <v>0</v>
      </c>
      <c r="I569" t="n">
        <v>0</v>
      </c>
      <c r="J569" t="n">
        <v>0</v>
      </c>
      <c r="K569" t="n">
        <v>0</v>
      </c>
      <c r="L569" t="n">
        <v>0</v>
      </c>
      <c r="M569" t="n">
        <v>0</v>
      </c>
      <c r="N569" t="n">
        <v>0</v>
      </c>
      <c r="O569" t="n">
        <v>0</v>
      </c>
      <c r="P569" t="n">
        <v>0</v>
      </c>
      <c r="Q569" t="n">
        <v>0</v>
      </c>
      <c r="R569" s="2" t="inlineStr"/>
    </row>
    <row r="570" ht="15" customHeight="1">
      <c r="A570" t="inlineStr">
        <is>
          <t>A 38230-2023</t>
        </is>
      </c>
      <c r="B570" s="1" t="n">
        <v>45161.55373842592</v>
      </c>
      <c r="C570" s="1" t="n">
        <v>45986</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45442-2024</t>
        </is>
      </c>
      <c r="B571" s="1" t="n">
        <v>45576.64189814815</v>
      </c>
      <c r="C571" s="1" t="n">
        <v>45986</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4908-2023</t>
        </is>
      </c>
      <c r="B572" s="1" t="n">
        <v>44958</v>
      </c>
      <c r="C572" s="1" t="n">
        <v>45986</v>
      </c>
      <c r="D572" t="inlineStr">
        <is>
          <t>ÖSTERGÖTLANDS LÄN</t>
        </is>
      </c>
      <c r="E572" t="inlineStr">
        <is>
          <t>LINKÖPING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1265-2023</t>
        </is>
      </c>
      <c r="B573" s="1" t="n">
        <v>44936</v>
      </c>
      <c r="C573" s="1" t="n">
        <v>45986</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12411-2022</t>
        </is>
      </c>
      <c r="B574" s="1" t="n">
        <v>44638.21601851852</v>
      </c>
      <c r="C574" s="1" t="n">
        <v>45986</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23491-2024</t>
        </is>
      </c>
      <c r="B575" s="1" t="n">
        <v>45453</v>
      </c>
      <c r="C575" s="1" t="n">
        <v>45986</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70-2024</t>
        </is>
      </c>
      <c r="B576" s="1" t="n">
        <v>45293</v>
      </c>
      <c r="C576" s="1" t="n">
        <v>45986</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6054-2022</t>
        </is>
      </c>
      <c r="B577" s="1" t="n">
        <v>44599.53623842593</v>
      </c>
      <c r="C577" s="1" t="n">
        <v>45986</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31725-2022</t>
        </is>
      </c>
      <c r="B578" s="1" t="n">
        <v>44776.48541666667</v>
      </c>
      <c r="C578" s="1" t="n">
        <v>45986</v>
      </c>
      <c r="D578" t="inlineStr">
        <is>
          <t>ÖSTERGÖTLANDS LÄN</t>
        </is>
      </c>
      <c r="E578" t="inlineStr">
        <is>
          <t>LINKÖPING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57391-2023</t>
        </is>
      </c>
      <c r="B579" s="1" t="n">
        <v>45245</v>
      </c>
      <c r="C579" s="1" t="n">
        <v>45986</v>
      </c>
      <c r="D579" t="inlineStr">
        <is>
          <t>ÖSTERGÖTLANDS LÄN</t>
        </is>
      </c>
      <c r="E579" t="inlineStr">
        <is>
          <t>LINKÖPING</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7992-2023</t>
        </is>
      </c>
      <c r="B580" s="1" t="n">
        <v>44970</v>
      </c>
      <c r="C580" s="1" t="n">
        <v>45986</v>
      </c>
      <c r="D580" t="inlineStr">
        <is>
          <t>ÖSTERGÖTLANDS LÄN</t>
        </is>
      </c>
      <c r="E580" t="inlineStr">
        <is>
          <t>LINKÖPING</t>
        </is>
      </c>
      <c r="F580" t="inlineStr">
        <is>
          <t>Kommuner</t>
        </is>
      </c>
      <c r="G580" t="n">
        <v>1</v>
      </c>
      <c r="H580" t="n">
        <v>0</v>
      </c>
      <c r="I580" t="n">
        <v>0</v>
      </c>
      <c r="J580" t="n">
        <v>0</v>
      </c>
      <c r="K580" t="n">
        <v>0</v>
      </c>
      <c r="L580" t="n">
        <v>0</v>
      </c>
      <c r="M580" t="n">
        <v>0</v>
      </c>
      <c r="N580" t="n">
        <v>0</v>
      </c>
      <c r="O580" t="n">
        <v>0</v>
      </c>
      <c r="P580" t="n">
        <v>0</v>
      </c>
      <c r="Q580" t="n">
        <v>0</v>
      </c>
      <c r="R580" s="2" t="inlineStr"/>
    </row>
    <row r="581" ht="15" customHeight="1">
      <c r="A581" t="inlineStr">
        <is>
          <t>A 13689-2025</t>
        </is>
      </c>
      <c r="B581" s="1" t="n">
        <v>45737.31590277778</v>
      </c>
      <c r="C581" s="1" t="n">
        <v>45986</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13696-2025</t>
        </is>
      </c>
      <c r="B582" s="1" t="n">
        <v>45737.32273148148</v>
      </c>
      <c r="C582" s="1" t="n">
        <v>45986</v>
      </c>
      <c r="D582" t="inlineStr">
        <is>
          <t>ÖSTERGÖTLANDS LÄN</t>
        </is>
      </c>
      <c r="E582" t="inlineStr">
        <is>
          <t>LINKÖPING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1924-2024</t>
        </is>
      </c>
      <c r="B583" s="1" t="n">
        <v>45308</v>
      </c>
      <c r="C583" s="1" t="n">
        <v>45986</v>
      </c>
      <c r="D583" t="inlineStr">
        <is>
          <t>ÖSTERGÖTLANDS LÄN</t>
        </is>
      </c>
      <c r="E583" t="inlineStr">
        <is>
          <t>LINKÖPING</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32346-2023</t>
        </is>
      </c>
      <c r="B584" s="1" t="n">
        <v>45120</v>
      </c>
      <c r="C584" s="1" t="n">
        <v>45986</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50508-2024</t>
        </is>
      </c>
      <c r="B585" s="1" t="n">
        <v>45601.53907407408</v>
      </c>
      <c r="C585" s="1" t="n">
        <v>45986</v>
      </c>
      <c r="D585" t="inlineStr">
        <is>
          <t>ÖSTERGÖTLANDS LÄN</t>
        </is>
      </c>
      <c r="E585" t="inlineStr">
        <is>
          <t>LINKÖPING</t>
        </is>
      </c>
      <c r="F585" t="inlineStr">
        <is>
          <t>Övriga Aktiebolag</t>
        </is>
      </c>
      <c r="G585" t="n">
        <v>2</v>
      </c>
      <c r="H585" t="n">
        <v>0</v>
      </c>
      <c r="I585" t="n">
        <v>0</v>
      </c>
      <c r="J585" t="n">
        <v>0</v>
      </c>
      <c r="K585" t="n">
        <v>0</v>
      </c>
      <c r="L585" t="n">
        <v>0</v>
      </c>
      <c r="M585" t="n">
        <v>0</v>
      </c>
      <c r="N585" t="n">
        <v>0</v>
      </c>
      <c r="O585" t="n">
        <v>0</v>
      </c>
      <c r="P585" t="n">
        <v>0</v>
      </c>
      <c r="Q585" t="n">
        <v>0</v>
      </c>
      <c r="R585" s="2" t="inlineStr"/>
    </row>
    <row r="586" ht="15" customHeight="1">
      <c r="A586" t="inlineStr">
        <is>
          <t>A 7808-2022</t>
        </is>
      </c>
      <c r="B586" s="1" t="n">
        <v>44608</v>
      </c>
      <c r="C586" s="1" t="n">
        <v>45986</v>
      </c>
      <c r="D586" t="inlineStr">
        <is>
          <t>ÖSTERGÖTLANDS LÄN</t>
        </is>
      </c>
      <c r="E586" t="inlineStr">
        <is>
          <t>LINKÖPING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27844-2024</t>
        </is>
      </c>
      <c r="B587" s="1" t="n">
        <v>45475.63047453704</v>
      </c>
      <c r="C587" s="1" t="n">
        <v>45986</v>
      </c>
      <c r="D587" t="inlineStr">
        <is>
          <t>ÖSTERGÖTLANDS LÄN</t>
        </is>
      </c>
      <c r="E587" t="inlineStr">
        <is>
          <t>LINKÖPING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40810-2022</t>
        </is>
      </c>
      <c r="B588" s="1" t="n">
        <v>44824</v>
      </c>
      <c r="C588" s="1" t="n">
        <v>45986</v>
      </c>
      <c r="D588" t="inlineStr">
        <is>
          <t>ÖSTERGÖTLANDS LÄN</t>
        </is>
      </c>
      <c r="E588" t="inlineStr">
        <is>
          <t>LINKÖPING</t>
        </is>
      </c>
      <c r="G588" t="n">
        <v>2.8</v>
      </c>
      <c r="H588" t="n">
        <v>0</v>
      </c>
      <c r="I588" t="n">
        <v>0</v>
      </c>
      <c r="J588" t="n">
        <v>0</v>
      </c>
      <c r="K588" t="n">
        <v>0</v>
      </c>
      <c r="L588" t="n">
        <v>0</v>
      </c>
      <c r="M588" t="n">
        <v>0</v>
      </c>
      <c r="N588" t="n">
        <v>0</v>
      </c>
      <c r="O588" t="n">
        <v>0</v>
      </c>
      <c r="P588" t="n">
        <v>0</v>
      </c>
      <c r="Q588" t="n">
        <v>0</v>
      </c>
      <c r="R588" s="2" t="inlineStr"/>
    </row>
    <row r="589" ht="15" customHeight="1">
      <c r="A589" t="inlineStr">
        <is>
          <t>A 51559-2024</t>
        </is>
      </c>
      <c r="B589" s="1" t="n">
        <v>45604.61431712963</v>
      </c>
      <c r="C589" s="1" t="n">
        <v>45986</v>
      </c>
      <c r="D589" t="inlineStr">
        <is>
          <t>ÖSTERGÖTLANDS LÄN</t>
        </is>
      </c>
      <c r="E589" t="inlineStr">
        <is>
          <t>LINKÖPING</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49979-2022</t>
        </is>
      </c>
      <c r="B590" s="1" t="n">
        <v>44865</v>
      </c>
      <c r="C590" s="1" t="n">
        <v>45986</v>
      </c>
      <c r="D590" t="inlineStr">
        <is>
          <t>ÖSTERGÖTLANDS LÄN</t>
        </is>
      </c>
      <c r="E590" t="inlineStr">
        <is>
          <t>LINKÖPING</t>
        </is>
      </c>
      <c r="F590" t="inlineStr">
        <is>
          <t>Övriga Aktiebolag</t>
        </is>
      </c>
      <c r="G590" t="n">
        <v>11.4</v>
      </c>
      <c r="H590" t="n">
        <v>0</v>
      </c>
      <c r="I590" t="n">
        <v>0</v>
      </c>
      <c r="J590" t="n">
        <v>0</v>
      </c>
      <c r="K590" t="n">
        <v>0</v>
      </c>
      <c r="L590" t="n">
        <v>0</v>
      </c>
      <c r="M590" t="n">
        <v>0</v>
      </c>
      <c r="N590" t="n">
        <v>0</v>
      </c>
      <c r="O590" t="n">
        <v>0</v>
      </c>
      <c r="P590" t="n">
        <v>0</v>
      </c>
      <c r="Q590" t="n">
        <v>0</v>
      </c>
      <c r="R590" s="2" t="inlineStr"/>
    </row>
    <row r="591" ht="15" customHeight="1">
      <c r="A591" t="inlineStr">
        <is>
          <t>A 39219-2021</t>
        </is>
      </c>
      <c r="B591" s="1" t="n">
        <v>44413</v>
      </c>
      <c r="C591" s="1" t="n">
        <v>45986</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39224-2021</t>
        </is>
      </c>
      <c r="B592" s="1" t="n">
        <v>44413</v>
      </c>
      <c r="C592" s="1" t="n">
        <v>45986</v>
      </c>
      <c r="D592" t="inlineStr">
        <is>
          <t>ÖSTERGÖTLANDS LÄN</t>
        </is>
      </c>
      <c r="E592" t="inlineStr">
        <is>
          <t>LINKÖPING</t>
        </is>
      </c>
      <c r="G592" t="n">
        <v>2.1</v>
      </c>
      <c r="H592" t="n">
        <v>0</v>
      </c>
      <c r="I592" t="n">
        <v>0</v>
      </c>
      <c r="J592" t="n">
        <v>0</v>
      </c>
      <c r="K592" t="n">
        <v>0</v>
      </c>
      <c r="L592" t="n">
        <v>0</v>
      </c>
      <c r="M592" t="n">
        <v>0</v>
      </c>
      <c r="N592" t="n">
        <v>0</v>
      </c>
      <c r="O592" t="n">
        <v>0</v>
      </c>
      <c r="P592" t="n">
        <v>0</v>
      </c>
      <c r="Q592" t="n">
        <v>0</v>
      </c>
      <c r="R592" s="2" t="inlineStr"/>
    </row>
    <row r="593" ht="15" customHeight="1">
      <c r="A593" t="inlineStr">
        <is>
          <t>A 62495-2023</t>
        </is>
      </c>
      <c r="B593" s="1" t="n">
        <v>45268.59717592593</v>
      </c>
      <c r="C593" s="1" t="n">
        <v>45986</v>
      </c>
      <c r="D593" t="inlineStr">
        <is>
          <t>ÖSTERGÖTLANDS LÄN</t>
        </is>
      </c>
      <c r="E593" t="inlineStr">
        <is>
          <t>LINKÖPING</t>
        </is>
      </c>
      <c r="G593" t="n">
        <v>4.1</v>
      </c>
      <c r="H593" t="n">
        <v>0</v>
      </c>
      <c r="I593" t="n">
        <v>0</v>
      </c>
      <c r="J593" t="n">
        <v>0</v>
      </c>
      <c r="K593" t="n">
        <v>0</v>
      </c>
      <c r="L593" t="n">
        <v>0</v>
      </c>
      <c r="M593" t="n">
        <v>0</v>
      </c>
      <c r="N593" t="n">
        <v>0</v>
      </c>
      <c r="O593" t="n">
        <v>0</v>
      </c>
      <c r="P593" t="n">
        <v>0</v>
      </c>
      <c r="Q593" t="n">
        <v>0</v>
      </c>
      <c r="R593" s="2" t="inlineStr"/>
    </row>
    <row r="594" ht="15" customHeight="1">
      <c r="A594" t="inlineStr">
        <is>
          <t>A 29413-2023</t>
        </is>
      </c>
      <c r="B594" s="1" t="n">
        <v>45106.46465277778</v>
      </c>
      <c r="C594" s="1" t="n">
        <v>45986</v>
      </c>
      <c r="D594" t="inlineStr">
        <is>
          <t>ÖSTERGÖTLANDS LÄN</t>
        </is>
      </c>
      <c r="E594" t="inlineStr">
        <is>
          <t>LINKÖPING</t>
        </is>
      </c>
      <c r="G594" t="n">
        <v>8</v>
      </c>
      <c r="H594" t="n">
        <v>0</v>
      </c>
      <c r="I594" t="n">
        <v>0</v>
      </c>
      <c r="J594" t="n">
        <v>0</v>
      </c>
      <c r="K594" t="n">
        <v>0</v>
      </c>
      <c r="L594" t="n">
        <v>0</v>
      </c>
      <c r="M594" t="n">
        <v>0</v>
      </c>
      <c r="N594" t="n">
        <v>0</v>
      </c>
      <c r="O594" t="n">
        <v>0</v>
      </c>
      <c r="P594" t="n">
        <v>0</v>
      </c>
      <c r="Q594" t="n">
        <v>0</v>
      </c>
      <c r="R594" s="2" t="inlineStr"/>
    </row>
    <row r="595" ht="15" customHeight="1">
      <c r="A595" t="inlineStr">
        <is>
          <t>A 25948-2023</t>
        </is>
      </c>
      <c r="B595" s="1" t="n">
        <v>45090</v>
      </c>
      <c r="C595" s="1" t="n">
        <v>45986</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1627-2023</t>
        </is>
      </c>
      <c r="B596" s="1" t="n">
        <v>44937</v>
      </c>
      <c r="C596" s="1" t="n">
        <v>45986</v>
      </c>
      <c r="D596" t="inlineStr">
        <is>
          <t>ÖSTERGÖTLANDS LÄN</t>
        </is>
      </c>
      <c r="E596" t="inlineStr">
        <is>
          <t>LINKÖPING</t>
        </is>
      </c>
      <c r="G596" t="n">
        <v>10.8</v>
      </c>
      <c r="H596" t="n">
        <v>0</v>
      </c>
      <c r="I596" t="n">
        <v>0</v>
      </c>
      <c r="J596" t="n">
        <v>0</v>
      </c>
      <c r="K596" t="n">
        <v>0</v>
      </c>
      <c r="L596" t="n">
        <v>0</v>
      </c>
      <c r="M596" t="n">
        <v>0</v>
      </c>
      <c r="N596" t="n">
        <v>0</v>
      </c>
      <c r="O596" t="n">
        <v>0</v>
      </c>
      <c r="P596" t="n">
        <v>0</v>
      </c>
      <c r="Q596" t="n">
        <v>0</v>
      </c>
      <c r="R596" s="2" t="inlineStr"/>
    </row>
    <row r="597" ht="15" customHeight="1">
      <c r="A597" t="inlineStr">
        <is>
          <t>A 30481-2023</t>
        </is>
      </c>
      <c r="B597" s="1" t="n">
        <v>45111</v>
      </c>
      <c r="C597" s="1" t="n">
        <v>45986</v>
      </c>
      <c r="D597" t="inlineStr">
        <is>
          <t>ÖSTERGÖTLANDS LÄN</t>
        </is>
      </c>
      <c r="E597" t="inlineStr">
        <is>
          <t>LINKÖPING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21782-2024</t>
        </is>
      </c>
      <c r="B598" s="1" t="n">
        <v>45442.63368055555</v>
      </c>
      <c r="C598" s="1" t="n">
        <v>45986</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11671-2023</t>
        </is>
      </c>
      <c r="B599" s="1" t="n">
        <v>44994.48125</v>
      </c>
      <c r="C599" s="1" t="n">
        <v>45986</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3013-2023</t>
        </is>
      </c>
      <c r="B600" s="1" t="n">
        <v>44945.8092824074</v>
      </c>
      <c r="C600" s="1" t="n">
        <v>45986</v>
      </c>
      <c r="D600" t="inlineStr">
        <is>
          <t>ÖSTERGÖTLANDS LÄN</t>
        </is>
      </c>
      <c r="E600" t="inlineStr">
        <is>
          <t>LINKÖPING</t>
        </is>
      </c>
      <c r="G600" t="n">
        <v>5.2</v>
      </c>
      <c r="H600" t="n">
        <v>0</v>
      </c>
      <c r="I600" t="n">
        <v>0</v>
      </c>
      <c r="J600" t="n">
        <v>0</v>
      </c>
      <c r="K600" t="n">
        <v>0</v>
      </c>
      <c r="L600" t="n">
        <v>0</v>
      </c>
      <c r="M600" t="n">
        <v>0</v>
      </c>
      <c r="N600" t="n">
        <v>0</v>
      </c>
      <c r="O600" t="n">
        <v>0</v>
      </c>
      <c r="P600" t="n">
        <v>0</v>
      </c>
      <c r="Q600" t="n">
        <v>0</v>
      </c>
      <c r="R600" s="2" t="inlineStr"/>
    </row>
    <row r="601" ht="15" customHeight="1">
      <c r="A601" t="inlineStr">
        <is>
          <t>A 49747-2024</t>
        </is>
      </c>
      <c r="B601" s="1" t="n">
        <v>45596</v>
      </c>
      <c r="C601" s="1" t="n">
        <v>45986</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42997-2021</t>
        </is>
      </c>
      <c r="B602" s="1" t="n">
        <v>44431.45556712963</v>
      </c>
      <c r="C602" s="1" t="n">
        <v>45986</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3011-2023</t>
        </is>
      </c>
      <c r="B603" s="1" t="n">
        <v>44945</v>
      </c>
      <c r="C603" s="1" t="n">
        <v>45986</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23735-2023</t>
        </is>
      </c>
      <c r="B604" s="1" t="n">
        <v>45077</v>
      </c>
      <c r="C604" s="1" t="n">
        <v>45986</v>
      </c>
      <c r="D604" t="inlineStr">
        <is>
          <t>ÖSTERGÖTLANDS LÄN</t>
        </is>
      </c>
      <c r="E604" t="inlineStr">
        <is>
          <t>LINKÖPING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45821-2024</t>
        </is>
      </c>
      <c r="B605" s="1" t="n">
        <v>45579.75803240741</v>
      </c>
      <c r="C605" s="1" t="n">
        <v>45986</v>
      </c>
      <c r="D605" t="inlineStr">
        <is>
          <t>ÖSTERGÖTLANDS LÄN</t>
        </is>
      </c>
      <c r="E605" t="inlineStr">
        <is>
          <t>LINKÖPING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53647-2021</t>
        </is>
      </c>
      <c r="B606" s="1" t="n">
        <v>44469</v>
      </c>
      <c r="C606" s="1" t="n">
        <v>45986</v>
      </c>
      <c r="D606" t="inlineStr">
        <is>
          <t>ÖSTERGÖTLANDS LÄN</t>
        </is>
      </c>
      <c r="E606" t="inlineStr">
        <is>
          <t>LINKÖPING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6599-2023</t>
        </is>
      </c>
      <c r="B607" s="1" t="n">
        <v>44966.52603009259</v>
      </c>
      <c r="C607" s="1" t="n">
        <v>45986</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35735-2023</t>
        </is>
      </c>
      <c r="B608" s="1" t="n">
        <v>45147</v>
      </c>
      <c r="C608" s="1" t="n">
        <v>45986</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45831-2024</t>
        </is>
      </c>
      <c r="B609" s="1" t="n">
        <v>45579.90508101852</v>
      </c>
      <c r="C609" s="1" t="n">
        <v>45986</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17157-2024</t>
        </is>
      </c>
      <c r="B610" s="1" t="n">
        <v>45412.70567129629</v>
      </c>
      <c r="C610" s="1" t="n">
        <v>45986</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37154-2023</t>
        </is>
      </c>
      <c r="B611" s="1" t="n">
        <v>45155</v>
      </c>
      <c r="C611" s="1" t="n">
        <v>45986</v>
      </c>
      <c r="D611" t="inlineStr">
        <is>
          <t>ÖSTERGÖTLANDS LÄN</t>
        </is>
      </c>
      <c r="E611" t="inlineStr">
        <is>
          <t>LINKÖPING</t>
        </is>
      </c>
      <c r="G611" t="n">
        <v>1.7</v>
      </c>
      <c r="H611" t="n">
        <v>0</v>
      </c>
      <c r="I611" t="n">
        <v>0</v>
      </c>
      <c r="J611" t="n">
        <v>0</v>
      </c>
      <c r="K611" t="n">
        <v>0</v>
      </c>
      <c r="L611" t="n">
        <v>0</v>
      </c>
      <c r="M611" t="n">
        <v>0</v>
      </c>
      <c r="N611" t="n">
        <v>0</v>
      </c>
      <c r="O611" t="n">
        <v>0</v>
      </c>
      <c r="P611" t="n">
        <v>0</v>
      </c>
      <c r="Q611" t="n">
        <v>0</v>
      </c>
      <c r="R611" s="2" t="inlineStr"/>
    </row>
    <row r="612" ht="15" customHeight="1">
      <c r="A612" t="inlineStr">
        <is>
          <t>A 53812-2023</t>
        </is>
      </c>
      <c r="B612" s="1" t="n">
        <v>45231.39583333334</v>
      </c>
      <c r="C612" s="1" t="n">
        <v>45986</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53830-2023</t>
        </is>
      </c>
      <c r="B613" s="1" t="n">
        <v>45230</v>
      </c>
      <c r="C613" s="1" t="n">
        <v>45986</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56841-2023</t>
        </is>
      </c>
      <c r="B614" s="1" t="n">
        <v>45244</v>
      </c>
      <c r="C614" s="1" t="n">
        <v>45986</v>
      </c>
      <c r="D614" t="inlineStr">
        <is>
          <t>ÖSTERGÖTLANDS LÄN</t>
        </is>
      </c>
      <c r="E614" t="inlineStr">
        <is>
          <t>LINKÖPING</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56741-2023</t>
        </is>
      </c>
      <c r="B615" s="1" t="n">
        <v>45244</v>
      </c>
      <c r="C615" s="1" t="n">
        <v>45986</v>
      </c>
      <c r="D615" t="inlineStr">
        <is>
          <t>ÖSTERGÖTLANDS LÄN</t>
        </is>
      </c>
      <c r="E615" t="inlineStr">
        <is>
          <t>LINKÖPING</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53816-2023</t>
        </is>
      </c>
      <c r="B616" s="1" t="n">
        <v>45231.40012731482</v>
      </c>
      <c r="C616" s="1" t="n">
        <v>45986</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63935-2021</t>
        </is>
      </c>
      <c r="B617" s="1" t="n">
        <v>44509</v>
      </c>
      <c r="C617" s="1" t="n">
        <v>45986</v>
      </c>
      <c r="D617" t="inlineStr">
        <is>
          <t>ÖSTERGÖTLANDS LÄN</t>
        </is>
      </c>
      <c r="E617" t="inlineStr">
        <is>
          <t>LINKÖPING</t>
        </is>
      </c>
      <c r="F617" t="inlineStr">
        <is>
          <t>Övriga statliga verk och myndigheter</t>
        </is>
      </c>
      <c r="G617" t="n">
        <v>2.8</v>
      </c>
      <c r="H617" t="n">
        <v>0</v>
      </c>
      <c r="I617" t="n">
        <v>0</v>
      </c>
      <c r="J617" t="n">
        <v>0</v>
      </c>
      <c r="K617" t="n">
        <v>0</v>
      </c>
      <c r="L617" t="n">
        <v>0</v>
      </c>
      <c r="M617" t="n">
        <v>0</v>
      </c>
      <c r="N617" t="n">
        <v>0</v>
      </c>
      <c r="O617" t="n">
        <v>0</v>
      </c>
      <c r="P617" t="n">
        <v>0</v>
      </c>
      <c r="Q617" t="n">
        <v>0</v>
      </c>
      <c r="R617" s="2" t="inlineStr"/>
    </row>
    <row r="618" ht="15" customHeight="1">
      <c r="A618" t="inlineStr">
        <is>
          <t>A 6726-2024</t>
        </is>
      </c>
      <c r="B618" s="1" t="n">
        <v>45341</v>
      </c>
      <c r="C618" s="1" t="n">
        <v>45986</v>
      </c>
      <c r="D618" t="inlineStr">
        <is>
          <t>ÖSTERGÖTLANDS LÄN</t>
        </is>
      </c>
      <c r="E618" t="inlineStr">
        <is>
          <t>LINKÖPING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3007-2023</t>
        </is>
      </c>
      <c r="B619" s="1" t="n">
        <v>44945</v>
      </c>
      <c r="C619" s="1" t="n">
        <v>45986</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18145-2021</t>
        </is>
      </c>
      <c r="B620" s="1" t="n">
        <v>44302</v>
      </c>
      <c r="C620" s="1" t="n">
        <v>45986</v>
      </c>
      <c r="D620" t="inlineStr">
        <is>
          <t>ÖSTERGÖTLANDS LÄN</t>
        </is>
      </c>
      <c r="E620" t="inlineStr">
        <is>
          <t>LINKÖPING</t>
        </is>
      </c>
      <c r="G620" t="n">
        <v>2.4</v>
      </c>
      <c r="H620" t="n">
        <v>0</v>
      </c>
      <c r="I620" t="n">
        <v>0</v>
      </c>
      <c r="J620" t="n">
        <v>0</v>
      </c>
      <c r="K620" t="n">
        <v>0</v>
      </c>
      <c r="L620" t="n">
        <v>0</v>
      </c>
      <c r="M620" t="n">
        <v>0</v>
      </c>
      <c r="N620" t="n">
        <v>0</v>
      </c>
      <c r="O620" t="n">
        <v>0</v>
      </c>
      <c r="P620" t="n">
        <v>0</v>
      </c>
      <c r="Q620" t="n">
        <v>0</v>
      </c>
      <c r="R620" s="2" t="inlineStr"/>
    </row>
    <row r="621" ht="15" customHeight="1">
      <c r="A621" t="inlineStr">
        <is>
          <t>A 29309-2024</t>
        </is>
      </c>
      <c r="B621" s="1" t="n">
        <v>45483</v>
      </c>
      <c r="C621" s="1" t="n">
        <v>45986</v>
      </c>
      <c r="D621" t="inlineStr">
        <is>
          <t>ÖSTERGÖTLANDS LÄN</t>
        </is>
      </c>
      <c r="E621" t="inlineStr">
        <is>
          <t>LINKÖPING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53411-2023</t>
        </is>
      </c>
      <c r="B622" s="1" t="n">
        <v>45229.81049768518</v>
      </c>
      <c r="C622" s="1" t="n">
        <v>45986</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26788-2022</t>
        </is>
      </c>
      <c r="B623" s="1" t="n">
        <v>44740</v>
      </c>
      <c r="C623" s="1" t="n">
        <v>45986</v>
      </c>
      <c r="D623" t="inlineStr">
        <is>
          <t>ÖSTERGÖTLANDS LÄN</t>
        </is>
      </c>
      <c r="E623" t="inlineStr">
        <is>
          <t>LINKÖPING</t>
        </is>
      </c>
      <c r="G623" t="n">
        <v>3.2</v>
      </c>
      <c r="H623" t="n">
        <v>0</v>
      </c>
      <c r="I623" t="n">
        <v>0</v>
      </c>
      <c r="J623" t="n">
        <v>0</v>
      </c>
      <c r="K623" t="n">
        <v>0</v>
      </c>
      <c r="L623" t="n">
        <v>0</v>
      </c>
      <c r="M623" t="n">
        <v>0</v>
      </c>
      <c r="N623" t="n">
        <v>0</v>
      </c>
      <c r="O623" t="n">
        <v>0</v>
      </c>
      <c r="P623" t="n">
        <v>0</v>
      </c>
      <c r="Q623" t="n">
        <v>0</v>
      </c>
      <c r="R623" s="2" t="inlineStr"/>
    </row>
    <row r="624" ht="15" customHeight="1">
      <c r="A624" t="inlineStr">
        <is>
          <t>A 24462-2023</t>
        </is>
      </c>
      <c r="B624" s="1" t="n">
        <v>45082</v>
      </c>
      <c r="C624" s="1" t="n">
        <v>45986</v>
      </c>
      <c r="D624" t="inlineStr">
        <is>
          <t>ÖSTERGÖTLANDS LÄN</t>
        </is>
      </c>
      <c r="E624" t="inlineStr">
        <is>
          <t>LINKÖPING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62015-2024</t>
        </is>
      </c>
      <c r="B625" s="1" t="n">
        <v>45655.80457175926</v>
      </c>
      <c r="C625" s="1" t="n">
        <v>45986</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10741-2023</t>
        </is>
      </c>
      <c r="B626" s="1" t="n">
        <v>44988.70084490741</v>
      </c>
      <c r="C626" s="1" t="n">
        <v>45986</v>
      </c>
      <c r="D626" t="inlineStr">
        <is>
          <t>ÖSTERGÖTLANDS LÄN</t>
        </is>
      </c>
      <c r="E626" t="inlineStr">
        <is>
          <t>LINKÖPING</t>
        </is>
      </c>
      <c r="F626" t="inlineStr">
        <is>
          <t>Allmännings- och besparingsskogar</t>
        </is>
      </c>
      <c r="G626" t="n">
        <v>11.2</v>
      </c>
      <c r="H626" t="n">
        <v>0</v>
      </c>
      <c r="I626" t="n">
        <v>0</v>
      </c>
      <c r="J626" t="n">
        <v>0</v>
      </c>
      <c r="K626" t="n">
        <v>0</v>
      </c>
      <c r="L626" t="n">
        <v>0</v>
      </c>
      <c r="M626" t="n">
        <v>0</v>
      </c>
      <c r="N626" t="n">
        <v>0</v>
      </c>
      <c r="O626" t="n">
        <v>0</v>
      </c>
      <c r="P626" t="n">
        <v>0</v>
      </c>
      <c r="Q626" t="n">
        <v>0</v>
      </c>
      <c r="R626" s="2" t="inlineStr"/>
    </row>
    <row r="627" ht="15" customHeight="1">
      <c r="A627" t="inlineStr">
        <is>
          <t>A 43473-2024</t>
        </is>
      </c>
      <c r="B627" s="1" t="n">
        <v>45568</v>
      </c>
      <c r="C627" s="1" t="n">
        <v>45986</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43475-2024</t>
        </is>
      </c>
      <c r="B628" s="1" t="n">
        <v>45568</v>
      </c>
      <c r="C628" s="1" t="n">
        <v>45986</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1207-2023</t>
        </is>
      </c>
      <c r="B629" s="1" t="n">
        <v>44930</v>
      </c>
      <c r="C629" s="1" t="n">
        <v>45986</v>
      </c>
      <c r="D629" t="inlineStr">
        <is>
          <t>ÖSTERGÖTLANDS LÄN</t>
        </is>
      </c>
      <c r="E629" t="inlineStr">
        <is>
          <t>LINKÖPING</t>
        </is>
      </c>
      <c r="F629" t="inlineStr">
        <is>
          <t>Övriga statliga verk och myndigheter</t>
        </is>
      </c>
      <c r="G629" t="n">
        <v>32.8</v>
      </c>
      <c r="H629" t="n">
        <v>0</v>
      </c>
      <c r="I629" t="n">
        <v>0</v>
      </c>
      <c r="J629" t="n">
        <v>0</v>
      </c>
      <c r="K629" t="n">
        <v>0</v>
      </c>
      <c r="L629" t="n">
        <v>0</v>
      </c>
      <c r="M629" t="n">
        <v>0</v>
      </c>
      <c r="N629" t="n">
        <v>0</v>
      </c>
      <c r="O629" t="n">
        <v>0</v>
      </c>
      <c r="P629" t="n">
        <v>0</v>
      </c>
      <c r="Q629" t="n">
        <v>0</v>
      </c>
      <c r="R629" s="2" t="inlineStr"/>
    </row>
    <row r="630" ht="15" customHeight="1">
      <c r="A630" t="inlineStr">
        <is>
          <t>A 29859-2024</t>
        </is>
      </c>
      <c r="B630" s="1" t="n">
        <v>45485.6846412037</v>
      </c>
      <c r="C630" s="1" t="n">
        <v>45986</v>
      </c>
      <c r="D630" t="inlineStr">
        <is>
          <t>ÖSTERGÖTLANDS LÄN</t>
        </is>
      </c>
      <c r="E630" t="inlineStr">
        <is>
          <t>LINKÖPING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45819-2024</t>
        </is>
      </c>
      <c r="B631" s="1" t="n">
        <v>45579.7454050926</v>
      </c>
      <c r="C631" s="1" t="n">
        <v>45986</v>
      </c>
      <c r="D631" t="inlineStr">
        <is>
          <t>ÖSTERGÖTLANDS LÄN</t>
        </is>
      </c>
      <c r="E631" t="inlineStr">
        <is>
          <t>LINKÖPING</t>
        </is>
      </c>
      <c r="G631" t="n">
        <v>5</v>
      </c>
      <c r="H631" t="n">
        <v>0</v>
      </c>
      <c r="I631" t="n">
        <v>0</v>
      </c>
      <c r="J631" t="n">
        <v>0</v>
      </c>
      <c r="K631" t="n">
        <v>0</v>
      </c>
      <c r="L631" t="n">
        <v>0</v>
      </c>
      <c r="M631" t="n">
        <v>0</v>
      </c>
      <c r="N631" t="n">
        <v>0</v>
      </c>
      <c r="O631" t="n">
        <v>0</v>
      </c>
      <c r="P631" t="n">
        <v>0</v>
      </c>
      <c r="Q631" t="n">
        <v>0</v>
      </c>
      <c r="R631" s="2" t="inlineStr"/>
    </row>
    <row r="632" ht="15" customHeight="1">
      <c r="A632" t="inlineStr">
        <is>
          <t>A 15748-2025</t>
        </is>
      </c>
      <c r="B632" s="1" t="n">
        <v>45748.55282407408</v>
      </c>
      <c r="C632" s="1" t="n">
        <v>45986</v>
      </c>
      <c r="D632" t="inlineStr">
        <is>
          <t>ÖSTERGÖTLANDS LÄN</t>
        </is>
      </c>
      <c r="E632" t="inlineStr">
        <is>
          <t>LINKÖPING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15754-2025</t>
        </is>
      </c>
      <c r="B633" s="1" t="n">
        <v>45748.56105324074</v>
      </c>
      <c r="C633" s="1" t="n">
        <v>45986</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30518-2024</t>
        </is>
      </c>
      <c r="B634" s="1" t="n">
        <v>45492</v>
      </c>
      <c r="C634" s="1" t="n">
        <v>45986</v>
      </c>
      <c r="D634" t="inlineStr">
        <is>
          <t>ÖSTERGÖTLANDS LÄN</t>
        </is>
      </c>
      <c r="E634" t="inlineStr">
        <is>
          <t>LINKÖPING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53797-2023</t>
        </is>
      </c>
      <c r="B635" s="1" t="n">
        <v>45230</v>
      </c>
      <c r="C635" s="1" t="n">
        <v>45986</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55345-2021</t>
        </is>
      </c>
      <c r="B636" s="1" t="n">
        <v>44475</v>
      </c>
      <c r="C636" s="1" t="n">
        <v>45986</v>
      </c>
      <c r="D636" t="inlineStr">
        <is>
          <t>ÖSTERGÖTLANDS LÄN</t>
        </is>
      </c>
      <c r="E636" t="inlineStr">
        <is>
          <t>LINKÖPING</t>
        </is>
      </c>
      <c r="G636" t="n">
        <v>5.7</v>
      </c>
      <c r="H636" t="n">
        <v>0</v>
      </c>
      <c r="I636" t="n">
        <v>0</v>
      </c>
      <c r="J636" t="n">
        <v>0</v>
      </c>
      <c r="K636" t="n">
        <v>0</v>
      </c>
      <c r="L636" t="n">
        <v>0</v>
      </c>
      <c r="M636" t="n">
        <v>0</v>
      </c>
      <c r="N636" t="n">
        <v>0</v>
      </c>
      <c r="O636" t="n">
        <v>0</v>
      </c>
      <c r="P636" t="n">
        <v>0</v>
      </c>
      <c r="Q636" t="n">
        <v>0</v>
      </c>
      <c r="R636" s="2" t="inlineStr"/>
    </row>
    <row r="637" ht="15" customHeight="1">
      <c r="A637" t="inlineStr">
        <is>
          <t>A 10198-2023</t>
        </is>
      </c>
      <c r="B637" s="1" t="n">
        <v>44986.54665509259</v>
      </c>
      <c r="C637" s="1" t="n">
        <v>45986</v>
      </c>
      <c r="D637" t="inlineStr">
        <is>
          <t>ÖSTERGÖTLANDS LÄN</t>
        </is>
      </c>
      <c r="E637" t="inlineStr">
        <is>
          <t>LINKÖPING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4298-2023</t>
        </is>
      </c>
      <c r="B638" s="1" t="n">
        <v>44953</v>
      </c>
      <c r="C638" s="1" t="n">
        <v>45986</v>
      </c>
      <c r="D638" t="inlineStr">
        <is>
          <t>ÖSTERGÖTLANDS LÄN</t>
        </is>
      </c>
      <c r="E638" t="inlineStr">
        <is>
          <t>LINKÖPING</t>
        </is>
      </c>
      <c r="G638" t="n">
        <v>2.8</v>
      </c>
      <c r="H638" t="n">
        <v>0</v>
      </c>
      <c r="I638" t="n">
        <v>0</v>
      </c>
      <c r="J638" t="n">
        <v>0</v>
      </c>
      <c r="K638" t="n">
        <v>0</v>
      </c>
      <c r="L638" t="n">
        <v>0</v>
      </c>
      <c r="M638" t="n">
        <v>0</v>
      </c>
      <c r="N638" t="n">
        <v>0</v>
      </c>
      <c r="O638" t="n">
        <v>0</v>
      </c>
      <c r="P638" t="n">
        <v>0</v>
      </c>
      <c r="Q638" t="n">
        <v>0</v>
      </c>
      <c r="R638" s="2" t="inlineStr"/>
    </row>
    <row r="639" ht="15" customHeight="1">
      <c r="A639" t="inlineStr">
        <is>
          <t>A 12428-2024</t>
        </is>
      </c>
      <c r="B639" s="1" t="n">
        <v>45379</v>
      </c>
      <c r="C639" s="1" t="n">
        <v>45986</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26618-2023</t>
        </is>
      </c>
      <c r="B640" s="1" t="n">
        <v>45092.70306712963</v>
      </c>
      <c r="C640" s="1" t="n">
        <v>45986</v>
      </c>
      <c r="D640" t="inlineStr">
        <is>
          <t>ÖSTERGÖTLANDS LÄN</t>
        </is>
      </c>
      <c r="E640" t="inlineStr">
        <is>
          <t>LINKÖPING</t>
        </is>
      </c>
      <c r="G640" t="n">
        <v>6.9</v>
      </c>
      <c r="H640" t="n">
        <v>0</v>
      </c>
      <c r="I640" t="n">
        <v>0</v>
      </c>
      <c r="J640" t="n">
        <v>0</v>
      </c>
      <c r="K640" t="n">
        <v>0</v>
      </c>
      <c r="L640" t="n">
        <v>0</v>
      </c>
      <c r="M640" t="n">
        <v>0</v>
      </c>
      <c r="N640" t="n">
        <v>0</v>
      </c>
      <c r="O640" t="n">
        <v>0</v>
      </c>
      <c r="P640" t="n">
        <v>0</v>
      </c>
      <c r="Q640" t="n">
        <v>0</v>
      </c>
      <c r="R640" s="2" t="inlineStr"/>
    </row>
    <row r="641" ht="15" customHeight="1">
      <c r="A641" t="inlineStr">
        <is>
          <t>A 34930-2023</t>
        </is>
      </c>
      <c r="B641" s="1" t="n">
        <v>45142</v>
      </c>
      <c r="C641" s="1" t="n">
        <v>45986</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670-2024</t>
        </is>
      </c>
      <c r="B642" s="1" t="n">
        <v>45300.3408912037</v>
      </c>
      <c r="C642" s="1" t="n">
        <v>45986</v>
      </c>
      <c r="D642" t="inlineStr">
        <is>
          <t>ÖSTERGÖTLANDS LÄN</t>
        </is>
      </c>
      <c r="E642" t="inlineStr">
        <is>
          <t>LINKÖPING</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63845-2021</t>
        </is>
      </c>
      <c r="B643" s="1" t="n">
        <v>44509</v>
      </c>
      <c r="C643" s="1" t="n">
        <v>45986</v>
      </c>
      <c r="D643" t="inlineStr">
        <is>
          <t>ÖSTERGÖTLANDS LÄN</t>
        </is>
      </c>
      <c r="E643" t="inlineStr">
        <is>
          <t>LINKÖPING</t>
        </is>
      </c>
      <c r="G643" t="n">
        <v>5</v>
      </c>
      <c r="H643" t="n">
        <v>0</v>
      </c>
      <c r="I643" t="n">
        <v>0</v>
      </c>
      <c r="J643" t="n">
        <v>0</v>
      </c>
      <c r="K643" t="n">
        <v>0</v>
      </c>
      <c r="L643" t="n">
        <v>0</v>
      </c>
      <c r="M643" t="n">
        <v>0</v>
      </c>
      <c r="N643" t="n">
        <v>0</v>
      </c>
      <c r="O643" t="n">
        <v>0</v>
      </c>
      <c r="P643" t="n">
        <v>0</v>
      </c>
      <c r="Q643" t="n">
        <v>0</v>
      </c>
      <c r="R643" s="2" t="inlineStr"/>
    </row>
    <row r="644" ht="15" customHeight="1">
      <c r="A644" t="inlineStr">
        <is>
          <t>A 54034-2022</t>
        </is>
      </c>
      <c r="B644" s="1" t="n">
        <v>44881</v>
      </c>
      <c r="C644" s="1" t="n">
        <v>45986</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36336-2023</t>
        </is>
      </c>
      <c r="B645" s="1" t="n">
        <v>45152.45078703704</v>
      </c>
      <c r="C645" s="1" t="n">
        <v>45986</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48829-2023</t>
        </is>
      </c>
      <c r="B646" s="1" t="n">
        <v>45209.38177083333</v>
      </c>
      <c r="C646" s="1" t="n">
        <v>45986</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48186-2022</t>
        </is>
      </c>
      <c r="B647" s="1" t="n">
        <v>44858</v>
      </c>
      <c r="C647" s="1" t="n">
        <v>45986</v>
      </c>
      <c r="D647" t="inlineStr">
        <is>
          <t>ÖSTERGÖTLANDS LÄN</t>
        </is>
      </c>
      <c r="E647" t="inlineStr">
        <is>
          <t>LINKÖPING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63669-2023</t>
        </is>
      </c>
      <c r="B648" s="1" t="n">
        <v>45275</v>
      </c>
      <c r="C648" s="1" t="n">
        <v>45986</v>
      </c>
      <c r="D648" t="inlineStr">
        <is>
          <t>ÖSTERGÖTLANDS LÄN</t>
        </is>
      </c>
      <c r="E648" t="inlineStr">
        <is>
          <t>LINKÖPING</t>
        </is>
      </c>
      <c r="F648" t="inlineStr">
        <is>
          <t>Övriga Aktiebolag</t>
        </is>
      </c>
      <c r="G648" t="n">
        <v>3</v>
      </c>
      <c r="H648" t="n">
        <v>0</v>
      </c>
      <c r="I648" t="n">
        <v>0</v>
      </c>
      <c r="J648" t="n">
        <v>0</v>
      </c>
      <c r="K648" t="n">
        <v>0</v>
      </c>
      <c r="L648" t="n">
        <v>0</v>
      </c>
      <c r="M648" t="n">
        <v>0</v>
      </c>
      <c r="N648" t="n">
        <v>0</v>
      </c>
      <c r="O648" t="n">
        <v>0</v>
      </c>
      <c r="P648" t="n">
        <v>0</v>
      </c>
      <c r="Q648" t="n">
        <v>0</v>
      </c>
      <c r="R648" s="2" t="inlineStr"/>
    </row>
    <row r="649" ht="15" customHeight="1">
      <c r="A649" t="inlineStr">
        <is>
          <t>A 24586-2024</t>
        </is>
      </c>
      <c r="B649" s="1" t="n">
        <v>45460.46664351852</v>
      </c>
      <c r="C649" s="1" t="n">
        <v>45986</v>
      </c>
      <c r="D649" t="inlineStr">
        <is>
          <t>ÖSTERGÖTLANDS LÄN</t>
        </is>
      </c>
      <c r="E649" t="inlineStr">
        <is>
          <t>LINKÖPING</t>
        </is>
      </c>
      <c r="G649" t="n">
        <v>4</v>
      </c>
      <c r="H649" t="n">
        <v>0</v>
      </c>
      <c r="I649" t="n">
        <v>0</v>
      </c>
      <c r="J649" t="n">
        <v>0</v>
      </c>
      <c r="K649" t="n">
        <v>0</v>
      </c>
      <c r="L649" t="n">
        <v>0</v>
      </c>
      <c r="M649" t="n">
        <v>0</v>
      </c>
      <c r="N649" t="n">
        <v>0</v>
      </c>
      <c r="O649" t="n">
        <v>0</v>
      </c>
      <c r="P649" t="n">
        <v>0</v>
      </c>
      <c r="Q649" t="n">
        <v>0</v>
      </c>
      <c r="R649" s="2" t="inlineStr"/>
    </row>
    <row r="650" ht="15" customHeight="1">
      <c r="A650" t="inlineStr">
        <is>
          <t>A 59576-2024</t>
        </is>
      </c>
      <c r="B650" s="1" t="n">
        <v>45638.66378472222</v>
      </c>
      <c r="C650" s="1" t="n">
        <v>45986</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59642-2024</t>
        </is>
      </c>
      <c r="B651" s="1" t="n">
        <v>45639.31511574074</v>
      </c>
      <c r="C651" s="1" t="n">
        <v>45986</v>
      </c>
      <c r="D651" t="inlineStr">
        <is>
          <t>ÖSTERGÖTLANDS LÄN</t>
        </is>
      </c>
      <c r="E651" t="inlineStr">
        <is>
          <t>LINKÖPING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59674-2024</t>
        </is>
      </c>
      <c r="B652" s="1" t="n">
        <v>45639</v>
      </c>
      <c r="C652" s="1" t="n">
        <v>45986</v>
      </c>
      <c r="D652" t="inlineStr">
        <is>
          <t>ÖSTERGÖTLANDS LÄN</t>
        </is>
      </c>
      <c r="E652" t="inlineStr">
        <is>
          <t>LINKÖPING</t>
        </is>
      </c>
      <c r="G652" t="n">
        <v>6.3</v>
      </c>
      <c r="H652" t="n">
        <v>0</v>
      </c>
      <c r="I652" t="n">
        <v>0</v>
      </c>
      <c r="J652" t="n">
        <v>0</v>
      </c>
      <c r="K652" t="n">
        <v>0</v>
      </c>
      <c r="L652" t="n">
        <v>0</v>
      </c>
      <c r="M652" t="n">
        <v>0</v>
      </c>
      <c r="N652" t="n">
        <v>0</v>
      </c>
      <c r="O652" t="n">
        <v>0</v>
      </c>
      <c r="P652" t="n">
        <v>0</v>
      </c>
      <c r="Q652" t="n">
        <v>0</v>
      </c>
      <c r="R652" s="2" t="inlineStr"/>
    </row>
    <row r="653" ht="15" customHeight="1">
      <c r="A653" t="inlineStr">
        <is>
          <t>A 3742-2021</t>
        </is>
      </c>
      <c r="B653" s="1" t="n">
        <v>44221</v>
      </c>
      <c r="C653" s="1" t="n">
        <v>45986</v>
      </c>
      <c r="D653" t="inlineStr">
        <is>
          <t>ÖSTERGÖTLANDS LÄN</t>
        </is>
      </c>
      <c r="E653" t="inlineStr">
        <is>
          <t>LINKÖPING</t>
        </is>
      </c>
      <c r="G653" t="n">
        <v>5.5</v>
      </c>
      <c r="H653" t="n">
        <v>0</v>
      </c>
      <c r="I653" t="n">
        <v>0</v>
      </c>
      <c r="J653" t="n">
        <v>0</v>
      </c>
      <c r="K653" t="n">
        <v>0</v>
      </c>
      <c r="L653" t="n">
        <v>0</v>
      </c>
      <c r="M653" t="n">
        <v>0</v>
      </c>
      <c r="N653" t="n">
        <v>0</v>
      </c>
      <c r="O653" t="n">
        <v>0</v>
      </c>
      <c r="P653" t="n">
        <v>0</v>
      </c>
      <c r="Q653" t="n">
        <v>0</v>
      </c>
      <c r="R653" s="2" t="inlineStr"/>
    </row>
    <row r="654" ht="15" customHeight="1">
      <c r="A654" t="inlineStr">
        <is>
          <t>A 18916-2024</t>
        </is>
      </c>
      <c r="B654" s="1" t="n">
        <v>45427.39541666667</v>
      </c>
      <c r="C654" s="1" t="n">
        <v>45986</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11084-2022</t>
        </is>
      </c>
      <c r="B655" s="1" t="n">
        <v>44628</v>
      </c>
      <c r="C655" s="1" t="n">
        <v>45986</v>
      </c>
      <c r="D655" t="inlineStr">
        <is>
          <t>ÖSTERGÖTLANDS LÄN</t>
        </is>
      </c>
      <c r="E655" t="inlineStr">
        <is>
          <t>LINKÖPING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10203-2023</t>
        </is>
      </c>
      <c r="B656" s="1" t="n">
        <v>44986.55711805556</v>
      </c>
      <c r="C656" s="1" t="n">
        <v>45986</v>
      </c>
      <c r="D656" t="inlineStr">
        <is>
          <t>ÖSTERGÖTLANDS LÄN</t>
        </is>
      </c>
      <c r="E656" t="inlineStr">
        <is>
          <t>LINKÖPING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2618-2023</t>
        </is>
      </c>
      <c r="B657" s="1" t="n">
        <v>44944.35847222222</v>
      </c>
      <c r="C657" s="1" t="n">
        <v>45986</v>
      </c>
      <c r="D657" t="inlineStr">
        <is>
          <t>ÖSTERGÖTLANDS LÄN</t>
        </is>
      </c>
      <c r="E657" t="inlineStr">
        <is>
          <t>LINKÖPING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62020-2024</t>
        </is>
      </c>
      <c r="B658" s="1" t="n">
        <v>45655.83563657408</v>
      </c>
      <c r="C658" s="1" t="n">
        <v>45986</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62021-2024</t>
        </is>
      </c>
      <c r="B659" s="1" t="n">
        <v>45655.84232638889</v>
      </c>
      <c r="C659" s="1" t="n">
        <v>45986</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1362-2023</t>
        </is>
      </c>
      <c r="B660" s="1" t="n">
        <v>44931</v>
      </c>
      <c r="C660" s="1" t="n">
        <v>45986</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49928-2024</t>
        </is>
      </c>
      <c r="B661" s="1" t="n">
        <v>45597.57811342592</v>
      </c>
      <c r="C661" s="1" t="n">
        <v>45986</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3627-2023</t>
        </is>
      </c>
      <c r="B662" s="1" t="n">
        <v>44950.64782407408</v>
      </c>
      <c r="C662" s="1" t="n">
        <v>45986</v>
      </c>
      <c r="D662" t="inlineStr">
        <is>
          <t>ÖSTERGÖTLANDS LÄN</t>
        </is>
      </c>
      <c r="E662" t="inlineStr">
        <is>
          <t>LINKÖPING</t>
        </is>
      </c>
      <c r="G662" t="n">
        <v>3.1</v>
      </c>
      <c r="H662" t="n">
        <v>0</v>
      </c>
      <c r="I662" t="n">
        <v>0</v>
      </c>
      <c r="J662" t="n">
        <v>0</v>
      </c>
      <c r="K662" t="n">
        <v>0</v>
      </c>
      <c r="L662" t="n">
        <v>0</v>
      </c>
      <c r="M662" t="n">
        <v>0</v>
      </c>
      <c r="N662" t="n">
        <v>0</v>
      </c>
      <c r="O662" t="n">
        <v>0</v>
      </c>
      <c r="P662" t="n">
        <v>0</v>
      </c>
      <c r="Q662" t="n">
        <v>0</v>
      </c>
      <c r="R662" s="2" t="inlineStr"/>
    </row>
    <row r="663" ht="15" customHeight="1">
      <c r="A663" t="inlineStr">
        <is>
          <t>A 51405-2023</t>
        </is>
      </c>
      <c r="B663" s="1" t="n">
        <v>45219</v>
      </c>
      <c r="C663" s="1" t="n">
        <v>45986</v>
      </c>
      <c r="D663" t="inlineStr">
        <is>
          <t>ÖSTERGÖTLANDS LÄN</t>
        </is>
      </c>
      <c r="E663" t="inlineStr">
        <is>
          <t>LINKÖPING</t>
        </is>
      </c>
      <c r="F663" t="inlineStr">
        <is>
          <t>Övriga Aktiebolag</t>
        </is>
      </c>
      <c r="G663" t="n">
        <v>3</v>
      </c>
      <c r="H663" t="n">
        <v>0</v>
      </c>
      <c r="I663" t="n">
        <v>0</v>
      </c>
      <c r="J663" t="n">
        <v>0</v>
      </c>
      <c r="K663" t="n">
        <v>0</v>
      </c>
      <c r="L663" t="n">
        <v>0</v>
      </c>
      <c r="M663" t="n">
        <v>0</v>
      </c>
      <c r="N663" t="n">
        <v>0</v>
      </c>
      <c r="O663" t="n">
        <v>0</v>
      </c>
      <c r="P663" t="n">
        <v>0</v>
      </c>
      <c r="Q663" t="n">
        <v>0</v>
      </c>
      <c r="R663" s="2" t="inlineStr"/>
    </row>
    <row r="664" ht="15" customHeight="1">
      <c r="A664" t="inlineStr">
        <is>
          <t>A 11601-2023</t>
        </is>
      </c>
      <c r="B664" s="1" t="n">
        <v>44994</v>
      </c>
      <c r="C664" s="1" t="n">
        <v>45986</v>
      </c>
      <c r="D664" t="inlineStr">
        <is>
          <t>ÖSTERGÖTLANDS LÄN</t>
        </is>
      </c>
      <c r="E664" t="inlineStr">
        <is>
          <t>LINKÖPING</t>
        </is>
      </c>
      <c r="G664" t="n">
        <v>1.7</v>
      </c>
      <c r="H664" t="n">
        <v>0</v>
      </c>
      <c r="I664" t="n">
        <v>0</v>
      </c>
      <c r="J664" t="n">
        <v>0</v>
      </c>
      <c r="K664" t="n">
        <v>0</v>
      </c>
      <c r="L664" t="n">
        <v>0</v>
      </c>
      <c r="M664" t="n">
        <v>0</v>
      </c>
      <c r="N664" t="n">
        <v>0</v>
      </c>
      <c r="O664" t="n">
        <v>0</v>
      </c>
      <c r="P664" t="n">
        <v>0</v>
      </c>
      <c r="Q664" t="n">
        <v>0</v>
      </c>
      <c r="R664" s="2" t="inlineStr"/>
    </row>
    <row r="665" ht="15" customHeight="1">
      <c r="A665" t="inlineStr">
        <is>
          <t>A 40338-2024</t>
        </is>
      </c>
      <c r="B665" s="1" t="n">
        <v>45555.32940972222</v>
      </c>
      <c r="C665" s="1" t="n">
        <v>45986</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167-2024</t>
        </is>
      </c>
      <c r="B666" s="1" t="n">
        <v>45294</v>
      </c>
      <c r="C666" s="1" t="n">
        <v>45986</v>
      </c>
      <c r="D666" t="inlineStr">
        <is>
          <t>ÖSTERGÖTLANDS LÄN</t>
        </is>
      </c>
      <c r="E666" t="inlineStr">
        <is>
          <t>LINKÖPING</t>
        </is>
      </c>
      <c r="F666" t="inlineStr">
        <is>
          <t>Allmännings- och besparingsskogar</t>
        </is>
      </c>
      <c r="G666" t="n">
        <v>11.6</v>
      </c>
      <c r="H666" t="n">
        <v>0</v>
      </c>
      <c r="I666" t="n">
        <v>0</v>
      </c>
      <c r="J666" t="n">
        <v>0</v>
      </c>
      <c r="K666" t="n">
        <v>0</v>
      </c>
      <c r="L666" t="n">
        <v>0</v>
      </c>
      <c r="M666" t="n">
        <v>0</v>
      </c>
      <c r="N666" t="n">
        <v>0</v>
      </c>
      <c r="O666" t="n">
        <v>0</v>
      </c>
      <c r="P666" t="n">
        <v>0</v>
      </c>
      <c r="Q666" t="n">
        <v>0</v>
      </c>
      <c r="R666" s="2" t="inlineStr"/>
    </row>
    <row r="667" ht="15" customHeight="1">
      <c r="A667" t="inlineStr">
        <is>
          <t>A 27186-2021</t>
        </is>
      </c>
      <c r="B667" s="1" t="n">
        <v>44350.67715277777</v>
      </c>
      <c r="C667" s="1" t="n">
        <v>45986</v>
      </c>
      <c r="D667" t="inlineStr">
        <is>
          <t>ÖSTERGÖTLANDS LÄN</t>
        </is>
      </c>
      <c r="E667" t="inlineStr">
        <is>
          <t>LINKÖPING</t>
        </is>
      </c>
      <c r="F667" t="inlineStr">
        <is>
          <t>Allmännings- och besparingsskogar</t>
        </is>
      </c>
      <c r="G667" t="n">
        <v>1.4</v>
      </c>
      <c r="H667" t="n">
        <v>0</v>
      </c>
      <c r="I667" t="n">
        <v>0</v>
      </c>
      <c r="J667" t="n">
        <v>0</v>
      </c>
      <c r="K667" t="n">
        <v>0</v>
      </c>
      <c r="L667" t="n">
        <v>0</v>
      </c>
      <c r="M667" t="n">
        <v>0</v>
      </c>
      <c r="N667" t="n">
        <v>0</v>
      </c>
      <c r="O667" t="n">
        <v>0</v>
      </c>
      <c r="P667" t="n">
        <v>0</v>
      </c>
      <c r="Q667" t="n">
        <v>0</v>
      </c>
      <c r="R667" s="2" t="inlineStr"/>
    </row>
    <row r="668" ht="15" customHeight="1">
      <c r="A668" t="inlineStr">
        <is>
          <t>A 7343-2025</t>
        </is>
      </c>
      <c r="B668" s="1" t="n">
        <v>45703.67853009259</v>
      </c>
      <c r="C668" s="1" t="n">
        <v>45986</v>
      </c>
      <c r="D668" t="inlineStr">
        <is>
          <t>ÖSTERGÖTLANDS LÄN</t>
        </is>
      </c>
      <c r="E668" t="inlineStr">
        <is>
          <t>LINKÖPING</t>
        </is>
      </c>
      <c r="G668" t="n">
        <v>0.8</v>
      </c>
      <c r="H668" t="n">
        <v>0</v>
      </c>
      <c r="I668" t="n">
        <v>0</v>
      </c>
      <c r="J668" t="n">
        <v>0</v>
      </c>
      <c r="K668" t="n">
        <v>0</v>
      </c>
      <c r="L668" t="n">
        <v>0</v>
      </c>
      <c r="M668" t="n">
        <v>0</v>
      </c>
      <c r="N668" t="n">
        <v>0</v>
      </c>
      <c r="O668" t="n">
        <v>0</v>
      </c>
      <c r="P668" t="n">
        <v>0</v>
      </c>
      <c r="Q668" t="n">
        <v>0</v>
      </c>
      <c r="R668" s="2" t="inlineStr"/>
    </row>
    <row r="669" ht="15" customHeight="1">
      <c r="A669" t="inlineStr">
        <is>
          <t>A 48271-2023</t>
        </is>
      </c>
      <c r="B669" s="1" t="n">
        <v>45205</v>
      </c>
      <c r="C669" s="1" t="n">
        <v>45986</v>
      </c>
      <c r="D669" t="inlineStr">
        <is>
          <t>ÖSTERGÖTLANDS LÄN</t>
        </is>
      </c>
      <c r="E669" t="inlineStr">
        <is>
          <t>LINKÖPING</t>
        </is>
      </c>
      <c r="G669" t="n">
        <v>3</v>
      </c>
      <c r="H669" t="n">
        <v>0</v>
      </c>
      <c r="I669" t="n">
        <v>0</v>
      </c>
      <c r="J669" t="n">
        <v>0</v>
      </c>
      <c r="K669" t="n">
        <v>0</v>
      </c>
      <c r="L669" t="n">
        <v>0</v>
      </c>
      <c r="M669" t="n">
        <v>0</v>
      </c>
      <c r="N669" t="n">
        <v>0</v>
      </c>
      <c r="O669" t="n">
        <v>0</v>
      </c>
      <c r="P669" t="n">
        <v>0</v>
      </c>
      <c r="Q669" t="n">
        <v>0</v>
      </c>
      <c r="R669" s="2" t="inlineStr"/>
    </row>
    <row r="670" ht="15" customHeight="1">
      <c r="A670" t="inlineStr">
        <is>
          <t>A 12720-2022</t>
        </is>
      </c>
      <c r="B670" s="1" t="n">
        <v>44641</v>
      </c>
      <c r="C670" s="1" t="n">
        <v>45986</v>
      </c>
      <c r="D670" t="inlineStr">
        <is>
          <t>ÖSTERGÖTLANDS LÄN</t>
        </is>
      </c>
      <c r="E670" t="inlineStr">
        <is>
          <t>LINKÖPING</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62018-2024</t>
        </is>
      </c>
      <c r="B671" s="1" t="n">
        <v>45655.81387731482</v>
      </c>
      <c r="C671" s="1" t="n">
        <v>45986</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30551-2023</t>
        </is>
      </c>
      <c r="B672" s="1" t="n">
        <v>45111</v>
      </c>
      <c r="C672" s="1" t="n">
        <v>45986</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30860-2022</t>
        </is>
      </c>
      <c r="B673" s="1" t="n">
        <v>44767</v>
      </c>
      <c r="C673" s="1" t="n">
        <v>45986</v>
      </c>
      <c r="D673" t="inlineStr">
        <is>
          <t>ÖSTERGÖTLANDS LÄN</t>
        </is>
      </c>
      <c r="E673" t="inlineStr">
        <is>
          <t>LINKÖPING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60004-2022</t>
        </is>
      </c>
      <c r="B674" s="1" t="n">
        <v>44909.47206018519</v>
      </c>
      <c r="C674" s="1" t="n">
        <v>45986</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60010-2022</t>
        </is>
      </c>
      <c r="B675" s="1" t="n">
        <v>44909.4740625</v>
      </c>
      <c r="C675" s="1" t="n">
        <v>45986</v>
      </c>
      <c r="D675" t="inlineStr">
        <is>
          <t>ÖSTERGÖTLANDS LÄN</t>
        </is>
      </c>
      <c r="E675" t="inlineStr">
        <is>
          <t>LINKÖPING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53827-2023</t>
        </is>
      </c>
      <c r="B676" s="1" t="n">
        <v>45230</v>
      </c>
      <c r="C676" s="1" t="n">
        <v>45986</v>
      </c>
      <c r="D676" t="inlineStr">
        <is>
          <t>ÖSTERGÖTLANDS LÄN</t>
        </is>
      </c>
      <c r="E676" t="inlineStr">
        <is>
          <t>LINKÖPING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4256-2022</t>
        </is>
      </c>
      <c r="B677" s="1" t="n">
        <v>44588</v>
      </c>
      <c r="C677" s="1" t="n">
        <v>45986</v>
      </c>
      <c r="D677" t="inlineStr">
        <is>
          <t>ÖSTERGÖTLANDS LÄN</t>
        </is>
      </c>
      <c r="E677" t="inlineStr">
        <is>
          <t>LINKÖPING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61649-2023</t>
        </is>
      </c>
      <c r="B678" s="1" t="n">
        <v>45265</v>
      </c>
      <c r="C678" s="1" t="n">
        <v>45986</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223-2024</t>
        </is>
      </c>
      <c r="B679" s="1" t="n">
        <v>45294.72739583333</v>
      </c>
      <c r="C679" s="1" t="n">
        <v>45986</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19464-2024</t>
        </is>
      </c>
      <c r="B680" s="1" t="n">
        <v>45429</v>
      </c>
      <c r="C680" s="1" t="n">
        <v>45986</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630-2024</t>
        </is>
      </c>
      <c r="B681" s="1" t="n">
        <v>45299.67736111111</v>
      </c>
      <c r="C681" s="1" t="n">
        <v>45986</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30433-2024</t>
        </is>
      </c>
      <c r="B682" s="1" t="n">
        <v>45491.69741898148</v>
      </c>
      <c r="C682" s="1" t="n">
        <v>45986</v>
      </c>
      <c r="D682" t="inlineStr">
        <is>
          <t>ÖSTERGÖTLANDS LÄN</t>
        </is>
      </c>
      <c r="E682" t="inlineStr">
        <is>
          <t>LINKÖPING</t>
        </is>
      </c>
      <c r="G682" t="n">
        <v>1.7</v>
      </c>
      <c r="H682" t="n">
        <v>0</v>
      </c>
      <c r="I682" t="n">
        <v>0</v>
      </c>
      <c r="J682" t="n">
        <v>0</v>
      </c>
      <c r="K682" t="n">
        <v>0</v>
      </c>
      <c r="L682" t="n">
        <v>0</v>
      </c>
      <c r="M682" t="n">
        <v>0</v>
      </c>
      <c r="N682" t="n">
        <v>0</v>
      </c>
      <c r="O682" t="n">
        <v>0</v>
      </c>
      <c r="P682" t="n">
        <v>0</v>
      </c>
      <c r="Q682" t="n">
        <v>0</v>
      </c>
      <c r="R682" s="2" t="inlineStr"/>
    </row>
    <row r="683" ht="15" customHeight="1">
      <c r="A683" t="inlineStr">
        <is>
          <t>A 63528-2023</t>
        </is>
      </c>
      <c r="B683" s="1" t="n">
        <v>45274.94810185185</v>
      </c>
      <c r="C683" s="1" t="n">
        <v>45986</v>
      </c>
      <c r="D683" t="inlineStr">
        <is>
          <t>ÖSTERGÖTLANDS LÄN</t>
        </is>
      </c>
      <c r="E683" t="inlineStr">
        <is>
          <t>LINKÖPING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61936-2023</t>
        </is>
      </c>
      <c r="B684" s="1" t="n">
        <v>45266.54534722222</v>
      </c>
      <c r="C684" s="1" t="n">
        <v>45986</v>
      </c>
      <c r="D684" t="inlineStr">
        <is>
          <t>ÖSTERGÖTLANDS LÄN</t>
        </is>
      </c>
      <c r="E684" t="inlineStr">
        <is>
          <t>LINKÖPING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62492-2023</t>
        </is>
      </c>
      <c r="B685" s="1" t="n">
        <v>45268.58987268519</v>
      </c>
      <c r="C685" s="1" t="n">
        <v>45986</v>
      </c>
      <c r="D685" t="inlineStr">
        <is>
          <t>ÖSTERGÖTLANDS LÄN</t>
        </is>
      </c>
      <c r="E685" t="inlineStr">
        <is>
          <t>LINKÖPING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674-2024</t>
        </is>
      </c>
      <c r="B686" s="1" t="n">
        <v>45300.34408564815</v>
      </c>
      <c r="C686" s="1" t="n">
        <v>45986</v>
      </c>
      <c r="D686" t="inlineStr">
        <is>
          <t>ÖSTERGÖTLANDS LÄN</t>
        </is>
      </c>
      <c r="E686" t="inlineStr">
        <is>
          <t>LINKÖPING</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6782-2024</t>
        </is>
      </c>
      <c r="B687" s="1" t="n">
        <v>45342</v>
      </c>
      <c r="C687" s="1" t="n">
        <v>45986</v>
      </c>
      <c r="D687" t="inlineStr">
        <is>
          <t>ÖSTERGÖTLANDS LÄN</t>
        </is>
      </c>
      <c r="E687" t="inlineStr">
        <is>
          <t>LINKÖPING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10094-2024</t>
        </is>
      </c>
      <c r="B688" s="1" t="n">
        <v>45364</v>
      </c>
      <c r="C688" s="1" t="n">
        <v>45986</v>
      </c>
      <c r="D688" t="inlineStr">
        <is>
          <t>ÖSTERGÖTLANDS LÄN</t>
        </is>
      </c>
      <c r="E688" t="inlineStr">
        <is>
          <t>LINKÖPING</t>
        </is>
      </c>
      <c r="F688" t="inlineStr">
        <is>
          <t>Övriga Aktiebolag</t>
        </is>
      </c>
      <c r="G688" t="n">
        <v>1.9</v>
      </c>
      <c r="H688" t="n">
        <v>0</v>
      </c>
      <c r="I688" t="n">
        <v>0</v>
      </c>
      <c r="J688" t="n">
        <v>0</v>
      </c>
      <c r="K688" t="n">
        <v>0</v>
      </c>
      <c r="L688" t="n">
        <v>0</v>
      </c>
      <c r="M688" t="n">
        <v>0</v>
      </c>
      <c r="N688" t="n">
        <v>0</v>
      </c>
      <c r="O688" t="n">
        <v>0</v>
      </c>
      <c r="P688" t="n">
        <v>0</v>
      </c>
      <c r="Q688" t="n">
        <v>0</v>
      </c>
      <c r="R688" s="2" t="inlineStr"/>
    </row>
    <row r="689" ht="15" customHeight="1">
      <c r="A689" t="inlineStr">
        <is>
          <t>A 63684-2023</t>
        </is>
      </c>
      <c r="B689" s="1" t="n">
        <v>45275</v>
      </c>
      <c r="C689" s="1" t="n">
        <v>45986</v>
      </c>
      <c r="D689" t="inlineStr">
        <is>
          <t>ÖSTERGÖTLANDS LÄN</t>
        </is>
      </c>
      <c r="E689" t="inlineStr">
        <is>
          <t>LINKÖPING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63688-2023</t>
        </is>
      </c>
      <c r="B690" s="1" t="n">
        <v>45275</v>
      </c>
      <c r="C690" s="1" t="n">
        <v>45986</v>
      </c>
      <c r="D690" t="inlineStr">
        <is>
          <t>ÖSTERGÖTLANDS LÄN</t>
        </is>
      </c>
      <c r="E690" t="inlineStr">
        <is>
          <t>LINKÖPING</t>
        </is>
      </c>
      <c r="F690" t="inlineStr">
        <is>
          <t>Övriga Aktiebolag</t>
        </is>
      </c>
      <c r="G690" t="n">
        <v>2.4</v>
      </c>
      <c r="H690" t="n">
        <v>0</v>
      </c>
      <c r="I690" t="n">
        <v>0</v>
      </c>
      <c r="J690" t="n">
        <v>0</v>
      </c>
      <c r="K690" t="n">
        <v>0</v>
      </c>
      <c r="L690" t="n">
        <v>0</v>
      </c>
      <c r="M690" t="n">
        <v>0</v>
      </c>
      <c r="N690" t="n">
        <v>0</v>
      </c>
      <c r="O690" t="n">
        <v>0</v>
      </c>
      <c r="P690" t="n">
        <v>0</v>
      </c>
      <c r="Q690" t="n">
        <v>0</v>
      </c>
      <c r="R690" s="2" t="inlineStr"/>
    </row>
    <row r="691" ht="15" customHeight="1">
      <c r="A691" t="inlineStr">
        <is>
          <t>A 63691-2023</t>
        </is>
      </c>
      <c r="B691" s="1" t="n">
        <v>45275</v>
      </c>
      <c r="C691" s="1" t="n">
        <v>45986</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36657-2023</t>
        </is>
      </c>
      <c r="B692" s="1" t="n">
        <v>45153.5702662037</v>
      </c>
      <c r="C692" s="1" t="n">
        <v>45986</v>
      </c>
      <c r="D692" t="inlineStr">
        <is>
          <t>ÖSTERGÖTLANDS LÄN</t>
        </is>
      </c>
      <c r="E692" t="inlineStr">
        <is>
          <t>LINKÖPING</t>
        </is>
      </c>
      <c r="F692" t="inlineStr">
        <is>
          <t>Allmännings- och besparingsskogar</t>
        </is>
      </c>
      <c r="G692" t="n">
        <v>2</v>
      </c>
      <c r="H692" t="n">
        <v>0</v>
      </c>
      <c r="I692" t="n">
        <v>0</v>
      </c>
      <c r="J692" t="n">
        <v>0</v>
      </c>
      <c r="K692" t="n">
        <v>0</v>
      </c>
      <c r="L692" t="n">
        <v>0</v>
      </c>
      <c r="M692" t="n">
        <v>0</v>
      </c>
      <c r="N692" t="n">
        <v>0</v>
      </c>
      <c r="O692" t="n">
        <v>0</v>
      </c>
      <c r="P692" t="n">
        <v>0</v>
      </c>
      <c r="Q692" t="n">
        <v>0</v>
      </c>
      <c r="R692" s="2" t="inlineStr"/>
    </row>
    <row r="693" ht="15" customHeight="1">
      <c r="A693" t="inlineStr">
        <is>
          <t>A 14667-2024</t>
        </is>
      </c>
      <c r="B693" s="1" t="n">
        <v>45397.42005787037</v>
      </c>
      <c r="C693" s="1" t="n">
        <v>45986</v>
      </c>
      <c r="D693" t="inlineStr">
        <is>
          <t>ÖSTERGÖTLANDS LÄN</t>
        </is>
      </c>
      <c r="E693" t="inlineStr">
        <is>
          <t>LINKÖPING</t>
        </is>
      </c>
      <c r="G693" t="n">
        <v>2.3</v>
      </c>
      <c r="H693" t="n">
        <v>0</v>
      </c>
      <c r="I693" t="n">
        <v>0</v>
      </c>
      <c r="J693" t="n">
        <v>0</v>
      </c>
      <c r="K693" t="n">
        <v>0</v>
      </c>
      <c r="L693" t="n">
        <v>0</v>
      </c>
      <c r="M693" t="n">
        <v>0</v>
      </c>
      <c r="N693" t="n">
        <v>0</v>
      </c>
      <c r="O693" t="n">
        <v>0</v>
      </c>
      <c r="P693" t="n">
        <v>0</v>
      </c>
      <c r="Q693" t="n">
        <v>0</v>
      </c>
      <c r="R693" s="2" t="inlineStr"/>
    </row>
    <row r="694" ht="15" customHeight="1">
      <c r="A694" t="inlineStr">
        <is>
          <t>A 15714-2024</t>
        </is>
      </c>
      <c r="B694" s="1" t="n">
        <v>45404.48288194444</v>
      </c>
      <c r="C694" s="1" t="n">
        <v>45986</v>
      </c>
      <c r="D694" t="inlineStr">
        <is>
          <t>ÖSTERGÖTLANDS LÄN</t>
        </is>
      </c>
      <c r="E694" t="inlineStr">
        <is>
          <t>LINKÖPING</t>
        </is>
      </c>
      <c r="G694" t="n">
        <v>1.1</v>
      </c>
      <c r="H694" t="n">
        <v>0</v>
      </c>
      <c r="I694" t="n">
        <v>0</v>
      </c>
      <c r="J694" t="n">
        <v>0</v>
      </c>
      <c r="K694" t="n">
        <v>0</v>
      </c>
      <c r="L694" t="n">
        <v>0</v>
      </c>
      <c r="M694" t="n">
        <v>0</v>
      </c>
      <c r="N694" t="n">
        <v>0</v>
      </c>
      <c r="O694" t="n">
        <v>0</v>
      </c>
      <c r="P694" t="n">
        <v>0</v>
      </c>
      <c r="Q694" t="n">
        <v>0</v>
      </c>
      <c r="R694" s="2" t="inlineStr"/>
    </row>
    <row r="695" ht="15" customHeight="1">
      <c r="A695" t="inlineStr">
        <is>
          <t>A 37715-2022</t>
        </is>
      </c>
      <c r="B695" s="1" t="n">
        <v>44810</v>
      </c>
      <c r="C695" s="1" t="n">
        <v>45986</v>
      </c>
      <c r="D695" t="inlineStr">
        <is>
          <t>ÖSTERGÖTLANDS LÄN</t>
        </is>
      </c>
      <c r="E695" t="inlineStr">
        <is>
          <t>LINKÖPING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30429-2024</t>
        </is>
      </c>
      <c r="B696" s="1" t="n">
        <v>45491.68972222223</v>
      </c>
      <c r="C696" s="1" t="n">
        <v>45986</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30435-2024</t>
        </is>
      </c>
      <c r="B697" s="1" t="n">
        <v>45491.69962962963</v>
      </c>
      <c r="C697" s="1" t="n">
        <v>45986</v>
      </c>
      <c r="D697" t="inlineStr">
        <is>
          <t>ÖSTERGÖTLANDS LÄN</t>
        </is>
      </c>
      <c r="E697" t="inlineStr">
        <is>
          <t>LINKÖPING</t>
        </is>
      </c>
      <c r="G697" t="n">
        <v>1.9</v>
      </c>
      <c r="H697" t="n">
        <v>0</v>
      </c>
      <c r="I697" t="n">
        <v>0</v>
      </c>
      <c r="J697" t="n">
        <v>0</v>
      </c>
      <c r="K697" t="n">
        <v>0</v>
      </c>
      <c r="L697" t="n">
        <v>0</v>
      </c>
      <c r="M697" t="n">
        <v>0</v>
      </c>
      <c r="N697" t="n">
        <v>0</v>
      </c>
      <c r="O697" t="n">
        <v>0</v>
      </c>
      <c r="P697" t="n">
        <v>0</v>
      </c>
      <c r="Q697" t="n">
        <v>0</v>
      </c>
      <c r="R697" s="2" t="inlineStr"/>
    </row>
    <row r="698" ht="15" customHeight="1">
      <c r="A698" t="inlineStr">
        <is>
          <t>A 4927-2021</t>
        </is>
      </c>
      <c r="B698" s="1" t="n">
        <v>44227.57215277778</v>
      </c>
      <c r="C698" s="1" t="n">
        <v>45986</v>
      </c>
      <c r="D698" t="inlineStr">
        <is>
          <t>ÖSTERGÖTLANDS LÄN</t>
        </is>
      </c>
      <c r="E698" t="inlineStr">
        <is>
          <t>LINKÖPING</t>
        </is>
      </c>
      <c r="G698" t="n">
        <v>0.3</v>
      </c>
      <c r="H698" t="n">
        <v>0</v>
      </c>
      <c r="I698" t="n">
        <v>0</v>
      </c>
      <c r="J698" t="n">
        <v>0</v>
      </c>
      <c r="K698" t="n">
        <v>0</v>
      </c>
      <c r="L698" t="n">
        <v>0</v>
      </c>
      <c r="M698" t="n">
        <v>0</v>
      </c>
      <c r="N698" t="n">
        <v>0</v>
      </c>
      <c r="O698" t="n">
        <v>0</v>
      </c>
      <c r="P698" t="n">
        <v>0</v>
      </c>
      <c r="Q698" t="n">
        <v>0</v>
      </c>
      <c r="R698" s="2" t="inlineStr"/>
    </row>
    <row r="699" ht="15" customHeight="1">
      <c r="A699" t="inlineStr">
        <is>
          <t>A 38231-2022</t>
        </is>
      </c>
      <c r="B699" s="1" t="n">
        <v>44812</v>
      </c>
      <c r="C699" s="1" t="n">
        <v>45986</v>
      </c>
      <c r="D699" t="inlineStr">
        <is>
          <t>ÖSTERGÖTLANDS LÄN</t>
        </is>
      </c>
      <c r="E699" t="inlineStr">
        <is>
          <t>LINKÖPING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34557-2022</t>
        </is>
      </c>
      <c r="B700" s="1" t="n">
        <v>44794.57074074074</v>
      </c>
      <c r="C700" s="1" t="n">
        <v>45986</v>
      </c>
      <c r="D700" t="inlineStr">
        <is>
          <t>ÖSTERGÖTLANDS LÄN</t>
        </is>
      </c>
      <c r="E700" t="inlineStr">
        <is>
          <t>LINKÖPING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13011-2022</t>
        </is>
      </c>
      <c r="B701" s="1" t="n">
        <v>44643</v>
      </c>
      <c r="C701" s="1" t="n">
        <v>45986</v>
      </c>
      <c r="D701" t="inlineStr">
        <is>
          <t>ÖSTERGÖTLANDS LÄN</t>
        </is>
      </c>
      <c r="E701" t="inlineStr">
        <is>
          <t>LINKÖPING</t>
        </is>
      </c>
      <c r="G701" t="n">
        <v>3.7</v>
      </c>
      <c r="H701" t="n">
        <v>0</v>
      </c>
      <c r="I701" t="n">
        <v>0</v>
      </c>
      <c r="J701" t="n">
        <v>0</v>
      </c>
      <c r="K701" t="n">
        <v>0</v>
      </c>
      <c r="L701" t="n">
        <v>0</v>
      </c>
      <c r="M701" t="n">
        <v>0</v>
      </c>
      <c r="N701" t="n">
        <v>0</v>
      </c>
      <c r="O701" t="n">
        <v>0</v>
      </c>
      <c r="P701" t="n">
        <v>0</v>
      </c>
      <c r="Q701" t="n">
        <v>0</v>
      </c>
      <c r="R701" s="2" t="inlineStr"/>
    </row>
    <row r="702" ht="15" customHeight="1">
      <c r="A702" t="inlineStr">
        <is>
          <t>A 617-2024</t>
        </is>
      </c>
      <c r="B702" s="1" t="n">
        <v>45299.66028935185</v>
      </c>
      <c r="C702" s="1" t="n">
        <v>45986</v>
      </c>
      <c r="D702" t="inlineStr">
        <is>
          <t>ÖSTERGÖTLANDS LÄN</t>
        </is>
      </c>
      <c r="E702" t="inlineStr">
        <is>
          <t>LINKÖPING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19362-2023</t>
        </is>
      </c>
      <c r="B703" s="1" t="n">
        <v>45049</v>
      </c>
      <c r="C703" s="1" t="n">
        <v>45986</v>
      </c>
      <c r="D703" t="inlineStr">
        <is>
          <t>ÖSTERGÖTLANDS LÄN</t>
        </is>
      </c>
      <c r="E703" t="inlineStr">
        <is>
          <t>LINKÖPING</t>
        </is>
      </c>
      <c r="G703" t="n">
        <v>0.1</v>
      </c>
      <c r="H703" t="n">
        <v>0</v>
      </c>
      <c r="I703" t="n">
        <v>0</v>
      </c>
      <c r="J703" t="n">
        <v>0</v>
      </c>
      <c r="K703" t="n">
        <v>0</v>
      </c>
      <c r="L703" t="n">
        <v>0</v>
      </c>
      <c r="M703" t="n">
        <v>0</v>
      </c>
      <c r="N703" t="n">
        <v>0</v>
      </c>
      <c r="O703" t="n">
        <v>0</v>
      </c>
      <c r="P703" t="n">
        <v>0</v>
      </c>
      <c r="Q703" t="n">
        <v>0</v>
      </c>
      <c r="R703" s="2" t="inlineStr"/>
    </row>
    <row r="704" ht="15" customHeight="1">
      <c r="A704" t="inlineStr">
        <is>
          <t>A 19132-2023</t>
        </is>
      </c>
      <c r="B704" s="1" t="n">
        <v>45048.54754629629</v>
      </c>
      <c r="C704" s="1" t="n">
        <v>45986</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31635-2023</t>
        </is>
      </c>
      <c r="B705" s="1" t="n">
        <v>45105</v>
      </c>
      <c r="C705" s="1" t="n">
        <v>45986</v>
      </c>
      <c r="D705" t="inlineStr">
        <is>
          <t>ÖSTERGÖTLANDS LÄN</t>
        </is>
      </c>
      <c r="E705" t="inlineStr">
        <is>
          <t>LINKÖPING</t>
        </is>
      </c>
      <c r="F705" t="inlineStr">
        <is>
          <t>Övriga statliga verk och myndigheter</t>
        </is>
      </c>
      <c r="G705" t="n">
        <v>4.6</v>
      </c>
      <c r="H705" t="n">
        <v>0</v>
      </c>
      <c r="I705" t="n">
        <v>0</v>
      </c>
      <c r="J705" t="n">
        <v>0</v>
      </c>
      <c r="K705" t="n">
        <v>0</v>
      </c>
      <c r="L705" t="n">
        <v>0</v>
      </c>
      <c r="M705" t="n">
        <v>0</v>
      </c>
      <c r="N705" t="n">
        <v>0</v>
      </c>
      <c r="O705" t="n">
        <v>0</v>
      </c>
      <c r="P705" t="n">
        <v>0</v>
      </c>
      <c r="Q705" t="n">
        <v>0</v>
      </c>
      <c r="R705" s="2" t="inlineStr"/>
    </row>
    <row r="706" ht="15" customHeight="1">
      <c r="A706" t="inlineStr">
        <is>
          <t>A 20296-2025</t>
        </is>
      </c>
      <c r="B706" s="1" t="n">
        <v>45774.74922453704</v>
      </c>
      <c r="C706" s="1" t="n">
        <v>45986</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67129-2020</t>
        </is>
      </c>
      <c r="B707" s="1" t="n">
        <v>44180</v>
      </c>
      <c r="C707" s="1" t="n">
        <v>45986</v>
      </c>
      <c r="D707" t="inlineStr">
        <is>
          <t>ÖSTERGÖTLANDS LÄN</t>
        </is>
      </c>
      <c r="E707" t="inlineStr">
        <is>
          <t>LINKÖPING</t>
        </is>
      </c>
      <c r="F707" t="inlineStr">
        <is>
          <t>Övriga statliga verk och myndigheter</t>
        </is>
      </c>
      <c r="G707" t="n">
        <v>2.7</v>
      </c>
      <c r="H707" t="n">
        <v>0</v>
      </c>
      <c r="I707" t="n">
        <v>0</v>
      </c>
      <c r="J707" t="n">
        <v>0</v>
      </c>
      <c r="K707" t="n">
        <v>0</v>
      </c>
      <c r="L707" t="n">
        <v>0</v>
      </c>
      <c r="M707" t="n">
        <v>0</v>
      </c>
      <c r="N707" t="n">
        <v>0</v>
      </c>
      <c r="O707" t="n">
        <v>0</v>
      </c>
      <c r="P707" t="n">
        <v>0</v>
      </c>
      <c r="Q707" t="n">
        <v>0</v>
      </c>
      <c r="R707" s="2" t="inlineStr"/>
    </row>
    <row r="708" ht="15" customHeight="1">
      <c r="A708" t="inlineStr">
        <is>
          <t>A 22770-2024</t>
        </is>
      </c>
      <c r="B708" s="1" t="n">
        <v>45448.4634375</v>
      </c>
      <c r="C708" s="1" t="n">
        <v>45986</v>
      </c>
      <c r="D708" t="inlineStr">
        <is>
          <t>ÖSTERGÖTLANDS LÄN</t>
        </is>
      </c>
      <c r="E708" t="inlineStr">
        <is>
          <t>LINKÖPING</t>
        </is>
      </c>
      <c r="F708" t="inlineStr">
        <is>
          <t>Sveaskog</t>
        </is>
      </c>
      <c r="G708" t="n">
        <v>3.4</v>
      </c>
      <c r="H708" t="n">
        <v>0</v>
      </c>
      <c r="I708" t="n">
        <v>0</v>
      </c>
      <c r="J708" t="n">
        <v>0</v>
      </c>
      <c r="K708" t="n">
        <v>0</v>
      </c>
      <c r="L708" t="n">
        <v>0</v>
      </c>
      <c r="M708" t="n">
        <v>0</v>
      </c>
      <c r="N708" t="n">
        <v>0</v>
      </c>
      <c r="O708" t="n">
        <v>0</v>
      </c>
      <c r="P708" t="n">
        <v>0</v>
      </c>
      <c r="Q708" t="n">
        <v>0</v>
      </c>
      <c r="R708" s="2" t="inlineStr"/>
    </row>
    <row r="709" ht="15" customHeight="1">
      <c r="A709" t="inlineStr">
        <is>
          <t>A 11595-2025</t>
        </is>
      </c>
      <c r="B709" s="1" t="n">
        <v>45727.41893518518</v>
      </c>
      <c r="C709" s="1" t="n">
        <v>45986</v>
      </c>
      <c r="D709" t="inlineStr">
        <is>
          <t>ÖSTERGÖTLANDS LÄN</t>
        </is>
      </c>
      <c r="E709" t="inlineStr">
        <is>
          <t>LINKÖPING</t>
        </is>
      </c>
      <c r="G709" t="n">
        <v>6.6</v>
      </c>
      <c r="H709" t="n">
        <v>0</v>
      </c>
      <c r="I709" t="n">
        <v>0</v>
      </c>
      <c r="J709" t="n">
        <v>0</v>
      </c>
      <c r="K709" t="n">
        <v>0</v>
      </c>
      <c r="L709" t="n">
        <v>0</v>
      </c>
      <c r="M709" t="n">
        <v>0</v>
      </c>
      <c r="N709" t="n">
        <v>0</v>
      </c>
      <c r="O709" t="n">
        <v>0</v>
      </c>
      <c r="P709" t="n">
        <v>0</v>
      </c>
      <c r="Q709" t="n">
        <v>0</v>
      </c>
      <c r="R709" s="2" t="inlineStr"/>
    </row>
    <row r="710" ht="15" customHeight="1">
      <c r="A710" t="inlineStr">
        <is>
          <t>A 48839-2022</t>
        </is>
      </c>
      <c r="B710" s="1" t="n">
        <v>44859</v>
      </c>
      <c r="C710" s="1" t="n">
        <v>45986</v>
      </c>
      <c r="D710" t="inlineStr">
        <is>
          <t>ÖSTERGÖTLANDS LÄN</t>
        </is>
      </c>
      <c r="E710" t="inlineStr">
        <is>
          <t>LINKÖPING</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8967-2025</t>
        </is>
      </c>
      <c r="B711" s="1" t="n">
        <v>45712</v>
      </c>
      <c r="C711" s="1" t="n">
        <v>45986</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63678-2023</t>
        </is>
      </c>
      <c r="B712" s="1" t="n">
        <v>45275.64769675926</v>
      </c>
      <c r="C712" s="1" t="n">
        <v>45986</v>
      </c>
      <c r="D712" t="inlineStr">
        <is>
          <t>ÖSTERGÖTLANDS LÄN</t>
        </is>
      </c>
      <c r="E712" t="inlineStr">
        <is>
          <t>LINKÖPING</t>
        </is>
      </c>
      <c r="F712" t="inlineStr">
        <is>
          <t>Övriga Aktiebolag</t>
        </is>
      </c>
      <c r="G712" t="n">
        <v>0.4</v>
      </c>
      <c r="H712" t="n">
        <v>0</v>
      </c>
      <c r="I712" t="n">
        <v>0</v>
      </c>
      <c r="J712" t="n">
        <v>0</v>
      </c>
      <c r="K712" t="n">
        <v>0</v>
      </c>
      <c r="L712" t="n">
        <v>0</v>
      </c>
      <c r="M712" t="n">
        <v>0</v>
      </c>
      <c r="N712" t="n">
        <v>0</v>
      </c>
      <c r="O712" t="n">
        <v>0</v>
      </c>
      <c r="P712" t="n">
        <v>0</v>
      </c>
      <c r="Q712" t="n">
        <v>0</v>
      </c>
      <c r="R712" s="2" t="inlineStr"/>
    </row>
    <row r="713" ht="15" customHeight="1">
      <c r="A713" t="inlineStr">
        <is>
          <t>A 1844-2025</t>
        </is>
      </c>
      <c r="B713" s="1" t="n">
        <v>45671.57730324074</v>
      </c>
      <c r="C713" s="1" t="n">
        <v>45986</v>
      </c>
      <c r="D713" t="inlineStr">
        <is>
          <t>ÖSTERGÖTLANDS LÄN</t>
        </is>
      </c>
      <c r="E713" t="inlineStr">
        <is>
          <t>LINKÖPING</t>
        </is>
      </c>
      <c r="G713" t="n">
        <v>2</v>
      </c>
      <c r="H713" t="n">
        <v>0</v>
      </c>
      <c r="I713" t="n">
        <v>0</v>
      </c>
      <c r="J713" t="n">
        <v>0</v>
      </c>
      <c r="K713" t="n">
        <v>0</v>
      </c>
      <c r="L713" t="n">
        <v>0</v>
      </c>
      <c r="M713" t="n">
        <v>0</v>
      </c>
      <c r="N713" t="n">
        <v>0</v>
      </c>
      <c r="O713" t="n">
        <v>0</v>
      </c>
      <c r="P713" t="n">
        <v>0</v>
      </c>
      <c r="Q713" t="n">
        <v>0</v>
      </c>
      <c r="R713" s="2" t="inlineStr"/>
    </row>
    <row r="714" ht="15" customHeight="1">
      <c r="A714" t="inlineStr">
        <is>
          <t>A 21165-2025</t>
        </is>
      </c>
      <c r="B714" s="1" t="n">
        <v>45779.39417824074</v>
      </c>
      <c r="C714" s="1" t="n">
        <v>45986</v>
      </c>
      <c r="D714" t="inlineStr">
        <is>
          <t>ÖSTERGÖTLANDS LÄN</t>
        </is>
      </c>
      <c r="E714" t="inlineStr">
        <is>
          <t>LINKÖPING</t>
        </is>
      </c>
      <c r="G714" t="n">
        <v>1.2</v>
      </c>
      <c r="H714" t="n">
        <v>0</v>
      </c>
      <c r="I714" t="n">
        <v>0</v>
      </c>
      <c r="J714" t="n">
        <v>0</v>
      </c>
      <c r="K714" t="n">
        <v>0</v>
      </c>
      <c r="L714" t="n">
        <v>0</v>
      </c>
      <c r="M714" t="n">
        <v>0</v>
      </c>
      <c r="N714" t="n">
        <v>0</v>
      </c>
      <c r="O714" t="n">
        <v>0</v>
      </c>
      <c r="P714" t="n">
        <v>0</v>
      </c>
      <c r="Q714" t="n">
        <v>0</v>
      </c>
      <c r="R714" s="2" t="inlineStr"/>
    </row>
    <row r="715">
      <c r="A715" t="inlineStr">
        <is>
          <t>A 21155-2025</t>
        </is>
      </c>
      <c r="B715" s="1" t="n">
        <v>45779.37586805555</v>
      </c>
      <c r="C715" s="1" t="n">
        <v>45986</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2025-11-25T10:21:16Z</dcterms:created>
  <dcterms:modified xmlns:dcterms="http://purl.org/dc/terms/" xmlns:xsi="http://www.w3.org/2001/XMLSchema-instance" xsi:type="dcterms:W3CDTF">2025-11-25T10:21:16Z</dcterms:modified>
</cp:coreProperties>
</file>