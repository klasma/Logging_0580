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46109</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46109</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46109</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46109</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46109</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46109</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46109</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15475-2021</t>
        </is>
      </c>
      <c r="B15" s="1" t="n">
        <v>44285</v>
      </c>
      <c r="C15" s="1" t="n">
        <v>46109</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46109</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40469-2024</t>
        </is>
      </c>
      <c r="B17" s="1" t="n">
        <v>45555.53145833333</v>
      </c>
      <c r="C17" s="1" t="n">
        <v>46109</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577-2025</t>
        </is>
      </c>
      <c r="B18" s="1" t="n">
        <v>45664.56525462963</v>
      </c>
      <c r="C18" s="1" t="n">
        <v>46109</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46109</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46109</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11097-2026</t>
        </is>
      </c>
      <c r="B21" s="1" t="n">
        <v>46079.64511574074</v>
      </c>
      <c r="C21" s="1" t="n">
        <v>46109</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46109</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6353-2026</t>
        </is>
      </c>
      <c r="B23" s="1" t="n">
        <v>46055.61385416667</v>
      </c>
      <c r="C23" s="1" t="n">
        <v>46109</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46109</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46109</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46109</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46109</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46109</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46109</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46109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46109</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27981-2022</t>
        </is>
      </c>
      <c r="B32" s="1" t="n">
        <v>44745</v>
      </c>
      <c r="C32" s="1" t="n">
        <v>46109</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27795-2025</t>
        </is>
      </c>
      <c r="B33" s="1" t="n">
        <v>45816.7908912037</v>
      </c>
      <c r="C33" s="1" t="n">
        <v>46109</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50048-2025</t>
        </is>
      </c>
      <c r="B34" s="1" t="n">
        <v>45941</v>
      </c>
      <c r="C34" s="1" t="n">
        <v>46109</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3912-2026</t>
        </is>
      </c>
      <c r="B35" s="1" t="n">
        <v>46043.71958333333</v>
      </c>
      <c r="C35" s="1" t="n">
        <v>46109</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12494-2026</t>
        </is>
      </c>
      <c r="B36" s="1" t="n">
        <v>46090.56896990741</v>
      </c>
      <c r="C36" s="1" t="n">
        <v>46109</v>
      </c>
      <c r="D36" t="inlineStr">
        <is>
          <t>ÖSTERGÖTLANDS LÄN</t>
        </is>
      </c>
      <c r="E36" t="inlineStr">
        <is>
          <t>LINKÖPING</t>
        </is>
      </c>
      <c r="G36" t="n">
        <v>3.4</v>
      </c>
      <c r="H36" t="n">
        <v>0</v>
      </c>
      <c r="I36" t="n">
        <v>0</v>
      </c>
      <c r="J36" t="n">
        <v>1</v>
      </c>
      <c r="K36" t="n">
        <v>1</v>
      </c>
      <c r="L36" t="n">
        <v>0</v>
      </c>
      <c r="M36" t="n">
        <v>0</v>
      </c>
      <c r="N36" t="n">
        <v>0</v>
      </c>
      <c r="O36" t="n">
        <v>2</v>
      </c>
      <c r="P36" t="n">
        <v>1</v>
      </c>
      <c r="Q36" t="n">
        <v>2</v>
      </c>
      <c r="R36" s="2" t="inlineStr">
        <is>
          <t>Slåttergubbe
Svinrot</t>
        </is>
      </c>
      <c r="S36">
        <f>HYPERLINK("https://klasma.github.io/Logging_0580/artfynd/A 12494-2026 artfynd.xlsx", "A 12494-2026")</f>
        <v/>
      </c>
      <c r="T36">
        <f>HYPERLINK("https://klasma.github.io/Logging_0580/kartor/A 12494-2026 karta.png", "A 12494-2026")</f>
        <v/>
      </c>
      <c r="V36">
        <f>HYPERLINK("https://klasma.github.io/Logging_0580/klagomål/A 12494-2026 FSC-klagomål.docx", "A 12494-2026")</f>
        <v/>
      </c>
      <c r="W36">
        <f>HYPERLINK("https://klasma.github.io/Logging_0580/klagomålsmail/A 12494-2026 FSC-klagomål mail.docx", "A 12494-2026")</f>
        <v/>
      </c>
      <c r="X36">
        <f>HYPERLINK("https://klasma.github.io/Logging_0580/tillsyn/A 12494-2026 tillsynsbegäran.docx", "A 12494-2026")</f>
        <v/>
      </c>
      <c r="Y36">
        <f>HYPERLINK("https://klasma.github.io/Logging_0580/tillsynsmail/A 12494-2026 tillsynsbegäran mail.docx", "A 12494-2026")</f>
        <v/>
      </c>
    </row>
    <row r="37" ht="15" customHeight="1">
      <c r="A37" t="inlineStr">
        <is>
          <t>A 25985-2025</t>
        </is>
      </c>
      <c r="B37" s="1" t="n">
        <v>45804.64479166667</v>
      </c>
      <c r="C37" s="1" t="n">
        <v>46109</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15844-2026</t>
        </is>
      </c>
      <c r="B38" s="1" t="n">
        <v>46107.56542824074</v>
      </c>
      <c r="C38" s="1" t="n">
        <v>46109</v>
      </c>
      <c r="D38" t="inlineStr">
        <is>
          <t>ÖSTERGÖTLANDS LÄN</t>
        </is>
      </c>
      <c r="E38" t="inlineStr">
        <is>
          <t>LINKÖPING</t>
        </is>
      </c>
      <c r="F38" t="inlineStr">
        <is>
          <t>Sveaskog</t>
        </is>
      </c>
      <c r="G38" t="n">
        <v>10.6</v>
      </c>
      <c r="H38" t="n">
        <v>0</v>
      </c>
      <c r="I38" t="n">
        <v>2</v>
      </c>
      <c r="J38" t="n">
        <v>0</v>
      </c>
      <c r="K38" t="n">
        <v>0</v>
      </c>
      <c r="L38" t="n">
        <v>0</v>
      </c>
      <c r="M38" t="n">
        <v>0</v>
      </c>
      <c r="N38" t="n">
        <v>0</v>
      </c>
      <c r="O38" t="n">
        <v>0</v>
      </c>
      <c r="P38" t="n">
        <v>0</v>
      </c>
      <c r="Q38" t="n">
        <v>2</v>
      </c>
      <c r="R38" s="2" t="inlineStr">
        <is>
          <t>Fällmossa
Toppvaxing</t>
        </is>
      </c>
      <c r="S38">
        <f>HYPERLINK("https://klasma.github.io/Logging_0580/artfynd/A 15844-2026 artfynd.xlsx", "A 15844-2026")</f>
        <v/>
      </c>
      <c r="T38">
        <f>HYPERLINK("https://klasma.github.io/Logging_0580/kartor/A 15844-2026 karta.png", "A 15844-2026")</f>
        <v/>
      </c>
      <c r="V38">
        <f>HYPERLINK("https://klasma.github.io/Logging_0580/klagomål/A 15844-2026 FSC-klagomål.docx", "A 15844-2026")</f>
        <v/>
      </c>
      <c r="W38">
        <f>HYPERLINK("https://klasma.github.io/Logging_0580/klagomålsmail/A 15844-2026 FSC-klagomål mail.docx", "A 15844-2026")</f>
        <v/>
      </c>
      <c r="X38">
        <f>HYPERLINK("https://klasma.github.io/Logging_0580/tillsyn/A 15844-2026 tillsynsbegäran.docx", "A 15844-2026")</f>
        <v/>
      </c>
      <c r="Y38">
        <f>HYPERLINK("https://klasma.github.io/Logging_0580/tillsynsmail/A 15844-2026 tillsynsbegäran mail.docx", "A 15844-2026")</f>
        <v/>
      </c>
    </row>
    <row r="39" ht="15" customHeight="1">
      <c r="A39" t="inlineStr">
        <is>
          <t>A 15856-2026</t>
        </is>
      </c>
      <c r="B39" s="1" t="n">
        <v>46107.57620370371</v>
      </c>
      <c r="C39" s="1" t="n">
        <v>46109</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42858-2023</t>
        </is>
      </c>
      <c r="B40" s="1" t="n">
        <v>45177</v>
      </c>
      <c r="C40" s="1" t="n">
        <v>46109</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11613-2025</t>
        </is>
      </c>
      <c r="B41" s="1" t="n">
        <v>45727.44623842592</v>
      </c>
      <c r="C41" s="1" t="n">
        <v>46109</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41751-2023</t>
        </is>
      </c>
      <c r="B42" s="1" t="n">
        <v>45176</v>
      </c>
      <c r="C42" s="1" t="n">
        <v>46109</v>
      </c>
      <c r="D42" t="inlineStr">
        <is>
          <t>ÖSTERGÖTLANDS LÄN</t>
        </is>
      </c>
      <c r="E42" t="inlineStr">
        <is>
          <t>LINKÖPING</t>
        </is>
      </c>
      <c r="G42" t="n">
        <v>1.5</v>
      </c>
      <c r="H42" t="n">
        <v>1</v>
      </c>
      <c r="I42" t="n">
        <v>0</v>
      </c>
      <c r="J42" t="n">
        <v>1</v>
      </c>
      <c r="K42" t="n">
        <v>0</v>
      </c>
      <c r="L42" t="n">
        <v>0</v>
      </c>
      <c r="M42" t="n">
        <v>0</v>
      </c>
      <c r="N42" t="n">
        <v>0</v>
      </c>
      <c r="O42" t="n">
        <v>1</v>
      </c>
      <c r="P42" t="n">
        <v>0</v>
      </c>
      <c r="Q42" t="n">
        <v>2</v>
      </c>
      <c r="R42" s="2" t="inlineStr">
        <is>
          <t>Svinrot
Grönvit nattviol</t>
        </is>
      </c>
      <c r="S42">
        <f>HYPERLINK("https://klasma.github.io/Logging_0580/artfynd/A 41751-2023 artfynd.xlsx", "A 41751-2023")</f>
        <v/>
      </c>
      <c r="T42">
        <f>HYPERLINK("https://klasma.github.io/Logging_0580/kartor/A 41751-2023 karta.png", "A 41751-2023")</f>
        <v/>
      </c>
      <c r="V42">
        <f>HYPERLINK("https://klasma.github.io/Logging_0580/klagomål/A 41751-2023 FSC-klagomål.docx", "A 41751-2023")</f>
        <v/>
      </c>
      <c r="W42">
        <f>HYPERLINK("https://klasma.github.io/Logging_0580/klagomålsmail/A 41751-2023 FSC-klagomål mail.docx", "A 41751-2023")</f>
        <v/>
      </c>
      <c r="X42">
        <f>HYPERLINK("https://klasma.github.io/Logging_0580/tillsyn/A 41751-2023 tillsynsbegäran.docx", "A 41751-2023")</f>
        <v/>
      </c>
      <c r="Y42">
        <f>HYPERLINK("https://klasma.github.io/Logging_0580/tillsynsmail/A 41751-2023 tillsynsbegäran mail.docx", "A 41751-2023")</f>
        <v/>
      </c>
    </row>
    <row r="43" ht="15" customHeight="1">
      <c r="A43" t="inlineStr">
        <is>
          <t>A 8818-2025</t>
        </is>
      </c>
      <c r="B43" s="1" t="n">
        <v>45712</v>
      </c>
      <c r="C43" s="1" t="n">
        <v>46109</v>
      </c>
      <c r="D43" t="inlineStr">
        <is>
          <t>ÖSTERGÖTLANDS LÄN</t>
        </is>
      </c>
      <c r="E43" t="inlineStr">
        <is>
          <t>LINKÖPING</t>
        </is>
      </c>
      <c r="F43" t="inlineStr">
        <is>
          <t>Kommuner</t>
        </is>
      </c>
      <c r="G43" t="n">
        <v>0.6</v>
      </c>
      <c r="H43" t="n">
        <v>0</v>
      </c>
      <c r="I43" t="n">
        <v>0</v>
      </c>
      <c r="J43" t="n">
        <v>1</v>
      </c>
      <c r="K43" t="n">
        <v>1</v>
      </c>
      <c r="L43" t="n">
        <v>0</v>
      </c>
      <c r="M43" t="n">
        <v>0</v>
      </c>
      <c r="N43" t="n">
        <v>0</v>
      </c>
      <c r="O43" t="n">
        <v>2</v>
      </c>
      <c r="P43" t="n">
        <v>1</v>
      </c>
      <c r="Q43" t="n">
        <v>2</v>
      </c>
      <c r="R43" s="2" t="inlineStr">
        <is>
          <t>Luddvicker
Klubbsprötad bastardsvärmare</t>
        </is>
      </c>
      <c r="S43">
        <f>HYPERLINK("https://klasma.github.io/Logging_0580/artfynd/A 8818-2025 artfynd.xlsx", "A 8818-2025")</f>
        <v/>
      </c>
      <c r="T43">
        <f>HYPERLINK("https://klasma.github.io/Logging_0580/kartor/A 8818-2025 karta.png", "A 8818-2025")</f>
        <v/>
      </c>
      <c r="V43">
        <f>HYPERLINK("https://klasma.github.io/Logging_0580/klagomål/A 8818-2025 FSC-klagomål.docx", "A 8818-2025")</f>
        <v/>
      </c>
      <c r="W43">
        <f>HYPERLINK("https://klasma.github.io/Logging_0580/klagomålsmail/A 8818-2025 FSC-klagomål mail.docx", "A 8818-2025")</f>
        <v/>
      </c>
      <c r="X43">
        <f>HYPERLINK("https://klasma.github.io/Logging_0580/tillsyn/A 8818-2025 tillsynsbegäran.docx", "A 8818-2025")</f>
        <v/>
      </c>
      <c r="Y43">
        <f>HYPERLINK("https://klasma.github.io/Logging_0580/tillsynsmail/A 8818-2025 tillsynsbegäran mail.docx", "A 8818-2025")</f>
        <v/>
      </c>
    </row>
    <row r="44" ht="15" customHeight="1">
      <c r="A44" t="inlineStr">
        <is>
          <t>A 14879-2024</t>
        </is>
      </c>
      <c r="B44" s="1" t="n">
        <v>45398</v>
      </c>
      <c r="C44" s="1" t="n">
        <v>46109</v>
      </c>
      <c r="D44" t="inlineStr">
        <is>
          <t>ÖSTERGÖTLANDS LÄN</t>
        </is>
      </c>
      <c r="E44" t="inlineStr">
        <is>
          <t>LINKÖPING</t>
        </is>
      </c>
      <c r="F44" t="inlineStr">
        <is>
          <t>Övriga Aktiebolag</t>
        </is>
      </c>
      <c r="G44" t="n">
        <v>1.7</v>
      </c>
      <c r="H44" t="n">
        <v>1</v>
      </c>
      <c r="I44" t="n">
        <v>1</v>
      </c>
      <c r="J44" t="n">
        <v>0</v>
      </c>
      <c r="K44" t="n">
        <v>0</v>
      </c>
      <c r="L44" t="n">
        <v>0</v>
      </c>
      <c r="M44" t="n">
        <v>0</v>
      </c>
      <c r="N44" t="n">
        <v>0</v>
      </c>
      <c r="O44" t="n">
        <v>0</v>
      </c>
      <c r="P44" t="n">
        <v>0</v>
      </c>
      <c r="Q44" t="n">
        <v>2</v>
      </c>
      <c r="R44" s="2" t="inlineStr">
        <is>
          <t>Svart trolldruva
Grönvit nattviol</t>
        </is>
      </c>
      <c r="S44">
        <f>HYPERLINK("https://klasma.github.io/Logging_0580/artfynd/A 14879-2024 artfynd.xlsx", "A 14879-2024")</f>
        <v/>
      </c>
      <c r="T44">
        <f>HYPERLINK("https://klasma.github.io/Logging_0580/kartor/A 14879-2024 karta.png", "A 14879-2024")</f>
        <v/>
      </c>
      <c r="V44">
        <f>HYPERLINK("https://klasma.github.io/Logging_0580/klagomål/A 14879-2024 FSC-klagomål.docx", "A 14879-2024")</f>
        <v/>
      </c>
      <c r="W44">
        <f>HYPERLINK("https://klasma.github.io/Logging_0580/klagomålsmail/A 14879-2024 FSC-klagomål mail.docx", "A 14879-2024")</f>
        <v/>
      </c>
      <c r="X44">
        <f>HYPERLINK("https://klasma.github.io/Logging_0580/tillsyn/A 14879-2024 tillsynsbegäran.docx", "A 14879-2024")</f>
        <v/>
      </c>
      <c r="Y44">
        <f>HYPERLINK("https://klasma.github.io/Logging_0580/tillsynsmail/A 14879-2024 tillsynsbegäran mail.docx", "A 14879-2024")</f>
        <v/>
      </c>
    </row>
    <row r="45" ht="15" customHeight="1">
      <c r="A45" t="inlineStr">
        <is>
          <t>A 55344-2024</t>
        </is>
      </c>
      <c r="B45" s="1" t="n">
        <v>45621.7202662037</v>
      </c>
      <c r="C45" s="1" t="n">
        <v>46109</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20292-2025</t>
        </is>
      </c>
      <c r="B46" s="1" t="n">
        <v>45774.7449537037</v>
      </c>
      <c r="C46" s="1" t="n">
        <v>46109</v>
      </c>
      <c r="D46" t="inlineStr">
        <is>
          <t>ÖSTERGÖTLANDS LÄN</t>
        </is>
      </c>
      <c r="E46" t="inlineStr">
        <is>
          <t>LINKÖPING</t>
        </is>
      </c>
      <c r="G46" t="n">
        <v>8.4</v>
      </c>
      <c r="H46" t="n">
        <v>1</v>
      </c>
      <c r="I46" t="n">
        <v>1</v>
      </c>
      <c r="J46" t="n">
        <v>0</v>
      </c>
      <c r="K46" t="n">
        <v>0</v>
      </c>
      <c r="L46" t="n">
        <v>0</v>
      </c>
      <c r="M46" t="n">
        <v>0</v>
      </c>
      <c r="N46" t="n">
        <v>0</v>
      </c>
      <c r="O46" t="n">
        <v>0</v>
      </c>
      <c r="P46" t="n">
        <v>0</v>
      </c>
      <c r="Q46" t="n">
        <v>2</v>
      </c>
      <c r="R46" s="2" t="inlineStr">
        <is>
          <t>Blåmossa
Blåsippa</t>
        </is>
      </c>
      <c r="S46">
        <f>HYPERLINK("https://klasma.github.io/Logging_0580/artfynd/A 20292-2025 artfynd.xlsx", "A 20292-2025")</f>
        <v/>
      </c>
      <c r="T46">
        <f>HYPERLINK("https://klasma.github.io/Logging_0580/kartor/A 20292-2025 karta.png", "A 20292-2025")</f>
        <v/>
      </c>
      <c r="V46">
        <f>HYPERLINK("https://klasma.github.io/Logging_0580/klagomål/A 20292-2025 FSC-klagomål.docx", "A 20292-2025")</f>
        <v/>
      </c>
      <c r="W46">
        <f>HYPERLINK("https://klasma.github.io/Logging_0580/klagomålsmail/A 20292-2025 FSC-klagomål mail.docx", "A 20292-2025")</f>
        <v/>
      </c>
      <c r="X46">
        <f>HYPERLINK("https://klasma.github.io/Logging_0580/tillsyn/A 20292-2025 tillsynsbegäran.docx", "A 20292-2025")</f>
        <v/>
      </c>
      <c r="Y46">
        <f>HYPERLINK("https://klasma.github.io/Logging_0580/tillsynsmail/A 20292-2025 tillsynsbegäran mail.docx", "A 20292-2025")</f>
        <v/>
      </c>
    </row>
    <row r="47" ht="15" customHeight="1">
      <c r="A47" t="inlineStr">
        <is>
          <t>A 22040-2023</t>
        </is>
      </c>
      <c r="B47" s="1" t="n">
        <v>45068</v>
      </c>
      <c r="C47" s="1" t="n">
        <v>46109</v>
      </c>
      <c r="D47" t="inlineStr">
        <is>
          <t>ÖSTERGÖTLANDS LÄN</t>
        </is>
      </c>
      <c r="E47" t="inlineStr">
        <is>
          <t>LINKÖPING</t>
        </is>
      </c>
      <c r="F47" t="inlineStr">
        <is>
          <t>Kommuner</t>
        </is>
      </c>
      <c r="G47" t="n">
        <v>1</v>
      </c>
      <c r="H47" t="n">
        <v>1</v>
      </c>
      <c r="I47" t="n">
        <v>1</v>
      </c>
      <c r="J47" t="n">
        <v>0</v>
      </c>
      <c r="K47" t="n">
        <v>1</v>
      </c>
      <c r="L47" t="n">
        <v>0</v>
      </c>
      <c r="M47" t="n">
        <v>0</v>
      </c>
      <c r="N47" t="n">
        <v>0</v>
      </c>
      <c r="O47" t="n">
        <v>1</v>
      </c>
      <c r="P47" t="n">
        <v>1</v>
      </c>
      <c r="Q47" t="n">
        <v>2</v>
      </c>
      <c r="R47" s="2" t="inlineStr">
        <is>
          <t>Bombmurkla
Skarp dropptaggsvamp</t>
        </is>
      </c>
      <c r="S47">
        <f>HYPERLINK("https://klasma.github.io/Logging_0580/artfynd/A 22040-2023 artfynd.xlsx", "A 22040-2023")</f>
        <v/>
      </c>
      <c r="T47">
        <f>HYPERLINK("https://klasma.github.io/Logging_0580/kartor/A 22040-2023 karta.png", "A 22040-2023")</f>
        <v/>
      </c>
      <c r="V47">
        <f>HYPERLINK("https://klasma.github.io/Logging_0580/klagomål/A 22040-2023 FSC-klagomål.docx", "A 22040-2023")</f>
        <v/>
      </c>
      <c r="W47">
        <f>HYPERLINK("https://klasma.github.io/Logging_0580/klagomålsmail/A 22040-2023 FSC-klagomål mail.docx", "A 22040-2023")</f>
        <v/>
      </c>
      <c r="X47">
        <f>HYPERLINK("https://klasma.github.io/Logging_0580/tillsyn/A 22040-2023 tillsynsbegäran.docx", "A 22040-2023")</f>
        <v/>
      </c>
      <c r="Y47">
        <f>HYPERLINK("https://klasma.github.io/Logging_0580/tillsynsmail/A 22040-2023 tillsynsbegäran mail.docx", "A 22040-2023")</f>
        <v/>
      </c>
    </row>
    <row r="48" ht="15" customHeight="1">
      <c r="A48" t="inlineStr">
        <is>
          <t>A 50404-2023</t>
        </is>
      </c>
      <c r="B48" s="1" t="n">
        <v>45216</v>
      </c>
      <c r="C48" s="1" t="n">
        <v>46109</v>
      </c>
      <c r="D48" t="inlineStr">
        <is>
          <t>ÖSTERGÖTLANDS LÄN</t>
        </is>
      </c>
      <c r="E48" t="inlineStr">
        <is>
          <t>LINKÖPING</t>
        </is>
      </c>
      <c r="G48" t="n">
        <v>1.2</v>
      </c>
      <c r="H48" t="n">
        <v>1</v>
      </c>
      <c r="I48" t="n">
        <v>1</v>
      </c>
      <c r="J48" t="n">
        <v>0</v>
      </c>
      <c r="K48" t="n">
        <v>0</v>
      </c>
      <c r="L48" t="n">
        <v>0</v>
      </c>
      <c r="M48" t="n">
        <v>0</v>
      </c>
      <c r="N48" t="n">
        <v>0</v>
      </c>
      <c r="O48" t="n">
        <v>0</v>
      </c>
      <c r="P48" t="n">
        <v>0</v>
      </c>
      <c r="Q48" t="n">
        <v>2</v>
      </c>
      <c r="R48" s="2" t="inlineStr">
        <is>
          <t>Hasselticka
Gullviva</t>
        </is>
      </c>
      <c r="S48">
        <f>HYPERLINK("https://klasma.github.io/Logging_0580/artfynd/A 50404-2023 artfynd.xlsx", "A 50404-2023")</f>
        <v/>
      </c>
      <c r="T48">
        <f>HYPERLINK("https://klasma.github.io/Logging_0580/kartor/A 50404-2023 karta.png", "A 50404-2023")</f>
        <v/>
      </c>
      <c r="V48">
        <f>HYPERLINK("https://klasma.github.io/Logging_0580/klagomål/A 50404-2023 FSC-klagomål.docx", "A 50404-2023")</f>
        <v/>
      </c>
      <c r="W48">
        <f>HYPERLINK("https://klasma.github.io/Logging_0580/klagomålsmail/A 50404-2023 FSC-klagomål mail.docx", "A 50404-2023")</f>
        <v/>
      </c>
      <c r="X48">
        <f>HYPERLINK("https://klasma.github.io/Logging_0580/tillsyn/A 50404-2023 tillsynsbegäran.docx", "A 50404-2023")</f>
        <v/>
      </c>
      <c r="Y48">
        <f>HYPERLINK("https://klasma.github.io/Logging_0580/tillsynsmail/A 50404-2023 tillsynsbegäran mail.docx", "A 50404-2023")</f>
        <v/>
      </c>
    </row>
    <row r="49" ht="15" customHeight="1">
      <c r="A49" t="inlineStr">
        <is>
          <t>A 21326-2025</t>
        </is>
      </c>
      <c r="B49" s="1" t="n">
        <v>45782.35407407407</v>
      </c>
      <c r="C49" s="1" t="n">
        <v>46109</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38129-2021</t>
        </is>
      </c>
      <c r="B50" s="1" t="n">
        <v>44405.37199074074</v>
      </c>
      <c r="C50" s="1" t="n">
        <v>46109</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46109</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46109</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46109</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46109</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46109</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17389-2021</t>
        </is>
      </c>
      <c r="B56" s="1" t="n">
        <v>44298.96792824074</v>
      </c>
      <c r="C56" s="1" t="n">
        <v>46109</v>
      </c>
      <c r="D56" t="inlineStr">
        <is>
          <t>ÖSTERGÖTLANDS LÄN</t>
        </is>
      </c>
      <c r="E56" t="inlineStr">
        <is>
          <t>LINKÖPING</t>
        </is>
      </c>
      <c r="G56" t="n">
        <v>5.1</v>
      </c>
      <c r="H56" t="n">
        <v>0</v>
      </c>
      <c r="I56" t="n">
        <v>1</v>
      </c>
      <c r="J56" t="n">
        <v>0</v>
      </c>
      <c r="K56" t="n">
        <v>0</v>
      </c>
      <c r="L56" t="n">
        <v>0</v>
      </c>
      <c r="M56" t="n">
        <v>0</v>
      </c>
      <c r="N56" t="n">
        <v>0</v>
      </c>
      <c r="O56" t="n">
        <v>0</v>
      </c>
      <c r="P56" t="n">
        <v>0</v>
      </c>
      <c r="Q56" t="n">
        <v>1</v>
      </c>
      <c r="R56" s="2" t="inlineStr">
        <is>
          <t>Blomkålssvamp</t>
        </is>
      </c>
      <c r="S56">
        <f>HYPERLINK("https://klasma.github.io/Logging_0580/artfynd/A 17389-2021 artfynd.xlsx", "A 17389-2021")</f>
        <v/>
      </c>
      <c r="T56">
        <f>HYPERLINK("https://klasma.github.io/Logging_0580/kartor/A 17389-2021 karta.png", "A 17389-2021")</f>
        <v/>
      </c>
      <c r="V56">
        <f>HYPERLINK("https://klasma.github.io/Logging_0580/klagomål/A 17389-2021 FSC-klagomål.docx", "A 17389-2021")</f>
        <v/>
      </c>
      <c r="W56">
        <f>HYPERLINK("https://klasma.github.io/Logging_0580/klagomålsmail/A 17389-2021 FSC-klagomål mail.docx", "A 17389-2021")</f>
        <v/>
      </c>
      <c r="X56">
        <f>HYPERLINK("https://klasma.github.io/Logging_0580/tillsyn/A 17389-2021 tillsynsbegäran.docx", "A 17389-2021")</f>
        <v/>
      </c>
      <c r="Y56">
        <f>HYPERLINK("https://klasma.github.io/Logging_0580/tillsynsmail/A 17389-2021 tillsynsbegäran mail.docx", "A 17389-2021")</f>
        <v/>
      </c>
    </row>
    <row r="57" ht="15" customHeight="1">
      <c r="A57" t="inlineStr">
        <is>
          <t>A 40315-2024</t>
        </is>
      </c>
      <c r="B57" s="1" t="n">
        <v>45554.7571875</v>
      </c>
      <c r="C57" s="1" t="n">
        <v>46109</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41749-2023</t>
        </is>
      </c>
      <c r="B58" s="1" t="n">
        <v>45176</v>
      </c>
      <c r="C58" s="1" t="n">
        <v>46109</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22526-2025</t>
        </is>
      </c>
      <c r="B59" s="1" t="n">
        <v>45786.78096064815</v>
      </c>
      <c r="C59" s="1" t="n">
        <v>46109</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59474-2025</t>
        </is>
      </c>
      <c r="B60" s="1" t="n">
        <v>45989.58512731481</v>
      </c>
      <c r="C60" s="1" t="n">
        <v>46109</v>
      </c>
      <c r="D60" t="inlineStr">
        <is>
          <t>ÖSTERGÖTLANDS LÄN</t>
        </is>
      </c>
      <c r="E60" t="inlineStr">
        <is>
          <t>LINKÖPING</t>
        </is>
      </c>
      <c r="G60" t="n">
        <v>8</v>
      </c>
      <c r="H60" t="n">
        <v>0</v>
      </c>
      <c r="I60" t="n">
        <v>1</v>
      </c>
      <c r="J60" t="n">
        <v>0</v>
      </c>
      <c r="K60" t="n">
        <v>0</v>
      </c>
      <c r="L60" t="n">
        <v>0</v>
      </c>
      <c r="M60" t="n">
        <v>0</v>
      </c>
      <c r="N60" t="n">
        <v>0</v>
      </c>
      <c r="O60" t="n">
        <v>0</v>
      </c>
      <c r="P60" t="n">
        <v>0</v>
      </c>
      <c r="Q60" t="n">
        <v>1</v>
      </c>
      <c r="R60" s="2" t="inlineStr">
        <is>
          <t>Fällmossa</t>
        </is>
      </c>
      <c r="S60">
        <f>HYPERLINK("https://klasma.github.io/Logging_0580/artfynd/A 59474-2025 artfynd.xlsx", "A 59474-2025")</f>
        <v/>
      </c>
      <c r="T60">
        <f>HYPERLINK("https://klasma.github.io/Logging_0580/kartor/A 59474-2025 karta.png", "A 59474-2025")</f>
        <v/>
      </c>
      <c r="V60">
        <f>HYPERLINK("https://klasma.github.io/Logging_0580/klagomål/A 59474-2025 FSC-klagomål.docx", "A 59474-2025")</f>
        <v/>
      </c>
      <c r="W60">
        <f>HYPERLINK("https://klasma.github.io/Logging_0580/klagomålsmail/A 59474-2025 FSC-klagomål mail.docx", "A 59474-2025")</f>
        <v/>
      </c>
      <c r="X60">
        <f>HYPERLINK("https://klasma.github.io/Logging_0580/tillsyn/A 59474-2025 tillsynsbegäran.docx", "A 59474-2025")</f>
        <v/>
      </c>
      <c r="Y60">
        <f>HYPERLINK("https://klasma.github.io/Logging_0580/tillsynsmail/A 59474-2025 tillsynsbegäran mail.docx", "A 59474-2025")</f>
        <v/>
      </c>
    </row>
    <row r="61" ht="15" customHeight="1">
      <c r="A61" t="inlineStr">
        <is>
          <t>A 60311-2025</t>
        </is>
      </c>
      <c r="B61" s="1" t="n">
        <v>45994</v>
      </c>
      <c r="C61" s="1" t="n">
        <v>46109</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Gammelekslav</t>
        </is>
      </c>
      <c r="S61">
        <f>HYPERLINK("https://klasma.github.io/Logging_0580/artfynd/A 60311-2025 artfynd.xlsx", "A 60311-2025")</f>
        <v/>
      </c>
      <c r="T61">
        <f>HYPERLINK("https://klasma.github.io/Logging_0580/kartor/A 60311-2025 karta.png", "A 60311-2025")</f>
        <v/>
      </c>
      <c r="V61">
        <f>HYPERLINK("https://klasma.github.io/Logging_0580/klagomål/A 60311-2025 FSC-klagomål.docx", "A 60311-2025")</f>
        <v/>
      </c>
      <c r="W61">
        <f>HYPERLINK("https://klasma.github.io/Logging_0580/klagomålsmail/A 60311-2025 FSC-klagomål mail.docx", "A 60311-2025")</f>
        <v/>
      </c>
      <c r="X61">
        <f>HYPERLINK("https://klasma.github.io/Logging_0580/tillsyn/A 60311-2025 tillsynsbegäran.docx", "A 60311-2025")</f>
        <v/>
      </c>
      <c r="Y61">
        <f>HYPERLINK("https://klasma.github.io/Logging_0580/tillsynsmail/A 60311-2025 tillsynsbegäran mail.docx", "A 60311-2025")</f>
        <v/>
      </c>
    </row>
    <row r="62" ht="15" customHeight="1">
      <c r="A62" t="inlineStr">
        <is>
          <t>A 1213-2023</t>
        </is>
      </c>
      <c r="B62" s="1" t="n">
        <v>44930</v>
      </c>
      <c r="C62" s="1" t="n">
        <v>46109</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43989-2025</t>
        </is>
      </c>
      <c r="B63" s="1" t="n">
        <v>45915.44128472222</v>
      </c>
      <c r="C63" s="1" t="n">
        <v>46109</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46109</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50471-2024</t>
        </is>
      </c>
      <c r="B65" s="1" t="n">
        <v>45601.47166666666</v>
      </c>
      <c r="C65" s="1" t="n">
        <v>46109</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48273-2025</t>
        </is>
      </c>
      <c r="B66" s="1" t="n">
        <v>45932</v>
      </c>
      <c r="C66" s="1" t="n">
        <v>46109</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46109</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46109</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50806-2023</t>
        </is>
      </c>
      <c r="B69" s="1" t="n">
        <v>45217</v>
      </c>
      <c r="C69" s="1" t="n">
        <v>46109</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48347-2025</t>
        </is>
      </c>
      <c r="B70" s="1" t="n">
        <v>45932</v>
      </c>
      <c r="C70" s="1" t="n">
        <v>46109</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27403-2025</t>
        </is>
      </c>
      <c r="B71" s="1" t="n">
        <v>45812.72518518518</v>
      </c>
      <c r="C71" s="1" t="n">
        <v>46109</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29393-2025</t>
        </is>
      </c>
      <c r="B72" s="1" t="n">
        <v>45824.6057175926</v>
      </c>
      <c r="C72" s="1" t="n">
        <v>46109</v>
      </c>
      <c r="D72" t="inlineStr">
        <is>
          <t>ÖSTERGÖTLANDS LÄN</t>
        </is>
      </c>
      <c r="E72" t="inlineStr">
        <is>
          <t>LINKÖPING</t>
        </is>
      </c>
      <c r="F72" t="inlineStr">
        <is>
          <t>Sveaskog</t>
        </is>
      </c>
      <c r="G72" t="n">
        <v>24.6</v>
      </c>
      <c r="H72" t="n">
        <v>1</v>
      </c>
      <c r="I72" t="n">
        <v>0</v>
      </c>
      <c r="J72" t="n">
        <v>0</v>
      </c>
      <c r="K72" t="n">
        <v>1</v>
      </c>
      <c r="L72" t="n">
        <v>0</v>
      </c>
      <c r="M72" t="n">
        <v>0</v>
      </c>
      <c r="N72" t="n">
        <v>0</v>
      </c>
      <c r="O72" t="n">
        <v>1</v>
      </c>
      <c r="P72" t="n">
        <v>1</v>
      </c>
      <c r="Q72" t="n">
        <v>1</v>
      </c>
      <c r="R72" s="2" t="inlineStr">
        <is>
          <t>Skogsgås</t>
        </is>
      </c>
      <c r="S72">
        <f>HYPERLINK("https://klasma.github.io/Logging_0580/artfynd/A 29393-2025 artfynd.xlsx", "A 29393-2025")</f>
        <v/>
      </c>
      <c r="T72">
        <f>HYPERLINK("https://klasma.github.io/Logging_0580/kartor/A 29393-2025 karta.png", "A 29393-2025")</f>
        <v/>
      </c>
      <c r="V72">
        <f>HYPERLINK("https://klasma.github.io/Logging_0580/klagomål/A 29393-2025 FSC-klagomål.docx", "A 29393-2025")</f>
        <v/>
      </c>
      <c r="W72">
        <f>HYPERLINK("https://klasma.github.io/Logging_0580/klagomålsmail/A 29393-2025 FSC-klagomål mail.docx", "A 29393-2025")</f>
        <v/>
      </c>
      <c r="X72">
        <f>HYPERLINK("https://klasma.github.io/Logging_0580/tillsyn/A 29393-2025 tillsynsbegäran.docx", "A 29393-2025")</f>
        <v/>
      </c>
      <c r="Y72">
        <f>HYPERLINK("https://klasma.github.io/Logging_0580/tillsynsmail/A 29393-2025 tillsynsbegäran mail.docx", "A 29393-2025")</f>
        <v/>
      </c>
      <c r="Z72">
        <f>HYPERLINK("https://klasma.github.io/Logging_0580/fåglar/A 29393-2025 prioriterade fågelarter.docx", "A 29393-2025")</f>
        <v/>
      </c>
    </row>
    <row r="73" ht="15" customHeight="1">
      <c r="A73" t="inlineStr">
        <is>
          <t>A 50034-2025</t>
        </is>
      </c>
      <c r="B73" s="1" t="n">
        <v>45941</v>
      </c>
      <c r="C73" s="1" t="n">
        <v>46109</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60573-2021</t>
        </is>
      </c>
      <c r="B74" s="1" t="n">
        <v>44496</v>
      </c>
      <c r="C74" s="1" t="n">
        <v>46109</v>
      </c>
      <c r="D74" t="inlineStr">
        <is>
          <t>ÖSTERGÖTLANDS LÄN</t>
        </is>
      </c>
      <c r="E74" t="inlineStr">
        <is>
          <t>LINKÖPING</t>
        </is>
      </c>
      <c r="F74" t="inlineStr">
        <is>
          <t>Övriga Aktiebolag</t>
        </is>
      </c>
      <c r="G74" t="n">
        <v>5.6</v>
      </c>
      <c r="H74" t="n">
        <v>0</v>
      </c>
      <c r="I74" t="n">
        <v>0</v>
      </c>
      <c r="J74" t="n">
        <v>1</v>
      </c>
      <c r="K74" t="n">
        <v>0</v>
      </c>
      <c r="L74" t="n">
        <v>0</v>
      </c>
      <c r="M74" t="n">
        <v>0</v>
      </c>
      <c r="N74" t="n">
        <v>0</v>
      </c>
      <c r="O74" t="n">
        <v>1</v>
      </c>
      <c r="P74" t="n">
        <v>0</v>
      </c>
      <c r="Q74" t="n">
        <v>1</v>
      </c>
      <c r="R74" s="2" t="inlineStr">
        <is>
          <t>Sommarfibbla</t>
        </is>
      </c>
      <c r="S74">
        <f>HYPERLINK("https://klasma.github.io/Logging_0580/artfynd/A 60573-2021 artfynd.xlsx", "A 60573-2021")</f>
        <v/>
      </c>
      <c r="T74">
        <f>HYPERLINK("https://klasma.github.io/Logging_0580/kartor/A 60573-2021 karta.png", "A 60573-2021")</f>
        <v/>
      </c>
      <c r="V74">
        <f>HYPERLINK("https://klasma.github.io/Logging_0580/klagomål/A 60573-2021 FSC-klagomål.docx", "A 60573-2021")</f>
        <v/>
      </c>
      <c r="W74">
        <f>HYPERLINK("https://klasma.github.io/Logging_0580/klagomålsmail/A 60573-2021 FSC-klagomål mail.docx", "A 60573-2021")</f>
        <v/>
      </c>
      <c r="X74">
        <f>HYPERLINK("https://klasma.github.io/Logging_0580/tillsyn/A 60573-2021 tillsynsbegäran.docx", "A 60573-2021")</f>
        <v/>
      </c>
      <c r="Y74">
        <f>HYPERLINK("https://klasma.github.io/Logging_0580/tillsynsmail/A 60573-2021 tillsynsbegäran mail.docx", "A 60573-2021")</f>
        <v/>
      </c>
    </row>
    <row r="75" ht="15" customHeight="1">
      <c r="A75" t="inlineStr">
        <is>
          <t>A 56112-2025</t>
        </is>
      </c>
      <c r="B75" s="1" t="n">
        <v>45973.73625</v>
      </c>
      <c r="C75" s="1" t="n">
        <v>46109</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36723-2023</t>
        </is>
      </c>
      <c r="B76" s="1" t="n">
        <v>45153</v>
      </c>
      <c r="C76" s="1" t="n">
        <v>46109</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5911-2022</t>
        </is>
      </c>
      <c r="B77" s="1" t="n">
        <v>44597</v>
      </c>
      <c r="C77" s="1" t="n">
        <v>46109</v>
      </c>
      <c r="D77" t="inlineStr">
        <is>
          <t>ÖSTERGÖTLANDS LÄN</t>
        </is>
      </c>
      <c r="E77" t="inlineStr">
        <is>
          <t>LINKÖPING</t>
        </is>
      </c>
      <c r="G77" t="n">
        <v>3.5</v>
      </c>
      <c r="H77" t="n">
        <v>0</v>
      </c>
      <c r="I77" t="n">
        <v>0</v>
      </c>
      <c r="J77" t="n">
        <v>1</v>
      </c>
      <c r="K77" t="n">
        <v>0</v>
      </c>
      <c r="L77" t="n">
        <v>0</v>
      </c>
      <c r="M77" t="n">
        <v>0</v>
      </c>
      <c r="N77" t="n">
        <v>0</v>
      </c>
      <c r="O77" t="n">
        <v>1</v>
      </c>
      <c r="P77" t="n">
        <v>0</v>
      </c>
      <c r="Q77" t="n">
        <v>1</v>
      </c>
      <c r="R77" s="2" t="inlineStr">
        <is>
          <t>Spindelört</t>
        </is>
      </c>
      <c r="S77">
        <f>HYPERLINK("https://klasma.github.io/Logging_0580/artfynd/A 5911-2022 artfynd.xlsx", "A 5911-2022")</f>
        <v/>
      </c>
      <c r="T77">
        <f>HYPERLINK("https://klasma.github.io/Logging_0580/kartor/A 5911-2022 karta.png", "A 5911-2022")</f>
        <v/>
      </c>
      <c r="V77">
        <f>HYPERLINK("https://klasma.github.io/Logging_0580/klagomål/A 5911-2022 FSC-klagomål.docx", "A 5911-2022")</f>
        <v/>
      </c>
      <c r="W77">
        <f>HYPERLINK("https://klasma.github.io/Logging_0580/klagomålsmail/A 5911-2022 FSC-klagomål mail.docx", "A 5911-2022")</f>
        <v/>
      </c>
      <c r="X77">
        <f>HYPERLINK("https://klasma.github.io/Logging_0580/tillsyn/A 5911-2022 tillsynsbegäran.docx", "A 5911-2022")</f>
        <v/>
      </c>
      <c r="Y77">
        <f>HYPERLINK("https://klasma.github.io/Logging_0580/tillsynsmail/A 5911-2022 tillsynsbegäran mail.docx", "A 5911-2022")</f>
        <v/>
      </c>
    </row>
    <row r="78" ht="15" customHeight="1">
      <c r="A78" t="inlineStr">
        <is>
          <t>A 56128-2022</t>
        </is>
      </c>
      <c r="B78" s="1" t="n">
        <v>44889</v>
      </c>
      <c r="C78" s="1" t="n">
        <v>46109</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54835-2023</t>
        </is>
      </c>
      <c r="B79" s="1" t="n">
        <v>45236</v>
      </c>
      <c r="C79" s="1" t="n">
        <v>46109</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34881-2023</t>
        </is>
      </c>
      <c r="B80" s="1" t="n">
        <v>45140</v>
      </c>
      <c r="C80" s="1" t="n">
        <v>46109</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19103-2021</t>
        </is>
      </c>
      <c r="B81" s="1" t="n">
        <v>44308</v>
      </c>
      <c r="C81" s="1" t="n">
        <v>46109</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45317-2023</t>
        </is>
      </c>
      <c r="B82" s="1" t="n">
        <v>45191.74868055555</v>
      </c>
      <c r="C82" s="1" t="n">
        <v>46109</v>
      </c>
      <c r="D82" t="inlineStr">
        <is>
          <t>ÖSTERGÖTLANDS LÄN</t>
        </is>
      </c>
      <c r="E82" t="inlineStr">
        <is>
          <t>LINKÖPING</t>
        </is>
      </c>
      <c r="F82" t="inlineStr">
        <is>
          <t>Allmännings- och besparingsskogar</t>
        </is>
      </c>
      <c r="G82" t="n">
        <v>29.3</v>
      </c>
      <c r="H82" t="n">
        <v>0</v>
      </c>
      <c r="I82" t="n">
        <v>0</v>
      </c>
      <c r="J82" t="n">
        <v>1</v>
      </c>
      <c r="K82" t="n">
        <v>0</v>
      </c>
      <c r="L82" t="n">
        <v>0</v>
      </c>
      <c r="M82" t="n">
        <v>0</v>
      </c>
      <c r="N82" t="n">
        <v>0</v>
      </c>
      <c r="O82" t="n">
        <v>1</v>
      </c>
      <c r="P82" t="n">
        <v>0</v>
      </c>
      <c r="Q82" t="n">
        <v>1</v>
      </c>
      <c r="R82" s="2" t="inlineStr">
        <is>
          <t>Svinrot</t>
        </is>
      </c>
      <c r="S82">
        <f>HYPERLINK("https://klasma.github.io/Logging_0580/artfynd/A 45317-2023 artfynd.xlsx", "A 45317-2023")</f>
        <v/>
      </c>
      <c r="T82">
        <f>HYPERLINK("https://klasma.github.io/Logging_0580/kartor/A 45317-2023 karta.png", "A 45317-2023")</f>
        <v/>
      </c>
      <c r="V82">
        <f>HYPERLINK("https://klasma.github.io/Logging_0580/klagomål/A 45317-2023 FSC-klagomål.docx", "A 45317-2023")</f>
        <v/>
      </c>
      <c r="W82">
        <f>HYPERLINK("https://klasma.github.io/Logging_0580/klagomålsmail/A 45317-2023 FSC-klagomål mail.docx", "A 45317-2023")</f>
        <v/>
      </c>
      <c r="X82">
        <f>HYPERLINK("https://klasma.github.io/Logging_0580/tillsyn/A 45317-2023 tillsynsbegäran.docx", "A 45317-2023")</f>
        <v/>
      </c>
      <c r="Y82">
        <f>HYPERLINK("https://klasma.github.io/Logging_0580/tillsynsmail/A 45317-2023 tillsynsbegäran mail.docx", "A 45317-2023")</f>
        <v/>
      </c>
    </row>
    <row r="83" ht="15" customHeight="1">
      <c r="A83" t="inlineStr">
        <is>
          <t>A 20295-2025</t>
        </is>
      </c>
      <c r="B83" s="1" t="n">
        <v>45774.74846064814</v>
      </c>
      <c r="C83" s="1" t="n">
        <v>46109</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37683-2024</t>
        </is>
      </c>
      <c r="B84" s="1" t="n">
        <v>45541.59120370371</v>
      </c>
      <c r="C84" s="1" t="n">
        <v>46109</v>
      </c>
      <c r="D84" t="inlineStr">
        <is>
          <t>ÖSTERGÖTLANDS LÄN</t>
        </is>
      </c>
      <c r="E84" t="inlineStr">
        <is>
          <t>LINKÖPING</t>
        </is>
      </c>
      <c r="G84" t="n">
        <v>0.6</v>
      </c>
      <c r="H84" t="n">
        <v>0</v>
      </c>
      <c r="I84" t="n">
        <v>1</v>
      </c>
      <c r="J84" t="n">
        <v>0</v>
      </c>
      <c r="K84" t="n">
        <v>0</v>
      </c>
      <c r="L84" t="n">
        <v>0</v>
      </c>
      <c r="M84" t="n">
        <v>0</v>
      </c>
      <c r="N84" t="n">
        <v>0</v>
      </c>
      <c r="O84" t="n">
        <v>0</v>
      </c>
      <c r="P84" t="n">
        <v>0</v>
      </c>
      <c r="Q84" t="n">
        <v>1</v>
      </c>
      <c r="R84" s="2" t="inlineStr">
        <is>
          <t>Tibast</t>
        </is>
      </c>
      <c r="S84">
        <f>HYPERLINK("https://klasma.github.io/Logging_0580/artfynd/A 37683-2024 artfynd.xlsx", "A 37683-2024")</f>
        <v/>
      </c>
      <c r="T84">
        <f>HYPERLINK("https://klasma.github.io/Logging_0580/kartor/A 37683-2024 karta.png", "A 37683-2024")</f>
        <v/>
      </c>
      <c r="V84">
        <f>HYPERLINK("https://klasma.github.io/Logging_0580/klagomål/A 37683-2024 FSC-klagomål.docx", "A 37683-2024")</f>
        <v/>
      </c>
      <c r="W84">
        <f>HYPERLINK("https://klasma.github.io/Logging_0580/klagomålsmail/A 37683-2024 FSC-klagomål mail.docx", "A 37683-2024")</f>
        <v/>
      </c>
      <c r="X84">
        <f>HYPERLINK("https://klasma.github.io/Logging_0580/tillsyn/A 37683-2024 tillsynsbegäran.docx", "A 37683-2024")</f>
        <v/>
      </c>
      <c r="Y84">
        <f>HYPERLINK("https://klasma.github.io/Logging_0580/tillsynsmail/A 37683-2024 tillsynsbegäran mail.docx", "A 37683-2024")</f>
        <v/>
      </c>
    </row>
    <row r="85" ht="15" customHeight="1">
      <c r="A85" t="inlineStr">
        <is>
          <t>A 35948-2023</t>
        </is>
      </c>
      <c r="B85" s="1" t="n">
        <v>45148</v>
      </c>
      <c r="C85" s="1" t="n">
        <v>46109</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56651-2023</t>
        </is>
      </c>
      <c r="B86" s="1" t="n">
        <v>45243</v>
      </c>
      <c r="C86" s="1" t="n">
        <v>46109</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46109</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46109</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46109</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46109</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46109</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46109</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46109</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46109</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46109</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46109</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46109</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46109</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38881-2021</t>
        </is>
      </c>
      <c r="B99" s="1" t="n">
        <v>44411.46893518518</v>
      </c>
      <c r="C99" s="1" t="n">
        <v>46109</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46109</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46109</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46109</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46109</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46109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46109</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46109</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46109</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46109</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46109</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46109</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46109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46109</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46109</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46109</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46109</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16715-2021</t>
        </is>
      </c>
      <c r="B116" s="1" t="n">
        <v>44294</v>
      </c>
      <c r="C116" s="1" t="n">
        <v>46109</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46109</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46109</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46109</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46109</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46109</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46109</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46109</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46109</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46109</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46109</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46109</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46109</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46109</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46109</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49791-2021</t>
        </is>
      </c>
      <c r="B131" s="1" t="n">
        <v>44455.59368055555</v>
      </c>
      <c r="C131" s="1" t="n">
        <v>46109</v>
      </c>
      <c r="D131" t="inlineStr">
        <is>
          <t>ÖSTERGÖTLANDS LÄN</t>
        </is>
      </c>
      <c r="E131" t="inlineStr">
        <is>
          <t>LINKÖPING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46109</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46109</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46109</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46109</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46109</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46109</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46109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46109</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46109</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46109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46109</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46109</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46109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46109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46109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46109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46109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46109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46109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46109</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46109</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46109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46109</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46109</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46109</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46109</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46109</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46109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46109</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46109</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46109</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46109</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46109</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46109</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70835-2021</t>
        </is>
      </c>
      <c r="B167" s="1" t="n">
        <v>44537</v>
      </c>
      <c r="C167" s="1" t="n">
        <v>46109</v>
      </c>
      <c r="D167" t="inlineStr">
        <is>
          <t>ÖSTERGÖTLANDS LÄN</t>
        </is>
      </c>
      <c r="E167" t="inlineStr">
        <is>
          <t>LINKÖPING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46109</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46109</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46109</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46109</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46109</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46109</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46109</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46109</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46109</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46109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46109</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46109</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46109</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46109</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46109</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46109</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46109</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46109</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46109</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46109</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46109</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46109</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46109</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46109</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46109</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46109</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46109</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46109</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46109</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39021-2021</t>
        </is>
      </c>
      <c r="B201" s="1" t="n">
        <v>44412</v>
      </c>
      <c r="C201" s="1" t="n">
        <v>46109</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46109</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46109</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46109</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46109</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46109</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13689-2025</t>
        </is>
      </c>
      <c r="B207" s="1" t="n">
        <v>45737.31590277778</v>
      </c>
      <c r="C207" s="1" t="n">
        <v>46109</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13696-2025</t>
        </is>
      </c>
      <c r="B208" s="1" t="n">
        <v>45737.32273148148</v>
      </c>
      <c r="C208" s="1" t="n">
        <v>46109</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46109</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9434-2024</t>
        </is>
      </c>
      <c r="B210" s="1" t="n">
        <v>45359</v>
      </c>
      <c r="C210" s="1" t="n">
        <v>46109</v>
      </c>
      <c r="D210" t="inlineStr">
        <is>
          <t>ÖSTERGÖTLANDS LÄN</t>
        </is>
      </c>
      <c r="E210" t="inlineStr">
        <is>
          <t>LINKÖPING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12428-2024</t>
        </is>
      </c>
      <c r="B211" s="1" t="n">
        <v>45379</v>
      </c>
      <c r="C211" s="1" t="n">
        <v>46109</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46109</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46109</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46109</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11790-2024</t>
        </is>
      </c>
      <c r="B215" s="1" t="n">
        <v>45374</v>
      </c>
      <c r="C215" s="1" t="n">
        <v>46109</v>
      </c>
      <c r="D215" t="inlineStr">
        <is>
          <t>ÖSTERGÖTLANDS LÄN</t>
        </is>
      </c>
      <c r="E215" t="inlineStr">
        <is>
          <t>LINKÖPING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48962-2022</t>
        </is>
      </c>
      <c r="B216" s="1" t="n">
        <v>44860.31635416667</v>
      </c>
      <c r="C216" s="1" t="n">
        <v>46109</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53647-2021</t>
        </is>
      </c>
      <c r="B217" s="1" t="n">
        <v>44469</v>
      </c>
      <c r="C217" s="1" t="n">
        <v>46109</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22772-2024</t>
        </is>
      </c>
      <c r="B218" s="1" t="n">
        <v>45448.46712962963</v>
      </c>
      <c r="C218" s="1" t="n">
        <v>46109</v>
      </c>
      <c r="D218" t="inlineStr">
        <is>
          <t>ÖSTERGÖTLANDS LÄN</t>
        </is>
      </c>
      <c r="E218" t="inlineStr">
        <is>
          <t>LINKÖPING</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18916-2024</t>
        </is>
      </c>
      <c r="B219" s="1" t="n">
        <v>45427.39541666667</v>
      </c>
      <c r="C219" s="1" t="n">
        <v>46109</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57752-2023</t>
        </is>
      </c>
      <c r="B220" s="1" t="n">
        <v>45246.78474537037</v>
      </c>
      <c r="C220" s="1" t="n">
        <v>46109</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24586-2024</t>
        </is>
      </c>
      <c r="B221" s="1" t="n">
        <v>45460.46664351852</v>
      </c>
      <c r="C221" s="1" t="n">
        <v>46109</v>
      </c>
      <c r="D221" t="inlineStr">
        <is>
          <t>ÖSTERGÖTLANDS LÄN</t>
        </is>
      </c>
      <c r="E221" t="inlineStr">
        <is>
          <t>LINKÖPING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17124-2025</t>
        </is>
      </c>
      <c r="B222" s="1" t="n">
        <v>45755.69678240741</v>
      </c>
      <c r="C222" s="1" t="n">
        <v>46109</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17126-2025</t>
        </is>
      </c>
      <c r="B223" s="1" t="n">
        <v>45755.70814814815</v>
      </c>
      <c r="C223" s="1" t="n">
        <v>46109</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17143-2025</t>
        </is>
      </c>
      <c r="B224" s="1" t="n">
        <v>45755.92731481481</v>
      </c>
      <c r="C224" s="1" t="n">
        <v>46109</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3008-2023</t>
        </is>
      </c>
      <c r="B225" s="1" t="n">
        <v>44945.79784722222</v>
      </c>
      <c r="C225" s="1" t="n">
        <v>46109</v>
      </c>
      <c r="D225" t="inlineStr">
        <is>
          <t>ÖSTERGÖTLANDS LÄN</t>
        </is>
      </c>
      <c r="E225" t="inlineStr">
        <is>
          <t>LINKÖPING</t>
        </is>
      </c>
      <c r="G225" t="n">
        <v>19.3</v>
      </c>
      <c r="H225" t="n">
        <v>0</v>
      </c>
      <c r="I225" t="n">
        <v>0</v>
      </c>
      <c r="J225" t="n">
        <v>0</v>
      </c>
      <c r="K225" t="n">
        <v>0</v>
      </c>
      <c r="L225" t="n">
        <v>0</v>
      </c>
      <c r="M225" t="n">
        <v>0</v>
      </c>
      <c r="N225" t="n">
        <v>0</v>
      </c>
      <c r="O225" t="n">
        <v>0</v>
      </c>
      <c r="P225" t="n">
        <v>0</v>
      </c>
      <c r="Q225" t="n">
        <v>0</v>
      </c>
      <c r="R225" s="2" t="inlineStr"/>
    </row>
    <row r="226" ht="15" customHeight="1">
      <c r="A226" t="inlineStr">
        <is>
          <t>A 55345-2021</t>
        </is>
      </c>
      <c r="B226" s="1" t="n">
        <v>44475</v>
      </c>
      <c r="C226" s="1" t="n">
        <v>46109</v>
      </c>
      <c r="D226" t="inlineStr">
        <is>
          <t>ÖSTERGÖTLANDS LÄN</t>
        </is>
      </c>
      <c r="E226" t="inlineStr">
        <is>
          <t>LINKÖPING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46109</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9473-2024</t>
        </is>
      </c>
      <c r="B228" s="1" t="n">
        <v>45359.55474537037</v>
      </c>
      <c r="C228" s="1" t="n">
        <v>46109</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16820-2024</t>
        </is>
      </c>
      <c r="B229" s="1" t="n">
        <v>45411.46809027778</v>
      </c>
      <c r="C229" s="1" t="n">
        <v>46109</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10797-2024</t>
        </is>
      </c>
      <c r="B230" s="1" t="n">
        <v>45369.6190162037</v>
      </c>
      <c r="C230" s="1" t="n">
        <v>46109</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30980-2022</t>
        </is>
      </c>
      <c r="B231" s="1" t="n">
        <v>44768</v>
      </c>
      <c r="C231" s="1" t="n">
        <v>46109</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46109</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61281-2021</t>
        </is>
      </c>
      <c r="B233" s="1" t="n">
        <v>44498.60736111111</v>
      </c>
      <c r="C233" s="1" t="n">
        <v>46109</v>
      </c>
      <c r="D233" t="inlineStr">
        <is>
          <t>ÖSTERGÖTLANDS LÄN</t>
        </is>
      </c>
      <c r="E233" t="inlineStr">
        <is>
          <t>LINKÖPING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63935-2021</t>
        </is>
      </c>
      <c r="B234" s="1" t="n">
        <v>44509</v>
      </c>
      <c r="C234" s="1" t="n">
        <v>46109</v>
      </c>
      <c r="D234" t="inlineStr">
        <is>
          <t>ÖSTERGÖTLANDS LÄN</t>
        </is>
      </c>
      <c r="E234" t="inlineStr">
        <is>
          <t>LINKÖPING</t>
        </is>
      </c>
      <c r="F234" t="inlineStr">
        <is>
          <t>Övriga statliga verk och myndigheter</t>
        </is>
      </c>
      <c r="G234" t="n">
        <v>2.8</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45457.59011574074</v>
      </c>
      <c r="C235" s="1" t="n">
        <v>46109</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25292-2021</t>
        </is>
      </c>
      <c r="B236" s="1" t="n">
        <v>44342</v>
      </c>
      <c r="C236" s="1" t="n">
        <v>46109</v>
      </c>
      <c r="D236" t="inlineStr">
        <is>
          <t>ÖSTERGÖTLANDS LÄN</t>
        </is>
      </c>
      <c r="E236" t="inlineStr">
        <is>
          <t>LINKÖPING</t>
        </is>
      </c>
      <c r="F236" t="inlineStr">
        <is>
          <t>Övriga Aktiebolag</t>
        </is>
      </c>
      <c r="G236" t="n">
        <v>12.8</v>
      </c>
      <c r="H236" t="n">
        <v>0</v>
      </c>
      <c r="I236" t="n">
        <v>0</v>
      </c>
      <c r="J236" t="n">
        <v>0</v>
      </c>
      <c r="K236" t="n">
        <v>0</v>
      </c>
      <c r="L236" t="n">
        <v>0</v>
      </c>
      <c r="M236" t="n">
        <v>0</v>
      </c>
      <c r="N236" t="n">
        <v>0</v>
      </c>
      <c r="O236" t="n">
        <v>0</v>
      </c>
      <c r="P236" t="n">
        <v>0</v>
      </c>
      <c r="Q236" t="n">
        <v>0</v>
      </c>
      <c r="R236" s="2" t="inlineStr"/>
    </row>
    <row r="237" ht="15" customHeight="1">
      <c r="A237" t="inlineStr">
        <is>
          <t>A 62501-2023</t>
        </is>
      </c>
      <c r="B237" s="1" t="n">
        <v>45268</v>
      </c>
      <c r="C237" s="1" t="n">
        <v>46109</v>
      </c>
      <c r="D237" t="inlineStr">
        <is>
          <t>ÖSTERGÖTLANDS LÄN</t>
        </is>
      </c>
      <c r="E237" t="inlineStr">
        <is>
          <t>LINKÖPING</t>
        </is>
      </c>
      <c r="G237" t="n">
        <v>7.4</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46109</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49979-2022</t>
        </is>
      </c>
      <c r="B239" s="1" t="n">
        <v>44865</v>
      </c>
      <c r="C239" s="1" t="n">
        <v>46109</v>
      </c>
      <c r="D239" t="inlineStr">
        <is>
          <t>ÖSTERGÖTLANDS LÄN</t>
        </is>
      </c>
      <c r="E239" t="inlineStr">
        <is>
          <t>LINKÖPING</t>
        </is>
      </c>
      <c r="F239" t="inlineStr">
        <is>
          <t>Övriga Aktiebolag</t>
        </is>
      </c>
      <c r="G239" t="n">
        <v>11.4</v>
      </c>
      <c r="H239" t="n">
        <v>0</v>
      </c>
      <c r="I239" t="n">
        <v>0</v>
      </c>
      <c r="J239" t="n">
        <v>0</v>
      </c>
      <c r="K239" t="n">
        <v>0</v>
      </c>
      <c r="L239" t="n">
        <v>0</v>
      </c>
      <c r="M239" t="n">
        <v>0</v>
      </c>
      <c r="N239" t="n">
        <v>0</v>
      </c>
      <c r="O239" t="n">
        <v>0</v>
      </c>
      <c r="P239" t="n">
        <v>0</v>
      </c>
      <c r="Q239" t="n">
        <v>0</v>
      </c>
      <c r="R239" s="2" t="inlineStr"/>
    </row>
    <row r="240" ht="15" customHeight="1">
      <c r="A240" t="inlineStr">
        <is>
          <t>A 53827-2023</t>
        </is>
      </c>
      <c r="B240" s="1" t="n">
        <v>45230</v>
      </c>
      <c r="C240" s="1" t="n">
        <v>46109</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6859-2024</t>
        </is>
      </c>
      <c r="B241" s="1" t="n">
        <v>45342</v>
      </c>
      <c r="C241" s="1" t="n">
        <v>46109</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940-2023</t>
        </is>
      </c>
      <c r="B242" s="1" t="n">
        <v>44933</v>
      </c>
      <c r="C242" s="1" t="n">
        <v>46109</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38580-2024</t>
        </is>
      </c>
      <c r="B243" s="1" t="n">
        <v>45546.64825231482</v>
      </c>
      <c r="C243" s="1" t="n">
        <v>46109</v>
      </c>
      <c r="D243" t="inlineStr">
        <is>
          <t>ÖSTERGÖTLANDS LÄN</t>
        </is>
      </c>
      <c r="E243" t="inlineStr">
        <is>
          <t>LINKÖPING</t>
        </is>
      </c>
      <c r="G243" t="n">
        <v>4.8</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45664.56349537037</v>
      </c>
      <c r="C244" s="1" t="n">
        <v>46109</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39074-2025</t>
        </is>
      </c>
      <c r="B245" s="1" t="n">
        <v>45888</v>
      </c>
      <c r="C245" s="1" t="n">
        <v>46109</v>
      </c>
      <c r="D245" t="inlineStr">
        <is>
          <t>ÖSTERGÖTLANDS LÄN</t>
        </is>
      </c>
      <c r="E245" t="inlineStr">
        <is>
          <t>LINKÖPING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7992-2023</t>
        </is>
      </c>
      <c r="B246" s="1" t="n">
        <v>44970</v>
      </c>
      <c r="C246" s="1" t="n">
        <v>46109</v>
      </c>
      <c r="D246" t="inlineStr">
        <is>
          <t>ÖSTERGÖTLANDS LÄN</t>
        </is>
      </c>
      <c r="E246" t="inlineStr">
        <is>
          <t>LINKÖPING</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22364-2025</t>
        </is>
      </c>
      <c r="B247" s="1" t="n">
        <v>45786.46930555555</v>
      </c>
      <c r="C247" s="1" t="n">
        <v>46109</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45819-2024</t>
        </is>
      </c>
      <c r="B248" s="1" t="n">
        <v>45579.7454050926</v>
      </c>
      <c r="C248" s="1" t="n">
        <v>46109</v>
      </c>
      <c r="D248" t="inlineStr">
        <is>
          <t>ÖSTERGÖTLANDS LÄN</t>
        </is>
      </c>
      <c r="E248" t="inlineStr">
        <is>
          <t>LINKÖPING</t>
        </is>
      </c>
      <c r="G248" t="n">
        <v>5</v>
      </c>
      <c r="H248" t="n">
        <v>0</v>
      </c>
      <c r="I248" t="n">
        <v>0</v>
      </c>
      <c r="J248" t="n">
        <v>0</v>
      </c>
      <c r="K248" t="n">
        <v>0</v>
      </c>
      <c r="L248" t="n">
        <v>0</v>
      </c>
      <c r="M248" t="n">
        <v>0</v>
      </c>
      <c r="N248" t="n">
        <v>0</v>
      </c>
      <c r="O248" t="n">
        <v>0</v>
      </c>
      <c r="P248" t="n">
        <v>0</v>
      </c>
      <c r="Q248" t="n">
        <v>0</v>
      </c>
      <c r="R248" s="2" t="inlineStr"/>
    </row>
    <row r="249" ht="15" customHeight="1">
      <c r="A249" t="inlineStr">
        <is>
          <t>A 3041-2024</t>
        </is>
      </c>
      <c r="B249" s="1" t="n">
        <v>45316.34875</v>
      </c>
      <c r="C249" s="1" t="n">
        <v>46109</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55004-2025</t>
        </is>
      </c>
      <c r="B250" s="1" t="n">
        <v>45967</v>
      </c>
      <c r="C250" s="1" t="n">
        <v>46109</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3530-2024</t>
        </is>
      </c>
      <c r="B251" s="1" t="n">
        <v>45320.54717592592</v>
      </c>
      <c r="C251" s="1" t="n">
        <v>46109</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38971-2025</t>
        </is>
      </c>
      <c r="B252" s="1" t="n">
        <v>45887.71827546296</v>
      </c>
      <c r="C252" s="1" t="n">
        <v>46109</v>
      </c>
      <c r="D252" t="inlineStr">
        <is>
          <t>ÖSTERGÖTLANDS LÄN</t>
        </is>
      </c>
      <c r="E252" t="inlineStr">
        <is>
          <t>LINKÖPING</t>
        </is>
      </c>
      <c r="G252" t="n">
        <v>3.9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46109</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46109</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59205-2025</t>
        </is>
      </c>
      <c r="B255" s="1" t="n">
        <v>45988.60721064815</v>
      </c>
      <c r="C255" s="1" t="n">
        <v>46109</v>
      </c>
      <c r="D255" t="inlineStr">
        <is>
          <t>ÖSTERGÖTLANDS LÄN</t>
        </is>
      </c>
      <c r="E255" t="inlineStr">
        <is>
          <t>LINKÖPING</t>
        </is>
      </c>
      <c r="F255" t="inlineStr">
        <is>
          <t>Sveaskog</t>
        </is>
      </c>
      <c r="G255" t="n">
        <v>11.3</v>
      </c>
      <c r="H255" t="n">
        <v>0</v>
      </c>
      <c r="I255" t="n">
        <v>0</v>
      </c>
      <c r="J255" t="n">
        <v>0</v>
      </c>
      <c r="K255" t="n">
        <v>0</v>
      </c>
      <c r="L255" t="n">
        <v>0</v>
      </c>
      <c r="M255" t="n">
        <v>0</v>
      </c>
      <c r="N255" t="n">
        <v>0</v>
      </c>
      <c r="O255" t="n">
        <v>0</v>
      </c>
      <c r="P255" t="n">
        <v>0</v>
      </c>
      <c r="Q255" t="n">
        <v>0</v>
      </c>
      <c r="R255" s="2" t="inlineStr"/>
    </row>
    <row r="256" ht="15" customHeight="1">
      <c r="A256" t="inlineStr">
        <is>
          <t>A 62686-2023</t>
        </is>
      </c>
      <c r="B256" s="1" t="n">
        <v>45271</v>
      </c>
      <c r="C256" s="1" t="n">
        <v>46109</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58802-2025</t>
        </is>
      </c>
      <c r="B257" s="1" t="n">
        <v>45986.8768287037</v>
      </c>
      <c r="C257" s="1" t="n">
        <v>46109</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27264-2025</t>
        </is>
      </c>
      <c r="B258" s="1" t="n">
        <v>45812.4794212963</v>
      </c>
      <c r="C258" s="1" t="n">
        <v>46109</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55345-2021</t>
        </is>
      </c>
      <c r="B259" s="1" t="n">
        <v>44475</v>
      </c>
      <c r="C259" s="1" t="n">
        <v>46109</v>
      </c>
      <c r="D259" t="inlineStr">
        <is>
          <t>ÖSTERGÖTLANDS LÄN</t>
        </is>
      </c>
      <c r="E259" t="inlineStr">
        <is>
          <t>LINKÖPING</t>
        </is>
      </c>
      <c r="G259" t="n">
        <v>5.7</v>
      </c>
      <c r="H259" t="n">
        <v>0</v>
      </c>
      <c r="I259" t="n">
        <v>0</v>
      </c>
      <c r="J259" t="n">
        <v>0</v>
      </c>
      <c r="K259" t="n">
        <v>0</v>
      </c>
      <c r="L259" t="n">
        <v>0</v>
      </c>
      <c r="M259" t="n">
        <v>0</v>
      </c>
      <c r="N259" t="n">
        <v>0</v>
      </c>
      <c r="O259" t="n">
        <v>0</v>
      </c>
      <c r="P259" t="n">
        <v>0</v>
      </c>
      <c r="Q259" t="n">
        <v>0</v>
      </c>
      <c r="R259" s="2" t="inlineStr"/>
    </row>
    <row r="260" ht="15" customHeight="1">
      <c r="A260" t="inlineStr">
        <is>
          <t>A 63489-2023</t>
        </is>
      </c>
      <c r="B260" s="1" t="n">
        <v>45274.66761574074</v>
      </c>
      <c r="C260" s="1" t="n">
        <v>46109</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46109</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70-2024</t>
        </is>
      </c>
      <c r="B262" s="1" t="n">
        <v>45293</v>
      </c>
      <c r="C262" s="1" t="n">
        <v>46109</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59472-2025</t>
        </is>
      </c>
      <c r="B263" s="1" t="n">
        <v>45989.58321759259</v>
      </c>
      <c r="C263" s="1" t="n">
        <v>46109</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6782-2024</t>
        </is>
      </c>
      <c r="B264" s="1" t="n">
        <v>45342</v>
      </c>
      <c r="C264" s="1" t="n">
        <v>46109</v>
      </c>
      <c r="D264" t="inlineStr">
        <is>
          <t>ÖSTERGÖTLANDS LÄN</t>
        </is>
      </c>
      <c r="E264" t="inlineStr">
        <is>
          <t>LINKÖPING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617-2024</t>
        </is>
      </c>
      <c r="B265" s="1" t="n">
        <v>45299.66028935185</v>
      </c>
      <c r="C265" s="1" t="n">
        <v>46109</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670-2024</t>
        </is>
      </c>
      <c r="B266" s="1" t="n">
        <v>45300.3408912037</v>
      </c>
      <c r="C266" s="1" t="n">
        <v>46109</v>
      </c>
      <c r="D266" t="inlineStr">
        <is>
          <t>ÖSTERGÖTLANDS LÄN</t>
        </is>
      </c>
      <c r="E266" t="inlineStr">
        <is>
          <t>LINKÖPING</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52125-2022</t>
        </is>
      </c>
      <c r="B267" s="1" t="n">
        <v>44873</v>
      </c>
      <c r="C267" s="1" t="n">
        <v>46109</v>
      </c>
      <c r="D267" t="inlineStr">
        <is>
          <t>ÖSTERGÖTLANDS LÄN</t>
        </is>
      </c>
      <c r="E267" t="inlineStr">
        <is>
          <t>LINKÖPING</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1084-2023</t>
        </is>
      </c>
      <c r="B268" s="1" t="n">
        <v>44929</v>
      </c>
      <c r="C268" s="1" t="n">
        <v>46109</v>
      </c>
      <c r="D268" t="inlineStr">
        <is>
          <t>ÖSTERGÖTLANDS LÄN</t>
        </is>
      </c>
      <c r="E268" t="inlineStr">
        <is>
          <t>LINKÖPING</t>
        </is>
      </c>
      <c r="G268" t="n">
        <v>10.4</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46109</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46109</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29859-2024</t>
        </is>
      </c>
      <c r="B271" s="1" t="n">
        <v>45485.6846412037</v>
      </c>
      <c r="C271" s="1" t="n">
        <v>46109</v>
      </c>
      <c r="D271" t="inlineStr">
        <is>
          <t>ÖSTERGÖTLANDS LÄN</t>
        </is>
      </c>
      <c r="E271" t="inlineStr">
        <is>
          <t>LINKÖPING</t>
        </is>
      </c>
      <c r="G271" t="n">
        <v>0.4</v>
      </c>
      <c r="H271" t="n">
        <v>0</v>
      </c>
      <c r="I271" t="n">
        <v>0</v>
      </c>
      <c r="J271" t="n">
        <v>0</v>
      </c>
      <c r="K271" t="n">
        <v>0</v>
      </c>
      <c r="L271" t="n">
        <v>0</v>
      </c>
      <c r="M271" t="n">
        <v>0</v>
      </c>
      <c r="N271" t="n">
        <v>0</v>
      </c>
      <c r="O271" t="n">
        <v>0</v>
      </c>
      <c r="P271" t="n">
        <v>0</v>
      </c>
      <c r="Q271" t="n">
        <v>0</v>
      </c>
      <c r="R271" s="2" t="inlineStr"/>
    </row>
    <row r="272" ht="15" customHeight="1">
      <c r="A272" t="inlineStr">
        <is>
          <t>A 51571-2024</t>
        </is>
      </c>
      <c r="B272" s="1" t="n">
        <v>45604</v>
      </c>
      <c r="C272" s="1" t="n">
        <v>46109</v>
      </c>
      <c r="D272" t="inlineStr">
        <is>
          <t>ÖSTERGÖTLANDS LÄN</t>
        </is>
      </c>
      <c r="E272" t="inlineStr">
        <is>
          <t>LINKÖPING</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223-2024</t>
        </is>
      </c>
      <c r="B273" s="1" t="n">
        <v>45294.72739583333</v>
      </c>
      <c r="C273" s="1" t="n">
        <v>46109</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227-2024</t>
        </is>
      </c>
      <c r="B274" s="1" t="n">
        <v>45294.73603009259</v>
      </c>
      <c r="C274" s="1" t="n">
        <v>46109</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60087-2025</t>
        </is>
      </c>
      <c r="B275" s="1" t="n">
        <v>45993.71726851852</v>
      </c>
      <c r="C275" s="1" t="n">
        <v>46109</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60284-2025</t>
        </is>
      </c>
      <c r="B276" s="1" t="n">
        <v>45994.64373842593</v>
      </c>
      <c r="C276" s="1" t="n">
        <v>46109</v>
      </c>
      <c r="D276" t="inlineStr">
        <is>
          <t>ÖSTERGÖTLANDS LÄN</t>
        </is>
      </c>
      <c r="E276" t="inlineStr">
        <is>
          <t>LINKÖPING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46109</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23120-2025</t>
        </is>
      </c>
      <c r="B278" s="1" t="n">
        <v>45791.37481481482</v>
      </c>
      <c r="C278" s="1" t="n">
        <v>46109</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48699-2024</t>
        </is>
      </c>
      <c r="B279" s="1" t="n">
        <v>45593.52091435185</v>
      </c>
      <c r="C279" s="1" t="n">
        <v>46109</v>
      </c>
      <c r="D279" t="inlineStr">
        <is>
          <t>ÖSTERGÖTLANDS LÄN</t>
        </is>
      </c>
      <c r="E279" t="inlineStr">
        <is>
          <t>LINKÖPING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56917-2022</t>
        </is>
      </c>
      <c r="B280" s="1" t="n">
        <v>44894</v>
      </c>
      <c r="C280" s="1" t="n">
        <v>46109</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13911-2025</t>
        </is>
      </c>
      <c r="B281" s="1" t="n">
        <v>45737.64784722222</v>
      </c>
      <c r="C281" s="1" t="n">
        <v>46109</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23768-2025</t>
        </is>
      </c>
      <c r="B282" s="1" t="n">
        <v>45793.47493055555</v>
      </c>
      <c r="C282" s="1" t="n">
        <v>46109</v>
      </c>
      <c r="D282" t="inlineStr">
        <is>
          <t>ÖSTERGÖTLANDS LÄN</t>
        </is>
      </c>
      <c r="E282" t="inlineStr">
        <is>
          <t>LINKÖPING</t>
        </is>
      </c>
      <c r="G282" t="n">
        <v>3.4</v>
      </c>
      <c r="H282" t="n">
        <v>0</v>
      </c>
      <c r="I282" t="n">
        <v>0</v>
      </c>
      <c r="J282" t="n">
        <v>0</v>
      </c>
      <c r="K282" t="n">
        <v>0</v>
      </c>
      <c r="L282" t="n">
        <v>0</v>
      </c>
      <c r="M282" t="n">
        <v>0</v>
      </c>
      <c r="N282" t="n">
        <v>0</v>
      </c>
      <c r="O282" t="n">
        <v>0</v>
      </c>
      <c r="P282" t="n">
        <v>0</v>
      </c>
      <c r="Q282" t="n">
        <v>0</v>
      </c>
      <c r="R282" s="2" t="inlineStr"/>
    </row>
    <row r="283" ht="15" customHeight="1">
      <c r="A283" t="inlineStr">
        <is>
          <t>A 60703-2025</t>
        </is>
      </c>
      <c r="B283" s="1" t="n">
        <v>45996.6052662037</v>
      </c>
      <c r="C283" s="1" t="n">
        <v>46109</v>
      </c>
      <c r="D283" t="inlineStr">
        <is>
          <t>ÖSTERGÖTLANDS LÄN</t>
        </is>
      </c>
      <c r="E283" t="inlineStr">
        <is>
          <t>LINKÖPING</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1265-2023</t>
        </is>
      </c>
      <c r="B284" s="1" t="n">
        <v>44936</v>
      </c>
      <c r="C284" s="1" t="n">
        <v>46109</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1362-2023</t>
        </is>
      </c>
      <c r="B285" s="1" t="n">
        <v>44931</v>
      </c>
      <c r="C285" s="1" t="n">
        <v>46109</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44280-2024</t>
        </is>
      </c>
      <c r="B286" s="1" t="n">
        <v>45573.49461805556</v>
      </c>
      <c r="C286" s="1" t="n">
        <v>46109</v>
      </c>
      <c r="D286" t="inlineStr">
        <is>
          <t>ÖSTERGÖTLANDS LÄN</t>
        </is>
      </c>
      <c r="E286" t="inlineStr">
        <is>
          <t>LINKÖPING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54034-2022</t>
        </is>
      </c>
      <c r="B287" s="1" t="n">
        <v>44881</v>
      </c>
      <c r="C287" s="1" t="n">
        <v>46109</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55493-2021</t>
        </is>
      </c>
      <c r="B288" s="1" t="n">
        <v>44475.61988425926</v>
      </c>
      <c r="C288" s="1" t="n">
        <v>46109</v>
      </c>
      <c r="D288" t="inlineStr">
        <is>
          <t>ÖSTERGÖTLANDS LÄN</t>
        </is>
      </c>
      <c r="E288" t="inlineStr">
        <is>
          <t>LINKÖPING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6054-2022</t>
        </is>
      </c>
      <c r="B289" s="1" t="n">
        <v>44599.53623842593</v>
      </c>
      <c r="C289" s="1" t="n">
        <v>46109</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25996-2025</t>
        </is>
      </c>
      <c r="B290" s="1" t="n">
        <v>45804.65851851852</v>
      </c>
      <c r="C290" s="1" t="n">
        <v>46109</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25119-2023</t>
        </is>
      </c>
      <c r="B291" s="1" t="n">
        <v>45086.42326388889</v>
      </c>
      <c r="C291" s="1" t="n">
        <v>46109</v>
      </c>
      <c r="D291" t="inlineStr">
        <is>
          <t>ÖSTERGÖTLANDS LÄN</t>
        </is>
      </c>
      <c r="E291" t="inlineStr">
        <is>
          <t>LINKÖPING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61230-2025</t>
        </is>
      </c>
      <c r="B292" s="1" t="n">
        <v>46000.63111111111</v>
      </c>
      <c r="C292" s="1" t="n">
        <v>46109</v>
      </c>
      <c r="D292" t="inlineStr">
        <is>
          <t>ÖSTERGÖTLANDS LÄN</t>
        </is>
      </c>
      <c r="E292" t="inlineStr">
        <is>
          <t>LINKÖPING</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60866-2025</t>
        </is>
      </c>
      <c r="B293" s="1" t="n">
        <v>45999</v>
      </c>
      <c r="C293" s="1" t="n">
        <v>46109</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4456-2024</t>
        </is>
      </c>
      <c r="B294" s="1" t="n">
        <v>45327.52847222222</v>
      </c>
      <c r="C294" s="1" t="n">
        <v>46109</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58114-2021</t>
        </is>
      </c>
      <c r="B295" s="1" t="n">
        <v>44487</v>
      </c>
      <c r="C295" s="1" t="n">
        <v>46109</v>
      </c>
      <c r="D295" t="inlineStr">
        <is>
          <t>ÖSTERGÖTLANDS LÄN</t>
        </is>
      </c>
      <c r="E295" t="inlineStr">
        <is>
          <t>LINKÖPING</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41706-2025</t>
        </is>
      </c>
      <c r="B296" s="1" t="n">
        <v>45902.42209490741</v>
      </c>
      <c r="C296" s="1" t="n">
        <v>46109</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61643-2025</t>
        </is>
      </c>
      <c r="B297" s="1" t="n">
        <v>46002.43575231481</v>
      </c>
      <c r="C297" s="1" t="n">
        <v>46109</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46109</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46109</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46109</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3042-2024</t>
        </is>
      </c>
      <c r="B301" s="1" t="n">
        <v>45316.35028935185</v>
      </c>
      <c r="C301" s="1" t="n">
        <v>46109</v>
      </c>
      <c r="D301" t="inlineStr">
        <is>
          <t>ÖSTERGÖTLANDS LÄN</t>
        </is>
      </c>
      <c r="E301" t="inlineStr">
        <is>
          <t>LINKÖPING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61447-2025</t>
        </is>
      </c>
      <c r="B302" s="1" t="n">
        <v>46001.57554398148</v>
      </c>
      <c r="C302" s="1" t="n">
        <v>46109</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29293-2025</t>
        </is>
      </c>
      <c r="B303" s="1" t="n">
        <v>45824</v>
      </c>
      <c r="C303" s="1" t="n">
        <v>46109</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61645-2025</t>
        </is>
      </c>
      <c r="B304" s="1" t="n">
        <v>46002.43697916667</v>
      </c>
      <c r="C304" s="1" t="n">
        <v>46109</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46109</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42623-2025</t>
        </is>
      </c>
      <c r="B306" s="1" t="n">
        <v>45905</v>
      </c>
      <c r="C306" s="1" t="n">
        <v>46109</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30434-2024</t>
        </is>
      </c>
      <c r="B307" s="1" t="n">
        <v>45491.69811342593</v>
      </c>
      <c r="C307" s="1" t="n">
        <v>46109</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61899-2025</t>
        </is>
      </c>
      <c r="B308" s="1" t="n">
        <v>46003.46635416667</v>
      </c>
      <c r="C308" s="1" t="n">
        <v>46109</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46109</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62791-2025</t>
        </is>
      </c>
      <c r="B310" s="1" t="n">
        <v>46008.63266203704</v>
      </c>
      <c r="C310" s="1" t="n">
        <v>46109</v>
      </c>
      <c r="D310" t="inlineStr">
        <is>
          <t>ÖSTERGÖTLANDS LÄN</t>
        </is>
      </c>
      <c r="E310" t="inlineStr">
        <is>
          <t>LINKÖPING</t>
        </is>
      </c>
      <c r="G310" t="n">
        <v>2.4</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46109</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46109</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11084-2022</t>
        </is>
      </c>
      <c r="B313" s="1" t="n">
        <v>44628</v>
      </c>
      <c r="C313" s="1" t="n">
        <v>46109</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62686-2025</t>
        </is>
      </c>
      <c r="B314" s="1" t="n">
        <v>46008.46769675926</v>
      </c>
      <c r="C314" s="1" t="n">
        <v>46109</v>
      </c>
      <c r="D314" t="inlineStr">
        <is>
          <t>ÖSTERGÖTLANDS LÄN</t>
        </is>
      </c>
      <c r="E314" t="inlineStr">
        <is>
          <t>LINKÖPING</t>
        </is>
      </c>
      <c r="G314" t="n">
        <v>7.6</v>
      </c>
      <c r="H314" t="n">
        <v>0</v>
      </c>
      <c r="I314" t="n">
        <v>0</v>
      </c>
      <c r="J314" t="n">
        <v>0</v>
      </c>
      <c r="K314" t="n">
        <v>0</v>
      </c>
      <c r="L314" t="n">
        <v>0</v>
      </c>
      <c r="M314" t="n">
        <v>0</v>
      </c>
      <c r="N314" t="n">
        <v>0</v>
      </c>
      <c r="O314" t="n">
        <v>0</v>
      </c>
      <c r="P314" t="n">
        <v>0</v>
      </c>
      <c r="Q314" t="n">
        <v>0</v>
      </c>
      <c r="R314" s="2" t="inlineStr"/>
    </row>
    <row r="315" ht="15" customHeight="1">
      <c r="A315" t="inlineStr">
        <is>
          <t>A 62515-2025</t>
        </is>
      </c>
      <c r="B315" s="1" t="n">
        <v>46007.60548611111</v>
      </c>
      <c r="C315" s="1" t="n">
        <v>46109</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57745-2022</t>
        </is>
      </c>
      <c r="B316" s="1" t="n">
        <v>44897.58119212963</v>
      </c>
      <c r="C316" s="1" t="n">
        <v>46109</v>
      </c>
      <c r="D316" t="inlineStr">
        <is>
          <t>ÖSTERGÖTLANDS LÄN</t>
        </is>
      </c>
      <c r="E316" t="inlineStr">
        <is>
          <t>LINKÖPING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14520-2025</t>
        </is>
      </c>
      <c r="B317" s="1" t="n">
        <v>45741</v>
      </c>
      <c r="C317" s="1" t="n">
        <v>46109</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63147-2025</t>
        </is>
      </c>
      <c r="B318" s="1" t="n">
        <v>46010.35003472222</v>
      </c>
      <c r="C318" s="1" t="n">
        <v>46109</v>
      </c>
      <c r="D318" t="inlineStr">
        <is>
          <t>ÖSTERGÖTLANDS LÄN</t>
        </is>
      </c>
      <c r="E318" t="inlineStr">
        <is>
          <t>LINKÖPING</t>
        </is>
      </c>
      <c r="G318" t="n">
        <v>4</v>
      </c>
      <c r="H318" t="n">
        <v>0</v>
      </c>
      <c r="I318" t="n">
        <v>0</v>
      </c>
      <c r="J318" t="n">
        <v>0</v>
      </c>
      <c r="K318" t="n">
        <v>0</v>
      </c>
      <c r="L318" t="n">
        <v>0</v>
      </c>
      <c r="M318" t="n">
        <v>0</v>
      </c>
      <c r="N318" t="n">
        <v>0</v>
      </c>
      <c r="O318" t="n">
        <v>0</v>
      </c>
      <c r="P318" t="n">
        <v>0</v>
      </c>
      <c r="Q318" t="n">
        <v>0</v>
      </c>
      <c r="R318" s="2" t="inlineStr"/>
    </row>
    <row r="319" ht="15" customHeight="1">
      <c r="A319" t="inlineStr">
        <is>
          <t>A 63144-2025</t>
        </is>
      </c>
      <c r="B319" s="1" t="n">
        <v>46010.34716435185</v>
      </c>
      <c r="C319" s="1" t="n">
        <v>46109</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56064-2022</t>
        </is>
      </c>
      <c r="B320" s="1" t="n">
        <v>44889.59107638889</v>
      </c>
      <c r="C320" s="1" t="n">
        <v>46109</v>
      </c>
      <c r="D320" t="inlineStr">
        <is>
          <t>ÖSTERGÖTLANDS LÄN</t>
        </is>
      </c>
      <c r="E320" t="inlineStr">
        <is>
          <t>LINKÖPING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40502-2024</t>
        </is>
      </c>
      <c r="B321" s="1" t="n">
        <v>45555.57263888889</v>
      </c>
      <c r="C321" s="1" t="n">
        <v>46109</v>
      </c>
      <c r="D321" t="inlineStr">
        <is>
          <t>ÖSTERGÖTLANDS LÄN</t>
        </is>
      </c>
      <c r="E321" t="inlineStr">
        <is>
          <t>LINKÖPING</t>
        </is>
      </c>
      <c r="F321" t="inlineStr">
        <is>
          <t>Allmännings- och besparingsskogar</t>
        </is>
      </c>
      <c r="G321" t="n">
        <v>17.5</v>
      </c>
      <c r="H321" t="n">
        <v>0</v>
      </c>
      <c r="I321" t="n">
        <v>0</v>
      </c>
      <c r="J321" t="n">
        <v>0</v>
      </c>
      <c r="K321" t="n">
        <v>0</v>
      </c>
      <c r="L321" t="n">
        <v>0</v>
      </c>
      <c r="M321" t="n">
        <v>0</v>
      </c>
      <c r="N321" t="n">
        <v>0</v>
      </c>
      <c r="O321" t="n">
        <v>0</v>
      </c>
      <c r="P321" t="n">
        <v>0</v>
      </c>
      <c r="Q321" t="n">
        <v>0</v>
      </c>
      <c r="R321" s="2" t="inlineStr"/>
    </row>
    <row r="322" ht="15" customHeight="1">
      <c r="A322" t="inlineStr">
        <is>
          <t>A 43755-2025</t>
        </is>
      </c>
      <c r="B322" s="1" t="n">
        <v>45912.47329861111</v>
      </c>
      <c r="C322" s="1" t="n">
        <v>46109</v>
      </c>
      <c r="D322" t="inlineStr">
        <is>
          <t>ÖSTERGÖTLANDS LÄN</t>
        </is>
      </c>
      <c r="E322" t="inlineStr">
        <is>
          <t>LINKÖPING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43753-2025</t>
        </is>
      </c>
      <c r="B323" s="1" t="n">
        <v>45912.4715625</v>
      </c>
      <c r="C323" s="1" t="n">
        <v>46109</v>
      </c>
      <c r="D323" t="inlineStr">
        <is>
          <t>ÖSTERGÖTLANDS LÄN</t>
        </is>
      </c>
      <c r="E323" t="inlineStr">
        <is>
          <t>LINKÖPING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43758-2025</t>
        </is>
      </c>
      <c r="B324" s="1" t="n">
        <v>45912.47711805555</v>
      </c>
      <c r="C324" s="1" t="n">
        <v>46109</v>
      </c>
      <c r="D324" t="inlineStr">
        <is>
          <t>ÖSTERGÖTLANDS LÄN</t>
        </is>
      </c>
      <c r="E324" t="inlineStr">
        <is>
          <t>LINKÖPING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44155-2024</t>
        </is>
      </c>
      <c r="B325" s="1" t="n">
        <v>45572.68226851852</v>
      </c>
      <c r="C325" s="1" t="n">
        <v>46109</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44170-2025</t>
        </is>
      </c>
      <c r="B326" s="1" t="n">
        <v>45915.59864583334</v>
      </c>
      <c r="C326" s="1" t="n">
        <v>46109</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42997-2021</t>
        </is>
      </c>
      <c r="B327" s="1" t="n">
        <v>44431.45556712963</v>
      </c>
      <c r="C327" s="1" t="n">
        <v>46109</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44759-2025</t>
        </is>
      </c>
      <c r="B328" s="1" t="n">
        <v>45917.7152662037</v>
      </c>
      <c r="C328" s="1" t="n">
        <v>46109</v>
      </c>
      <c r="D328" t="inlineStr">
        <is>
          <t>ÖSTERGÖTLANDS LÄN</t>
        </is>
      </c>
      <c r="E328" t="inlineStr">
        <is>
          <t>LINKÖPING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44764-2025</t>
        </is>
      </c>
      <c r="B329" s="1" t="n">
        <v>45917.72821759259</v>
      </c>
      <c r="C329" s="1" t="n">
        <v>46109</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45112-2025</t>
        </is>
      </c>
      <c r="B330" s="1" t="n">
        <v>45919</v>
      </c>
      <c r="C330" s="1" t="n">
        <v>46109</v>
      </c>
      <c r="D330" t="inlineStr">
        <is>
          <t>ÖSTERGÖTLANDS LÄN</t>
        </is>
      </c>
      <c r="E330" t="inlineStr">
        <is>
          <t>LINKÖPING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14028-2024</t>
        </is>
      </c>
      <c r="B331" s="1" t="n">
        <v>45392</v>
      </c>
      <c r="C331" s="1" t="n">
        <v>46109</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45634-2025</t>
        </is>
      </c>
      <c r="B332" s="1" t="n">
        <v>45922.85089120371</v>
      </c>
      <c r="C332" s="1" t="n">
        <v>46109</v>
      </c>
      <c r="D332" t="inlineStr">
        <is>
          <t>ÖSTERGÖTLANDS LÄN</t>
        </is>
      </c>
      <c r="E332" t="inlineStr">
        <is>
          <t>LINKÖPING</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45792-2025</t>
        </is>
      </c>
      <c r="B333" s="1" t="n">
        <v>45923.56998842592</v>
      </c>
      <c r="C333" s="1" t="n">
        <v>46109</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14667-2024</t>
        </is>
      </c>
      <c r="B334" s="1" t="n">
        <v>45397.42005787037</v>
      </c>
      <c r="C334" s="1" t="n">
        <v>46109</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2697-2023</t>
        </is>
      </c>
      <c r="B335" s="1" t="n">
        <v>44944</v>
      </c>
      <c r="C335" s="1" t="n">
        <v>46109</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46109</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45804-2025</t>
        </is>
      </c>
      <c r="B337" s="1" t="n">
        <v>45923.5819675926</v>
      </c>
      <c r="C337" s="1" t="n">
        <v>46109</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48707-2023</t>
        </is>
      </c>
      <c r="B338" s="1" t="n">
        <v>45202</v>
      </c>
      <c r="C338" s="1" t="n">
        <v>46109</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53411-2023</t>
        </is>
      </c>
      <c r="B339" s="1" t="n">
        <v>45229.81049768518</v>
      </c>
      <c r="C339" s="1" t="n">
        <v>46109</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56741-2023</t>
        </is>
      </c>
      <c r="B340" s="1" t="n">
        <v>45244</v>
      </c>
      <c r="C340" s="1" t="n">
        <v>46109</v>
      </c>
      <c r="D340" t="inlineStr">
        <is>
          <t>ÖSTERGÖTLANDS LÄN</t>
        </is>
      </c>
      <c r="E340" t="inlineStr">
        <is>
          <t>LINKÖPING</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56792-2023</t>
        </is>
      </c>
      <c r="B341" s="1" t="n">
        <v>45244</v>
      </c>
      <c r="C341" s="1" t="n">
        <v>46109</v>
      </c>
      <c r="D341" t="inlineStr">
        <is>
          <t>ÖSTERGÖTLANDS LÄN</t>
        </is>
      </c>
      <c r="E341" t="inlineStr">
        <is>
          <t>LINKÖPING</t>
        </is>
      </c>
      <c r="F341" t="inlineStr">
        <is>
          <t>Övriga Aktiebolag</t>
        </is>
      </c>
      <c r="G341" t="n">
        <v>0.9</v>
      </c>
      <c r="H341" t="n">
        <v>0</v>
      </c>
      <c r="I341" t="n">
        <v>0</v>
      </c>
      <c r="J341" t="n">
        <v>0</v>
      </c>
      <c r="K341" t="n">
        <v>0</v>
      </c>
      <c r="L341" t="n">
        <v>0</v>
      </c>
      <c r="M341" t="n">
        <v>0</v>
      </c>
      <c r="N341" t="n">
        <v>0</v>
      </c>
      <c r="O341" t="n">
        <v>0</v>
      </c>
      <c r="P341" t="n">
        <v>0</v>
      </c>
      <c r="Q341" t="n">
        <v>0</v>
      </c>
      <c r="R341" s="2" t="inlineStr"/>
    </row>
    <row r="342" ht="15" customHeight="1">
      <c r="A342" t="inlineStr">
        <is>
          <t>A 46428-2025</t>
        </is>
      </c>
      <c r="B342" s="1" t="n">
        <v>45925.60758101852</v>
      </c>
      <c r="C342" s="1" t="n">
        <v>46109</v>
      </c>
      <c r="D342" t="inlineStr">
        <is>
          <t>ÖSTERGÖTLANDS LÄN</t>
        </is>
      </c>
      <c r="E342" t="inlineStr">
        <is>
          <t>LINKÖPING</t>
        </is>
      </c>
      <c r="G342" t="n">
        <v>3</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46109</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3007-2023</t>
        </is>
      </c>
      <c r="B344" s="1" t="n">
        <v>44945</v>
      </c>
      <c r="C344" s="1" t="n">
        <v>46109</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40338-2024</t>
        </is>
      </c>
      <c r="B345" s="1" t="n">
        <v>45555.32940972222</v>
      </c>
      <c r="C345" s="1" t="n">
        <v>46109</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3013-2023</t>
        </is>
      </c>
      <c r="B346" s="1" t="n">
        <v>44945.8092824074</v>
      </c>
      <c r="C346" s="1" t="n">
        <v>46109</v>
      </c>
      <c r="D346" t="inlineStr">
        <is>
          <t>ÖSTERGÖTLANDS LÄN</t>
        </is>
      </c>
      <c r="E346" t="inlineStr">
        <is>
          <t>LINKÖPING</t>
        </is>
      </c>
      <c r="G346" t="n">
        <v>5.2</v>
      </c>
      <c r="H346" t="n">
        <v>0</v>
      </c>
      <c r="I346" t="n">
        <v>0</v>
      </c>
      <c r="J346" t="n">
        <v>0</v>
      </c>
      <c r="K346" t="n">
        <v>0</v>
      </c>
      <c r="L346" t="n">
        <v>0</v>
      </c>
      <c r="M346" t="n">
        <v>0</v>
      </c>
      <c r="N346" t="n">
        <v>0</v>
      </c>
      <c r="O346" t="n">
        <v>0</v>
      </c>
      <c r="P346" t="n">
        <v>0</v>
      </c>
      <c r="Q346" t="n">
        <v>0</v>
      </c>
      <c r="R346" s="2" t="inlineStr"/>
    </row>
    <row r="347" ht="15" customHeight="1">
      <c r="A347" t="inlineStr">
        <is>
          <t>A 55945-2024</t>
        </is>
      </c>
      <c r="B347" s="1" t="n">
        <v>45623.61754629629</v>
      </c>
      <c r="C347" s="1" t="n">
        <v>46109</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927-2026</t>
        </is>
      </c>
      <c r="B348" s="1" t="n">
        <v>46030.50560185185</v>
      </c>
      <c r="C348" s="1" t="n">
        <v>46109</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1993-2023</t>
        </is>
      </c>
      <c r="B349" s="1" t="n">
        <v>44939</v>
      </c>
      <c r="C349" s="1" t="n">
        <v>46109</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856-2026</t>
        </is>
      </c>
      <c r="B350" s="1" t="n">
        <v>46030.40644675926</v>
      </c>
      <c r="C350" s="1" t="n">
        <v>46109</v>
      </c>
      <c r="D350" t="inlineStr">
        <is>
          <t>ÖSTERGÖTLANDS LÄN</t>
        </is>
      </c>
      <c r="E350" t="inlineStr">
        <is>
          <t>LINKÖPING</t>
        </is>
      </c>
      <c r="G350" t="n">
        <v>6.4</v>
      </c>
      <c r="H350" t="n">
        <v>0</v>
      </c>
      <c r="I350" t="n">
        <v>0</v>
      </c>
      <c r="J350" t="n">
        <v>0</v>
      </c>
      <c r="K350" t="n">
        <v>0</v>
      </c>
      <c r="L350" t="n">
        <v>0</v>
      </c>
      <c r="M350" t="n">
        <v>0</v>
      </c>
      <c r="N350" t="n">
        <v>0</v>
      </c>
      <c r="O350" t="n">
        <v>0</v>
      </c>
      <c r="P350" t="n">
        <v>0</v>
      </c>
      <c r="Q350" t="n">
        <v>0</v>
      </c>
      <c r="R350" s="2" t="inlineStr"/>
    </row>
    <row r="351" ht="15" customHeight="1">
      <c r="A351" t="inlineStr">
        <is>
          <t>A 860-2026</t>
        </is>
      </c>
      <c r="B351" s="1" t="n">
        <v>46030.41974537037</v>
      </c>
      <c r="C351" s="1" t="n">
        <v>46109</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2618-2023</t>
        </is>
      </c>
      <c r="B352" s="1" t="n">
        <v>44944.35847222222</v>
      </c>
      <c r="C352" s="1" t="n">
        <v>46109</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10203-2023</t>
        </is>
      </c>
      <c r="B353" s="1" t="n">
        <v>44986.55711805556</v>
      </c>
      <c r="C353" s="1" t="n">
        <v>46109</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46109</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873-2026</t>
        </is>
      </c>
      <c r="B355" s="1" t="n">
        <v>46030.43818287037</v>
      </c>
      <c r="C355" s="1" t="n">
        <v>46109</v>
      </c>
      <c r="D355" t="inlineStr">
        <is>
          <t>ÖSTERGÖTLANDS LÄN</t>
        </is>
      </c>
      <c r="E355" t="inlineStr">
        <is>
          <t>LINKÖPING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34889-2023</t>
        </is>
      </c>
      <c r="B356" s="1" t="n">
        <v>45140</v>
      </c>
      <c r="C356" s="1" t="n">
        <v>46109</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34928-2023</t>
        </is>
      </c>
      <c r="B357" s="1" t="n">
        <v>45142</v>
      </c>
      <c r="C357" s="1" t="n">
        <v>46109</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47304-2025</t>
        </is>
      </c>
      <c r="B358" s="1" t="n">
        <v>45930.52037037037</v>
      </c>
      <c r="C358" s="1" t="n">
        <v>46109</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858-2026</t>
        </is>
      </c>
      <c r="B359" s="1" t="n">
        <v>46030.41200231481</v>
      </c>
      <c r="C359" s="1" t="n">
        <v>46109</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46109</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47233-2025</t>
        </is>
      </c>
      <c r="B361" s="1" t="n">
        <v>45930.40612268518</v>
      </c>
      <c r="C361" s="1" t="n">
        <v>46109</v>
      </c>
      <c r="D361" t="inlineStr">
        <is>
          <t>ÖSTERGÖTLANDS LÄN</t>
        </is>
      </c>
      <c r="E361" t="inlineStr">
        <is>
          <t>LINKÖPING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940-2026</t>
        </is>
      </c>
      <c r="B362" s="1" t="n">
        <v>46030.53052083333</v>
      </c>
      <c r="C362" s="1" t="n">
        <v>46109</v>
      </c>
      <c r="D362" t="inlineStr">
        <is>
          <t>ÖSTERGÖTLANDS LÄN</t>
        </is>
      </c>
      <c r="E362" t="inlineStr">
        <is>
          <t>LINKÖPING</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944-2026</t>
        </is>
      </c>
      <c r="B363" s="1" t="n">
        <v>46030.53461805556</v>
      </c>
      <c r="C363" s="1" t="n">
        <v>46109</v>
      </c>
      <c r="D363" t="inlineStr">
        <is>
          <t>ÖSTERGÖTLANDS LÄN</t>
        </is>
      </c>
      <c r="E363" t="inlineStr">
        <is>
          <t>LINKÖPING</t>
        </is>
      </c>
      <c r="F363" t="inlineStr">
        <is>
          <t>Allmännings- och besparingsskogar</t>
        </is>
      </c>
      <c r="G363" t="n">
        <v>0.9</v>
      </c>
      <c r="H363" t="n">
        <v>0</v>
      </c>
      <c r="I363" t="n">
        <v>0</v>
      </c>
      <c r="J363" t="n">
        <v>0</v>
      </c>
      <c r="K363" t="n">
        <v>0</v>
      </c>
      <c r="L363" t="n">
        <v>0</v>
      </c>
      <c r="M363" t="n">
        <v>0</v>
      </c>
      <c r="N363" t="n">
        <v>0</v>
      </c>
      <c r="O363" t="n">
        <v>0</v>
      </c>
      <c r="P363" t="n">
        <v>0</v>
      </c>
      <c r="Q363" t="n">
        <v>0</v>
      </c>
      <c r="R363" s="2" t="inlineStr"/>
    </row>
    <row r="364" ht="15" customHeight="1">
      <c r="A364" t="inlineStr">
        <is>
          <t>A 859-2026</t>
        </is>
      </c>
      <c r="B364" s="1" t="n">
        <v>46030.41450231482</v>
      </c>
      <c r="C364" s="1" t="n">
        <v>46109</v>
      </c>
      <c r="D364" t="inlineStr">
        <is>
          <t>ÖSTERGÖTLANDS LÄN</t>
        </is>
      </c>
      <c r="E364" t="inlineStr">
        <is>
          <t>LINKÖPING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1223-2026</t>
        </is>
      </c>
      <c r="B365" s="1" t="n">
        <v>46031.40233796297</v>
      </c>
      <c r="C365" s="1" t="n">
        <v>46109</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46109</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48343-2025</t>
        </is>
      </c>
      <c r="B367" s="1" t="n">
        <v>45932</v>
      </c>
      <c r="C367" s="1" t="n">
        <v>46109</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47606-2025</t>
        </is>
      </c>
      <c r="B368" s="1" t="n">
        <v>45931.46402777778</v>
      </c>
      <c r="C368" s="1" t="n">
        <v>46109</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49747-2024</t>
        </is>
      </c>
      <c r="B369" s="1" t="n">
        <v>45596</v>
      </c>
      <c r="C369" s="1" t="n">
        <v>46109</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48254-2025</t>
        </is>
      </c>
      <c r="B370" s="1" t="n">
        <v>45932</v>
      </c>
      <c r="C370" s="1" t="n">
        <v>46109</v>
      </c>
      <c r="D370" t="inlineStr">
        <is>
          <t>ÖSTERGÖTLANDS LÄN</t>
        </is>
      </c>
      <c r="E370" t="inlineStr">
        <is>
          <t>LINKÖPING</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48266-2025</t>
        </is>
      </c>
      <c r="B371" s="1" t="n">
        <v>45932</v>
      </c>
      <c r="C371" s="1" t="n">
        <v>46109</v>
      </c>
      <c r="D371" t="inlineStr">
        <is>
          <t>ÖSTERGÖTLANDS LÄN</t>
        </is>
      </c>
      <c r="E371" t="inlineStr">
        <is>
          <t>LINKÖPING</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31725-2022</t>
        </is>
      </c>
      <c r="B372" s="1" t="n">
        <v>44776.48541666667</v>
      </c>
      <c r="C372" s="1" t="n">
        <v>46109</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2389-2023</t>
        </is>
      </c>
      <c r="B373" s="1" t="n">
        <v>44942</v>
      </c>
      <c r="C373" s="1" t="n">
        <v>46109</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3627-2023</t>
        </is>
      </c>
      <c r="B374" s="1" t="n">
        <v>44950.64782407408</v>
      </c>
      <c r="C374" s="1" t="n">
        <v>46109</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62687-2023</t>
        </is>
      </c>
      <c r="B375" s="1" t="n">
        <v>45271</v>
      </c>
      <c r="C375" s="1" t="n">
        <v>46109</v>
      </c>
      <c r="D375" t="inlineStr">
        <is>
          <t>ÖSTERGÖTLANDS LÄN</t>
        </is>
      </c>
      <c r="E375" t="inlineStr">
        <is>
          <t>LINKÖPING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46109</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10756-2026</t>
        </is>
      </c>
      <c r="B377" s="1" t="n">
        <v>46078.55412037037</v>
      </c>
      <c r="C377" s="1" t="n">
        <v>46109</v>
      </c>
      <c r="D377" t="inlineStr">
        <is>
          <t>ÖSTERGÖTLANDS LÄN</t>
        </is>
      </c>
      <c r="E377" t="inlineStr">
        <is>
          <t>LINKÖPING</t>
        </is>
      </c>
      <c r="F377" t="inlineStr">
        <is>
          <t>Övriga Aktiebolag</t>
        </is>
      </c>
      <c r="G377" t="n">
        <v>1.2</v>
      </c>
      <c r="H377" t="n">
        <v>0</v>
      </c>
      <c r="I377" t="n">
        <v>0</v>
      </c>
      <c r="J377" t="n">
        <v>0</v>
      </c>
      <c r="K377" t="n">
        <v>0</v>
      </c>
      <c r="L377" t="n">
        <v>0</v>
      </c>
      <c r="M377" t="n">
        <v>0</v>
      </c>
      <c r="N377" t="n">
        <v>0</v>
      </c>
      <c r="O377" t="n">
        <v>0</v>
      </c>
      <c r="P377" t="n">
        <v>0</v>
      </c>
      <c r="Q377" t="n">
        <v>0</v>
      </c>
      <c r="R377" s="2" t="inlineStr"/>
    </row>
    <row r="378" ht="15" customHeight="1">
      <c r="A378" t="inlineStr">
        <is>
          <t>A 49647-2025</t>
        </is>
      </c>
      <c r="B378" s="1" t="n">
        <v>45938</v>
      </c>
      <c r="C378" s="1" t="n">
        <v>46109</v>
      </c>
      <c r="D378" t="inlineStr">
        <is>
          <t>ÖSTERGÖTLANDS LÄN</t>
        </is>
      </c>
      <c r="E378" t="inlineStr">
        <is>
          <t>LINKÖPING</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2030-2026</t>
        </is>
      </c>
      <c r="B379" s="1" t="n">
        <v>46035.73590277778</v>
      </c>
      <c r="C379" s="1" t="n">
        <v>46109</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46109</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46109</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49455-2025</t>
        </is>
      </c>
      <c r="B382" s="1" t="n">
        <v>45938</v>
      </c>
      <c r="C382" s="1" t="n">
        <v>46109</v>
      </c>
      <c r="D382" t="inlineStr">
        <is>
          <t>ÖSTERGÖTLANDS LÄN</t>
        </is>
      </c>
      <c r="E382" t="inlineStr">
        <is>
          <t>LINKÖPING</t>
        </is>
      </c>
      <c r="F382" t="inlineStr">
        <is>
          <t>Övriga Aktiebolag</t>
        </is>
      </c>
      <c r="G382" t="n">
        <v>5.9</v>
      </c>
      <c r="H382" t="n">
        <v>0</v>
      </c>
      <c r="I382" t="n">
        <v>0</v>
      </c>
      <c r="J382" t="n">
        <v>0</v>
      </c>
      <c r="K382" t="n">
        <v>0</v>
      </c>
      <c r="L382" t="n">
        <v>0</v>
      </c>
      <c r="M382" t="n">
        <v>0</v>
      </c>
      <c r="N382" t="n">
        <v>0</v>
      </c>
      <c r="O382" t="n">
        <v>0</v>
      </c>
      <c r="P382" t="n">
        <v>0</v>
      </c>
      <c r="Q382" t="n">
        <v>0</v>
      </c>
      <c r="R382" s="2" t="inlineStr"/>
    </row>
    <row r="383" ht="15" customHeight="1">
      <c r="A383" t="inlineStr">
        <is>
          <t>A 2031-2026</t>
        </is>
      </c>
      <c r="B383" s="1" t="n">
        <v>46035.74182870371</v>
      </c>
      <c r="C383" s="1" t="n">
        <v>46109</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28200-2025</t>
        </is>
      </c>
      <c r="B384" s="1" t="n">
        <v>45818.4428125</v>
      </c>
      <c r="C384" s="1" t="n">
        <v>46109</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27950-2025</t>
        </is>
      </c>
      <c r="B385" s="1" t="n">
        <v>45817.52960648148</v>
      </c>
      <c r="C385" s="1" t="n">
        <v>46109</v>
      </c>
      <c r="D385" t="inlineStr">
        <is>
          <t>ÖSTERGÖTLANDS LÄN</t>
        </is>
      </c>
      <c r="E385" t="inlineStr">
        <is>
          <t>LINKÖPING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18891-2022</t>
        </is>
      </c>
      <c r="B386" s="1" t="n">
        <v>44690</v>
      </c>
      <c r="C386" s="1" t="n">
        <v>46109</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46109</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46109</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46109</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46109</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46109</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49632-2025</t>
        </is>
      </c>
      <c r="B392" s="1" t="n">
        <v>45938</v>
      </c>
      <c r="C392" s="1" t="n">
        <v>46109</v>
      </c>
      <c r="D392" t="inlineStr">
        <is>
          <t>ÖSTERGÖTLANDS LÄN</t>
        </is>
      </c>
      <c r="E392" t="inlineStr">
        <is>
          <t>LINKÖPING</t>
        </is>
      </c>
      <c r="F392" t="inlineStr">
        <is>
          <t>Övriga Aktiebolag</t>
        </is>
      </c>
      <c r="G392" t="n">
        <v>1.6</v>
      </c>
      <c r="H392" t="n">
        <v>0</v>
      </c>
      <c r="I392" t="n">
        <v>0</v>
      </c>
      <c r="J392" t="n">
        <v>0</v>
      </c>
      <c r="K392" t="n">
        <v>0</v>
      </c>
      <c r="L392" t="n">
        <v>0</v>
      </c>
      <c r="M392" t="n">
        <v>0</v>
      </c>
      <c r="N392" t="n">
        <v>0</v>
      </c>
      <c r="O392" t="n">
        <v>0</v>
      </c>
      <c r="P392" t="n">
        <v>0</v>
      </c>
      <c r="Q392" t="n">
        <v>0</v>
      </c>
      <c r="R392" s="2" t="inlineStr"/>
    </row>
    <row r="393" ht="15" customHeight="1">
      <c r="A393" t="inlineStr">
        <is>
          <t>A 49615-2025</t>
        </is>
      </c>
      <c r="B393" s="1" t="n">
        <v>45938</v>
      </c>
      <c r="C393" s="1" t="n">
        <v>46109</v>
      </c>
      <c r="D393" t="inlineStr">
        <is>
          <t>ÖSTERGÖTLANDS LÄN</t>
        </is>
      </c>
      <c r="E393" t="inlineStr">
        <is>
          <t>LINKÖPING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27797-2025</t>
        </is>
      </c>
      <c r="B394" s="1" t="n">
        <v>45816.80521990741</v>
      </c>
      <c r="C394" s="1" t="n">
        <v>46109</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27798-2025</t>
        </is>
      </c>
      <c r="B395" s="1" t="n">
        <v>45816.81532407407</v>
      </c>
      <c r="C395" s="1" t="n">
        <v>46109</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28209-2025</t>
        </is>
      </c>
      <c r="B396" s="1" t="n">
        <v>45818.45112268518</v>
      </c>
      <c r="C396" s="1" t="n">
        <v>46109</v>
      </c>
      <c r="D396" t="inlineStr">
        <is>
          <t>ÖSTERGÖTLANDS LÄN</t>
        </is>
      </c>
      <c r="E396" t="inlineStr">
        <is>
          <t>LINKÖPING</t>
        </is>
      </c>
      <c r="G396" t="n">
        <v>4.2</v>
      </c>
      <c r="H396" t="n">
        <v>0</v>
      </c>
      <c r="I396" t="n">
        <v>0</v>
      </c>
      <c r="J396" t="n">
        <v>0</v>
      </c>
      <c r="K396" t="n">
        <v>0</v>
      </c>
      <c r="L396" t="n">
        <v>0</v>
      </c>
      <c r="M396" t="n">
        <v>0</v>
      </c>
      <c r="N396" t="n">
        <v>0</v>
      </c>
      <c r="O396" t="n">
        <v>0</v>
      </c>
      <c r="P396" t="n">
        <v>0</v>
      </c>
      <c r="Q396" t="n">
        <v>0</v>
      </c>
      <c r="R396" s="2" t="inlineStr"/>
    </row>
    <row r="397" ht="15" customHeight="1">
      <c r="A397" t="inlineStr">
        <is>
          <t>A 28204-2025</t>
        </is>
      </c>
      <c r="B397" s="1" t="n">
        <v>45818.4477662037</v>
      </c>
      <c r="C397" s="1" t="n">
        <v>46109</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28398-2025</t>
        </is>
      </c>
      <c r="B398" s="1" t="n">
        <v>45819.34208333334</v>
      </c>
      <c r="C398" s="1" t="n">
        <v>46109</v>
      </c>
      <c r="D398" t="inlineStr">
        <is>
          <t>ÖSTERGÖTLANDS LÄN</t>
        </is>
      </c>
      <c r="E398" t="inlineStr">
        <is>
          <t>LINKÖPING</t>
        </is>
      </c>
      <c r="F398" t="inlineStr">
        <is>
          <t>Sveaskog</t>
        </is>
      </c>
      <c r="G398" t="n">
        <v>7.9</v>
      </c>
      <c r="H398" t="n">
        <v>0</v>
      </c>
      <c r="I398" t="n">
        <v>0</v>
      </c>
      <c r="J398" t="n">
        <v>0</v>
      </c>
      <c r="K398" t="n">
        <v>0</v>
      </c>
      <c r="L398" t="n">
        <v>0</v>
      </c>
      <c r="M398" t="n">
        <v>0</v>
      </c>
      <c r="N398" t="n">
        <v>0</v>
      </c>
      <c r="O398" t="n">
        <v>0</v>
      </c>
      <c r="P398" t="n">
        <v>0</v>
      </c>
      <c r="Q398" t="n">
        <v>0</v>
      </c>
      <c r="R398" s="2" t="inlineStr"/>
    </row>
    <row r="399" ht="15" customHeight="1">
      <c r="A399" t="inlineStr">
        <is>
          <t>A 28416-2025</t>
        </is>
      </c>
      <c r="B399" s="1" t="n">
        <v>45819.35346064815</v>
      </c>
      <c r="C399" s="1" t="n">
        <v>46109</v>
      </c>
      <c r="D399" t="inlineStr">
        <is>
          <t>ÖSTERGÖTLANDS LÄN</t>
        </is>
      </c>
      <c r="E399" t="inlineStr">
        <is>
          <t>LINKÖPING</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26620-2023</t>
        </is>
      </c>
      <c r="B400" s="1" t="n">
        <v>45092.70390046296</v>
      </c>
      <c r="C400" s="1" t="n">
        <v>46109</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29027-2025</t>
        </is>
      </c>
      <c r="B401" s="1" t="n">
        <v>45821.4375462963</v>
      </c>
      <c r="C401" s="1" t="n">
        <v>46109</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29411-2025</t>
        </is>
      </c>
      <c r="B402" s="1" t="n">
        <v>45824.6219212963</v>
      </c>
      <c r="C402" s="1" t="n">
        <v>46109</v>
      </c>
      <c r="D402" t="inlineStr">
        <is>
          <t>ÖSTERGÖTLANDS LÄN</t>
        </is>
      </c>
      <c r="E402" t="inlineStr">
        <is>
          <t>LINKÖPING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46109</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10479-2026</t>
        </is>
      </c>
      <c r="B404" s="1" t="n">
        <v>46077.49231481482</v>
      </c>
      <c r="C404" s="1" t="n">
        <v>46109</v>
      </c>
      <c r="D404" t="inlineStr">
        <is>
          <t>ÖSTERGÖTLANDS LÄN</t>
        </is>
      </c>
      <c r="E404" t="inlineStr">
        <is>
          <t>LINKÖPING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56180-2024</t>
        </is>
      </c>
      <c r="B405" s="1" t="n">
        <v>45624.56611111111</v>
      </c>
      <c r="C405" s="1" t="n">
        <v>46109</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40983-2025</t>
        </is>
      </c>
      <c r="B406" s="1" t="n">
        <v>45898</v>
      </c>
      <c r="C406" s="1" t="n">
        <v>46109</v>
      </c>
      <c r="D406" t="inlineStr">
        <is>
          <t>ÖSTERGÖTLANDS LÄN</t>
        </is>
      </c>
      <c r="E406" t="inlineStr">
        <is>
          <t>LINKÖPING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11033-2026</t>
        </is>
      </c>
      <c r="B407" s="1" t="n">
        <v>46079.57361111111</v>
      </c>
      <c r="C407" s="1" t="n">
        <v>46109</v>
      </c>
      <c r="D407" t="inlineStr">
        <is>
          <t>ÖSTERGÖTLANDS LÄN</t>
        </is>
      </c>
      <c r="E407" t="inlineStr">
        <is>
          <t>LINKÖPING</t>
        </is>
      </c>
      <c r="G407" t="n">
        <v>7.9</v>
      </c>
      <c r="H407" t="n">
        <v>0</v>
      </c>
      <c r="I407" t="n">
        <v>0</v>
      </c>
      <c r="J407" t="n">
        <v>0</v>
      </c>
      <c r="K407" t="n">
        <v>0</v>
      </c>
      <c r="L407" t="n">
        <v>0</v>
      </c>
      <c r="M407" t="n">
        <v>0</v>
      </c>
      <c r="N407" t="n">
        <v>0</v>
      </c>
      <c r="O407" t="n">
        <v>0</v>
      </c>
      <c r="P407" t="n">
        <v>0</v>
      </c>
      <c r="Q407" t="n">
        <v>0</v>
      </c>
      <c r="R407" s="2" t="inlineStr"/>
    </row>
    <row r="408" ht="15" customHeight="1">
      <c r="A408" t="inlineStr">
        <is>
          <t>A 938-2023</t>
        </is>
      </c>
      <c r="B408" s="1" t="n">
        <v>44933</v>
      </c>
      <c r="C408" s="1" t="n">
        <v>46109</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11036-2026</t>
        </is>
      </c>
      <c r="B409" s="1" t="n">
        <v>46079.57836805555</v>
      </c>
      <c r="C409" s="1" t="n">
        <v>46109</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25418-2023</t>
        </is>
      </c>
      <c r="B410" s="1" t="n">
        <v>45089</v>
      </c>
      <c r="C410" s="1" t="n">
        <v>46109</v>
      </c>
      <c r="D410" t="inlineStr">
        <is>
          <t>ÖSTERGÖTLANDS LÄN</t>
        </is>
      </c>
      <c r="E410" t="inlineStr">
        <is>
          <t>LINKÖPING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3045-2026</t>
        </is>
      </c>
      <c r="B411" s="1" t="n">
        <v>46038.74047453704</v>
      </c>
      <c r="C411" s="1" t="n">
        <v>46109</v>
      </c>
      <c r="D411" t="inlineStr">
        <is>
          <t>ÖSTERGÖTLANDS LÄN</t>
        </is>
      </c>
      <c r="E411" t="inlineStr">
        <is>
          <t>LINKÖPING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50056-2025</t>
        </is>
      </c>
      <c r="B412" s="1" t="n">
        <v>45941</v>
      </c>
      <c r="C412" s="1" t="n">
        <v>46109</v>
      </c>
      <c r="D412" t="inlineStr">
        <is>
          <t>ÖSTERGÖTLANDS LÄN</t>
        </is>
      </c>
      <c r="E412" t="inlineStr">
        <is>
          <t>LINKÖPING</t>
        </is>
      </c>
      <c r="G412" t="n">
        <v>0.3</v>
      </c>
      <c r="H412" t="n">
        <v>0</v>
      </c>
      <c r="I412" t="n">
        <v>0</v>
      </c>
      <c r="J412" t="n">
        <v>0</v>
      </c>
      <c r="K412" t="n">
        <v>0</v>
      </c>
      <c r="L412" t="n">
        <v>0</v>
      </c>
      <c r="M412" t="n">
        <v>0</v>
      </c>
      <c r="N412" t="n">
        <v>0</v>
      </c>
      <c r="O412" t="n">
        <v>0</v>
      </c>
      <c r="P412" t="n">
        <v>0</v>
      </c>
      <c r="Q412" t="n">
        <v>0</v>
      </c>
      <c r="R412" s="2" t="inlineStr"/>
    </row>
    <row r="413" ht="15" customHeight="1">
      <c r="A413" t="inlineStr">
        <is>
          <t>A 60007-2022</t>
        </is>
      </c>
      <c r="B413" s="1" t="n">
        <v>44909.47282407407</v>
      </c>
      <c r="C413" s="1" t="n">
        <v>46109</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11057-2026</t>
        </is>
      </c>
      <c r="B414" s="1" t="n">
        <v>46079.59515046296</v>
      </c>
      <c r="C414" s="1" t="n">
        <v>46109</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3044-2026</t>
        </is>
      </c>
      <c r="B415" s="1" t="n">
        <v>46038.73855324074</v>
      </c>
      <c r="C415" s="1" t="n">
        <v>46109</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50667-2025</t>
        </is>
      </c>
      <c r="B416" s="1" t="n">
        <v>45945</v>
      </c>
      <c r="C416" s="1" t="n">
        <v>46109</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11169-2026</t>
        </is>
      </c>
      <c r="B417" s="1" t="n">
        <v>46080.37020833333</v>
      </c>
      <c r="C417" s="1" t="n">
        <v>46109</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3043-2026</t>
        </is>
      </c>
      <c r="B418" s="1" t="n">
        <v>46038.73675925926</v>
      </c>
      <c r="C418" s="1" t="n">
        <v>46109</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11601-2023</t>
        </is>
      </c>
      <c r="B419" s="1" t="n">
        <v>44994</v>
      </c>
      <c r="C419" s="1" t="n">
        <v>46109</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3046-2026</t>
        </is>
      </c>
      <c r="B420" s="1" t="n">
        <v>46038.74182870371</v>
      </c>
      <c r="C420" s="1" t="n">
        <v>46109</v>
      </c>
      <c r="D420" t="inlineStr">
        <is>
          <t>ÖSTERGÖTLANDS LÄN</t>
        </is>
      </c>
      <c r="E420" t="inlineStr">
        <is>
          <t>LINKÖPING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30355-2025</t>
        </is>
      </c>
      <c r="B421" s="1" t="n">
        <v>45827</v>
      </c>
      <c r="C421" s="1" t="n">
        <v>46109</v>
      </c>
      <c r="D421" t="inlineStr">
        <is>
          <t>ÖSTERGÖTLANDS LÄN</t>
        </is>
      </c>
      <c r="E421" t="inlineStr">
        <is>
          <t>LINKÖPING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10764-2026</t>
        </is>
      </c>
      <c r="B422" s="1" t="n">
        <v>46078</v>
      </c>
      <c r="C422" s="1" t="n">
        <v>46109</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30353-2025</t>
        </is>
      </c>
      <c r="B423" s="1" t="n">
        <v>45827</v>
      </c>
      <c r="C423" s="1" t="n">
        <v>46109</v>
      </c>
      <c r="D423" t="inlineStr">
        <is>
          <t>ÖSTERGÖTLANDS LÄN</t>
        </is>
      </c>
      <c r="E423" t="inlineStr">
        <is>
          <t>LINKÖPING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51802-2025</t>
        </is>
      </c>
      <c r="B424" s="1" t="n">
        <v>45950</v>
      </c>
      <c r="C424" s="1" t="n">
        <v>46109</v>
      </c>
      <c r="D424" t="inlineStr">
        <is>
          <t>ÖSTERGÖTLANDS LÄN</t>
        </is>
      </c>
      <c r="E424" t="inlineStr">
        <is>
          <t>LINKÖPING</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1260-2023</t>
        </is>
      </c>
      <c r="B425" s="1" t="n">
        <v>44936</v>
      </c>
      <c r="C425" s="1" t="n">
        <v>46109</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7702-2023</t>
        </is>
      </c>
      <c r="B426" s="1" t="n">
        <v>44967</v>
      </c>
      <c r="C426" s="1" t="n">
        <v>46109</v>
      </c>
      <c r="D426" t="inlineStr">
        <is>
          <t>ÖSTERGÖTLANDS LÄN</t>
        </is>
      </c>
      <c r="E426" t="inlineStr">
        <is>
          <t>LINKÖPING</t>
        </is>
      </c>
      <c r="F426" t="inlineStr">
        <is>
          <t>Övriga statliga verk och myndigheter</t>
        </is>
      </c>
      <c r="G426" t="n">
        <v>8</v>
      </c>
      <c r="H426" t="n">
        <v>0</v>
      </c>
      <c r="I426" t="n">
        <v>0</v>
      </c>
      <c r="J426" t="n">
        <v>0</v>
      </c>
      <c r="K426" t="n">
        <v>0</v>
      </c>
      <c r="L426" t="n">
        <v>0</v>
      </c>
      <c r="M426" t="n">
        <v>0</v>
      </c>
      <c r="N426" t="n">
        <v>0</v>
      </c>
      <c r="O426" t="n">
        <v>0</v>
      </c>
      <c r="P426" t="n">
        <v>0</v>
      </c>
      <c r="Q426" t="n">
        <v>0</v>
      </c>
      <c r="R426" s="2" t="inlineStr"/>
    </row>
    <row r="427" ht="15" customHeight="1">
      <c r="A427" t="inlineStr">
        <is>
          <t>A 674-2024</t>
        </is>
      </c>
      <c r="B427" s="1" t="n">
        <v>45300.34408564815</v>
      </c>
      <c r="C427" s="1" t="n">
        <v>46109</v>
      </c>
      <c r="D427" t="inlineStr">
        <is>
          <t>ÖSTERGÖTLANDS LÄN</t>
        </is>
      </c>
      <c r="E427" t="inlineStr">
        <is>
          <t>LINKÖPING</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63684-2023</t>
        </is>
      </c>
      <c r="B428" s="1" t="n">
        <v>45275</v>
      </c>
      <c r="C428" s="1" t="n">
        <v>46109</v>
      </c>
      <c r="D428" t="inlineStr">
        <is>
          <t>ÖSTERGÖTLANDS LÄN</t>
        </is>
      </c>
      <c r="E428" t="inlineStr">
        <is>
          <t>LINKÖPING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167-2024</t>
        </is>
      </c>
      <c r="B429" s="1" t="n">
        <v>45294</v>
      </c>
      <c r="C429" s="1" t="n">
        <v>46109</v>
      </c>
      <c r="D429" t="inlineStr">
        <is>
          <t>ÖSTERGÖTLANDS LÄN</t>
        </is>
      </c>
      <c r="E429" t="inlineStr">
        <is>
          <t>LINKÖPING</t>
        </is>
      </c>
      <c r="F429" t="inlineStr">
        <is>
          <t>Allmännings- och besparingsskogar</t>
        </is>
      </c>
      <c r="G429" t="n">
        <v>11.6</v>
      </c>
      <c r="H429" t="n">
        <v>0</v>
      </c>
      <c r="I429" t="n">
        <v>0</v>
      </c>
      <c r="J429" t="n">
        <v>0</v>
      </c>
      <c r="K429" t="n">
        <v>0</v>
      </c>
      <c r="L429" t="n">
        <v>0</v>
      </c>
      <c r="M429" t="n">
        <v>0</v>
      </c>
      <c r="N429" t="n">
        <v>0</v>
      </c>
      <c r="O429" t="n">
        <v>0</v>
      </c>
      <c r="P429" t="n">
        <v>0</v>
      </c>
      <c r="Q429" t="n">
        <v>0</v>
      </c>
      <c r="R429" s="2" t="inlineStr"/>
    </row>
    <row r="430" ht="15" customHeight="1">
      <c r="A430" t="inlineStr">
        <is>
          <t>A 36725-2023</t>
        </is>
      </c>
      <c r="B430" s="1" t="n">
        <v>45153.68471064815</v>
      </c>
      <c r="C430" s="1" t="n">
        <v>46109</v>
      </c>
      <c r="D430" t="inlineStr">
        <is>
          <t>ÖSTERGÖTLANDS LÄN</t>
        </is>
      </c>
      <c r="E430" t="inlineStr">
        <is>
          <t>LINKÖPING</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52111-2025</t>
        </is>
      </c>
      <c r="B431" s="1" t="n">
        <v>45952.69527777778</v>
      </c>
      <c r="C431" s="1" t="n">
        <v>46109</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27343-2023</t>
        </is>
      </c>
      <c r="B432" s="1" t="n">
        <v>45096</v>
      </c>
      <c r="C432" s="1" t="n">
        <v>46109</v>
      </c>
      <c r="D432" t="inlineStr">
        <is>
          <t>ÖSTERGÖTLANDS LÄN</t>
        </is>
      </c>
      <c r="E432" t="inlineStr">
        <is>
          <t>LINKÖPING</t>
        </is>
      </c>
      <c r="F432" t="inlineStr">
        <is>
          <t>Allmännings- och besparingsskogar</t>
        </is>
      </c>
      <c r="G432" t="n">
        <v>6.9</v>
      </c>
      <c r="H432" t="n">
        <v>0</v>
      </c>
      <c r="I432" t="n">
        <v>0</v>
      </c>
      <c r="J432" t="n">
        <v>0</v>
      </c>
      <c r="K432" t="n">
        <v>0</v>
      </c>
      <c r="L432" t="n">
        <v>0</v>
      </c>
      <c r="M432" t="n">
        <v>0</v>
      </c>
      <c r="N432" t="n">
        <v>0</v>
      </c>
      <c r="O432" t="n">
        <v>0</v>
      </c>
      <c r="P432" t="n">
        <v>0</v>
      </c>
      <c r="Q432" t="n">
        <v>0</v>
      </c>
      <c r="R432" s="2" t="inlineStr"/>
    </row>
    <row r="433" ht="15" customHeight="1">
      <c r="A433" t="inlineStr">
        <is>
          <t>A 31581-2025</t>
        </is>
      </c>
      <c r="B433" s="1" t="n">
        <v>45833.6840162037</v>
      </c>
      <c r="C433" s="1" t="n">
        <v>46109</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31585-2025</t>
        </is>
      </c>
      <c r="B434" s="1" t="n">
        <v>45833.68815972222</v>
      </c>
      <c r="C434" s="1" t="n">
        <v>46109</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22774-2024</t>
        </is>
      </c>
      <c r="B435" s="1" t="n">
        <v>45448.46924768519</v>
      </c>
      <c r="C435" s="1" t="n">
        <v>46109</v>
      </c>
      <c r="D435" t="inlineStr">
        <is>
          <t>ÖSTERGÖTLANDS LÄN</t>
        </is>
      </c>
      <c r="E435" t="inlineStr">
        <is>
          <t>LINKÖPING</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22778-2024</t>
        </is>
      </c>
      <c r="B436" s="1" t="n">
        <v>45448.47233796296</v>
      </c>
      <c r="C436" s="1" t="n">
        <v>46109</v>
      </c>
      <c r="D436" t="inlineStr">
        <is>
          <t>ÖSTERGÖTLANDS LÄN</t>
        </is>
      </c>
      <c r="E436" t="inlineStr">
        <is>
          <t>LINKÖPING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11891-2026</t>
        </is>
      </c>
      <c r="B437" s="1" t="n">
        <v>46085.5197800926</v>
      </c>
      <c r="C437" s="1" t="n">
        <v>46109</v>
      </c>
      <c r="D437" t="inlineStr">
        <is>
          <t>ÖSTERGÖTLANDS LÄN</t>
        </is>
      </c>
      <c r="E437" t="inlineStr">
        <is>
          <t>LINKÖPING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34864-2023</t>
        </is>
      </c>
      <c r="B438" s="1" t="n">
        <v>45141</v>
      </c>
      <c r="C438" s="1" t="n">
        <v>46109</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32723-2025</t>
        </is>
      </c>
      <c r="B439" s="1" t="n">
        <v>45838</v>
      </c>
      <c r="C439" s="1" t="n">
        <v>46109</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52531-2023</t>
        </is>
      </c>
      <c r="B440" s="1" t="n">
        <v>45225</v>
      </c>
      <c r="C440" s="1" t="n">
        <v>46109</v>
      </c>
      <c r="D440" t="inlineStr">
        <is>
          <t>ÖSTERGÖTLANDS LÄN</t>
        </is>
      </c>
      <c r="E440" t="inlineStr">
        <is>
          <t>LINKÖPING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11888-2026</t>
        </is>
      </c>
      <c r="B441" s="1" t="n">
        <v>46085.51813657407</v>
      </c>
      <c r="C441" s="1" t="n">
        <v>46109</v>
      </c>
      <c r="D441" t="inlineStr">
        <is>
          <t>ÖSTERGÖTLANDS LÄN</t>
        </is>
      </c>
      <c r="E441" t="inlineStr">
        <is>
          <t>LINKÖPING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34930-2023</t>
        </is>
      </c>
      <c r="B442" s="1" t="n">
        <v>45142</v>
      </c>
      <c r="C442" s="1" t="n">
        <v>46109</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30985-2022</t>
        </is>
      </c>
      <c r="B443" s="1" t="n">
        <v>44768</v>
      </c>
      <c r="C443" s="1" t="n">
        <v>46109</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52800-2025</t>
        </is>
      </c>
      <c r="B444" s="1" t="n">
        <v>45957.44152777778</v>
      </c>
      <c r="C444" s="1" t="n">
        <v>46109</v>
      </c>
      <c r="D444" t="inlineStr">
        <is>
          <t>ÖSTERGÖTLANDS LÄN</t>
        </is>
      </c>
      <c r="E444" t="inlineStr">
        <is>
          <t>LINKÖPING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52802-2025</t>
        </is>
      </c>
      <c r="B445" s="1" t="n">
        <v>45957.44295138889</v>
      </c>
      <c r="C445" s="1" t="n">
        <v>46109</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12255-2026</t>
        </is>
      </c>
      <c r="B446" s="1" t="n">
        <v>46087.46630787037</v>
      </c>
      <c r="C446" s="1" t="n">
        <v>46109</v>
      </c>
      <c r="D446" t="inlineStr">
        <is>
          <t>ÖSTERGÖTLANDS LÄN</t>
        </is>
      </c>
      <c r="E446" t="inlineStr">
        <is>
          <t>LINKÖPING</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52740-2025</t>
        </is>
      </c>
      <c r="B447" s="1" t="n">
        <v>45957.37747685185</v>
      </c>
      <c r="C447" s="1" t="n">
        <v>46109</v>
      </c>
      <c r="D447" t="inlineStr">
        <is>
          <t>ÖSTERGÖTLANDS LÄN</t>
        </is>
      </c>
      <c r="E447" t="inlineStr">
        <is>
          <t>LINKÖPING</t>
        </is>
      </c>
      <c r="G447" t="n">
        <v>3.7</v>
      </c>
      <c r="H447" t="n">
        <v>0</v>
      </c>
      <c r="I447" t="n">
        <v>0</v>
      </c>
      <c r="J447" t="n">
        <v>0</v>
      </c>
      <c r="K447" t="n">
        <v>0</v>
      </c>
      <c r="L447" t="n">
        <v>0</v>
      </c>
      <c r="M447" t="n">
        <v>0</v>
      </c>
      <c r="N447" t="n">
        <v>0</v>
      </c>
      <c r="O447" t="n">
        <v>0</v>
      </c>
      <c r="P447" t="n">
        <v>0</v>
      </c>
      <c r="Q447" t="n">
        <v>0</v>
      </c>
      <c r="R447" s="2" t="inlineStr"/>
    </row>
    <row r="448" ht="15" customHeight="1">
      <c r="A448" t="inlineStr">
        <is>
          <t>A 52743-2025</t>
        </is>
      </c>
      <c r="B448" s="1" t="n">
        <v>45957.38039351852</v>
      </c>
      <c r="C448" s="1" t="n">
        <v>46109</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52807-2025</t>
        </is>
      </c>
      <c r="B449" s="1" t="n">
        <v>45957.44837962963</v>
      </c>
      <c r="C449" s="1" t="n">
        <v>46109</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38886-2024</t>
        </is>
      </c>
      <c r="B450" s="1" t="n">
        <v>45547.66443287037</v>
      </c>
      <c r="C450" s="1" t="n">
        <v>46109</v>
      </c>
      <c r="D450" t="inlineStr">
        <is>
          <t>ÖSTERGÖTLANDS LÄN</t>
        </is>
      </c>
      <c r="E450" t="inlineStr">
        <is>
          <t>LINKÖPING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12482-2026</t>
        </is>
      </c>
      <c r="B451" s="1" t="n">
        <v>46090.56292824074</v>
      </c>
      <c r="C451" s="1" t="n">
        <v>46109</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12486-2026</t>
        </is>
      </c>
      <c r="B452" s="1" t="n">
        <v>46090.56501157407</v>
      </c>
      <c r="C452" s="1" t="n">
        <v>46109</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12251-2026</t>
        </is>
      </c>
      <c r="B453" s="1" t="n">
        <v>46087.45278935185</v>
      </c>
      <c r="C453" s="1" t="n">
        <v>46109</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59642-2024</t>
        </is>
      </c>
      <c r="B454" s="1" t="n">
        <v>45639.31511574074</v>
      </c>
      <c r="C454" s="1" t="n">
        <v>46109</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15748-2025</t>
        </is>
      </c>
      <c r="B455" s="1" t="n">
        <v>45748.55282407408</v>
      </c>
      <c r="C455" s="1" t="n">
        <v>46109</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31792-2021</t>
        </is>
      </c>
      <c r="B456" s="1" t="n">
        <v>44369</v>
      </c>
      <c r="C456" s="1" t="n">
        <v>46109</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25097-2023</t>
        </is>
      </c>
      <c r="B457" s="1" t="n">
        <v>45086</v>
      </c>
      <c r="C457" s="1" t="n">
        <v>46109</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4469-2026</t>
        </is>
      </c>
      <c r="B458" s="1" t="n">
        <v>46045.65662037037</v>
      </c>
      <c r="C458" s="1" t="n">
        <v>46109</v>
      </c>
      <c r="D458" t="inlineStr">
        <is>
          <t>ÖSTERGÖTLANDS LÄN</t>
        </is>
      </c>
      <c r="E458" t="inlineStr">
        <is>
          <t>LINKÖPING</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12254-2026</t>
        </is>
      </c>
      <c r="B459" s="1" t="n">
        <v>46087.46196759259</v>
      </c>
      <c r="C459" s="1" t="n">
        <v>46109</v>
      </c>
      <c r="D459" t="inlineStr">
        <is>
          <t>ÖSTERGÖTLANDS LÄN</t>
        </is>
      </c>
      <c r="E459" t="inlineStr">
        <is>
          <t>LINKÖPING</t>
        </is>
      </c>
      <c r="G459" t="n">
        <v>10.4</v>
      </c>
      <c r="H459" t="n">
        <v>0</v>
      </c>
      <c r="I459" t="n">
        <v>0</v>
      </c>
      <c r="J459" t="n">
        <v>0</v>
      </c>
      <c r="K459" t="n">
        <v>0</v>
      </c>
      <c r="L459" t="n">
        <v>0</v>
      </c>
      <c r="M459" t="n">
        <v>0</v>
      </c>
      <c r="N459" t="n">
        <v>0</v>
      </c>
      <c r="O459" t="n">
        <v>0</v>
      </c>
      <c r="P459" t="n">
        <v>0</v>
      </c>
      <c r="Q459" t="n">
        <v>0</v>
      </c>
      <c r="R459" s="2" t="inlineStr"/>
    </row>
    <row r="460" ht="15" customHeight="1">
      <c r="A460" t="inlineStr">
        <is>
          <t>A 12247-2026</t>
        </is>
      </c>
      <c r="B460" s="1" t="n">
        <v>46087.44436342592</v>
      </c>
      <c r="C460" s="1" t="n">
        <v>46109</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35735-2023</t>
        </is>
      </c>
      <c r="B461" s="1" t="n">
        <v>45147</v>
      </c>
      <c r="C461" s="1" t="n">
        <v>46109</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16462-2021</t>
        </is>
      </c>
      <c r="B462" s="1" t="n">
        <v>44293</v>
      </c>
      <c r="C462" s="1" t="n">
        <v>46109</v>
      </c>
      <c r="D462" t="inlineStr">
        <is>
          <t>ÖSTERGÖTLANDS LÄN</t>
        </is>
      </c>
      <c r="E462" t="inlineStr">
        <is>
          <t>LINKÖPING</t>
        </is>
      </c>
      <c r="F462" t="inlineStr">
        <is>
          <t>Allmännings- och besparingsskogar</t>
        </is>
      </c>
      <c r="G462" t="n">
        <v>24.7</v>
      </c>
      <c r="H462" t="n">
        <v>0</v>
      </c>
      <c r="I462" t="n">
        <v>0</v>
      </c>
      <c r="J462" t="n">
        <v>0</v>
      </c>
      <c r="K462" t="n">
        <v>0</v>
      </c>
      <c r="L462" t="n">
        <v>0</v>
      </c>
      <c r="M462" t="n">
        <v>0</v>
      </c>
      <c r="N462" t="n">
        <v>0</v>
      </c>
      <c r="O462" t="n">
        <v>0</v>
      </c>
      <c r="P462" t="n">
        <v>0</v>
      </c>
      <c r="Q462" t="n">
        <v>0</v>
      </c>
      <c r="R462" s="2" t="inlineStr"/>
    </row>
    <row r="463" ht="15" customHeight="1">
      <c r="A463" t="inlineStr">
        <is>
          <t>A 25776-2021</t>
        </is>
      </c>
      <c r="B463" s="1" t="n">
        <v>44343</v>
      </c>
      <c r="C463" s="1" t="n">
        <v>46109</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30856-2022</t>
        </is>
      </c>
      <c r="B464" s="1" t="n">
        <v>44767</v>
      </c>
      <c r="C464" s="1" t="n">
        <v>46109</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19187-2021</t>
        </is>
      </c>
      <c r="B465" s="1" t="n">
        <v>44308</v>
      </c>
      <c r="C465" s="1" t="n">
        <v>46109</v>
      </c>
      <c r="D465" t="inlineStr">
        <is>
          <t>ÖSTERGÖTLANDS LÄN</t>
        </is>
      </c>
      <c r="E465" t="inlineStr">
        <is>
          <t>LINKÖPING</t>
        </is>
      </c>
      <c r="F465" t="inlineStr">
        <is>
          <t>Allmännings- och besparingsskogar</t>
        </is>
      </c>
      <c r="G465" t="n">
        <v>20</v>
      </c>
      <c r="H465" t="n">
        <v>0</v>
      </c>
      <c r="I465" t="n">
        <v>0</v>
      </c>
      <c r="J465" t="n">
        <v>0</v>
      </c>
      <c r="K465" t="n">
        <v>0</v>
      </c>
      <c r="L465" t="n">
        <v>0</v>
      </c>
      <c r="M465" t="n">
        <v>0</v>
      </c>
      <c r="N465" t="n">
        <v>0</v>
      </c>
      <c r="O465" t="n">
        <v>0</v>
      </c>
      <c r="P465" t="n">
        <v>0</v>
      </c>
      <c r="Q465" t="n">
        <v>0</v>
      </c>
      <c r="R465" s="2" t="inlineStr"/>
    </row>
    <row r="466" ht="15" customHeight="1">
      <c r="A466" t="inlineStr">
        <is>
          <t>A 5545-2026</t>
        </is>
      </c>
      <c r="B466" s="1" t="n">
        <v>46050.70089120371</v>
      </c>
      <c r="C466" s="1" t="n">
        <v>46109</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54333-2025</t>
        </is>
      </c>
      <c r="B467" s="1" t="n">
        <v>45965.35090277778</v>
      </c>
      <c r="C467" s="1" t="n">
        <v>46109</v>
      </c>
      <c r="D467" t="inlineStr">
        <is>
          <t>ÖSTERGÖTLANDS LÄN</t>
        </is>
      </c>
      <c r="E467" t="inlineStr">
        <is>
          <t>LINKÖPING</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39219-2021</t>
        </is>
      </c>
      <c r="B468" s="1" t="n">
        <v>44413</v>
      </c>
      <c r="C468" s="1" t="n">
        <v>46109</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39224-2021</t>
        </is>
      </c>
      <c r="B469" s="1" t="n">
        <v>44413</v>
      </c>
      <c r="C469" s="1" t="n">
        <v>46109</v>
      </c>
      <c r="D469" t="inlineStr">
        <is>
          <t>ÖSTERGÖTLANDS LÄN</t>
        </is>
      </c>
      <c r="E469" t="inlineStr">
        <is>
          <t>LINKÖPING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5099-2026</t>
        </is>
      </c>
      <c r="B470" s="1" t="n">
        <v>46049.56158564815</v>
      </c>
      <c r="C470" s="1" t="n">
        <v>46109</v>
      </c>
      <c r="D470" t="inlineStr">
        <is>
          <t>ÖSTERGÖTLANDS LÄN</t>
        </is>
      </c>
      <c r="E470" t="inlineStr">
        <is>
          <t>LINKÖPING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54332-2025</t>
        </is>
      </c>
      <c r="B471" s="1" t="n">
        <v>45965.34915509259</v>
      </c>
      <c r="C471" s="1" t="n">
        <v>46109</v>
      </c>
      <c r="D471" t="inlineStr">
        <is>
          <t>ÖSTERGÖTLANDS LÄN</t>
        </is>
      </c>
      <c r="E471" t="inlineStr">
        <is>
          <t>LINKÖPING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54329-2025</t>
        </is>
      </c>
      <c r="B472" s="1" t="n">
        <v>45965.34706018519</v>
      </c>
      <c r="C472" s="1" t="n">
        <v>46109</v>
      </c>
      <c r="D472" t="inlineStr">
        <is>
          <t>ÖSTERGÖTLANDS LÄN</t>
        </is>
      </c>
      <c r="E472" t="inlineStr">
        <is>
          <t>LINKÖPING</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10477-2026</t>
        </is>
      </c>
      <c r="B473" s="1" t="n">
        <v>46077.4871875</v>
      </c>
      <c r="C473" s="1" t="n">
        <v>46109</v>
      </c>
      <c r="D473" t="inlineStr">
        <is>
          <t>ÖSTERGÖTLANDS LÄN</t>
        </is>
      </c>
      <c r="E473" t="inlineStr">
        <is>
          <t>LINKÖPING</t>
        </is>
      </c>
      <c r="G473" t="n">
        <v>9.6</v>
      </c>
      <c r="H473" t="n">
        <v>0</v>
      </c>
      <c r="I473" t="n">
        <v>0</v>
      </c>
      <c r="J473" t="n">
        <v>0</v>
      </c>
      <c r="K473" t="n">
        <v>0</v>
      </c>
      <c r="L473" t="n">
        <v>0</v>
      </c>
      <c r="M473" t="n">
        <v>0</v>
      </c>
      <c r="N473" t="n">
        <v>0</v>
      </c>
      <c r="O473" t="n">
        <v>0</v>
      </c>
      <c r="P473" t="n">
        <v>0</v>
      </c>
      <c r="Q473" t="n">
        <v>0</v>
      </c>
      <c r="R473" s="2" t="inlineStr"/>
    </row>
    <row r="474" ht="15" customHeight="1">
      <c r="A474" t="inlineStr">
        <is>
          <t>A 43934-2023</t>
        </is>
      </c>
      <c r="B474" s="1" t="n">
        <v>45187</v>
      </c>
      <c r="C474" s="1" t="n">
        <v>46109</v>
      </c>
      <c r="D474" t="inlineStr">
        <is>
          <t>ÖSTERGÖTLANDS LÄN</t>
        </is>
      </c>
      <c r="E474" t="inlineStr">
        <is>
          <t>LINKÖPING</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33947-2025</t>
        </is>
      </c>
      <c r="B475" s="1" t="n">
        <v>45842.65444444444</v>
      </c>
      <c r="C475" s="1" t="n">
        <v>46109</v>
      </c>
      <c r="D475" t="inlineStr">
        <is>
          <t>ÖSTERGÖTLANDS LÄN</t>
        </is>
      </c>
      <c r="E475" t="inlineStr">
        <is>
          <t>LINKÖPING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55109-2025</t>
        </is>
      </c>
      <c r="B476" s="1" t="n">
        <v>45968.37731481482</v>
      </c>
      <c r="C476" s="1" t="n">
        <v>46109</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55165-2025</t>
        </is>
      </c>
      <c r="B477" s="1" t="n">
        <v>45968.48194444444</v>
      </c>
      <c r="C477" s="1" t="n">
        <v>46109</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55102-2025</t>
        </is>
      </c>
      <c r="B478" s="1" t="n">
        <v>45968.35410879629</v>
      </c>
      <c r="C478" s="1" t="n">
        <v>46109</v>
      </c>
      <c r="D478" t="inlineStr">
        <is>
          <t>ÖSTERGÖTLANDS LÄN</t>
        </is>
      </c>
      <c r="E478" t="inlineStr">
        <is>
          <t>LINKÖPING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55132-2025</t>
        </is>
      </c>
      <c r="B479" s="1" t="n">
        <v>45968.41912037037</v>
      </c>
      <c r="C479" s="1" t="n">
        <v>46109</v>
      </c>
      <c r="D479" t="inlineStr">
        <is>
          <t>ÖSTERGÖTLANDS LÄN</t>
        </is>
      </c>
      <c r="E479" t="inlineStr">
        <is>
          <t>LINKÖPING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56105-2025</t>
        </is>
      </c>
      <c r="B480" s="1" t="n">
        <v>45973.72855324074</v>
      </c>
      <c r="C480" s="1" t="n">
        <v>46109</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56403-2025</t>
        </is>
      </c>
      <c r="B481" s="1" t="n">
        <v>45974</v>
      </c>
      <c r="C481" s="1" t="n">
        <v>46109</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7354-2025</t>
        </is>
      </c>
      <c r="B482" s="1" t="n">
        <v>45704.41174768518</v>
      </c>
      <c r="C482" s="1" t="n">
        <v>46109</v>
      </c>
      <c r="D482" t="inlineStr">
        <is>
          <t>ÖSTERGÖTLANDS LÄN</t>
        </is>
      </c>
      <c r="E482" t="inlineStr">
        <is>
          <t>LINKÖPING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56113-2025</t>
        </is>
      </c>
      <c r="B483" s="1" t="n">
        <v>45973.73924768518</v>
      </c>
      <c r="C483" s="1" t="n">
        <v>46109</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63935-2021</t>
        </is>
      </c>
      <c r="B484" s="1" t="n">
        <v>44509</v>
      </c>
      <c r="C484" s="1" t="n">
        <v>46109</v>
      </c>
      <c r="D484" t="inlineStr">
        <is>
          <t>ÖSTERGÖTLANDS LÄN</t>
        </is>
      </c>
      <c r="E484" t="inlineStr">
        <is>
          <t>LINKÖPING</t>
        </is>
      </c>
      <c r="F484" t="inlineStr">
        <is>
          <t>Övriga statliga verk och myndigheter</t>
        </is>
      </c>
      <c r="G484" t="n">
        <v>2.8</v>
      </c>
      <c r="H484" t="n">
        <v>0</v>
      </c>
      <c r="I484" t="n">
        <v>0</v>
      </c>
      <c r="J484" t="n">
        <v>0</v>
      </c>
      <c r="K484" t="n">
        <v>0</v>
      </c>
      <c r="L484" t="n">
        <v>0</v>
      </c>
      <c r="M484" t="n">
        <v>0</v>
      </c>
      <c r="N484" t="n">
        <v>0</v>
      </c>
      <c r="O484" t="n">
        <v>0</v>
      </c>
      <c r="P484" t="n">
        <v>0</v>
      </c>
      <c r="Q484" t="n">
        <v>0</v>
      </c>
      <c r="R484" s="2" t="inlineStr"/>
    </row>
    <row r="485" ht="15" customHeight="1">
      <c r="A485" t="inlineStr">
        <is>
          <t>A 56704-2025</t>
        </is>
      </c>
      <c r="B485" s="1" t="n">
        <v>45977.50608796296</v>
      </c>
      <c r="C485" s="1" t="n">
        <v>46109</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62012-2024</t>
        </is>
      </c>
      <c r="B486" s="1" t="n">
        <v>45655.79679398148</v>
      </c>
      <c r="C486" s="1" t="n">
        <v>46109</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13565-2026</t>
        </is>
      </c>
      <c r="B487" s="1" t="n">
        <v>46094.80006944444</v>
      </c>
      <c r="C487" s="1" t="n">
        <v>46109</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40810-2022</t>
        </is>
      </c>
      <c r="B488" s="1" t="n">
        <v>44824</v>
      </c>
      <c r="C488" s="1" t="n">
        <v>46109</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53529-2024</t>
        </is>
      </c>
      <c r="B489" s="1" t="n">
        <v>45614</v>
      </c>
      <c r="C489" s="1" t="n">
        <v>46109</v>
      </c>
      <c r="D489" t="inlineStr">
        <is>
          <t>ÖSTERGÖTLANDS LÄN</t>
        </is>
      </c>
      <c r="E489" t="inlineStr">
        <is>
          <t>LINKÖPING</t>
        </is>
      </c>
      <c r="G489" t="n">
        <v>6.7</v>
      </c>
      <c r="H489" t="n">
        <v>0</v>
      </c>
      <c r="I489" t="n">
        <v>0</v>
      </c>
      <c r="J489" t="n">
        <v>0</v>
      </c>
      <c r="K489" t="n">
        <v>0</v>
      </c>
      <c r="L489" t="n">
        <v>0</v>
      </c>
      <c r="M489" t="n">
        <v>0</v>
      </c>
      <c r="N489" t="n">
        <v>0</v>
      </c>
      <c r="O489" t="n">
        <v>0</v>
      </c>
      <c r="P489" t="n">
        <v>0</v>
      </c>
      <c r="Q489" t="n">
        <v>0</v>
      </c>
      <c r="R489" s="2" t="inlineStr"/>
    </row>
    <row r="490" ht="15" customHeight="1">
      <c r="A490" t="inlineStr">
        <is>
          <t>A 6384-2026</t>
        </is>
      </c>
      <c r="B490" s="1" t="n">
        <v>46055.63732638889</v>
      </c>
      <c r="C490" s="1" t="n">
        <v>46109</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6164-2026</t>
        </is>
      </c>
      <c r="B491" s="1" t="n">
        <v>46055.32596064815</v>
      </c>
      <c r="C491" s="1" t="n">
        <v>46109</v>
      </c>
      <c r="D491" t="inlineStr">
        <is>
          <t>ÖSTERGÖTLANDS LÄN</t>
        </is>
      </c>
      <c r="E491" t="inlineStr">
        <is>
          <t>LINKÖPING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20298-2025</t>
        </is>
      </c>
      <c r="B492" s="1" t="n">
        <v>45774.75024305555</v>
      </c>
      <c r="C492" s="1" t="n">
        <v>46109</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20469-2025</t>
        </is>
      </c>
      <c r="B493" s="1" t="n">
        <v>45775</v>
      </c>
      <c r="C493" s="1" t="n">
        <v>46109</v>
      </c>
      <c r="D493" t="inlineStr">
        <is>
          <t>ÖSTERGÖTLANDS LÄN</t>
        </is>
      </c>
      <c r="E493" t="inlineStr">
        <is>
          <t>LINKÖPING</t>
        </is>
      </c>
      <c r="F493" t="inlineStr">
        <is>
          <t>Kyrkan</t>
        </is>
      </c>
      <c r="G493" t="n">
        <v>6.1</v>
      </c>
      <c r="H493" t="n">
        <v>0</v>
      </c>
      <c r="I493" t="n">
        <v>0</v>
      </c>
      <c r="J493" t="n">
        <v>0</v>
      </c>
      <c r="K493" t="n">
        <v>0</v>
      </c>
      <c r="L493" t="n">
        <v>0</v>
      </c>
      <c r="M493" t="n">
        <v>0</v>
      </c>
      <c r="N493" t="n">
        <v>0</v>
      </c>
      <c r="O493" t="n">
        <v>0</v>
      </c>
      <c r="P493" t="n">
        <v>0</v>
      </c>
      <c r="Q493" t="n">
        <v>0</v>
      </c>
      <c r="R493" s="2" t="inlineStr"/>
    </row>
    <row r="494" ht="15" customHeight="1">
      <c r="A494" t="inlineStr">
        <is>
          <t>A 14576-2023</t>
        </is>
      </c>
      <c r="B494" s="1" t="n">
        <v>45013</v>
      </c>
      <c r="C494" s="1" t="n">
        <v>46109</v>
      </c>
      <c r="D494" t="inlineStr">
        <is>
          <t>ÖSTERGÖTLANDS LÄN</t>
        </is>
      </c>
      <c r="E494" t="inlineStr">
        <is>
          <t>LINKÖPING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33800-2023</t>
        </is>
      </c>
      <c r="B495" s="1" t="n">
        <v>45121</v>
      </c>
      <c r="C495" s="1" t="n">
        <v>46109</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47991-2023</t>
        </is>
      </c>
      <c r="B496" s="1" t="n">
        <v>45204.62655092592</v>
      </c>
      <c r="C496" s="1" t="n">
        <v>46109</v>
      </c>
      <c r="D496" t="inlineStr">
        <is>
          <t>ÖSTERGÖTLANDS LÄN</t>
        </is>
      </c>
      <c r="E496" t="inlineStr">
        <is>
          <t>LINKÖPING</t>
        </is>
      </c>
      <c r="F496" t="inlineStr">
        <is>
          <t>Allmännings- och besparingsskogar</t>
        </is>
      </c>
      <c r="G496" t="n">
        <v>7.3</v>
      </c>
      <c r="H496" t="n">
        <v>0</v>
      </c>
      <c r="I496" t="n">
        <v>0</v>
      </c>
      <c r="J496" t="n">
        <v>0</v>
      </c>
      <c r="K496" t="n">
        <v>0</v>
      </c>
      <c r="L496" t="n">
        <v>0</v>
      </c>
      <c r="M496" t="n">
        <v>0</v>
      </c>
      <c r="N496" t="n">
        <v>0</v>
      </c>
      <c r="O496" t="n">
        <v>0</v>
      </c>
      <c r="P496" t="n">
        <v>0</v>
      </c>
      <c r="Q496" t="n">
        <v>0</v>
      </c>
      <c r="R496" s="2" t="inlineStr"/>
    </row>
    <row r="497" ht="15" customHeight="1">
      <c r="A497" t="inlineStr">
        <is>
          <t>A 12089-2025</t>
        </is>
      </c>
      <c r="B497" s="1" t="n">
        <v>45729</v>
      </c>
      <c r="C497" s="1" t="n">
        <v>46109</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35178-2025</t>
        </is>
      </c>
      <c r="B498" s="1" t="n">
        <v>45852.91939814815</v>
      </c>
      <c r="C498" s="1" t="n">
        <v>46109</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35174-2025</t>
        </is>
      </c>
      <c r="B499" s="1" t="n">
        <v>45852.90648148148</v>
      </c>
      <c r="C499" s="1" t="n">
        <v>46109</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26007-2025</t>
        </is>
      </c>
      <c r="B500" s="1" t="n">
        <v>45804.67081018518</v>
      </c>
      <c r="C500" s="1" t="n">
        <v>46109</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35179-2025</t>
        </is>
      </c>
      <c r="B501" s="1" t="n">
        <v>45852.93737268518</v>
      </c>
      <c r="C501" s="1" t="n">
        <v>46109</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35180-2025</t>
        </is>
      </c>
      <c r="B502" s="1" t="n">
        <v>45852.9413425926</v>
      </c>
      <c r="C502" s="1" t="n">
        <v>46109</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35747-2025</t>
        </is>
      </c>
      <c r="B503" s="1" t="n">
        <v>45860.56385416666</v>
      </c>
      <c r="C503" s="1" t="n">
        <v>46109</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13927-2026</t>
        </is>
      </c>
      <c r="B504" s="1" t="n">
        <v>46098</v>
      </c>
      <c r="C504" s="1" t="n">
        <v>46109</v>
      </c>
      <c r="D504" t="inlineStr">
        <is>
          <t>ÖSTERGÖTLANDS LÄN</t>
        </is>
      </c>
      <c r="E504" t="inlineStr">
        <is>
          <t>LINKÖPING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35745-2025</t>
        </is>
      </c>
      <c r="B505" s="1" t="n">
        <v>45860.54739583333</v>
      </c>
      <c r="C505" s="1" t="n">
        <v>46109</v>
      </c>
      <c r="D505" t="inlineStr">
        <is>
          <t>ÖSTERGÖTLANDS LÄN</t>
        </is>
      </c>
      <c r="E505" t="inlineStr">
        <is>
          <t>LINKÖPING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7133-2026</t>
        </is>
      </c>
      <c r="B506" s="1" t="n">
        <v>46057</v>
      </c>
      <c r="C506" s="1" t="n">
        <v>46109</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35757-2025</t>
        </is>
      </c>
      <c r="B507" s="1" t="n">
        <v>45860.59876157407</v>
      </c>
      <c r="C507" s="1" t="n">
        <v>46109</v>
      </c>
      <c r="D507" t="inlineStr">
        <is>
          <t>ÖSTERGÖTLANDS LÄN</t>
        </is>
      </c>
      <c r="E507" t="inlineStr">
        <is>
          <t>LINKÖPING</t>
        </is>
      </c>
      <c r="G507" t="n">
        <v>5.7</v>
      </c>
      <c r="H507" t="n">
        <v>0</v>
      </c>
      <c r="I507" t="n">
        <v>0</v>
      </c>
      <c r="J507" t="n">
        <v>0</v>
      </c>
      <c r="K507" t="n">
        <v>0</v>
      </c>
      <c r="L507" t="n">
        <v>0</v>
      </c>
      <c r="M507" t="n">
        <v>0</v>
      </c>
      <c r="N507" t="n">
        <v>0</v>
      </c>
      <c r="O507" t="n">
        <v>0</v>
      </c>
      <c r="P507" t="n">
        <v>0</v>
      </c>
      <c r="Q507" t="n">
        <v>0</v>
      </c>
      <c r="R507" s="2" t="inlineStr"/>
    </row>
    <row r="508" ht="15" customHeight="1">
      <c r="A508" t="inlineStr">
        <is>
          <t>A 14157-2026</t>
        </is>
      </c>
      <c r="B508" s="1" t="n">
        <v>46099.46829861111</v>
      </c>
      <c r="C508" s="1" t="n">
        <v>46109</v>
      </c>
      <c r="D508" t="inlineStr">
        <is>
          <t>ÖSTERGÖTLANDS LÄN</t>
        </is>
      </c>
      <c r="E508" t="inlineStr">
        <is>
          <t>LINKÖPING</t>
        </is>
      </c>
      <c r="F508" t="inlineStr">
        <is>
          <t>Allmännings- och besparingsskogar</t>
        </is>
      </c>
      <c r="G508" t="n">
        <v>1.6</v>
      </c>
      <c r="H508" t="n">
        <v>0</v>
      </c>
      <c r="I508" t="n">
        <v>0</v>
      </c>
      <c r="J508" t="n">
        <v>0</v>
      </c>
      <c r="K508" t="n">
        <v>0</v>
      </c>
      <c r="L508" t="n">
        <v>0</v>
      </c>
      <c r="M508" t="n">
        <v>0</v>
      </c>
      <c r="N508" t="n">
        <v>0</v>
      </c>
      <c r="O508" t="n">
        <v>0</v>
      </c>
      <c r="P508" t="n">
        <v>0</v>
      </c>
      <c r="Q508" t="n">
        <v>0</v>
      </c>
      <c r="R508" s="2" t="inlineStr"/>
    </row>
    <row r="509" ht="15" customHeight="1">
      <c r="A509" t="inlineStr">
        <is>
          <t>A 35759-2025</t>
        </is>
      </c>
      <c r="B509" s="1" t="n">
        <v>45860</v>
      </c>
      <c r="C509" s="1" t="n">
        <v>46109</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62321-2022</t>
        </is>
      </c>
      <c r="B510" s="1" t="n">
        <v>44916</v>
      </c>
      <c r="C510" s="1" t="n">
        <v>46109</v>
      </c>
      <c r="D510" t="inlineStr">
        <is>
          <t>ÖSTERGÖTLANDS LÄN</t>
        </is>
      </c>
      <c r="E510" t="inlineStr">
        <is>
          <t>LINKÖPING</t>
        </is>
      </c>
      <c r="F510" t="inlineStr">
        <is>
          <t>Kommuner</t>
        </is>
      </c>
      <c r="G510" t="n">
        <v>5.3</v>
      </c>
      <c r="H510" t="n">
        <v>0</v>
      </c>
      <c r="I510" t="n">
        <v>0</v>
      </c>
      <c r="J510" t="n">
        <v>0</v>
      </c>
      <c r="K510" t="n">
        <v>0</v>
      </c>
      <c r="L510" t="n">
        <v>0</v>
      </c>
      <c r="M510" t="n">
        <v>0</v>
      </c>
      <c r="N510" t="n">
        <v>0</v>
      </c>
      <c r="O510" t="n">
        <v>0</v>
      </c>
      <c r="P510" t="n">
        <v>0</v>
      </c>
      <c r="Q510" t="n">
        <v>0</v>
      </c>
      <c r="R510" s="2" t="inlineStr"/>
    </row>
    <row r="511" ht="15" customHeight="1">
      <c r="A511" t="inlineStr">
        <is>
          <t>A 43475-2024</t>
        </is>
      </c>
      <c r="B511" s="1" t="n">
        <v>45568</v>
      </c>
      <c r="C511" s="1" t="n">
        <v>46109</v>
      </c>
      <c r="D511" t="inlineStr">
        <is>
          <t>ÖSTERGÖTLANDS LÄN</t>
        </is>
      </c>
      <c r="E511" t="inlineStr">
        <is>
          <t>LINKÖPING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17103-2025</t>
        </is>
      </c>
      <c r="B512" s="1" t="n">
        <v>45755.66143518518</v>
      </c>
      <c r="C512" s="1" t="n">
        <v>46109</v>
      </c>
      <c r="D512" t="inlineStr">
        <is>
          <t>ÖSTERGÖTLANDS LÄN</t>
        </is>
      </c>
      <c r="E512" t="inlineStr">
        <is>
          <t>LINKÖPING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30551-2023</t>
        </is>
      </c>
      <c r="B513" s="1" t="n">
        <v>45111</v>
      </c>
      <c r="C513" s="1" t="n">
        <v>46109</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50784-2022</t>
        </is>
      </c>
      <c r="B514" s="1" t="n">
        <v>44862</v>
      </c>
      <c r="C514" s="1" t="n">
        <v>46109</v>
      </c>
      <c r="D514" t="inlineStr">
        <is>
          <t>ÖSTERGÖTLANDS LÄN</t>
        </is>
      </c>
      <c r="E514" t="inlineStr">
        <is>
          <t>LINKÖPING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22043-2023</t>
        </is>
      </c>
      <c r="B515" s="1" t="n">
        <v>45069.39050925926</v>
      </c>
      <c r="C515" s="1" t="n">
        <v>46109</v>
      </c>
      <c r="D515" t="inlineStr">
        <is>
          <t>ÖSTERGÖTLANDS LÄN</t>
        </is>
      </c>
      <c r="E515" t="inlineStr">
        <is>
          <t>LINKÖPING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49656-2021</t>
        </is>
      </c>
      <c r="B516" s="1" t="n">
        <v>44454</v>
      </c>
      <c r="C516" s="1" t="n">
        <v>46109</v>
      </c>
      <c r="D516" t="inlineStr">
        <is>
          <t>ÖSTERGÖTLANDS LÄN</t>
        </is>
      </c>
      <c r="E516" t="inlineStr">
        <is>
          <t>LINKÖPING</t>
        </is>
      </c>
      <c r="G516" t="n">
        <v>2.3</v>
      </c>
      <c r="H516" t="n">
        <v>0</v>
      </c>
      <c r="I516" t="n">
        <v>0</v>
      </c>
      <c r="J516" t="n">
        <v>0</v>
      </c>
      <c r="K516" t="n">
        <v>0</v>
      </c>
      <c r="L516" t="n">
        <v>0</v>
      </c>
      <c r="M516" t="n">
        <v>0</v>
      </c>
      <c r="N516" t="n">
        <v>0</v>
      </c>
      <c r="O516" t="n">
        <v>0</v>
      </c>
      <c r="P516" t="n">
        <v>0</v>
      </c>
      <c r="Q516" t="n">
        <v>0</v>
      </c>
      <c r="R516" s="2" t="inlineStr"/>
    </row>
    <row r="517" ht="15" customHeight="1">
      <c r="A517" t="inlineStr">
        <is>
          <t>A 30465-2023</t>
        </is>
      </c>
      <c r="B517" s="1" t="n">
        <v>45111</v>
      </c>
      <c r="C517" s="1" t="n">
        <v>46109</v>
      </c>
      <c r="D517" t="inlineStr">
        <is>
          <t>ÖSTERGÖTLANDS LÄN</t>
        </is>
      </c>
      <c r="E517" t="inlineStr">
        <is>
          <t>LINKÖPING</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30521-2024</t>
        </is>
      </c>
      <c r="B518" s="1" t="n">
        <v>45492</v>
      </c>
      <c r="C518" s="1" t="n">
        <v>46109</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40618-2021</t>
        </is>
      </c>
      <c r="B519" s="1" t="n">
        <v>44420.49575231481</v>
      </c>
      <c r="C519" s="1" t="n">
        <v>46109</v>
      </c>
      <c r="D519" t="inlineStr">
        <is>
          <t>ÖSTERGÖTLANDS LÄN</t>
        </is>
      </c>
      <c r="E519" t="inlineStr">
        <is>
          <t>LINKÖPING</t>
        </is>
      </c>
      <c r="G519" t="n">
        <v>2.3</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46109</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46109</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4256-2022</t>
        </is>
      </c>
      <c r="B522" s="1" t="n">
        <v>44588</v>
      </c>
      <c r="C522" s="1" t="n">
        <v>46109</v>
      </c>
      <c r="D522" t="inlineStr">
        <is>
          <t>ÖSTERGÖTLANDS LÄN</t>
        </is>
      </c>
      <c r="E522" t="inlineStr">
        <is>
          <t>LINKÖPING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25948-2023</t>
        </is>
      </c>
      <c r="B523" s="1" t="n">
        <v>45090</v>
      </c>
      <c r="C523" s="1" t="n">
        <v>46109</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33867-2023</t>
        </is>
      </c>
      <c r="B524" s="1" t="n">
        <v>45133.94640046296</v>
      </c>
      <c r="C524" s="1" t="n">
        <v>46109</v>
      </c>
      <c r="D524" t="inlineStr">
        <is>
          <t>ÖSTERGÖTLANDS LÄN</t>
        </is>
      </c>
      <c r="E524" t="inlineStr">
        <is>
          <t>LINKÖPING</t>
        </is>
      </c>
      <c r="G524" t="n">
        <v>2.3</v>
      </c>
      <c r="H524" t="n">
        <v>0</v>
      </c>
      <c r="I524" t="n">
        <v>0</v>
      </c>
      <c r="J524" t="n">
        <v>0</v>
      </c>
      <c r="K524" t="n">
        <v>0</v>
      </c>
      <c r="L524" t="n">
        <v>0</v>
      </c>
      <c r="M524" t="n">
        <v>0</v>
      </c>
      <c r="N524" t="n">
        <v>0</v>
      </c>
      <c r="O524" t="n">
        <v>0</v>
      </c>
      <c r="P524" t="n">
        <v>0</v>
      </c>
      <c r="Q524" t="n">
        <v>0</v>
      </c>
      <c r="R524" s="2" t="inlineStr"/>
    </row>
    <row r="525" ht="15" customHeight="1">
      <c r="A525" t="inlineStr">
        <is>
          <t>A 24462-2023</t>
        </is>
      </c>
      <c r="B525" s="1" t="n">
        <v>45082</v>
      </c>
      <c r="C525" s="1" t="n">
        <v>46109</v>
      </c>
      <c r="D525" t="inlineStr">
        <is>
          <t>ÖSTERGÖTLANDS LÄN</t>
        </is>
      </c>
      <c r="E525" t="inlineStr">
        <is>
          <t>LINKÖPING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48829-2023</t>
        </is>
      </c>
      <c r="B526" s="1" t="n">
        <v>45209.38177083333</v>
      </c>
      <c r="C526" s="1" t="n">
        <v>46109</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15850-2026</t>
        </is>
      </c>
      <c r="B527" s="1" t="n">
        <v>46107.57224537037</v>
      </c>
      <c r="C527" s="1" t="n">
        <v>46109</v>
      </c>
      <c r="D527" t="inlineStr">
        <is>
          <t>ÖSTERGÖTLANDS LÄN</t>
        </is>
      </c>
      <c r="E527" t="inlineStr">
        <is>
          <t>LINKÖPING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37057-2025</t>
        </is>
      </c>
      <c r="B528" s="1" t="n">
        <v>45875.37489583333</v>
      </c>
      <c r="C528" s="1" t="n">
        <v>46109</v>
      </c>
      <c r="D528" t="inlineStr">
        <is>
          <t>ÖSTERGÖTLANDS LÄN</t>
        </is>
      </c>
      <c r="E528" t="inlineStr">
        <is>
          <t>LINKÖPING</t>
        </is>
      </c>
      <c r="G528" t="n">
        <v>3.3</v>
      </c>
      <c r="H528" t="n">
        <v>0</v>
      </c>
      <c r="I528" t="n">
        <v>0</v>
      </c>
      <c r="J528" t="n">
        <v>0</v>
      </c>
      <c r="K528" t="n">
        <v>0</v>
      </c>
      <c r="L528" t="n">
        <v>0</v>
      </c>
      <c r="M528" t="n">
        <v>0</v>
      </c>
      <c r="N528" t="n">
        <v>0</v>
      </c>
      <c r="O528" t="n">
        <v>0</v>
      </c>
      <c r="P528" t="n">
        <v>0</v>
      </c>
      <c r="Q528" t="n">
        <v>0</v>
      </c>
      <c r="R528" s="2" t="inlineStr"/>
    </row>
    <row r="529" ht="15" customHeight="1">
      <c r="A529" t="inlineStr">
        <is>
          <t>A 38231-2022</t>
        </is>
      </c>
      <c r="B529" s="1" t="n">
        <v>44812</v>
      </c>
      <c r="C529" s="1" t="n">
        <v>46109</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50799-2022</t>
        </is>
      </c>
      <c r="B530" s="1" t="n">
        <v>44862</v>
      </c>
      <c r="C530" s="1" t="n">
        <v>46109</v>
      </c>
      <c r="D530" t="inlineStr">
        <is>
          <t>ÖSTERGÖTLANDS LÄN</t>
        </is>
      </c>
      <c r="E530" t="inlineStr">
        <is>
          <t>LINKÖPING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40431-2024</t>
        </is>
      </c>
      <c r="B531" s="1" t="n">
        <v>45555.47070601852</v>
      </c>
      <c r="C531" s="1" t="n">
        <v>46109</v>
      </c>
      <c r="D531" t="inlineStr">
        <is>
          <t>ÖSTERGÖTLANDS LÄN</t>
        </is>
      </c>
      <c r="E531" t="inlineStr">
        <is>
          <t>LINKÖPING</t>
        </is>
      </c>
      <c r="F531" t="inlineStr">
        <is>
          <t>Allmännings- och besparingsskogar</t>
        </is>
      </c>
      <c r="G531" t="n">
        <v>2.9</v>
      </c>
      <c r="H531" t="n">
        <v>0</v>
      </c>
      <c r="I531" t="n">
        <v>0</v>
      </c>
      <c r="J531" t="n">
        <v>0</v>
      </c>
      <c r="K531" t="n">
        <v>0</v>
      </c>
      <c r="L531" t="n">
        <v>0</v>
      </c>
      <c r="M531" t="n">
        <v>0</v>
      </c>
      <c r="N531" t="n">
        <v>0</v>
      </c>
      <c r="O531" t="n">
        <v>0</v>
      </c>
      <c r="P531" t="n">
        <v>0</v>
      </c>
      <c r="Q531" t="n">
        <v>0</v>
      </c>
      <c r="R531" s="2" t="inlineStr"/>
    </row>
    <row r="532" ht="15" customHeight="1">
      <c r="A532" t="inlineStr">
        <is>
          <t>A 267-2023</t>
        </is>
      </c>
      <c r="B532" s="1" t="n">
        <v>44928.80907407407</v>
      </c>
      <c r="C532" s="1" t="n">
        <v>46109</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26618-2023</t>
        </is>
      </c>
      <c r="B533" s="1" t="n">
        <v>45092.70306712963</v>
      </c>
      <c r="C533" s="1" t="n">
        <v>46109</v>
      </c>
      <c r="D533" t="inlineStr">
        <is>
          <t>ÖSTERGÖTLANDS LÄN</t>
        </is>
      </c>
      <c r="E533" t="inlineStr">
        <is>
          <t>LINKÖPING</t>
        </is>
      </c>
      <c r="G533" t="n">
        <v>6.9</v>
      </c>
      <c r="H533" t="n">
        <v>0</v>
      </c>
      <c r="I533" t="n">
        <v>0</v>
      </c>
      <c r="J533" t="n">
        <v>0</v>
      </c>
      <c r="K533" t="n">
        <v>0</v>
      </c>
      <c r="L533" t="n">
        <v>0</v>
      </c>
      <c r="M533" t="n">
        <v>0</v>
      </c>
      <c r="N533" t="n">
        <v>0</v>
      </c>
      <c r="O533" t="n">
        <v>0</v>
      </c>
      <c r="P533" t="n">
        <v>0</v>
      </c>
      <c r="Q533" t="n">
        <v>0</v>
      </c>
      <c r="R533" s="2" t="inlineStr"/>
    </row>
    <row r="534" ht="15" customHeight="1">
      <c r="A534" t="inlineStr">
        <is>
          <t>A 63665-2023</t>
        </is>
      </c>
      <c r="B534" s="1" t="n">
        <v>45275</v>
      </c>
      <c r="C534" s="1" t="n">
        <v>46109</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46109</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46109</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53816-2023</t>
        </is>
      </c>
      <c r="B537" s="1" t="n">
        <v>45231.40012731482</v>
      </c>
      <c r="C537" s="1" t="n">
        <v>46109</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36557-2023</t>
        </is>
      </c>
      <c r="B538" s="1" t="n">
        <v>45153</v>
      </c>
      <c r="C538" s="1" t="n">
        <v>46109</v>
      </c>
      <c r="D538" t="inlineStr">
        <is>
          <t>ÖSTERGÖTLANDS LÄN</t>
        </is>
      </c>
      <c r="E538" t="inlineStr">
        <is>
          <t>LINKÖPING</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6599-2023</t>
        </is>
      </c>
      <c r="B539" s="1" t="n">
        <v>44966.52603009259</v>
      </c>
      <c r="C539" s="1" t="n">
        <v>46109</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43473-2024</t>
        </is>
      </c>
      <c r="B540" s="1" t="n">
        <v>45568</v>
      </c>
      <c r="C540" s="1" t="n">
        <v>46109</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25829-2025</t>
        </is>
      </c>
      <c r="B541" s="1" t="n">
        <v>45804.44505787037</v>
      </c>
      <c r="C541" s="1" t="n">
        <v>46109</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61532-2021</t>
        </is>
      </c>
      <c r="B542" s="1" t="n">
        <v>44501</v>
      </c>
      <c r="C542" s="1" t="n">
        <v>46109</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3374-2023</t>
        </is>
      </c>
      <c r="B543" s="1" t="n">
        <v>44949</v>
      </c>
      <c r="C543" s="1" t="n">
        <v>46109</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224-2024</t>
        </is>
      </c>
      <c r="B544" s="1" t="n">
        <v>45294</v>
      </c>
      <c r="C544" s="1" t="n">
        <v>46109</v>
      </c>
      <c r="D544" t="inlineStr">
        <is>
          <t>ÖSTERGÖTLANDS LÄN</t>
        </is>
      </c>
      <c r="E544" t="inlineStr">
        <is>
          <t>LINKÖPING</t>
        </is>
      </c>
      <c r="G544" t="n">
        <v>2.8</v>
      </c>
      <c r="H544" t="n">
        <v>0</v>
      </c>
      <c r="I544" t="n">
        <v>0</v>
      </c>
      <c r="J544" t="n">
        <v>0</v>
      </c>
      <c r="K544" t="n">
        <v>0</v>
      </c>
      <c r="L544" t="n">
        <v>0</v>
      </c>
      <c r="M544" t="n">
        <v>0</v>
      </c>
      <c r="N544" t="n">
        <v>0</v>
      </c>
      <c r="O544" t="n">
        <v>0</v>
      </c>
      <c r="P544" t="n">
        <v>0</v>
      </c>
      <c r="Q544" t="n">
        <v>0</v>
      </c>
      <c r="R544" s="2" t="inlineStr"/>
    </row>
    <row r="545" ht="15" customHeight="1">
      <c r="A545" t="inlineStr">
        <is>
          <t>A 6726-2024</t>
        </is>
      </c>
      <c r="B545" s="1" t="n">
        <v>45341</v>
      </c>
      <c r="C545" s="1" t="n">
        <v>46109</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38046-2025</t>
        </is>
      </c>
      <c r="B546" s="1" t="n">
        <v>45882.39939814815</v>
      </c>
      <c r="C546" s="1" t="n">
        <v>46109</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53814-2023</t>
        </is>
      </c>
      <c r="B547" s="1" t="n">
        <v>45231</v>
      </c>
      <c r="C547" s="1" t="n">
        <v>46109</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60004-2022</t>
        </is>
      </c>
      <c r="B548" s="1" t="n">
        <v>44909.47206018519</v>
      </c>
      <c r="C548" s="1" t="n">
        <v>46109</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52796-2023</t>
        </is>
      </c>
      <c r="B549" s="1" t="n">
        <v>45219</v>
      </c>
      <c r="C549" s="1" t="n">
        <v>46109</v>
      </c>
      <c r="D549" t="inlineStr">
        <is>
          <t>ÖSTERGÖTLANDS LÄN</t>
        </is>
      </c>
      <c r="E549" t="inlineStr">
        <is>
          <t>LINKÖPING</t>
        </is>
      </c>
      <c r="F549" t="inlineStr">
        <is>
          <t>Övriga statliga verk och myndigheter</t>
        </is>
      </c>
      <c r="G549" t="n">
        <v>3.9</v>
      </c>
      <c r="H549" t="n">
        <v>0</v>
      </c>
      <c r="I549" t="n">
        <v>0</v>
      </c>
      <c r="J549" t="n">
        <v>0</v>
      </c>
      <c r="K549" t="n">
        <v>0</v>
      </c>
      <c r="L549" t="n">
        <v>0</v>
      </c>
      <c r="M549" t="n">
        <v>0</v>
      </c>
      <c r="N549" t="n">
        <v>0</v>
      </c>
      <c r="O549" t="n">
        <v>0</v>
      </c>
      <c r="P549" t="n">
        <v>0</v>
      </c>
      <c r="Q549" t="n">
        <v>0</v>
      </c>
      <c r="R549" s="2" t="inlineStr"/>
    </row>
    <row r="550" ht="15" customHeight="1">
      <c r="A550" t="inlineStr">
        <is>
          <t>A 50743-2023</t>
        </is>
      </c>
      <c r="B550" s="1" t="n">
        <v>45217</v>
      </c>
      <c r="C550" s="1" t="n">
        <v>46109</v>
      </c>
      <c r="D550" t="inlineStr">
        <is>
          <t>ÖSTERGÖTLANDS LÄN</t>
        </is>
      </c>
      <c r="E550" t="inlineStr">
        <is>
          <t>LINKÖPING</t>
        </is>
      </c>
      <c r="G550" t="n">
        <v>2.7</v>
      </c>
      <c r="H550" t="n">
        <v>0</v>
      </c>
      <c r="I550" t="n">
        <v>0</v>
      </c>
      <c r="J550" t="n">
        <v>0</v>
      </c>
      <c r="K550" t="n">
        <v>0</v>
      </c>
      <c r="L550" t="n">
        <v>0</v>
      </c>
      <c r="M550" t="n">
        <v>0</v>
      </c>
      <c r="N550" t="n">
        <v>0</v>
      </c>
      <c r="O550" t="n">
        <v>0</v>
      </c>
      <c r="P550" t="n">
        <v>0</v>
      </c>
      <c r="Q550" t="n">
        <v>0</v>
      </c>
      <c r="R550" s="2" t="inlineStr"/>
    </row>
    <row r="551" ht="15" customHeight="1">
      <c r="A551" t="inlineStr">
        <is>
          <t>A 45771-2023</t>
        </is>
      </c>
      <c r="B551" s="1" t="n">
        <v>45195.4384375</v>
      </c>
      <c r="C551" s="1" t="n">
        <v>46109</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63554-2023</t>
        </is>
      </c>
      <c r="B552" s="1" t="n">
        <v>45275</v>
      </c>
      <c r="C552" s="1" t="n">
        <v>46109</v>
      </c>
      <c r="D552" t="inlineStr">
        <is>
          <t>ÖSTERGÖTLANDS LÄN</t>
        </is>
      </c>
      <c r="E552" t="inlineStr">
        <is>
          <t>LINKÖPING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30111-2024</t>
        </is>
      </c>
      <c r="B553" s="1" t="n">
        <v>45489.46947916667</v>
      </c>
      <c r="C553" s="1" t="n">
        <v>46109</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30119-2024</t>
        </is>
      </c>
      <c r="B554" s="1" t="n">
        <v>45489</v>
      </c>
      <c r="C554" s="1" t="n">
        <v>46109</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6206-2024</t>
        </is>
      </c>
      <c r="B555" s="1" t="n">
        <v>45337.5977662037</v>
      </c>
      <c r="C555" s="1" t="n">
        <v>46109</v>
      </c>
      <c r="D555" t="inlineStr">
        <is>
          <t>ÖSTERGÖTLANDS LÄN</t>
        </is>
      </c>
      <c r="E555" t="inlineStr">
        <is>
          <t>LINKÖPING</t>
        </is>
      </c>
      <c r="G555" t="n">
        <v>2</v>
      </c>
      <c r="H555" t="n">
        <v>0</v>
      </c>
      <c r="I555" t="n">
        <v>0</v>
      </c>
      <c r="J555" t="n">
        <v>0</v>
      </c>
      <c r="K555" t="n">
        <v>0</v>
      </c>
      <c r="L555" t="n">
        <v>0</v>
      </c>
      <c r="M555" t="n">
        <v>0</v>
      </c>
      <c r="N555" t="n">
        <v>0</v>
      </c>
      <c r="O555" t="n">
        <v>0</v>
      </c>
      <c r="P555" t="n">
        <v>0</v>
      </c>
      <c r="Q555" t="n">
        <v>0</v>
      </c>
      <c r="R555" s="2" t="inlineStr"/>
    </row>
    <row r="556" ht="15" customHeight="1">
      <c r="A556" t="inlineStr">
        <is>
          <t>A 15714-2024</t>
        </is>
      </c>
      <c r="B556" s="1" t="n">
        <v>45404.48288194444</v>
      </c>
      <c r="C556" s="1" t="n">
        <v>46109</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30481-2023</t>
        </is>
      </c>
      <c r="B557" s="1" t="n">
        <v>45111</v>
      </c>
      <c r="C557" s="1" t="n">
        <v>46109</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74160-2021</t>
        </is>
      </c>
      <c r="B558" s="1" t="n">
        <v>44558</v>
      </c>
      <c r="C558" s="1" t="n">
        <v>46109</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63559-2023</t>
        </is>
      </c>
      <c r="B559" s="1" t="n">
        <v>45275.35924768518</v>
      </c>
      <c r="C559" s="1" t="n">
        <v>46109</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23491-2024</t>
        </is>
      </c>
      <c r="B560" s="1" t="n">
        <v>45453</v>
      </c>
      <c r="C560" s="1" t="n">
        <v>46109</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29309-2024</t>
        </is>
      </c>
      <c r="B561" s="1" t="n">
        <v>45483</v>
      </c>
      <c r="C561" s="1" t="n">
        <v>46109</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29411-2023</t>
        </is>
      </c>
      <c r="B562" s="1" t="n">
        <v>45106.46225694445</v>
      </c>
      <c r="C562" s="1" t="n">
        <v>46109</v>
      </c>
      <c r="D562" t="inlineStr">
        <is>
          <t>ÖSTERGÖTLANDS LÄN</t>
        </is>
      </c>
      <c r="E562" t="inlineStr">
        <is>
          <t>LINKÖPING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29412-2023</t>
        </is>
      </c>
      <c r="B563" s="1" t="n">
        <v>45106.46359953703</v>
      </c>
      <c r="C563" s="1" t="n">
        <v>46109</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29413-2023</t>
        </is>
      </c>
      <c r="B564" s="1" t="n">
        <v>45106.46465277778</v>
      </c>
      <c r="C564" s="1" t="n">
        <v>46109</v>
      </c>
      <c r="D564" t="inlineStr">
        <is>
          <t>ÖSTERGÖTLANDS LÄN</t>
        </is>
      </c>
      <c r="E564" t="inlineStr">
        <is>
          <t>LINKÖPING</t>
        </is>
      </c>
      <c r="G564" t="n">
        <v>8</v>
      </c>
      <c r="H564" t="n">
        <v>0</v>
      </c>
      <c r="I564" t="n">
        <v>0</v>
      </c>
      <c r="J564" t="n">
        <v>0</v>
      </c>
      <c r="K564" t="n">
        <v>0</v>
      </c>
      <c r="L564" t="n">
        <v>0</v>
      </c>
      <c r="M564" t="n">
        <v>0</v>
      </c>
      <c r="N564" t="n">
        <v>0</v>
      </c>
      <c r="O564" t="n">
        <v>0</v>
      </c>
      <c r="P564" t="n">
        <v>0</v>
      </c>
      <c r="Q564" t="n">
        <v>0</v>
      </c>
      <c r="R564" s="2" t="inlineStr"/>
    </row>
    <row r="565" ht="15" customHeight="1">
      <c r="A565" t="inlineStr">
        <is>
          <t>A 24151-2024</t>
        </is>
      </c>
      <c r="B565" s="1" t="n">
        <v>45456.67717592593</v>
      </c>
      <c r="C565" s="1" t="n">
        <v>46109</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63845-2021</t>
        </is>
      </c>
      <c r="B566" s="1" t="n">
        <v>44509</v>
      </c>
      <c r="C566" s="1" t="n">
        <v>46109</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17785-2023</t>
        </is>
      </c>
      <c r="B567" s="1" t="n">
        <v>45037.55094907407</v>
      </c>
      <c r="C567" s="1" t="n">
        <v>46109</v>
      </c>
      <c r="D567" t="inlineStr">
        <is>
          <t>ÖSTERGÖTLANDS LÄN</t>
        </is>
      </c>
      <c r="E567" t="inlineStr">
        <is>
          <t>LINKÖPING</t>
        </is>
      </c>
      <c r="F567" t="inlineStr">
        <is>
          <t>Allmännings- och besparingsskogar</t>
        </is>
      </c>
      <c r="G567" t="n">
        <v>3.1</v>
      </c>
      <c r="H567" t="n">
        <v>0</v>
      </c>
      <c r="I567" t="n">
        <v>0</v>
      </c>
      <c r="J567" t="n">
        <v>0</v>
      </c>
      <c r="K567" t="n">
        <v>0</v>
      </c>
      <c r="L567" t="n">
        <v>0</v>
      </c>
      <c r="M567" t="n">
        <v>0</v>
      </c>
      <c r="N567" t="n">
        <v>0</v>
      </c>
      <c r="O567" t="n">
        <v>0</v>
      </c>
      <c r="P567" t="n">
        <v>0</v>
      </c>
      <c r="Q567" t="n">
        <v>0</v>
      </c>
      <c r="R567" s="2" t="inlineStr"/>
    </row>
    <row r="568" ht="15" customHeight="1">
      <c r="A568" t="inlineStr">
        <is>
          <t>A 32346-2023</t>
        </is>
      </c>
      <c r="B568" s="1" t="n">
        <v>45120</v>
      </c>
      <c r="C568" s="1" t="n">
        <v>46109</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1627-2023</t>
        </is>
      </c>
      <c r="B569" s="1" t="n">
        <v>44937</v>
      </c>
      <c r="C569" s="1" t="n">
        <v>46109</v>
      </c>
      <c r="D569" t="inlineStr">
        <is>
          <t>ÖSTERGÖTLANDS LÄN</t>
        </is>
      </c>
      <c r="E569" t="inlineStr">
        <is>
          <t>LINKÖPING</t>
        </is>
      </c>
      <c r="G569" t="n">
        <v>10.8</v>
      </c>
      <c r="H569" t="n">
        <v>0</v>
      </c>
      <c r="I569" t="n">
        <v>0</v>
      </c>
      <c r="J569" t="n">
        <v>0</v>
      </c>
      <c r="K569" t="n">
        <v>0</v>
      </c>
      <c r="L569" t="n">
        <v>0</v>
      </c>
      <c r="M569" t="n">
        <v>0</v>
      </c>
      <c r="N569" t="n">
        <v>0</v>
      </c>
      <c r="O569" t="n">
        <v>0</v>
      </c>
      <c r="P569" t="n">
        <v>0</v>
      </c>
      <c r="Q569" t="n">
        <v>0</v>
      </c>
      <c r="R569" s="2" t="inlineStr"/>
    </row>
    <row r="570" ht="15" customHeight="1">
      <c r="A570" t="inlineStr">
        <is>
          <t>A 16665-2023</t>
        </is>
      </c>
      <c r="B570" s="1" t="n">
        <v>45030.5583912037</v>
      </c>
      <c r="C570" s="1" t="n">
        <v>46109</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60860-2024</t>
        </is>
      </c>
      <c r="B571" s="1" t="n">
        <v>45644.6893287037</v>
      </c>
      <c r="C571" s="1" t="n">
        <v>46109</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31640-2023</t>
        </is>
      </c>
      <c r="B572" s="1" t="n">
        <v>45117</v>
      </c>
      <c r="C572" s="1" t="n">
        <v>46109</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16213-2025</t>
        </is>
      </c>
      <c r="B573" s="1" t="n">
        <v>45750.62740740741</v>
      </c>
      <c r="C573" s="1" t="n">
        <v>46109</v>
      </c>
      <c r="D573" t="inlineStr">
        <is>
          <t>ÖSTERGÖTLANDS LÄN</t>
        </is>
      </c>
      <c r="E573" t="inlineStr">
        <is>
          <t>LINKÖPING</t>
        </is>
      </c>
      <c r="G573" t="n">
        <v>3.4</v>
      </c>
      <c r="H573" t="n">
        <v>0</v>
      </c>
      <c r="I573" t="n">
        <v>0</v>
      </c>
      <c r="J573" t="n">
        <v>0</v>
      </c>
      <c r="K573" t="n">
        <v>0</v>
      </c>
      <c r="L573" t="n">
        <v>0</v>
      </c>
      <c r="M573" t="n">
        <v>0</v>
      </c>
      <c r="N573" t="n">
        <v>0</v>
      </c>
      <c r="O573" t="n">
        <v>0</v>
      </c>
      <c r="P573" t="n">
        <v>0</v>
      </c>
      <c r="Q573" t="n">
        <v>0</v>
      </c>
      <c r="R573" s="2" t="inlineStr"/>
    </row>
    <row r="574" ht="15" customHeight="1">
      <c r="A574" t="inlineStr">
        <is>
          <t>A 34872-2023</t>
        </is>
      </c>
      <c r="B574" s="1" t="n">
        <v>45140</v>
      </c>
      <c r="C574" s="1" t="n">
        <v>46109</v>
      </c>
      <c r="D574" t="inlineStr">
        <is>
          <t>ÖSTERGÖTLANDS LÄN</t>
        </is>
      </c>
      <c r="E574" t="inlineStr">
        <is>
          <t>LINKÖPING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33000-2023</t>
        </is>
      </c>
      <c r="B575" s="1" t="n">
        <v>45125</v>
      </c>
      <c r="C575" s="1" t="n">
        <v>46109</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2997-2025</t>
        </is>
      </c>
      <c r="B576" s="1" t="n">
        <v>45678.54631944445</v>
      </c>
      <c r="C576" s="1" t="n">
        <v>46109</v>
      </c>
      <c r="D576" t="inlineStr">
        <is>
          <t>ÖSTERGÖTLANDS LÄN</t>
        </is>
      </c>
      <c r="E576" t="inlineStr">
        <is>
          <t>LINKÖPING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31534-2023</t>
        </is>
      </c>
      <c r="B577" s="1" t="n">
        <v>45116</v>
      </c>
      <c r="C577" s="1" t="n">
        <v>46109</v>
      </c>
      <c r="D577" t="inlineStr">
        <is>
          <t>ÖSTERGÖTLANDS LÄN</t>
        </is>
      </c>
      <c r="E577" t="inlineStr">
        <is>
          <t>LINKÖPING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26803-2024</t>
        </is>
      </c>
      <c r="B578" s="1" t="n">
        <v>45470</v>
      </c>
      <c r="C578" s="1" t="n">
        <v>46109</v>
      </c>
      <c r="D578" t="inlineStr">
        <is>
          <t>ÖSTERGÖTLANDS LÄN</t>
        </is>
      </c>
      <c r="E578" t="inlineStr">
        <is>
          <t>LINKÖPING</t>
        </is>
      </c>
      <c r="F578" t="inlineStr">
        <is>
          <t>Allmännings- och besparingsskogar</t>
        </is>
      </c>
      <c r="G578" t="n">
        <v>4.5</v>
      </c>
      <c r="H578" t="n">
        <v>0</v>
      </c>
      <c r="I578" t="n">
        <v>0</v>
      </c>
      <c r="J578" t="n">
        <v>0</v>
      </c>
      <c r="K578" t="n">
        <v>0</v>
      </c>
      <c r="L578" t="n">
        <v>0</v>
      </c>
      <c r="M578" t="n">
        <v>0</v>
      </c>
      <c r="N578" t="n">
        <v>0</v>
      </c>
      <c r="O578" t="n">
        <v>0</v>
      </c>
      <c r="P578" t="n">
        <v>0</v>
      </c>
      <c r="Q578" t="n">
        <v>0</v>
      </c>
      <c r="R578" s="2" t="inlineStr"/>
    </row>
    <row r="579" ht="15" customHeight="1">
      <c r="A579" t="inlineStr">
        <is>
          <t>A 45806-2024</t>
        </is>
      </c>
      <c r="B579" s="1" t="n">
        <v>45579.69619212963</v>
      </c>
      <c r="C579" s="1" t="n">
        <v>46109</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37154-2023</t>
        </is>
      </c>
      <c r="B580" s="1" t="n">
        <v>45155</v>
      </c>
      <c r="C580" s="1" t="n">
        <v>46109</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11330-2023</t>
        </is>
      </c>
      <c r="B581" s="1" t="n">
        <v>44993.24648148148</v>
      </c>
      <c r="C581" s="1" t="n">
        <v>46109</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42000-2023</t>
        </is>
      </c>
      <c r="B582" s="1" t="n">
        <v>45177</v>
      </c>
      <c r="C582" s="1" t="n">
        <v>46109</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32602-2022</t>
        </is>
      </c>
      <c r="B583" s="1" t="n">
        <v>44783.43192129629</v>
      </c>
      <c r="C583" s="1" t="n">
        <v>46109</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13413-2023</t>
        </is>
      </c>
      <c r="B584" s="1" t="n">
        <v>45005.58341435185</v>
      </c>
      <c r="C584" s="1" t="n">
        <v>46109</v>
      </c>
      <c r="D584" t="inlineStr">
        <is>
          <t>ÖSTERGÖTLANDS LÄN</t>
        </is>
      </c>
      <c r="E584" t="inlineStr">
        <is>
          <t>LINKÖPING</t>
        </is>
      </c>
      <c r="G584" t="n">
        <v>2.4</v>
      </c>
      <c r="H584" t="n">
        <v>0</v>
      </c>
      <c r="I584" t="n">
        <v>0</v>
      </c>
      <c r="J584" t="n">
        <v>0</v>
      </c>
      <c r="K584" t="n">
        <v>0</v>
      </c>
      <c r="L584" t="n">
        <v>0</v>
      </c>
      <c r="M584" t="n">
        <v>0</v>
      </c>
      <c r="N584" t="n">
        <v>0</v>
      </c>
      <c r="O584" t="n">
        <v>0</v>
      </c>
      <c r="P584" t="n">
        <v>0</v>
      </c>
      <c r="Q584" t="n">
        <v>0</v>
      </c>
      <c r="R584" s="2" t="inlineStr"/>
    </row>
    <row r="585" ht="15" customHeight="1">
      <c r="A585" t="inlineStr">
        <is>
          <t>A 63528-2023</t>
        </is>
      </c>
      <c r="B585" s="1" t="n">
        <v>45274.94810185185</v>
      </c>
      <c r="C585" s="1" t="n">
        <v>46109</v>
      </c>
      <c r="D585" t="inlineStr">
        <is>
          <t>ÖSTERGÖTLANDS LÄN</t>
        </is>
      </c>
      <c r="E585" t="inlineStr">
        <is>
          <t>LINKÖPING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63638-2023</t>
        </is>
      </c>
      <c r="B586" s="1" t="n">
        <v>45275</v>
      </c>
      <c r="C586" s="1" t="n">
        <v>46109</v>
      </c>
      <c r="D586" t="inlineStr">
        <is>
          <t>ÖSTERGÖTLANDS LÄN</t>
        </is>
      </c>
      <c r="E586" t="inlineStr">
        <is>
          <t>LINKÖPING</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63658-2023</t>
        </is>
      </c>
      <c r="B587" s="1" t="n">
        <v>45275</v>
      </c>
      <c r="C587" s="1" t="n">
        <v>46109</v>
      </c>
      <c r="D587" t="inlineStr">
        <is>
          <t>ÖSTERGÖTLANDS LÄN</t>
        </is>
      </c>
      <c r="E587" t="inlineStr">
        <is>
          <t>LINKÖPING</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7808-2022</t>
        </is>
      </c>
      <c r="B588" s="1" t="n">
        <v>44608</v>
      </c>
      <c r="C588" s="1" t="n">
        <v>46109</v>
      </c>
      <c r="D588" t="inlineStr">
        <is>
          <t>ÖSTERGÖTLANDS LÄN</t>
        </is>
      </c>
      <c r="E588" t="inlineStr">
        <is>
          <t>LINKÖPING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36336-2023</t>
        </is>
      </c>
      <c r="B589" s="1" t="n">
        <v>45152.45078703704</v>
      </c>
      <c r="C589" s="1" t="n">
        <v>46109</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56623-2024</t>
        </is>
      </c>
      <c r="B590" s="1" t="n">
        <v>45625</v>
      </c>
      <c r="C590" s="1" t="n">
        <v>46109</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13011-2022</t>
        </is>
      </c>
      <c r="B591" s="1" t="n">
        <v>44643</v>
      </c>
      <c r="C591" s="1" t="n">
        <v>46109</v>
      </c>
      <c r="D591" t="inlineStr">
        <is>
          <t>ÖSTERGÖTLANDS LÄN</t>
        </is>
      </c>
      <c r="E591" t="inlineStr">
        <is>
          <t>LINKÖPING</t>
        </is>
      </c>
      <c r="G591" t="n">
        <v>3.7</v>
      </c>
      <c r="H591" t="n">
        <v>0</v>
      </c>
      <c r="I591" t="n">
        <v>0</v>
      </c>
      <c r="J591" t="n">
        <v>0</v>
      </c>
      <c r="K591" t="n">
        <v>0</v>
      </c>
      <c r="L591" t="n">
        <v>0</v>
      </c>
      <c r="M591" t="n">
        <v>0</v>
      </c>
      <c r="N591" t="n">
        <v>0</v>
      </c>
      <c r="O591" t="n">
        <v>0</v>
      </c>
      <c r="P591" t="n">
        <v>0</v>
      </c>
      <c r="Q591" t="n">
        <v>0</v>
      </c>
      <c r="R591" s="2" t="inlineStr"/>
    </row>
    <row r="592" ht="15" customHeight="1">
      <c r="A592" t="inlineStr">
        <is>
          <t>A 11595-2025</t>
        </is>
      </c>
      <c r="B592" s="1" t="n">
        <v>45727.41893518518</v>
      </c>
      <c r="C592" s="1" t="n">
        <v>46109</v>
      </c>
      <c r="D592" t="inlineStr">
        <is>
          <t>ÖSTERGÖTLANDS LÄN</t>
        </is>
      </c>
      <c r="E592" t="inlineStr">
        <is>
          <t>LINKÖPING</t>
        </is>
      </c>
      <c r="G592" t="n">
        <v>6.6</v>
      </c>
      <c r="H592" t="n">
        <v>0</v>
      </c>
      <c r="I592" t="n">
        <v>0</v>
      </c>
      <c r="J592" t="n">
        <v>0</v>
      </c>
      <c r="K592" t="n">
        <v>0</v>
      </c>
      <c r="L592" t="n">
        <v>0</v>
      </c>
      <c r="M592" t="n">
        <v>0</v>
      </c>
      <c r="N592" t="n">
        <v>0</v>
      </c>
      <c r="O592" t="n">
        <v>0</v>
      </c>
      <c r="P592" t="n">
        <v>0</v>
      </c>
      <c r="Q592" t="n">
        <v>0</v>
      </c>
      <c r="R592" s="2" t="inlineStr"/>
    </row>
    <row r="593" ht="15" customHeight="1">
      <c r="A593" t="inlineStr">
        <is>
          <t>A 50508-2024</t>
        </is>
      </c>
      <c r="B593" s="1" t="n">
        <v>45601.53907407408</v>
      </c>
      <c r="C593" s="1" t="n">
        <v>46109</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36336-2022</t>
        </is>
      </c>
      <c r="B594" s="1" t="n">
        <v>44803</v>
      </c>
      <c r="C594" s="1" t="n">
        <v>46109</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48839-2022</t>
        </is>
      </c>
      <c r="B595" s="1" t="n">
        <v>44859</v>
      </c>
      <c r="C595" s="1" t="n">
        <v>46109</v>
      </c>
      <c r="D595" t="inlineStr">
        <is>
          <t>ÖSTERGÖTLANDS LÄN</t>
        </is>
      </c>
      <c r="E595" t="inlineStr">
        <is>
          <t>LINKÖPING</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6387-2022</t>
        </is>
      </c>
      <c r="B596" s="1" t="n">
        <v>44600</v>
      </c>
      <c r="C596" s="1" t="n">
        <v>46109</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34641-2022</t>
        </is>
      </c>
      <c r="B597" s="1" t="n">
        <v>44795</v>
      </c>
      <c r="C597" s="1" t="n">
        <v>46109</v>
      </c>
      <c r="D597" t="inlineStr">
        <is>
          <t>ÖSTERGÖTLANDS LÄN</t>
        </is>
      </c>
      <c r="E597" t="inlineStr">
        <is>
          <t>LINKÖPING</t>
        </is>
      </c>
      <c r="G597" t="n">
        <v>2.4</v>
      </c>
      <c r="H597" t="n">
        <v>0</v>
      </c>
      <c r="I597" t="n">
        <v>0</v>
      </c>
      <c r="J597" t="n">
        <v>0</v>
      </c>
      <c r="K597" t="n">
        <v>0</v>
      </c>
      <c r="L597" t="n">
        <v>0</v>
      </c>
      <c r="M597" t="n">
        <v>0</v>
      </c>
      <c r="N597" t="n">
        <v>0</v>
      </c>
      <c r="O597" t="n">
        <v>0</v>
      </c>
      <c r="P597" t="n">
        <v>0</v>
      </c>
      <c r="Q597" t="n">
        <v>0</v>
      </c>
      <c r="R597" s="2" t="inlineStr"/>
    </row>
    <row r="598" ht="15" customHeight="1">
      <c r="A598" t="inlineStr">
        <is>
          <t>A 13687-2025</t>
        </is>
      </c>
      <c r="B598" s="1" t="n">
        <v>45737.31425925926</v>
      </c>
      <c r="C598" s="1" t="n">
        <v>46109</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13695-2025</t>
        </is>
      </c>
      <c r="B599" s="1" t="n">
        <v>45737.32219907407</v>
      </c>
      <c r="C599" s="1" t="n">
        <v>46109</v>
      </c>
      <c r="D599" t="inlineStr">
        <is>
          <t>ÖSTERGÖTLANDS LÄN</t>
        </is>
      </c>
      <c r="E599" t="inlineStr">
        <is>
          <t>LINKÖPING</t>
        </is>
      </c>
      <c r="G599" t="n">
        <v>5.3</v>
      </c>
      <c r="H599" t="n">
        <v>0</v>
      </c>
      <c r="I599" t="n">
        <v>0</v>
      </c>
      <c r="J599" t="n">
        <v>0</v>
      </c>
      <c r="K599" t="n">
        <v>0</v>
      </c>
      <c r="L599" t="n">
        <v>0</v>
      </c>
      <c r="M599" t="n">
        <v>0</v>
      </c>
      <c r="N599" t="n">
        <v>0</v>
      </c>
      <c r="O599" t="n">
        <v>0</v>
      </c>
      <c r="P599" t="n">
        <v>0</v>
      </c>
      <c r="Q599" t="n">
        <v>0</v>
      </c>
      <c r="R599" s="2" t="inlineStr"/>
    </row>
    <row r="600" ht="15" customHeight="1">
      <c r="A600" t="inlineStr">
        <is>
          <t>A 52413-2023</t>
        </is>
      </c>
      <c r="B600" s="1" t="n">
        <v>45225.27950231481</v>
      </c>
      <c r="C600" s="1" t="n">
        <v>46109</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42054-2022</t>
        </is>
      </c>
      <c r="B601" s="1" t="n">
        <v>44830</v>
      </c>
      <c r="C601" s="1" t="n">
        <v>46109</v>
      </c>
      <c r="D601" t="inlineStr">
        <is>
          <t>ÖSTERGÖTLANDS LÄN</t>
        </is>
      </c>
      <c r="E601" t="inlineStr">
        <is>
          <t>LINKÖPING</t>
        </is>
      </c>
      <c r="G601" t="n">
        <v>1.7</v>
      </c>
      <c r="H601" t="n">
        <v>0</v>
      </c>
      <c r="I601" t="n">
        <v>0</v>
      </c>
      <c r="J601" t="n">
        <v>0</v>
      </c>
      <c r="K601" t="n">
        <v>0</v>
      </c>
      <c r="L601" t="n">
        <v>0</v>
      </c>
      <c r="M601" t="n">
        <v>0</v>
      </c>
      <c r="N601" t="n">
        <v>0</v>
      </c>
      <c r="O601" t="n">
        <v>0</v>
      </c>
      <c r="P601" t="n">
        <v>0</v>
      </c>
      <c r="Q601" t="n">
        <v>0</v>
      </c>
      <c r="R601" s="2" t="inlineStr"/>
    </row>
    <row r="602" ht="15" customHeight="1">
      <c r="A602" t="inlineStr">
        <is>
          <t>A 53797-2023</t>
        </is>
      </c>
      <c r="B602" s="1" t="n">
        <v>45230</v>
      </c>
      <c r="C602" s="1" t="n">
        <v>46109</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22833-2023</t>
        </is>
      </c>
      <c r="B603" s="1" t="n">
        <v>45071</v>
      </c>
      <c r="C603" s="1" t="n">
        <v>46109</v>
      </c>
      <c r="D603" t="inlineStr">
        <is>
          <t>ÖSTERGÖTLANDS LÄN</t>
        </is>
      </c>
      <c r="E603" t="inlineStr">
        <is>
          <t>LINKÖPING</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17898-2022</t>
        </is>
      </c>
      <c r="B604" s="1" t="n">
        <v>44683</v>
      </c>
      <c r="C604" s="1" t="n">
        <v>46109</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62017-2024</t>
        </is>
      </c>
      <c r="B605" s="1" t="n">
        <v>45655.81140046296</v>
      </c>
      <c r="C605" s="1" t="n">
        <v>46109</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12411-2022</t>
        </is>
      </c>
      <c r="B606" s="1" t="n">
        <v>44638.21601851852</v>
      </c>
      <c r="C606" s="1" t="n">
        <v>46109</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10492-2022</t>
        </is>
      </c>
      <c r="B607" s="1" t="n">
        <v>44623.6377199074</v>
      </c>
      <c r="C607" s="1" t="n">
        <v>46109</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7343-2025</t>
        </is>
      </c>
      <c r="B608" s="1" t="n">
        <v>45703.67853009259</v>
      </c>
      <c r="C608" s="1" t="n">
        <v>46109</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8967-2025</t>
        </is>
      </c>
      <c r="B609" s="1" t="n">
        <v>45712</v>
      </c>
      <c r="C609" s="1" t="n">
        <v>46109</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35427-2023</t>
        </is>
      </c>
      <c r="B610" s="1" t="n">
        <v>45146</v>
      </c>
      <c r="C610" s="1" t="n">
        <v>46109</v>
      </c>
      <c r="D610" t="inlineStr">
        <is>
          <t>ÖSTERGÖTLANDS LÄN</t>
        </is>
      </c>
      <c r="E610" t="inlineStr">
        <is>
          <t>LINKÖPING</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30468-2023</t>
        </is>
      </c>
      <c r="B611" s="1" t="n">
        <v>45111.58732638889</v>
      </c>
      <c r="C611" s="1" t="n">
        <v>46109</v>
      </c>
      <c r="D611" t="inlineStr">
        <is>
          <t>ÖSTERGÖTLANDS LÄN</t>
        </is>
      </c>
      <c r="E611" t="inlineStr">
        <is>
          <t>LINKÖPING</t>
        </is>
      </c>
      <c r="G611" t="n">
        <v>10.1</v>
      </c>
      <c r="H611" t="n">
        <v>0</v>
      </c>
      <c r="I611" t="n">
        <v>0</v>
      </c>
      <c r="J611" t="n">
        <v>0</v>
      </c>
      <c r="K611" t="n">
        <v>0</v>
      </c>
      <c r="L611" t="n">
        <v>0</v>
      </c>
      <c r="M611" t="n">
        <v>0</v>
      </c>
      <c r="N611" t="n">
        <v>0</v>
      </c>
      <c r="O611" t="n">
        <v>0</v>
      </c>
      <c r="P611" t="n">
        <v>0</v>
      </c>
      <c r="Q611" t="n">
        <v>0</v>
      </c>
      <c r="R611" s="2" t="inlineStr"/>
    </row>
    <row r="612" ht="15" customHeight="1">
      <c r="A612" t="inlineStr">
        <is>
          <t>A 20296-2025</t>
        </is>
      </c>
      <c r="B612" s="1" t="n">
        <v>45774.74922453704</v>
      </c>
      <c r="C612" s="1" t="n">
        <v>46109</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56841-2023</t>
        </is>
      </c>
      <c r="B613" s="1" t="n">
        <v>45244</v>
      </c>
      <c r="C613" s="1" t="n">
        <v>46109</v>
      </c>
      <c r="D613" t="inlineStr">
        <is>
          <t>ÖSTERGÖTLANDS LÄN</t>
        </is>
      </c>
      <c r="E613" t="inlineStr">
        <is>
          <t>LINKÖPING</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46109</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46109</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38715-2023</t>
        </is>
      </c>
      <c r="B616" s="1" t="n">
        <v>45160</v>
      </c>
      <c r="C616" s="1" t="n">
        <v>46109</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27766-2022</t>
        </is>
      </c>
      <c r="B617" s="1" t="n">
        <v>44743.53112268518</v>
      </c>
      <c r="C617" s="1" t="n">
        <v>46109</v>
      </c>
      <c r="D617" t="inlineStr">
        <is>
          <t>ÖSTERGÖTLANDS LÄN</t>
        </is>
      </c>
      <c r="E617" t="inlineStr">
        <is>
          <t>LINKÖPING</t>
        </is>
      </c>
      <c r="G617" t="n">
        <v>2</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46109</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46109</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46109</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46109</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46109</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46109</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46109</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46109</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46109</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46109</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46109</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46109</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46109</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46109</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46109</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46109</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46109</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46109</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46109</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46109</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46109</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46109</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46109</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46109</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46109</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46109</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46109</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46109</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46109</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46109</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46109</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46109</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46109</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46109</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46109</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46109</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46109</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46109</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46109</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46109</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46109</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46109</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46109</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46109</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46109</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46109</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46109</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46109</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46109</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46109</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46109</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46109</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46109</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46109</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46109</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46109</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46109</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46109</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46109</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46109</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46109</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46109</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46109</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46109</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46109</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46109</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46109</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46109</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46109</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46109</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46109</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46109</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46109</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46109</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46109</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46109</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46109</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46109</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46109</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46109</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46109</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46109</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46109</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46109</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46109</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46109</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46109</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46109</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46109</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46109</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46109</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46109</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46109</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46109</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46109</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46109</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46109</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46109</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46109</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46109</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46109</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46109</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46109</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46109</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46109</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46109</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46109</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46109</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46109</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46109</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46109</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46109</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46109</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18145-2021</t>
        </is>
      </c>
      <c r="B731" s="1" t="n">
        <v>44302</v>
      </c>
      <c r="C731" s="1" t="n">
        <v>46109</v>
      </c>
      <c r="D731" t="inlineStr">
        <is>
          <t>ÖSTERGÖTLANDS LÄN</t>
        </is>
      </c>
      <c r="E731" t="inlineStr">
        <is>
          <t>LINKÖPING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25568-2024</t>
        </is>
      </c>
      <c r="B732" s="1" t="n">
        <v>45463.58699074074</v>
      </c>
      <c r="C732" s="1" t="n">
        <v>46109</v>
      </c>
      <c r="D732" t="inlineStr">
        <is>
          <t>ÖSTERGÖTLANDS LÄN</t>
        </is>
      </c>
      <c r="E732" t="inlineStr">
        <is>
          <t>LINKÖPING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38136-2023</t>
        </is>
      </c>
      <c r="B733" s="1" t="n">
        <v>45161.37310185185</v>
      </c>
      <c r="C733" s="1" t="n">
        <v>46109</v>
      </c>
      <c r="D733" t="inlineStr">
        <is>
          <t>ÖSTERGÖTLANDS LÄN</t>
        </is>
      </c>
      <c r="E733" t="inlineStr">
        <is>
          <t>LINKÖPING</t>
        </is>
      </c>
      <c r="G733" t="n">
        <v>5.6</v>
      </c>
      <c r="H733" t="n">
        <v>0</v>
      </c>
      <c r="I733" t="n">
        <v>0</v>
      </c>
      <c r="J733" t="n">
        <v>0</v>
      </c>
      <c r="K733" t="n">
        <v>0</v>
      </c>
      <c r="L733" t="n">
        <v>0</v>
      </c>
      <c r="M733" t="n">
        <v>0</v>
      </c>
      <c r="N733" t="n">
        <v>0</v>
      </c>
      <c r="O733" t="n">
        <v>0</v>
      </c>
      <c r="P733" t="n">
        <v>0</v>
      </c>
      <c r="Q733" t="n">
        <v>0</v>
      </c>
      <c r="R733" s="2" t="inlineStr"/>
    </row>
    <row r="734" ht="15" customHeight="1">
      <c r="A734" t="inlineStr">
        <is>
          <t>A 12317-2025</t>
        </is>
      </c>
      <c r="B734" s="1" t="n">
        <v>45729.8487037037</v>
      </c>
      <c r="C734" s="1" t="n">
        <v>46109</v>
      </c>
      <c r="D734" t="inlineStr">
        <is>
          <t>ÖSTERGÖTLANDS LÄN</t>
        </is>
      </c>
      <c r="E734" t="inlineStr">
        <is>
          <t>LINKÖPING</t>
        </is>
      </c>
      <c r="G734" t="n">
        <v>8</v>
      </c>
      <c r="H734" t="n">
        <v>0</v>
      </c>
      <c r="I734" t="n">
        <v>0</v>
      </c>
      <c r="J734" t="n">
        <v>0</v>
      </c>
      <c r="K734" t="n">
        <v>0</v>
      </c>
      <c r="L734" t="n">
        <v>0</v>
      </c>
      <c r="M734" t="n">
        <v>0</v>
      </c>
      <c r="N734" t="n">
        <v>0</v>
      </c>
      <c r="O734" t="n">
        <v>0</v>
      </c>
      <c r="P734" t="n">
        <v>0</v>
      </c>
      <c r="Q734" t="n">
        <v>0</v>
      </c>
      <c r="R734" s="2" t="inlineStr"/>
    </row>
    <row r="735" ht="15" customHeight="1">
      <c r="A735" t="inlineStr">
        <is>
          <t>A 14528-2025</t>
        </is>
      </c>
      <c r="B735" s="1" t="n">
        <v>45741</v>
      </c>
      <c r="C735" s="1" t="n">
        <v>46109</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61649-2023</t>
        </is>
      </c>
      <c r="B736" s="1" t="n">
        <v>45265</v>
      </c>
      <c r="C736" s="1" t="n">
        <v>46109</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60985-2023</t>
        </is>
      </c>
      <c r="B737" s="1" t="n">
        <v>45261.48429398148</v>
      </c>
      <c r="C737" s="1" t="n">
        <v>46109</v>
      </c>
      <c r="D737" t="inlineStr">
        <is>
          <t>ÖSTERGÖTLANDS LÄN</t>
        </is>
      </c>
      <c r="E737" t="inlineStr">
        <is>
          <t>LINKÖPING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421-2024</t>
        </is>
      </c>
      <c r="B738" s="1" t="n">
        <v>45296.51877314815</v>
      </c>
      <c r="C738" s="1" t="n">
        <v>46109</v>
      </c>
      <c r="D738" t="inlineStr">
        <is>
          <t>ÖSTERGÖTLANDS LÄN</t>
        </is>
      </c>
      <c r="E738" t="inlineStr">
        <is>
          <t>LINKÖPING</t>
        </is>
      </c>
      <c r="G738" t="n">
        <v>3.7</v>
      </c>
      <c r="H738" t="n">
        <v>0</v>
      </c>
      <c r="I738" t="n">
        <v>0</v>
      </c>
      <c r="J738" t="n">
        <v>0</v>
      </c>
      <c r="K738" t="n">
        <v>0</v>
      </c>
      <c r="L738" t="n">
        <v>0</v>
      </c>
      <c r="M738" t="n">
        <v>0</v>
      </c>
      <c r="N738" t="n">
        <v>0</v>
      </c>
      <c r="O738" t="n">
        <v>0</v>
      </c>
      <c r="P738" t="n">
        <v>0</v>
      </c>
      <c r="Q738" t="n">
        <v>0</v>
      </c>
      <c r="R738" s="2" t="inlineStr"/>
    </row>
    <row r="739" ht="15" customHeight="1">
      <c r="A739" t="inlineStr">
        <is>
          <t>A 51405-2023</t>
        </is>
      </c>
      <c r="B739" s="1" t="n">
        <v>45219</v>
      </c>
      <c r="C739" s="1" t="n">
        <v>46109</v>
      </c>
      <c r="D739" t="inlineStr">
        <is>
          <t>ÖSTERGÖTLANDS LÄN</t>
        </is>
      </c>
      <c r="E739" t="inlineStr">
        <is>
          <t>LINKÖPING</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53639-2023</t>
        </is>
      </c>
      <c r="B740" s="1" t="n">
        <v>45230.59686342593</v>
      </c>
      <c r="C740" s="1" t="n">
        <v>46109</v>
      </c>
      <c r="D740" t="inlineStr">
        <is>
          <t>ÖSTERGÖTLANDS LÄN</t>
        </is>
      </c>
      <c r="E740" t="inlineStr">
        <is>
          <t>LINKÖPING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24467-2023</t>
        </is>
      </c>
      <c r="B741" s="1" t="n">
        <v>45082</v>
      </c>
      <c r="C741" s="1" t="n">
        <v>46109</v>
      </c>
      <c r="D741" t="inlineStr">
        <is>
          <t>ÖSTERGÖTLANDS LÄN</t>
        </is>
      </c>
      <c r="E741" t="inlineStr">
        <is>
          <t>LINKÖPING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62488-2023</t>
        </is>
      </c>
      <c r="B742" s="1" t="n">
        <v>45268.5847337963</v>
      </c>
      <c r="C742" s="1" t="n">
        <v>46109</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62495-2023</t>
        </is>
      </c>
      <c r="B743" s="1" t="n">
        <v>45268.59717592593</v>
      </c>
      <c r="C743" s="1" t="n">
        <v>46109</v>
      </c>
      <c r="D743" t="inlineStr">
        <is>
          <t>ÖSTERGÖTLANDS LÄN</t>
        </is>
      </c>
      <c r="E743" t="inlineStr">
        <is>
          <t>LINKÖPING</t>
        </is>
      </c>
      <c r="G743" t="n">
        <v>4.1</v>
      </c>
      <c r="H743" t="n">
        <v>0</v>
      </c>
      <c r="I743" t="n">
        <v>0</v>
      </c>
      <c r="J743" t="n">
        <v>0</v>
      </c>
      <c r="K743" t="n">
        <v>0</v>
      </c>
      <c r="L743" t="n">
        <v>0</v>
      </c>
      <c r="M743" t="n">
        <v>0</v>
      </c>
      <c r="N743" t="n">
        <v>0</v>
      </c>
      <c r="O743" t="n">
        <v>0</v>
      </c>
      <c r="P743" t="n">
        <v>0</v>
      </c>
      <c r="Q743" t="n">
        <v>0</v>
      </c>
      <c r="R743" s="2" t="inlineStr"/>
    </row>
    <row r="744" ht="15" customHeight="1">
      <c r="A744" t="inlineStr">
        <is>
          <t>A 10198-2023</t>
        </is>
      </c>
      <c r="B744" s="1" t="n">
        <v>44986.54665509259</v>
      </c>
      <c r="C744" s="1" t="n">
        <v>46109</v>
      </c>
      <c r="D744" t="inlineStr">
        <is>
          <t>ÖSTERGÖTLANDS LÄN</t>
        </is>
      </c>
      <c r="E744" t="inlineStr">
        <is>
          <t>LINKÖPING</t>
        </is>
      </c>
      <c r="G744" t="n">
        <v>4.6</v>
      </c>
      <c r="H744" t="n">
        <v>0</v>
      </c>
      <c r="I744" t="n">
        <v>0</v>
      </c>
      <c r="J744" t="n">
        <v>0</v>
      </c>
      <c r="K744" t="n">
        <v>0</v>
      </c>
      <c r="L744" t="n">
        <v>0</v>
      </c>
      <c r="M744" t="n">
        <v>0</v>
      </c>
      <c r="N744" t="n">
        <v>0</v>
      </c>
      <c r="O744" t="n">
        <v>0</v>
      </c>
      <c r="P744" t="n">
        <v>0</v>
      </c>
      <c r="Q744" t="n">
        <v>0</v>
      </c>
      <c r="R744" s="2" t="inlineStr"/>
    </row>
    <row r="745" ht="15" customHeight="1">
      <c r="A745" t="inlineStr">
        <is>
          <t>A 22771-2024</t>
        </is>
      </c>
      <c r="B745" s="1" t="n">
        <v>45448.46574074074</v>
      </c>
      <c r="C745" s="1" t="n">
        <v>46109</v>
      </c>
      <c r="D745" t="inlineStr">
        <is>
          <t>ÖSTERGÖTLANDS LÄN</t>
        </is>
      </c>
      <c r="E745" t="inlineStr">
        <is>
          <t>LINKÖPING</t>
        </is>
      </c>
      <c r="F745" t="inlineStr">
        <is>
          <t>Sveaskog</t>
        </is>
      </c>
      <c r="G745" t="n">
        <v>2.7</v>
      </c>
      <c r="H745" t="n">
        <v>0</v>
      </c>
      <c r="I745" t="n">
        <v>0</v>
      </c>
      <c r="J745" t="n">
        <v>0</v>
      </c>
      <c r="K745" t="n">
        <v>0</v>
      </c>
      <c r="L745" t="n">
        <v>0</v>
      </c>
      <c r="M745" t="n">
        <v>0</v>
      </c>
      <c r="N745" t="n">
        <v>0</v>
      </c>
      <c r="O745" t="n">
        <v>0</v>
      </c>
      <c r="P745" t="n">
        <v>0</v>
      </c>
      <c r="Q745" t="n">
        <v>0</v>
      </c>
      <c r="R745" s="2" t="inlineStr"/>
    </row>
    <row r="746" ht="15" customHeight="1">
      <c r="A746" t="inlineStr">
        <is>
          <t>A 17128-2025</t>
        </is>
      </c>
      <c r="B746" s="1" t="n">
        <v>45755.72622685185</v>
      </c>
      <c r="C746" s="1" t="n">
        <v>46109</v>
      </c>
      <c r="D746" t="inlineStr">
        <is>
          <t>ÖSTERGÖTLANDS LÄN</t>
        </is>
      </c>
      <c r="E746" t="inlineStr">
        <is>
          <t>LINKÖPING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62018-2024</t>
        </is>
      </c>
      <c r="B747" s="1" t="n">
        <v>45655.81387731482</v>
      </c>
      <c r="C747" s="1" t="n">
        <v>46109</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62073-2023</t>
        </is>
      </c>
      <c r="B748" s="1" t="n">
        <v>45266.73844907407</v>
      </c>
      <c r="C748" s="1" t="n">
        <v>46109</v>
      </c>
      <c r="D748" t="inlineStr">
        <is>
          <t>ÖSTERGÖTLANDS LÄN</t>
        </is>
      </c>
      <c r="E748" t="inlineStr">
        <is>
          <t>LINKÖPING</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672-2024</t>
        </is>
      </c>
      <c r="B749" s="1" t="n">
        <v>45300</v>
      </c>
      <c r="C749" s="1" t="n">
        <v>46109</v>
      </c>
      <c r="D749" t="inlineStr">
        <is>
          <t>ÖSTERGÖTLANDS LÄN</t>
        </is>
      </c>
      <c r="E749" t="inlineStr">
        <is>
          <t>LINKÖPING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42832-2023</t>
        </is>
      </c>
      <c r="B750" s="1" t="n">
        <v>45182.38091435185</v>
      </c>
      <c r="C750" s="1" t="n">
        <v>46109</v>
      </c>
      <c r="D750" t="inlineStr">
        <is>
          <t>ÖSTERGÖTLANDS LÄN</t>
        </is>
      </c>
      <c r="E750" t="inlineStr">
        <is>
          <t>LINKÖPING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5872-2025</t>
        </is>
      </c>
      <c r="B751" s="1" t="n">
        <v>45695.36659722222</v>
      </c>
      <c r="C751" s="1" t="n">
        <v>46109</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59674-2024</t>
        </is>
      </c>
      <c r="B752" s="1" t="n">
        <v>45639</v>
      </c>
      <c r="C752" s="1" t="n">
        <v>46109</v>
      </c>
      <c r="D752" t="inlineStr">
        <is>
          <t>ÖSTERGÖTLANDS LÄN</t>
        </is>
      </c>
      <c r="E752" t="inlineStr">
        <is>
          <t>LINKÖPING</t>
        </is>
      </c>
      <c r="G752" t="n">
        <v>6.3</v>
      </c>
      <c r="H752" t="n">
        <v>0</v>
      </c>
      <c r="I752" t="n">
        <v>0</v>
      </c>
      <c r="J752" t="n">
        <v>0</v>
      </c>
      <c r="K752" t="n">
        <v>0</v>
      </c>
      <c r="L752" t="n">
        <v>0</v>
      </c>
      <c r="M752" t="n">
        <v>0</v>
      </c>
      <c r="N752" t="n">
        <v>0</v>
      </c>
      <c r="O752" t="n">
        <v>0</v>
      </c>
      <c r="P752" t="n">
        <v>0</v>
      </c>
      <c r="Q752" t="n">
        <v>0</v>
      </c>
      <c r="R752" s="2" t="inlineStr"/>
    </row>
    <row r="753" ht="15" customHeight="1">
      <c r="A753" t="inlineStr">
        <is>
          <t>A 59576-2024</t>
        </is>
      </c>
      <c r="B753" s="1" t="n">
        <v>45638.66378472222</v>
      </c>
      <c r="C753" s="1" t="n">
        <v>46109</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51583-2024</t>
        </is>
      </c>
      <c r="B754" s="1" t="n">
        <v>45604.6397337963</v>
      </c>
      <c r="C754" s="1" t="n">
        <v>46109</v>
      </c>
      <c r="D754" t="inlineStr">
        <is>
          <t>ÖSTERGÖTLANDS LÄN</t>
        </is>
      </c>
      <c r="E754" t="inlineStr">
        <is>
          <t>LINKÖPING</t>
        </is>
      </c>
      <c r="F754" t="inlineStr">
        <is>
          <t>Övriga Aktiebolag</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62019-2024</t>
        </is>
      </c>
      <c r="B755" s="1" t="n">
        <v>45655.82</v>
      </c>
      <c r="C755" s="1" t="n">
        <v>46109</v>
      </c>
      <c r="D755" t="inlineStr">
        <is>
          <t>ÖSTERGÖTLANDS LÄN</t>
        </is>
      </c>
      <c r="E755" t="inlineStr">
        <is>
          <t>LINKÖPING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38317-2024</t>
        </is>
      </c>
      <c r="B756" s="1" t="n">
        <v>45545.65766203704</v>
      </c>
      <c r="C756" s="1" t="n">
        <v>46109</v>
      </c>
      <c r="D756" t="inlineStr">
        <is>
          <t>ÖSTERGÖTLANDS LÄN</t>
        </is>
      </c>
      <c r="E756" t="inlineStr">
        <is>
          <t>LINKÖPING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50182-2023</t>
        </is>
      </c>
      <c r="B757" s="1" t="n">
        <v>45208</v>
      </c>
      <c r="C757" s="1" t="n">
        <v>46109</v>
      </c>
      <c r="D757" t="inlineStr">
        <is>
          <t>ÖSTERGÖTLANDS LÄN</t>
        </is>
      </c>
      <c r="E757" t="inlineStr">
        <is>
          <t>LINKÖPING</t>
        </is>
      </c>
      <c r="G757" t="n">
        <v>2.5</v>
      </c>
      <c r="H757" t="n">
        <v>0</v>
      </c>
      <c r="I757" t="n">
        <v>0</v>
      </c>
      <c r="J757" t="n">
        <v>0</v>
      </c>
      <c r="K757" t="n">
        <v>0</v>
      </c>
      <c r="L757" t="n">
        <v>0</v>
      </c>
      <c r="M757" t="n">
        <v>0</v>
      </c>
      <c r="N757" t="n">
        <v>0</v>
      </c>
      <c r="O757" t="n">
        <v>0</v>
      </c>
      <c r="P757" t="n">
        <v>0</v>
      </c>
      <c r="Q757" t="n">
        <v>0</v>
      </c>
      <c r="R757" s="2" t="inlineStr"/>
    </row>
    <row r="758" ht="15" customHeight="1">
      <c r="A758" t="inlineStr">
        <is>
          <t>A 1844-2025</t>
        </is>
      </c>
      <c r="B758" s="1" t="n">
        <v>45671.57730324074</v>
      </c>
      <c r="C758" s="1" t="n">
        <v>46109</v>
      </c>
      <c r="D758" t="inlineStr">
        <is>
          <t>ÖSTERGÖTLANDS LÄN</t>
        </is>
      </c>
      <c r="E758" t="inlineStr">
        <is>
          <t>LINKÖPING</t>
        </is>
      </c>
      <c r="G758" t="n">
        <v>2</v>
      </c>
      <c r="H758" t="n">
        <v>0</v>
      </c>
      <c r="I758" t="n">
        <v>0</v>
      </c>
      <c r="J758" t="n">
        <v>0</v>
      </c>
      <c r="K758" t="n">
        <v>0</v>
      </c>
      <c r="L758" t="n">
        <v>0</v>
      </c>
      <c r="M758" t="n">
        <v>0</v>
      </c>
      <c r="N758" t="n">
        <v>0</v>
      </c>
      <c r="O758" t="n">
        <v>0</v>
      </c>
      <c r="P758" t="n">
        <v>0</v>
      </c>
      <c r="Q758" t="n">
        <v>0</v>
      </c>
      <c r="R758" s="2" t="inlineStr"/>
    </row>
    <row r="759" ht="15" customHeight="1">
      <c r="A759" t="inlineStr">
        <is>
          <t>A 21155-2025</t>
        </is>
      </c>
      <c r="B759" s="1" t="n">
        <v>45779.37586805555</v>
      </c>
      <c r="C759" s="1" t="n">
        <v>46109</v>
      </c>
      <c r="D759" t="inlineStr">
        <is>
          <t>ÖSTERGÖTLANDS LÄN</t>
        </is>
      </c>
      <c r="E759" t="inlineStr">
        <is>
          <t>LINKÖPING</t>
        </is>
      </c>
      <c r="G759" t="n">
        <v>0.5</v>
      </c>
      <c r="H759" t="n">
        <v>0</v>
      </c>
      <c r="I759" t="n">
        <v>0</v>
      </c>
      <c r="J759" t="n">
        <v>0</v>
      </c>
      <c r="K759" t="n">
        <v>0</v>
      </c>
      <c r="L759" t="n">
        <v>0</v>
      </c>
      <c r="M759" t="n">
        <v>0</v>
      </c>
      <c r="N759" t="n">
        <v>0</v>
      </c>
      <c r="O759" t="n">
        <v>0</v>
      </c>
      <c r="P759" t="n">
        <v>0</v>
      </c>
      <c r="Q759" t="n">
        <v>0</v>
      </c>
      <c r="R759" s="2" t="inlineStr"/>
    </row>
    <row r="760">
      <c r="A760" t="inlineStr">
        <is>
          <t>A 21165-2025</t>
        </is>
      </c>
      <c r="B760" s="1" t="n">
        <v>45779.39417824074</v>
      </c>
      <c r="C760" s="1" t="n">
        <v>46109</v>
      </c>
      <c r="D760" t="inlineStr">
        <is>
          <t>ÖSTERGÖTLANDS LÄN</t>
        </is>
      </c>
      <c r="E760" t="inlineStr">
        <is>
          <t>LINKÖPING</t>
        </is>
      </c>
      <c r="G760" t="n">
        <v>1.2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2026-03-28T11:41:39Z</dcterms:created>
  <dcterms:modified xmlns:dcterms="http://purl.org/dc/terms/" xmlns:xsi="http://www.w3.org/2001/XMLSchema-instance" xsi:type="dcterms:W3CDTF">2026-03-28T11:41:40Z</dcterms:modified>
</cp:coreProperties>
</file>