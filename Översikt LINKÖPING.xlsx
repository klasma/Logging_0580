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45745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45745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45745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45745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45745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HYPERLINK("https://klasma.github.io/Logging_050580/artfynd/A 10406-2025 artfynd.xlsx", "A 10406-2025")</f>
        <v/>
      </c>
      <c r="T9">
        <f>HYPERLINK("https://klasma.github.io/Logging_050580/kartor/A 10406-2025 karta.png", "A 10406-2025")</f>
        <v/>
      </c>
      <c r="V9">
        <f>HYPERLINK("https://klasma.github.io/Logging_050580/klagomål/A 10406-2025 FSC-klagomål.docx", "A 10406-2025")</f>
        <v/>
      </c>
      <c r="W9">
        <f>HYPERLINK("https://klasma.github.io/Logging_050580/klagomålsmail/A 10406-2025 FSC-klagomål mail.docx", "A 10406-2025")</f>
        <v/>
      </c>
      <c r="X9">
        <f>HYPERLINK("https://klasma.github.io/Logging_050580/tillsyn/A 10406-2025 tillsynsbegäran.docx", "A 10406-2025")</f>
        <v/>
      </c>
      <c r="Y9">
        <f>HYPERLINK("https://klasma.github.io/Logging_050580/tillsynsmail/A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45745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45745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45745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45745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45745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45745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45745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45745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45745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45745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45745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45745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45745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45745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45745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45745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45745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45745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45745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45745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45745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45745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45745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45745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45745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45745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45745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45745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45745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45745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45745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45745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45745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45745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45745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45745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45745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45745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45745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45745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45745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45745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45745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45745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45745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45745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45745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45745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45745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45745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45745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45745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45745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45745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45745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45745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45745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45745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45745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45745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45745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45745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45745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45745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45745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45745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45745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45745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45745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45745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45745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45745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45745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45745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45745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45745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45745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45745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45745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45745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45745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45745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45745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45745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45745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45745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45745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45745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45745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45745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45745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45745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45745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45745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45745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45745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HYPERLINK("https://klasma.github.io/Logging_050580/artfynd/A 10691-2025 artfynd.xlsx", "A 10691-2025")</f>
        <v/>
      </c>
      <c r="T125">
        <f>HYPERLINK("https://klasma.github.io/Logging_050580/kartor/A 10691-2025 karta.png", "A 10691-2025")</f>
        <v/>
      </c>
      <c r="V125">
        <f>HYPERLINK("https://klasma.github.io/Logging_050580/klagomål/A 10691-2025 FSC-klagomål.docx", "A 10691-2025")</f>
        <v/>
      </c>
      <c r="W125">
        <f>HYPERLINK("https://klasma.github.io/Logging_050580/klagomålsmail/A 10691-2025 FSC-klagomål mail.docx", "A 10691-2025")</f>
        <v/>
      </c>
      <c r="X125">
        <f>HYPERLINK("https://klasma.github.io/Logging_050580/tillsyn/A 10691-2025 tillsynsbegäran.docx", "A 10691-2025")</f>
        <v/>
      </c>
      <c r="Y125">
        <f>HYPERLINK("https://klasma.github.io/Logging_050580/tillsynsmail/A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45745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HYPERLINK("https://klasma.github.io/Logging_050580/artfynd/A 13694-2025 artfynd.xlsx", "A 13694-2025")</f>
        <v/>
      </c>
      <c r="T126">
        <f>HYPERLINK("https://klasma.github.io/Logging_050580/kartor/A 13694-2025 karta.png", "A 13694-2025")</f>
        <v/>
      </c>
      <c r="V126">
        <f>HYPERLINK("https://klasma.github.io/Logging_050580/klagomål/A 13694-2025 FSC-klagomål.docx", "A 13694-2025")</f>
        <v/>
      </c>
      <c r="W126">
        <f>HYPERLINK("https://klasma.github.io/Logging_050580/klagomålsmail/A 13694-2025 FSC-klagomål mail.docx", "A 13694-2025")</f>
        <v/>
      </c>
      <c r="X126">
        <f>HYPERLINK("https://klasma.github.io/Logging_050580/tillsyn/A 13694-2025 tillsynsbegäran.docx", "A 13694-2025")</f>
        <v/>
      </c>
      <c r="Y126">
        <f>HYPERLINK("https://klasma.github.io/Logging_050580/tillsynsmail/A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45745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45745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45745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45745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45745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45745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45745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45745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45745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45745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45745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45745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45745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45745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45745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45745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45745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45745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45745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45745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45745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45745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45745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45745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45745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45745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45745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45745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45745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45745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45745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45745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45745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45745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45745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45745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45745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45745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45745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45745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45745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45745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45745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45745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45745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45745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45745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45745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45745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45745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45745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45745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45745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45745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45745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45745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45745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45745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45745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45745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45745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45745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45745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45745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45745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45745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45745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45745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45745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45745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45745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45745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45745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45745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45745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45745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45745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45745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45745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45745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45745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45745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45745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45745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45745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45745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45745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45745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45745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45745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45745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45745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45745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45745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45745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45745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45745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45745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45745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45745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45745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45745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45745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45745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45745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45745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45745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45745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45745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45745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45745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45745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45745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45745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45745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45745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45745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45745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45745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45745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45745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45745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45745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45745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45745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45745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45745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45745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45745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45745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45745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45745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45745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45745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45745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45745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45745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45745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45745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45745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45745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45745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45745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45745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45745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45745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45745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45745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45745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45745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45745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45745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45745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45745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45745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45745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45745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45745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45745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45745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45745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45745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45745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45745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45745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45745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45745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45745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45745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45745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45745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45745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45745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45745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45745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45745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45745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45745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45745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45745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45745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45745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45745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45745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45745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45745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45745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45745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45745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45745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45745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45745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45745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45745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45745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45745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45745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45745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45745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45745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45745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45745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45745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45745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45745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45745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45745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45745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45745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45745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45745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45745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45745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45745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45745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45745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45745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45745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45745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45745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45745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45745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45745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45745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45745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45745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45745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45745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45745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45745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45745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45745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45745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45745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45745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45745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45745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45745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45745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45745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45745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45745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45745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45745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45745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45745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45745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45745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45745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45745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45745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45745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45745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45745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45745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45745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45745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45745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45745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45745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45745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45745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45745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45745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45745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45745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45745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45745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45745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45745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45745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45745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45745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45745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45745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45745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45745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45745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45745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45745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45745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45745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45745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45745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45745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45745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45745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45745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45745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45745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45745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45745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45745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45745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45745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45745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45745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45745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45745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45745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45745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45745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45745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45745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45745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45745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45745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45745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45745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45745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45745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45745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45745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45745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45745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45745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45745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45745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45745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45745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45745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45745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45745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45745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45745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45745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45745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45745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45745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45745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45745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45745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45745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45745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45745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45745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45745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45745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45745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45745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45745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45745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45745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45745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45745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45745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45745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45745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45745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45745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45745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45745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45745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45745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45745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45745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45745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45745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45745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45745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45745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45745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45745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45745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45745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45745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45745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45745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45745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45745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45745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45745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45745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45745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45745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45745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45745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45745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45745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45745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45745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45745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45745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45745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45745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45745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45745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45745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45745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45745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45745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45745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45745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45745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45745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45745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45745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45745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45745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45745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45745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45745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45745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45745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45745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45745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45745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45745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45745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45745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45745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45745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45745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45745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45745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45745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45745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45745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45745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45745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45745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45745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45745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45745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45745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45745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45745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45745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45745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45745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45745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45745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45745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45745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45745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45745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45745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45745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45745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45745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45745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45745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45745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45745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45745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45745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45745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45745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45745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45745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45745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45745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45745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45745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45745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45745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45745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45745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45745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45745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45745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45745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45745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45745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45745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45745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45745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45745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45745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45745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45745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45745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45745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45745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45745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45745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45745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45745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45745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45745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45745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45745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45745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45745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45745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45745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45745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45745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45745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45745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45745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45745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45745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45745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45745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45745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45745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45745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45745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45745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45745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45745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45745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45745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45745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45745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45745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45745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45745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45745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45745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45745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45745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45745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45745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45745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45745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45745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45745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45745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45745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45745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45745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45745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45745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45745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45745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45745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45745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45745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45745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45745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45745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45745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45745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45745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45745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45745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45745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45745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45745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45745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45745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45745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45745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45745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45745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45745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45745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45745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45745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45745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45745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45745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45745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45745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45745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45745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45745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45745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45745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45745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45745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45745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45745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45745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45745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45745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45745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45745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45745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45745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45745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45745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45745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45745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45745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45745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45745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45745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45745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45745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45745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45745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45745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45745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45745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45745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45745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45745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45745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45745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45745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45745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45745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45745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45745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45745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45745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45745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45745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45745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45745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45745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45745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45745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45745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45745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45745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45745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45745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45745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45745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45745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45745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45745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45745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45745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45745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45745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45745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45745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45745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45745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45745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45745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45745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45745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45745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45745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45745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45745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45745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45745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45745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45745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45745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45745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45745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45745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45745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45745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45745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45745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45745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45745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45745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45745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45745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45745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45745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45745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45745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45745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45745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45745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45745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45745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45745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45745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45745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45745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45745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45745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45745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45745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45745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45745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45745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45745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45745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45745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45745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45745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45745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45745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45745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45745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45745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45745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45745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45745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45745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45745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45745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45745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45745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45745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45745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45745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45745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45745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45745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45745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45745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45745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45745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45745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45745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45745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45745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45745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45745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45745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45745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45745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45745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45745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45745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45745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45745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45745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45745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45745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45745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45745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45745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45745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45745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45745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45745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45745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45745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45745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45745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45745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45745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45745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45745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45745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45745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45745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45745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45745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45745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45745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45745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45745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45745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45745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45745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45745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45745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45745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45745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45745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45745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45745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45745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45745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45745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45745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45745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45745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45745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45745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45745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45745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45745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45745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45745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45745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45745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45745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45745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45745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45745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45745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45745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45745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45745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45745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45745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45745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45745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45745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45745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45745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45745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45745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45745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45745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45745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45745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45745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45745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45745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45745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45745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45745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45745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45745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45745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45745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45745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45745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45745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45745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45745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45745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45745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45745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45745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45745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45745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45745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45745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45745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45745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45745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45745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45745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45745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45745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45745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45745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45745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45745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45745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45745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45745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45745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45745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45745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45745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45745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45745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45745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45745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45745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45745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45745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45745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45745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45745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45745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45745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45745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45745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45745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45745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45745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45745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45745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45745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45745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45745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45745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45745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45745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45745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45745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45745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45745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45745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45745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45745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45745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45745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45745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45745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45745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45745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45745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45745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45745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45745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45745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45745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45745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45745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45745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45745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45745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45745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45745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45745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45745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45745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45745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45745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45745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45745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45745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45745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45745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45745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45745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45745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45745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45745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45745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45745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45745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45745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45745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45745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45745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45745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45745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45745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45745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45745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45745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45745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45745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45745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45745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45745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45745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45745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45745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45745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45745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45745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45745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45745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45745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45745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45745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45745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45745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45745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45745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45745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45745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45745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45745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45745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45745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45745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45745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45745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45745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45745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45745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45745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45745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45745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45745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45745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45745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45745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45745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45745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45745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45745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45745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45745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45745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45745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45745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45745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45745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45745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45745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45745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45745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45745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45745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45745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45745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45745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45745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45745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45745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45745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45745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45745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45745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45745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45745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45745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45745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45745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45745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45745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45745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45745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45745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45745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45745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45745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45745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45745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45745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45745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45745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45745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45745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45745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45745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45745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45745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45745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45745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45745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45745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45745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45745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45745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45745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45745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45745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45745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45745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45745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45745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45745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45745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45745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45745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45745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45745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45745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45745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45745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45745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45745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45745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45745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45745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45745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45745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45745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45745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45745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45745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45745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45745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45745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45745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45745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45745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45745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45745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45745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45745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45745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45745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45745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45745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45745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45745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45745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45745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45745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45745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45745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45745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45745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45745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45745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45745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45745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45745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45745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45745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45745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45745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45745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45745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45745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45745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45745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45745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45745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45745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45745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45745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45745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45745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45745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45745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45745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45745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45745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45745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45745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45745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45745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45745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45745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45745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45745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45745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45745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45745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45745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45745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45745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45745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45745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45745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45745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45745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45745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45745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45745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45745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45745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45745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45745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45745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45745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45745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45745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45745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11244-2025</t>
        </is>
      </c>
      <c r="B1348" s="1" t="n">
        <v>45726</v>
      </c>
      <c r="C1348" s="1" t="n">
        <v>45745</v>
      </c>
      <c r="D1348" t="inlineStr">
        <is>
          <t>ÖSTERGÖTLANDS LÄN</t>
        </is>
      </c>
      <c r="E1348" t="inlineStr">
        <is>
          <t>LINKÖPING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45745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45745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45745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12089-2025</t>
        </is>
      </c>
      <c r="B1352" s="1" t="n">
        <v>45729</v>
      </c>
      <c r="C1352" s="1" t="n">
        <v>45745</v>
      </c>
      <c r="D1352" t="inlineStr">
        <is>
          <t>ÖSTERGÖTLANDS LÄN</t>
        </is>
      </c>
      <c r="E1352" t="inlineStr">
        <is>
          <t>LINKÖPING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45745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45745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45745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13517-2025</t>
        </is>
      </c>
      <c r="B1356" s="1" t="n">
        <v>45736</v>
      </c>
      <c r="C1356" s="1" t="n">
        <v>45745</v>
      </c>
      <c r="D1356" t="inlineStr">
        <is>
          <t>ÖSTERGÖTLANDS LÄN</t>
        </is>
      </c>
      <c r="E1356" t="inlineStr">
        <is>
          <t>LINKÖPING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45745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13519-2025</t>
        </is>
      </c>
      <c r="B1358" s="1" t="n">
        <v>45736</v>
      </c>
      <c r="C1358" s="1" t="n">
        <v>45745</v>
      </c>
      <c r="D1358" t="inlineStr">
        <is>
          <t>ÖSTERGÖTLANDS LÄN</t>
        </is>
      </c>
      <c r="E1358" t="inlineStr">
        <is>
          <t>LINKÖPING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13691-2025</t>
        </is>
      </c>
      <c r="B1359" s="1" t="n">
        <v>45737</v>
      </c>
      <c r="C1359" s="1" t="n">
        <v>45745</v>
      </c>
      <c r="D1359" t="inlineStr">
        <is>
          <t>ÖSTERGÖTLANDS LÄN</t>
        </is>
      </c>
      <c r="E1359" t="inlineStr">
        <is>
          <t>LINKÖPING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13696-2025</t>
        </is>
      </c>
      <c r="B1360" s="1" t="n">
        <v>45737</v>
      </c>
      <c r="C1360" s="1" t="n">
        <v>45745</v>
      </c>
      <c r="D1360" t="inlineStr">
        <is>
          <t>ÖSTERGÖTLANDS LÄN</t>
        </is>
      </c>
      <c r="E1360" t="inlineStr">
        <is>
          <t>LINKÖPING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13687-2025</t>
        </is>
      </c>
      <c r="B1361" s="1" t="n">
        <v>45737</v>
      </c>
      <c r="C1361" s="1" t="n">
        <v>45745</v>
      </c>
      <c r="D1361" t="inlineStr">
        <is>
          <t>ÖSTERGÖTLANDS LÄN</t>
        </is>
      </c>
      <c r="E1361" t="inlineStr">
        <is>
          <t>LINKÖPING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13689-2025</t>
        </is>
      </c>
      <c r="B1362" s="1" t="n">
        <v>45737</v>
      </c>
      <c r="C1362" s="1" t="n">
        <v>45745</v>
      </c>
      <c r="D1362" t="inlineStr">
        <is>
          <t>ÖSTERGÖTLANDS LÄN</t>
        </is>
      </c>
      <c r="E1362" t="inlineStr">
        <is>
          <t>LINKÖPING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13695-2025</t>
        </is>
      </c>
      <c r="B1363" s="1" t="n">
        <v>45737</v>
      </c>
      <c r="C1363" s="1" t="n">
        <v>45745</v>
      </c>
      <c r="D1363" t="inlineStr">
        <is>
          <t>ÖSTERGÖTLANDS LÄN</t>
        </is>
      </c>
      <c r="E1363" t="inlineStr">
        <is>
          <t>LINKÖPING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13688-2025</t>
        </is>
      </c>
      <c r="B1364" s="1" t="n">
        <v>45737</v>
      </c>
      <c r="C1364" s="1" t="n">
        <v>45745</v>
      </c>
      <c r="D1364" t="inlineStr">
        <is>
          <t>ÖSTERGÖTLANDS LÄN</t>
        </is>
      </c>
      <c r="E1364" t="inlineStr">
        <is>
          <t>LINKÖPING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13692-2025</t>
        </is>
      </c>
      <c r="B1365" s="1" t="n">
        <v>45737</v>
      </c>
      <c r="C1365" s="1" t="n">
        <v>45745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13911-2025</t>
        </is>
      </c>
      <c r="B1366" s="1" t="n">
        <v>45737</v>
      </c>
      <c r="C1366" s="1" t="n">
        <v>45745</v>
      </c>
      <c r="D1366" t="inlineStr">
        <is>
          <t>ÖSTERGÖTLANDS LÄN</t>
        </is>
      </c>
      <c r="E1366" t="inlineStr">
        <is>
          <t>LINKÖPING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14520-2025</t>
        </is>
      </c>
      <c r="B1367" s="1" t="n">
        <v>45741</v>
      </c>
      <c r="C1367" s="1" t="n">
        <v>45745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14528-2025</t>
        </is>
      </c>
      <c r="B1368" s="1" t="n">
        <v>45741</v>
      </c>
      <c r="C1368" s="1" t="n">
        <v>45745</v>
      </c>
      <c r="D1368" t="inlineStr">
        <is>
          <t>ÖSTERGÖTLANDS LÄN</t>
        </is>
      </c>
      <c r="E1368" t="inlineStr">
        <is>
          <t>LINKÖPING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2025-03-29T18:02:27Z</dcterms:created>
  <dcterms:modified xmlns:dcterms="http://purl.org/dc/terms/" xmlns:xsi="http://www.w3.org/2001/XMLSchema-instance" xsi:type="dcterms:W3CDTF">2025-03-29T18:02:29Z</dcterms:modified>
</cp:coreProperties>
</file>