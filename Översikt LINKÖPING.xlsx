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46100</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46100</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46100</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46100</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46100</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46100</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9192-2025</t>
        </is>
      </c>
      <c r="B14" s="1" t="n">
        <v>45714.45943287037</v>
      </c>
      <c r="C14" s="1" t="n">
        <v>46100</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15475-2021</t>
        </is>
      </c>
      <c r="B15" s="1" t="n">
        <v>44285</v>
      </c>
      <c r="C15" s="1" t="n">
        <v>46100</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40469-2024</t>
        </is>
      </c>
      <c r="B16" s="1" t="n">
        <v>45555.53145833333</v>
      </c>
      <c r="C16" s="1" t="n">
        <v>46100</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48329-2025</t>
        </is>
      </c>
      <c r="B17" s="1" t="n">
        <v>45932</v>
      </c>
      <c r="C17" s="1" t="n">
        <v>46100</v>
      </c>
      <c r="D17" t="inlineStr">
        <is>
          <t>ÖSTERGÖTLANDS LÄN</t>
        </is>
      </c>
      <c r="E17" t="inlineStr">
        <is>
          <t>LINKÖPING</t>
        </is>
      </c>
      <c r="F17" t="inlineStr">
        <is>
          <t>Övriga Aktiebolag</t>
        </is>
      </c>
      <c r="G17" t="n">
        <v>2.2</v>
      </c>
      <c r="H17" t="n">
        <v>1</v>
      </c>
      <c r="I17" t="n">
        <v>3</v>
      </c>
      <c r="J17" t="n">
        <v>0</v>
      </c>
      <c r="K17" t="n">
        <v>0</v>
      </c>
      <c r="L17" t="n">
        <v>0</v>
      </c>
      <c r="M17" t="n">
        <v>0</v>
      </c>
      <c r="N17" t="n">
        <v>0</v>
      </c>
      <c r="O17" t="n">
        <v>0</v>
      </c>
      <c r="P17" t="n">
        <v>0</v>
      </c>
      <c r="Q17" t="n">
        <v>4</v>
      </c>
      <c r="R17" s="2" t="inlineStr">
        <is>
          <t>Blanksvart trämyra
Dolkstekelsglasvinge
Granbarkgnagare
Blåsippa</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55341-2024</t>
        </is>
      </c>
      <c r="B18" s="1" t="n">
        <v>45621.71255787037</v>
      </c>
      <c r="C18" s="1" t="n">
        <v>46100</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46100</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38913-2023</t>
        </is>
      </c>
      <c r="B20" s="1" t="n">
        <v>45163</v>
      </c>
      <c r="C20" s="1" t="n">
        <v>46100</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49999-2025</t>
        </is>
      </c>
      <c r="B21" s="1" t="n">
        <v>45943.30185185185</v>
      </c>
      <c r="C21" s="1" t="n">
        <v>46100</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17275-2025</t>
        </is>
      </c>
      <c r="B22" s="1" t="n">
        <v>45756.55734953703</v>
      </c>
      <c r="C22" s="1" t="n">
        <v>46100</v>
      </c>
      <c r="D22" t="inlineStr">
        <is>
          <t>ÖSTERGÖTLANDS LÄN</t>
        </is>
      </c>
      <c r="E22" t="inlineStr">
        <is>
          <t>LINKÖPING</t>
        </is>
      </c>
      <c r="G22" t="n">
        <v>2.9</v>
      </c>
      <c r="H22" t="n">
        <v>1</v>
      </c>
      <c r="I22" t="n">
        <v>2</v>
      </c>
      <c r="J22" t="n">
        <v>1</v>
      </c>
      <c r="K22" t="n">
        <v>0</v>
      </c>
      <c r="L22" t="n">
        <v>0</v>
      </c>
      <c r="M22" t="n">
        <v>0</v>
      </c>
      <c r="N22" t="n">
        <v>0</v>
      </c>
      <c r="O22" t="n">
        <v>1</v>
      </c>
      <c r="P22" t="n">
        <v>0</v>
      </c>
      <c r="Q22" t="n">
        <v>3</v>
      </c>
      <c r="R22" s="2" t="inlineStr">
        <is>
          <t>Talltita
Fällmossa
Platt fjädermossa</t>
        </is>
      </c>
      <c r="S22">
        <f>HYPERLINK("https://klasma.github.io/Logging_0580/artfynd/A 17275-2025 artfynd.xlsx", "A 17275-2025")</f>
        <v/>
      </c>
      <c r="T22">
        <f>HYPERLINK("https://klasma.github.io/Logging_0580/kartor/A 17275-2025 karta.png", "A 17275-2025")</f>
        <v/>
      </c>
      <c r="V22">
        <f>HYPERLINK("https://klasma.github.io/Logging_0580/klagomål/A 17275-2025 FSC-klagomål.docx", "A 17275-2025")</f>
        <v/>
      </c>
      <c r="W22">
        <f>HYPERLINK("https://klasma.github.io/Logging_0580/klagomålsmail/A 17275-2025 FSC-klagomål mail.docx", "A 17275-2025")</f>
        <v/>
      </c>
      <c r="X22">
        <f>HYPERLINK("https://klasma.github.io/Logging_0580/tillsyn/A 17275-2025 tillsynsbegäran.docx", "A 17275-2025")</f>
        <v/>
      </c>
      <c r="Y22">
        <f>HYPERLINK("https://klasma.github.io/Logging_0580/tillsynsmail/A 17275-2025 tillsynsbegäran mail.docx", "A 17275-2025")</f>
        <v/>
      </c>
      <c r="Z22">
        <f>HYPERLINK("https://klasma.github.io/Logging_0580/fåglar/A 17275-2025 prioriterade fågelarter.docx", "A 17275-2025")</f>
        <v/>
      </c>
    </row>
    <row r="23" ht="15" customHeight="1">
      <c r="A23" t="inlineStr">
        <is>
          <t>A 11048-2026</t>
        </is>
      </c>
      <c r="B23" s="1" t="n">
        <v>46079.58841435185</v>
      </c>
      <c r="C23" s="1" t="n">
        <v>46100</v>
      </c>
      <c r="D23" t="inlineStr">
        <is>
          <t>ÖSTERGÖTLANDS LÄN</t>
        </is>
      </c>
      <c r="E23" t="inlineStr">
        <is>
          <t>LINKÖPING</t>
        </is>
      </c>
      <c r="G23" t="n">
        <v>4.1</v>
      </c>
      <c r="H23" t="n">
        <v>0</v>
      </c>
      <c r="I23" t="n">
        <v>3</v>
      </c>
      <c r="J23" t="n">
        <v>0</v>
      </c>
      <c r="K23" t="n">
        <v>0</v>
      </c>
      <c r="L23" t="n">
        <v>0</v>
      </c>
      <c r="M23" t="n">
        <v>0</v>
      </c>
      <c r="N23" t="n">
        <v>0</v>
      </c>
      <c r="O23" t="n">
        <v>0</v>
      </c>
      <c r="P23" t="n">
        <v>0</v>
      </c>
      <c r="Q23" t="n">
        <v>3</v>
      </c>
      <c r="R23" s="2" t="inlineStr">
        <is>
          <t>Svart trolldruva
Sårläka
Tibast</t>
        </is>
      </c>
      <c r="S23">
        <f>HYPERLINK("https://klasma.github.io/Logging_0580/artfynd/A 11048-2026 artfynd.xlsx", "A 11048-2026")</f>
        <v/>
      </c>
      <c r="T23">
        <f>HYPERLINK("https://klasma.github.io/Logging_0580/kartor/A 11048-2026 karta.png", "A 11048-2026")</f>
        <v/>
      </c>
      <c r="V23">
        <f>HYPERLINK("https://klasma.github.io/Logging_0580/klagomål/A 11048-2026 FSC-klagomål.docx", "A 11048-2026")</f>
        <v/>
      </c>
      <c r="W23">
        <f>HYPERLINK("https://klasma.github.io/Logging_0580/klagomålsmail/A 11048-2026 FSC-klagomål mail.docx", "A 11048-2026")</f>
        <v/>
      </c>
      <c r="X23">
        <f>HYPERLINK("https://klasma.github.io/Logging_0580/tillsyn/A 11048-2026 tillsynsbegäran.docx", "A 11048-2026")</f>
        <v/>
      </c>
      <c r="Y23">
        <f>HYPERLINK("https://klasma.github.io/Logging_0580/tillsynsmail/A 11048-2026 tillsynsbegäran mail.docx", "A 11048-2026")</f>
        <v/>
      </c>
    </row>
    <row r="24" ht="15" customHeight="1">
      <c r="A24" t="inlineStr">
        <is>
          <t>A 11097-2026</t>
        </is>
      </c>
      <c r="B24" s="1" t="n">
        <v>46079.64511574074</v>
      </c>
      <c r="C24" s="1" t="n">
        <v>46100</v>
      </c>
      <c r="D24" t="inlineStr">
        <is>
          <t>ÖSTERGÖTLANDS LÄN</t>
        </is>
      </c>
      <c r="E24" t="inlineStr">
        <is>
          <t>LINKÖPING</t>
        </is>
      </c>
      <c r="G24" t="n">
        <v>3.7</v>
      </c>
      <c r="H24" t="n">
        <v>0</v>
      </c>
      <c r="I24" t="n">
        <v>1</v>
      </c>
      <c r="J24" t="n">
        <v>2</v>
      </c>
      <c r="K24" t="n">
        <v>0</v>
      </c>
      <c r="L24" t="n">
        <v>0</v>
      </c>
      <c r="M24" t="n">
        <v>0</v>
      </c>
      <c r="N24" t="n">
        <v>0</v>
      </c>
      <c r="O24" t="n">
        <v>2</v>
      </c>
      <c r="P24" t="n">
        <v>0</v>
      </c>
      <c r="Q24" t="n">
        <v>3</v>
      </c>
      <c r="R24" s="2" t="inlineStr">
        <is>
          <t>Bäcksidenmossa
Vedtrappmossa
Trubbfjädermossa</t>
        </is>
      </c>
      <c r="S24">
        <f>HYPERLINK("https://klasma.github.io/Logging_0580/artfynd/A 11097-2026 artfynd.xlsx", "A 11097-2026")</f>
        <v/>
      </c>
      <c r="T24">
        <f>HYPERLINK("https://klasma.github.io/Logging_0580/kartor/A 11097-2026 karta.png", "A 11097-2026")</f>
        <v/>
      </c>
      <c r="V24">
        <f>HYPERLINK("https://klasma.github.io/Logging_0580/klagomål/A 11097-2026 FSC-klagomål.docx", "A 11097-2026")</f>
        <v/>
      </c>
      <c r="W24">
        <f>HYPERLINK("https://klasma.github.io/Logging_0580/klagomålsmail/A 11097-2026 FSC-klagomål mail.docx", "A 11097-2026")</f>
        <v/>
      </c>
      <c r="X24">
        <f>HYPERLINK("https://klasma.github.io/Logging_0580/tillsyn/A 11097-2026 tillsynsbegäran.docx", "A 11097-2026")</f>
        <v/>
      </c>
      <c r="Y24">
        <f>HYPERLINK("https://klasma.github.io/Logging_0580/tillsynsmail/A 11097-2026 tillsynsbegäran mail.docx", "A 11097-2026")</f>
        <v/>
      </c>
    </row>
    <row r="25" ht="15" customHeight="1">
      <c r="A25" t="inlineStr">
        <is>
          <t>A 6353-2026</t>
        </is>
      </c>
      <c r="B25" s="1" t="n">
        <v>46055.61385416667</v>
      </c>
      <c r="C25" s="1" t="n">
        <v>46100</v>
      </c>
      <c r="D25" t="inlineStr">
        <is>
          <t>ÖSTERGÖTLANDS LÄN</t>
        </is>
      </c>
      <c r="E25" t="inlineStr">
        <is>
          <t>LINKÖPING</t>
        </is>
      </c>
      <c r="F25" t="inlineStr">
        <is>
          <t>Övriga Aktiebolag</t>
        </is>
      </c>
      <c r="G25" t="n">
        <v>6.8</v>
      </c>
      <c r="H25" t="n">
        <v>1</v>
      </c>
      <c r="I25" t="n">
        <v>0</v>
      </c>
      <c r="J25" t="n">
        <v>0</v>
      </c>
      <c r="K25" t="n">
        <v>1</v>
      </c>
      <c r="L25" t="n">
        <v>1</v>
      </c>
      <c r="M25" t="n">
        <v>0</v>
      </c>
      <c r="N25" t="n">
        <v>0</v>
      </c>
      <c r="O25" t="n">
        <v>2</v>
      </c>
      <c r="P25" t="n">
        <v>2</v>
      </c>
      <c r="Q25" t="n">
        <v>3</v>
      </c>
      <c r="R25" s="2" t="inlineStr">
        <is>
          <t>Ask
Gulvit blekspik
Gullviva</t>
        </is>
      </c>
      <c r="S25">
        <f>HYPERLINK("https://klasma.github.io/Logging_0580/artfynd/A 6353-2026 artfynd.xlsx", "A 6353-2026")</f>
        <v/>
      </c>
      <c r="T25">
        <f>HYPERLINK("https://klasma.github.io/Logging_0580/kartor/A 6353-2026 karta.png", "A 6353-2026")</f>
        <v/>
      </c>
      <c r="V25">
        <f>HYPERLINK("https://klasma.github.io/Logging_0580/klagomål/A 6353-2026 FSC-klagomål.docx", "A 6353-2026")</f>
        <v/>
      </c>
      <c r="W25">
        <f>HYPERLINK("https://klasma.github.io/Logging_0580/klagomålsmail/A 6353-2026 FSC-klagomål mail.docx", "A 6353-2026")</f>
        <v/>
      </c>
      <c r="X25">
        <f>HYPERLINK("https://klasma.github.io/Logging_0580/tillsyn/A 6353-2026 tillsynsbegäran.docx", "A 6353-2026")</f>
        <v/>
      </c>
      <c r="Y25">
        <f>HYPERLINK("https://klasma.github.io/Logging_0580/tillsynsmail/A 6353-2026 tillsynsbegäran mail.docx", "A 6353-2026")</f>
        <v/>
      </c>
    </row>
    <row r="26" ht="15" customHeight="1">
      <c r="A26" t="inlineStr">
        <is>
          <t>A 17520-2022</t>
        </is>
      </c>
      <c r="B26" s="1" t="n">
        <v>44679</v>
      </c>
      <c r="C26" s="1" t="n">
        <v>46100</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38137-2021</t>
        </is>
      </c>
      <c r="B27" s="1" t="n">
        <v>44405.38357638889</v>
      </c>
      <c r="C27" s="1" t="n">
        <v>46100</v>
      </c>
      <c r="D27" t="inlineStr">
        <is>
          <t>ÖSTERGÖTLANDS LÄN</t>
        </is>
      </c>
      <c r="E27" t="inlineStr">
        <is>
          <t>LINKÖPING</t>
        </is>
      </c>
      <c r="G27" t="n">
        <v>2</v>
      </c>
      <c r="H27" t="n">
        <v>0</v>
      </c>
      <c r="I27" t="n">
        <v>2</v>
      </c>
      <c r="J27" t="n">
        <v>0</v>
      </c>
      <c r="K27" t="n">
        <v>0</v>
      </c>
      <c r="L27" t="n">
        <v>0</v>
      </c>
      <c r="M27" t="n">
        <v>0</v>
      </c>
      <c r="N27" t="n">
        <v>0</v>
      </c>
      <c r="O27" t="n">
        <v>0</v>
      </c>
      <c r="P27" t="n">
        <v>0</v>
      </c>
      <c r="Q27" t="n">
        <v>2</v>
      </c>
      <c r="R27" s="2" t="inlineStr">
        <is>
          <t>Blomkålssvamp
Mandelriska</t>
        </is>
      </c>
      <c r="S27">
        <f>HYPERLINK("https://klasma.github.io/Logging_0580/artfynd/A 38137-2021 artfynd.xlsx", "A 38137-2021")</f>
        <v/>
      </c>
      <c r="T27">
        <f>HYPERLINK("https://klasma.github.io/Logging_0580/kartor/A 38137-2021 karta.png", "A 38137-2021")</f>
        <v/>
      </c>
      <c r="V27">
        <f>HYPERLINK("https://klasma.github.io/Logging_0580/klagomål/A 38137-2021 FSC-klagomål.docx", "A 38137-2021")</f>
        <v/>
      </c>
      <c r="W27">
        <f>HYPERLINK("https://klasma.github.io/Logging_0580/klagomålsmail/A 38137-2021 FSC-klagomål mail.docx", "A 38137-2021")</f>
        <v/>
      </c>
      <c r="X27">
        <f>HYPERLINK("https://klasma.github.io/Logging_0580/tillsyn/A 38137-2021 tillsynsbegäran.docx", "A 38137-2021")</f>
        <v/>
      </c>
      <c r="Y27">
        <f>HYPERLINK("https://klasma.github.io/Logging_0580/tillsynsmail/A 38137-2021 tillsynsbegäran mail.docx", "A 38137-2021")</f>
        <v/>
      </c>
    </row>
    <row r="28" ht="15" customHeight="1">
      <c r="A28" t="inlineStr">
        <is>
          <t>A 58068-2021</t>
        </is>
      </c>
      <c r="B28" s="1" t="n">
        <v>44487</v>
      </c>
      <c r="C28" s="1" t="n">
        <v>46100</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41751-2023</t>
        </is>
      </c>
      <c r="B29" s="1" t="n">
        <v>45176</v>
      </c>
      <c r="C29" s="1" t="n">
        <v>46100</v>
      </c>
      <c r="D29" t="inlineStr">
        <is>
          <t>ÖSTERGÖTLANDS LÄN</t>
        </is>
      </c>
      <c r="E29" t="inlineStr">
        <is>
          <t>LINKÖPING</t>
        </is>
      </c>
      <c r="G29" t="n">
        <v>1.5</v>
      </c>
      <c r="H29" t="n">
        <v>1</v>
      </c>
      <c r="I29" t="n">
        <v>0</v>
      </c>
      <c r="J29" t="n">
        <v>1</v>
      </c>
      <c r="K29" t="n">
        <v>0</v>
      </c>
      <c r="L29" t="n">
        <v>0</v>
      </c>
      <c r="M29" t="n">
        <v>0</v>
      </c>
      <c r="N29" t="n">
        <v>0</v>
      </c>
      <c r="O29" t="n">
        <v>1</v>
      </c>
      <c r="P29" t="n">
        <v>0</v>
      </c>
      <c r="Q29" t="n">
        <v>2</v>
      </c>
      <c r="R29" s="2" t="inlineStr">
        <is>
          <t>Svinrot
Grönvit nattviol</t>
        </is>
      </c>
      <c r="S29">
        <f>HYPERLINK("https://klasma.github.io/Logging_0580/artfynd/A 41751-2023 artfynd.xlsx", "A 41751-2023")</f>
        <v/>
      </c>
      <c r="T29">
        <f>HYPERLINK("https://klasma.github.io/Logging_0580/kartor/A 41751-2023 karta.png", "A 41751-2023")</f>
        <v/>
      </c>
      <c r="V29">
        <f>HYPERLINK("https://klasma.github.io/Logging_0580/klagomål/A 41751-2023 FSC-klagomål.docx", "A 41751-2023")</f>
        <v/>
      </c>
      <c r="W29">
        <f>HYPERLINK("https://klasma.github.io/Logging_0580/klagomålsmail/A 41751-2023 FSC-klagomål mail.docx", "A 41751-2023")</f>
        <v/>
      </c>
      <c r="X29">
        <f>HYPERLINK("https://klasma.github.io/Logging_0580/tillsyn/A 41751-2023 tillsynsbegäran.docx", "A 41751-2023")</f>
        <v/>
      </c>
      <c r="Y29">
        <f>HYPERLINK("https://klasma.github.io/Logging_0580/tillsynsmail/A 41751-2023 tillsynsbegäran mail.docx", "A 41751-2023")</f>
        <v/>
      </c>
    </row>
    <row r="30" ht="15" customHeight="1">
      <c r="A30" t="inlineStr">
        <is>
          <t>A 58068-2021</t>
        </is>
      </c>
      <c r="B30" s="1" t="n">
        <v>44487</v>
      </c>
      <c r="C30" s="1" t="n">
        <v>46100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27981-2022</t>
        </is>
      </c>
      <c r="B31" s="1" t="n">
        <v>44745</v>
      </c>
      <c r="C31" s="1" t="n">
        <v>46100</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22040-2023</t>
        </is>
      </c>
      <c r="B32" s="1" t="n">
        <v>45068</v>
      </c>
      <c r="C32" s="1" t="n">
        <v>46100</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50404-2023</t>
        </is>
      </c>
      <c r="B33" s="1" t="n">
        <v>45216</v>
      </c>
      <c r="C33" s="1" t="n">
        <v>46100</v>
      </c>
      <c r="D33" t="inlineStr">
        <is>
          <t>ÖSTERGÖTLANDS LÄN</t>
        </is>
      </c>
      <c r="E33" t="inlineStr">
        <is>
          <t>LINKÖPING</t>
        </is>
      </c>
      <c r="G33" t="n">
        <v>1.2</v>
      </c>
      <c r="H33" t="n">
        <v>1</v>
      </c>
      <c r="I33" t="n">
        <v>1</v>
      </c>
      <c r="J33" t="n">
        <v>0</v>
      </c>
      <c r="K33" t="n">
        <v>0</v>
      </c>
      <c r="L33" t="n">
        <v>0</v>
      </c>
      <c r="M33" t="n">
        <v>0</v>
      </c>
      <c r="N33" t="n">
        <v>0</v>
      </c>
      <c r="O33" t="n">
        <v>0</v>
      </c>
      <c r="P33" t="n">
        <v>0</v>
      </c>
      <c r="Q33" t="n">
        <v>2</v>
      </c>
      <c r="R33" s="2" t="inlineStr">
        <is>
          <t>Hasselticka
Gullviva</t>
        </is>
      </c>
      <c r="S33">
        <f>HYPERLINK("https://klasma.github.io/Logging_0580/artfynd/A 50404-2023 artfynd.xlsx", "A 50404-2023")</f>
        <v/>
      </c>
      <c r="T33">
        <f>HYPERLINK("https://klasma.github.io/Logging_0580/kartor/A 50404-2023 karta.png", "A 50404-2023")</f>
        <v/>
      </c>
      <c r="V33">
        <f>HYPERLINK("https://klasma.github.io/Logging_0580/klagomål/A 50404-2023 FSC-klagomål.docx", "A 50404-2023")</f>
        <v/>
      </c>
      <c r="W33">
        <f>HYPERLINK("https://klasma.github.io/Logging_0580/klagomålsmail/A 50404-2023 FSC-klagomål mail.docx", "A 50404-2023")</f>
        <v/>
      </c>
      <c r="X33">
        <f>HYPERLINK("https://klasma.github.io/Logging_0580/tillsyn/A 50404-2023 tillsynsbegäran.docx", "A 50404-2023")</f>
        <v/>
      </c>
      <c r="Y33">
        <f>HYPERLINK("https://klasma.github.io/Logging_0580/tillsynsmail/A 50404-2023 tillsynsbegäran mail.docx", "A 50404-2023")</f>
        <v/>
      </c>
    </row>
    <row r="34" ht="15" customHeight="1">
      <c r="A34" t="inlineStr">
        <is>
          <t>A 49188-2024</t>
        </is>
      </c>
      <c r="B34" s="1" t="n">
        <v>45595</v>
      </c>
      <c r="C34" s="1" t="n">
        <v>46100</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42858-2023</t>
        </is>
      </c>
      <c r="B35" s="1" t="n">
        <v>45177</v>
      </c>
      <c r="C35" s="1" t="n">
        <v>46100</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46100</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55344-2024</t>
        </is>
      </c>
      <c r="B37" s="1" t="n">
        <v>45621.7202662037</v>
      </c>
      <c r="C37" s="1" t="n">
        <v>46100</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21326-2025</t>
        </is>
      </c>
      <c r="B38" s="1" t="n">
        <v>45782.35407407407</v>
      </c>
      <c r="C38" s="1" t="n">
        <v>46100</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14879-2024</t>
        </is>
      </c>
      <c r="B39" s="1" t="n">
        <v>45398</v>
      </c>
      <c r="C39" s="1" t="n">
        <v>46100</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8818-2025</t>
        </is>
      </c>
      <c r="B40" s="1" t="n">
        <v>45712</v>
      </c>
      <c r="C40" s="1" t="n">
        <v>46100</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20292-2025</t>
        </is>
      </c>
      <c r="B41" s="1" t="n">
        <v>45774.7449537037</v>
      </c>
      <c r="C41" s="1" t="n">
        <v>46100</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46100</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27795-2025</t>
        </is>
      </c>
      <c r="B43" s="1" t="n">
        <v>45816.7908912037</v>
      </c>
      <c r="C43" s="1" t="n">
        <v>46100</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25985-2025</t>
        </is>
      </c>
      <c r="B44" s="1" t="n">
        <v>45804.64479166667</v>
      </c>
      <c r="C44" s="1" t="n">
        <v>46100</v>
      </c>
      <c r="D44" t="inlineStr">
        <is>
          <t>ÖSTERGÖTLANDS LÄN</t>
        </is>
      </c>
      <c r="E44" t="inlineStr">
        <is>
          <t>LINKÖPING</t>
        </is>
      </c>
      <c r="G44" t="n">
        <v>4.5</v>
      </c>
      <c r="H44" t="n">
        <v>2</v>
      </c>
      <c r="I44" t="n">
        <v>0</v>
      </c>
      <c r="J44" t="n">
        <v>1</v>
      </c>
      <c r="K44" t="n">
        <v>0</v>
      </c>
      <c r="L44" t="n">
        <v>0</v>
      </c>
      <c r="M44" t="n">
        <v>0</v>
      </c>
      <c r="N44" t="n">
        <v>0</v>
      </c>
      <c r="O44" t="n">
        <v>1</v>
      </c>
      <c r="P44" t="n">
        <v>0</v>
      </c>
      <c r="Q44" t="n">
        <v>2</v>
      </c>
      <c r="R44" s="2" t="inlineStr">
        <is>
          <t>Spillkråka
Revlummer</t>
        </is>
      </c>
      <c r="S44">
        <f>HYPERLINK("https://klasma.github.io/Logging_0580/artfynd/A 25985-2025 artfynd.xlsx", "A 25985-2025")</f>
        <v/>
      </c>
      <c r="T44">
        <f>HYPERLINK("https://klasma.github.io/Logging_0580/kartor/A 25985-2025 karta.png", "A 25985-2025")</f>
        <v/>
      </c>
      <c r="V44">
        <f>HYPERLINK("https://klasma.github.io/Logging_0580/klagomål/A 25985-2025 FSC-klagomål.docx", "A 25985-2025")</f>
        <v/>
      </c>
      <c r="W44">
        <f>HYPERLINK("https://klasma.github.io/Logging_0580/klagomålsmail/A 25985-2025 FSC-klagomål mail.docx", "A 25985-2025")</f>
        <v/>
      </c>
      <c r="X44">
        <f>HYPERLINK("https://klasma.github.io/Logging_0580/tillsyn/A 25985-2025 tillsynsbegäran.docx", "A 25985-2025")</f>
        <v/>
      </c>
      <c r="Y44">
        <f>HYPERLINK("https://klasma.github.io/Logging_0580/tillsynsmail/A 25985-2025 tillsynsbegäran mail.docx", "A 25985-2025")</f>
        <v/>
      </c>
      <c r="Z44">
        <f>HYPERLINK("https://klasma.github.io/Logging_0580/fåglar/A 25985-2025 prioriterade fågelarter.docx", "A 25985-2025")</f>
        <v/>
      </c>
    </row>
    <row r="45" ht="15" customHeight="1">
      <c r="A45" t="inlineStr">
        <is>
          <t>A 50048-2025</t>
        </is>
      </c>
      <c r="B45" s="1" t="n">
        <v>45941</v>
      </c>
      <c r="C45" s="1" t="n">
        <v>46100</v>
      </c>
      <c r="D45" t="inlineStr">
        <is>
          <t>ÖSTERGÖTLANDS LÄN</t>
        </is>
      </c>
      <c r="E45" t="inlineStr">
        <is>
          <t>LINKÖPING</t>
        </is>
      </c>
      <c r="G45" t="n">
        <v>2.4</v>
      </c>
      <c r="H45" t="n">
        <v>2</v>
      </c>
      <c r="I45" t="n">
        <v>0</v>
      </c>
      <c r="J45" t="n">
        <v>1</v>
      </c>
      <c r="K45" t="n">
        <v>0</v>
      </c>
      <c r="L45" t="n">
        <v>0</v>
      </c>
      <c r="M45" t="n">
        <v>0</v>
      </c>
      <c r="N45" t="n">
        <v>0</v>
      </c>
      <c r="O45" t="n">
        <v>1</v>
      </c>
      <c r="P45" t="n">
        <v>0</v>
      </c>
      <c r="Q45" t="n">
        <v>2</v>
      </c>
      <c r="R45" s="2" t="inlineStr">
        <is>
          <t>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3912-2026</t>
        </is>
      </c>
      <c r="B46" s="1" t="n">
        <v>46043.71958333333</v>
      </c>
      <c r="C46" s="1" t="n">
        <v>46100</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12494-2026</t>
        </is>
      </c>
      <c r="B47" s="1" t="n">
        <v>46090.56896990741</v>
      </c>
      <c r="C47" s="1" t="n">
        <v>46100</v>
      </c>
      <c r="D47" t="inlineStr">
        <is>
          <t>ÖSTERGÖTLANDS LÄN</t>
        </is>
      </c>
      <c r="E47" t="inlineStr">
        <is>
          <t>LINKÖPING</t>
        </is>
      </c>
      <c r="G47" t="n">
        <v>3.4</v>
      </c>
      <c r="H47" t="n">
        <v>0</v>
      </c>
      <c r="I47" t="n">
        <v>0</v>
      </c>
      <c r="J47" t="n">
        <v>1</v>
      </c>
      <c r="K47" t="n">
        <v>1</v>
      </c>
      <c r="L47" t="n">
        <v>0</v>
      </c>
      <c r="M47" t="n">
        <v>0</v>
      </c>
      <c r="N47" t="n">
        <v>0</v>
      </c>
      <c r="O47" t="n">
        <v>2</v>
      </c>
      <c r="P47" t="n">
        <v>1</v>
      </c>
      <c r="Q47" t="n">
        <v>2</v>
      </c>
      <c r="R47" s="2" t="inlineStr">
        <is>
          <t>Slåttergubbe
Svinrot</t>
        </is>
      </c>
      <c r="S47">
        <f>HYPERLINK("https://klasma.github.io/Logging_0580/artfynd/A 12494-2026 artfynd.xlsx", "A 12494-2026")</f>
        <v/>
      </c>
      <c r="T47">
        <f>HYPERLINK("https://klasma.github.io/Logging_0580/kartor/A 12494-2026 karta.png", "A 12494-2026")</f>
        <v/>
      </c>
      <c r="V47">
        <f>HYPERLINK("https://klasma.github.io/Logging_0580/klagomål/A 12494-2026 FSC-klagomål.docx", "A 12494-2026")</f>
        <v/>
      </c>
      <c r="W47">
        <f>HYPERLINK("https://klasma.github.io/Logging_0580/klagomålsmail/A 12494-2026 FSC-klagomål mail.docx", "A 12494-2026")</f>
        <v/>
      </c>
      <c r="X47">
        <f>HYPERLINK("https://klasma.github.io/Logging_0580/tillsyn/A 12494-2026 tillsynsbegäran.docx", "A 12494-2026")</f>
        <v/>
      </c>
      <c r="Y47">
        <f>HYPERLINK("https://klasma.github.io/Logging_0580/tillsynsmail/A 12494-2026 tillsynsbegäran mail.docx", "A 12494-2026")</f>
        <v/>
      </c>
    </row>
    <row r="48" ht="15" customHeight="1">
      <c r="A48" t="inlineStr">
        <is>
          <t>A 38129-2021</t>
        </is>
      </c>
      <c r="B48" s="1" t="n">
        <v>44405.37199074074</v>
      </c>
      <c r="C48" s="1" t="n">
        <v>46100</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71127-2021</t>
        </is>
      </c>
      <c r="B49" s="1" t="n">
        <v>44537</v>
      </c>
      <c r="C49" s="1" t="n">
        <v>46100</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14096-2021</t>
        </is>
      </c>
      <c r="B50" s="1" t="n">
        <v>44278</v>
      </c>
      <c r="C50" s="1" t="n">
        <v>46100</v>
      </c>
      <c r="D50" t="inlineStr">
        <is>
          <t>ÖSTERGÖTLANDS LÄN</t>
        </is>
      </c>
      <c r="E50" t="inlineStr">
        <is>
          <t>LINKÖPING</t>
        </is>
      </c>
      <c r="G50" t="n">
        <v>1.7</v>
      </c>
      <c r="H50" t="n">
        <v>0</v>
      </c>
      <c r="I50" t="n">
        <v>0</v>
      </c>
      <c r="J50" t="n">
        <v>1</v>
      </c>
      <c r="K50" t="n">
        <v>0</v>
      </c>
      <c r="L50" t="n">
        <v>0</v>
      </c>
      <c r="M50" t="n">
        <v>0</v>
      </c>
      <c r="N50" t="n">
        <v>0</v>
      </c>
      <c r="O50" t="n">
        <v>1</v>
      </c>
      <c r="P50" t="n">
        <v>0</v>
      </c>
      <c r="Q50" t="n">
        <v>1</v>
      </c>
      <c r="R50" s="2" t="inlineStr">
        <is>
          <t>Vedtrappmossa</t>
        </is>
      </c>
      <c r="S50">
        <f>HYPERLINK("https://klasma.github.io/Logging_0580/artfynd/A 14096-2021 artfynd.xlsx", "A 14096-2021")</f>
        <v/>
      </c>
      <c r="T50">
        <f>HYPERLINK("https://klasma.github.io/Logging_0580/kartor/A 14096-2021 karta.png", "A 14096-2021")</f>
        <v/>
      </c>
      <c r="V50">
        <f>HYPERLINK("https://klasma.github.io/Logging_0580/klagomål/A 14096-2021 FSC-klagomål.docx", "A 14096-2021")</f>
        <v/>
      </c>
      <c r="W50">
        <f>HYPERLINK("https://klasma.github.io/Logging_0580/klagomålsmail/A 14096-2021 FSC-klagomål mail.docx", "A 14096-2021")</f>
        <v/>
      </c>
      <c r="X50">
        <f>HYPERLINK("https://klasma.github.io/Logging_0580/tillsyn/A 14096-2021 tillsynsbegäran.docx", "A 14096-2021")</f>
        <v/>
      </c>
      <c r="Y50">
        <f>HYPERLINK("https://klasma.github.io/Logging_0580/tillsynsmail/A 14096-2021 tillsynsbegäran mail.docx", "A 14096-2021")</f>
        <v/>
      </c>
    </row>
    <row r="51" ht="15" customHeight="1">
      <c r="A51" t="inlineStr">
        <is>
          <t>A 46496-2022</t>
        </is>
      </c>
      <c r="B51" s="1" t="n">
        <v>44848</v>
      </c>
      <c r="C51" s="1" t="n">
        <v>46100</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17513-2022</t>
        </is>
      </c>
      <c r="B52" s="1" t="n">
        <v>44679</v>
      </c>
      <c r="C52" s="1" t="n">
        <v>46100</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56250-2021</t>
        </is>
      </c>
      <c r="B53" s="1" t="n">
        <v>44479</v>
      </c>
      <c r="C53" s="1" t="n">
        <v>46100</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43017-2021</t>
        </is>
      </c>
      <c r="B54" s="1" t="n">
        <v>44431</v>
      </c>
      <c r="C54" s="1" t="n">
        <v>46100</v>
      </c>
      <c r="D54" t="inlineStr">
        <is>
          <t>ÖSTERGÖTLANDS LÄN</t>
        </is>
      </c>
      <c r="E54" t="inlineStr">
        <is>
          <t>LINKÖPING</t>
        </is>
      </c>
      <c r="G54" t="n">
        <v>0.9</v>
      </c>
      <c r="H54" t="n">
        <v>0</v>
      </c>
      <c r="I54" t="n">
        <v>0</v>
      </c>
      <c r="J54" t="n">
        <v>1</v>
      </c>
      <c r="K54" t="n">
        <v>0</v>
      </c>
      <c r="L54" t="n">
        <v>0</v>
      </c>
      <c r="M54" t="n">
        <v>0</v>
      </c>
      <c r="N54" t="n">
        <v>0</v>
      </c>
      <c r="O54" t="n">
        <v>1</v>
      </c>
      <c r="P54" t="n">
        <v>0</v>
      </c>
      <c r="Q54" t="n">
        <v>1</v>
      </c>
      <c r="R54" s="2" t="inlineStr">
        <is>
          <t>Apelsinticka</t>
        </is>
      </c>
      <c r="S54">
        <f>HYPERLINK("https://klasma.github.io/Logging_0580/artfynd/A 43017-2021 artfynd.xlsx", "A 43017-2021")</f>
        <v/>
      </c>
      <c r="T54">
        <f>HYPERLINK("https://klasma.github.io/Logging_0580/kartor/A 43017-2021 karta.png", "A 43017-2021")</f>
        <v/>
      </c>
      <c r="V54">
        <f>HYPERLINK("https://klasma.github.io/Logging_0580/klagomål/A 43017-2021 FSC-klagomål.docx", "A 43017-2021")</f>
        <v/>
      </c>
      <c r="W54">
        <f>HYPERLINK("https://klasma.github.io/Logging_0580/klagomålsmail/A 43017-2021 FSC-klagomål mail.docx", "A 43017-2021")</f>
        <v/>
      </c>
      <c r="X54">
        <f>HYPERLINK("https://klasma.github.io/Logging_0580/tillsyn/A 43017-2021 tillsynsbegäran.docx", "A 43017-2021")</f>
        <v/>
      </c>
      <c r="Y54">
        <f>HYPERLINK("https://klasma.github.io/Logging_0580/tillsynsmail/A 43017-2021 tillsynsbegäran mail.docx", "A 43017-2021")</f>
        <v/>
      </c>
    </row>
    <row r="55" ht="15" customHeight="1">
      <c r="A55" t="inlineStr">
        <is>
          <t>A 931-2025</t>
        </is>
      </c>
      <c r="B55" s="1" t="n">
        <v>45665.88498842593</v>
      </c>
      <c r="C55" s="1" t="n">
        <v>46100</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46100</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46100</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46100</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35948-2023</t>
        </is>
      </c>
      <c r="B59" s="1" t="n">
        <v>45148</v>
      </c>
      <c r="C59" s="1" t="n">
        <v>46100</v>
      </c>
      <c r="D59" t="inlineStr">
        <is>
          <t>ÖSTERGÖTLANDS LÄN</t>
        </is>
      </c>
      <c r="E59" t="inlineStr">
        <is>
          <t>LINKÖPING</t>
        </is>
      </c>
      <c r="G59" t="n">
        <v>1.9</v>
      </c>
      <c r="H59" t="n">
        <v>0</v>
      </c>
      <c r="I59" t="n">
        <v>1</v>
      </c>
      <c r="J59" t="n">
        <v>0</v>
      </c>
      <c r="K59" t="n">
        <v>0</v>
      </c>
      <c r="L59" t="n">
        <v>0</v>
      </c>
      <c r="M59" t="n">
        <v>0</v>
      </c>
      <c r="N59" t="n">
        <v>0</v>
      </c>
      <c r="O59" t="n">
        <v>0</v>
      </c>
      <c r="P59" t="n">
        <v>0</v>
      </c>
      <c r="Q59" t="n">
        <v>1</v>
      </c>
      <c r="R59" s="2" t="inlineStr">
        <is>
          <t>Brun nållav</t>
        </is>
      </c>
      <c r="S59">
        <f>HYPERLINK("https://klasma.github.io/Logging_0580/artfynd/A 35948-2023 artfynd.xlsx", "A 35948-2023")</f>
        <v/>
      </c>
      <c r="T59">
        <f>HYPERLINK("https://klasma.github.io/Logging_0580/kartor/A 35948-2023 karta.png", "A 35948-2023")</f>
        <v/>
      </c>
      <c r="V59">
        <f>HYPERLINK("https://klasma.github.io/Logging_0580/klagomål/A 35948-2023 FSC-klagomål.docx", "A 35948-2023")</f>
        <v/>
      </c>
      <c r="W59">
        <f>HYPERLINK("https://klasma.github.io/Logging_0580/klagomålsmail/A 35948-2023 FSC-klagomål mail.docx", "A 35948-2023")</f>
        <v/>
      </c>
      <c r="X59">
        <f>HYPERLINK("https://klasma.github.io/Logging_0580/tillsyn/A 35948-2023 tillsynsbegäran.docx", "A 35948-2023")</f>
        <v/>
      </c>
      <c r="Y59">
        <f>HYPERLINK("https://klasma.github.io/Logging_0580/tillsynsmail/A 35948-2023 tillsynsbegäran mail.docx", "A 35948-2023")</f>
        <v/>
      </c>
    </row>
    <row r="60" ht="15" customHeight="1">
      <c r="A60" t="inlineStr">
        <is>
          <t>A 15290-2025</t>
        </is>
      </c>
      <c r="B60" s="1" t="n">
        <v>45745.45288194445</v>
      </c>
      <c r="C60" s="1" t="n">
        <v>46100</v>
      </c>
      <c r="D60" t="inlineStr">
        <is>
          <t>ÖSTERGÖTLANDS LÄN</t>
        </is>
      </c>
      <c r="E60" t="inlineStr">
        <is>
          <t>LINKÖPING</t>
        </is>
      </c>
      <c r="G60" t="n">
        <v>18.4</v>
      </c>
      <c r="H60" t="n">
        <v>1</v>
      </c>
      <c r="I60" t="n">
        <v>0</v>
      </c>
      <c r="J60" t="n">
        <v>1</v>
      </c>
      <c r="K60" t="n">
        <v>0</v>
      </c>
      <c r="L60" t="n">
        <v>0</v>
      </c>
      <c r="M60" t="n">
        <v>0</v>
      </c>
      <c r="N60" t="n">
        <v>0</v>
      </c>
      <c r="O60" t="n">
        <v>1</v>
      </c>
      <c r="P60" t="n">
        <v>0</v>
      </c>
      <c r="Q60" t="n">
        <v>1</v>
      </c>
      <c r="R60" s="2" t="inlineStr">
        <is>
          <t>Havsörn</t>
        </is>
      </c>
      <c r="S60">
        <f>HYPERLINK("https://klasma.github.io/Logging_0580/artfynd/A 15290-2025 artfynd.xlsx", "A 15290-2025")</f>
        <v/>
      </c>
      <c r="T60">
        <f>HYPERLINK("https://klasma.github.io/Logging_0580/kartor/A 15290-2025 karta.png", "A 15290-2025")</f>
        <v/>
      </c>
      <c r="V60">
        <f>HYPERLINK("https://klasma.github.io/Logging_0580/klagomål/A 15290-2025 FSC-klagomål.docx", "A 15290-2025")</f>
        <v/>
      </c>
      <c r="W60">
        <f>HYPERLINK("https://klasma.github.io/Logging_0580/klagomålsmail/A 15290-2025 FSC-klagomål mail.docx", "A 15290-2025")</f>
        <v/>
      </c>
      <c r="X60">
        <f>HYPERLINK("https://klasma.github.io/Logging_0580/tillsyn/A 15290-2025 tillsynsbegäran.docx", "A 15290-2025")</f>
        <v/>
      </c>
      <c r="Y60">
        <f>HYPERLINK("https://klasma.github.io/Logging_0580/tillsynsmail/A 15290-2025 tillsynsbegäran mail.docx", "A 15290-2025")</f>
        <v/>
      </c>
      <c r="Z60">
        <f>HYPERLINK("https://klasma.github.io/Logging_0580/fåglar/A 15290-2025 prioriterade fågelarter.docx", "A 15290-2025")</f>
        <v/>
      </c>
    </row>
    <row r="61" ht="15" customHeight="1">
      <c r="A61" t="inlineStr">
        <is>
          <t>A 62071-2023</t>
        </is>
      </c>
      <c r="B61" s="1" t="n">
        <v>45266.73542824074</v>
      </c>
      <c r="C61" s="1" t="n">
        <v>46100</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3397-2023</t>
        </is>
      </c>
      <c r="B62" s="1" t="n">
        <v>44949</v>
      </c>
      <c r="C62" s="1" t="n">
        <v>46100</v>
      </c>
      <c r="D62" t="inlineStr">
        <is>
          <t>ÖSTERGÖTLANDS LÄN</t>
        </is>
      </c>
      <c r="E62" t="inlineStr">
        <is>
          <t>LINKÖPING</t>
        </is>
      </c>
      <c r="G62" t="n">
        <v>4.1</v>
      </c>
      <c r="H62" t="n">
        <v>0</v>
      </c>
      <c r="I62" t="n">
        <v>0</v>
      </c>
      <c r="J62" t="n">
        <v>1</v>
      </c>
      <c r="K62" t="n">
        <v>0</v>
      </c>
      <c r="L62" t="n">
        <v>0</v>
      </c>
      <c r="M62" t="n">
        <v>0</v>
      </c>
      <c r="N62" t="n">
        <v>0</v>
      </c>
      <c r="O62" t="n">
        <v>1</v>
      </c>
      <c r="P62" t="n">
        <v>0</v>
      </c>
      <c r="Q62" t="n">
        <v>1</v>
      </c>
      <c r="R62" s="2" t="inlineStr">
        <is>
          <t>Svinrot</t>
        </is>
      </c>
      <c r="S62">
        <f>HYPERLINK("https://klasma.github.io/Logging_0580/artfynd/A 3397-2023 artfynd.xlsx", "A 3397-2023")</f>
        <v/>
      </c>
      <c r="T62">
        <f>HYPERLINK("https://klasma.github.io/Logging_0580/kartor/A 3397-2023 karta.png", "A 3397-2023")</f>
        <v/>
      </c>
      <c r="V62">
        <f>HYPERLINK("https://klasma.github.io/Logging_0580/klagomål/A 3397-2023 FSC-klagomål.docx", "A 3397-2023")</f>
        <v/>
      </c>
      <c r="W62">
        <f>HYPERLINK("https://klasma.github.io/Logging_0580/klagomålsmail/A 3397-2023 FSC-klagomål mail.docx", "A 3397-2023")</f>
        <v/>
      </c>
      <c r="X62">
        <f>HYPERLINK("https://klasma.github.io/Logging_0580/tillsyn/A 3397-2023 tillsynsbegäran.docx", "A 3397-2023")</f>
        <v/>
      </c>
      <c r="Y62">
        <f>HYPERLINK("https://klasma.github.io/Logging_0580/tillsynsmail/A 3397-2023 tillsynsbegäran mail.docx", "A 3397-2023")</f>
        <v/>
      </c>
    </row>
    <row r="63" ht="15" customHeight="1">
      <c r="A63" t="inlineStr">
        <is>
          <t>A 34881-2023</t>
        </is>
      </c>
      <c r="B63" s="1" t="n">
        <v>45140</v>
      </c>
      <c r="C63" s="1" t="n">
        <v>46100</v>
      </c>
      <c r="D63" t="inlineStr">
        <is>
          <t>ÖSTERGÖTLANDS LÄN</t>
        </is>
      </c>
      <c r="E63" t="inlineStr">
        <is>
          <t>LINKÖPING</t>
        </is>
      </c>
      <c r="G63" t="n">
        <v>1.9</v>
      </c>
      <c r="H63" t="n">
        <v>0</v>
      </c>
      <c r="I63" t="n">
        <v>0</v>
      </c>
      <c r="J63" t="n">
        <v>1</v>
      </c>
      <c r="K63" t="n">
        <v>0</v>
      </c>
      <c r="L63" t="n">
        <v>0</v>
      </c>
      <c r="M63" t="n">
        <v>0</v>
      </c>
      <c r="N63" t="n">
        <v>0</v>
      </c>
      <c r="O63" t="n">
        <v>1</v>
      </c>
      <c r="P63" t="n">
        <v>0</v>
      </c>
      <c r="Q63" t="n">
        <v>1</v>
      </c>
      <c r="R63" s="2" t="inlineStr">
        <is>
          <t>Tallticka</t>
        </is>
      </c>
      <c r="S63">
        <f>HYPERLINK("https://klasma.github.io/Logging_0580/artfynd/A 34881-2023 artfynd.xlsx", "A 34881-2023")</f>
        <v/>
      </c>
      <c r="T63">
        <f>HYPERLINK("https://klasma.github.io/Logging_0580/kartor/A 34881-2023 karta.png", "A 34881-2023")</f>
        <v/>
      </c>
      <c r="U63">
        <f>HYPERLINK("https://klasma.github.io/Logging_0580/knärot/A 34881-2023 karta knärot.png", "A 34881-2023")</f>
        <v/>
      </c>
      <c r="V63">
        <f>HYPERLINK("https://klasma.github.io/Logging_0580/klagomål/A 34881-2023 FSC-klagomål.docx", "A 34881-2023")</f>
        <v/>
      </c>
      <c r="W63">
        <f>HYPERLINK("https://klasma.github.io/Logging_0580/klagomålsmail/A 34881-2023 FSC-klagomål mail.docx", "A 34881-2023")</f>
        <v/>
      </c>
      <c r="X63">
        <f>HYPERLINK("https://klasma.github.io/Logging_0580/tillsyn/A 34881-2023 tillsynsbegäran.docx", "A 34881-2023")</f>
        <v/>
      </c>
      <c r="Y63">
        <f>HYPERLINK("https://klasma.github.io/Logging_0580/tillsynsmail/A 34881-2023 tillsynsbegäran mail.docx", "A 34881-2023")</f>
        <v/>
      </c>
    </row>
    <row r="64" ht="15" customHeight="1">
      <c r="A64" t="inlineStr">
        <is>
          <t>A 50471-2024</t>
        </is>
      </c>
      <c r="B64" s="1" t="n">
        <v>45601.47166666666</v>
      </c>
      <c r="C64" s="1" t="n">
        <v>46100</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17389-2021</t>
        </is>
      </c>
      <c r="B65" s="1" t="n">
        <v>44298.96792824074</v>
      </c>
      <c r="C65" s="1" t="n">
        <v>46100</v>
      </c>
      <c r="D65" t="inlineStr">
        <is>
          <t>ÖSTERGÖTLANDS LÄN</t>
        </is>
      </c>
      <c r="E65" t="inlineStr">
        <is>
          <t>LINKÖPING</t>
        </is>
      </c>
      <c r="G65" t="n">
        <v>5.1</v>
      </c>
      <c r="H65" t="n">
        <v>0</v>
      </c>
      <c r="I65" t="n">
        <v>1</v>
      </c>
      <c r="J65" t="n">
        <v>0</v>
      </c>
      <c r="K65" t="n">
        <v>0</v>
      </c>
      <c r="L65" t="n">
        <v>0</v>
      </c>
      <c r="M65" t="n">
        <v>0</v>
      </c>
      <c r="N65" t="n">
        <v>0</v>
      </c>
      <c r="O65" t="n">
        <v>0</v>
      </c>
      <c r="P65" t="n">
        <v>0</v>
      </c>
      <c r="Q65" t="n">
        <v>1</v>
      </c>
      <c r="R65" s="2" t="inlineStr">
        <is>
          <t>Blomkålssvamp</t>
        </is>
      </c>
      <c r="S65">
        <f>HYPERLINK("https://klasma.github.io/Logging_0580/artfynd/A 17389-2021 artfynd.xlsx", "A 17389-2021")</f>
        <v/>
      </c>
      <c r="T65">
        <f>HYPERLINK("https://klasma.github.io/Logging_0580/kartor/A 17389-2021 karta.png", "A 17389-2021")</f>
        <v/>
      </c>
      <c r="V65">
        <f>HYPERLINK("https://klasma.github.io/Logging_0580/klagomål/A 17389-2021 FSC-klagomål.docx", "A 17389-2021")</f>
        <v/>
      </c>
      <c r="W65">
        <f>HYPERLINK("https://klasma.github.io/Logging_0580/klagomålsmail/A 17389-2021 FSC-klagomål mail.docx", "A 17389-2021")</f>
        <v/>
      </c>
      <c r="X65">
        <f>HYPERLINK("https://klasma.github.io/Logging_0580/tillsyn/A 17389-2021 tillsynsbegäran.docx", "A 17389-2021")</f>
        <v/>
      </c>
      <c r="Y65">
        <f>HYPERLINK("https://klasma.github.io/Logging_0580/tillsynsmail/A 17389-2021 tillsynsbegäran mail.docx", "A 17389-2021")</f>
        <v/>
      </c>
    </row>
    <row r="66" ht="15" customHeight="1">
      <c r="A66" t="inlineStr">
        <is>
          <t>A 56128-2022</t>
        </is>
      </c>
      <c r="B66" s="1" t="n">
        <v>44889</v>
      </c>
      <c r="C66" s="1" t="n">
        <v>46100</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40309-2024</t>
        </is>
      </c>
      <c r="B67" s="1" t="n">
        <v>45554.724375</v>
      </c>
      <c r="C67" s="1" t="n">
        <v>46100</v>
      </c>
      <c r="D67" t="inlineStr">
        <is>
          <t>ÖSTERGÖTLANDS LÄN</t>
        </is>
      </c>
      <c r="E67" t="inlineStr">
        <is>
          <t>LINKÖPING</t>
        </is>
      </c>
      <c r="F67" t="inlineStr">
        <is>
          <t>Allmännings- och besparingsskogar</t>
        </is>
      </c>
      <c r="G67" t="n">
        <v>6</v>
      </c>
      <c r="H67" t="n">
        <v>0</v>
      </c>
      <c r="I67" t="n">
        <v>0</v>
      </c>
      <c r="J67" t="n">
        <v>1</v>
      </c>
      <c r="K67" t="n">
        <v>0</v>
      </c>
      <c r="L67" t="n">
        <v>0</v>
      </c>
      <c r="M67" t="n">
        <v>0</v>
      </c>
      <c r="N67" t="n">
        <v>0</v>
      </c>
      <c r="O67" t="n">
        <v>1</v>
      </c>
      <c r="P67" t="n">
        <v>0</v>
      </c>
      <c r="Q67" t="n">
        <v>1</v>
      </c>
      <c r="R67" s="2" t="inlineStr">
        <is>
          <t>Garnlav</t>
        </is>
      </c>
      <c r="S67">
        <f>HYPERLINK("https://klasma.github.io/Logging_0580/artfynd/A 40309-2024 artfynd.xlsx", "A 40309-2024")</f>
        <v/>
      </c>
      <c r="T67">
        <f>HYPERLINK("https://klasma.github.io/Logging_0580/kartor/A 40309-2024 karta.png", "A 40309-2024")</f>
        <v/>
      </c>
      <c r="V67">
        <f>HYPERLINK("https://klasma.github.io/Logging_0580/klagomål/A 40309-2024 FSC-klagomål.docx", "A 40309-2024")</f>
        <v/>
      </c>
      <c r="W67">
        <f>HYPERLINK("https://klasma.github.io/Logging_0580/klagomålsmail/A 40309-2024 FSC-klagomål mail.docx", "A 40309-2024")</f>
        <v/>
      </c>
      <c r="X67">
        <f>HYPERLINK("https://klasma.github.io/Logging_0580/tillsyn/A 40309-2024 tillsynsbegäran.docx", "A 40309-2024")</f>
        <v/>
      </c>
      <c r="Y67">
        <f>HYPERLINK("https://klasma.github.io/Logging_0580/tillsynsmail/A 40309-2024 tillsynsbegäran mail.docx", "A 40309-2024")</f>
        <v/>
      </c>
    </row>
    <row r="68" ht="15" customHeight="1">
      <c r="A68" t="inlineStr">
        <is>
          <t>A 22526-2025</t>
        </is>
      </c>
      <c r="B68" s="1" t="n">
        <v>45786.78096064815</v>
      </c>
      <c r="C68" s="1" t="n">
        <v>46100</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 skogslilja</t>
        </is>
      </c>
      <c r="S68">
        <f>HYPERLINK("https://klasma.github.io/Logging_0580/artfynd/A 22526-2025 artfynd.xlsx", "A 22526-2025")</f>
        <v/>
      </c>
      <c r="T68">
        <f>HYPERLINK("https://klasma.github.io/Logging_0580/kartor/A 22526-2025 karta.png", "A 22526-2025")</f>
        <v/>
      </c>
      <c r="V68">
        <f>HYPERLINK("https://klasma.github.io/Logging_0580/klagomål/A 22526-2025 FSC-klagomål.docx", "A 22526-2025")</f>
        <v/>
      </c>
      <c r="W68">
        <f>HYPERLINK("https://klasma.github.io/Logging_0580/klagomålsmail/A 22526-2025 FSC-klagomål mail.docx", "A 22526-2025")</f>
        <v/>
      </c>
      <c r="X68">
        <f>HYPERLINK("https://klasma.github.io/Logging_0580/tillsyn/A 22526-2025 tillsynsbegäran.docx", "A 22526-2025")</f>
        <v/>
      </c>
      <c r="Y68">
        <f>HYPERLINK("https://klasma.github.io/Logging_0580/tillsynsmail/A 22526-2025 tillsynsbegäran mail.docx", "A 22526-2025")</f>
        <v/>
      </c>
    </row>
    <row r="69" ht="15" customHeight="1">
      <c r="A69" t="inlineStr">
        <is>
          <t>A 59948-2022</t>
        </is>
      </c>
      <c r="B69" s="1" t="n">
        <v>44909</v>
      </c>
      <c r="C69" s="1" t="n">
        <v>46100</v>
      </c>
      <c r="D69" t="inlineStr">
        <is>
          <t>ÖSTERGÖTLANDS LÄN</t>
        </is>
      </c>
      <c r="E69" t="inlineStr">
        <is>
          <t>LINKÖPING</t>
        </is>
      </c>
      <c r="G69" t="n">
        <v>6.7</v>
      </c>
      <c r="H69" t="n">
        <v>0</v>
      </c>
      <c r="I69" t="n">
        <v>0</v>
      </c>
      <c r="J69" t="n">
        <v>0</v>
      </c>
      <c r="K69" t="n">
        <v>0</v>
      </c>
      <c r="L69" t="n">
        <v>0</v>
      </c>
      <c r="M69" t="n">
        <v>1</v>
      </c>
      <c r="N69" t="n">
        <v>0</v>
      </c>
      <c r="O69" t="n">
        <v>1</v>
      </c>
      <c r="P69" t="n">
        <v>1</v>
      </c>
      <c r="Q69" t="n">
        <v>1</v>
      </c>
      <c r="R69" s="2" t="inlineStr">
        <is>
          <t>Skogsalm</t>
        </is>
      </c>
      <c r="S69">
        <f>HYPERLINK("https://klasma.github.io/Logging_0580/artfynd/A 59948-2022 artfynd.xlsx", "A 59948-2022")</f>
        <v/>
      </c>
      <c r="T69">
        <f>HYPERLINK("https://klasma.github.io/Logging_0580/kartor/A 59948-2022 karta.png", "A 59948-2022")</f>
        <v/>
      </c>
      <c r="V69">
        <f>HYPERLINK("https://klasma.github.io/Logging_0580/klagomål/A 59948-2022 FSC-klagomål.docx", "A 59948-2022")</f>
        <v/>
      </c>
      <c r="W69">
        <f>HYPERLINK("https://klasma.github.io/Logging_0580/klagomålsmail/A 59948-2022 FSC-klagomål mail.docx", "A 59948-2022")</f>
        <v/>
      </c>
      <c r="X69">
        <f>HYPERLINK("https://klasma.github.io/Logging_0580/tillsyn/A 59948-2022 tillsynsbegäran.docx", "A 59948-2022")</f>
        <v/>
      </c>
      <c r="Y69">
        <f>HYPERLINK("https://klasma.github.io/Logging_0580/tillsynsmail/A 59948-2022 tillsynsbegäran mail.docx", "A 59948-2022")</f>
        <v/>
      </c>
    </row>
    <row r="70" ht="15" customHeight="1">
      <c r="A70" t="inlineStr">
        <is>
          <t>A 54835-2023</t>
        </is>
      </c>
      <c r="B70" s="1" t="n">
        <v>45236</v>
      </c>
      <c r="C70" s="1" t="n">
        <v>46100</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20295-2025</t>
        </is>
      </c>
      <c r="B71" s="1" t="n">
        <v>45774.74846064814</v>
      </c>
      <c r="C71" s="1" t="n">
        <v>46100</v>
      </c>
      <c r="D71" t="inlineStr">
        <is>
          <t>ÖSTERGÖTLANDS LÄN</t>
        </is>
      </c>
      <c r="E71" t="inlineStr">
        <is>
          <t>LINKÖPING</t>
        </is>
      </c>
      <c r="G71" t="n">
        <v>3</v>
      </c>
      <c r="H71" t="n">
        <v>0</v>
      </c>
      <c r="I71" t="n">
        <v>0</v>
      </c>
      <c r="J71" t="n">
        <v>1</v>
      </c>
      <c r="K71" t="n">
        <v>0</v>
      </c>
      <c r="L71" t="n">
        <v>0</v>
      </c>
      <c r="M71" t="n">
        <v>0</v>
      </c>
      <c r="N71" t="n">
        <v>0</v>
      </c>
      <c r="O71" t="n">
        <v>1</v>
      </c>
      <c r="P71" t="n">
        <v>0</v>
      </c>
      <c r="Q71" t="n">
        <v>1</v>
      </c>
      <c r="R71" s="2" t="inlineStr">
        <is>
          <t>Tallticka</t>
        </is>
      </c>
      <c r="S71">
        <f>HYPERLINK("https://klasma.github.io/Logging_0580/artfynd/A 20295-2025 artfynd.xlsx", "A 20295-2025")</f>
        <v/>
      </c>
      <c r="T71">
        <f>HYPERLINK("https://klasma.github.io/Logging_0580/kartor/A 20295-2025 karta.png", "A 20295-2025")</f>
        <v/>
      </c>
      <c r="V71">
        <f>HYPERLINK("https://klasma.github.io/Logging_0580/klagomål/A 20295-2025 FSC-klagomål.docx", "A 20295-2025")</f>
        <v/>
      </c>
      <c r="W71">
        <f>HYPERLINK("https://klasma.github.io/Logging_0580/klagomålsmail/A 20295-2025 FSC-klagomål mail.docx", "A 20295-2025")</f>
        <v/>
      </c>
      <c r="X71">
        <f>HYPERLINK("https://klasma.github.io/Logging_0580/tillsyn/A 20295-2025 tillsynsbegäran.docx", "A 20295-2025")</f>
        <v/>
      </c>
      <c r="Y71">
        <f>HYPERLINK("https://klasma.github.io/Logging_0580/tillsynsmail/A 20295-2025 tillsynsbegäran mail.docx", "A 20295-2025")</f>
        <v/>
      </c>
    </row>
    <row r="72" ht="15" customHeight="1">
      <c r="A72" t="inlineStr">
        <is>
          <t>A 60573-2021</t>
        </is>
      </c>
      <c r="B72" s="1" t="n">
        <v>44496</v>
      </c>
      <c r="C72" s="1" t="n">
        <v>46100</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126-2024</t>
        </is>
      </c>
      <c r="B73" s="1" t="n">
        <v>45294</v>
      </c>
      <c r="C73" s="1" t="n">
        <v>46100</v>
      </c>
      <c r="D73" t="inlineStr">
        <is>
          <t>ÖSTERGÖTLANDS LÄN</t>
        </is>
      </c>
      <c r="E73" t="inlineStr">
        <is>
          <t>LINKÖPING</t>
        </is>
      </c>
      <c r="G73" t="n">
        <v>1</v>
      </c>
      <c r="H73" t="n">
        <v>0</v>
      </c>
      <c r="I73" t="n">
        <v>1</v>
      </c>
      <c r="J73" t="n">
        <v>0</v>
      </c>
      <c r="K73" t="n">
        <v>0</v>
      </c>
      <c r="L73" t="n">
        <v>0</v>
      </c>
      <c r="M73" t="n">
        <v>0</v>
      </c>
      <c r="N73" t="n">
        <v>0</v>
      </c>
      <c r="O73" t="n">
        <v>0</v>
      </c>
      <c r="P73" t="n">
        <v>0</v>
      </c>
      <c r="Q73" t="n">
        <v>1</v>
      </c>
      <c r="R73" s="2" t="inlineStr">
        <is>
          <t>Blåmossa</t>
        </is>
      </c>
      <c r="S73">
        <f>HYPERLINK("https://klasma.github.io/Logging_0580/artfynd/A 126-2024 artfynd.xlsx", "A 126-2024")</f>
        <v/>
      </c>
      <c r="T73">
        <f>HYPERLINK("https://klasma.github.io/Logging_0580/kartor/A 126-2024 karta.png", "A 126-2024")</f>
        <v/>
      </c>
      <c r="V73">
        <f>HYPERLINK("https://klasma.github.io/Logging_0580/klagomål/A 126-2024 FSC-klagomål.docx", "A 126-2024")</f>
        <v/>
      </c>
      <c r="W73">
        <f>HYPERLINK("https://klasma.github.io/Logging_0580/klagomålsmail/A 126-2024 FSC-klagomål mail.docx", "A 126-2024")</f>
        <v/>
      </c>
      <c r="X73">
        <f>HYPERLINK("https://klasma.github.io/Logging_0580/tillsyn/A 126-2024 tillsynsbegäran.docx", "A 126-2024")</f>
        <v/>
      </c>
      <c r="Y73">
        <f>HYPERLINK("https://klasma.github.io/Logging_0580/tillsynsmail/A 126-2024 tillsynsbegäran mail.docx", "A 126-2024")</f>
        <v/>
      </c>
    </row>
    <row r="74" ht="15" customHeight="1">
      <c r="A74" t="inlineStr">
        <is>
          <t>A 41749-2023</t>
        </is>
      </c>
      <c r="B74" s="1" t="n">
        <v>45176</v>
      </c>
      <c r="C74" s="1" t="n">
        <v>46100</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41749-2023 artfynd.xlsx", "A 41749-2023")</f>
        <v/>
      </c>
      <c r="T74">
        <f>HYPERLINK("https://klasma.github.io/Logging_0580/kartor/A 41749-2023 karta.png", "A 41749-2023")</f>
        <v/>
      </c>
      <c r="V74">
        <f>HYPERLINK("https://klasma.github.io/Logging_0580/klagomål/A 41749-2023 FSC-klagomål.docx", "A 41749-2023")</f>
        <v/>
      </c>
      <c r="W74">
        <f>HYPERLINK("https://klasma.github.io/Logging_0580/klagomålsmail/A 41749-2023 FSC-klagomål mail.docx", "A 41749-2023")</f>
        <v/>
      </c>
      <c r="X74">
        <f>HYPERLINK("https://klasma.github.io/Logging_0580/tillsyn/A 41749-2023 tillsynsbegäran.docx", "A 41749-2023")</f>
        <v/>
      </c>
      <c r="Y74">
        <f>HYPERLINK("https://klasma.github.io/Logging_0580/tillsynsmail/A 41749-2023 tillsynsbegäran mail.docx", "A 41749-2023")</f>
        <v/>
      </c>
    </row>
    <row r="75" ht="15" customHeight="1">
      <c r="A75" t="inlineStr">
        <is>
          <t>A 37683-2024</t>
        </is>
      </c>
      <c r="B75" s="1" t="n">
        <v>45541.59120370371</v>
      </c>
      <c r="C75" s="1" t="n">
        <v>46100</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56651-2023</t>
        </is>
      </c>
      <c r="B76" s="1" t="n">
        <v>45243</v>
      </c>
      <c r="C76" s="1" t="n">
        <v>46100</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17444-2025</t>
        </is>
      </c>
      <c r="B77" s="1" t="n">
        <v>45757.43452546297</v>
      </c>
      <c r="C77" s="1" t="n">
        <v>46100</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5911-2022</t>
        </is>
      </c>
      <c r="B78" s="1" t="n">
        <v>44597</v>
      </c>
      <c r="C78" s="1" t="n">
        <v>46100</v>
      </c>
      <c r="D78" t="inlineStr">
        <is>
          <t>ÖSTERGÖTLANDS LÄN</t>
        </is>
      </c>
      <c r="E78" t="inlineStr">
        <is>
          <t>LINKÖPING</t>
        </is>
      </c>
      <c r="G78" t="n">
        <v>3.5</v>
      </c>
      <c r="H78" t="n">
        <v>0</v>
      </c>
      <c r="I78" t="n">
        <v>0</v>
      </c>
      <c r="J78" t="n">
        <v>1</v>
      </c>
      <c r="K78" t="n">
        <v>0</v>
      </c>
      <c r="L78" t="n">
        <v>0</v>
      </c>
      <c r="M78" t="n">
        <v>0</v>
      </c>
      <c r="N78" t="n">
        <v>0</v>
      </c>
      <c r="O78" t="n">
        <v>1</v>
      </c>
      <c r="P78" t="n">
        <v>0</v>
      </c>
      <c r="Q78" t="n">
        <v>1</v>
      </c>
      <c r="R78" s="2" t="inlineStr">
        <is>
          <t>Spindelört</t>
        </is>
      </c>
      <c r="S78">
        <f>HYPERLINK("https://klasma.github.io/Logging_0580/artfynd/A 5911-2022 artfynd.xlsx", "A 5911-2022")</f>
        <v/>
      </c>
      <c r="T78">
        <f>HYPERLINK("https://klasma.github.io/Logging_0580/kartor/A 5911-2022 karta.png", "A 5911-2022")</f>
        <v/>
      </c>
      <c r="V78">
        <f>HYPERLINK("https://klasma.github.io/Logging_0580/klagomål/A 5911-2022 FSC-klagomål.docx", "A 5911-2022")</f>
        <v/>
      </c>
      <c r="W78">
        <f>HYPERLINK("https://klasma.github.io/Logging_0580/klagomålsmail/A 5911-2022 FSC-klagomål mail.docx", "A 5911-2022")</f>
        <v/>
      </c>
      <c r="X78">
        <f>HYPERLINK("https://klasma.github.io/Logging_0580/tillsyn/A 5911-2022 tillsynsbegäran.docx", "A 5911-2022")</f>
        <v/>
      </c>
      <c r="Y78">
        <f>HYPERLINK("https://klasma.github.io/Logging_0580/tillsynsmail/A 5911-2022 tillsynsbegäran mail.docx", "A 5911-2022")</f>
        <v/>
      </c>
    </row>
    <row r="79" ht="15" customHeight="1">
      <c r="A79" t="inlineStr">
        <is>
          <t>A 43989-2025</t>
        </is>
      </c>
      <c r="B79" s="1" t="n">
        <v>45915.44128472222</v>
      </c>
      <c r="C79" s="1" t="n">
        <v>46100</v>
      </c>
      <c r="D79" t="inlineStr">
        <is>
          <t>ÖSTERGÖTLANDS LÄN</t>
        </is>
      </c>
      <c r="E79" t="inlineStr">
        <is>
          <t>LINKÖPING</t>
        </is>
      </c>
      <c r="F79" t="inlineStr">
        <is>
          <t>Allmännings- och besparingsskogar</t>
        </is>
      </c>
      <c r="G79" t="n">
        <v>3.5</v>
      </c>
      <c r="H79" t="n">
        <v>0</v>
      </c>
      <c r="I79" t="n">
        <v>0</v>
      </c>
      <c r="J79" t="n">
        <v>1</v>
      </c>
      <c r="K79" t="n">
        <v>0</v>
      </c>
      <c r="L79" t="n">
        <v>0</v>
      </c>
      <c r="M79" t="n">
        <v>0</v>
      </c>
      <c r="N79" t="n">
        <v>0</v>
      </c>
      <c r="O79" t="n">
        <v>1</v>
      </c>
      <c r="P79" t="n">
        <v>0</v>
      </c>
      <c r="Q79" t="n">
        <v>1</v>
      </c>
      <c r="R79" s="2" t="inlineStr">
        <is>
          <t>Kavelhirs</t>
        </is>
      </c>
      <c r="S79">
        <f>HYPERLINK("https://klasma.github.io/Logging_0580/artfynd/A 43989-2025 artfynd.xlsx", "A 43989-2025")</f>
        <v/>
      </c>
      <c r="T79">
        <f>HYPERLINK("https://klasma.github.io/Logging_0580/kartor/A 43989-2025 karta.png", "A 43989-2025")</f>
        <v/>
      </c>
      <c r="V79">
        <f>HYPERLINK("https://klasma.github.io/Logging_0580/klagomål/A 43989-2025 FSC-klagomål.docx", "A 43989-2025")</f>
        <v/>
      </c>
      <c r="W79">
        <f>HYPERLINK("https://klasma.github.io/Logging_0580/klagomålsmail/A 43989-2025 FSC-klagomål mail.docx", "A 43989-2025")</f>
        <v/>
      </c>
      <c r="X79">
        <f>HYPERLINK("https://klasma.github.io/Logging_0580/tillsyn/A 43989-2025 tillsynsbegäran.docx", "A 43989-2025")</f>
        <v/>
      </c>
      <c r="Y79">
        <f>HYPERLINK("https://klasma.github.io/Logging_0580/tillsynsmail/A 43989-2025 tillsynsbegäran mail.docx", "A 43989-2025")</f>
        <v/>
      </c>
    </row>
    <row r="80" ht="15" customHeight="1">
      <c r="A80" t="inlineStr">
        <is>
          <t>A 27403-2025</t>
        </is>
      </c>
      <c r="B80" s="1" t="n">
        <v>45812.72518518518</v>
      </c>
      <c r="C80" s="1" t="n">
        <v>46100</v>
      </c>
      <c r="D80" t="inlineStr">
        <is>
          <t>ÖSTERGÖTLANDS LÄN</t>
        </is>
      </c>
      <c r="E80" t="inlineStr">
        <is>
          <t>LINKÖPING</t>
        </is>
      </c>
      <c r="G80" t="n">
        <v>1.4</v>
      </c>
      <c r="H80" t="n">
        <v>0</v>
      </c>
      <c r="I80" t="n">
        <v>0</v>
      </c>
      <c r="J80" t="n">
        <v>1</v>
      </c>
      <c r="K80" t="n">
        <v>0</v>
      </c>
      <c r="L80" t="n">
        <v>0</v>
      </c>
      <c r="M80" t="n">
        <v>0</v>
      </c>
      <c r="N80" t="n">
        <v>0</v>
      </c>
      <c r="O80" t="n">
        <v>1</v>
      </c>
      <c r="P80" t="n">
        <v>0</v>
      </c>
      <c r="Q80" t="n">
        <v>1</v>
      </c>
      <c r="R80" s="2" t="inlineStr">
        <is>
          <t>Tallticka</t>
        </is>
      </c>
      <c r="S80">
        <f>HYPERLINK("https://klasma.github.io/Logging_0580/artfynd/A 27403-2025 artfynd.xlsx", "A 27403-2025")</f>
        <v/>
      </c>
      <c r="T80">
        <f>HYPERLINK("https://klasma.github.io/Logging_0580/kartor/A 27403-2025 karta.png", "A 27403-2025")</f>
        <v/>
      </c>
      <c r="V80">
        <f>HYPERLINK("https://klasma.github.io/Logging_0580/klagomål/A 27403-2025 FSC-klagomål.docx", "A 27403-2025")</f>
        <v/>
      </c>
      <c r="W80">
        <f>HYPERLINK("https://klasma.github.io/Logging_0580/klagomålsmail/A 27403-2025 FSC-klagomål mail.docx", "A 27403-2025")</f>
        <v/>
      </c>
      <c r="X80">
        <f>HYPERLINK("https://klasma.github.io/Logging_0580/tillsyn/A 27403-2025 tillsynsbegäran.docx", "A 27403-2025")</f>
        <v/>
      </c>
      <c r="Y80">
        <f>HYPERLINK("https://klasma.github.io/Logging_0580/tillsynsmail/A 27403-2025 tillsynsbegäran mail.docx", "A 27403-2025")</f>
        <v/>
      </c>
    </row>
    <row r="81" ht="15" customHeight="1">
      <c r="A81" t="inlineStr">
        <is>
          <t>A 44760-2025</t>
        </is>
      </c>
      <c r="B81" s="1" t="n">
        <v>45917.71873842592</v>
      </c>
      <c r="C81" s="1" t="n">
        <v>46100</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90-2024</t>
        </is>
      </c>
      <c r="B82" s="1" t="n">
        <v>45293</v>
      </c>
      <c r="C82" s="1" t="n">
        <v>46100</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40315-2024</t>
        </is>
      </c>
      <c r="B83" s="1" t="n">
        <v>45554.7571875</v>
      </c>
      <c r="C83" s="1" t="n">
        <v>46100</v>
      </c>
      <c r="D83" t="inlineStr">
        <is>
          <t>ÖSTERGÖTLANDS LÄN</t>
        </is>
      </c>
      <c r="E83" t="inlineStr">
        <is>
          <t>LINKÖPING</t>
        </is>
      </c>
      <c r="F83" t="inlineStr">
        <is>
          <t>Allmännings- och besparingsskogar</t>
        </is>
      </c>
      <c r="G83" t="n">
        <v>15.8</v>
      </c>
      <c r="H83" t="n">
        <v>0</v>
      </c>
      <c r="I83" t="n">
        <v>0</v>
      </c>
      <c r="J83" t="n">
        <v>0</v>
      </c>
      <c r="K83" t="n">
        <v>0</v>
      </c>
      <c r="L83" t="n">
        <v>0</v>
      </c>
      <c r="M83" t="n">
        <v>1</v>
      </c>
      <c r="N83" t="n">
        <v>0</v>
      </c>
      <c r="O83" t="n">
        <v>1</v>
      </c>
      <c r="P83" t="n">
        <v>1</v>
      </c>
      <c r="Q83" t="n">
        <v>1</v>
      </c>
      <c r="R83" s="2" t="inlineStr">
        <is>
          <t>Skogsalm</t>
        </is>
      </c>
      <c r="S83">
        <f>HYPERLINK("https://klasma.github.io/Logging_0580/artfynd/A 40315-2024 artfynd.xlsx", "A 40315-2024")</f>
        <v/>
      </c>
      <c r="T83">
        <f>HYPERLINK("https://klasma.github.io/Logging_0580/kartor/A 40315-2024 karta.png", "A 40315-2024")</f>
        <v/>
      </c>
      <c r="V83">
        <f>HYPERLINK("https://klasma.github.io/Logging_0580/klagomål/A 40315-2024 FSC-klagomål.docx", "A 40315-2024")</f>
        <v/>
      </c>
      <c r="W83">
        <f>HYPERLINK("https://klasma.github.io/Logging_0580/klagomålsmail/A 40315-2024 FSC-klagomål mail.docx", "A 40315-2024")</f>
        <v/>
      </c>
      <c r="X83">
        <f>HYPERLINK("https://klasma.github.io/Logging_0580/tillsyn/A 40315-2024 tillsynsbegäran.docx", "A 40315-2024")</f>
        <v/>
      </c>
      <c r="Y83">
        <f>HYPERLINK("https://klasma.github.io/Logging_0580/tillsynsmail/A 40315-2024 tillsynsbegäran mail.docx", "A 40315-2024")</f>
        <v/>
      </c>
    </row>
    <row r="84" ht="15" customHeight="1">
      <c r="A84" t="inlineStr">
        <is>
          <t>A 29393-2025</t>
        </is>
      </c>
      <c r="B84" s="1" t="n">
        <v>45824.6057175926</v>
      </c>
      <c r="C84" s="1" t="n">
        <v>46100</v>
      </c>
      <c r="D84" t="inlineStr">
        <is>
          <t>ÖSTERGÖTLANDS LÄN</t>
        </is>
      </c>
      <c r="E84" t="inlineStr">
        <is>
          <t>LINKÖPING</t>
        </is>
      </c>
      <c r="F84" t="inlineStr">
        <is>
          <t>Sveaskog</t>
        </is>
      </c>
      <c r="G84" t="n">
        <v>24.6</v>
      </c>
      <c r="H84" t="n">
        <v>1</v>
      </c>
      <c r="I84" t="n">
        <v>0</v>
      </c>
      <c r="J84" t="n">
        <v>0</v>
      </c>
      <c r="K84" t="n">
        <v>1</v>
      </c>
      <c r="L84" t="n">
        <v>0</v>
      </c>
      <c r="M84" t="n">
        <v>0</v>
      </c>
      <c r="N84" t="n">
        <v>0</v>
      </c>
      <c r="O84" t="n">
        <v>1</v>
      </c>
      <c r="P84" t="n">
        <v>1</v>
      </c>
      <c r="Q84" t="n">
        <v>1</v>
      </c>
      <c r="R84" s="2" t="inlineStr">
        <is>
          <t>Skogsgås</t>
        </is>
      </c>
      <c r="S84">
        <f>HYPERLINK("https://klasma.github.io/Logging_0580/artfynd/A 29393-2025 artfynd.xlsx", "A 29393-2025")</f>
        <v/>
      </c>
      <c r="T84">
        <f>HYPERLINK("https://klasma.github.io/Logging_0580/kartor/A 29393-2025 karta.png", "A 29393-2025")</f>
        <v/>
      </c>
      <c r="V84">
        <f>HYPERLINK("https://klasma.github.io/Logging_0580/klagomål/A 29393-2025 FSC-klagomål.docx", "A 29393-2025")</f>
        <v/>
      </c>
      <c r="W84">
        <f>HYPERLINK("https://klasma.github.io/Logging_0580/klagomålsmail/A 29393-2025 FSC-klagomål mail.docx", "A 29393-2025")</f>
        <v/>
      </c>
      <c r="X84">
        <f>HYPERLINK("https://klasma.github.io/Logging_0580/tillsyn/A 29393-2025 tillsynsbegäran.docx", "A 29393-2025")</f>
        <v/>
      </c>
      <c r="Y84">
        <f>HYPERLINK("https://klasma.github.io/Logging_0580/tillsynsmail/A 29393-2025 tillsynsbegäran mail.docx", "A 29393-2025")</f>
        <v/>
      </c>
      <c r="Z84">
        <f>HYPERLINK("https://klasma.github.io/Logging_0580/fåglar/A 29393-2025 prioriterade fågelarter.docx", "A 29393-2025")</f>
        <v/>
      </c>
    </row>
    <row r="85" ht="15" customHeight="1">
      <c r="A85" t="inlineStr">
        <is>
          <t>A 48347-2025</t>
        </is>
      </c>
      <c r="B85" s="1" t="n">
        <v>45932</v>
      </c>
      <c r="C85" s="1" t="n">
        <v>46100</v>
      </c>
      <c r="D85" t="inlineStr">
        <is>
          <t>ÖSTERGÖTLANDS LÄN</t>
        </is>
      </c>
      <c r="E85" t="inlineStr">
        <is>
          <t>LINKÖPING</t>
        </is>
      </c>
      <c r="F85" t="inlineStr">
        <is>
          <t>Övriga Aktiebolag</t>
        </is>
      </c>
      <c r="G85" t="n">
        <v>0.9</v>
      </c>
      <c r="H85" t="n">
        <v>0</v>
      </c>
      <c r="I85" t="n">
        <v>0</v>
      </c>
      <c r="J85" t="n">
        <v>1</v>
      </c>
      <c r="K85" t="n">
        <v>0</v>
      </c>
      <c r="L85" t="n">
        <v>0</v>
      </c>
      <c r="M85" t="n">
        <v>0</v>
      </c>
      <c r="N85" t="n">
        <v>0</v>
      </c>
      <c r="O85" t="n">
        <v>1</v>
      </c>
      <c r="P85" t="n">
        <v>0</v>
      </c>
      <c r="Q85" t="n">
        <v>1</v>
      </c>
      <c r="R85" s="2" t="inlineStr">
        <is>
          <t>Igelkott</t>
        </is>
      </c>
      <c r="S85">
        <f>HYPERLINK("https://klasma.github.io/Logging_0580/artfynd/A 48347-2025 artfynd.xlsx", "A 48347-2025")</f>
        <v/>
      </c>
      <c r="T85">
        <f>HYPERLINK("https://klasma.github.io/Logging_0580/kartor/A 48347-2025 karta.png", "A 48347-2025")</f>
        <v/>
      </c>
      <c r="V85">
        <f>HYPERLINK("https://klasma.github.io/Logging_0580/klagomål/A 48347-2025 FSC-klagomål.docx", "A 48347-2025")</f>
        <v/>
      </c>
      <c r="W85">
        <f>HYPERLINK("https://klasma.github.io/Logging_0580/klagomålsmail/A 48347-2025 FSC-klagomål mail.docx", "A 48347-2025")</f>
        <v/>
      </c>
      <c r="X85">
        <f>HYPERLINK("https://klasma.github.io/Logging_0580/tillsyn/A 48347-2025 tillsynsbegäran.docx", "A 48347-2025")</f>
        <v/>
      </c>
      <c r="Y85">
        <f>HYPERLINK("https://klasma.github.io/Logging_0580/tillsynsmail/A 48347-2025 tillsynsbegäran mail.docx", "A 48347-2025")</f>
        <v/>
      </c>
    </row>
    <row r="86" ht="15" customHeight="1">
      <c r="A86" t="inlineStr">
        <is>
          <t>A 48353-2025</t>
        </is>
      </c>
      <c r="B86" s="1" t="n">
        <v>45932</v>
      </c>
      <c r="C86" s="1" t="n">
        <v>46100</v>
      </c>
      <c r="D86" t="inlineStr">
        <is>
          <t>ÖSTERGÖTLANDS LÄN</t>
        </is>
      </c>
      <c r="E86" t="inlineStr">
        <is>
          <t>LINKÖPING</t>
        </is>
      </c>
      <c r="F86" t="inlineStr">
        <is>
          <t>Övriga Aktiebolag</t>
        </is>
      </c>
      <c r="G86" t="n">
        <v>4.5</v>
      </c>
      <c r="H86" t="n">
        <v>1</v>
      </c>
      <c r="I86" t="n">
        <v>0</v>
      </c>
      <c r="J86" t="n">
        <v>1</v>
      </c>
      <c r="K86" t="n">
        <v>0</v>
      </c>
      <c r="L86" t="n">
        <v>0</v>
      </c>
      <c r="M86" t="n">
        <v>0</v>
      </c>
      <c r="N86" t="n">
        <v>0</v>
      </c>
      <c r="O86" t="n">
        <v>1</v>
      </c>
      <c r="P86" t="n">
        <v>0</v>
      </c>
      <c r="Q86" t="n">
        <v>1</v>
      </c>
      <c r="R86" s="2" t="inlineStr">
        <is>
          <t>Entita</t>
        </is>
      </c>
      <c r="S86">
        <f>HYPERLINK("https://klasma.github.io/Logging_0580/artfynd/A 48353-2025 artfynd.xlsx", "A 48353-2025")</f>
        <v/>
      </c>
      <c r="T86">
        <f>HYPERLINK("https://klasma.github.io/Logging_0580/kartor/A 48353-2025 karta.png", "A 48353-2025")</f>
        <v/>
      </c>
      <c r="V86">
        <f>HYPERLINK("https://klasma.github.io/Logging_0580/klagomål/A 48353-2025 FSC-klagomål.docx", "A 48353-2025")</f>
        <v/>
      </c>
      <c r="W86">
        <f>HYPERLINK("https://klasma.github.io/Logging_0580/klagomålsmail/A 48353-2025 FSC-klagomål mail.docx", "A 48353-2025")</f>
        <v/>
      </c>
      <c r="X86">
        <f>HYPERLINK("https://klasma.github.io/Logging_0580/tillsyn/A 48353-2025 tillsynsbegäran.docx", "A 48353-2025")</f>
        <v/>
      </c>
      <c r="Y86">
        <f>HYPERLINK("https://klasma.github.io/Logging_0580/tillsynsmail/A 48353-2025 tillsynsbegäran mail.docx", "A 48353-2025")</f>
        <v/>
      </c>
      <c r="Z86">
        <f>HYPERLINK("https://klasma.github.io/Logging_0580/fåglar/A 48353-2025 prioriterade fågelarter.docx", "A 48353-2025")</f>
        <v/>
      </c>
    </row>
    <row r="87" ht="15" customHeight="1">
      <c r="A87" t="inlineStr">
        <is>
          <t>A 48273-2025</t>
        </is>
      </c>
      <c r="B87" s="1" t="n">
        <v>45932</v>
      </c>
      <c r="C87" s="1" t="n">
        <v>46100</v>
      </c>
      <c r="D87" t="inlineStr">
        <is>
          <t>ÖSTERGÖTLANDS LÄN</t>
        </is>
      </c>
      <c r="E87" t="inlineStr">
        <is>
          <t>LINKÖPING</t>
        </is>
      </c>
      <c r="F87" t="inlineStr">
        <is>
          <t>Övriga Aktiebolag</t>
        </is>
      </c>
      <c r="G87" t="n">
        <v>4.6</v>
      </c>
      <c r="H87" t="n">
        <v>0</v>
      </c>
      <c r="I87" t="n">
        <v>0</v>
      </c>
      <c r="J87" t="n">
        <v>1</v>
      </c>
      <c r="K87" t="n">
        <v>0</v>
      </c>
      <c r="L87" t="n">
        <v>0</v>
      </c>
      <c r="M87" t="n">
        <v>0</v>
      </c>
      <c r="N87" t="n">
        <v>0</v>
      </c>
      <c r="O87" t="n">
        <v>1</v>
      </c>
      <c r="P87" t="n">
        <v>0</v>
      </c>
      <c r="Q87" t="n">
        <v>1</v>
      </c>
      <c r="R87" s="2" t="inlineStr">
        <is>
          <t>Barrviolspindling</t>
        </is>
      </c>
      <c r="S87">
        <f>HYPERLINK("https://klasma.github.io/Logging_0580/artfynd/A 48273-2025 artfynd.xlsx", "A 48273-2025")</f>
        <v/>
      </c>
      <c r="T87">
        <f>HYPERLINK("https://klasma.github.io/Logging_0580/kartor/A 48273-2025 karta.png", "A 48273-2025")</f>
        <v/>
      </c>
      <c r="V87">
        <f>HYPERLINK("https://klasma.github.io/Logging_0580/klagomål/A 48273-2025 FSC-klagomål.docx", "A 48273-2025")</f>
        <v/>
      </c>
      <c r="W87">
        <f>HYPERLINK("https://klasma.github.io/Logging_0580/klagomålsmail/A 48273-2025 FSC-klagomål mail.docx", "A 48273-2025")</f>
        <v/>
      </c>
      <c r="X87">
        <f>HYPERLINK("https://klasma.github.io/Logging_0580/tillsyn/A 48273-2025 tillsynsbegäran.docx", "A 48273-2025")</f>
        <v/>
      </c>
      <c r="Y87">
        <f>HYPERLINK("https://klasma.github.io/Logging_0580/tillsynsmail/A 48273-2025 tillsynsbegäran mail.docx", "A 48273-2025")</f>
        <v/>
      </c>
    </row>
    <row r="88" ht="15" customHeight="1">
      <c r="A88" t="inlineStr">
        <is>
          <t>A 48298-2025</t>
        </is>
      </c>
      <c r="B88" s="1" t="n">
        <v>45932</v>
      </c>
      <c r="C88" s="1" t="n">
        <v>46100</v>
      </c>
      <c r="D88" t="inlineStr">
        <is>
          <t>ÖSTERGÖTLANDS LÄN</t>
        </is>
      </c>
      <c r="E88" t="inlineStr">
        <is>
          <t>LINKÖPING</t>
        </is>
      </c>
      <c r="F88" t="inlineStr">
        <is>
          <t>Övriga Aktiebolag</t>
        </is>
      </c>
      <c r="G88" t="n">
        <v>1.7</v>
      </c>
      <c r="H88" t="n">
        <v>0</v>
      </c>
      <c r="I88" t="n">
        <v>1</v>
      </c>
      <c r="J88" t="n">
        <v>0</v>
      </c>
      <c r="K88" t="n">
        <v>0</v>
      </c>
      <c r="L88" t="n">
        <v>0</v>
      </c>
      <c r="M88" t="n">
        <v>0</v>
      </c>
      <c r="N88" t="n">
        <v>0</v>
      </c>
      <c r="O88" t="n">
        <v>0</v>
      </c>
      <c r="P88" t="n">
        <v>0</v>
      </c>
      <c r="Q88" t="n">
        <v>1</v>
      </c>
      <c r="R88" s="2" t="inlineStr">
        <is>
          <t>Västlig hakmossa</t>
        </is>
      </c>
      <c r="S88">
        <f>HYPERLINK("https://klasma.github.io/Logging_0580/artfynd/A 48298-2025 artfynd.xlsx", "A 48298-2025")</f>
        <v/>
      </c>
      <c r="T88">
        <f>HYPERLINK("https://klasma.github.io/Logging_0580/kartor/A 48298-2025 karta.png", "A 48298-2025")</f>
        <v/>
      </c>
      <c r="V88">
        <f>HYPERLINK("https://klasma.github.io/Logging_0580/klagomål/A 48298-2025 FSC-klagomål.docx", "A 48298-2025")</f>
        <v/>
      </c>
      <c r="W88">
        <f>HYPERLINK("https://klasma.github.io/Logging_0580/klagomålsmail/A 48298-2025 FSC-klagomål mail.docx", "A 48298-2025")</f>
        <v/>
      </c>
      <c r="X88">
        <f>HYPERLINK("https://klasma.github.io/Logging_0580/tillsyn/A 48298-2025 tillsynsbegäran.docx", "A 48298-2025")</f>
        <v/>
      </c>
      <c r="Y88">
        <f>HYPERLINK("https://klasma.github.io/Logging_0580/tillsynsmail/A 48298-2025 tillsynsbegäran mail.docx", "A 48298-2025")</f>
        <v/>
      </c>
    </row>
    <row r="89" ht="15" customHeight="1">
      <c r="A89" t="inlineStr">
        <is>
          <t>A 36723-2023</t>
        </is>
      </c>
      <c r="B89" s="1" t="n">
        <v>45153</v>
      </c>
      <c r="C89" s="1" t="n">
        <v>46100</v>
      </c>
      <c r="D89" t="inlineStr">
        <is>
          <t>ÖSTERGÖTLANDS LÄN</t>
        </is>
      </c>
      <c r="E89" t="inlineStr">
        <is>
          <t>LINKÖPING</t>
        </is>
      </c>
      <c r="F89" t="inlineStr">
        <is>
          <t>Allmännings- och besparingsskogar</t>
        </is>
      </c>
      <c r="G89" t="n">
        <v>9.9</v>
      </c>
      <c r="H89" t="n">
        <v>0</v>
      </c>
      <c r="I89" t="n">
        <v>0</v>
      </c>
      <c r="J89" t="n">
        <v>0</v>
      </c>
      <c r="K89" t="n">
        <v>1</v>
      </c>
      <c r="L89" t="n">
        <v>0</v>
      </c>
      <c r="M89" t="n">
        <v>0</v>
      </c>
      <c r="N89" t="n">
        <v>0</v>
      </c>
      <c r="O89" t="n">
        <v>1</v>
      </c>
      <c r="P89" t="n">
        <v>1</v>
      </c>
      <c r="Q89" t="n">
        <v>1</v>
      </c>
      <c r="R89" s="2" t="inlineStr">
        <is>
          <t>Bitter taggsvamp</t>
        </is>
      </c>
      <c r="S89">
        <f>HYPERLINK("https://klasma.github.io/Logging_0580/artfynd/A 36723-2023 artfynd.xlsx", "A 36723-2023")</f>
        <v/>
      </c>
      <c r="T89">
        <f>HYPERLINK("https://klasma.github.io/Logging_0580/kartor/A 36723-2023 karta.png", "A 36723-2023")</f>
        <v/>
      </c>
      <c r="V89">
        <f>HYPERLINK("https://klasma.github.io/Logging_0580/klagomål/A 36723-2023 FSC-klagomål.docx", "A 36723-2023")</f>
        <v/>
      </c>
      <c r="W89">
        <f>HYPERLINK("https://klasma.github.io/Logging_0580/klagomålsmail/A 36723-2023 FSC-klagomål mail.docx", "A 36723-2023")</f>
        <v/>
      </c>
      <c r="X89">
        <f>HYPERLINK("https://klasma.github.io/Logging_0580/tillsyn/A 36723-2023 tillsynsbegäran.docx", "A 36723-2023")</f>
        <v/>
      </c>
      <c r="Y89">
        <f>HYPERLINK("https://klasma.github.io/Logging_0580/tillsynsmail/A 36723-2023 tillsynsbegäran mail.docx", "A 36723-2023")</f>
        <v/>
      </c>
    </row>
    <row r="90" ht="15" customHeight="1">
      <c r="A90" t="inlineStr">
        <is>
          <t>A 3395-2023</t>
        </is>
      </c>
      <c r="B90" s="1" t="n">
        <v>44949</v>
      </c>
      <c r="C90" s="1" t="n">
        <v>46100</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19103-2021</t>
        </is>
      </c>
      <c r="B91" s="1" t="n">
        <v>44308</v>
      </c>
      <c r="C91" s="1" t="n">
        <v>46100</v>
      </c>
      <c r="D91" t="inlineStr">
        <is>
          <t>ÖSTERGÖTLANDS LÄN</t>
        </is>
      </c>
      <c r="E91" t="inlineStr">
        <is>
          <t>LINKÖPING</t>
        </is>
      </c>
      <c r="G91" t="n">
        <v>4.7</v>
      </c>
      <c r="H91" t="n">
        <v>0</v>
      </c>
      <c r="I91" t="n">
        <v>0</v>
      </c>
      <c r="J91" t="n">
        <v>1</v>
      </c>
      <c r="K91" t="n">
        <v>0</v>
      </c>
      <c r="L91" t="n">
        <v>0</v>
      </c>
      <c r="M91" t="n">
        <v>0</v>
      </c>
      <c r="N91" t="n">
        <v>0</v>
      </c>
      <c r="O91" t="n">
        <v>1</v>
      </c>
      <c r="P91" t="n">
        <v>0</v>
      </c>
      <c r="Q91" t="n">
        <v>1</v>
      </c>
      <c r="R91" s="2" t="inlineStr">
        <is>
          <t>Tallticka</t>
        </is>
      </c>
      <c r="S91">
        <f>HYPERLINK("https://klasma.github.io/Logging_0580/artfynd/A 19103-2021 artfynd.xlsx", "A 19103-2021")</f>
        <v/>
      </c>
      <c r="T91">
        <f>HYPERLINK("https://klasma.github.io/Logging_0580/kartor/A 19103-2021 karta.png", "A 19103-2021")</f>
        <v/>
      </c>
      <c r="V91">
        <f>HYPERLINK("https://klasma.github.io/Logging_0580/klagomål/A 19103-2021 FSC-klagomål.docx", "A 19103-2021")</f>
        <v/>
      </c>
      <c r="W91">
        <f>HYPERLINK("https://klasma.github.io/Logging_0580/klagomålsmail/A 19103-2021 FSC-klagomål mail.docx", "A 19103-2021")</f>
        <v/>
      </c>
      <c r="X91">
        <f>HYPERLINK("https://klasma.github.io/Logging_0580/tillsyn/A 19103-2021 tillsynsbegäran.docx", "A 19103-2021")</f>
        <v/>
      </c>
      <c r="Y91">
        <f>HYPERLINK("https://klasma.github.io/Logging_0580/tillsynsmail/A 19103-2021 tillsynsbegäran mail.docx", "A 19103-2021")</f>
        <v/>
      </c>
    </row>
    <row r="92" ht="15" customHeight="1">
      <c r="A92" t="inlineStr">
        <is>
          <t>A 56112-2025</t>
        </is>
      </c>
      <c r="B92" s="1" t="n">
        <v>45973.73625</v>
      </c>
      <c r="C92" s="1" t="n">
        <v>46100</v>
      </c>
      <c r="D92" t="inlineStr">
        <is>
          <t>ÖSTERGÖTLANDS LÄN</t>
        </is>
      </c>
      <c r="E92" t="inlineStr">
        <is>
          <t>LINKÖPING</t>
        </is>
      </c>
      <c r="G92" t="n">
        <v>0.6</v>
      </c>
      <c r="H92" t="n">
        <v>0</v>
      </c>
      <c r="I92" t="n">
        <v>0</v>
      </c>
      <c r="J92" t="n">
        <v>1</v>
      </c>
      <c r="K92" t="n">
        <v>0</v>
      </c>
      <c r="L92" t="n">
        <v>0</v>
      </c>
      <c r="M92" t="n">
        <v>0</v>
      </c>
      <c r="N92" t="n">
        <v>0</v>
      </c>
      <c r="O92" t="n">
        <v>1</v>
      </c>
      <c r="P92" t="n">
        <v>0</v>
      </c>
      <c r="Q92" t="n">
        <v>1</v>
      </c>
      <c r="R92" s="2" t="inlineStr">
        <is>
          <t>Solvända</t>
        </is>
      </c>
      <c r="S92">
        <f>HYPERLINK("https://klasma.github.io/Logging_0580/artfynd/A 56112-2025 artfynd.xlsx", "A 56112-2025")</f>
        <v/>
      </c>
      <c r="T92">
        <f>HYPERLINK("https://klasma.github.io/Logging_0580/kartor/A 56112-2025 karta.png", "A 56112-2025")</f>
        <v/>
      </c>
      <c r="V92">
        <f>HYPERLINK("https://klasma.github.io/Logging_0580/klagomål/A 56112-2025 FSC-klagomål.docx", "A 56112-2025")</f>
        <v/>
      </c>
      <c r="W92">
        <f>HYPERLINK("https://klasma.github.io/Logging_0580/klagomålsmail/A 56112-2025 FSC-klagomål mail.docx", "A 56112-2025")</f>
        <v/>
      </c>
      <c r="X92">
        <f>HYPERLINK("https://klasma.github.io/Logging_0580/tillsyn/A 56112-2025 tillsynsbegäran.docx", "A 56112-2025")</f>
        <v/>
      </c>
      <c r="Y92">
        <f>HYPERLINK("https://klasma.github.io/Logging_0580/tillsynsmail/A 56112-2025 tillsynsbegäran mail.docx", "A 56112-2025")</f>
        <v/>
      </c>
    </row>
    <row r="93" ht="15" customHeight="1">
      <c r="A93" t="inlineStr">
        <is>
          <t>A 50034-2025</t>
        </is>
      </c>
      <c r="B93" s="1" t="n">
        <v>45941</v>
      </c>
      <c r="C93" s="1" t="n">
        <v>46100</v>
      </c>
      <c r="D93" t="inlineStr">
        <is>
          <t>ÖSTERGÖTLANDS LÄN</t>
        </is>
      </c>
      <c r="E93" t="inlineStr">
        <is>
          <t>LINKÖPING</t>
        </is>
      </c>
      <c r="G93" t="n">
        <v>6.2</v>
      </c>
      <c r="H93" t="n">
        <v>0</v>
      </c>
      <c r="I93" t="n">
        <v>0</v>
      </c>
      <c r="J93" t="n">
        <v>0</v>
      </c>
      <c r="K93" t="n">
        <v>0</v>
      </c>
      <c r="L93" t="n">
        <v>0</v>
      </c>
      <c r="M93" t="n">
        <v>1</v>
      </c>
      <c r="N93" t="n">
        <v>0</v>
      </c>
      <c r="O93" t="n">
        <v>1</v>
      </c>
      <c r="P93" t="n">
        <v>1</v>
      </c>
      <c r="Q93" t="n">
        <v>1</v>
      </c>
      <c r="R93" s="2" t="inlineStr">
        <is>
          <t>Skogsalm</t>
        </is>
      </c>
      <c r="S93">
        <f>HYPERLINK("https://klasma.github.io/Logging_0580/artfynd/A 50034-2025 artfynd.xlsx", "A 50034-2025")</f>
        <v/>
      </c>
      <c r="T93">
        <f>HYPERLINK("https://klasma.github.io/Logging_0580/kartor/A 50034-2025 karta.png", "A 50034-2025")</f>
        <v/>
      </c>
      <c r="V93">
        <f>HYPERLINK("https://klasma.github.io/Logging_0580/klagomål/A 50034-2025 FSC-klagomål.docx", "A 50034-2025")</f>
        <v/>
      </c>
      <c r="W93">
        <f>HYPERLINK("https://klasma.github.io/Logging_0580/klagomålsmail/A 50034-2025 FSC-klagomål mail.docx", "A 50034-2025")</f>
        <v/>
      </c>
      <c r="X93">
        <f>HYPERLINK("https://klasma.github.io/Logging_0580/tillsyn/A 50034-2025 tillsynsbegäran.docx", "A 50034-2025")</f>
        <v/>
      </c>
      <c r="Y93">
        <f>HYPERLINK("https://klasma.github.io/Logging_0580/tillsynsmail/A 50034-2025 tillsynsbegäran mail.docx", "A 50034-2025")</f>
        <v/>
      </c>
    </row>
    <row r="94" ht="15" customHeight="1">
      <c r="A94" t="inlineStr">
        <is>
          <t>A 50806-2023</t>
        </is>
      </c>
      <c r="B94" s="1" t="n">
        <v>45217</v>
      </c>
      <c r="C94" s="1" t="n">
        <v>46100</v>
      </c>
      <c r="D94" t="inlineStr">
        <is>
          <t>ÖSTERGÖTLANDS LÄN</t>
        </is>
      </c>
      <c r="E94" t="inlineStr">
        <is>
          <t>LINKÖPING</t>
        </is>
      </c>
      <c r="F94" t="inlineStr">
        <is>
          <t>Övriga Aktiebolag</t>
        </is>
      </c>
      <c r="G94" t="n">
        <v>0.7</v>
      </c>
      <c r="H94" t="n">
        <v>1</v>
      </c>
      <c r="I94" t="n">
        <v>0</v>
      </c>
      <c r="J94" t="n">
        <v>0</v>
      </c>
      <c r="K94" t="n">
        <v>0</v>
      </c>
      <c r="L94" t="n">
        <v>0</v>
      </c>
      <c r="M94" t="n">
        <v>0</v>
      </c>
      <c r="N94" t="n">
        <v>0</v>
      </c>
      <c r="O94" t="n">
        <v>0</v>
      </c>
      <c r="P94" t="n">
        <v>0</v>
      </c>
      <c r="Q94" t="n">
        <v>1</v>
      </c>
      <c r="R94" s="2" t="inlineStr">
        <is>
          <t>Gullviva</t>
        </is>
      </c>
      <c r="S94">
        <f>HYPERLINK("https://klasma.github.io/Logging_0580/artfynd/A 50806-2023 artfynd.xlsx", "A 50806-2023")</f>
        <v/>
      </c>
      <c r="T94">
        <f>HYPERLINK("https://klasma.github.io/Logging_0580/kartor/A 50806-2023 karta.png", "A 50806-2023")</f>
        <v/>
      </c>
      <c r="V94">
        <f>HYPERLINK("https://klasma.github.io/Logging_0580/klagomål/A 50806-2023 FSC-klagomål.docx", "A 50806-2023")</f>
        <v/>
      </c>
      <c r="W94">
        <f>HYPERLINK("https://klasma.github.io/Logging_0580/klagomålsmail/A 50806-2023 FSC-klagomål mail.docx", "A 50806-2023")</f>
        <v/>
      </c>
      <c r="X94">
        <f>HYPERLINK("https://klasma.github.io/Logging_0580/tillsyn/A 50806-2023 tillsynsbegäran.docx", "A 50806-2023")</f>
        <v/>
      </c>
      <c r="Y94">
        <f>HYPERLINK("https://klasma.github.io/Logging_0580/tillsynsmail/A 50806-2023 tillsynsbegäran mail.docx", "A 50806-2023")</f>
        <v/>
      </c>
    </row>
    <row r="95" ht="15" customHeight="1">
      <c r="A95" t="inlineStr">
        <is>
          <t>A 59474-2025</t>
        </is>
      </c>
      <c r="B95" s="1" t="n">
        <v>45989.58512731481</v>
      </c>
      <c r="C95" s="1" t="n">
        <v>46100</v>
      </c>
      <c r="D95" t="inlineStr">
        <is>
          <t>ÖSTERGÖTLANDS LÄN</t>
        </is>
      </c>
      <c r="E95" t="inlineStr">
        <is>
          <t>LINKÖPING</t>
        </is>
      </c>
      <c r="G95" t="n">
        <v>8</v>
      </c>
      <c r="H95" t="n">
        <v>0</v>
      </c>
      <c r="I95" t="n">
        <v>1</v>
      </c>
      <c r="J95" t="n">
        <v>0</v>
      </c>
      <c r="K95" t="n">
        <v>0</v>
      </c>
      <c r="L95" t="n">
        <v>0</v>
      </c>
      <c r="M95" t="n">
        <v>0</v>
      </c>
      <c r="N95" t="n">
        <v>0</v>
      </c>
      <c r="O95" t="n">
        <v>0</v>
      </c>
      <c r="P95" t="n">
        <v>0</v>
      </c>
      <c r="Q95" t="n">
        <v>1</v>
      </c>
      <c r="R95" s="2" t="inlineStr">
        <is>
          <t>Fällmossa</t>
        </is>
      </c>
      <c r="S95">
        <f>HYPERLINK("https://klasma.github.io/Logging_0580/artfynd/A 59474-2025 artfynd.xlsx", "A 59474-2025")</f>
        <v/>
      </c>
      <c r="T95">
        <f>HYPERLINK("https://klasma.github.io/Logging_0580/kartor/A 59474-2025 karta.png", "A 59474-2025")</f>
        <v/>
      </c>
      <c r="V95">
        <f>HYPERLINK("https://klasma.github.io/Logging_0580/klagomål/A 59474-2025 FSC-klagomål.docx", "A 59474-2025")</f>
        <v/>
      </c>
      <c r="W95">
        <f>HYPERLINK("https://klasma.github.io/Logging_0580/klagomålsmail/A 59474-2025 FSC-klagomål mail.docx", "A 59474-2025")</f>
        <v/>
      </c>
      <c r="X95">
        <f>HYPERLINK("https://klasma.github.io/Logging_0580/tillsyn/A 59474-2025 tillsynsbegäran.docx", "A 59474-2025")</f>
        <v/>
      </c>
      <c r="Y95">
        <f>HYPERLINK("https://klasma.github.io/Logging_0580/tillsynsmail/A 59474-2025 tillsynsbegäran mail.docx", "A 59474-2025")</f>
        <v/>
      </c>
    </row>
    <row r="96" ht="15" customHeight="1">
      <c r="A96" t="inlineStr">
        <is>
          <t>A 60311-2025</t>
        </is>
      </c>
      <c r="B96" s="1" t="n">
        <v>45994</v>
      </c>
      <c r="C96" s="1" t="n">
        <v>46100</v>
      </c>
      <c r="D96" t="inlineStr">
        <is>
          <t>ÖSTERGÖTLANDS LÄN</t>
        </is>
      </c>
      <c r="E96" t="inlineStr">
        <is>
          <t>LINKÖPING</t>
        </is>
      </c>
      <c r="G96" t="n">
        <v>1.9</v>
      </c>
      <c r="H96" t="n">
        <v>0</v>
      </c>
      <c r="I96" t="n">
        <v>0</v>
      </c>
      <c r="J96" t="n">
        <v>1</v>
      </c>
      <c r="K96" t="n">
        <v>0</v>
      </c>
      <c r="L96" t="n">
        <v>0</v>
      </c>
      <c r="M96" t="n">
        <v>0</v>
      </c>
      <c r="N96" t="n">
        <v>0</v>
      </c>
      <c r="O96" t="n">
        <v>1</v>
      </c>
      <c r="P96" t="n">
        <v>0</v>
      </c>
      <c r="Q96" t="n">
        <v>1</v>
      </c>
      <c r="R96" s="2" t="inlineStr">
        <is>
          <t>Gammelekslav</t>
        </is>
      </c>
      <c r="S96">
        <f>HYPERLINK("https://klasma.github.io/Logging_0580/artfynd/A 60311-2025 artfynd.xlsx", "A 60311-2025")</f>
        <v/>
      </c>
      <c r="T96">
        <f>HYPERLINK("https://klasma.github.io/Logging_0580/kartor/A 60311-2025 karta.png", "A 60311-2025")</f>
        <v/>
      </c>
      <c r="V96">
        <f>HYPERLINK("https://klasma.github.io/Logging_0580/klagomål/A 60311-2025 FSC-klagomål.docx", "A 60311-2025")</f>
        <v/>
      </c>
      <c r="W96">
        <f>HYPERLINK("https://klasma.github.io/Logging_0580/klagomålsmail/A 60311-2025 FSC-klagomål mail.docx", "A 60311-2025")</f>
        <v/>
      </c>
      <c r="X96">
        <f>HYPERLINK("https://klasma.github.io/Logging_0580/tillsyn/A 60311-2025 tillsynsbegäran.docx", "A 60311-2025")</f>
        <v/>
      </c>
      <c r="Y96">
        <f>HYPERLINK("https://klasma.github.io/Logging_0580/tillsynsmail/A 60311-2025 tillsynsbegäran mail.docx", "A 60311-2025")</f>
        <v/>
      </c>
    </row>
    <row r="97" ht="15" customHeight="1">
      <c r="A97" t="inlineStr">
        <is>
          <t>A 39457-2023</t>
        </is>
      </c>
      <c r="B97" s="1" t="n">
        <v>45166</v>
      </c>
      <c r="C97" s="1" t="n">
        <v>46100</v>
      </c>
      <c r="D97" t="inlineStr">
        <is>
          <t>ÖSTERGÖTLANDS LÄN</t>
        </is>
      </c>
      <c r="E97" t="inlineStr">
        <is>
          <t>LINKÖPING</t>
        </is>
      </c>
      <c r="G97" t="n">
        <v>2.1</v>
      </c>
      <c r="H97" t="n">
        <v>1</v>
      </c>
      <c r="I97" t="n">
        <v>0</v>
      </c>
      <c r="J97" t="n">
        <v>0</v>
      </c>
      <c r="K97" t="n">
        <v>0</v>
      </c>
      <c r="L97" t="n">
        <v>0</v>
      </c>
      <c r="M97" t="n">
        <v>0</v>
      </c>
      <c r="N97" t="n">
        <v>0</v>
      </c>
      <c r="O97" t="n">
        <v>0</v>
      </c>
      <c r="P97" t="n">
        <v>0</v>
      </c>
      <c r="Q97" t="n">
        <v>1</v>
      </c>
      <c r="R97" s="2" t="inlineStr">
        <is>
          <t>Sparvuggla</t>
        </is>
      </c>
      <c r="S97">
        <f>HYPERLINK("https://klasma.github.io/Logging_0580/artfynd/A 39457-2023 artfynd.xlsx", "A 39457-2023")</f>
        <v/>
      </c>
      <c r="T97">
        <f>HYPERLINK("https://klasma.github.io/Logging_0580/kartor/A 39457-2023 karta.png", "A 39457-2023")</f>
        <v/>
      </c>
      <c r="V97">
        <f>HYPERLINK("https://klasma.github.io/Logging_0580/klagomål/A 39457-2023 FSC-klagomål.docx", "A 39457-2023")</f>
        <v/>
      </c>
      <c r="W97">
        <f>HYPERLINK("https://klasma.github.io/Logging_0580/klagomålsmail/A 39457-2023 FSC-klagomål mail.docx", "A 39457-2023")</f>
        <v/>
      </c>
      <c r="X97">
        <f>HYPERLINK("https://klasma.github.io/Logging_0580/tillsyn/A 39457-2023 tillsynsbegäran.docx", "A 39457-2023")</f>
        <v/>
      </c>
      <c r="Y97">
        <f>HYPERLINK("https://klasma.github.io/Logging_0580/tillsynsmail/A 39457-2023 tillsynsbegäran mail.docx", "A 39457-2023")</f>
        <v/>
      </c>
      <c r="Z97">
        <f>HYPERLINK("https://klasma.github.io/Logging_0580/fåglar/A 39457-2023 prioriterade fågelarter.docx", "A 39457-2023")</f>
        <v/>
      </c>
    </row>
    <row r="98" ht="15" customHeight="1">
      <c r="A98" t="inlineStr">
        <is>
          <t>A 38881-2021</t>
        </is>
      </c>
      <c r="B98" s="1" t="n">
        <v>44411.46893518518</v>
      </c>
      <c r="C98" s="1" t="n">
        <v>46100</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46100</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46100</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46100</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46100</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46100</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46100</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46100</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46100</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46100</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64269-2021</t>
        </is>
      </c>
      <c r="B108" s="1" t="n">
        <v>44510</v>
      </c>
      <c r="C108" s="1" t="n">
        <v>46100</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46100</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46100</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46100</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46100</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46100</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46100</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46100</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46100</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46100</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46100</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46100</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46100</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46100</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46100</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46100</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46100</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46100</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46100</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46100</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46100</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46100</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46100</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46100</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46100</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37012-2021</t>
        </is>
      </c>
      <c r="B134" s="1" t="n">
        <v>44393</v>
      </c>
      <c r="C134" s="1" t="n">
        <v>46100</v>
      </c>
      <c r="D134" t="inlineStr">
        <is>
          <t>ÖSTERGÖTLANDS LÄN</t>
        </is>
      </c>
      <c r="E134" t="inlineStr">
        <is>
          <t>LINKÖPING</t>
        </is>
      </c>
      <c r="F134" t="inlineStr">
        <is>
          <t>Allmännings- och besparingsskogar</t>
        </is>
      </c>
      <c r="G134" t="n">
        <v>1.1</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46100</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46100</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46100</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46100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46100</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46100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46100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46100</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46100</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46100</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46100</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46100</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46100</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46100</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46100</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46100</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46100</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46100</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46100</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46100</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46100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46100</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23416-2022</t>
        </is>
      </c>
      <c r="B158" s="1" t="n">
        <v>44720.78243055556</v>
      </c>
      <c r="C158" s="1" t="n">
        <v>46100</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34486-2021</t>
        </is>
      </c>
      <c r="B159" s="1" t="n">
        <v>44382.29295138889</v>
      </c>
      <c r="C159" s="1" t="n">
        <v>46100</v>
      </c>
      <c r="D159" t="inlineStr">
        <is>
          <t>ÖSTERGÖTLANDS LÄN</t>
        </is>
      </c>
      <c r="E159" t="inlineStr">
        <is>
          <t>LINKÖPING</t>
        </is>
      </c>
      <c r="G159" t="n">
        <v>4.4</v>
      </c>
      <c r="H159" t="n">
        <v>0</v>
      </c>
      <c r="I159" t="n">
        <v>0</v>
      </c>
      <c r="J159" t="n">
        <v>0</v>
      </c>
      <c r="K159" t="n">
        <v>0</v>
      </c>
      <c r="L159" t="n">
        <v>0</v>
      </c>
      <c r="M159" t="n">
        <v>0</v>
      </c>
      <c r="N159" t="n">
        <v>0</v>
      </c>
      <c r="O159" t="n">
        <v>0</v>
      </c>
      <c r="P159" t="n">
        <v>0</v>
      </c>
      <c r="Q159" t="n">
        <v>0</v>
      </c>
      <c r="R159" s="2" t="inlineStr"/>
    </row>
    <row r="160" ht="15" customHeight="1">
      <c r="A160" t="inlineStr">
        <is>
          <t>A 5605-2022</t>
        </is>
      </c>
      <c r="B160" s="1" t="n">
        <v>44595</v>
      </c>
      <c r="C160" s="1" t="n">
        <v>46100</v>
      </c>
      <c r="D160" t="inlineStr">
        <is>
          <t>ÖSTERGÖTLANDS LÄN</t>
        </is>
      </c>
      <c r="E160" t="inlineStr">
        <is>
          <t>LINKÖPING</t>
        </is>
      </c>
      <c r="F160" t="inlineStr">
        <is>
          <t>Övriga statliga verk och myndigheter</t>
        </is>
      </c>
      <c r="G160" t="n">
        <v>3</v>
      </c>
      <c r="H160" t="n">
        <v>0</v>
      </c>
      <c r="I160" t="n">
        <v>0</v>
      </c>
      <c r="J160" t="n">
        <v>0</v>
      </c>
      <c r="K160" t="n">
        <v>0</v>
      </c>
      <c r="L160" t="n">
        <v>0</v>
      </c>
      <c r="M160" t="n">
        <v>0</v>
      </c>
      <c r="N160" t="n">
        <v>0</v>
      </c>
      <c r="O160" t="n">
        <v>0</v>
      </c>
      <c r="P160" t="n">
        <v>0</v>
      </c>
      <c r="Q160" t="n">
        <v>0</v>
      </c>
      <c r="R160" s="2" t="inlineStr"/>
    </row>
    <row r="161" ht="15" customHeight="1">
      <c r="A161" t="inlineStr">
        <is>
          <t>A 56688-2021</t>
        </is>
      </c>
      <c r="B161" s="1" t="n">
        <v>44481</v>
      </c>
      <c r="C161" s="1" t="n">
        <v>46100</v>
      </c>
      <c r="D161" t="inlineStr">
        <is>
          <t>ÖSTERGÖTLANDS LÄN</t>
        </is>
      </c>
      <c r="E161" t="inlineStr">
        <is>
          <t>LINKÖPING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46100</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46100</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27769-2022</t>
        </is>
      </c>
      <c r="B164" s="1" t="n">
        <v>44743.53200231482</v>
      </c>
      <c r="C164" s="1" t="n">
        <v>46100</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46100</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46100</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38235-2022</t>
        </is>
      </c>
      <c r="B167" s="1" t="n">
        <v>44812</v>
      </c>
      <c r="C167" s="1" t="n">
        <v>46100</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33891-2021</t>
        </is>
      </c>
      <c r="B168" s="1" t="n">
        <v>44378</v>
      </c>
      <c r="C168" s="1" t="n">
        <v>46100</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46100</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46100</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46100</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46100</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948-2022</t>
        </is>
      </c>
      <c r="B173" s="1" t="n">
        <v>44571</v>
      </c>
      <c r="C173" s="1" t="n">
        <v>46100</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3008-2023</t>
        </is>
      </c>
      <c r="B174" s="1" t="n">
        <v>44945.79784722222</v>
      </c>
      <c r="C174" s="1" t="n">
        <v>46100</v>
      </c>
      <c r="D174" t="inlineStr">
        <is>
          <t>ÖSTERGÖTLANDS LÄN</t>
        </is>
      </c>
      <c r="E174" t="inlineStr">
        <is>
          <t>LINKÖPING</t>
        </is>
      </c>
      <c r="G174" t="n">
        <v>19.3</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46100</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37014-2021</t>
        </is>
      </c>
      <c r="B176" s="1" t="n">
        <v>44393</v>
      </c>
      <c r="C176" s="1" t="n">
        <v>46100</v>
      </c>
      <c r="D176" t="inlineStr">
        <is>
          <t>ÖSTERGÖTLANDS LÄN</t>
        </is>
      </c>
      <c r="E176" t="inlineStr">
        <is>
          <t>LINKÖPING</t>
        </is>
      </c>
      <c r="F176" t="inlineStr">
        <is>
          <t>Allmännings- och besparingsskogar</t>
        </is>
      </c>
      <c r="G176" t="n">
        <v>7.7</v>
      </c>
      <c r="H176" t="n">
        <v>0</v>
      </c>
      <c r="I176" t="n">
        <v>0</v>
      </c>
      <c r="J176" t="n">
        <v>0</v>
      </c>
      <c r="K176" t="n">
        <v>0</v>
      </c>
      <c r="L176" t="n">
        <v>0</v>
      </c>
      <c r="M176" t="n">
        <v>0</v>
      </c>
      <c r="N176" t="n">
        <v>0</v>
      </c>
      <c r="O176" t="n">
        <v>0</v>
      </c>
      <c r="P176" t="n">
        <v>0</v>
      </c>
      <c r="Q176" t="n">
        <v>0</v>
      </c>
      <c r="R176" s="2" t="inlineStr"/>
    </row>
    <row r="177" ht="15" customHeight="1">
      <c r="A177" t="inlineStr">
        <is>
          <t>A 12035-2025</t>
        </is>
      </c>
      <c r="B177" s="1" t="n">
        <v>45728.64946759259</v>
      </c>
      <c r="C177" s="1" t="n">
        <v>46100</v>
      </c>
      <c r="D177" t="inlineStr">
        <is>
          <t>ÖSTERGÖTLANDS LÄN</t>
        </is>
      </c>
      <c r="E177" t="inlineStr">
        <is>
          <t>LINKÖPING</t>
        </is>
      </c>
      <c r="G177" t="n">
        <v>3.7</v>
      </c>
      <c r="H177" t="n">
        <v>0</v>
      </c>
      <c r="I177" t="n">
        <v>0</v>
      </c>
      <c r="J177" t="n">
        <v>0</v>
      </c>
      <c r="K177" t="n">
        <v>0</v>
      </c>
      <c r="L177" t="n">
        <v>0</v>
      </c>
      <c r="M177" t="n">
        <v>0</v>
      </c>
      <c r="N177" t="n">
        <v>0</v>
      </c>
      <c r="O177" t="n">
        <v>0</v>
      </c>
      <c r="P177" t="n">
        <v>0</v>
      </c>
      <c r="Q177" t="n">
        <v>0</v>
      </c>
      <c r="R177" s="2" t="inlineStr"/>
    </row>
    <row r="178" ht="15" customHeight="1">
      <c r="A178" t="inlineStr">
        <is>
          <t>A 33885-2021</t>
        </is>
      </c>
      <c r="B178" s="1" t="n">
        <v>44378</v>
      </c>
      <c r="C178" s="1" t="n">
        <v>46100</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12413-2022</t>
        </is>
      </c>
      <c r="B179" s="1" t="n">
        <v>44638</v>
      </c>
      <c r="C179" s="1" t="n">
        <v>46100</v>
      </c>
      <c r="D179" t="inlineStr">
        <is>
          <t>ÖSTERGÖTLANDS LÄN</t>
        </is>
      </c>
      <c r="E179" t="inlineStr">
        <is>
          <t>LINKÖPING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38134-2021</t>
        </is>
      </c>
      <c r="B180" s="1" t="n">
        <v>44405.3794212963</v>
      </c>
      <c r="C180" s="1" t="n">
        <v>46100</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34558-2022</t>
        </is>
      </c>
      <c r="B181" s="1" t="n">
        <v>44794.57594907407</v>
      </c>
      <c r="C181" s="1" t="n">
        <v>46100</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63489-2023</t>
        </is>
      </c>
      <c r="B182" s="1" t="n">
        <v>45274.66761574074</v>
      </c>
      <c r="C182" s="1" t="n">
        <v>46100</v>
      </c>
      <c r="D182" t="inlineStr">
        <is>
          <t>ÖSTERGÖTLANDS LÄN</t>
        </is>
      </c>
      <c r="E182" t="inlineStr">
        <is>
          <t>LINKÖPING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46100</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46100</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28266-2024</t>
        </is>
      </c>
      <c r="B185" s="1" t="n">
        <v>45477.43600694444</v>
      </c>
      <c r="C185" s="1" t="n">
        <v>46100</v>
      </c>
      <c r="D185" t="inlineStr">
        <is>
          <t>ÖSTERGÖTLANDS LÄN</t>
        </is>
      </c>
      <c r="E185" t="inlineStr">
        <is>
          <t>LINKÖPING</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25418-2023</t>
        </is>
      </c>
      <c r="B186" s="1" t="n">
        <v>45089</v>
      </c>
      <c r="C186" s="1" t="n">
        <v>46100</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44849-2022</t>
        </is>
      </c>
      <c r="B187" s="1" t="n">
        <v>44841</v>
      </c>
      <c r="C187" s="1" t="n">
        <v>46100</v>
      </c>
      <c r="D187" t="inlineStr">
        <is>
          <t>ÖSTERGÖTLANDS LÄN</t>
        </is>
      </c>
      <c r="E187" t="inlineStr">
        <is>
          <t>LINKÖPING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70835-2021</t>
        </is>
      </c>
      <c r="B188" s="1" t="n">
        <v>44537</v>
      </c>
      <c r="C188" s="1" t="n">
        <v>46100</v>
      </c>
      <c r="D188" t="inlineStr">
        <is>
          <t>ÖSTERGÖTLANDS LÄN</t>
        </is>
      </c>
      <c r="E188" t="inlineStr">
        <is>
          <t>LINKÖPING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22772-2024</t>
        </is>
      </c>
      <c r="B189" s="1" t="n">
        <v>45448.46712962963</v>
      </c>
      <c r="C189" s="1" t="n">
        <v>46100</v>
      </c>
      <c r="D189" t="inlineStr">
        <is>
          <t>ÖSTERGÖTLANDS LÄN</t>
        </is>
      </c>
      <c r="E189" t="inlineStr">
        <is>
          <t>LINKÖPING</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37934-2022</t>
        </is>
      </c>
      <c r="B190" s="1" t="n">
        <v>44809</v>
      </c>
      <c r="C190" s="1" t="n">
        <v>46100</v>
      </c>
      <c r="D190" t="inlineStr">
        <is>
          <t>ÖSTERGÖTLANDS LÄN</t>
        </is>
      </c>
      <c r="E190" t="inlineStr">
        <is>
          <t>LINKÖPING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20455-2024</t>
        </is>
      </c>
      <c r="B191" s="1" t="n">
        <v>45435.65314814815</v>
      </c>
      <c r="C191" s="1" t="n">
        <v>46100</v>
      </c>
      <c r="D191" t="inlineStr">
        <is>
          <t>ÖSTERGÖTLANDS LÄN</t>
        </is>
      </c>
      <c r="E191" t="inlineStr">
        <is>
          <t>LINKÖPING</t>
        </is>
      </c>
      <c r="G191" t="n">
        <v>2.6</v>
      </c>
      <c r="H191" t="n">
        <v>0</v>
      </c>
      <c r="I191" t="n">
        <v>0</v>
      </c>
      <c r="J191" t="n">
        <v>0</v>
      </c>
      <c r="K191" t="n">
        <v>0</v>
      </c>
      <c r="L191" t="n">
        <v>0</v>
      </c>
      <c r="M191" t="n">
        <v>0</v>
      </c>
      <c r="N191" t="n">
        <v>0</v>
      </c>
      <c r="O191" t="n">
        <v>0</v>
      </c>
      <c r="P191" t="n">
        <v>0</v>
      </c>
      <c r="Q191" t="n">
        <v>0</v>
      </c>
      <c r="R191" s="2" t="inlineStr"/>
    </row>
    <row r="192" ht="15" customHeight="1">
      <c r="A192" t="inlineStr">
        <is>
          <t>A 224-2024</t>
        </is>
      </c>
      <c r="B192" s="1" t="n">
        <v>45294</v>
      </c>
      <c r="C192" s="1" t="n">
        <v>46100</v>
      </c>
      <c r="D192" t="inlineStr">
        <is>
          <t>ÖSTERGÖTLANDS LÄN</t>
        </is>
      </c>
      <c r="E192" t="inlineStr">
        <is>
          <t>LINKÖPING</t>
        </is>
      </c>
      <c r="G192" t="n">
        <v>2.8</v>
      </c>
      <c r="H192" t="n">
        <v>0</v>
      </c>
      <c r="I192" t="n">
        <v>0</v>
      </c>
      <c r="J192" t="n">
        <v>0</v>
      </c>
      <c r="K192" t="n">
        <v>0</v>
      </c>
      <c r="L192" t="n">
        <v>0</v>
      </c>
      <c r="M192" t="n">
        <v>0</v>
      </c>
      <c r="N192" t="n">
        <v>0</v>
      </c>
      <c r="O192" t="n">
        <v>0</v>
      </c>
      <c r="P192" t="n">
        <v>0</v>
      </c>
      <c r="Q192" t="n">
        <v>0</v>
      </c>
      <c r="R192" s="2" t="inlineStr"/>
    </row>
    <row r="193" ht="15" customHeight="1">
      <c r="A193" t="inlineStr">
        <is>
          <t>A 54854-2022</t>
        </is>
      </c>
      <c r="B193" s="1" t="n">
        <v>44884</v>
      </c>
      <c r="C193" s="1" t="n">
        <v>46100</v>
      </c>
      <c r="D193" t="inlineStr">
        <is>
          <t>ÖSTERGÖTLANDS LÄN</t>
        </is>
      </c>
      <c r="E193" t="inlineStr">
        <is>
          <t>LINKÖPING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54855-2022</t>
        </is>
      </c>
      <c r="B194" s="1" t="n">
        <v>44884.59502314815</v>
      </c>
      <c r="C194" s="1" t="n">
        <v>46100</v>
      </c>
      <c r="D194" t="inlineStr">
        <is>
          <t>ÖSTERGÖTLANDS LÄN</t>
        </is>
      </c>
      <c r="E194" t="inlineStr">
        <is>
          <t>LINKÖPING</t>
        </is>
      </c>
      <c r="G194" t="n">
        <v>2.9</v>
      </c>
      <c r="H194" t="n">
        <v>0</v>
      </c>
      <c r="I194" t="n">
        <v>0</v>
      </c>
      <c r="J194" t="n">
        <v>0</v>
      </c>
      <c r="K194" t="n">
        <v>0</v>
      </c>
      <c r="L194" t="n">
        <v>0</v>
      </c>
      <c r="M194" t="n">
        <v>0</v>
      </c>
      <c r="N194" t="n">
        <v>0</v>
      </c>
      <c r="O194" t="n">
        <v>0</v>
      </c>
      <c r="P194" t="n">
        <v>0</v>
      </c>
      <c r="Q194" t="n">
        <v>0</v>
      </c>
      <c r="R194" s="2" t="inlineStr"/>
    </row>
    <row r="195" ht="15" customHeight="1">
      <c r="A195" t="inlineStr">
        <is>
          <t>A 24464-2023</t>
        </is>
      </c>
      <c r="B195" s="1" t="n">
        <v>45082.58068287037</v>
      </c>
      <c r="C195" s="1" t="n">
        <v>46100</v>
      </c>
      <c r="D195" t="inlineStr">
        <is>
          <t>ÖSTERGÖTLANDS LÄN</t>
        </is>
      </c>
      <c r="E195" t="inlineStr">
        <is>
          <t>LINKÖPING</t>
        </is>
      </c>
      <c r="G195" t="n">
        <v>1.6</v>
      </c>
      <c r="H195" t="n">
        <v>0</v>
      </c>
      <c r="I195" t="n">
        <v>0</v>
      </c>
      <c r="J195" t="n">
        <v>0</v>
      </c>
      <c r="K195" t="n">
        <v>0</v>
      </c>
      <c r="L195" t="n">
        <v>0</v>
      </c>
      <c r="M195" t="n">
        <v>0</v>
      </c>
      <c r="N195" t="n">
        <v>0</v>
      </c>
      <c r="O195" t="n">
        <v>0</v>
      </c>
      <c r="P195" t="n">
        <v>0</v>
      </c>
      <c r="Q195" t="n">
        <v>0</v>
      </c>
      <c r="R195" s="2" t="inlineStr"/>
    </row>
    <row r="196" ht="15" customHeight="1">
      <c r="A196" t="inlineStr">
        <is>
          <t>A 24467-2023</t>
        </is>
      </c>
      <c r="B196" s="1" t="n">
        <v>45082</v>
      </c>
      <c r="C196" s="1" t="n">
        <v>46100</v>
      </c>
      <c r="D196" t="inlineStr">
        <is>
          <t>ÖSTERGÖTLANDS LÄN</t>
        </is>
      </c>
      <c r="E196" t="inlineStr">
        <is>
          <t>LINKÖPING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54845-2023</t>
        </is>
      </c>
      <c r="B197" s="1" t="n">
        <v>45236</v>
      </c>
      <c r="C197" s="1" t="n">
        <v>46100</v>
      </c>
      <c r="D197" t="inlineStr">
        <is>
          <t>ÖSTERGÖTLANDS LÄN</t>
        </is>
      </c>
      <c r="E197" t="inlineStr">
        <is>
          <t>LINKÖPING</t>
        </is>
      </c>
      <c r="F197" t="inlineStr">
        <is>
          <t>Övriga Aktiebolag</t>
        </is>
      </c>
      <c r="G197" t="n">
        <v>5.7</v>
      </c>
      <c r="H197" t="n">
        <v>0</v>
      </c>
      <c r="I197" t="n">
        <v>0</v>
      </c>
      <c r="J197" t="n">
        <v>0</v>
      </c>
      <c r="K197" t="n">
        <v>0</v>
      </c>
      <c r="L197" t="n">
        <v>0</v>
      </c>
      <c r="M197" t="n">
        <v>0</v>
      </c>
      <c r="N197" t="n">
        <v>0</v>
      </c>
      <c r="O197" t="n">
        <v>0</v>
      </c>
      <c r="P197" t="n">
        <v>0</v>
      </c>
      <c r="Q197" t="n">
        <v>0</v>
      </c>
      <c r="R197" s="2" t="inlineStr"/>
    </row>
    <row r="198" ht="15" customHeight="1">
      <c r="A198" t="inlineStr">
        <is>
          <t>A 61302-2021</t>
        </is>
      </c>
      <c r="B198" s="1" t="n">
        <v>44498.63189814815</v>
      </c>
      <c r="C198" s="1" t="n">
        <v>46100</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62488-2023</t>
        </is>
      </c>
      <c r="B199" s="1" t="n">
        <v>45268.5847337963</v>
      </c>
      <c r="C199" s="1" t="n">
        <v>46100</v>
      </c>
      <c r="D199" t="inlineStr">
        <is>
          <t>ÖSTERGÖTLANDS LÄN</t>
        </is>
      </c>
      <c r="E199" t="inlineStr">
        <is>
          <t>LINKÖPING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48389-2024</t>
        </is>
      </c>
      <c r="B200" s="1" t="n">
        <v>45590.59991898148</v>
      </c>
      <c r="C200" s="1" t="n">
        <v>46100</v>
      </c>
      <c r="D200" t="inlineStr">
        <is>
          <t>ÖSTERGÖTLANDS LÄN</t>
        </is>
      </c>
      <c r="E200" t="inlineStr">
        <is>
          <t>LINKÖPING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11079-2022</t>
        </is>
      </c>
      <c r="B201" s="1" t="n">
        <v>44628</v>
      </c>
      <c r="C201" s="1" t="n">
        <v>46100</v>
      </c>
      <c r="D201" t="inlineStr">
        <is>
          <t>ÖSTERGÖTLANDS LÄN</t>
        </is>
      </c>
      <c r="E201" t="inlineStr">
        <is>
          <t>LINKÖPING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46100</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20901-2021</t>
        </is>
      </c>
      <c r="B203" s="1" t="n">
        <v>44319</v>
      </c>
      <c r="C203" s="1" t="n">
        <v>46100</v>
      </c>
      <c r="D203" t="inlineStr">
        <is>
          <t>ÖSTERGÖTLANDS LÄN</t>
        </is>
      </c>
      <c r="E203" t="inlineStr">
        <is>
          <t>LINKÖPING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56792-2023</t>
        </is>
      </c>
      <c r="B204" s="1" t="n">
        <v>45244</v>
      </c>
      <c r="C204" s="1" t="n">
        <v>46100</v>
      </c>
      <c r="D204" t="inlineStr">
        <is>
          <t>ÖSTERGÖTLANDS LÄN</t>
        </is>
      </c>
      <c r="E204" t="inlineStr">
        <is>
          <t>LINKÖPING</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52796-2023</t>
        </is>
      </c>
      <c r="B205" s="1" t="n">
        <v>45219</v>
      </c>
      <c r="C205" s="1" t="n">
        <v>46100</v>
      </c>
      <c r="D205" t="inlineStr">
        <is>
          <t>ÖSTERGÖTLANDS LÄN</t>
        </is>
      </c>
      <c r="E205" t="inlineStr">
        <is>
          <t>LINKÖPING</t>
        </is>
      </c>
      <c r="F205" t="inlineStr">
        <is>
          <t>Övriga statliga verk och myndigheter</t>
        </is>
      </c>
      <c r="G205" t="n">
        <v>3.9</v>
      </c>
      <c r="H205" t="n">
        <v>0</v>
      </c>
      <c r="I205" t="n">
        <v>0</v>
      </c>
      <c r="J205" t="n">
        <v>0</v>
      </c>
      <c r="K205" t="n">
        <v>0</v>
      </c>
      <c r="L205" t="n">
        <v>0</v>
      </c>
      <c r="M205" t="n">
        <v>0</v>
      </c>
      <c r="N205" t="n">
        <v>0</v>
      </c>
      <c r="O205" t="n">
        <v>0</v>
      </c>
      <c r="P205" t="n">
        <v>0</v>
      </c>
      <c r="Q205" t="n">
        <v>0</v>
      </c>
      <c r="R205" s="2" t="inlineStr"/>
    </row>
    <row r="206" ht="15" customHeight="1">
      <c r="A206" t="inlineStr">
        <is>
          <t>A 65398-2021</t>
        </is>
      </c>
      <c r="B206" s="1" t="n">
        <v>44515</v>
      </c>
      <c r="C206" s="1" t="n">
        <v>46100</v>
      </c>
      <c r="D206" t="inlineStr">
        <is>
          <t>ÖSTERGÖTLANDS LÄN</t>
        </is>
      </c>
      <c r="E206" t="inlineStr">
        <is>
          <t>LINKÖPING</t>
        </is>
      </c>
      <c r="F206" t="inlineStr">
        <is>
          <t>Övriga statliga verk och myndigheter</t>
        </is>
      </c>
      <c r="G206" t="n">
        <v>2.4</v>
      </c>
      <c r="H206" t="n">
        <v>0</v>
      </c>
      <c r="I206" t="n">
        <v>0</v>
      </c>
      <c r="J206" t="n">
        <v>0</v>
      </c>
      <c r="K206" t="n">
        <v>0</v>
      </c>
      <c r="L206" t="n">
        <v>0</v>
      </c>
      <c r="M206" t="n">
        <v>0</v>
      </c>
      <c r="N206" t="n">
        <v>0</v>
      </c>
      <c r="O206" t="n">
        <v>0</v>
      </c>
      <c r="P206" t="n">
        <v>0</v>
      </c>
      <c r="Q206" t="n">
        <v>0</v>
      </c>
      <c r="R206" s="2" t="inlineStr"/>
    </row>
    <row r="207" ht="15" customHeight="1">
      <c r="A207" t="inlineStr">
        <is>
          <t>A 30855-2022</t>
        </is>
      </c>
      <c r="B207" s="1" t="n">
        <v>44767</v>
      </c>
      <c r="C207" s="1" t="n">
        <v>46100</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34877-2023</t>
        </is>
      </c>
      <c r="B208" s="1" t="n">
        <v>45140</v>
      </c>
      <c r="C208" s="1" t="n">
        <v>46100</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39017-2021</t>
        </is>
      </c>
      <c r="B209" s="1" t="n">
        <v>44412</v>
      </c>
      <c r="C209" s="1" t="n">
        <v>46100</v>
      </c>
      <c r="D209" t="inlineStr">
        <is>
          <t>ÖSTERGÖTLANDS LÄN</t>
        </is>
      </c>
      <c r="E209" t="inlineStr">
        <is>
          <t>LINKÖPING</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67912-2021</t>
        </is>
      </c>
      <c r="B210" s="1" t="n">
        <v>44525</v>
      </c>
      <c r="C210" s="1" t="n">
        <v>46100</v>
      </c>
      <c r="D210" t="inlineStr">
        <is>
          <t>ÖSTERGÖTLANDS LÄN</t>
        </is>
      </c>
      <c r="E210" t="inlineStr">
        <is>
          <t>LINKÖPING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67940-2021</t>
        </is>
      </c>
      <c r="B211" s="1" t="n">
        <v>44525.62849537037</v>
      </c>
      <c r="C211" s="1" t="n">
        <v>46100</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46100</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1260-2023</t>
        </is>
      </c>
      <c r="B213" s="1" t="n">
        <v>44936</v>
      </c>
      <c r="C213" s="1" t="n">
        <v>46100</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10951-2022</t>
        </is>
      </c>
      <c r="B214" s="1" t="n">
        <v>44627</v>
      </c>
      <c r="C214" s="1" t="n">
        <v>46100</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1355-2023</t>
        </is>
      </c>
      <c r="B215" s="1" t="n">
        <v>44931</v>
      </c>
      <c r="C215" s="1" t="n">
        <v>46100</v>
      </c>
      <c r="D215" t="inlineStr">
        <is>
          <t>ÖSTERGÖTLANDS LÄN</t>
        </is>
      </c>
      <c r="E215" t="inlineStr">
        <is>
          <t>LINKÖPING</t>
        </is>
      </c>
      <c r="G215" t="n">
        <v>4</v>
      </c>
      <c r="H215" t="n">
        <v>0</v>
      </c>
      <c r="I215" t="n">
        <v>0</v>
      </c>
      <c r="J215" t="n">
        <v>0</v>
      </c>
      <c r="K215" t="n">
        <v>0</v>
      </c>
      <c r="L215" t="n">
        <v>0</v>
      </c>
      <c r="M215" t="n">
        <v>0</v>
      </c>
      <c r="N215" t="n">
        <v>0</v>
      </c>
      <c r="O215" t="n">
        <v>0</v>
      </c>
      <c r="P215" t="n">
        <v>0</v>
      </c>
      <c r="Q215" t="n">
        <v>0</v>
      </c>
      <c r="R215" s="2" t="inlineStr"/>
    </row>
    <row r="216" ht="15" customHeight="1">
      <c r="A216" t="inlineStr">
        <is>
          <t>A 33134-2022</t>
        </is>
      </c>
      <c r="B216" s="1" t="n">
        <v>44785</v>
      </c>
      <c r="C216" s="1" t="n">
        <v>46100</v>
      </c>
      <c r="D216" t="inlineStr">
        <is>
          <t>ÖSTERGÖTLANDS LÄN</t>
        </is>
      </c>
      <c r="E216" t="inlineStr">
        <is>
          <t>LINKÖPING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3007-2025</t>
        </is>
      </c>
      <c r="B217" s="1" t="n">
        <v>45678.56328703704</v>
      </c>
      <c r="C217" s="1" t="n">
        <v>46100</v>
      </c>
      <c r="D217" t="inlineStr">
        <is>
          <t>ÖSTERGÖTLANDS LÄN</t>
        </is>
      </c>
      <c r="E217" t="inlineStr">
        <is>
          <t>LINKÖPING</t>
        </is>
      </c>
      <c r="G217" t="n">
        <v>3.1</v>
      </c>
      <c r="H217" t="n">
        <v>0</v>
      </c>
      <c r="I217" t="n">
        <v>0</v>
      </c>
      <c r="J217" t="n">
        <v>0</v>
      </c>
      <c r="K217" t="n">
        <v>0</v>
      </c>
      <c r="L217" t="n">
        <v>0</v>
      </c>
      <c r="M217" t="n">
        <v>0</v>
      </c>
      <c r="N217" t="n">
        <v>0</v>
      </c>
      <c r="O217" t="n">
        <v>0</v>
      </c>
      <c r="P217" t="n">
        <v>0</v>
      </c>
      <c r="Q217" t="n">
        <v>0</v>
      </c>
      <c r="R217" s="2" t="inlineStr"/>
    </row>
    <row r="218" ht="15" customHeight="1">
      <c r="A218" t="inlineStr">
        <is>
          <t>A 10492-2022</t>
        </is>
      </c>
      <c r="B218" s="1" t="n">
        <v>44623.6377199074</v>
      </c>
      <c r="C218" s="1" t="n">
        <v>46100</v>
      </c>
      <c r="D218" t="inlineStr">
        <is>
          <t>ÖSTERGÖTLANDS LÄN</t>
        </is>
      </c>
      <c r="E218" t="inlineStr">
        <is>
          <t>LINKÖPING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41426-2022</t>
        </is>
      </c>
      <c r="B219" s="1" t="n">
        <v>44826</v>
      </c>
      <c r="C219" s="1" t="n">
        <v>46100</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34162-2022</t>
        </is>
      </c>
      <c r="B220" s="1" t="n">
        <v>44791</v>
      </c>
      <c r="C220" s="1" t="n">
        <v>46100</v>
      </c>
      <c r="D220" t="inlineStr">
        <is>
          <t>ÖSTERGÖTLANDS LÄN</t>
        </is>
      </c>
      <c r="E220" t="inlineStr">
        <is>
          <t>LINKÖPING</t>
        </is>
      </c>
      <c r="G220" t="n">
        <v>3</v>
      </c>
      <c r="H220" t="n">
        <v>0</v>
      </c>
      <c r="I220" t="n">
        <v>0</v>
      </c>
      <c r="J220" t="n">
        <v>0</v>
      </c>
      <c r="K220" t="n">
        <v>0</v>
      </c>
      <c r="L220" t="n">
        <v>0</v>
      </c>
      <c r="M220" t="n">
        <v>0</v>
      </c>
      <c r="N220" t="n">
        <v>0</v>
      </c>
      <c r="O220" t="n">
        <v>0</v>
      </c>
      <c r="P220" t="n">
        <v>0</v>
      </c>
      <c r="Q220" t="n">
        <v>0</v>
      </c>
      <c r="R220" s="2" t="inlineStr"/>
    </row>
    <row r="221" ht="15" customHeight="1">
      <c r="A221" t="inlineStr">
        <is>
          <t>A 30465-2023</t>
        </is>
      </c>
      <c r="B221" s="1" t="n">
        <v>45111</v>
      </c>
      <c r="C221" s="1" t="n">
        <v>46100</v>
      </c>
      <c r="D221" t="inlineStr">
        <is>
          <t>ÖSTERGÖTLANDS LÄN</t>
        </is>
      </c>
      <c r="E221" t="inlineStr">
        <is>
          <t>LINKÖPING</t>
        </is>
      </c>
      <c r="F221" t="inlineStr">
        <is>
          <t>Övriga Aktiebolag</t>
        </is>
      </c>
      <c r="G221" t="n">
        <v>0.7</v>
      </c>
      <c r="H221" t="n">
        <v>0</v>
      </c>
      <c r="I221" t="n">
        <v>0</v>
      </c>
      <c r="J221" t="n">
        <v>0</v>
      </c>
      <c r="K221" t="n">
        <v>0</v>
      </c>
      <c r="L221" t="n">
        <v>0</v>
      </c>
      <c r="M221" t="n">
        <v>0</v>
      </c>
      <c r="N221" t="n">
        <v>0</v>
      </c>
      <c r="O221" t="n">
        <v>0</v>
      </c>
      <c r="P221" t="n">
        <v>0</v>
      </c>
      <c r="Q221" t="n">
        <v>0</v>
      </c>
      <c r="R221" s="2" t="inlineStr"/>
    </row>
    <row r="222" ht="15" customHeight="1">
      <c r="A222" t="inlineStr">
        <is>
          <t>A 13075-2022</t>
        </is>
      </c>
      <c r="B222" s="1" t="n">
        <v>44643</v>
      </c>
      <c r="C222" s="1" t="n">
        <v>46100</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40338-2024</t>
        </is>
      </c>
      <c r="B223" s="1" t="n">
        <v>45555.32940972222</v>
      </c>
      <c r="C223" s="1" t="n">
        <v>46100</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39021-2021</t>
        </is>
      </c>
      <c r="B224" s="1" t="n">
        <v>44412</v>
      </c>
      <c r="C224" s="1" t="n">
        <v>46100</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61298-2021</t>
        </is>
      </c>
      <c r="B225" s="1" t="n">
        <v>44498.62533564815</v>
      </c>
      <c r="C225" s="1" t="n">
        <v>46100</v>
      </c>
      <c r="D225" t="inlineStr">
        <is>
          <t>ÖSTERGÖTLANDS LÄN</t>
        </is>
      </c>
      <c r="E225" t="inlineStr">
        <is>
          <t>LINKÖPING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61333-2021</t>
        </is>
      </c>
      <c r="B226" s="1" t="n">
        <v>44498.6764699074</v>
      </c>
      <c r="C226" s="1" t="n">
        <v>46100</v>
      </c>
      <c r="D226" t="inlineStr">
        <is>
          <t>ÖSTERGÖTLANDS LÄN</t>
        </is>
      </c>
      <c r="E226" t="inlineStr">
        <is>
          <t>LINKÖPING</t>
        </is>
      </c>
      <c r="G226" t="n">
        <v>7.5</v>
      </c>
      <c r="H226" t="n">
        <v>0</v>
      </c>
      <c r="I226" t="n">
        <v>0</v>
      </c>
      <c r="J226" t="n">
        <v>0</v>
      </c>
      <c r="K226" t="n">
        <v>0</v>
      </c>
      <c r="L226" t="n">
        <v>0</v>
      </c>
      <c r="M226" t="n">
        <v>0</v>
      </c>
      <c r="N226" t="n">
        <v>0</v>
      </c>
      <c r="O226" t="n">
        <v>0</v>
      </c>
      <c r="P226" t="n">
        <v>0</v>
      </c>
      <c r="Q226" t="n">
        <v>0</v>
      </c>
      <c r="R226" s="2" t="inlineStr"/>
    </row>
    <row r="227" ht="15" customHeight="1">
      <c r="A227" t="inlineStr">
        <is>
          <t>A 57745-2022</t>
        </is>
      </c>
      <c r="B227" s="1" t="n">
        <v>44897.58119212963</v>
      </c>
      <c r="C227" s="1" t="n">
        <v>46100</v>
      </c>
      <c r="D227" t="inlineStr">
        <is>
          <t>ÖSTERGÖTLANDS LÄN</t>
        </is>
      </c>
      <c r="E227" t="inlineStr">
        <is>
          <t>LINKÖPING</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12412-2022</t>
        </is>
      </c>
      <c r="B228" s="1" t="n">
        <v>44638</v>
      </c>
      <c r="C228" s="1" t="n">
        <v>46100</v>
      </c>
      <c r="D228" t="inlineStr">
        <is>
          <t>ÖSTERGÖTLANDS LÄN</t>
        </is>
      </c>
      <c r="E228" t="inlineStr">
        <is>
          <t>LINKÖPING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34889-2023</t>
        </is>
      </c>
      <c r="B229" s="1" t="n">
        <v>45140</v>
      </c>
      <c r="C229" s="1" t="n">
        <v>46100</v>
      </c>
      <c r="D229" t="inlineStr">
        <is>
          <t>ÖSTERGÖTLANDS LÄN</t>
        </is>
      </c>
      <c r="E229" t="inlineStr">
        <is>
          <t>LINKÖPING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167-2024</t>
        </is>
      </c>
      <c r="B230" s="1" t="n">
        <v>45294</v>
      </c>
      <c r="C230" s="1" t="n">
        <v>46100</v>
      </c>
      <c r="D230" t="inlineStr">
        <is>
          <t>ÖSTERGÖTLANDS LÄN</t>
        </is>
      </c>
      <c r="E230" t="inlineStr">
        <is>
          <t>LINKÖPING</t>
        </is>
      </c>
      <c r="F230" t="inlineStr">
        <is>
          <t>Allmännings- och besparingsskogar</t>
        </is>
      </c>
      <c r="G230" t="n">
        <v>11.6</v>
      </c>
      <c r="H230" t="n">
        <v>0</v>
      </c>
      <c r="I230" t="n">
        <v>0</v>
      </c>
      <c r="J230" t="n">
        <v>0</v>
      </c>
      <c r="K230" t="n">
        <v>0</v>
      </c>
      <c r="L230" t="n">
        <v>0</v>
      </c>
      <c r="M230" t="n">
        <v>0</v>
      </c>
      <c r="N230" t="n">
        <v>0</v>
      </c>
      <c r="O230" t="n">
        <v>0</v>
      </c>
      <c r="P230" t="n">
        <v>0</v>
      </c>
      <c r="Q230" t="n">
        <v>0</v>
      </c>
      <c r="R230" s="2" t="inlineStr"/>
    </row>
    <row r="231" ht="15" customHeight="1">
      <c r="A231" t="inlineStr">
        <is>
          <t>A 62353-2022</t>
        </is>
      </c>
      <c r="B231" s="1" t="n">
        <v>44923</v>
      </c>
      <c r="C231" s="1" t="n">
        <v>46100</v>
      </c>
      <c r="D231" t="inlineStr">
        <is>
          <t>ÖSTERGÖTLANDS LÄN</t>
        </is>
      </c>
      <c r="E231" t="inlineStr">
        <is>
          <t>LINKÖPING</t>
        </is>
      </c>
      <c r="F231" t="inlineStr">
        <is>
          <t>Allmännings- och besparingsskogar</t>
        </is>
      </c>
      <c r="G231" t="n">
        <v>1.7</v>
      </c>
      <c r="H231" t="n">
        <v>0</v>
      </c>
      <c r="I231" t="n">
        <v>0</v>
      </c>
      <c r="J231" t="n">
        <v>0</v>
      </c>
      <c r="K231" t="n">
        <v>0</v>
      </c>
      <c r="L231" t="n">
        <v>0</v>
      </c>
      <c r="M231" t="n">
        <v>0</v>
      </c>
      <c r="N231" t="n">
        <v>0</v>
      </c>
      <c r="O231" t="n">
        <v>0</v>
      </c>
      <c r="P231" t="n">
        <v>0</v>
      </c>
      <c r="Q231" t="n">
        <v>0</v>
      </c>
      <c r="R231" s="2" t="inlineStr"/>
    </row>
    <row r="232" ht="15" customHeight="1">
      <c r="A232" t="inlineStr">
        <is>
          <t>A 30111-2024</t>
        </is>
      </c>
      <c r="B232" s="1" t="n">
        <v>45489.46947916667</v>
      </c>
      <c r="C232" s="1" t="n">
        <v>46100</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30119-2024</t>
        </is>
      </c>
      <c r="B233" s="1" t="n">
        <v>45489</v>
      </c>
      <c r="C233" s="1" t="n">
        <v>46100</v>
      </c>
      <c r="D233" t="inlineStr">
        <is>
          <t>ÖSTERGÖTLANDS LÄN</t>
        </is>
      </c>
      <c r="E233" t="inlineStr">
        <is>
          <t>LINKÖPING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27186-2021</t>
        </is>
      </c>
      <c r="B234" s="1" t="n">
        <v>44350.67715277777</v>
      </c>
      <c r="C234" s="1" t="n">
        <v>46100</v>
      </c>
      <c r="D234" t="inlineStr">
        <is>
          <t>ÖSTERGÖTLANDS LÄN</t>
        </is>
      </c>
      <c r="E234" t="inlineStr">
        <is>
          <t>LINKÖPING</t>
        </is>
      </c>
      <c r="F234" t="inlineStr">
        <is>
          <t>Allmännings- och besparingsskogar</t>
        </is>
      </c>
      <c r="G234" t="n">
        <v>1.4</v>
      </c>
      <c r="H234" t="n">
        <v>0</v>
      </c>
      <c r="I234" t="n">
        <v>0</v>
      </c>
      <c r="J234" t="n">
        <v>0</v>
      </c>
      <c r="K234" t="n">
        <v>0</v>
      </c>
      <c r="L234" t="n">
        <v>0</v>
      </c>
      <c r="M234" t="n">
        <v>0</v>
      </c>
      <c r="N234" t="n">
        <v>0</v>
      </c>
      <c r="O234" t="n">
        <v>0</v>
      </c>
      <c r="P234" t="n">
        <v>0</v>
      </c>
      <c r="Q234" t="n">
        <v>0</v>
      </c>
      <c r="R234" s="2" t="inlineStr"/>
    </row>
    <row r="235" ht="15" customHeight="1">
      <c r="A235" t="inlineStr">
        <is>
          <t>A 29411-2023</t>
        </is>
      </c>
      <c r="B235" s="1" t="n">
        <v>45106.46225694445</v>
      </c>
      <c r="C235" s="1" t="n">
        <v>46100</v>
      </c>
      <c r="D235" t="inlineStr">
        <is>
          <t>ÖSTERGÖTLANDS LÄN</t>
        </is>
      </c>
      <c r="E235" t="inlineStr">
        <is>
          <t>LINKÖPING</t>
        </is>
      </c>
      <c r="G235" t="n">
        <v>2.5</v>
      </c>
      <c r="H235" t="n">
        <v>0</v>
      </c>
      <c r="I235" t="n">
        <v>0</v>
      </c>
      <c r="J235" t="n">
        <v>0</v>
      </c>
      <c r="K235" t="n">
        <v>0</v>
      </c>
      <c r="L235" t="n">
        <v>0</v>
      </c>
      <c r="M235" t="n">
        <v>0</v>
      </c>
      <c r="N235" t="n">
        <v>0</v>
      </c>
      <c r="O235" t="n">
        <v>0</v>
      </c>
      <c r="P235" t="n">
        <v>0</v>
      </c>
      <c r="Q235" t="n">
        <v>0</v>
      </c>
      <c r="R235" s="2" t="inlineStr"/>
    </row>
    <row r="236" ht="15" customHeight="1">
      <c r="A236" t="inlineStr">
        <is>
          <t>A 29412-2023</t>
        </is>
      </c>
      <c r="B236" s="1" t="n">
        <v>45106.46359953703</v>
      </c>
      <c r="C236" s="1" t="n">
        <v>46100</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1993-2023</t>
        </is>
      </c>
      <c r="B237" s="1" t="n">
        <v>44939</v>
      </c>
      <c r="C237" s="1" t="n">
        <v>46100</v>
      </c>
      <c r="D237" t="inlineStr">
        <is>
          <t>ÖSTERGÖTLANDS LÄN</t>
        </is>
      </c>
      <c r="E237" t="inlineStr">
        <is>
          <t>LINKÖPING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31792-2021</t>
        </is>
      </c>
      <c r="B238" s="1" t="n">
        <v>44369</v>
      </c>
      <c r="C238" s="1" t="n">
        <v>46100</v>
      </c>
      <c r="D238" t="inlineStr">
        <is>
          <t>ÖSTERGÖTLANDS LÄN</t>
        </is>
      </c>
      <c r="E238" t="inlineStr">
        <is>
          <t>LINKÖPING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7343-2025</t>
        </is>
      </c>
      <c r="B239" s="1" t="n">
        <v>45703.67853009259</v>
      </c>
      <c r="C239" s="1" t="n">
        <v>46100</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61281-2021</t>
        </is>
      </c>
      <c r="B240" s="1" t="n">
        <v>44498.60736111111</v>
      </c>
      <c r="C240" s="1" t="n">
        <v>46100</v>
      </c>
      <c r="D240" t="inlineStr">
        <is>
          <t>ÖSTERGÖTLANDS LÄN</t>
        </is>
      </c>
      <c r="E240" t="inlineStr">
        <is>
          <t>LINKÖPING</t>
        </is>
      </c>
      <c r="G240" t="n">
        <v>4.5</v>
      </c>
      <c r="H240" t="n">
        <v>0</v>
      </c>
      <c r="I240" t="n">
        <v>0</v>
      </c>
      <c r="J240" t="n">
        <v>0</v>
      </c>
      <c r="K240" t="n">
        <v>0</v>
      </c>
      <c r="L240" t="n">
        <v>0</v>
      </c>
      <c r="M240" t="n">
        <v>0</v>
      </c>
      <c r="N240" t="n">
        <v>0</v>
      </c>
      <c r="O240" t="n">
        <v>0</v>
      </c>
      <c r="P240" t="n">
        <v>0</v>
      </c>
      <c r="Q240" t="n">
        <v>0</v>
      </c>
      <c r="R240" s="2" t="inlineStr"/>
    </row>
    <row r="241" ht="15" customHeight="1">
      <c r="A241" t="inlineStr">
        <is>
          <t>A 421-2024</t>
        </is>
      </c>
      <c r="B241" s="1" t="n">
        <v>45296.51877314815</v>
      </c>
      <c r="C241" s="1" t="n">
        <v>46100</v>
      </c>
      <c r="D241" t="inlineStr">
        <is>
          <t>ÖSTERGÖTLANDS LÄN</t>
        </is>
      </c>
      <c r="E241" t="inlineStr">
        <is>
          <t>LINKÖPING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25292-2021</t>
        </is>
      </c>
      <c r="B242" s="1" t="n">
        <v>44342</v>
      </c>
      <c r="C242" s="1" t="n">
        <v>46100</v>
      </c>
      <c r="D242" t="inlineStr">
        <is>
          <t>ÖSTERGÖTLANDS LÄN</t>
        </is>
      </c>
      <c r="E242" t="inlineStr">
        <is>
          <t>LINKÖPING</t>
        </is>
      </c>
      <c r="F242" t="inlineStr">
        <is>
          <t>Övriga Aktiebolag</t>
        </is>
      </c>
      <c r="G242" t="n">
        <v>12.8</v>
      </c>
      <c r="H242" t="n">
        <v>0</v>
      </c>
      <c r="I242" t="n">
        <v>0</v>
      </c>
      <c r="J242" t="n">
        <v>0</v>
      </c>
      <c r="K242" t="n">
        <v>0</v>
      </c>
      <c r="L242" t="n">
        <v>0</v>
      </c>
      <c r="M242" t="n">
        <v>0</v>
      </c>
      <c r="N242" t="n">
        <v>0</v>
      </c>
      <c r="O242" t="n">
        <v>0</v>
      </c>
      <c r="P242" t="n">
        <v>0</v>
      </c>
      <c r="Q242" t="n">
        <v>0</v>
      </c>
      <c r="R242" s="2" t="inlineStr"/>
    </row>
    <row r="243" ht="15" customHeight="1">
      <c r="A243" t="inlineStr">
        <is>
          <t>A 63935-2021</t>
        </is>
      </c>
      <c r="B243" s="1" t="n">
        <v>44509</v>
      </c>
      <c r="C243" s="1" t="n">
        <v>46100</v>
      </c>
      <c r="D243" t="inlineStr">
        <is>
          <t>ÖSTERGÖTLANDS LÄN</t>
        </is>
      </c>
      <c r="E243" t="inlineStr">
        <is>
          <t>LINKÖPING</t>
        </is>
      </c>
      <c r="F243" t="inlineStr">
        <is>
          <t>Övriga statliga verk och myndigheter</t>
        </is>
      </c>
      <c r="G243" t="n">
        <v>2.8</v>
      </c>
      <c r="H243" t="n">
        <v>0</v>
      </c>
      <c r="I243" t="n">
        <v>0</v>
      </c>
      <c r="J243" t="n">
        <v>0</v>
      </c>
      <c r="K243" t="n">
        <v>0</v>
      </c>
      <c r="L243" t="n">
        <v>0</v>
      </c>
      <c r="M243" t="n">
        <v>0</v>
      </c>
      <c r="N243" t="n">
        <v>0</v>
      </c>
      <c r="O243" t="n">
        <v>0</v>
      </c>
      <c r="P243" t="n">
        <v>0</v>
      </c>
      <c r="Q243" t="n">
        <v>0</v>
      </c>
      <c r="R243" s="2" t="inlineStr"/>
    </row>
    <row r="244" ht="15" customHeight="1">
      <c r="A244" t="inlineStr">
        <is>
          <t>A 38971-2025</t>
        </is>
      </c>
      <c r="B244" s="1" t="n">
        <v>45887.71827546296</v>
      </c>
      <c r="C244" s="1" t="n">
        <v>46100</v>
      </c>
      <c r="D244" t="inlineStr">
        <is>
          <t>ÖSTERGÖTLANDS LÄN</t>
        </is>
      </c>
      <c r="E244" t="inlineStr">
        <is>
          <t>LINKÖPING</t>
        </is>
      </c>
      <c r="G244" t="n">
        <v>3.9</v>
      </c>
      <c r="H244" t="n">
        <v>0</v>
      </c>
      <c r="I244" t="n">
        <v>0</v>
      </c>
      <c r="J244" t="n">
        <v>0</v>
      </c>
      <c r="K244" t="n">
        <v>0</v>
      </c>
      <c r="L244" t="n">
        <v>0</v>
      </c>
      <c r="M244" t="n">
        <v>0</v>
      </c>
      <c r="N244" t="n">
        <v>0</v>
      </c>
      <c r="O244" t="n">
        <v>0</v>
      </c>
      <c r="P244" t="n">
        <v>0</v>
      </c>
      <c r="Q244" t="n">
        <v>0</v>
      </c>
      <c r="R244" s="2" t="inlineStr"/>
    </row>
    <row r="245" ht="15" customHeight="1">
      <c r="A245" t="inlineStr">
        <is>
          <t>A 55345-2021</t>
        </is>
      </c>
      <c r="B245" s="1" t="n">
        <v>44475</v>
      </c>
      <c r="C245" s="1" t="n">
        <v>46100</v>
      </c>
      <c r="D245" t="inlineStr">
        <is>
          <t>ÖSTERGÖTLANDS LÄN</t>
        </is>
      </c>
      <c r="E245" t="inlineStr">
        <is>
          <t>LINKÖPING</t>
        </is>
      </c>
      <c r="G245" t="n">
        <v>5.7</v>
      </c>
      <c r="H245" t="n">
        <v>0</v>
      </c>
      <c r="I245" t="n">
        <v>0</v>
      </c>
      <c r="J245" t="n">
        <v>0</v>
      </c>
      <c r="K245" t="n">
        <v>0</v>
      </c>
      <c r="L245" t="n">
        <v>0</v>
      </c>
      <c r="M245" t="n">
        <v>0</v>
      </c>
      <c r="N245" t="n">
        <v>0</v>
      </c>
      <c r="O245" t="n">
        <v>0</v>
      </c>
      <c r="P245" t="n">
        <v>0</v>
      </c>
      <c r="Q245" t="n">
        <v>0</v>
      </c>
      <c r="R245" s="2" t="inlineStr"/>
    </row>
    <row r="246" ht="15" customHeight="1">
      <c r="A246" t="inlineStr">
        <is>
          <t>A 22043-2023</t>
        </is>
      </c>
      <c r="B246" s="1" t="n">
        <v>45069.39050925926</v>
      </c>
      <c r="C246" s="1" t="n">
        <v>46100</v>
      </c>
      <c r="D246" t="inlineStr">
        <is>
          <t>ÖSTERGÖTLANDS LÄN</t>
        </is>
      </c>
      <c r="E246" t="inlineStr">
        <is>
          <t>LINKÖPING</t>
        </is>
      </c>
      <c r="G246" t="n">
        <v>5.9</v>
      </c>
      <c r="H246" t="n">
        <v>0</v>
      </c>
      <c r="I246" t="n">
        <v>0</v>
      </c>
      <c r="J246" t="n">
        <v>0</v>
      </c>
      <c r="K246" t="n">
        <v>0</v>
      </c>
      <c r="L246" t="n">
        <v>0</v>
      </c>
      <c r="M246" t="n">
        <v>0</v>
      </c>
      <c r="N246" t="n">
        <v>0</v>
      </c>
      <c r="O246" t="n">
        <v>0</v>
      </c>
      <c r="P246" t="n">
        <v>0</v>
      </c>
      <c r="Q246" t="n">
        <v>0</v>
      </c>
      <c r="R246" s="2" t="inlineStr"/>
    </row>
    <row r="247" ht="15" customHeight="1">
      <c r="A247" t="inlineStr">
        <is>
          <t>A 61532-2021</t>
        </is>
      </c>
      <c r="B247" s="1" t="n">
        <v>44501</v>
      </c>
      <c r="C247" s="1" t="n">
        <v>46100</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14028-2024</t>
        </is>
      </c>
      <c r="B248" s="1" t="n">
        <v>45392</v>
      </c>
      <c r="C248" s="1" t="n">
        <v>46100</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40431-2024</t>
        </is>
      </c>
      <c r="B249" s="1" t="n">
        <v>45555.47070601852</v>
      </c>
      <c r="C249" s="1" t="n">
        <v>46100</v>
      </c>
      <c r="D249" t="inlineStr">
        <is>
          <t>ÖSTERGÖTLANDS LÄN</t>
        </is>
      </c>
      <c r="E249" t="inlineStr">
        <is>
          <t>LINKÖPING</t>
        </is>
      </c>
      <c r="F249" t="inlineStr">
        <is>
          <t>Allmännings- och besparingsskogar</t>
        </is>
      </c>
      <c r="G249" t="n">
        <v>2.9</v>
      </c>
      <c r="H249" t="n">
        <v>0</v>
      </c>
      <c r="I249" t="n">
        <v>0</v>
      </c>
      <c r="J249" t="n">
        <v>0</v>
      </c>
      <c r="K249" t="n">
        <v>0</v>
      </c>
      <c r="L249" t="n">
        <v>0</v>
      </c>
      <c r="M249" t="n">
        <v>0</v>
      </c>
      <c r="N249" t="n">
        <v>0</v>
      </c>
      <c r="O249" t="n">
        <v>0</v>
      </c>
      <c r="P249" t="n">
        <v>0</v>
      </c>
      <c r="Q249" t="n">
        <v>0</v>
      </c>
      <c r="R249" s="2" t="inlineStr"/>
    </row>
    <row r="250" ht="15" customHeight="1">
      <c r="A250" t="inlineStr">
        <is>
          <t>A 22771-2024</t>
        </is>
      </c>
      <c r="B250" s="1" t="n">
        <v>45448.46574074074</v>
      </c>
      <c r="C250" s="1" t="n">
        <v>46100</v>
      </c>
      <c r="D250" t="inlineStr">
        <is>
          <t>ÖSTERGÖTLANDS LÄN</t>
        </is>
      </c>
      <c r="E250" t="inlineStr">
        <is>
          <t>LINKÖPING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48271-2023</t>
        </is>
      </c>
      <c r="B251" s="1" t="n">
        <v>45205</v>
      </c>
      <c r="C251" s="1" t="n">
        <v>46100</v>
      </c>
      <c r="D251" t="inlineStr">
        <is>
          <t>ÖSTERGÖTLANDS LÄN</t>
        </is>
      </c>
      <c r="E251" t="inlineStr">
        <is>
          <t>LINKÖPING</t>
        </is>
      </c>
      <c r="G251" t="n">
        <v>3</v>
      </c>
      <c r="H251" t="n">
        <v>0</v>
      </c>
      <c r="I251" t="n">
        <v>0</v>
      </c>
      <c r="J251" t="n">
        <v>0</v>
      </c>
      <c r="K251" t="n">
        <v>0</v>
      </c>
      <c r="L251" t="n">
        <v>0</v>
      </c>
      <c r="M251" t="n">
        <v>0</v>
      </c>
      <c r="N251" t="n">
        <v>0</v>
      </c>
      <c r="O251" t="n">
        <v>0</v>
      </c>
      <c r="P251" t="n">
        <v>0</v>
      </c>
      <c r="Q251" t="n">
        <v>0</v>
      </c>
      <c r="R251" s="2" t="inlineStr"/>
    </row>
    <row r="252" ht="15" customHeight="1">
      <c r="A252" t="inlineStr">
        <is>
          <t>A 12720-2022</t>
        </is>
      </c>
      <c r="B252" s="1" t="n">
        <v>44641</v>
      </c>
      <c r="C252" s="1" t="n">
        <v>46100</v>
      </c>
      <c r="D252" t="inlineStr">
        <is>
          <t>ÖSTERGÖTLANDS LÄN</t>
        </is>
      </c>
      <c r="E252" t="inlineStr">
        <is>
          <t>LINKÖPING</t>
        </is>
      </c>
      <c r="F252" t="inlineStr">
        <is>
          <t>Övriga Aktiebolag</t>
        </is>
      </c>
      <c r="G252" t="n">
        <v>2</v>
      </c>
      <c r="H252" t="n">
        <v>0</v>
      </c>
      <c r="I252" t="n">
        <v>0</v>
      </c>
      <c r="J252" t="n">
        <v>0</v>
      </c>
      <c r="K252" t="n">
        <v>0</v>
      </c>
      <c r="L252" t="n">
        <v>0</v>
      </c>
      <c r="M252" t="n">
        <v>0</v>
      </c>
      <c r="N252" t="n">
        <v>0</v>
      </c>
      <c r="O252" t="n">
        <v>0</v>
      </c>
      <c r="P252" t="n">
        <v>0</v>
      </c>
      <c r="Q252" t="n">
        <v>0</v>
      </c>
      <c r="R252" s="2" t="inlineStr"/>
    </row>
    <row r="253" ht="15" customHeight="1">
      <c r="A253" t="inlineStr">
        <is>
          <t>A 52220-2023</t>
        </is>
      </c>
      <c r="B253" s="1" t="n">
        <v>45217</v>
      </c>
      <c r="C253" s="1" t="n">
        <v>46100</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52225-2023</t>
        </is>
      </c>
      <c r="B254" s="1" t="n">
        <v>45217</v>
      </c>
      <c r="C254" s="1" t="n">
        <v>46100</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62018-2024</t>
        </is>
      </c>
      <c r="B255" s="1" t="n">
        <v>45655.81387731482</v>
      </c>
      <c r="C255" s="1" t="n">
        <v>46100</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60860-2024</t>
        </is>
      </c>
      <c r="B256" s="1" t="n">
        <v>45644.6893287037</v>
      </c>
      <c r="C256" s="1" t="n">
        <v>46100</v>
      </c>
      <c r="D256" t="inlineStr">
        <is>
          <t>ÖSTERGÖTLANDS LÄN</t>
        </is>
      </c>
      <c r="E256" t="inlineStr">
        <is>
          <t>LINKÖPING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42832-2023</t>
        </is>
      </c>
      <c r="B257" s="1" t="n">
        <v>45182.38091435185</v>
      </c>
      <c r="C257" s="1" t="n">
        <v>46100</v>
      </c>
      <c r="D257" t="inlineStr">
        <is>
          <t>ÖSTERGÖTLANDS LÄN</t>
        </is>
      </c>
      <c r="E257" t="inlineStr">
        <is>
          <t>LINKÖPING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56560-2023</t>
        </is>
      </c>
      <c r="B258" s="1" t="n">
        <v>45238</v>
      </c>
      <c r="C258" s="1" t="n">
        <v>46100</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2697-2023</t>
        </is>
      </c>
      <c r="B259" s="1" t="n">
        <v>44944</v>
      </c>
      <c r="C259" s="1" t="n">
        <v>46100</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52412-2023</t>
        </is>
      </c>
      <c r="B260" s="1" t="n">
        <v>45225.27888888889</v>
      </c>
      <c r="C260" s="1" t="n">
        <v>46100</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52413-2023</t>
        </is>
      </c>
      <c r="B261" s="1" t="n">
        <v>45225.27950231481</v>
      </c>
      <c r="C261" s="1" t="n">
        <v>46100</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7354-2025</t>
        </is>
      </c>
      <c r="B262" s="1" t="n">
        <v>45704.41174768518</v>
      </c>
      <c r="C262" s="1" t="n">
        <v>46100</v>
      </c>
      <c r="D262" t="inlineStr">
        <is>
          <t>ÖSTERGÖTLANDS LÄN</t>
        </is>
      </c>
      <c r="E262" t="inlineStr">
        <is>
          <t>LINKÖPING</t>
        </is>
      </c>
      <c r="G262" t="n">
        <v>4.8</v>
      </c>
      <c r="H262" t="n">
        <v>0</v>
      </c>
      <c r="I262" t="n">
        <v>0</v>
      </c>
      <c r="J262" t="n">
        <v>0</v>
      </c>
      <c r="K262" t="n">
        <v>0</v>
      </c>
      <c r="L262" t="n">
        <v>0</v>
      </c>
      <c r="M262" t="n">
        <v>0</v>
      </c>
      <c r="N262" t="n">
        <v>0</v>
      </c>
      <c r="O262" t="n">
        <v>0</v>
      </c>
      <c r="P262" t="n">
        <v>0</v>
      </c>
      <c r="Q262" t="n">
        <v>0</v>
      </c>
      <c r="R262" s="2" t="inlineStr"/>
    </row>
    <row r="263" ht="15" customHeight="1">
      <c r="A263" t="inlineStr">
        <is>
          <t>A 45806-2024</t>
        </is>
      </c>
      <c r="B263" s="1" t="n">
        <v>45579.69619212963</v>
      </c>
      <c r="C263" s="1" t="n">
        <v>46100</v>
      </c>
      <c r="D263" t="inlineStr">
        <is>
          <t>ÖSTERGÖTLANDS LÄN</t>
        </is>
      </c>
      <c r="E263" t="inlineStr">
        <is>
          <t>LINKÖPING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30551-2023</t>
        </is>
      </c>
      <c r="B264" s="1" t="n">
        <v>45111</v>
      </c>
      <c r="C264" s="1" t="n">
        <v>46100</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30860-2022</t>
        </is>
      </c>
      <c r="B265" s="1" t="n">
        <v>44767</v>
      </c>
      <c r="C265" s="1" t="n">
        <v>46100</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56756-2023</t>
        </is>
      </c>
      <c r="B266" s="1" t="n">
        <v>45244</v>
      </c>
      <c r="C266" s="1" t="n">
        <v>46100</v>
      </c>
      <c r="D266" t="inlineStr">
        <is>
          <t>ÖSTERGÖTLANDS LÄN</t>
        </is>
      </c>
      <c r="E266" t="inlineStr">
        <is>
          <t>LINKÖPING</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60004-2022</t>
        </is>
      </c>
      <c r="B267" s="1" t="n">
        <v>44909.47206018519</v>
      </c>
      <c r="C267" s="1" t="n">
        <v>46100</v>
      </c>
      <c r="D267" t="inlineStr">
        <is>
          <t>ÖSTERGÖTLANDS LÄN</t>
        </is>
      </c>
      <c r="E267" t="inlineStr">
        <is>
          <t>LINKÖPING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60010-2022</t>
        </is>
      </c>
      <c r="B268" s="1" t="n">
        <v>44909.4740625</v>
      </c>
      <c r="C268" s="1" t="n">
        <v>46100</v>
      </c>
      <c r="D268" t="inlineStr">
        <is>
          <t>ÖSTERGÖTLANDS LÄN</t>
        </is>
      </c>
      <c r="E268" t="inlineStr">
        <is>
          <t>LINKÖPING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53827-2023</t>
        </is>
      </c>
      <c r="B269" s="1" t="n">
        <v>45230</v>
      </c>
      <c r="C269" s="1" t="n">
        <v>46100</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4256-2022</t>
        </is>
      </c>
      <c r="B270" s="1" t="n">
        <v>44588</v>
      </c>
      <c r="C270" s="1" t="n">
        <v>46100</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61649-2023</t>
        </is>
      </c>
      <c r="B271" s="1" t="n">
        <v>45265</v>
      </c>
      <c r="C271" s="1" t="n">
        <v>46100</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60985-2023</t>
        </is>
      </c>
      <c r="B272" s="1" t="n">
        <v>45261.48429398148</v>
      </c>
      <c r="C272" s="1" t="n">
        <v>46100</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24904-2024</t>
        </is>
      </c>
      <c r="B273" s="1" t="n">
        <v>45461</v>
      </c>
      <c r="C273" s="1" t="n">
        <v>46100</v>
      </c>
      <c r="D273" t="inlineStr">
        <is>
          <t>ÖSTERGÖTLANDS LÄN</t>
        </is>
      </c>
      <c r="E273" t="inlineStr">
        <is>
          <t>LINKÖPING</t>
        </is>
      </c>
      <c r="G273" t="n">
        <v>3.8</v>
      </c>
      <c r="H273" t="n">
        <v>0</v>
      </c>
      <c r="I273" t="n">
        <v>0</v>
      </c>
      <c r="J273" t="n">
        <v>0</v>
      </c>
      <c r="K273" t="n">
        <v>0</v>
      </c>
      <c r="L273" t="n">
        <v>0</v>
      </c>
      <c r="M273" t="n">
        <v>0</v>
      </c>
      <c r="N273" t="n">
        <v>0</v>
      </c>
      <c r="O273" t="n">
        <v>0</v>
      </c>
      <c r="P273" t="n">
        <v>0</v>
      </c>
      <c r="Q273" t="n">
        <v>0</v>
      </c>
      <c r="R273" s="2" t="inlineStr"/>
    </row>
    <row r="274" ht="15" customHeight="1">
      <c r="A274" t="inlineStr">
        <is>
          <t>A 223-2024</t>
        </is>
      </c>
      <c r="B274" s="1" t="n">
        <v>45294.72739583333</v>
      </c>
      <c r="C274" s="1" t="n">
        <v>46100</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55009-2023</t>
        </is>
      </c>
      <c r="B275" s="1" t="n">
        <v>45237</v>
      </c>
      <c r="C275" s="1" t="n">
        <v>46100</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34872-2023</t>
        </is>
      </c>
      <c r="B276" s="1" t="n">
        <v>45140</v>
      </c>
      <c r="C276" s="1" t="n">
        <v>46100</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19464-2024</t>
        </is>
      </c>
      <c r="B277" s="1" t="n">
        <v>45429</v>
      </c>
      <c r="C277" s="1" t="n">
        <v>46100</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55945-2024</t>
        </is>
      </c>
      <c r="B278" s="1" t="n">
        <v>45623.61754629629</v>
      </c>
      <c r="C278" s="1" t="n">
        <v>46100</v>
      </c>
      <c r="D278" t="inlineStr">
        <is>
          <t>ÖSTERGÖTLANDS LÄN</t>
        </is>
      </c>
      <c r="E278" t="inlineStr">
        <is>
          <t>LINKÖPING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34928-2023</t>
        </is>
      </c>
      <c r="B279" s="1" t="n">
        <v>45142</v>
      </c>
      <c r="C279" s="1" t="n">
        <v>46100</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1263-2024</t>
        </is>
      </c>
      <c r="B280" s="1" t="n">
        <v>45302</v>
      </c>
      <c r="C280" s="1" t="n">
        <v>46100</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36336-2022</t>
        </is>
      </c>
      <c r="B281" s="1" t="n">
        <v>44803</v>
      </c>
      <c r="C281" s="1" t="n">
        <v>46100</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52531-2023</t>
        </is>
      </c>
      <c r="B282" s="1" t="n">
        <v>45225</v>
      </c>
      <c r="C282" s="1" t="n">
        <v>46100</v>
      </c>
      <c r="D282" t="inlineStr">
        <is>
          <t>ÖSTERGÖTLANDS LÄN</t>
        </is>
      </c>
      <c r="E282" t="inlineStr">
        <is>
          <t>LINKÖPING</t>
        </is>
      </c>
      <c r="F282" t="inlineStr">
        <is>
          <t>Övriga Aktiebolag</t>
        </is>
      </c>
      <c r="G282" t="n">
        <v>1</v>
      </c>
      <c r="H282" t="n">
        <v>0</v>
      </c>
      <c r="I282" t="n">
        <v>0</v>
      </c>
      <c r="J282" t="n">
        <v>0</v>
      </c>
      <c r="K282" t="n">
        <v>0</v>
      </c>
      <c r="L282" t="n">
        <v>0</v>
      </c>
      <c r="M282" t="n">
        <v>0</v>
      </c>
      <c r="N282" t="n">
        <v>0</v>
      </c>
      <c r="O282" t="n">
        <v>0</v>
      </c>
      <c r="P282" t="n">
        <v>0</v>
      </c>
      <c r="Q282" t="n">
        <v>0</v>
      </c>
      <c r="R282" s="2" t="inlineStr"/>
    </row>
    <row r="283" ht="15" customHeight="1">
      <c r="A283" t="inlineStr">
        <is>
          <t>A 630-2024</t>
        </is>
      </c>
      <c r="B283" s="1" t="n">
        <v>45299.67736111111</v>
      </c>
      <c r="C283" s="1" t="n">
        <v>46100</v>
      </c>
      <c r="D283" t="inlineStr">
        <is>
          <t>ÖSTERGÖTLANDS LÄN</t>
        </is>
      </c>
      <c r="E283" t="inlineStr">
        <is>
          <t>LINKÖPING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25097-2023</t>
        </is>
      </c>
      <c r="B284" s="1" t="n">
        <v>45086</v>
      </c>
      <c r="C284" s="1" t="n">
        <v>46100</v>
      </c>
      <c r="D284" t="inlineStr">
        <is>
          <t>ÖSTERGÖTLANDS LÄN</t>
        </is>
      </c>
      <c r="E284" t="inlineStr">
        <is>
          <t>LINKÖPING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30433-2024</t>
        </is>
      </c>
      <c r="B285" s="1" t="n">
        <v>45491.69741898148</v>
      </c>
      <c r="C285" s="1" t="n">
        <v>46100</v>
      </c>
      <c r="D285" t="inlineStr">
        <is>
          <t>ÖSTERGÖTLANDS LÄN</t>
        </is>
      </c>
      <c r="E285" t="inlineStr">
        <is>
          <t>LINKÖPING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20291-2025</t>
        </is>
      </c>
      <c r="B286" s="1" t="n">
        <v>45774.74288194445</v>
      </c>
      <c r="C286" s="1" t="n">
        <v>46100</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20293-2025</t>
        </is>
      </c>
      <c r="B287" s="1" t="n">
        <v>45774.74611111111</v>
      </c>
      <c r="C287" s="1" t="n">
        <v>46100</v>
      </c>
      <c r="D287" t="inlineStr">
        <is>
          <t>ÖSTERGÖTLANDS LÄN</t>
        </is>
      </c>
      <c r="E287" t="inlineStr">
        <is>
          <t>LINKÖPING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10461-2023</t>
        </is>
      </c>
      <c r="B288" s="1" t="n">
        <v>44987.5969212963</v>
      </c>
      <c r="C288" s="1" t="n">
        <v>46100</v>
      </c>
      <c r="D288" t="inlineStr">
        <is>
          <t>ÖSTERGÖTLANDS LÄN</t>
        </is>
      </c>
      <c r="E288" t="inlineStr">
        <is>
          <t>LINKÖPING</t>
        </is>
      </c>
      <c r="G288" t="n">
        <v>7.8</v>
      </c>
      <c r="H288" t="n">
        <v>0</v>
      </c>
      <c r="I288" t="n">
        <v>0</v>
      </c>
      <c r="J288" t="n">
        <v>0</v>
      </c>
      <c r="K288" t="n">
        <v>0</v>
      </c>
      <c r="L288" t="n">
        <v>0</v>
      </c>
      <c r="M288" t="n">
        <v>0</v>
      </c>
      <c r="N288" t="n">
        <v>0</v>
      </c>
      <c r="O288" t="n">
        <v>0</v>
      </c>
      <c r="P288" t="n">
        <v>0</v>
      </c>
      <c r="Q288" t="n">
        <v>0</v>
      </c>
      <c r="R288" s="2" t="inlineStr"/>
    </row>
    <row r="289" ht="15" customHeight="1">
      <c r="A289" t="inlineStr">
        <is>
          <t>A 63528-2023</t>
        </is>
      </c>
      <c r="B289" s="1" t="n">
        <v>45274.94810185185</v>
      </c>
      <c r="C289" s="1" t="n">
        <v>46100</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50386-2021</t>
        </is>
      </c>
      <c r="B290" s="1" t="n">
        <v>44459</v>
      </c>
      <c r="C290" s="1" t="n">
        <v>46100</v>
      </c>
      <c r="D290" t="inlineStr">
        <is>
          <t>ÖSTERGÖTLANDS LÄN</t>
        </is>
      </c>
      <c r="E290" t="inlineStr">
        <is>
          <t>LINKÖPING</t>
        </is>
      </c>
      <c r="G290" t="n">
        <v>2.3</v>
      </c>
      <c r="H290" t="n">
        <v>0</v>
      </c>
      <c r="I290" t="n">
        <v>0</v>
      </c>
      <c r="J290" t="n">
        <v>0</v>
      </c>
      <c r="K290" t="n">
        <v>0</v>
      </c>
      <c r="L290" t="n">
        <v>0</v>
      </c>
      <c r="M290" t="n">
        <v>0</v>
      </c>
      <c r="N290" t="n">
        <v>0</v>
      </c>
      <c r="O290" t="n">
        <v>0</v>
      </c>
      <c r="P290" t="n">
        <v>0</v>
      </c>
      <c r="Q290" t="n">
        <v>0</v>
      </c>
      <c r="R290" s="2" t="inlineStr"/>
    </row>
    <row r="291" ht="15" customHeight="1">
      <c r="A291" t="inlineStr">
        <is>
          <t>A 350-2022</t>
        </is>
      </c>
      <c r="B291" s="1" t="n">
        <v>44565</v>
      </c>
      <c r="C291" s="1" t="n">
        <v>46100</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61936-2023</t>
        </is>
      </c>
      <c r="B292" s="1" t="n">
        <v>45266.54534722222</v>
      </c>
      <c r="C292" s="1" t="n">
        <v>46100</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62492-2023</t>
        </is>
      </c>
      <c r="B293" s="1" t="n">
        <v>45268.58987268519</v>
      </c>
      <c r="C293" s="1" t="n">
        <v>46100</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3041-2024</t>
        </is>
      </c>
      <c r="B294" s="1" t="n">
        <v>45316.34875</v>
      </c>
      <c r="C294" s="1" t="n">
        <v>46100</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50963-2021</t>
        </is>
      </c>
      <c r="B295" s="1" t="n">
        <v>44460</v>
      </c>
      <c r="C295" s="1" t="n">
        <v>46100</v>
      </c>
      <c r="D295" t="inlineStr">
        <is>
          <t>ÖSTERGÖTLANDS LÄN</t>
        </is>
      </c>
      <c r="E295" t="inlineStr">
        <is>
          <t>LINKÖPING</t>
        </is>
      </c>
      <c r="G295" t="n">
        <v>4.4</v>
      </c>
      <c r="H295" t="n">
        <v>0</v>
      </c>
      <c r="I295" t="n">
        <v>0</v>
      </c>
      <c r="J295" t="n">
        <v>0</v>
      </c>
      <c r="K295" t="n">
        <v>0</v>
      </c>
      <c r="L295" t="n">
        <v>0</v>
      </c>
      <c r="M295" t="n">
        <v>0</v>
      </c>
      <c r="N295" t="n">
        <v>0</v>
      </c>
      <c r="O295" t="n">
        <v>0</v>
      </c>
      <c r="P295" t="n">
        <v>0</v>
      </c>
      <c r="Q295" t="n">
        <v>0</v>
      </c>
      <c r="R295" s="2" t="inlineStr"/>
    </row>
    <row r="296" ht="15" customHeight="1">
      <c r="A296" t="inlineStr">
        <is>
          <t>A 18891-2022</t>
        </is>
      </c>
      <c r="B296" s="1" t="n">
        <v>44690</v>
      </c>
      <c r="C296" s="1" t="n">
        <v>46100</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61307-2021</t>
        </is>
      </c>
      <c r="B297" s="1" t="n">
        <v>44498.63928240741</v>
      </c>
      <c r="C297" s="1" t="n">
        <v>46100</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61325-2021</t>
        </is>
      </c>
      <c r="B298" s="1" t="n">
        <v>44498.66814814815</v>
      </c>
      <c r="C298" s="1" t="n">
        <v>46100</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63665-2023</t>
        </is>
      </c>
      <c r="B299" s="1" t="n">
        <v>45275</v>
      </c>
      <c r="C299" s="1" t="n">
        <v>46100</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674-2024</t>
        </is>
      </c>
      <c r="B300" s="1" t="n">
        <v>45300.34408564815</v>
      </c>
      <c r="C300" s="1" t="n">
        <v>46100</v>
      </c>
      <c r="D300" t="inlineStr">
        <is>
          <t>ÖSTERGÖTLANDS LÄN</t>
        </is>
      </c>
      <c r="E300" t="inlineStr">
        <is>
          <t>LINKÖPING</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33867-2023</t>
        </is>
      </c>
      <c r="B301" s="1" t="n">
        <v>45133.94640046296</v>
      </c>
      <c r="C301" s="1" t="n">
        <v>46100</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30976-2022</t>
        </is>
      </c>
      <c r="B302" s="1" t="n">
        <v>44768</v>
      </c>
      <c r="C302" s="1" t="n">
        <v>46100</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3008-2023</t>
        </is>
      </c>
      <c r="B303" s="1" t="n">
        <v>44945.79784722222</v>
      </c>
      <c r="C303" s="1" t="n">
        <v>46100</v>
      </c>
      <c r="D303" t="inlineStr">
        <is>
          <t>ÖSTERGÖTLANDS LÄN</t>
        </is>
      </c>
      <c r="E303" t="inlineStr">
        <is>
          <t>LINKÖPING</t>
        </is>
      </c>
      <c r="G303" t="n">
        <v>19.3</v>
      </c>
      <c r="H303" t="n">
        <v>0</v>
      </c>
      <c r="I303" t="n">
        <v>0</v>
      </c>
      <c r="J303" t="n">
        <v>0</v>
      </c>
      <c r="K303" t="n">
        <v>0</v>
      </c>
      <c r="L303" t="n">
        <v>0</v>
      </c>
      <c r="M303" t="n">
        <v>0</v>
      </c>
      <c r="N303" t="n">
        <v>0</v>
      </c>
      <c r="O303" t="n">
        <v>0</v>
      </c>
      <c r="P303" t="n">
        <v>0</v>
      </c>
      <c r="Q303" t="n">
        <v>0</v>
      </c>
      <c r="R303" s="2" t="inlineStr"/>
    </row>
    <row r="304" ht="15" customHeight="1">
      <c r="A304" t="inlineStr">
        <is>
          <t>A 6782-2024</t>
        </is>
      </c>
      <c r="B304" s="1" t="n">
        <v>45342</v>
      </c>
      <c r="C304" s="1" t="n">
        <v>46100</v>
      </c>
      <c r="D304" t="inlineStr">
        <is>
          <t>ÖSTERGÖTLANDS LÄN</t>
        </is>
      </c>
      <c r="E304" t="inlineStr">
        <is>
          <t>LINKÖPING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46100</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10094-2024</t>
        </is>
      </c>
      <c r="B306" s="1" t="n">
        <v>45364</v>
      </c>
      <c r="C306" s="1" t="n">
        <v>46100</v>
      </c>
      <c r="D306" t="inlineStr">
        <is>
          <t>ÖSTERGÖTLANDS LÄN</t>
        </is>
      </c>
      <c r="E306" t="inlineStr">
        <is>
          <t>LINKÖPING</t>
        </is>
      </c>
      <c r="F306" t="inlineStr">
        <is>
          <t>Övriga Aktiebolag</t>
        </is>
      </c>
      <c r="G306" t="n">
        <v>1.9</v>
      </c>
      <c r="H306" t="n">
        <v>0</v>
      </c>
      <c r="I306" t="n">
        <v>0</v>
      </c>
      <c r="J306" t="n">
        <v>0</v>
      </c>
      <c r="K306" t="n">
        <v>0</v>
      </c>
      <c r="L306" t="n">
        <v>0</v>
      </c>
      <c r="M306" t="n">
        <v>0</v>
      </c>
      <c r="N306" t="n">
        <v>0</v>
      </c>
      <c r="O306" t="n">
        <v>0</v>
      </c>
      <c r="P306" t="n">
        <v>0</v>
      </c>
      <c r="Q306" t="n">
        <v>0</v>
      </c>
      <c r="R306" s="2" t="inlineStr"/>
    </row>
    <row r="307" ht="15" customHeight="1">
      <c r="A307" t="inlineStr">
        <is>
          <t>A 63684-2023</t>
        </is>
      </c>
      <c r="B307" s="1" t="n">
        <v>45275</v>
      </c>
      <c r="C307" s="1" t="n">
        <v>46100</v>
      </c>
      <c r="D307" t="inlineStr">
        <is>
          <t>ÖSTERGÖTLANDS LÄN</t>
        </is>
      </c>
      <c r="E307" t="inlineStr">
        <is>
          <t>LINKÖPING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63688-2023</t>
        </is>
      </c>
      <c r="B308" s="1" t="n">
        <v>45275</v>
      </c>
      <c r="C308" s="1" t="n">
        <v>46100</v>
      </c>
      <c r="D308" t="inlineStr">
        <is>
          <t>ÖSTERGÖTLANDS LÄN</t>
        </is>
      </c>
      <c r="E308" t="inlineStr">
        <is>
          <t>LINKÖPING</t>
        </is>
      </c>
      <c r="F308" t="inlineStr">
        <is>
          <t>Övriga Aktiebolag</t>
        </is>
      </c>
      <c r="G308" t="n">
        <v>2.4</v>
      </c>
      <c r="H308" t="n">
        <v>0</v>
      </c>
      <c r="I308" t="n">
        <v>0</v>
      </c>
      <c r="J308" t="n">
        <v>0</v>
      </c>
      <c r="K308" t="n">
        <v>0</v>
      </c>
      <c r="L308" t="n">
        <v>0</v>
      </c>
      <c r="M308" t="n">
        <v>0</v>
      </c>
      <c r="N308" t="n">
        <v>0</v>
      </c>
      <c r="O308" t="n">
        <v>0</v>
      </c>
      <c r="P308" t="n">
        <v>0</v>
      </c>
      <c r="Q308" t="n">
        <v>0</v>
      </c>
      <c r="R308" s="2" t="inlineStr"/>
    </row>
    <row r="309" ht="15" customHeight="1">
      <c r="A309" t="inlineStr">
        <is>
          <t>A 63691-2023</t>
        </is>
      </c>
      <c r="B309" s="1" t="n">
        <v>45275</v>
      </c>
      <c r="C309" s="1" t="n">
        <v>46100</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36657-2023</t>
        </is>
      </c>
      <c r="B310" s="1" t="n">
        <v>45153.5702662037</v>
      </c>
      <c r="C310" s="1" t="n">
        <v>46100</v>
      </c>
      <c r="D310" t="inlineStr">
        <is>
          <t>ÖSTERGÖTLANDS LÄN</t>
        </is>
      </c>
      <c r="E310" t="inlineStr">
        <is>
          <t>LINKÖPING</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30985-2022</t>
        </is>
      </c>
      <c r="B311" s="1" t="n">
        <v>44768</v>
      </c>
      <c r="C311" s="1" t="n">
        <v>46100</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38317-2024</t>
        </is>
      </c>
      <c r="B312" s="1" t="n">
        <v>45545.65766203704</v>
      </c>
      <c r="C312" s="1" t="n">
        <v>46100</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14667-2024</t>
        </is>
      </c>
      <c r="B313" s="1" t="n">
        <v>45397.42005787037</v>
      </c>
      <c r="C313" s="1" t="n">
        <v>46100</v>
      </c>
      <c r="D313" t="inlineStr">
        <is>
          <t>ÖSTERGÖTLANDS LÄN</t>
        </is>
      </c>
      <c r="E313" t="inlineStr">
        <is>
          <t>LINKÖPING</t>
        </is>
      </c>
      <c r="G313" t="n">
        <v>2.3</v>
      </c>
      <c r="H313" t="n">
        <v>0</v>
      </c>
      <c r="I313" t="n">
        <v>0</v>
      </c>
      <c r="J313" t="n">
        <v>0</v>
      </c>
      <c r="K313" t="n">
        <v>0</v>
      </c>
      <c r="L313" t="n">
        <v>0</v>
      </c>
      <c r="M313" t="n">
        <v>0</v>
      </c>
      <c r="N313" t="n">
        <v>0</v>
      </c>
      <c r="O313" t="n">
        <v>0</v>
      </c>
      <c r="P313" t="n">
        <v>0</v>
      </c>
      <c r="Q313" t="n">
        <v>0</v>
      </c>
      <c r="R313" s="2" t="inlineStr"/>
    </row>
    <row r="314" ht="15" customHeight="1">
      <c r="A314" t="inlineStr">
        <is>
          <t>A 10194-2023</t>
        </is>
      </c>
      <c r="B314" s="1" t="n">
        <v>44986.52277777778</v>
      </c>
      <c r="C314" s="1" t="n">
        <v>46100</v>
      </c>
      <c r="D314" t="inlineStr">
        <is>
          <t>ÖSTERGÖTLANDS LÄN</t>
        </is>
      </c>
      <c r="E314" t="inlineStr">
        <is>
          <t>LINKÖPING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58947-2022</t>
        </is>
      </c>
      <c r="B315" s="1" t="n">
        <v>44903.64769675926</v>
      </c>
      <c r="C315" s="1" t="n">
        <v>46100</v>
      </c>
      <c r="D315" t="inlineStr">
        <is>
          <t>ÖSTERGÖTLANDS LÄN</t>
        </is>
      </c>
      <c r="E315" t="inlineStr">
        <is>
          <t>LINKÖPING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15714-2024</t>
        </is>
      </c>
      <c r="B316" s="1" t="n">
        <v>45404.48288194444</v>
      </c>
      <c r="C316" s="1" t="n">
        <v>46100</v>
      </c>
      <c r="D316" t="inlineStr">
        <is>
          <t>ÖSTERGÖTLANDS LÄN</t>
        </is>
      </c>
      <c r="E316" t="inlineStr">
        <is>
          <t>LINKÖPING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16665-2023</t>
        </is>
      </c>
      <c r="B317" s="1" t="n">
        <v>45030.5583912037</v>
      </c>
      <c r="C317" s="1" t="n">
        <v>46100</v>
      </c>
      <c r="D317" t="inlineStr">
        <is>
          <t>ÖSTERGÖTLANDS LÄN</t>
        </is>
      </c>
      <c r="E317" t="inlineStr">
        <is>
          <t>LINKÖPING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7702-2023</t>
        </is>
      </c>
      <c r="B318" s="1" t="n">
        <v>44967</v>
      </c>
      <c r="C318" s="1" t="n">
        <v>46100</v>
      </c>
      <c r="D318" t="inlineStr">
        <is>
          <t>ÖSTERGÖTLANDS LÄN</t>
        </is>
      </c>
      <c r="E318" t="inlineStr">
        <is>
          <t>LINKÖPING</t>
        </is>
      </c>
      <c r="F318" t="inlineStr">
        <is>
          <t>Övriga statliga verk och myndigheter</t>
        </is>
      </c>
      <c r="G318" t="n">
        <v>8</v>
      </c>
      <c r="H318" t="n">
        <v>0</v>
      </c>
      <c r="I318" t="n">
        <v>0</v>
      </c>
      <c r="J318" t="n">
        <v>0</v>
      </c>
      <c r="K318" t="n">
        <v>0</v>
      </c>
      <c r="L318" t="n">
        <v>0</v>
      </c>
      <c r="M318" t="n">
        <v>0</v>
      </c>
      <c r="N318" t="n">
        <v>0</v>
      </c>
      <c r="O318" t="n">
        <v>0</v>
      </c>
      <c r="P318" t="n">
        <v>0</v>
      </c>
      <c r="Q318" t="n">
        <v>0</v>
      </c>
      <c r="R318" s="2" t="inlineStr"/>
    </row>
    <row r="319" ht="15" customHeight="1">
      <c r="A319" t="inlineStr">
        <is>
          <t>A 37715-2022</t>
        </is>
      </c>
      <c r="B319" s="1" t="n">
        <v>44810</v>
      </c>
      <c r="C319" s="1" t="n">
        <v>46100</v>
      </c>
      <c r="D319" t="inlineStr">
        <is>
          <t>ÖSTERGÖTLANDS LÄN</t>
        </is>
      </c>
      <c r="E319" t="inlineStr">
        <is>
          <t>LINKÖPING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42000-2023</t>
        </is>
      </c>
      <c r="B320" s="1" t="n">
        <v>45177</v>
      </c>
      <c r="C320" s="1" t="n">
        <v>46100</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60001-2022</t>
        </is>
      </c>
      <c r="B321" s="1" t="n">
        <v>44909.47087962963</v>
      </c>
      <c r="C321" s="1" t="n">
        <v>46100</v>
      </c>
      <c r="D321" t="inlineStr">
        <is>
          <t>ÖSTERGÖTLANDS LÄN</t>
        </is>
      </c>
      <c r="E321" t="inlineStr">
        <is>
          <t>LINKÖPING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60013-2022</t>
        </is>
      </c>
      <c r="B322" s="1" t="n">
        <v>44909.47482638889</v>
      </c>
      <c r="C322" s="1" t="n">
        <v>46100</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1211-2023</t>
        </is>
      </c>
      <c r="B323" s="1" t="n">
        <v>44930</v>
      </c>
      <c r="C323" s="1" t="n">
        <v>46100</v>
      </c>
      <c r="D323" t="inlineStr">
        <is>
          <t>ÖSTERGÖTLANDS LÄN</t>
        </is>
      </c>
      <c r="E323" t="inlineStr">
        <is>
          <t>LINKÖPING</t>
        </is>
      </c>
      <c r="F323" t="inlineStr">
        <is>
          <t>Övriga statliga verk och myndigheter</t>
        </is>
      </c>
      <c r="G323" t="n">
        <v>7.9</v>
      </c>
      <c r="H323" t="n">
        <v>0</v>
      </c>
      <c r="I323" t="n">
        <v>0</v>
      </c>
      <c r="J323" t="n">
        <v>0</v>
      </c>
      <c r="K323" t="n">
        <v>0</v>
      </c>
      <c r="L323" t="n">
        <v>0</v>
      </c>
      <c r="M323" t="n">
        <v>0</v>
      </c>
      <c r="N323" t="n">
        <v>0</v>
      </c>
      <c r="O323" t="n">
        <v>0</v>
      </c>
      <c r="P323" t="n">
        <v>0</v>
      </c>
      <c r="Q323" t="n">
        <v>0</v>
      </c>
      <c r="R323" s="2" t="inlineStr"/>
    </row>
    <row r="324" ht="15" customHeight="1">
      <c r="A324" t="inlineStr">
        <is>
          <t>A 31534-2023</t>
        </is>
      </c>
      <c r="B324" s="1" t="n">
        <v>45116</v>
      </c>
      <c r="C324" s="1" t="n">
        <v>46100</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30429-2024</t>
        </is>
      </c>
      <c r="B325" s="1" t="n">
        <v>45491.68972222223</v>
      </c>
      <c r="C325" s="1" t="n">
        <v>46100</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35427-2023</t>
        </is>
      </c>
      <c r="B326" s="1" t="n">
        <v>45146</v>
      </c>
      <c r="C326" s="1" t="n">
        <v>46100</v>
      </c>
      <c r="D326" t="inlineStr">
        <is>
          <t>ÖSTERGÖTLANDS LÄN</t>
        </is>
      </c>
      <c r="E326" t="inlineStr">
        <is>
          <t>LINKÖPING</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30435-2024</t>
        </is>
      </c>
      <c r="B327" s="1" t="n">
        <v>45491.69962962963</v>
      </c>
      <c r="C327" s="1" t="n">
        <v>46100</v>
      </c>
      <c r="D327" t="inlineStr">
        <is>
          <t>ÖSTERGÖTLANDS LÄN</t>
        </is>
      </c>
      <c r="E327" t="inlineStr">
        <is>
          <t>LINKÖPING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39438-2025</t>
        </is>
      </c>
      <c r="B328" s="1" t="n">
        <v>45889.68641203704</v>
      </c>
      <c r="C328" s="1" t="n">
        <v>46100</v>
      </c>
      <c r="D328" t="inlineStr">
        <is>
          <t>ÖSTERGÖTLANDS LÄN</t>
        </is>
      </c>
      <c r="E328" t="inlineStr">
        <is>
          <t>LINKÖPING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36725-2023</t>
        </is>
      </c>
      <c r="B329" s="1" t="n">
        <v>45153.68471064815</v>
      </c>
      <c r="C329" s="1" t="n">
        <v>46100</v>
      </c>
      <c r="D329" t="inlineStr">
        <is>
          <t>ÖSTERGÖTLANDS LÄN</t>
        </is>
      </c>
      <c r="E329" t="inlineStr">
        <is>
          <t>LINKÖPING</t>
        </is>
      </c>
      <c r="F329" t="inlineStr">
        <is>
          <t>Allmännings- och besparingsskogar</t>
        </is>
      </c>
      <c r="G329" t="n">
        <v>2.6</v>
      </c>
      <c r="H329" t="n">
        <v>0</v>
      </c>
      <c r="I329" t="n">
        <v>0</v>
      </c>
      <c r="J329" t="n">
        <v>0</v>
      </c>
      <c r="K329" t="n">
        <v>0</v>
      </c>
      <c r="L329" t="n">
        <v>0</v>
      </c>
      <c r="M329" t="n">
        <v>0</v>
      </c>
      <c r="N329" t="n">
        <v>0</v>
      </c>
      <c r="O329" t="n">
        <v>0</v>
      </c>
      <c r="P329" t="n">
        <v>0</v>
      </c>
      <c r="Q329" t="n">
        <v>0</v>
      </c>
      <c r="R329" s="2" t="inlineStr"/>
    </row>
    <row r="330" ht="15" customHeight="1">
      <c r="A330" t="inlineStr">
        <is>
          <t>A 38136-2023</t>
        </is>
      </c>
      <c r="B330" s="1" t="n">
        <v>45161.37310185185</v>
      </c>
      <c r="C330" s="1" t="n">
        <v>46100</v>
      </c>
      <c r="D330" t="inlineStr">
        <is>
          <t>ÖSTERGÖTLANDS LÄN</t>
        </is>
      </c>
      <c r="E330" t="inlineStr">
        <is>
          <t>LINKÖPING</t>
        </is>
      </c>
      <c r="G330" t="n">
        <v>5.6</v>
      </c>
      <c r="H330" t="n">
        <v>0</v>
      </c>
      <c r="I330" t="n">
        <v>0</v>
      </c>
      <c r="J330" t="n">
        <v>0</v>
      </c>
      <c r="K330" t="n">
        <v>0</v>
      </c>
      <c r="L330" t="n">
        <v>0</v>
      </c>
      <c r="M330" t="n">
        <v>0</v>
      </c>
      <c r="N330" t="n">
        <v>0</v>
      </c>
      <c r="O330" t="n">
        <v>0</v>
      </c>
      <c r="P330" t="n">
        <v>0</v>
      </c>
      <c r="Q330" t="n">
        <v>0</v>
      </c>
      <c r="R330" s="2" t="inlineStr"/>
    </row>
    <row r="331" ht="15" customHeight="1">
      <c r="A331" t="inlineStr">
        <is>
          <t>A 27264-2025</t>
        </is>
      </c>
      <c r="B331" s="1" t="n">
        <v>45812.4794212963</v>
      </c>
      <c r="C331" s="1" t="n">
        <v>46100</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38231-2022</t>
        </is>
      </c>
      <c r="B332" s="1" t="n">
        <v>44812</v>
      </c>
      <c r="C332" s="1" t="n">
        <v>46100</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34557-2022</t>
        </is>
      </c>
      <c r="B333" s="1" t="n">
        <v>44794.57074074074</v>
      </c>
      <c r="C333" s="1" t="n">
        <v>46100</v>
      </c>
      <c r="D333" t="inlineStr">
        <is>
          <t>ÖSTERGÖTLANDS LÄN</t>
        </is>
      </c>
      <c r="E333" t="inlineStr">
        <is>
          <t>LINKÖPING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13011-2022</t>
        </is>
      </c>
      <c r="B334" s="1" t="n">
        <v>44643</v>
      </c>
      <c r="C334" s="1" t="n">
        <v>46100</v>
      </c>
      <c r="D334" t="inlineStr">
        <is>
          <t>ÖSTERGÖTLANDS LÄN</t>
        </is>
      </c>
      <c r="E334" t="inlineStr">
        <is>
          <t>LINKÖPING</t>
        </is>
      </c>
      <c r="G334" t="n">
        <v>3.7</v>
      </c>
      <c r="H334" t="n">
        <v>0</v>
      </c>
      <c r="I334" t="n">
        <v>0</v>
      </c>
      <c r="J334" t="n">
        <v>0</v>
      </c>
      <c r="K334" t="n">
        <v>0</v>
      </c>
      <c r="L334" t="n">
        <v>0</v>
      </c>
      <c r="M334" t="n">
        <v>0</v>
      </c>
      <c r="N334" t="n">
        <v>0</v>
      </c>
      <c r="O334" t="n">
        <v>0</v>
      </c>
      <c r="P334" t="n">
        <v>0</v>
      </c>
      <c r="Q334" t="n">
        <v>0</v>
      </c>
      <c r="R334" s="2" t="inlineStr"/>
    </row>
    <row r="335" ht="15" customHeight="1">
      <c r="A335" t="inlineStr">
        <is>
          <t>A 53639-2023</t>
        </is>
      </c>
      <c r="B335" s="1" t="n">
        <v>45230.59686342593</v>
      </c>
      <c r="C335" s="1" t="n">
        <v>46100</v>
      </c>
      <c r="D335" t="inlineStr">
        <is>
          <t>ÖSTERGÖTLANDS LÄN</t>
        </is>
      </c>
      <c r="E335" t="inlineStr">
        <is>
          <t>LINKÖPING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617-2024</t>
        </is>
      </c>
      <c r="B336" s="1" t="n">
        <v>45299.66028935185</v>
      </c>
      <c r="C336" s="1" t="n">
        <v>46100</v>
      </c>
      <c r="D336" t="inlineStr">
        <is>
          <t>ÖSTERGÖTLANDS LÄN</t>
        </is>
      </c>
      <c r="E336" t="inlineStr">
        <is>
          <t>LINKÖPING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1657-2024</t>
        </is>
      </c>
      <c r="B337" s="1" t="n">
        <v>45306.82501157407</v>
      </c>
      <c r="C337" s="1" t="n">
        <v>46100</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39074-2025</t>
        </is>
      </c>
      <c r="B338" s="1" t="n">
        <v>45888</v>
      </c>
      <c r="C338" s="1" t="n">
        <v>46100</v>
      </c>
      <c r="D338" t="inlineStr">
        <is>
          <t>ÖSTERGÖTLANDS LÄN</t>
        </is>
      </c>
      <c r="E338" t="inlineStr">
        <is>
          <t>LINKÖPING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72567-2021</t>
        </is>
      </c>
      <c r="B339" s="1" t="n">
        <v>44546.45023148148</v>
      </c>
      <c r="C339" s="1" t="n">
        <v>46100</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50784-2022</t>
        </is>
      </c>
      <c r="B340" s="1" t="n">
        <v>44862</v>
      </c>
      <c r="C340" s="1" t="n">
        <v>46100</v>
      </c>
      <c r="D340" t="inlineStr">
        <is>
          <t>ÖSTERGÖTLANDS LÄN</t>
        </is>
      </c>
      <c r="E340" t="inlineStr">
        <is>
          <t>LINKÖPING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26803-2024</t>
        </is>
      </c>
      <c r="B341" s="1" t="n">
        <v>45470</v>
      </c>
      <c r="C341" s="1" t="n">
        <v>46100</v>
      </c>
      <c r="D341" t="inlineStr">
        <is>
          <t>ÖSTERGÖTLANDS LÄN</t>
        </is>
      </c>
      <c r="E341" t="inlineStr">
        <is>
          <t>LINKÖPING</t>
        </is>
      </c>
      <c r="F341" t="inlineStr">
        <is>
          <t>Allmännings- och besparingsskogar</t>
        </is>
      </c>
      <c r="G341" t="n">
        <v>4.5</v>
      </c>
      <c r="H341" t="n">
        <v>0</v>
      </c>
      <c r="I341" t="n">
        <v>0</v>
      </c>
      <c r="J341" t="n">
        <v>0</v>
      </c>
      <c r="K341" t="n">
        <v>0</v>
      </c>
      <c r="L341" t="n">
        <v>0</v>
      </c>
      <c r="M341" t="n">
        <v>0</v>
      </c>
      <c r="N341" t="n">
        <v>0</v>
      </c>
      <c r="O341" t="n">
        <v>0</v>
      </c>
      <c r="P341" t="n">
        <v>0</v>
      </c>
      <c r="Q341" t="n">
        <v>0</v>
      </c>
      <c r="R341" s="2" t="inlineStr"/>
    </row>
    <row r="342" ht="15" customHeight="1">
      <c r="A342" t="inlineStr">
        <is>
          <t>A 19362-2023</t>
        </is>
      </c>
      <c r="B342" s="1" t="n">
        <v>45049</v>
      </c>
      <c r="C342" s="1" t="n">
        <v>46100</v>
      </c>
      <c r="D342" t="inlineStr">
        <is>
          <t>ÖSTERGÖTLANDS LÄN</t>
        </is>
      </c>
      <c r="E342" t="inlineStr">
        <is>
          <t>LINKÖPING</t>
        </is>
      </c>
      <c r="G342" t="n">
        <v>0.1</v>
      </c>
      <c r="H342" t="n">
        <v>0</v>
      </c>
      <c r="I342" t="n">
        <v>0</v>
      </c>
      <c r="J342" t="n">
        <v>0</v>
      </c>
      <c r="K342" t="n">
        <v>0</v>
      </c>
      <c r="L342" t="n">
        <v>0</v>
      </c>
      <c r="M342" t="n">
        <v>0</v>
      </c>
      <c r="N342" t="n">
        <v>0</v>
      </c>
      <c r="O342" t="n">
        <v>0</v>
      </c>
      <c r="P342" t="n">
        <v>0</v>
      </c>
      <c r="Q342" t="n">
        <v>0</v>
      </c>
      <c r="R342" s="2" t="inlineStr"/>
    </row>
    <row r="343" ht="15" customHeight="1">
      <c r="A343" t="inlineStr">
        <is>
          <t>A 12317-2025</t>
        </is>
      </c>
      <c r="B343" s="1" t="n">
        <v>45729.8487037037</v>
      </c>
      <c r="C343" s="1" t="n">
        <v>46100</v>
      </c>
      <c r="D343" t="inlineStr">
        <is>
          <t>ÖSTERGÖTLANDS LÄN</t>
        </is>
      </c>
      <c r="E343" t="inlineStr">
        <is>
          <t>LINKÖPING</t>
        </is>
      </c>
      <c r="G343" t="n">
        <v>8</v>
      </c>
      <c r="H343" t="n">
        <v>0</v>
      </c>
      <c r="I343" t="n">
        <v>0</v>
      </c>
      <c r="J343" t="n">
        <v>0</v>
      </c>
      <c r="K343" t="n">
        <v>0</v>
      </c>
      <c r="L343" t="n">
        <v>0</v>
      </c>
      <c r="M343" t="n">
        <v>0</v>
      </c>
      <c r="N343" t="n">
        <v>0</v>
      </c>
      <c r="O343" t="n">
        <v>0</v>
      </c>
      <c r="P343" t="n">
        <v>0</v>
      </c>
      <c r="Q343" t="n">
        <v>0</v>
      </c>
      <c r="R343" s="2" t="inlineStr"/>
    </row>
    <row r="344" ht="15" customHeight="1">
      <c r="A344" t="inlineStr">
        <is>
          <t>A 19187-2021</t>
        </is>
      </c>
      <c r="B344" s="1" t="n">
        <v>44308</v>
      </c>
      <c r="C344" s="1" t="n">
        <v>46100</v>
      </c>
      <c r="D344" t="inlineStr">
        <is>
          <t>ÖSTERGÖTLANDS LÄN</t>
        </is>
      </c>
      <c r="E344" t="inlineStr">
        <is>
          <t>LINKÖPING</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36557-2023</t>
        </is>
      </c>
      <c r="B345" s="1" t="n">
        <v>45153</v>
      </c>
      <c r="C345" s="1" t="n">
        <v>46100</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19132-2023</t>
        </is>
      </c>
      <c r="B346" s="1" t="n">
        <v>45048.54754629629</v>
      </c>
      <c r="C346" s="1" t="n">
        <v>46100</v>
      </c>
      <c r="D346" t="inlineStr">
        <is>
          <t>ÖSTERGÖTLANDS LÄN</t>
        </is>
      </c>
      <c r="E346" t="inlineStr">
        <is>
          <t>LINKÖPING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2085-2024</t>
        </is>
      </c>
      <c r="B347" s="1" t="n">
        <v>45309</v>
      </c>
      <c r="C347" s="1" t="n">
        <v>46100</v>
      </c>
      <c r="D347" t="inlineStr">
        <is>
          <t>ÖSTERGÖTLANDS LÄN</t>
        </is>
      </c>
      <c r="E347" t="inlineStr">
        <is>
          <t>LINKÖPING</t>
        </is>
      </c>
      <c r="G347" t="n">
        <v>4.5</v>
      </c>
      <c r="H347" t="n">
        <v>0</v>
      </c>
      <c r="I347" t="n">
        <v>0</v>
      </c>
      <c r="J347" t="n">
        <v>0</v>
      </c>
      <c r="K347" t="n">
        <v>0</v>
      </c>
      <c r="L347" t="n">
        <v>0</v>
      </c>
      <c r="M347" t="n">
        <v>0</v>
      </c>
      <c r="N347" t="n">
        <v>0</v>
      </c>
      <c r="O347" t="n">
        <v>0</v>
      </c>
      <c r="P347" t="n">
        <v>0</v>
      </c>
      <c r="Q347" t="n">
        <v>0</v>
      </c>
      <c r="R347" s="2" t="inlineStr"/>
    </row>
    <row r="348" ht="15" customHeight="1">
      <c r="A348" t="inlineStr">
        <is>
          <t>A 30468-2023</t>
        </is>
      </c>
      <c r="B348" s="1" t="n">
        <v>45111.58732638889</v>
      </c>
      <c r="C348" s="1" t="n">
        <v>46100</v>
      </c>
      <c r="D348" t="inlineStr">
        <is>
          <t>ÖSTERGÖTLANDS LÄN</t>
        </is>
      </c>
      <c r="E348" t="inlineStr">
        <is>
          <t>LINKÖPING</t>
        </is>
      </c>
      <c r="G348" t="n">
        <v>10.1</v>
      </c>
      <c r="H348" t="n">
        <v>0</v>
      </c>
      <c r="I348" t="n">
        <v>0</v>
      </c>
      <c r="J348" t="n">
        <v>0</v>
      </c>
      <c r="K348" t="n">
        <v>0</v>
      </c>
      <c r="L348" t="n">
        <v>0</v>
      </c>
      <c r="M348" t="n">
        <v>0</v>
      </c>
      <c r="N348" t="n">
        <v>0</v>
      </c>
      <c r="O348" t="n">
        <v>0</v>
      </c>
      <c r="P348" t="n">
        <v>0</v>
      </c>
      <c r="Q348" t="n">
        <v>0</v>
      </c>
      <c r="R348" s="2" t="inlineStr"/>
    </row>
    <row r="349" ht="15" customHeight="1">
      <c r="A349" t="inlineStr">
        <is>
          <t>A 60472-2022</t>
        </is>
      </c>
      <c r="B349" s="1" t="n">
        <v>44911.41037037037</v>
      </c>
      <c r="C349" s="1" t="n">
        <v>46100</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38715-2023</t>
        </is>
      </c>
      <c r="B350" s="1" t="n">
        <v>45160</v>
      </c>
      <c r="C350" s="1" t="n">
        <v>46100</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43934-2023</t>
        </is>
      </c>
      <c r="B351" s="1" t="n">
        <v>45187</v>
      </c>
      <c r="C351" s="1" t="n">
        <v>46100</v>
      </c>
      <c r="D351" t="inlineStr">
        <is>
          <t>ÖSTERGÖTLANDS LÄN</t>
        </is>
      </c>
      <c r="E351" t="inlineStr">
        <is>
          <t>LINKÖPING</t>
        </is>
      </c>
      <c r="F351" t="inlineStr">
        <is>
          <t>Övriga Aktiebolag</t>
        </is>
      </c>
      <c r="G351" t="n">
        <v>3.8</v>
      </c>
      <c r="H351" t="n">
        <v>0</v>
      </c>
      <c r="I351" t="n">
        <v>0</v>
      </c>
      <c r="J351" t="n">
        <v>0</v>
      </c>
      <c r="K351" t="n">
        <v>0</v>
      </c>
      <c r="L351" t="n">
        <v>0</v>
      </c>
      <c r="M351" t="n">
        <v>0</v>
      </c>
      <c r="N351" t="n">
        <v>0</v>
      </c>
      <c r="O351" t="n">
        <v>0</v>
      </c>
      <c r="P351" t="n">
        <v>0</v>
      </c>
      <c r="Q351" t="n">
        <v>0</v>
      </c>
      <c r="R351" s="2" t="inlineStr"/>
    </row>
    <row r="352" ht="15" customHeight="1">
      <c r="A352" t="inlineStr">
        <is>
          <t>A 22774-2024</t>
        </is>
      </c>
      <c r="B352" s="1" t="n">
        <v>45448.46924768519</v>
      </c>
      <c r="C352" s="1" t="n">
        <v>46100</v>
      </c>
      <c r="D352" t="inlineStr">
        <is>
          <t>ÖSTERGÖTLANDS LÄN</t>
        </is>
      </c>
      <c r="E352" t="inlineStr">
        <is>
          <t>LINKÖPING</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22778-2024</t>
        </is>
      </c>
      <c r="B353" s="1" t="n">
        <v>45448.47233796296</v>
      </c>
      <c r="C353" s="1" t="n">
        <v>46100</v>
      </c>
      <c r="D353" t="inlineStr">
        <is>
          <t>ÖSTERGÖTLANDS LÄN</t>
        </is>
      </c>
      <c r="E353" t="inlineStr">
        <is>
          <t>LINKÖPING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1209-2023</t>
        </is>
      </c>
      <c r="B354" s="1" t="n">
        <v>44930</v>
      </c>
      <c r="C354" s="1" t="n">
        <v>46100</v>
      </c>
      <c r="D354" t="inlineStr">
        <is>
          <t>ÖSTERGÖTLANDS LÄN</t>
        </is>
      </c>
      <c r="E354" t="inlineStr">
        <is>
          <t>LINKÖPING</t>
        </is>
      </c>
      <c r="F354" t="inlineStr">
        <is>
          <t>Övriga statliga verk och myndigheter</t>
        </is>
      </c>
      <c r="G354" t="n">
        <v>25.8</v>
      </c>
      <c r="H354" t="n">
        <v>0</v>
      </c>
      <c r="I354" t="n">
        <v>0</v>
      </c>
      <c r="J354" t="n">
        <v>0</v>
      </c>
      <c r="K354" t="n">
        <v>0</v>
      </c>
      <c r="L354" t="n">
        <v>0</v>
      </c>
      <c r="M354" t="n">
        <v>0</v>
      </c>
      <c r="N354" t="n">
        <v>0</v>
      </c>
      <c r="O354" t="n">
        <v>0</v>
      </c>
      <c r="P354" t="n">
        <v>0</v>
      </c>
      <c r="Q354" t="n">
        <v>0</v>
      </c>
      <c r="R354" s="2" t="inlineStr"/>
    </row>
    <row r="355" ht="15" customHeight="1">
      <c r="A355" t="inlineStr">
        <is>
          <t>A 31635-2023</t>
        </is>
      </c>
      <c r="B355" s="1" t="n">
        <v>45105</v>
      </c>
      <c r="C355" s="1" t="n">
        <v>46100</v>
      </c>
      <c r="D355" t="inlineStr">
        <is>
          <t>ÖSTERGÖTLANDS LÄN</t>
        </is>
      </c>
      <c r="E355" t="inlineStr">
        <is>
          <t>LINKÖPING</t>
        </is>
      </c>
      <c r="F355" t="inlineStr">
        <is>
          <t>Övriga statliga verk och myndigheter</t>
        </is>
      </c>
      <c r="G355" t="n">
        <v>4.6</v>
      </c>
      <c r="H355" t="n">
        <v>0</v>
      </c>
      <c r="I355" t="n">
        <v>0</v>
      </c>
      <c r="J355" t="n">
        <v>0</v>
      </c>
      <c r="K355" t="n">
        <v>0</v>
      </c>
      <c r="L355" t="n">
        <v>0</v>
      </c>
      <c r="M355" t="n">
        <v>0</v>
      </c>
      <c r="N355" t="n">
        <v>0</v>
      </c>
      <c r="O355" t="n">
        <v>0</v>
      </c>
      <c r="P355" t="n">
        <v>0</v>
      </c>
      <c r="Q355" t="n">
        <v>0</v>
      </c>
      <c r="R355" s="2" t="inlineStr"/>
    </row>
    <row r="356" ht="15" customHeight="1">
      <c r="A356" t="inlineStr">
        <is>
          <t>A 20296-2025</t>
        </is>
      </c>
      <c r="B356" s="1" t="n">
        <v>45774.74922453704</v>
      </c>
      <c r="C356" s="1" t="n">
        <v>46100</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40169-2025</t>
        </is>
      </c>
      <c r="B357" s="1" t="n">
        <v>45894.62824074074</v>
      </c>
      <c r="C357" s="1" t="n">
        <v>46100</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34864-2023</t>
        </is>
      </c>
      <c r="B358" s="1" t="n">
        <v>45141</v>
      </c>
      <c r="C358" s="1" t="n">
        <v>46100</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22770-2024</t>
        </is>
      </c>
      <c r="B359" s="1" t="n">
        <v>45448.4634375</v>
      </c>
      <c r="C359" s="1" t="n">
        <v>46100</v>
      </c>
      <c r="D359" t="inlineStr">
        <is>
          <t>ÖSTERGÖTLANDS LÄN</t>
        </is>
      </c>
      <c r="E359" t="inlineStr">
        <is>
          <t>LINKÖPING</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10407-2025</t>
        </is>
      </c>
      <c r="B360" s="1" t="n">
        <v>45720.62863425926</v>
      </c>
      <c r="C360" s="1" t="n">
        <v>46100</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11590-2023</t>
        </is>
      </c>
      <c r="B361" s="1" t="n">
        <v>44994.36689814815</v>
      </c>
      <c r="C361" s="1" t="n">
        <v>46100</v>
      </c>
      <c r="D361" t="inlineStr">
        <is>
          <t>ÖSTERGÖTLANDS LÄN</t>
        </is>
      </c>
      <c r="E361" t="inlineStr">
        <is>
          <t>LINKÖPING</t>
        </is>
      </c>
      <c r="G361" t="n">
        <v>3.1</v>
      </c>
      <c r="H361" t="n">
        <v>0</v>
      </c>
      <c r="I361" t="n">
        <v>0</v>
      </c>
      <c r="J361" t="n">
        <v>0</v>
      </c>
      <c r="K361" t="n">
        <v>0</v>
      </c>
      <c r="L361" t="n">
        <v>0</v>
      </c>
      <c r="M361" t="n">
        <v>0</v>
      </c>
      <c r="N361" t="n">
        <v>0</v>
      </c>
      <c r="O361" t="n">
        <v>0</v>
      </c>
      <c r="P361" t="n">
        <v>0</v>
      </c>
      <c r="Q361" t="n">
        <v>0</v>
      </c>
      <c r="R361" s="2" t="inlineStr"/>
    </row>
    <row r="362" ht="15" customHeight="1">
      <c r="A362" t="inlineStr">
        <is>
          <t>A 19169-2023</t>
        </is>
      </c>
      <c r="B362" s="1" t="n">
        <v>45044</v>
      </c>
      <c r="C362" s="1" t="n">
        <v>46100</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46687-2021</t>
        </is>
      </c>
      <c r="B363" s="1" t="n">
        <v>44445</v>
      </c>
      <c r="C363" s="1" t="n">
        <v>46100</v>
      </c>
      <c r="D363" t="inlineStr">
        <is>
          <t>ÖSTERGÖTLANDS LÄN</t>
        </is>
      </c>
      <c r="E363" t="inlineStr">
        <is>
          <t>LINKÖPING</t>
        </is>
      </c>
      <c r="F363" t="inlineStr">
        <is>
          <t>Övriga statliga verk och myndigheter</t>
        </is>
      </c>
      <c r="G363" t="n">
        <v>2.3</v>
      </c>
      <c r="H363" t="n">
        <v>0</v>
      </c>
      <c r="I363" t="n">
        <v>0</v>
      </c>
      <c r="J363" t="n">
        <v>0</v>
      </c>
      <c r="K363" t="n">
        <v>0</v>
      </c>
      <c r="L363" t="n">
        <v>0</v>
      </c>
      <c r="M363" t="n">
        <v>0</v>
      </c>
      <c r="N363" t="n">
        <v>0</v>
      </c>
      <c r="O363" t="n">
        <v>0</v>
      </c>
      <c r="P363" t="n">
        <v>0</v>
      </c>
      <c r="Q363" t="n">
        <v>0</v>
      </c>
      <c r="R363" s="2" t="inlineStr"/>
    </row>
    <row r="364" ht="15" customHeight="1">
      <c r="A364" t="inlineStr">
        <is>
          <t>A 17103-2025</t>
        </is>
      </c>
      <c r="B364" s="1" t="n">
        <v>45755.66143518518</v>
      </c>
      <c r="C364" s="1" t="n">
        <v>46100</v>
      </c>
      <c r="D364" t="inlineStr">
        <is>
          <t>ÖSTERGÖTLANDS LÄN</t>
        </is>
      </c>
      <c r="E364" t="inlineStr">
        <is>
          <t>LINKÖPING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11595-2025</t>
        </is>
      </c>
      <c r="B365" s="1" t="n">
        <v>45727.41893518518</v>
      </c>
      <c r="C365" s="1" t="n">
        <v>46100</v>
      </c>
      <c r="D365" t="inlineStr">
        <is>
          <t>ÖSTERGÖTLANDS LÄN</t>
        </is>
      </c>
      <c r="E365" t="inlineStr">
        <is>
          <t>LINKÖPING</t>
        </is>
      </c>
      <c r="G365" t="n">
        <v>6.6</v>
      </c>
      <c r="H365" t="n">
        <v>0</v>
      </c>
      <c r="I365" t="n">
        <v>0</v>
      </c>
      <c r="J365" t="n">
        <v>0</v>
      </c>
      <c r="K365" t="n">
        <v>0</v>
      </c>
      <c r="L365" t="n">
        <v>0</v>
      </c>
      <c r="M365" t="n">
        <v>0</v>
      </c>
      <c r="N365" t="n">
        <v>0</v>
      </c>
      <c r="O365" t="n">
        <v>0</v>
      </c>
      <c r="P365" t="n">
        <v>0</v>
      </c>
      <c r="Q365" t="n">
        <v>0</v>
      </c>
      <c r="R365" s="2" t="inlineStr"/>
    </row>
    <row r="366" ht="15" customHeight="1">
      <c r="A366" t="inlineStr">
        <is>
          <t>A 672-2024</t>
        </is>
      </c>
      <c r="B366" s="1" t="n">
        <v>45300</v>
      </c>
      <c r="C366" s="1" t="n">
        <v>46100</v>
      </c>
      <c r="D366" t="inlineStr">
        <is>
          <t>ÖSTERGÖTLANDS LÄN</t>
        </is>
      </c>
      <c r="E366" t="inlineStr">
        <is>
          <t>LINKÖPING</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55493-2021</t>
        </is>
      </c>
      <c r="B367" s="1" t="n">
        <v>44475.61988425926</v>
      </c>
      <c r="C367" s="1" t="n">
        <v>46100</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48839-2022</t>
        </is>
      </c>
      <c r="B368" s="1" t="n">
        <v>44859</v>
      </c>
      <c r="C368" s="1" t="n">
        <v>46100</v>
      </c>
      <c r="D368" t="inlineStr">
        <is>
          <t>ÖSTERGÖTLANDS LÄN</t>
        </is>
      </c>
      <c r="E368" t="inlineStr">
        <is>
          <t>LINKÖPING</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40618-2021</t>
        </is>
      </c>
      <c r="B369" s="1" t="n">
        <v>44420.49575231481</v>
      </c>
      <c r="C369" s="1" t="n">
        <v>46100</v>
      </c>
      <c r="D369" t="inlineStr">
        <is>
          <t>ÖSTERGÖTLANDS LÄN</t>
        </is>
      </c>
      <c r="E369" t="inlineStr">
        <is>
          <t>LINKÖPING</t>
        </is>
      </c>
      <c r="G369" t="n">
        <v>2.3</v>
      </c>
      <c r="H369" t="n">
        <v>0</v>
      </c>
      <c r="I369" t="n">
        <v>0</v>
      </c>
      <c r="J369" t="n">
        <v>0</v>
      </c>
      <c r="K369" t="n">
        <v>0</v>
      </c>
      <c r="L369" t="n">
        <v>0</v>
      </c>
      <c r="M369" t="n">
        <v>0</v>
      </c>
      <c r="N369" t="n">
        <v>0</v>
      </c>
      <c r="O369" t="n">
        <v>0</v>
      </c>
      <c r="P369" t="n">
        <v>0</v>
      </c>
      <c r="Q369" t="n">
        <v>0</v>
      </c>
      <c r="R369" s="2" t="inlineStr"/>
    </row>
    <row r="370" ht="15" customHeight="1">
      <c r="A370" t="inlineStr">
        <is>
          <t>A 14093-2024</t>
        </is>
      </c>
      <c r="B370" s="1" t="n">
        <v>45392.60278935185</v>
      </c>
      <c r="C370" s="1" t="n">
        <v>46100</v>
      </c>
      <c r="D370" t="inlineStr">
        <is>
          <t>ÖSTERGÖTLANDS LÄN</t>
        </is>
      </c>
      <c r="E370" t="inlineStr">
        <is>
          <t>LINKÖPING</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8967-2025</t>
        </is>
      </c>
      <c r="B371" s="1" t="n">
        <v>45712</v>
      </c>
      <c r="C371" s="1" t="n">
        <v>46100</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62019-2024</t>
        </is>
      </c>
      <c r="B372" s="1" t="n">
        <v>45655.82</v>
      </c>
      <c r="C372" s="1" t="n">
        <v>46100</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56180-2024</t>
        </is>
      </c>
      <c r="B373" s="1" t="n">
        <v>45624.56611111111</v>
      </c>
      <c r="C373" s="1" t="n">
        <v>46100</v>
      </c>
      <c r="D373" t="inlineStr">
        <is>
          <t>ÖSTERGÖTLANDS LÄN</t>
        </is>
      </c>
      <c r="E373" t="inlineStr">
        <is>
          <t>LINKÖPING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25119-2023</t>
        </is>
      </c>
      <c r="B374" s="1" t="n">
        <v>45086.42326388889</v>
      </c>
      <c r="C374" s="1" t="n">
        <v>46100</v>
      </c>
      <c r="D374" t="inlineStr">
        <is>
          <t>ÖSTERGÖTLANDS LÄN</t>
        </is>
      </c>
      <c r="E374" t="inlineStr">
        <is>
          <t>LINKÖPING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57396-2021</t>
        </is>
      </c>
      <c r="B375" s="1" t="n">
        <v>44483.56151620371</v>
      </c>
      <c r="C375" s="1" t="n">
        <v>46100</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63678-2023</t>
        </is>
      </c>
      <c r="B376" s="1" t="n">
        <v>45275.64769675926</v>
      </c>
      <c r="C376" s="1" t="n">
        <v>46100</v>
      </c>
      <c r="D376" t="inlineStr">
        <is>
          <t>ÖSTERGÖTLANDS LÄN</t>
        </is>
      </c>
      <c r="E376" t="inlineStr">
        <is>
          <t>LINKÖPING</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51571-2024</t>
        </is>
      </c>
      <c r="B377" s="1" t="n">
        <v>45604</v>
      </c>
      <c r="C377" s="1" t="n">
        <v>46100</v>
      </c>
      <c r="D377" t="inlineStr">
        <is>
          <t>ÖSTERGÖTLANDS LÄN</t>
        </is>
      </c>
      <c r="E377" t="inlineStr">
        <is>
          <t>LINKÖPING</t>
        </is>
      </c>
      <c r="F377" t="inlineStr">
        <is>
          <t>Övriga Aktiebolag</t>
        </is>
      </c>
      <c r="G377" t="n">
        <v>1.4</v>
      </c>
      <c r="H377" t="n">
        <v>0</v>
      </c>
      <c r="I377" t="n">
        <v>0</v>
      </c>
      <c r="J377" t="n">
        <v>0</v>
      </c>
      <c r="K377" t="n">
        <v>0</v>
      </c>
      <c r="L377" t="n">
        <v>0</v>
      </c>
      <c r="M377" t="n">
        <v>0</v>
      </c>
      <c r="N377" t="n">
        <v>0</v>
      </c>
      <c r="O377" t="n">
        <v>0</v>
      </c>
      <c r="P377" t="n">
        <v>0</v>
      </c>
      <c r="Q377" t="n">
        <v>0</v>
      </c>
      <c r="R377" s="2" t="inlineStr"/>
    </row>
    <row r="378" ht="15" customHeight="1">
      <c r="A378" t="inlineStr">
        <is>
          <t>A 17143-2025</t>
        </is>
      </c>
      <c r="B378" s="1" t="n">
        <v>45755.92731481481</v>
      </c>
      <c r="C378" s="1" t="n">
        <v>46100</v>
      </c>
      <c r="D378" t="inlineStr">
        <is>
          <t>ÖSTERGÖTLANDS LÄN</t>
        </is>
      </c>
      <c r="E378" t="inlineStr">
        <is>
          <t>LINKÖPING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30471-2023</t>
        </is>
      </c>
      <c r="B379" s="1" t="n">
        <v>45111.58931712963</v>
      </c>
      <c r="C379" s="1" t="n">
        <v>46100</v>
      </c>
      <c r="D379" t="inlineStr">
        <is>
          <t>ÖSTERGÖTLANDS LÄN</t>
        </is>
      </c>
      <c r="E379" t="inlineStr">
        <is>
          <t>LINKÖPING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227-2024</t>
        </is>
      </c>
      <c r="B380" s="1" t="n">
        <v>45294.73603009259</v>
      </c>
      <c r="C380" s="1" t="n">
        <v>46100</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17124-2025</t>
        </is>
      </c>
      <c r="B381" s="1" t="n">
        <v>45755.69678240741</v>
      </c>
      <c r="C381" s="1" t="n">
        <v>46100</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17126-2025</t>
        </is>
      </c>
      <c r="B382" s="1" t="n">
        <v>45755.70814814815</v>
      </c>
      <c r="C382" s="1" t="n">
        <v>46100</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31640-2023</t>
        </is>
      </c>
      <c r="B383" s="1" t="n">
        <v>45117</v>
      </c>
      <c r="C383" s="1" t="n">
        <v>46100</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44155-2024</t>
        </is>
      </c>
      <c r="B384" s="1" t="n">
        <v>45572.68226851852</v>
      </c>
      <c r="C384" s="1" t="n">
        <v>46100</v>
      </c>
      <c r="D384" t="inlineStr">
        <is>
          <t>ÖSTERGÖTLANDS LÄN</t>
        </is>
      </c>
      <c r="E384" t="inlineStr">
        <is>
          <t>LINKÖPING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1844-2025</t>
        </is>
      </c>
      <c r="B385" s="1" t="n">
        <v>45671.57730324074</v>
      </c>
      <c r="C385" s="1" t="n">
        <v>46100</v>
      </c>
      <c r="D385" t="inlineStr">
        <is>
          <t>ÖSTERGÖTLANDS LÄN</t>
        </is>
      </c>
      <c r="E385" t="inlineStr">
        <is>
          <t>LINKÖPING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30434-2024</t>
        </is>
      </c>
      <c r="B386" s="1" t="n">
        <v>45491.69811342593</v>
      </c>
      <c r="C386" s="1" t="n">
        <v>46100</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56917-2022</t>
        </is>
      </c>
      <c r="B387" s="1" t="n">
        <v>44894</v>
      </c>
      <c r="C387" s="1" t="n">
        <v>46100</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57766-2023</t>
        </is>
      </c>
      <c r="B388" s="1" t="n">
        <v>45246</v>
      </c>
      <c r="C388" s="1" t="n">
        <v>46100</v>
      </c>
      <c r="D388" t="inlineStr">
        <is>
          <t>ÖSTERGÖTLANDS LÄN</t>
        </is>
      </c>
      <c r="E388" t="inlineStr">
        <is>
          <t>LINKÖPING</t>
        </is>
      </c>
      <c r="F388" t="inlineStr">
        <is>
          <t>Allmännings- och besparingsskogar</t>
        </is>
      </c>
      <c r="G388" t="n">
        <v>12.8</v>
      </c>
      <c r="H388" t="n">
        <v>0</v>
      </c>
      <c r="I388" t="n">
        <v>0</v>
      </c>
      <c r="J388" t="n">
        <v>0</v>
      </c>
      <c r="K388" t="n">
        <v>0</v>
      </c>
      <c r="L388" t="n">
        <v>0</v>
      </c>
      <c r="M388" t="n">
        <v>0</v>
      </c>
      <c r="N388" t="n">
        <v>0</v>
      </c>
      <c r="O388" t="n">
        <v>0</v>
      </c>
      <c r="P388" t="n">
        <v>0</v>
      </c>
      <c r="Q388" t="n">
        <v>0</v>
      </c>
      <c r="R388" s="2" t="inlineStr"/>
    </row>
    <row r="389" ht="15" customHeight="1">
      <c r="A389" t="inlineStr">
        <is>
          <t>A 11790-2024</t>
        </is>
      </c>
      <c r="B389" s="1" t="n">
        <v>45374</v>
      </c>
      <c r="C389" s="1" t="n">
        <v>46100</v>
      </c>
      <c r="D389" t="inlineStr">
        <is>
          <t>ÖSTERGÖTLANDS LÄN</t>
        </is>
      </c>
      <c r="E389" t="inlineStr">
        <is>
          <t>LINKÖPING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61281-2021</t>
        </is>
      </c>
      <c r="B390" s="1" t="n">
        <v>44498.60736111111</v>
      </c>
      <c r="C390" s="1" t="n">
        <v>46100</v>
      </c>
      <c r="D390" t="inlineStr">
        <is>
          <t>ÖSTERGÖTLANDS LÄN</t>
        </is>
      </c>
      <c r="E390" t="inlineStr">
        <is>
          <t>LINKÖPING</t>
        </is>
      </c>
      <c r="G390" t="n">
        <v>4.5</v>
      </c>
      <c r="H390" t="n">
        <v>0</v>
      </c>
      <c r="I390" t="n">
        <v>0</v>
      </c>
      <c r="J390" t="n">
        <v>0</v>
      </c>
      <c r="K390" t="n">
        <v>0</v>
      </c>
      <c r="L390" t="n">
        <v>0</v>
      </c>
      <c r="M390" t="n">
        <v>0</v>
      </c>
      <c r="N390" t="n">
        <v>0</v>
      </c>
      <c r="O390" t="n">
        <v>0</v>
      </c>
      <c r="P390" t="n">
        <v>0</v>
      </c>
      <c r="Q390" t="n">
        <v>0</v>
      </c>
      <c r="R390" s="2" t="inlineStr"/>
    </row>
    <row r="391" ht="15" customHeight="1">
      <c r="A391" t="inlineStr">
        <is>
          <t>A 21165-2025</t>
        </is>
      </c>
      <c r="B391" s="1" t="n">
        <v>45779.39417824074</v>
      </c>
      <c r="C391" s="1" t="n">
        <v>46100</v>
      </c>
      <c r="D391" t="inlineStr">
        <is>
          <t>ÖSTERGÖTLANDS LÄN</t>
        </is>
      </c>
      <c r="E391" t="inlineStr">
        <is>
          <t>LINKÖPING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21155-2025</t>
        </is>
      </c>
      <c r="B392" s="1" t="n">
        <v>45779.37586805555</v>
      </c>
      <c r="C392" s="1" t="n">
        <v>46100</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6206-2024</t>
        </is>
      </c>
      <c r="B393" s="1" t="n">
        <v>45337.5977662037</v>
      </c>
      <c r="C393" s="1" t="n">
        <v>46100</v>
      </c>
      <c r="D393" t="inlineStr">
        <is>
          <t>ÖSTERGÖTLANDS LÄN</t>
        </is>
      </c>
      <c r="E393" t="inlineStr">
        <is>
          <t>LINKÖPING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25568-2024</t>
        </is>
      </c>
      <c r="B394" s="1" t="n">
        <v>45463.58699074074</v>
      </c>
      <c r="C394" s="1" t="n">
        <v>46100</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168-2024</t>
        </is>
      </c>
      <c r="B395" s="1" t="n">
        <v>45294</v>
      </c>
      <c r="C395" s="1" t="n">
        <v>46100</v>
      </c>
      <c r="D395" t="inlineStr">
        <is>
          <t>ÖSTERGÖTLANDS LÄN</t>
        </is>
      </c>
      <c r="E395" t="inlineStr">
        <is>
          <t>LINKÖPING</t>
        </is>
      </c>
      <c r="F395" t="inlineStr">
        <is>
          <t>Allmännings- och besparingsskogar</t>
        </is>
      </c>
      <c r="G395" t="n">
        <v>8.9</v>
      </c>
      <c r="H395" t="n">
        <v>0</v>
      </c>
      <c r="I395" t="n">
        <v>0</v>
      </c>
      <c r="J395" t="n">
        <v>0</v>
      </c>
      <c r="K395" t="n">
        <v>0</v>
      </c>
      <c r="L395" t="n">
        <v>0</v>
      </c>
      <c r="M395" t="n">
        <v>0</v>
      </c>
      <c r="N395" t="n">
        <v>0</v>
      </c>
      <c r="O395" t="n">
        <v>0</v>
      </c>
      <c r="P395" t="n">
        <v>0</v>
      </c>
      <c r="Q395" t="n">
        <v>0</v>
      </c>
      <c r="R395" s="2" t="inlineStr"/>
    </row>
    <row r="396" ht="15" customHeight="1">
      <c r="A396" t="inlineStr">
        <is>
          <t>A 51919-2024</t>
        </is>
      </c>
      <c r="B396" s="1" t="n">
        <v>45607.60791666667</v>
      </c>
      <c r="C396" s="1" t="n">
        <v>46100</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56623-2024</t>
        </is>
      </c>
      <c r="B397" s="1" t="n">
        <v>45625</v>
      </c>
      <c r="C397" s="1" t="n">
        <v>46100</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11330-2023</t>
        </is>
      </c>
      <c r="B398" s="1" t="n">
        <v>44993.24648148148</v>
      </c>
      <c r="C398" s="1" t="n">
        <v>46100</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63304-2021</t>
        </is>
      </c>
      <c r="B399" s="1" t="n">
        <v>44508.4396412037</v>
      </c>
      <c r="C399" s="1" t="n">
        <v>46100</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14528-2025</t>
        </is>
      </c>
      <c r="B400" s="1" t="n">
        <v>45741</v>
      </c>
      <c r="C400" s="1" t="n">
        <v>46100</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22833-2023</t>
        </is>
      </c>
      <c r="B401" s="1" t="n">
        <v>45071</v>
      </c>
      <c r="C401" s="1" t="n">
        <v>46100</v>
      </c>
      <c r="D401" t="inlineStr">
        <is>
          <t>ÖSTERGÖTLANDS LÄN</t>
        </is>
      </c>
      <c r="E401" t="inlineStr">
        <is>
          <t>LINKÖPING</t>
        </is>
      </c>
      <c r="F401" t="inlineStr">
        <is>
          <t>Kommuner</t>
        </is>
      </c>
      <c r="G401" t="n">
        <v>1</v>
      </c>
      <c r="H401" t="n">
        <v>0</v>
      </c>
      <c r="I401" t="n">
        <v>0</v>
      </c>
      <c r="J401" t="n">
        <v>0</v>
      </c>
      <c r="K401" t="n">
        <v>0</v>
      </c>
      <c r="L401" t="n">
        <v>0</v>
      </c>
      <c r="M401" t="n">
        <v>0</v>
      </c>
      <c r="N401" t="n">
        <v>0</v>
      </c>
      <c r="O401" t="n">
        <v>0</v>
      </c>
      <c r="P401" t="n">
        <v>0</v>
      </c>
      <c r="Q401" t="n">
        <v>0</v>
      </c>
      <c r="R401" s="2" t="inlineStr"/>
    </row>
    <row r="402" ht="15" customHeight="1">
      <c r="A402" t="inlineStr">
        <is>
          <t>A 22264-2025</t>
        </is>
      </c>
      <c r="B402" s="1" t="n">
        <v>45785</v>
      </c>
      <c r="C402" s="1" t="n">
        <v>46100</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2997-2025</t>
        </is>
      </c>
      <c r="B403" s="1" t="n">
        <v>45678.54631944445</v>
      </c>
      <c r="C403" s="1" t="n">
        <v>46100</v>
      </c>
      <c r="D403" t="inlineStr">
        <is>
          <t>ÖSTERGÖTLANDS LÄN</t>
        </is>
      </c>
      <c r="E403" t="inlineStr">
        <is>
          <t>LINKÖPING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3530-2024</t>
        </is>
      </c>
      <c r="B404" s="1" t="n">
        <v>45320.54717592592</v>
      </c>
      <c r="C404" s="1" t="n">
        <v>46100</v>
      </c>
      <c r="D404" t="inlineStr">
        <is>
          <t>ÖSTERGÖTLANDS LÄN</t>
        </is>
      </c>
      <c r="E404" t="inlineStr">
        <is>
          <t>LINKÖPING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62073-2023</t>
        </is>
      </c>
      <c r="B405" s="1" t="n">
        <v>45266.73844907407</v>
      </c>
      <c r="C405" s="1" t="n">
        <v>46100</v>
      </c>
      <c r="D405" t="inlineStr">
        <is>
          <t>ÖSTERGÖTLANDS LÄN</t>
        </is>
      </c>
      <c r="E405" t="inlineStr">
        <is>
          <t>LINKÖPING</t>
        </is>
      </c>
      <c r="F405" t="inlineStr">
        <is>
          <t>Allmännings- och besparingsskogar</t>
        </is>
      </c>
      <c r="G405" t="n">
        <v>1.8</v>
      </c>
      <c r="H405" t="n">
        <v>0</v>
      </c>
      <c r="I405" t="n">
        <v>0</v>
      </c>
      <c r="J405" t="n">
        <v>0</v>
      </c>
      <c r="K405" t="n">
        <v>0</v>
      </c>
      <c r="L405" t="n">
        <v>0</v>
      </c>
      <c r="M405" t="n">
        <v>0</v>
      </c>
      <c r="N405" t="n">
        <v>0</v>
      </c>
      <c r="O405" t="n">
        <v>0</v>
      </c>
      <c r="P405" t="n">
        <v>0</v>
      </c>
      <c r="Q405" t="n">
        <v>0</v>
      </c>
      <c r="R405" s="2" t="inlineStr"/>
    </row>
    <row r="406" ht="15" customHeight="1">
      <c r="A406" t="inlineStr">
        <is>
          <t>A 5872-2025</t>
        </is>
      </c>
      <c r="B406" s="1" t="n">
        <v>45695.36659722222</v>
      </c>
      <c r="C406" s="1" t="n">
        <v>46100</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53814-2023</t>
        </is>
      </c>
      <c r="B407" s="1" t="n">
        <v>45231</v>
      </c>
      <c r="C407" s="1" t="n">
        <v>46100</v>
      </c>
      <c r="D407" t="inlineStr">
        <is>
          <t>ÖSTERGÖTLANDS LÄN</t>
        </is>
      </c>
      <c r="E407" t="inlineStr">
        <is>
          <t>LINKÖPING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3432-2023</t>
        </is>
      </c>
      <c r="B408" s="1" t="n">
        <v>44949</v>
      </c>
      <c r="C408" s="1" t="n">
        <v>46100</v>
      </c>
      <c r="D408" t="inlineStr">
        <is>
          <t>ÖSTERGÖTLANDS LÄN</t>
        </is>
      </c>
      <c r="E408" t="inlineStr">
        <is>
          <t>LINKÖPING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41345-2021</t>
        </is>
      </c>
      <c r="B409" s="1" t="n">
        <v>44424.61851851852</v>
      </c>
      <c r="C409" s="1" t="n">
        <v>46100</v>
      </c>
      <c r="D409" t="inlineStr">
        <is>
          <t>ÖSTERGÖTLANDS LÄN</t>
        </is>
      </c>
      <c r="E409" t="inlineStr">
        <is>
          <t>LINKÖPING</t>
        </is>
      </c>
      <c r="F409" t="inlineStr">
        <is>
          <t>Sveaskog</t>
        </is>
      </c>
      <c r="G409" t="n">
        <v>6.3</v>
      </c>
      <c r="H409" t="n">
        <v>0</v>
      </c>
      <c r="I409" t="n">
        <v>0</v>
      </c>
      <c r="J409" t="n">
        <v>0</v>
      </c>
      <c r="K409" t="n">
        <v>0</v>
      </c>
      <c r="L409" t="n">
        <v>0</v>
      </c>
      <c r="M409" t="n">
        <v>0</v>
      </c>
      <c r="N409" t="n">
        <v>0</v>
      </c>
      <c r="O409" t="n">
        <v>0</v>
      </c>
      <c r="P409" t="n">
        <v>0</v>
      </c>
      <c r="Q409" t="n">
        <v>0</v>
      </c>
      <c r="R409" s="2" t="inlineStr"/>
    </row>
    <row r="410" ht="15" customHeight="1">
      <c r="A410" t="inlineStr">
        <is>
          <t>A 9473-2024</t>
        </is>
      </c>
      <c r="B410" s="1" t="n">
        <v>45359.55474537037</v>
      </c>
      <c r="C410" s="1" t="n">
        <v>46100</v>
      </c>
      <c r="D410" t="inlineStr">
        <is>
          <t>ÖSTERGÖTLANDS LÄN</t>
        </is>
      </c>
      <c r="E410" t="inlineStr">
        <is>
          <t>LINKÖPING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13266-2025</t>
        </is>
      </c>
      <c r="B411" s="1" t="n">
        <v>45735.53318287037</v>
      </c>
      <c r="C411" s="1" t="n">
        <v>46100</v>
      </c>
      <c r="D411" t="inlineStr">
        <is>
          <t>ÖSTERGÖTLANDS LÄN</t>
        </is>
      </c>
      <c r="E411" t="inlineStr">
        <is>
          <t>LINKÖPING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6859-2024</t>
        </is>
      </c>
      <c r="B412" s="1" t="n">
        <v>45342</v>
      </c>
      <c r="C412" s="1" t="n">
        <v>46100</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54425-2022</t>
        </is>
      </c>
      <c r="B413" s="1" t="n">
        <v>44882.57453703704</v>
      </c>
      <c r="C413" s="1" t="n">
        <v>46100</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54428-2022</t>
        </is>
      </c>
      <c r="B414" s="1" t="n">
        <v>44882.57643518518</v>
      </c>
      <c r="C414" s="1" t="n">
        <v>46100</v>
      </c>
      <c r="D414" t="inlineStr">
        <is>
          <t>ÖSTERGÖTLANDS LÄN</t>
        </is>
      </c>
      <c r="E414" t="inlineStr">
        <is>
          <t>LINKÖPING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44287-2024</t>
        </is>
      </c>
      <c r="B415" s="1" t="n">
        <v>45573.50582175926</v>
      </c>
      <c r="C415" s="1" t="n">
        <v>46100</v>
      </c>
      <c r="D415" t="inlineStr">
        <is>
          <t>ÖSTERGÖTLANDS LÄN</t>
        </is>
      </c>
      <c r="E415" t="inlineStr">
        <is>
          <t>LINKÖPING</t>
        </is>
      </c>
      <c r="G415" t="n">
        <v>12.7</v>
      </c>
      <c r="H415" t="n">
        <v>0</v>
      </c>
      <c r="I415" t="n">
        <v>0</v>
      </c>
      <c r="J415" t="n">
        <v>0</v>
      </c>
      <c r="K415" t="n">
        <v>0</v>
      </c>
      <c r="L415" t="n">
        <v>0</v>
      </c>
      <c r="M415" t="n">
        <v>0</v>
      </c>
      <c r="N415" t="n">
        <v>0</v>
      </c>
      <c r="O415" t="n">
        <v>0</v>
      </c>
      <c r="P415" t="n">
        <v>0</v>
      </c>
      <c r="Q415" t="n">
        <v>0</v>
      </c>
      <c r="R415" s="2" t="inlineStr"/>
    </row>
    <row r="416" ht="15" customHeight="1">
      <c r="A416" t="inlineStr">
        <is>
          <t>A 16213-2025</t>
        </is>
      </c>
      <c r="B416" s="1" t="n">
        <v>45750.62740740741</v>
      </c>
      <c r="C416" s="1" t="n">
        <v>46100</v>
      </c>
      <c r="D416" t="inlineStr">
        <is>
          <t>ÖSTERGÖTLANDS LÄN</t>
        </is>
      </c>
      <c r="E416" t="inlineStr">
        <is>
          <t>LINKÖPING</t>
        </is>
      </c>
      <c r="G416" t="n">
        <v>3.4</v>
      </c>
      <c r="H416" t="n">
        <v>0</v>
      </c>
      <c r="I416" t="n">
        <v>0</v>
      </c>
      <c r="J416" t="n">
        <v>0</v>
      </c>
      <c r="K416" t="n">
        <v>0</v>
      </c>
      <c r="L416" t="n">
        <v>0</v>
      </c>
      <c r="M416" t="n">
        <v>0</v>
      </c>
      <c r="N416" t="n">
        <v>0</v>
      </c>
      <c r="O416" t="n">
        <v>0</v>
      </c>
      <c r="P416" t="n">
        <v>0</v>
      </c>
      <c r="Q416" t="n">
        <v>0</v>
      </c>
      <c r="R416" s="2" t="inlineStr"/>
    </row>
    <row r="417" ht="15" customHeight="1">
      <c r="A417" t="inlineStr">
        <is>
          <t>A 22364-2025</t>
        </is>
      </c>
      <c r="B417" s="1" t="n">
        <v>45786.46930555555</v>
      </c>
      <c r="C417" s="1" t="n">
        <v>46100</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660-2023</t>
        </is>
      </c>
      <c r="B418" s="1" t="n">
        <v>44930</v>
      </c>
      <c r="C418" s="1" t="n">
        <v>46100</v>
      </c>
      <c r="D418" t="inlineStr">
        <is>
          <t>ÖSTERGÖTLANDS LÄN</t>
        </is>
      </c>
      <c r="E418" t="inlineStr">
        <is>
          <t>LINKÖPING</t>
        </is>
      </c>
      <c r="F418" t="inlineStr">
        <is>
          <t>Kyrkan</t>
        </is>
      </c>
      <c r="G418" t="n">
        <v>1.6</v>
      </c>
      <c r="H418" t="n">
        <v>0</v>
      </c>
      <c r="I418" t="n">
        <v>0</v>
      </c>
      <c r="J418" t="n">
        <v>0</v>
      </c>
      <c r="K418" t="n">
        <v>0</v>
      </c>
      <c r="L418" t="n">
        <v>0</v>
      </c>
      <c r="M418" t="n">
        <v>0</v>
      </c>
      <c r="N418" t="n">
        <v>0</v>
      </c>
      <c r="O418" t="n">
        <v>0</v>
      </c>
      <c r="P418" t="n">
        <v>0</v>
      </c>
      <c r="Q418" t="n">
        <v>0</v>
      </c>
      <c r="R418" s="2" t="inlineStr"/>
    </row>
    <row r="419" ht="15" customHeight="1">
      <c r="A419" t="inlineStr">
        <is>
          <t>A 62501-2023</t>
        </is>
      </c>
      <c r="B419" s="1" t="n">
        <v>45268</v>
      </c>
      <c r="C419" s="1" t="n">
        <v>46100</v>
      </c>
      <c r="D419" t="inlineStr">
        <is>
          <t>ÖSTERGÖTLANDS LÄN</t>
        </is>
      </c>
      <c r="E419" t="inlineStr">
        <is>
          <t>LINKÖPING</t>
        </is>
      </c>
      <c r="G419" t="n">
        <v>7.4</v>
      </c>
      <c r="H419" t="n">
        <v>0</v>
      </c>
      <c r="I419" t="n">
        <v>0</v>
      </c>
      <c r="J419" t="n">
        <v>0</v>
      </c>
      <c r="K419" t="n">
        <v>0</v>
      </c>
      <c r="L419" t="n">
        <v>0</v>
      </c>
      <c r="M419" t="n">
        <v>0</v>
      </c>
      <c r="N419" t="n">
        <v>0</v>
      </c>
      <c r="O419" t="n">
        <v>0</v>
      </c>
      <c r="P419" t="n">
        <v>0</v>
      </c>
      <c r="Q419" t="n">
        <v>0</v>
      </c>
      <c r="R419" s="2" t="inlineStr"/>
    </row>
    <row r="420" ht="15" customHeight="1">
      <c r="A420" t="inlineStr">
        <is>
          <t>A 572-2025</t>
        </is>
      </c>
      <c r="B420" s="1" t="n">
        <v>45664.56349537037</v>
      </c>
      <c r="C420" s="1" t="n">
        <v>46100</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10797-2024</t>
        </is>
      </c>
      <c r="B421" s="1" t="n">
        <v>45369.6190162037</v>
      </c>
      <c r="C421" s="1" t="n">
        <v>46100</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13413-2023</t>
        </is>
      </c>
      <c r="B422" s="1" t="n">
        <v>45005.58341435185</v>
      </c>
      <c r="C422" s="1" t="n">
        <v>46100</v>
      </c>
      <c r="D422" t="inlineStr">
        <is>
          <t>ÖSTERGÖTLANDS LÄN</t>
        </is>
      </c>
      <c r="E422" t="inlineStr">
        <is>
          <t>LINKÖPING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46225-2021</t>
        </is>
      </c>
      <c r="B423" s="1" t="n">
        <v>44442</v>
      </c>
      <c r="C423" s="1" t="n">
        <v>46100</v>
      </c>
      <c r="D423" t="inlineStr">
        <is>
          <t>ÖSTERGÖTLANDS LÄN</t>
        </is>
      </c>
      <c r="E423" t="inlineStr">
        <is>
          <t>LINKÖPING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25776-2021</t>
        </is>
      </c>
      <c r="B424" s="1" t="n">
        <v>44343</v>
      </c>
      <c r="C424" s="1" t="n">
        <v>46100</v>
      </c>
      <c r="D424" t="inlineStr">
        <is>
          <t>ÖSTERGÖTLANDS LÄN</t>
        </is>
      </c>
      <c r="E424" t="inlineStr">
        <is>
          <t>LINKÖPING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26620-2023</t>
        </is>
      </c>
      <c r="B425" s="1" t="n">
        <v>45092.70390046296</v>
      </c>
      <c r="C425" s="1" t="n">
        <v>46100</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38580-2024</t>
        </is>
      </c>
      <c r="B426" s="1" t="n">
        <v>45546.64825231482</v>
      </c>
      <c r="C426" s="1" t="n">
        <v>46100</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57752-2023</t>
        </is>
      </c>
      <c r="B427" s="1" t="n">
        <v>45246.78474537037</v>
      </c>
      <c r="C427" s="1" t="n">
        <v>46100</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51484-2023</t>
        </is>
      </c>
      <c r="B428" s="1" t="n">
        <v>45222</v>
      </c>
      <c r="C428" s="1" t="n">
        <v>46100</v>
      </c>
      <c r="D428" t="inlineStr">
        <is>
          <t>ÖSTERGÖTLANDS LÄN</t>
        </is>
      </c>
      <c r="E428" t="inlineStr">
        <is>
          <t>LINKÖPING</t>
        </is>
      </c>
      <c r="F428" t="inlineStr">
        <is>
          <t>Övriga Aktiebolag</t>
        </is>
      </c>
      <c r="G428" t="n">
        <v>7.7</v>
      </c>
      <c r="H428" t="n">
        <v>0</v>
      </c>
      <c r="I428" t="n">
        <v>0</v>
      </c>
      <c r="J428" t="n">
        <v>0</v>
      </c>
      <c r="K428" t="n">
        <v>0</v>
      </c>
      <c r="L428" t="n">
        <v>0</v>
      </c>
      <c r="M428" t="n">
        <v>0</v>
      </c>
      <c r="N428" t="n">
        <v>0</v>
      </c>
      <c r="O428" t="n">
        <v>0</v>
      </c>
      <c r="P428" t="n">
        <v>0</v>
      </c>
      <c r="Q428" t="n">
        <v>0</v>
      </c>
      <c r="R428" s="2" t="inlineStr"/>
    </row>
    <row r="429" ht="15" customHeight="1">
      <c r="A429" t="inlineStr">
        <is>
          <t>A 17898-2022</t>
        </is>
      </c>
      <c r="B429" s="1" t="n">
        <v>44683</v>
      </c>
      <c r="C429" s="1" t="n">
        <v>46100</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16462-2021</t>
        </is>
      </c>
      <c r="B430" s="1" t="n">
        <v>44293</v>
      </c>
      <c r="C430" s="1" t="n">
        <v>46100</v>
      </c>
      <c r="D430" t="inlineStr">
        <is>
          <t>ÖSTERGÖTLANDS LÄN</t>
        </is>
      </c>
      <c r="E430" t="inlineStr">
        <is>
          <t>LINKÖPING</t>
        </is>
      </c>
      <c r="F430" t="inlineStr">
        <is>
          <t>Allmännings- och besparingsskogar</t>
        </is>
      </c>
      <c r="G430" t="n">
        <v>24.7</v>
      </c>
      <c r="H430" t="n">
        <v>0</v>
      </c>
      <c r="I430" t="n">
        <v>0</v>
      </c>
      <c r="J430" t="n">
        <v>0</v>
      </c>
      <c r="K430" t="n">
        <v>0</v>
      </c>
      <c r="L430" t="n">
        <v>0</v>
      </c>
      <c r="M430" t="n">
        <v>0</v>
      </c>
      <c r="N430" t="n">
        <v>0</v>
      </c>
      <c r="O430" t="n">
        <v>0</v>
      </c>
      <c r="P430" t="n">
        <v>0</v>
      </c>
      <c r="Q430" t="n">
        <v>0</v>
      </c>
      <c r="R430" s="2" t="inlineStr"/>
    </row>
    <row r="431" ht="15" customHeight="1">
      <c r="A431" t="inlineStr">
        <is>
          <t>A 63487-2023</t>
        </is>
      </c>
      <c r="B431" s="1" t="n">
        <v>45274.66712962963</v>
      </c>
      <c r="C431" s="1" t="n">
        <v>46100</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29312-2024</t>
        </is>
      </c>
      <c r="B432" s="1" t="n">
        <v>45483</v>
      </c>
      <c r="C432" s="1" t="n">
        <v>46100</v>
      </c>
      <c r="D432" t="inlineStr">
        <is>
          <t>ÖSTERGÖTLANDS LÄN</t>
        </is>
      </c>
      <c r="E432" t="inlineStr">
        <is>
          <t>LINKÖPING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35463-2023</t>
        </is>
      </c>
      <c r="B433" s="1" t="n">
        <v>45146</v>
      </c>
      <c r="C433" s="1" t="n">
        <v>46100</v>
      </c>
      <c r="D433" t="inlineStr">
        <is>
          <t>ÖSTERGÖTLANDS LÄN</t>
        </is>
      </c>
      <c r="E433" t="inlineStr">
        <is>
          <t>LINKÖPING</t>
        </is>
      </c>
      <c r="F433" t="inlineStr">
        <is>
          <t>Övriga Aktiebolag</t>
        </is>
      </c>
      <c r="G433" t="n">
        <v>1.8</v>
      </c>
      <c r="H433" t="n">
        <v>0</v>
      </c>
      <c r="I433" t="n">
        <v>0</v>
      </c>
      <c r="J433" t="n">
        <v>0</v>
      </c>
      <c r="K433" t="n">
        <v>0</v>
      </c>
      <c r="L433" t="n">
        <v>0</v>
      </c>
      <c r="M433" t="n">
        <v>0</v>
      </c>
      <c r="N433" t="n">
        <v>0</v>
      </c>
      <c r="O433" t="n">
        <v>0</v>
      </c>
      <c r="P433" t="n">
        <v>0</v>
      </c>
      <c r="Q433" t="n">
        <v>0</v>
      </c>
      <c r="R433" s="2" t="inlineStr"/>
    </row>
    <row r="434" ht="15" customHeight="1">
      <c r="A434" t="inlineStr">
        <is>
          <t>A 23120-2025</t>
        </is>
      </c>
      <c r="B434" s="1" t="n">
        <v>45791.37481481482</v>
      </c>
      <c r="C434" s="1" t="n">
        <v>46100</v>
      </c>
      <c r="D434" t="inlineStr">
        <is>
          <t>ÖSTERGÖTLANDS LÄN</t>
        </is>
      </c>
      <c r="E434" t="inlineStr">
        <is>
          <t>LINKÖPING</t>
        </is>
      </c>
      <c r="G434" t="n">
        <v>2.9</v>
      </c>
      <c r="H434" t="n">
        <v>0</v>
      </c>
      <c r="I434" t="n">
        <v>0</v>
      </c>
      <c r="J434" t="n">
        <v>0</v>
      </c>
      <c r="K434" t="n">
        <v>0</v>
      </c>
      <c r="L434" t="n">
        <v>0</v>
      </c>
      <c r="M434" t="n">
        <v>0</v>
      </c>
      <c r="N434" t="n">
        <v>0</v>
      </c>
      <c r="O434" t="n">
        <v>0</v>
      </c>
      <c r="P434" t="n">
        <v>0</v>
      </c>
      <c r="Q434" t="n">
        <v>0</v>
      </c>
      <c r="R434" s="2" t="inlineStr"/>
    </row>
    <row r="435" ht="15" customHeight="1">
      <c r="A435" t="inlineStr">
        <is>
          <t>A 55632-2022</t>
        </is>
      </c>
      <c r="B435" s="1" t="n">
        <v>44888</v>
      </c>
      <c r="C435" s="1" t="n">
        <v>46100</v>
      </c>
      <c r="D435" t="inlineStr">
        <is>
          <t>ÖSTERGÖTLANDS LÄN</t>
        </is>
      </c>
      <c r="E435" t="inlineStr">
        <is>
          <t>LINKÖPING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63559-2023</t>
        </is>
      </c>
      <c r="B436" s="1" t="n">
        <v>45275.35924768518</v>
      </c>
      <c r="C436" s="1" t="n">
        <v>46100</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23768-2025</t>
        </is>
      </c>
      <c r="B437" s="1" t="n">
        <v>45793.47493055555</v>
      </c>
      <c r="C437" s="1" t="n">
        <v>46100</v>
      </c>
      <c r="D437" t="inlineStr">
        <is>
          <t>ÖSTERGÖTLANDS LÄN</t>
        </is>
      </c>
      <c r="E437" t="inlineStr">
        <is>
          <t>LINKÖPING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58114-2021</t>
        </is>
      </c>
      <c r="B438" s="1" t="n">
        <v>44487</v>
      </c>
      <c r="C438" s="1" t="n">
        <v>46100</v>
      </c>
      <c r="D438" t="inlineStr">
        <is>
          <t>ÖSTERGÖTLANDS LÄN</t>
        </is>
      </c>
      <c r="E438" t="inlineStr">
        <is>
          <t>LINKÖPING</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63554-2023</t>
        </is>
      </c>
      <c r="B439" s="1" t="n">
        <v>45275</v>
      </c>
      <c r="C439" s="1" t="n">
        <v>46100</v>
      </c>
      <c r="D439" t="inlineStr">
        <is>
          <t>ÖSTERGÖTLANDS LÄN</t>
        </is>
      </c>
      <c r="E439" t="inlineStr">
        <is>
          <t>LINKÖPING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63638-2023</t>
        </is>
      </c>
      <c r="B440" s="1" t="n">
        <v>45275</v>
      </c>
      <c r="C440" s="1" t="n">
        <v>46100</v>
      </c>
      <c r="D440" t="inlineStr">
        <is>
          <t>ÖSTERGÖTLANDS LÄN</t>
        </is>
      </c>
      <c r="E440" t="inlineStr">
        <is>
          <t>LINKÖPING</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63658-2023</t>
        </is>
      </c>
      <c r="B441" s="1" t="n">
        <v>45275</v>
      </c>
      <c r="C441" s="1" t="n">
        <v>46100</v>
      </c>
      <c r="D441" t="inlineStr">
        <is>
          <t>ÖSTERGÖTLANDS LÄN</t>
        </is>
      </c>
      <c r="E441" t="inlineStr">
        <is>
          <t>LINKÖPING</t>
        </is>
      </c>
      <c r="F441" t="inlineStr">
        <is>
          <t>Övriga Aktiebolag</t>
        </is>
      </c>
      <c r="G441" t="n">
        <v>1.5</v>
      </c>
      <c r="H441" t="n">
        <v>0</v>
      </c>
      <c r="I441" t="n">
        <v>0</v>
      </c>
      <c r="J441" t="n">
        <v>0</v>
      </c>
      <c r="K441" t="n">
        <v>0</v>
      </c>
      <c r="L441" t="n">
        <v>0</v>
      </c>
      <c r="M441" t="n">
        <v>0</v>
      </c>
      <c r="N441" t="n">
        <v>0</v>
      </c>
      <c r="O441" t="n">
        <v>0</v>
      </c>
      <c r="P441" t="n">
        <v>0</v>
      </c>
      <c r="Q441" t="n">
        <v>0</v>
      </c>
      <c r="R441" s="2" t="inlineStr"/>
    </row>
    <row r="442" ht="15" customHeight="1">
      <c r="A442" t="inlineStr">
        <is>
          <t>A 55944-2024</t>
        </is>
      </c>
      <c r="B442" s="1" t="n">
        <v>45623.61640046296</v>
      </c>
      <c r="C442" s="1" t="n">
        <v>46100</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55947-2024</t>
        </is>
      </c>
      <c r="B443" s="1" t="n">
        <v>45623</v>
      </c>
      <c r="C443" s="1" t="n">
        <v>46100</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3374-2023</t>
        </is>
      </c>
      <c r="B444" s="1" t="n">
        <v>44949</v>
      </c>
      <c r="C444" s="1" t="n">
        <v>46100</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16820-2024</t>
        </is>
      </c>
      <c r="B445" s="1" t="n">
        <v>45411.46809027778</v>
      </c>
      <c r="C445" s="1" t="n">
        <v>46100</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48699-2024</t>
        </is>
      </c>
      <c r="B446" s="1" t="n">
        <v>45593.52091435185</v>
      </c>
      <c r="C446" s="1" t="n">
        <v>46100</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4456-2024</t>
        </is>
      </c>
      <c r="B447" s="1" t="n">
        <v>45327.52847222222</v>
      </c>
      <c r="C447" s="1" t="n">
        <v>46100</v>
      </c>
      <c r="D447" t="inlineStr">
        <is>
          <t>ÖSTERGÖTLANDS LÄN</t>
        </is>
      </c>
      <c r="E447" t="inlineStr">
        <is>
          <t>LINKÖPING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24151-2024</t>
        </is>
      </c>
      <c r="B448" s="1" t="n">
        <v>45456.67717592593</v>
      </c>
      <c r="C448" s="1" t="n">
        <v>46100</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20298-2025</t>
        </is>
      </c>
      <c r="B449" s="1" t="n">
        <v>45774.75024305555</v>
      </c>
      <c r="C449" s="1" t="n">
        <v>46100</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15121-2022</t>
        </is>
      </c>
      <c r="B450" s="1" t="n">
        <v>44658</v>
      </c>
      <c r="C450" s="1" t="n">
        <v>46100</v>
      </c>
      <c r="D450" t="inlineStr">
        <is>
          <t>ÖSTERGÖTLANDS LÄN</t>
        </is>
      </c>
      <c r="E450" t="inlineStr">
        <is>
          <t>LINKÖPING</t>
        </is>
      </c>
      <c r="G450" t="n">
        <v>1</v>
      </c>
      <c r="H450" t="n">
        <v>0</v>
      </c>
      <c r="I450" t="n">
        <v>0</v>
      </c>
      <c r="J450" t="n">
        <v>0</v>
      </c>
      <c r="K450" t="n">
        <v>0</v>
      </c>
      <c r="L450" t="n">
        <v>0</v>
      </c>
      <c r="M450" t="n">
        <v>0</v>
      </c>
      <c r="N450" t="n">
        <v>0</v>
      </c>
      <c r="O450" t="n">
        <v>0</v>
      </c>
      <c r="P450" t="n">
        <v>0</v>
      </c>
      <c r="Q450" t="n">
        <v>0</v>
      </c>
      <c r="R450" s="2" t="inlineStr"/>
    </row>
    <row r="451" ht="15" customHeight="1">
      <c r="A451" t="inlineStr">
        <is>
          <t>A 50743-2023</t>
        </is>
      </c>
      <c r="B451" s="1" t="n">
        <v>45217</v>
      </c>
      <c r="C451" s="1" t="n">
        <v>46100</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41511-2025</t>
        </is>
      </c>
      <c r="B452" s="1" t="n">
        <v>45901.53839120371</v>
      </c>
      <c r="C452" s="1" t="n">
        <v>46100</v>
      </c>
      <c r="D452" t="inlineStr">
        <is>
          <t>ÖSTERGÖTLANDS LÄN</t>
        </is>
      </c>
      <c r="E452" t="inlineStr">
        <is>
          <t>LINKÖPING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13687-2025</t>
        </is>
      </c>
      <c r="B453" s="1" t="n">
        <v>45737.31425925926</v>
      </c>
      <c r="C453" s="1" t="n">
        <v>46100</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13695-2025</t>
        </is>
      </c>
      <c r="B454" s="1" t="n">
        <v>45737.32219907407</v>
      </c>
      <c r="C454" s="1" t="n">
        <v>46100</v>
      </c>
      <c r="D454" t="inlineStr">
        <is>
          <t>ÖSTERGÖTLANDS LÄN</t>
        </is>
      </c>
      <c r="E454" t="inlineStr">
        <is>
          <t>LINKÖPING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14576-2023</t>
        </is>
      </c>
      <c r="B455" s="1" t="n">
        <v>45013</v>
      </c>
      <c r="C455" s="1" t="n">
        <v>46100</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20294-2025</t>
        </is>
      </c>
      <c r="B456" s="1" t="n">
        <v>45774.74667824074</v>
      </c>
      <c r="C456" s="1" t="n">
        <v>46100</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13911-2025</t>
        </is>
      </c>
      <c r="B457" s="1" t="n">
        <v>45737.64784722222</v>
      </c>
      <c r="C457" s="1" t="n">
        <v>46100</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17128-2025</t>
        </is>
      </c>
      <c r="B458" s="1" t="n">
        <v>45755.72622685185</v>
      </c>
      <c r="C458" s="1" t="n">
        <v>46100</v>
      </c>
      <c r="D458" t="inlineStr">
        <is>
          <t>ÖSTERGÖTLANDS LÄN</t>
        </is>
      </c>
      <c r="E458" t="inlineStr">
        <is>
          <t>LINKÖPING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74160-2021</t>
        </is>
      </c>
      <c r="B459" s="1" t="n">
        <v>44558</v>
      </c>
      <c r="C459" s="1" t="n">
        <v>46100</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52125-2022</t>
        </is>
      </c>
      <c r="B460" s="1" t="n">
        <v>44873</v>
      </c>
      <c r="C460" s="1" t="n">
        <v>46100</v>
      </c>
      <c r="D460" t="inlineStr">
        <is>
          <t>ÖSTERGÖTLANDS LÄN</t>
        </is>
      </c>
      <c r="E460" t="inlineStr">
        <is>
          <t>LINKÖPING</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27343-2023</t>
        </is>
      </c>
      <c r="B461" s="1" t="n">
        <v>45096</v>
      </c>
      <c r="C461" s="1" t="n">
        <v>46100</v>
      </c>
      <c r="D461" t="inlineStr">
        <is>
          <t>ÖSTERGÖTLANDS LÄN</t>
        </is>
      </c>
      <c r="E461" t="inlineStr">
        <is>
          <t>LINKÖPING</t>
        </is>
      </c>
      <c r="F461" t="inlineStr">
        <is>
          <t>Allmännings- och besparingsskogar</t>
        </is>
      </c>
      <c r="G461" t="n">
        <v>6.9</v>
      </c>
      <c r="H461" t="n">
        <v>0</v>
      </c>
      <c r="I461" t="n">
        <v>0</v>
      </c>
      <c r="J461" t="n">
        <v>0</v>
      </c>
      <c r="K461" t="n">
        <v>0</v>
      </c>
      <c r="L461" t="n">
        <v>0</v>
      </c>
      <c r="M461" t="n">
        <v>0</v>
      </c>
      <c r="N461" t="n">
        <v>0</v>
      </c>
      <c r="O461" t="n">
        <v>0</v>
      </c>
      <c r="P461" t="n">
        <v>0</v>
      </c>
      <c r="Q461" t="n">
        <v>0</v>
      </c>
      <c r="R461" s="2" t="inlineStr"/>
    </row>
    <row r="462" ht="15" customHeight="1">
      <c r="A462" t="inlineStr">
        <is>
          <t>A 44280-2024</t>
        </is>
      </c>
      <c r="B462" s="1" t="n">
        <v>45573.49461805556</v>
      </c>
      <c r="C462" s="1" t="n">
        <v>46100</v>
      </c>
      <c r="D462" t="inlineStr">
        <is>
          <t>ÖSTERGÖTLANDS LÄN</t>
        </is>
      </c>
      <c r="E462" t="inlineStr">
        <is>
          <t>LINKÖPING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22842-2023</t>
        </is>
      </c>
      <c r="B463" s="1" t="n">
        <v>45071</v>
      </c>
      <c r="C463" s="1" t="n">
        <v>46100</v>
      </c>
      <c r="D463" t="inlineStr">
        <is>
          <t>ÖSTERGÖTLANDS LÄN</t>
        </is>
      </c>
      <c r="E463" t="inlineStr">
        <is>
          <t>LINKÖPING</t>
        </is>
      </c>
      <c r="F463" t="inlineStr">
        <is>
          <t>Kommuner</t>
        </is>
      </c>
      <c r="G463" t="n">
        <v>1.3</v>
      </c>
      <c r="H463" t="n">
        <v>0</v>
      </c>
      <c r="I463" t="n">
        <v>0</v>
      </c>
      <c r="J463" t="n">
        <v>0</v>
      </c>
      <c r="K463" t="n">
        <v>0</v>
      </c>
      <c r="L463" t="n">
        <v>0</v>
      </c>
      <c r="M463" t="n">
        <v>0</v>
      </c>
      <c r="N463" t="n">
        <v>0</v>
      </c>
      <c r="O463" t="n">
        <v>0</v>
      </c>
      <c r="P463" t="n">
        <v>0</v>
      </c>
      <c r="Q463" t="n">
        <v>0</v>
      </c>
      <c r="R463" s="2" t="inlineStr"/>
    </row>
    <row r="464" ht="15" customHeight="1">
      <c r="A464" t="inlineStr">
        <is>
          <t>A 27766-2022</t>
        </is>
      </c>
      <c r="B464" s="1" t="n">
        <v>44743.53112268518</v>
      </c>
      <c r="C464" s="1" t="n">
        <v>46100</v>
      </c>
      <c r="D464" t="inlineStr">
        <is>
          <t>ÖSTERGÖTLANDS LÄN</t>
        </is>
      </c>
      <c r="E464" t="inlineStr">
        <is>
          <t>LINKÖPING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14520-2025</t>
        </is>
      </c>
      <c r="B465" s="1" t="n">
        <v>45741</v>
      </c>
      <c r="C465" s="1" t="n">
        <v>46100</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31548-2022</t>
        </is>
      </c>
      <c r="B466" s="1" t="n">
        <v>44775.39832175926</v>
      </c>
      <c r="C466" s="1" t="n">
        <v>46100</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53641-2023</t>
        </is>
      </c>
      <c r="B467" s="1" t="n">
        <v>45230</v>
      </c>
      <c r="C467" s="1" t="n">
        <v>46100</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33000-2023</t>
        </is>
      </c>
      <c r="B468" s="1" t="n">
        <v>45125</v>
      </c>
      <c r="C468" s="1" t="n">
        <v>46100</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52892-2024</t>
        </is>
      </c>
      <c r="B469" s="1" t="n">
        <v>45610</v>
      </c>
      <c r="C469" s="1" t="n">
        <v>46100</v>
      </c>
      <c r="D469" t="inlineStr">
        <is>
          <t>ÖSTERGÖTLANDS LÄN</t>
        </is>
      </c>
      <c r="E469" t="inlineStr">
        <is>
          <t>LINKÖPING</t>
        </is>
      </c>
      <c r="G469" t="n">
        <v>4.2</v>
      </c>
      <c r="H469" t="n">
        <v>0</v>
      </c>
      <c r="I469" t="n">
        <v>0</v>
      </c>
      <c r="J469" t="n">
        <v>0</v>
      </c>
      <c r="K469" t="n">
        <v>0</v>
      </c>
      <c r="L469" t="n">
        <v>0</v>
      </c>
      <c r="M469" t="n">
        <v>0</v>
      </c>
      <c r="N469" t="n">
        <v>0</v>
      </c>
      <c r="O469" t="n">
        <v>0</v>
      </c>
      <c r="P469" t="n">
        <v>0</v>
      </c>
      <c r="Q469" t="n">
        <v>0</v>
      </c>
      <c r="R469" s="2" t="inlineStr"/>
    </row>
    <row r="470" ht="15" customHeight="1">
      <c r="A470" t="inlineStr">
        <is>
          <t>A 62017-2024</t>
        </is>
      </c>
      <c r="B470" s="1" t="n">
        <v>45655.81140046296</v>
      </c>
      <c r="C470" s="1" t="n">
        <v>46100</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17785-2023</t>
        </is>
      </c>
      <c r="B471" s="1" t="n">
        <v>45037.55094907407</v>
      </c>
      <c r="C471" s="1" t="n">
        <v>46100</v>
      </c>
      <c r="D471" t="inlineStr">
        <is>
          <t>ÖSTERGÖTLANDS LÄN</t>
        </is>
      </c>
      <c r="E471" t="inlineStr">
        <is>
          <t>LINKÖPING</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41706-2025</t>
        </is>
      </c>
      <c r="B472" s="1" t="n">
        <v>45902.42209490741</v>
      </c>
      <c r="C472" s="1" t="n">
        <v>46100</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3042-2024</t>
        </is>
      </c>
      <c r="B473" s="1" t="n">
        <v>45316.35028935185</v>
      </c>
      <c r="C473" s="1" t="n">
        <v>46100</v>
      </c>
      <c r="D473" t="inlineStr">
        <is>
          <t>ÖSTERGÖTLANDS LÄN</t>
        </is>
      </c>
      <c r="E473" t="inlineStr">
        <is>
          <t>LINKÖPING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29293-2025</t>
        </is>
      </c>
      <c r="B474" s="1" t="n">
        <v>45824</v>
      </c>
      <c r="C474" s="1" t="n">
        <v>46100</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42624-2025</t>
        </is>
      </c>
      <c r="B475" s="1" t="n">
        <v>45905</v>
      </c>
      <c r="C475" s="1" t="n">
        <v>46100</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42626-2025</t>
        </is>
      </c>
      <c r="B476" s="1" t="n">
        <v>45905</v>
      </c>
      <c r="C476" s="1" t="n">
        <v>46100</v>
      </c>
      <c r="D476" t="inlineStr">
        <is>
          <t>ÖSTERGÖTLANDS LÄN</t>
        </is>
      </c>
      <c r="E476" t="inlineStr">
        <is>
          <t>LINKÖPING</t>
        </is>
      </c>
      <c r="G476" t="n">
        <v>3.6</v>
      </c>
      <c r="H476" t="n">
        <v>0</v>
      </c>
      <c r="I476" t="n">
        <v>0</v>
      </c>
      <c r="J476" t="n">
        <v>0</v>
      </c>
      <c r="K476" t="n">
        <v>0</v>
      </c>
      <c r="L476" t="n">
        <v>0</v>
      </c>
      <c r="M476" t="n">
        <v>0</v>
      </c>
      <c r="N476" t="n">
        <v>0</v>
      </c>
      <c r="O476" t="n">
        <v>0</v>
      </c>
      <c r="P476" t="n">
        <v>0</v>
      </c>
      <c r="Q476" t="n">
        <v>0</v>
      </c>
      <c r="R476" s="2" t="inlineStr"/>
    </row>
    <row r="477" ht="15" customHeight="1">
      <c r="A477" t="inlineStr">
        <is>
          <t>A 42623-2025</t>
        </is>
      </c>
      <c r="B477" s="1" t="n">
        <v>45905</v>
      </c>
      <c r="C477" s="1" t="n">
        <v>46100</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30521-2024</t>
        </is>
      </c>
      <c r="B478" s="1" t="n">
        <v>45492</v>
      </c>
      <c r="C478" s="1" t="n">
        <v>46100</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51191-2022</t>
        </is>
      </c>
      <c r="B479" s="1" t="n">
        <v>44865</v>
      </c>
      <c r="C479" s="1" t="n">
        <v>46100</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12289-2025</t>
        </is>
      </c>
      <c r="B480" s="1" t="n">
        <v>45729</v>
      </c>
      <c r="C480" s="1" t="n">
        <v>46100</v>
      </c>
      <c r="D480" t="inlineStr">
        <is>
          <t>ÖSTERGÖTLANDS LÄN</t>
        </is>
      </c>
      <c r="E480" t="inlineStr">
        <is>
          <t>LINKÖPING</t>
        </is>
      </c>
      <c r="F480" t="inlineStr">
        <is>
          <t>Övriga statliga verk och myndigheter</t>
        </is>
      </c>
      <c r="G480" t="n">
        <v>6.5</v>
      </c>
      <c r="H480" t="n">
        <v>0</v>
      </c>
      <c r="I480" t="n">
        <v>0</v>
      </c>
      <c r="J480" t="n">
        <v>0</v>
      </c>
      <c r="K480" t="n">
        <v>0</v>
      </c>
      <c r="L480" t="n">
        <v>0</v>
      </c>
      <c r="M480" t="n">
        <v>0</v>
      </c>
      <c r="N480" t="n">
        <v>0</v>
      </c>
      <c r="O480" t="n">
        <v>0</v>
      </c>
      <c r="P480" t="n">
        <v>0</v>
      </c>
      <c r="Q480" t="n">
        <v>0</v>
      </c>
      <c r="R480" s="2" t="inlineStr"/>
    </row>
    <row r="481" ht="15" customHeight="1">
      <c r="A481" t="inlineStr">
        <is>
          <t>A 62686-2023</t>
        </is>
      </c>
      <c r="B481" s="1" t="n">
        <v>45271</v>
      </c>
      <c r="C481" s="1" t="n">
        <v>46100</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42044-2023</t>
        </is>
      </c>
      <c r="B482" s="1" t="n">
        <v>45177</v>
      </c>
      <c r="C482" s="1" t="n">
        <v>46100</v>
      </c>
      <c r="D482" t="inlineStr">
        <is>
          <t>ÖSTERGÖTLANDS LÄN</t>
        </is>
      </c>
      <c r="E482" t="inlineStr">
        <is>
          <t>LINKÖPING</t>
        </is>
      </c>
      <c r="G482" t="n">
        <v>3.9</v>
      </c>
      <c r="H482" t="n">
        <v>0</v>
      </c>
      <c r="I482" t="n">
        <v>0</v>
      </c>
      <c r="J482" t="n">
        <v>0</v>
      </c>
      <c r="K482" t="n">
        <v>0</v>
      </c>
      <c r="L482" t="n">
        <v>0</v>
      </c>
      <c r="M482" t="n">
        <v>0</v>
      </c>
      <c r="N482" t="n">
        <v>0</v>
      </c>
      <c r="O482" t="n">
        <v>0</v>
      </c>
      <c r="P482" t="n">
        <v>0</v>
      </c>
      <c r="Q482" t="n">
        <v>0</v>
      </c>
      <c r="R482" s="2" t="inlineStr"/>
    </row>
    <row r="483" ht="15" customHeight="1">
      <c r="A483" t="inlineStr">
        <is>
          <t>A 9434-2024</t>
        </is>
      </c>
      <c r="B483" s="1" t="n">
        <v>45359</v>
      </c>
      <c r="C483" s="1" t="n">
        <v>46100</v>
      </c>
      <c r="D483" t="inlineStr">
        <is>
          <t>ÖSTERGÖTLANDS LÄN</t>
        </is>
      </c>
      <c r="E483" t="inlineStr">
        <is>
          <t>LINKÖPING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42054-2022</t>
        </is>
      </c>
      <c r="B484" s="1" t="n">
        <v>44830</v>
      </c>
      <c r="C484" s="1" t="n">
        <v>46100</v>
      </c>
      <c r="D484" t="inlineStr">
        <is>
          <t>ÖSTERGÖTLANDS LÄN</t>
        </is>
      </c>
      <c r="E484" t="inlineStr">
        <is>
          <t>LINKÖPING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26002-2025</t>
        </is>
      </c>
      <c r="B485" s="1" t="n">
        <v>45804.66534722222</v>
      </c>
      <c r="C485" s="1" t="n">
        <v>46100</v>
      </c>
      <c r="D485" t="inlineStr">
        <is>
          <t>ÖSTERGÖTLANDS LÄN</t>
        </is>
      </c>
      <c r="E485" t="inlineStr">
        <is>
          <t>LINKÖPING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49656-2021</t>
        </is>
      </c>
      <c r="B486" s="1" t="n">
        <v>44454</v>
      </c>
      <c r="C486" s="1" t="n">
        <v>46100</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50182-2023</t>
        </is>
      </c>
      <c r="B487" s="1" t="n">
        <v>45208</v>
      </c>
      <c r="C487" s="1" t="n">
        <v>46100</v>
      </c>
      <c r="D487" t="inlineStr">
        <is>
          <t>ÖSTERGÖTLANDS LÄN</t>
        </is>
      </c>
      <c r="E487" t="inlineStr">
        <is>
          <t>LINKÖPING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25996-2025</t>
        </is>
      </c>
      <c r="B488" s="1" t="n">
        <v>45804.65851851852</v>
      </c>
      <c r="C488" s="1" t="n">
        <v>46100</v>
      </c>
      <c r="D488" t="inlineStr">
        <is>
          <t>ÖSTERGÖTLANDS LÄN</t>
        </is>
      </c>
      <c r="E488" t="inlineStr">
        <is>
          <t>LINKÖPING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35781-2023</t>
        </is>
      </c>
      <c r="B489" s="1" t="n">
        <v>45147</v>
      </c>
      <c r="C489" s="1" t="n">
        <v>46100</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38230-2023</t>
        </is>
      </c>
      <c r="B490" s="1" t="n">
        <v>45161.55373842592</v>
      </c>
      <c r="C490" s="1" t="n">
        <v>46100</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45442-2024</t>
        </is>
      </c>
      <c r="B491" s="1" t="n">
        <v>45576.64189814815</v>
      </c>
      <c r="C491" s="1" t="n">
        <v>46100</v>
      </c>
      <c r="D491" t="inlineStr">
        <is>
          <t>ÖSTERGÖTLANDS LÄN</t>
        </is>
      </c>
      <c r="E491" t="inlineStr">
        <is>
          <t>LINKÖPING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4908-2023</t>
        </is>
      </c>
      <c r="B492" s="1" t="n">
        <v>44958</v>
      </c>
      <c r="C492" s="1" t="n">
        <v>46100</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1265-2023</t>
        </is>
      </c>
      <c r="B493" s="1" t="n">
        <v>44936</v>
      </c>
      <c r="C493" s="1" t="n">
        <v>46100</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6387-2022</t>
        </is>
      </c>
      <c r="B494" s="1" t="n">
        <v>44600</v>
      </c>
      <c r="C494" s="1" t="n">
        <v>46100</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48707-2023</t>
        </is>
      </c>
      <c r="B495" s="1" t="n">
        <v>45202</v>
      </c>
      <c r="C495" s="1" t="n">
        <v>46100</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12411-2022</t>
        </is>
      </c>
      <c r="B496" s="1" t="n">
        <v>44638.21601851852</v>
      </c>
      <c r="C496" s="1" t="n">
        <v>46100</v>
      </c>
      <c r="D496" t="inlineStr">
        <is>
          <t>ÖSTERGÖTLANDS LÄN</t>
        </is>
      </c>
      <c r="E496" t="inlineStr">
        <is>
          <t>LINKÖPING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12089-2025</t>
        </is>
      </c>
      <c r="B497" s="1" t="n">
        <v>45729</v>
      </c>
      <c r="C497" s="1" t="n">
        <v>46100</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44170-2025</t>
        </is>
      </c>
      <c r="B498" s="1" t="n">
        <v>45915.59864583334</v>
      </c>
      <c r="C498" s="1" t="n">
        <v>46100</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15658-2023</t>
        </is>
      </c>
      <c r="B499" s="1" t="n">
        <v>45021.41194444444</v>
      </c>
      <c r="C499" s="1" t="n">
        <v>46100</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23491-2024</t>
        </is>
      </c>
      <c r="B500" s="1" t="n">
        <v>45453</v>
      </c>
      <c r="C500" s="1" t="n">
        <v>46100</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43755-2025</t>
        </is>
      </c>
      <c r="B501" s="1" t="n">
        <v>45912.47329861111</v>
      </c>
      <c r="C501" s="1" t="n">
        <v>46100</v>
      </c>
      <c r="D501" t="inlineStr">
        <is>
          <t>ÖSTERGÖTLANDS LÄN</t>
        </is>
      </c>
      <c r="E501" t="inlineStr">
        <is>
          <t>LINKÖPING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70-2024</t>
        </is>
      </c>
      <c r="B502" s="1" t="n">
        <v>45293</v>
      </c>
      <c r="C502" s="1" t="n">
        <v>46100</v>
      </c>
      <c r="D502" t="inlineStr">
        <is>
          <t>ÖSTERGÖTLANDS LÄN</t>
        </is>
      </c>
      <c r="E502" t="inlineStr">
        <is>
          <t>LINKÖPING</t>
        </is>
      </c>
      <c r="G502" t="n">
        <v>1.3</v>
      </c>
      <c r="H502" t="n">
        <v>0</v>
      </c>
      <c r="I502" t="n">
        <v>0</v>
      </c>
      <c r="J502" t="n">
        <v>0</v>
      </c>
      <c r="K502" t="n">
        <v>0</v>
      </c>
      <c r="L502" t="n">
        <v>0</v>
      </c>
      <c r="M502" t="n">
        <v>0</v>
      </c>
      <c r="N502" t="n">
        <v>0</v>
      </c>
      <c r="O502" t="n">
        <v>0</v>
      </c>
      <c r="P502" t="n">
        <v>0</v>
      </c>
      <c r="Q502" t="n">
        <v>0</v>
      </c>
      <c r="R502" s="2" t="inlineStr"/>
    </row>
    <row r="503" ht="15" customHeight="1">
      <c r="A503" t="inlineStr">
        <is>
          <t>A 43758-2025</t>
        </is>
      </c>
      <c r="B503" s="1" t="n">
        <v>45912.47711805555</v>
      </c>
      <c r="C503" s="1" t="n">
        <v>46100</v>
      </c>
      <c r="D503" t="inlineStr">
        <is>
          <t>ÖSTERGÖTLANDS LÄN</t>
        </is>
      </c>
      <c r="E503" t="inlineStr">
        <is>
          <t>LINKÖPING</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6054-2022</t>
        </is>
      </c>
      <c r="B504" s="1" t="n">
        <v>44599.53623842593</v>
      </c>
      <c r="C504" s="1" t="n">
        <v>46100</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31725-2022</t>
        </is>
      </c>
      <c r="B505" s="1" t="n">
        <v>44776.48541666667</v>
      </c>
      <c r="C505" s="1" t="n">
        <v>46100</v>
      </c>
      <c r="D505" t="inlineStr">
        <is>
          <t>ÖSTERGÖTLANDS LÄN</t>
        </is>
      </c>
      <c r="E505" t="inlineStr">
        <is>
          <t>LINKÖPING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43753-2025</t>
        </is>
      </c>
      <c r="B506" s="1" t="n">
        <v>45912.4715625</v>
      </c>
      <c r="C506" s="1" t="n">
        <v>46100</v>
      </c>
      <c r="D506" t="inlineStr">
        <is>
          <t>ÖSTERGÖTLANDS LÄN</t>
        </is>
      </c>
      <c r="E506" t="inlineStr">
        <is>
          <t>LINKÖPING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51583-2024</t>
        </is>
      </c>
      <c r="B507" s="1" t="n">
        <v>45604.6397337963</v>
      </c>
      <c r="C507" s="1" t="n">
        <v>46100</v>
      </c>
      <c r="D507" t="inlineStr">
        <is>
          <t>ÖSTERGÖTLANDS LÄN</t>
        </is>
      </c>
      <c r="E507" t="inlineStr">
        <is>
          <t>LINKÖPING</t>
        </is>
      </c>
      <c r="F507" t="inlineStr">
        <is>
          <t>Övriga Aktiebolag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64694-2023</t>
        </is>
      </c>
      <c r="B508" s="1" t="n">
        <v>45281</v>
      </c>
      <c r="C508" s="1" t="n">
        <v>46100</v>
      </c>
      <c r="D508" t="inlineStr">
        <is>
          <t>ÖSTERGÖTLANDS LÄN</t>
        </is>
      </c>
      <c r="E508" t="inlineStr">
        <is>
          <t>LINKÖPING</t>
        </is>
      </c>
      <c r="F508" t="inlineStr">
        <is>
          <t>Övriga statliga verk och myndigheter</t>
        </is>
      </c>
      <c r="G508" t="n">
        <v>4.9</v>
      </c>
      <c r="H508" t="n">
        <v>0</v>
      </c>
      <c r="I508" t="n">
        <v>0</v>
      </c>
      <c r="J508" t="n">
        <v>0</v>
      </c>
      <c r="K508" t="n">
        <v>0</v>
      </c>
      <c r="L508" t="n">
        <v>0</v>
      </c>
      <c r="M508" t="n">
        <v>0</v>
      </c>
      <c r="N508" t="n">
        <v>0</v>
      </c>
      <c r="O508" t="n">
        <v>0</v>
      </c>
      <c r="P508" t="n">
        <v>0</v>
      </c>
      <c r="Q508" t="n">
        <v>0</v>
      </c>
      <c r="R508" s="2" t="inlineStr"/>
    </row>
    <row r="509" ht="15" customHeight="1">
      <c r="A509" t="inlineStr">
        <is>
          <t>A 32602-2022</t>
        </is>
      </c>
      <c r="B509" s="1" t="n">
        <v>44783.43192129629</v>
      </c>
      <c r="C509" s="1" t="n">
        <v>46100</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44759-2025</t>
        </is>
      </c>
      <c r="B510" s="1" t="n">
        <v>45917.7152662037</v>
      </c>
      <c r="C510" s="1" t="n">
        <v>46100</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62321-2022</t>
        </is>
      </c>
      <c r="B511" s="1" t="n">
        <v>44916</v>
      </c>
      <c r="C511" s="1" t="n">
        <v>46100</v>
      </c>
      <c r="D511" t="inlineStr">
        <is>
          <t>ÖSTERGÖTLANDS LÄN</t>
        </is>
      </c>
      <c r="E511" t="inlineStr">
        <is>
          <t>LINKÖPING</t>
        </is>
      </c>
      <c r="F511" t="inlineStr">
        <is>
          <t>Kommuner</t>
        </is>
      </c>
      <c r="G511" t="n">
        <v>5.3</v>
      </c>
      <c r="H511" t="n">
        <v>0</v>
      </c>
      <c r="I511" t="n">
        <v>0</v>
      </c>
      <c r="J511" t="n">
        <v>0</v>
      </c>
      <c r="K511" t="n">
        <v>0</v>
      </c>
      <c r="L511" t="n">
        <v>0</v>
      </c>
      <c r="M511" t="n">
        <v>0</v>
      </c>
      <c r="N511" t="n">
        <v>0</v>
      </c>
      <c r="O511" t="n">
        <v>0</v>
      </c>
      <c r="P511" t="n">
        <v>0</v>
      </c>
      <c r="Q511" t="n">
        <v>0</v>
      </c>
      <c r="R511" s="2" t="inlineStr"/>
    </row>
    <row r="512" ht="15" customHeight="1">
      <c r="A512" t="inlineStr">
        <is>
          <t>A 44764-2025</t>
        </is>
      </c>
      <c r="B512" s="1" t="n">
        <v>45917.72821759259</v>
      </c>
      <c r="C512" s="1" t="n">
        <v>46100</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27950-2025</t>
        </is>
      </c>
      <c r="B513" s="1" t="n">
        <v>45817.52960648148</v>
      </c>
      <c r="C513" s="1" t="n">
        <v>46100</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1084-2023</t>
        </is>
      </c>
      <c r="B514" s="1" t="n">
        <v>44929</v>
      </c>
      <c r="C514" s="1" t="n">
        <v>46100</v>
      </c>
      <c r="D514" t="inlineStr">
        <is>
          <t>ÖSTERGÖTLANDS LÄN</t>
        </is>
      </c>
      <c r="E514" t="inlineStr">
        <is>
          <t>LINKÖPING</t>
        </is>
      </c>
      <c r="G514" t="n">
        <v>10.4</v>
      </c>
      <c r="H514" t="n">
        <v>0</v>
      </c>
      <c r="I514" t="n">
        <v>0</v>
      </c>
      <c r="J514" t="n">
        <v>0</v>
      </c>
      <c r="K514" t="n">
        <v>0</v>
      </c>
      <c r="L514" t="n">
        <v>0</v>
      </c>
      <c r="M514" t="n">
        <v>0</v>
      </c>
      <c r="N514" t="n">
        <v>0</v>
      </c>
      <c r="O514" t="n">
        <v>0</v>
      </c>
      <c r="P514" t="n">
        <v>0</v>
      </c>
      <c r="Q514" t="n">
        <v>0</v>
      </c>
      <c r="R514" s="2" t="inlineStr"/>
    </row>
    <row r="515" ht="15" customHeight="1">
      <c r="A515" t="inlineStr">
        <is>
          <t>A 267-2023</t>
        </is>
      </c>
      <c r="B515" s="1" t="n">
        <v>44928.80907407407</v>
      </c>
      <c r="C515" s="1" t="n">
        <v>46100</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940-2023</t>
        </is>
      </c>
      <c r="B516" s="1" t="n">
        <v>44933</v>
      </c>
      <c r="C516" s="1" t="n">
        <v>46100</v>
      </c>
      <c r="D516" t="inlineStr">
        <is>
          <t>ÖSTERGÖTLANDS LÄN</t>
        </is>
      </c>
      <c r="E516" t="inlineStr">
        <is>
          <t>LINKÖPING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27797-2025</t>
        </is>
      </c>
      <c r="B517" s="1" t="n">
        <v>45816.80521990741</v>
      </c>
      <c r="C517" s="1" t="n">
        <v>46100</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27798-2025</t>
        </is>
      </c>
      <c r="B518" s="1" t="n">
        <v>45816.81532407407</v>
      </c>
      <c r="C518" s="1" t="n">
        <v>46100</v>
      </c>
      <c r="D518" t="inlineStr">
        <is>
          <t>ÖSTERGÖTLANDS LÄN</t>
        </is>
      </c>
      <c r="E518" t="inlineStr">
        <is>
          <t>LINKÖPING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45112-2025</t>
        </is>
      </c>
      <c r="B519" s="1" t="n">
        <v>45919</v>
      </c>
      <c r="C519" s="1" t="n">
        <v>46100</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6369-2023</t>
        </is>
      </c>
      <c r="B520" s="1" t="n">
        <v>44965.61106481482</v>
      </c>
      <c r="C520" s="1" t="n">
        <v>46100</v>
      </c>
      <c r="D520" t="inlineStr">
        <is>
          <t>ÖSTERGÖTLANDS LÄN</t>
        </is>
      </c>
      <c r="E520" t="inlineStr">
        <is>
          <t>LINKÖPING</t>
        </is>
      </c>
      <c r="G520" t="n">
        <v>4</v>
      </c>
      <c r="H520" t="n">
        <v>0</v>
      </c>
      <c r="I520" t="n">
        <v>0</v>
      </c>
      <c r="J520" t="n">
        <v>0</v>
      </c>
      <c r="K520" t="n">
        <v>0</v>
      </c>
      <c r="L520" t="n">
        <v>0</v>
      </c>
      <c r="M520" t="n">
        <v>0</v>
      </c>
      <c r="N520" t="n">
        <v>0</v>
      </c>
      <c r="O520" t="n">
        <v>0</v>
      </c>
      <c r="P520" t="n">
        <v>0</v>
      </c>
      <c r="Q520" t="n">
        <v>0</v>
      </c>
      <c r="R520" s="2" t="inlineStr"/>
    </row>
    <row r="521" ht="15" customHeight="1">
      <c r="A521" t="inlineStr">
        <is>
          <t>A 57391-2023</t>
        </is>
      </c>
      <c r="B521" s="1" t="n">
        <v>45245</v>
      </c>
      <c r="C521" s="1" t="n">
        <v>46100</v>
      </c>
      <c r="D521" t="inlineStr">
        <is>
          <t>ÖSTERGÖTLANDS LÄN</t>
        </is>
      </c>
      <c r="E521" t="inlineStr">
        <is>
          <t>LINKÖPING</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7992-2023</t>
        </is>
      </c>
      <c r="B522" s="1" t="n">
        <v>44970</v>
      </c>
      <c r="C522" s="1" t="n">
        <v>46100</v>
      </c>
      <c r="D522" t="inlineStr">
        <is>
          <t>ÖSTERGÖTLANDS LÄN</t>
        </is>
      </c>
      <c r="E522" t="inlineStr">
        <is>
          <t>LINKÖPING</t>
        </is>
      </c>
      <c r="F522" t="inlineStr">
        <is>
          <t>Kommuner</t>
        </is>
      </c>
      <c r="G522" t="n">
        <v>1</v>
      </c>
      <c r="H522" t="n">
        <v>0</v>
      </c>
      <c r="I522" t="n">
        <v>0</v>
      </c>
      <c r="J522" t="n">
        <v>0</v>
      </c>
      <c r="K522" t="n">
        <v>0</v>
      </c>
      <c r="L522" t="n">
        <v>0</v>
      </c>
      <c r="M522" t="n">
        <v>0</v>
      </c>
      <c r="N522" t="n">
        <v>0</v>
      </c>
      <c r="O522" t="n">
        <v>0</v>
      </c>
      <c r="P522" t="n">
        <v>0</v>
      </c>
      <c r="Q522" t="n">
        <v>0</v>
      </c>
      <c r="R522" s="2" t="inlineStr"/>
    </row>
    <row r="523" ht="15" customHeight="1">
      <c r="A523" t="inlineStr">
        <is>
          <t>A 28200-2025</t>
        </is>
      </c>
      <c r="B523" s="1" t="n">
        <v>45818.4428125</v>
      </c>
      <c r="C523" s="1" t="n">
        <v>46100</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30980-2022</t>
        </is>
      </c>
      <c r="B524" s="1" t="n">
        <v>44768</v>
      </c>
      <c r="C524" s="1" t="n">
        <v>46100</v>
      </c>
      <c r="D524" t="inlineStr">
        <is>
          <t>ÖSTERGÖTLANDS LÄN</t>
        </is>
      </c>
      <c r="E524" t="inlineStr">
        <is>
          <t>LINKÖPING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28204-2025</t>
        </is>
      </c>
      <c r="B525" s="1" t="n">
        <v>45818.4477662037</v>
      </c>
      <c r="C525" s="1" t="n">
        <v>46100</v>
      </c>
      <c r="D525" t="inlineStr">
        <is>
          <t>ÖSTERGÖTLANDS LÄN</t>
        </is>
      </c>
      <c r="E525" t="inlineStr">
        <is>
          <t>LINKÖPING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60007-2022</t>
        </is>
      </c>
      <c r="B526" s="1" t="n">
        <v>44909.47282407407</v>
      </c>
      <c r="C526" s="1" t="n">
        <v>46100</v>
      </c>
      <c r="D526" t="inlineStr">
        <is>
          <t>ÖSTERGÖTLANDS LÄN</t>
        </is>
      </c>
      <c r="E526" t="inlineStr">
        <is>
          <t>LINKÖPING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28416-2025</t>
        </is>
      </c>
      <c r="B527" s="1" t="n">
        <v>45819.35346064815</v>
      </c>
      <c r="C527" s="1" t="n">
        <v>46100</v>
      </c>
      <c r="D527" t="inlineStr">
        <is>
          <t>ÖSTERGÖTLANDS LÄN</t>
        </is>
      </c>
      <c r="E527" t="inlineStr">
        <is>
          <t>LINKÖPING</t>
        </is>
      </c>
      <c r="F527" t="inlineStr">
        <is>
          <t>Sveaskog</t>
        </is>
      </c>
      <c r="G527" t="n">
        <v>3.7</v>
      </c>
      <c r="H527" t="n">
        <v>0</v>
      </c>
      <c r="I527" t="n">
        <v>0</v>
      </c>
      <c r="J527" t="n">
        <v>0</v>
      </c>
      <c r="K527" t="n">
        <v>0</v>
      </c>
      <c r="L527" t="n">
        <v>0</v>
      </c>
      <c r="M527" t="n">
        <v>0</v>
      </c>
      <c r="N527" t="n">
        <v>0</v>
      </c>
      <c r="O527" t="n">
        <v>0</v>
      </c>
      <c r="P527" t="n">
        <v>0</v>
      </c>
      <c r="Q527" t="n">
        <v>0</v>
      </c>
      <c r="R527" s="2" t="inlineStr"/>
    </row>
    <row r="528" ht="15" customHeight="1">
      <c r="A528" t="inlineStr">
        <is>
          <t>A 50799-2022</t>
        </is>
      </c>
      <c r="B528" s="1" t="n">
        <v>44862</v>
      </c>
      <c r="C528" s="1" t="n">
        <v>46100</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13689-2025</t>
        </is>
      </c>
      <c r="B529" s="1" t="n">
        <v>45737.31590277778</v>
      </c>
      <c r="C529" s="1" t="n">
        <v>46100</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13696-2025</t>
        </is>
      </c>
      <c r="B530" s="1" t="n">
        <v>45737.32273148148</v>
      </c>
      <c r="C530" s="1" t="n">
        <v>46100</v>
      </c>
      <c r="D530" t="inlineStr">
        <is>
          <t>ÖSTERGÖTLANDS LÄN</t>
        </is>
      </c>
      <c r="E530" t="inlineStr">
        <is>
          <t>LINKÖPING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1924-2024</t>
        </is>
      </c>
      <c r="B531" s="1" t="n">
        <v>45308</v>
      </c>
      <c r="C531" s="1" t="n">
        <v>46100</v>
      </c>
      <c r="D531" t="inlineStr">
        <is>
          <t>ÖSTERGÖTLANDS LÄN</t>
        </is>
      </c>
      <c r="E531" t="inlineStr">
        <is>
          <t>LINKÖPING</t>
        </is>
      </c>
      <c r="F531" t="inlineStr">
        <is>
          <t>Övriga Aktiebolag</t>
        </is>
      </c>
      <c r="G531" t="n">
        <v>0.5</v>
      </c>
      <c r="H531" t="n">
        <v>0</v>
      </c>
      <c r="I531" t="n">
        <v>0</v>
      </c>
      <c r="J531" t="n">
        <v>0</v>
      </c>
      <c r="K531" t="n">
        <v>0</v>
      </c>
      <c r="L531" t="n">
        <v>0</v>
      </c>
      <c r="M531" t="n">
        <v>0</v>
      </c>
      <c r="N531" t="n">
        <v>0</v>
      </c>
      <c r="O531" t="n">
        <v>0</v>
      </c>
      <c r="P531" t="n">
        <v>0</v>
      </c>
      <c r="Q531" t="n">
        <v>0</v>
      </c>
      <c r="R531" s="2" t="inlineStr"/>
    </row>
    <row r="532" ht="15" customHeight="1">
      <c r="A532" t="inlineStr">
        <is>
          <t>A 45634-2025</t>
        </is>
      </c>
      <c r="B532" s="1" t="n">
        <v>45922.85089120371</v>
      </c>
      <c r="C532" s="1" t="n">
        <v>46100</v>
      </c>
      <c r="D532" t="inlineStr">
        <is>
          <t>ÖSTERGÖTLANDS LÄN</t>
        </is>
      </c>
      <c r="E532" t="inlineStr">
        <is>
          <t>LINKÖPING</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45792-2025</t>
        </is>
      </c>
      <c r="B533" s="1" t="n">
        <v>45923.56998842592</v>
      </c>
      <c r="C533" s="1" t="n">
        <v>46100</v>
      </c>
      <c r="D533" t="inlineStr">
        <is>
          <t>ÖSTERGÖTLANDS LÄN</t>
        </is>
      </c>
      <c r="E533" t="inlineStr">
        <is>
          <t>LINKÖPING</t>
        </is>
      </c>
      <c r="G533" t="n">
        <v>2.6</v>
      </c>
      <c r="H533" t="n">
        <v>0</v>
      </c>
      <c r="I533" t="n">
        <v>0</v>
      </c>
      <c r="J533" t="n">
        <v>0</v>
      </c>
      <c r="K533" t="n">
        <v>0</v>
      </c>
      <c r="L533" t="n">
        <v>0</v>
      </c>
      <c r="M533" t="n">
        <v>0</v>
      </c>
      <c r="N533" t="n">
        <v>0</v>
      </c>
      <c r="O533" t="n">
        <v>0</v>
      </c>
      <c r="P533" t="n">
        <v>0</v>
      </c>
      <c r="Q533" t="n">
        <v>0</v>
      </c>
      <c r="R533" s="2" t="inlineStr"/>
    </row>
    <row r="534" ht="15" customHeight="1">
      <c r="A534" t="inlineStr">
        <is>
          <t>A 45804-2025</t>
        </is>
      </c>
      <c r="B534" s="1" t="n">
        <v>45923.5819675926</v>
      </c>
      <c r="C534" s="1" t="n">
        <v>46100</v>
      </c>
      <c r="D534" t="inlineStr">
        <is>
          <t>ÖSTERGÖTLANDS LÄN</t>
        </is>
      </c>
      <c r="E534" t="inlineStr">
        <is>
          <t>LINKÖPING</t>
        </is>
      </c>
      <c r="G534" t="n">
        <v>3.3</v>
      </c>
      <c r="H534" t="n">
        <v>0</v>
      </c>
      <c r="I534" t="n">
        <v>0</v>
      </c>
      <c r="J534" t="n">
        <v>0</v>
      </c>
      <c r="K534" t="n">
        <v>0</v>
      </c>
      <c r="L534" t="n">
        <v>0</v>
      </c>
      <c r="M534" t="n">
        <v>0</v>
      </c>
      <c r="N534" t="n">
        <v>0</v>
      </c>
      <c r="O534" t="n">
        <v>0</v>
      </c>
      <c r="P534" t="n">
        <v>0</v>
      </c>
      <c r="Q534" t="n">
        <v>0</v>
      </c>
      <c r="R534" s="2" t="inlineStr"/>
    </row>
    <row r="535" ht="15" customHeight="1">
      <c r="A535" t="inlineStr">
        <is>
          <t>A 46426-2025</t>
        </is>
      </c>
      <c r="B535" s="1" t="n">
        <v>45925.6012962963</v>
      </c>
      <c r="C535" s="1" t="n">
        <v>46100</v>
      </c>
      <c r="D535" t="inlineStr">
        <is>
          <t>ÖSTERGÖTLANDS LÄN</t>
        </is>
      </c>
      <c r="E535" t="inlineStr">
        <is>
          <t>LINKÖPING</t>
        </is>
      </c>
      <c r="G535" t="n">
        <v>4.4</v>
      </c>
      <c r="H535" t="n">
        <v>0</v>
      </c>
      <c r="I535" t="n">
        <v>0</v>
      </c>
      <c r="J535" t="n">
        <v>0</v>
      </c>
      <c r="K535" t="n">
        <v>0</v>
      </c>
      <c r="L535" t="n">
        <v>0</v>
      </c>
      <c r="M535" t="n">
        <v>0</v>
      </c>
      <c r="N535" t="n">
        <v>0</v>
      </c>
      <c r="O535" t="n">
        <v>0</v>
      </c>
      <c r="P535" t="n">
        <v>0</v>
      </c>
      <c r="Q535" t="n">
        <v>0</v>
      </c>
      <c r="R535" s="2" t="inlineStr"/>
    </row>
    <row r="536" ht="15" customHeight="1">
      <c r="A536" t="inlineStr">
        <is>
          <t>A 56064-2022</t>
        </is>
      </c>
      <c r="B536" s="1" t="n">
        <v>44889.59107638889</v>
      </c>
      <c r="C536" s="1" t="n">
        <v>46100</v>
      </c>
      <c r="D536" t="inlineStr">
        <is>
          <t>ÖSTERGÖTLANDS LÄN</t>
        </is>
      </c>
      <c r="E536" t="inlineStr">
        <is>
          <t>LINKÖPING</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46428-2025</t>
        </is>
      </c>
      <c r="B537" s="1" t="n">
        <v>45925.60758101852</v>
      </c>
      <c r="C537" s="1" t="n">
        <v>46100</v>
      </c>
      <c r="D537" t="inlineStr">
        <is>
          <t>ÖSTERGÖTLANDS LÄN</t>
        </is>
      </c>
      <c r="E537" t="inlineStr">
        <is>
          <t>LINKÖPING</t>
        </is>
      </c>
      <c r="G537" t="n">
        <v>3</v>
      </c>
      <c r="H537" t="n">
        <v>0</v>
      </c>
      <c r="I537" t="n">
        <v>0</v>
      </c>
      <c r="J537" t="n">
        <v>0</v>
      </c>
      <c r="K537" t="n">
        <v>0</v>
      </c>
      <c r="L537" t="n">
        <v>0</v>
      </c>
      <c r="M537" t="n">
        <v>0</v>
      </c>
      <c r="N537" t="n">
        <v>0</v>
      </c>
      <c r="O537" t="n">
        <v>0</v>
      </c>
      <c r="P537" t="n">
        <v>0</v>
      </c>
      <c r="Q537" t="n">
        <v>0</v>
      </c>
      <c r="R537" s="2" t="inlineStr"/>
    </row>
    <row r="538" ht="15" customHeight="1">
      <c r="A538" t="inlineStr">
        <is>
          <t>A 47703-2023</t>
        </is>
      </c>
      <c r="B538" s="1" t="n">
        <v>45203</v>
      </c>
      <c r="C538" s="1" t="n">
        <v>46100</v>
      </c>
      <c r="D538" t="inlineStr">
        <is>
          <t>ÖSTERGÖTLANDS LÄN</t>
        </is>
      </c>
      <c r="E538" t="inlineStr">
        <is>
          <t>LINKÖPING</t>
        </is>
      </c>
      <c r="G538" t="n">
        <v>4.1</v>
      </c>
      <c r="H538" t="n">
        <v>0</v>
      </c>
      <c r="I538" t="n">
        <v>0</v>
      </c>
      <c r="J538" t="n">
        <v>0</v>
      </c>
      <c r="K538" t="n">
        <v>0</v>
      </c>
      <c r="L538" t="n">
        <v>0</v>
      </c>
      <c r="M538" t="n">
        <v>0</v>
      </c>
      <c r="N538" t="n">
        <v>0</v>
      </c>
      <c r="O538" t="n">
        <v>0</v>
      </c>
      <c r="P538" t="n">
        <v>0</v>
      </c>
      <c r="Q538" t="n">
        <v>0</v>
      </c>
      <c r="R538" s="2" t="inlineStr"/>
    </row>
    <row r="539" ht="15" customHeight="1">
      <c r="A539" t="inlineStr">
        <is>
          <t>A 32346-2023</t>
        </is>
      </c>
      <c r="B539" s="1" t="n">
        <v>45120</v>
      </c>
      <c r="C539" s="1" t="n">
        <v>46100</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28398-2025</t>
        </is>
      </c>
      <c r="B540" s="1" t="n">
        <v>45819.34208333334</v>
      </c>
      <c r="C540" s="1" t="n">
        <v>46100</v>
      </c>
      <c r="D540" t="inlineStr">
        <is>
          <t>ÖSTERGÖTLANDS LÄN</t>
        </is>
      </c>
      <c r="E540" t="inlineStr">
        <is>
          <t>LINKÖPING</t>
        </is>
      </c>
      <c r="F540" t="inlineStr">
        <is>
          <t>Sveaskog</t>
        </is>
      </c>
      <c r="G540" t="n">
        <v>7.9</v>
      </c>
      <c r="H540" t="n">
        <v>0</v>
      </c>
      <c r="I540" t="n">
        <v>0</v>
      </c>
      <c r="J540" t="n">
        <v>0</v>
      </c>
      <c r="K540" t="n">
        <v>0</v>
      </c>
      <c r="L540" t="n">
        <v>0</v>
      </c>
      <c r="M540" t="n">
        <v>0</v>
      </c>
      <c r="N540" t="n">
        <v>0</v>
      </c>
      <c r="O540" t="n">
        <v>0</v>
      </c>
      <c r="P540" t="n">
        <v>0</v>
      </c>
      <c r="Q540" t="n">
        <v>0</v>
      </c>
      <c r="R540" s="2" t="inlineStr"/>
    </row>
    <row r="541" ht="15" customHeight="1">
      <c r="A541" t="inlineStr">
        <is>
          <t>A 28209-2025</t>
        </is>
      </c>
      <c r="B541" s="1" t="n">
        <v>45818.45112268518</v>
      </c>
      <c r="C541" s="1" t="n">
        <v>46100</v>
      </c>
      <c r="D541" t="inlineStr">
        <is>
          <t>ÖSTERGÖTLANDS LÄN</t>
        </is>
      </c>
      <c r="E541" t="inlineStr">
        <is>
          <t>LINKÖPING</t>
        </is>
      </c>
      <c r="G541" t="n">
        <v>4.2</v>
      </c>
      <c r="H541" t="n">
        <v>0</v>
      </c>
      <c r="I541" t="n">
        <v>0</v>
      </c>
      <c r="J541" t="n">
        <v>0</v>
      </c>
      <c r="K541" t="n">
        <v>0</v>
      </c>
      <c r="L541" t="n">
        <v>0</v>
      </c>
      <c r="M541" t="n">
        <v>0</v>
      </c>
      <c r="N541" t="n">
        <v>0</v>
      </c>
      <c r="O541" t="n">
        <v>0</v>
      </c>
      <c r="P541" t="n">
        <v>0</v>
      </c>
      <c r="Q541" t="n">
        <v>0</v>
      </c>
      <c r="R541" s="2" t="inlineStr"/>
    </row>
    <row r="542" ht="15" customHeight="1">
      <c r="A542" t="inlineStr">
        <is>
          <t>A 46377-2025</t>
        </is>
      </c>
      <c r="B542" s="1" t="n">
        <v>45925.51773148148</v>
      </c>
      <c r="C542" s="1" t="n">
        <v>46100</v>
      </c>
      <c r="D542" t="inlineStr">
        <is>
          <t>ÖSTERGÖTLANDS LÄN</t>
        </is>
      </c>
      <c r="E542" t="inlineStr">
        <is>
          <t>LINKÖPING</t>
        </is>
      </c>
      <c r="G542" t="n">
        <v>3.1</v>
      </c>
      <c r="H542" t="n">
        <v>0</v>
      </c>
      <c r="I542" t="n">
        <v>0</v>
      </c>
      <c r="J542" t="n">
        <v>0</v>
      </c>
      <c r="K542" t="n">
        <v>0</v>
      </c>
      <c r="L542" t="n">
        <v>0</v>
      </c>
      <c r="M542" t="n">
        <v>0</v>
      </c>
      <c r="N542" t="n">
        <v>0</v>
      </c>
      <c r="O542" t="n">
        <v>0</v>
      </c>
      <c r="P542" t="n">
        <v>0</v>
      </c>
      <c r="Q542" t="n">
        <v>0</v>
      </c>
      <c r="R542" s="2" t="inlineStr"/>
    </row>
    <row r="543" ht="15" customHeight="1">
      <c r="A543" t="inlineStr">
        <is>
          <t>A 50508-2024</t>
        </is>
      </c>
      <c r="B543" s="1" t="n">
        <v>45601.53907407408</v>
      </c>
      <c r="C543" s="1" t="n">
        <v>46100</v>
      </c>
      <c r="D543" t="inlineStr">
        <is>
          <t>ÖSTERGÖTLANDS LÄN</t>
        </is>
      </c>
      <c r="E543" t="inlineStr">
        <is>
          <t>LINKÖPING</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7808-2022</t>
        </is>
      </c>
      <c r="B544" s="1" t="n">
        <v>44608</v>
      </c>
      <c r="C544" s="1" t="n">
        <v>46100</v>
      </c>
      <c r="D544" t="inlineStr">
        <is>
          <t>ÖSTERGÖTLANDS LÄN</t>
        </is>
      </c>
      <c r="E544" t="inlineStr">
        <is>
          <t>LINKÖPING</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27844-2024</t>
        </is>
      </c>
      <c r="B545" s="1" t="n">
        <v>45475.63047453704</v>
      </c>
      <c r="C545" s="1" t="n">
        <v>46100</v>
      </c>
      <c r="D545" t="inlineStr">
        <is>
          <t>ÖSTERGÖTLANDS LÄN</t>
        </is>
      </c>
      <c r="E545" t="inlineStr">
        <is>
          <t>LINKÖPING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16111-2022</t>
        </is>
      </c>
      <c r="B546" s="1" t="n">
        <v>44665</v>
      </c>
      <c r="C546" s="1" t="n">
        <v>46100</v>
      </c>
      <c r="D546" t="inlineStr">
        <is>
          <t>ÖSTERGÖTLANDS LÄN</t>
        </is>
      </c>
      <c r="E546" t="inlineStr">
        <is>
          <t>LINKÖPING</t>
        </is>
      </c>
      <c r="F546" t="inlineStr">
        <is>
          <t>Övriga Aktiebolag</t>
        </is>
      </c>
      <c r="G546" t="n">
        <v>2.9</v>
      </c>
      <c r="H546" t="n">
        <v>0</v>
      </c>
      <c r="I546" t="n">
        <v>0</v>
      </c>
      <c r="J546" t="n">
        <v>0</v>
      </c>
      <c r="K546" t="n">
        <v>0</v>
      </c>
      <c r="L546" t="n">
        <v>0</v>
      </c>
      <c r="M546" t="n">
        <v>0</v>
      </c>
      <c r="N546" t="n">
        <v>0</v>
      </c>
      <c r="O546" t="n">
        <v>0</v>
      </c>
      <c r="P546" t="n">
        <v>0</v>
      </c>
      <c r="Q546" t="n">
        <v>0</v>
      </c>
      <c r="R546" s="2" t="inlineStr"/>
    </row>
    <row r="547" ht="15" customHeight="1">
      <c r="A547" t="inlineStr">
        <is>
          <t>A 29027-2025</t>
        </is>
      </c>
      <c r="B547" s="1" t="n">
        <v>45821.4375462963</v>
      </c>
      <c r="C547" s="1" t="n">
        <v>46100</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48962-2022</t>
        </is>
      </c>
      <c r="B548" s="1" t="n">
        <v>44860.31635416667</v>
      </c>
      <c r="C548" s="1" t="n">
        <v>46100</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46847-2025</t>
        </is>
      </c>
      <c r="B549" s="1" t="n">
        <v>45928.69971064815</v>
      </c>
      <c r="C549" s="1" t="n">
        <v>46100</v>
      </c>
      <c r="D549" t="inlineStr">
        <is>
          <t>ÖSTERGÖTLANDS LÄN</t>
        </is>
      </c>
      <c r="E549" t="inlineStr">
        <is>
          <t>LINKÖPING</t>
        </is>
      </c>
      <c r="G549" t="n">
        <v>4.6</v>
      </c>
      <c r="H549" t="n">
        <v>0</v>
      </c>
      <c r="I549" t="n">
        <v>0</v>
      </c>
      <c r="J549" t="n">
        <v>0</v>
      </c>
      <c r="K549" t="n">
        <v>0</v>
      </c>
      <c r="L549" t="n">
        <v>0</v>
      </c>
      <c r="M549" t="n">
        <v>0</v>
      </c>
      <c r="N549" t="n">
        <v>0</v>
      </c>
      <c r="O549" t="n">
        <v>0</v>
      </c>
      <c r="P549" t="n">
        <v>0</v>
      </c>
      <c r="Q549" t="n">
        <v>0</v>
      </c>
      <c r="R549" s="2" t="inlineStr"/>
    </row>
    <row r="550" ht="15" customHeight="1">
      <c r="A550" t="inlineStr">
        <is>
          <t>A 29411-2025</t>
        </is>
      </c>
      <c r="B550" s="1" t="n">
        <v>45824.6219212963</v>
      </c>
      <c r="C550" s="1" t="n">
        <v>46100</v>
      </c>
      <c r="D550" t="inlineStr">
        <is>
          <t>ÖSTERGÖTLANDS LÄN</t>
        </is>
      </c>
      <c r="E550" t="inlineStr">
        <is>
          <t>LINKÖPING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40810-2022</t>
        </is>
      </c>
      <c r="B551" s="1" t="n">
        <v>44824</v>
      </c>
      <c r="C551" s="1" t="n">
        <v>46100</v>
      </c>
      <c r="D551" t="inlineStr">
        <is>
          <t>ÖSTERGÖTLANDS LÄN</t>
        </is>
      </c>
      <c r="E551" t="inlineStr">
        <is>
          <t>LINKÖPING</t>
        </is>
      </c>
      <c r="G551" t="n">
        <v>2.8</v>
      </c>
      <c r="H551" t="n">
        <v>0</v>
      </c>
      <c r="I551" t="n">
        <v>0</v>
      </c>
      <c r="J551" t="n">
        <v>0</v>
      </c>
      <c r="K551" t="n">
        <v>0</v>
      </c>
      <c r="L551" t="n">
        <v>0</v>
      </c>
      <c r="M551" t="n">
        <v>0</v>
      </c>
      <c r="N551" t="n">
        <v>0</v>
      </c>
      <c r="O551" t="n">
        <v>0</v>
      </c>
      <c r="P551" t="n">
        <v>0</v>
      </c>
      <c r="Q551" t="n">
        <v>0</v>
      </c>
      <c r="R551" s="2" t="inlineStr"/>
    </row>
    <row r="552" ht="15" customHeight="1">
      <c r="A552" t="inlineStr">
        <is>
          <t>A 27891-2021</t>
        </is>
      </c>
      <c r="B552" s="1" t="n">
        <v>44354.65108796296</v>
      </c>
      <c r="C552" s="1" t="n">
        <v>46100</v>
      </c>
      <c r="D552" t="inlineStr">
        <is>
          <t>ÖSTERGÖTLANDS LÄN</t>
        </is>
      </c>
      <c r="E552" t="inlineStr">
        <is>
          <t>LINKÖPING</t>
        </is>
      </c>
      <c r="G552" t="n">
        <v>1.8</v>
      </c>
      <c r="H552" t="n">
        <v>0</v>
      </c>
      <c r="I552" t="n">
        <v>0</v>
      </c>
      <c r="J552" t="n">
        <v>0</v>
      </c>
      <c r="K552" t="n">
        <v>0</v>
      </c>
      <c r="L552" t="n">
        <v>0</v>
      </c>
      <c r="M552" t="n">
        <v>0</v>
      </c>
      <c r="N552" t="n">
        <v>0</v>
      </c>
      <c r="O552" t="n">
        <v>0</v>
      </c>
      <c r="P552" t="n">
        <v>0</v>
      </c>
      <c r="Q552" t="n">
        <v>0</v>
      </c>
      <c r="R552" s="2" t="inlineStr"/>
    </row>
    <row r="553" ht="15" customHeight="1">
      <c r="A553" t="inlineStr">
        <is>
          <t>A 51559-2024</t>
        </is>
      </c>
      <c r="B553" s="1" t="n">
        <v>45604.61431712963</v>
      </c>
      <c r="C553" s="1" t="n">
        <v>46100</v>
      </c>
      <c r="D553" t="inlineStr">
        <is>
          <t>ÖSTERGÖTLANDS LÄN</t>
        </is>
      </c>
      <c r="E553" t="inlineStr">
        <is>
          <t>LINKÖPING</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29599-2025</t>
        </is>
      </c>
      <c r="B554" s="1" t="n">
        <v>45825.41101851852</v>
      </c>
      <c r="C554" s="1" t="n">
        <v>46100</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49979-2022</t>
        </is>
      </c>
      <c r="B555" s="1" t="n">
        <v>44865</v>
      </c>
      <c r="C555" s="1" t="n">
        <v>46100</v>
      </c>
      <c r="D555" t="inlineStr">
        <is>
          <t>ÖSTERGÖTLANDS LÄN</t>
        </is>
      </c>
      <c r="E555" t="inlineStr">
        <is>
          <t>LINKÖPING</t>
        </is>
      </c>
      <c r="F555" t="inlineStr">
        <is>
          <t>Övriga Aktiebolag</t>
        </is>
      </c>
      <c r="G555" t="n">
        <v>11.4</v>
      </c>
      <c r="H555" t="n">
        <v>0</v>
      </c>
      <c r="I555" t="n">
        <v>0</v>
      </c>
      <c r="J555" t="n">
        <v>0</v>
      </c>
      <c r="K555" t="n">
        <v>0</v>
      </c>
      <c r="L555" t="n">
        <v>0</v>
      </c>
      <c r="M555" t="n">
        <v>0</v>
      </c>
      <c r="N555" t="n">
        <v>0</v>
      </c>
      <c r="O555" t="n">
        <v>0</v>
      </c>
      <c r="P555" t="n">
        <v>0</v>
      </c>
      <c r="Q555" t="n">
        <v>0</v>
      </c>
      <c r="R555" s="2" t="inlineStr"/>
    </row>
    <row r="556" ht="15" customHeight="1">
      <c r="A556" t="inlineStr">
        <is>
          <t>A 39219-2021</t>
        </is>
      </c>
      <c r="B556" s="1" t="n">
        <v>44413</v>
      </c>
      <c r="C556" s="1" t="n">
        <v>46100</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39224-2021</t>
        </is>
      </c>
      <c r="B557" s="1" t="n">
        <v>44413</v>
      </c>
      <c r="C557" s="1" t="n">
        <v>46100</v>
      </c>
      <c r="D557" t="inlineStr">
        <is>
          <t>ÖSTERGÖTLANDS LÄN</t>
        </is>
      </c>
      <c r="E557" t="inlineStr">
        <is>
          <t>LINKÖPING</t>
        </is>
      </c>
      <c r="G557" t="n">
        <v>2.1</v>
      </c>
      <c r="H557" t="n">
        <v>0</v>
      </c>
      <c r="I557" t="n">
        <v>0</v>
      </c>
      <c r="J557" t="n">
        <v>0</v>
      </c>
      <c r="K557" t="n">
        <v>0</v>
      </c>
      <c r="L557" t="n">
        <v>0</v>
      </c>
      <c r="M557" t="n">
        <v>0</v>
      </c>
      <c r="N557" t="n">
        <v>0</v>
      </c>
      <c r="O557" t="n">
        <v>0</v>
      </c>
      <c r="P557" t="n">
        <v>0</v>
      </c>
      <c r="Q557" t="n">
        <v>0</v>
      </c>
      <c r="R557" s="2" t="inlineStr"/>
    </row>
    <row r="558" ht="15" customHeight="1">
      <c r="A558" t="inlineStr">
        <is>
          <t>A 62495-2023</t>
        </is>
      </c>
      <c r="B558" s="1" t="n">
        <v>45268.59717592593</v>
      </c>
      <c r="C558" s="1" t="n">
        <v>46100</v>
      </c>
      <c r="D558" t="inlineStr">
        <is>
          <t>ÖSTERGÖTLANDS LÄN</t>
        </is>
      </c>
      <c r="E558" t="inlineStr">
        <is>
          <t>LINKÖPING</t>
        </is>
      </c>
      <c r="G558" t="n">
        <v>4.1</v>
      </c>
      <c r="H558" t="n">
        <v>0</v>
      </c>
      <c r="I558" t="n">
        <v>0</v>
      </c>
      <c r="J558" t="n">
        <v>0</v>
      </c>
      <c r="K558" t="n">
        <v>0</v>
      </c>
      <c r="L558" t="n">
        <v>0</v>
      </c>
      <c r="M558" t="n">
        <v>0</v>
      </c>
      <c r="N558" t="n">
        <v>0</v>
      </c>
      <c r="O558" t="n">
        <v>0</v>
      </c>
      <c r="P558" t="n">
        <v>0</v>
      </c>
      <c r="Q558" t="n">
        <v>0</v>
      </c>
      <c r="R558" s="2" t="inlineStr"/>
    </row>
    <row r="559" ht="15" customHeight="1">
      <c r="A559" t="inlineStr">
        <is>
          <t>A 1268-2023</t>
        </is>
      </c>
      <c r="B559" s="1" t="n">
        <v>44936</v>
      </c>
      <c r="C559" s="1" t="n">
        <v>46100</v>
      </c>
      <c r="D559" t="inlineStr">
        <is>
          <t>ÖSTERGÖTLANDS LÄN</t>
        </is>
      </c>
      <c r="E559" t="inlineStr">
        <is>
          <t>LINKÖPING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47233-2025</t>
        </is>
      </c>
      <c r="B560" s="1" t="n">
        <v>45930.40612268518</v>
      </c>
      <c r="C560" s="1" t="n">
        <v>46100</v>
      </c>
      <c r="D560" t="inlineStr">
        <is>
          <t>ÖSTERGÖTLANDS LÄN</t>
        </is>
      </c>
      <c r="E560" t="inlineStr">
        <is>
          <t>LINKÖPING</t>
        </is>
      </c>
      <c r="G560" t="n">
        <v>4.3</v>
      </c>
      <c r="H560" t="n">
        <v>0</v>
      </c>
      <c r="I560" t="n">
        <v>0</v>
      </c>
      <c r="J560" t="n">
        <v>0</v>
      </c>
      <c r="K560" t="n">
        <v>0</v>
      </c>
      <c r="L560" t="n">
        <v>0</v>
      </c>
      <c r="M560" t="n">
        <v>0</v>
      </c>
      <c r="N560" t="n">
        <v>0</v>
      </c>
      <c r="O560" t="n">
        <v>0</v>
      </c>
      <c r="P560" t="n">
        <v>0</v>
      </c>
      <c r="Q560" t="n">
        <v>0</v>
      </c>
      <c r="R560" s="2" t="inlineStr"/>
    </row>
    <row r="561" ht="15" customHeight="1">
      <c r="A561" t="inlineStr">
        <is>
          <t>A 29413-2023</t>
        </is>
      </c>
      <c r="B561" s="1" t="n">
        <v>45106.46465277778</v>
      </c>
      <c r="C561" s="1" t="n">
        <v>46100</v>
      </c>
      <c r="D561" t="inlineStr">
        <is>
          <t>ÖSTERGÖTLANDS LÄN</t>
        </is>
      </c>
      <c r="E561" t="inlineStr">
        <is>
          <t>LINKÖPING</t>
        </is>
      </c>
      <c r="G561" t="n">
        <v>8</v>
      </c>
      <c r="H561" t="n">
        <v>0</v>
      </c>
      <c r="I561" t="n">
        <v>0</v>
      </c>
      <c r="J561" t="n">
        <v>0</v>
      </c>
      <c r="K561" t="n">
        <v>0</v>
      </c>
      <c r="L561" t="n">
        <v>0</v>
      </c>
      <c r="M561" t="n">
        <v>0</v>
      </c>
      <c r="N561" t="n">
        <v>0</v>
      </c>
      <c r="O561" t="n">
        <v>0</v>
      </c>
      <c r="P561" t="n">
        <v>0</v>
      </c>
      <c r="Q561" t="n">
        <v>0</v>
      </c>
      <c r="R561" s="2" t="inlineStr"/>
    </row>
    <row r="562" ht="15" customHeight="1">
      <c r="A562" t="inlineStr">
        <is>
          <t>A 62687-2023</t>
        </is>
      </c>
      <c r="B562" s="1" t="n">
        <v>45271</v>
      </c>
      <c r="C562" s="1" t="n">
        <v>46100</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34641-2022</t>
        </is>
      </c>
      <c r="B563" s="1" t="n">
        <v>44795</v>
      </c>
      <c r="C563" s="1" t="n">
        <v>46100</v>
      </c>
      <c r="D563" t="inlineStr">
        <is>
          <t>ÖSTERGÖTLANDS LÄN</t>
        </is>
      </c>
      <c r="E563" t="inlineStr">
        <is>
          <t>LINKÖPING</t>
        </is>
      </c>
      <c r="G563" t="n">
        <v>2.4</v>
      </c>
      <c r="H563" t="n">
        <v>0</v>
      </c>
      <c r="I563" t="n">
        <v>0</v>
      </c>
      <c r="J563" t="n">
        <v>0</v>
      </c>
      <c r="K563" t="n">
        <v>0</v>
      </c>
      <c r="L563" t="n">
        <v>0</v>
      </c>
      <c r="M563" t="n">
        <v>0</v>
      </c>
      <c r="N563" t="n">
        <v>0</v>
      </c>
      <c r="O563" t="n">
        <v>0</v>
      </c>
      <c r="P563" t="n">
        <v>0</v>
      </c>
      <c r="Q563" t="n">
        <v>0</v>
      </c>
      <c r="R563" s="2" t="inlineStr"/>
    </row>
    <row r="564" ht="15" customHeight="1">
      <c r="A564" t="inlineStr">
        <is>
          <t>A 30355-2025</t>
        </is>
      </c>
      <c r="B564" s="1" t="n">
        <v>45827</v>
      </c>
      <c r="C564" s="1" t="n">
        <v>46100</v>
      </c>
      <c r="D564" t="inlineStr">
        <is>
          <t>ÖSTERGÖTLANDS LÄN</t>
        </is>
      </c>
      <c r="E564" t="inlineStr">
        <is>
          <t>LINKÖPING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25948-2023</t>
        </is>
      </c>
      <c r="B565" s="1" t="n">
        <v>45090</v>
      </c>
      <c r="C565" s="1" t="n">
        <v>46100</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938-2023</t>
        </is>
      </c>
      <c r="B566" s="1" t="n">
        <v>44933</v>
      </c>
      <c r="C566" s="1" t="n">
        <v>46100</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2389-2023</t>
        </is>
      </c>
      <c r="B567" s="1" t="n">
        <v>44942</v>
      </c>
      <c r="C567" s="1" t="n">
        <v>46100</v>
      </c>
      <c r="D567" t="inlineStr">
        <is>
          <t>ÖSTERGÖTLANDS LÄN</t>
        </is>
      </c>
      <c r="E567" t="inlineStr">
        <is>
          <t>LINKÖPING</t>
        </is>
      </c>
      <c r="G567" t="n">
        <v>3.3</v>
      </c>
      <c r="H567" t="n">
        <v>0</v>
      </c>
      <c r="I567" t="n">
        <v>0</v>
      </c>
      <c r="J567" t="n">
        <v>0</v>
      </c>
      <c r="K567" t="n">
        <v>0</v>
      </c>
      <c r="L567" t="n">
        <v>0</v>
      </c>
      <c r="M567" t="n">
        <v>0</v>
      </c>
      <c r="N567" t="n">
        <v>0</v>
      </c>
      <c r="O567" t="n">
        <v>0</v>
      </c>
      <c r="P567" t="n">
        <v>0</v>
      </c>
      <c r="Q567" t="n">
        <v>0</v>
      </c>
      <c r="R567" s="2" t="inlineStr"/>
    </row>
    <row r="568" ht="15" customHeight="1">
      <c r="A568" t="inlineStr">
        <is>
          <t>A 30353-2025</t>
        </is>
      </c>
      <c r="B568" s="1" t="n">
        <v>45827</v>
      </c>
      <c r="C568" s="1" t="n">
        <v>46100</v>
      </c>
      <c r="D568" t="inlineStr">
        <is>
          <t>ÖSTERGÖTLANDS LÄN</t>
        </is>
      </c>
      <c r="E568" t="inlineStr">
        <is>
          <t>LINKÖPING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1627-2023</t>
        </is>
      </c>
      <c r="B569" s="1" t="n">
        <v>44937</v>
      </c>
      <c r="C569" s="1" t="n">
        <v>46100</v>
      </c>
      <c r="D569" t="inlineStr">
        <is>
          <t>ÖSTERGÖTLANDS LÄN</t>
        </is>
      </c>
      <c r="E569" t="inlineStr">
        <is>
          <t>LINKÖPING</t>
        </is>
      </c>
      <c r="G569" t="n">
        <v>10.8</v>
      </c>
      <c r="H569" t="n">
        <v>0</v>
      </c>
      <c r="I569" t="n">
        <v>0</v>
      </c>
      <c r="J569" t="n">
        <v>0</v>
      </c>
      <c r="K569" t="n">
        <v>0</v>
      </c>
      <c r="L569" t="n">
        <v>0</v>
      </c>
      <c r="M569" t="n">
        <v>0</v>
      </c>
      <c r="N569" t="n">
        <v>0</v>
      </c>
      <c r="O569" t="n">
        <v>0</v>
      </c>
      <c r="P569" t="n">
        <v>0</v>
      </c>
      <c r="Q569" t="n">
        <v>0</v>
      </c>
      <c r="R569" s="2" t="inlineStr"/>
    </row>
    <row r="570" ht="15" customHeight="1">
      <c r="A570" t="inlineStr">
        <is>
          <t>A 30481-2023</t>
        </is>
      </c>
      <c r="B570" s="1" t="n">
        <v>45111</v>
      </c>
      <c r="C570" s="1" t="n">
        <v>46100</v>
      </c>
      <c r="D570" t="inlineStr">
        <is>
          <t>ÖSTERGÖTLANDS LÄN</t>
        </is>
      </c>
      <c r="E570" t="inlineStr">
        <is>
          <t>LINKÖPING</t>
        </is>
      </c>
      <c r="F570" t="inlineStr">
        <is>
          <t>Övriga Aktiebolag</t>
        </is>
      </c>
      <c r="G570" t="n">
        <v>2</v>
      </c>
      <c r="H570" t="n">
        <v>0</v>
      </c>
      <c r="I570" t="n">
        <v>0</v>
      </c>
      <c r="J570" t="n">
        <v>0</v>
      </c>
      <c r="K570" t="n">
        <v>0</v>
      </c>
      <c r="L570" t="n">
        <v>0</v>
      </c>
      <c r="M570" t="n">
        <v>0</v>
      </c>
      <c r="N570" t="n">
        <v>0</v>
      </c>
      <c r="O570" t="n">
        <v>0</v>
      </c>
      <c r="P570" t="n">
        <v>0</v>
      </c>
      <c r="Q570" t="n">
        <v>0</v>
      </c>
      <c r="R570" s="2" t="inlineStr"/>
    </row>
    <row r="571" ht="15" customHeight="1">
      <c r="A571" t="inlineStr">
        <is>
          <t>A 21782-2024</t>
        </is>
      </c>
      <c r="B571" s="1" t="n">
        <v>45442.63368055555</v>
      </c>
      <c r="C571" s="1" t="n">
        <v>46100</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48-2024</t>
        </is>
      </c>
      <c r="B572" s="1" t="n">
        <v>45293</v>
      </c>
      <c r="C572" s="1" t="n">
        <v>46100</v>
      </c>
      <c r="D572" t="inlineStr">
        <is>
          <t>ÖSTERGÖTLANDS LÄN</t>
        </is>
      </c>
      <c r="E572" t="inlineStr">
        <is>
          <t>LINKÖPING</t>
        </is>
      </c>
      <c r="G572" t="n">
        <v>4.6</v>
      </c>
      <c r="H572" t="n">
        <v>0</v>
      </c>
      <c r="I572" t="n">
        <v>0</v>
      </c>
      <c r="J572" t="n">
        <v>0</v>
      </c>
      <c r="K572" t="n">
        <v>0</v>
      </c>
      <c r="L572" t="n">
        <v>0</v>
      </c>
      <c r="M572" t="n">
        <v>0</v>
      </c>
      <c r="N572" t="n">
        <v>0</v>
      </c>
      <c r="O572" t="n">
        <v>0</v>
      </c>
      <c r="P572" t="n">
        <v>0</v>
      </c>
      <c r="Q572" t="n">
        <v>0</v>
      </c>
      <c r="R572" s="2" t="inlineStr"/>
    </row>
    <row r="573" ht="15" customHeight="1">
      <c r="A573" t="inlineStr">
        <is>
          <t>A 47606-2025</t>
        </is>
      </c>
      <c r="B573" s="1" t="n">
        <v>45931.46402777778</v>
      </c>
      <c r="C573" s="1" t="n">
        <v>46100</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11671-2023</t>
        </is>
      </c>
      <c r="B574" s="1" t="n">
        <v>44994.48125</v>
      </c>
      <c r="C574" s="1" t="n">
        <v>46100</v>
      </c>
      <c r="D574" t="inlineStr">
        <is>
          <t>ÖSTERGÖTLANDS LÄN</t>
        </is>
      </c>
      <c r="E574" t="inlineStr">
        <is>
          <t>LINKÖPING</t>
        </is>
      </c>
      <c r="G574" t="n">
        <v>2.6</v>
      </c>
      <c r="H574" t="n">
        <v>0</v>
      </c>
      <c r="I574" t="n">
        <v>0</v>
      </c>
      <c r="J574" t="n">
        <v>0</v>
      </c>
      <c r="K574" t="n">
        <v>0</v>
      </c>
      <c r="L574" t="n">
        <v>0</v>
      </c>
      <c r="M574" t="n">
        <v>0</v>
      </c>
      <c r="N574" t="n">
        <v>0</v>
      </c>
      <c r="O574" t="n">
        <v>0</v>
      </c>
      <c r="P574" t="n">
        <v>0</v>
      </c>
      <c r="Q574" t="n">
        <v>0</v>
      </c>
      <c r="R574" s="2" t="inlineStr"/>
    </row>
    <row r="575" ht="15" customHeight="1">
      <c r="A575" t="inlineStr">
        <is>
          <t>A 45771-2023</t>
        </is>
      </c>
      <c r="B575" s="1" t="n">
        <v>45195.4384375</v>
      </c>
      <c r="C575" s="1" t="n">
        <v>46100</v>
      </c>
      <c r="D575" t="inlineStr">
        <is>
          <t>ÖSTERGÖTLANDS LÄN</t>
        </is>
      </c>
      <c r="E575" t="inlineStr">
        <is>
          <t>LINKÖPING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30547-2023</t>
        </is>
      </c>
      <c r="B576" s="1" t="n">
        <v>45111.75905092592</v>
      </c>
      <c r="C576" s="1" t="n">
        <v>46100</v>
      </c>
      <c r="D576" t="inlineStr">
        <is>
          <t>ÖSTERGÖTLANDS LÄN</t>
        </is>
      </c>
      <c r="E576" t="inlineStr">
        <is>
          <t>LINKÖPING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40502-2024</t>
        </is>
      </c>
      <c r="B577" s="1" t="n">
        <v>45555.57263888889</v>
      </c>
      <c r="C577" s="1" t="n">
        <v>46100</v>
      </c>
      <c r="D577" t="inlineStr">
        <is>
          <t>ÖSTERGÖTLANDS LÄN</t>
        </is>
      </c>
      <c r="E577" t="inlineStr">
        <is>
          <t>LINKÖPING</t>
        </is>
      </c>
      <c r="F577" t="inlineStr">
        <is>
          <t>Allmännings- och besparingsskogar</t>
        </is>
      </c>
      <c r="G577" t="n">
        <v>17.5</v>
      </c>
      <c r="H577" t="n">
        <v>0</v>
      </c>
      <c r="I577" t="n">
        <v>0</v>
      </c>
      <c r="J577" t="n">
        <v>0</v>
      </c>
      <c r="K577" t="n">
        <v>0</v>
      </c>
      <c r="L577" t="n">
        <v>0</v>
      </c>
      <c r="M577" t="n">
        <v>0</v>
      </c>
      <c r="N577" t="n">
        <v>0</v>
      </c>
      <c r="O577" t="n">
        <v>0</v>
      </c>
      <c r="P577" t="n">
        <v>0</v>
      </c>
      <c r="Q577" t="n">
        <v>0</v>
      </c>
      <c r="R577" s="2" t="inlineStr"/>
    </row>
    <row r="578" ht="15" customHeight="1">
      <c r="A578" t="inlineStr">
        <is>
          <t>A 3013-2023</t>
        </is>
      </c>
      <c r="B578" s="1" t="n">
        <v>44945.8092824074</v>
      </c>
      <c r="C578" s="1" t="n">
        <v>46100</v>
      </c>
      <c r="D578" t="inlineStr">
        <is>
          <t>ÖSTERGÖTLANDS LÄN</t>
        </is>
      </c>
      <c r="E578" t="inlineStr">
        <is>
          <t>LINKÖPING</t>
        </is>
      </c>
      <c r="G578" t="n">
        <v>5.2</v>
      </c>
      <c r="H578" t="n">
        <v>0</v>
      </c>
      <c r="I578" t="n">
        <v>0</v>
      </c>
      <c r="J578" t="n">
        <v>0</v>
      </c>
      <c r="K578" t="n">
        <v>0</v>
      </c>
      <c r="L578" t="n">
        <v>0</v>
      </c>
      <c r="M578" t="n">
        <v>0</v>
      </c>
      <c r="N578" t="n">
        <v>0</v>
      </c>
      <c r="O578" t="n">
        <v>0</v>
      </c>
      <c r="P578" t="n">
        <v>0</v>
      </c>
      <c r="Q578" t="n">
        <v>0</v>
      </c>
      <c r="R578" s="2" t="inlineStr"/>
    </row>
    <row r="579" ht="15" customHeight="1">
      <c r="A579" t="inlineStr">
        <is>
          <t>A 49747-2024</t>
        </is>
      </c>
      <c r="B579" s="1" t="n">
        <v>45596</v>
      </c>
      <c r="C579" s="1" t="n">
        <v>46100</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42997-2021</t>
        </is>
      </c>
      <c r="B580" s="1" t="n">
        <v>44431.45556712963</v>
      </c>
      <c r="C580" s="1" t="n">
        <v>46100</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47304-2025</t>
        </is>
      </c>
      <c r="B581" s="1" t="n">
        <v>45930.52037037037</v>
      </c>
      <c r="C581" s="1" t="n">
        <v>46100</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3011-2023</t>
        </is>
      </c>
      <c r="B582" s="1" t="n">
        <v>44945</v>
      </c>
      <c r="C582" s="1" t="n">
        <v>46100</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23735-2023</t>
        </is>
      </c>
      <c r="B583" s="1" t="n">
        <v>45077</v>
      </c>
      <c r="C583" s="1" t="n">
        <v>46100</v>
      </c>
      <c r="D583" t="inlineStr">
        <is>
          <t>ÖSTERGÖTLANDS LÄN</t>
        </is>
      </c>
      <c r="E583" t="inlineStr">
        <is>
          <t>LINKÖPING</t>
        </is>
      </c>
      <c r="G583" t="n">
        <v>1.7</v>
      </c>
      <c r="H583" t="n">
        <v>0</v>
      </c>
      <c r="I583" t="n">
        <v>0</v>
      </c>
      <c r="J583" t="n">
        <v>0</v>
      </c>
      <c r="K583" t="n">
        <v>0</v>
      </c>
      <c r="L583" t="n">
        <v>0</v>
      </c>
      <c r="M583" t="n">
        <v>0</v>
      </c>
      <c r="N583" t="n">
        <v>0</v>
      </c>
      <c r="O583" t="n">
        <v>0</v>
      </c>
      <c r="P583" t="n">
        <v>0</v>
      </c>
      <c r="Q583" t="n">
        <v>0</v>
      </c>
      <c r="R583" s="2" t="inlineStr"/>
    </row>
    <row r="584" ht="15" customHeight="1">
      <c r="A584" t="inlineStr">
        <is>
          <t>A 45821-2024</t>
        </is>
      </c>
      <c r="B584" s="1" t="n">
        <v>45579.75803240741</v>
      </c>
      <c r="C584" s="1" t="n">
        <v>46100</v>
      </c>
      <c r="D584" t="inlineStr">
        <is>
          <t>ÖSTERGÖTLANDS LÄN</t>
        </is>
      </c>
      <c r="E584" t="inlineStr">
        <is>
          <t>LINKÖPING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31581-2025</t>
        </is>
      </c>
      <c r="B585" s="1" t="n">
        <v>45833.6840162037</v>
      </c>
      <c r="C585" s="1" t="n">
        <v>46100</v>
      </c>
      <c r="D585" t="inlineStr">
        <is>
          <t>ÖSTERGÖTLANDS LÄN</t>
        </is>
      </c>
      <c r="E585" t="inlineStr">
        <is>
          <t>LINKÖPING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31585-2025</t>
        </is>
      </c>
      <c r="B586" s="1" t="n">
        <v>45833.68815972222</v>
      </c>
      <c r="C586" s="1" t="n">
        <v>46100</v>
      </c>
      <c r="D586" t="inlineStr">
        <is>
          <t>ÖSTERGÖTLANDS LÄN</t>
        </is>
      </c>
      <c r="E586" t="inlineStr">
        <is>
          <t>LINKÖPING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51802-2025</t>
        </is>
      </c>
      <c r="B587" s="1" t="n">
        <v>45950</v>
      </c>
      <c r="C587" s="1" t="n">
        <v>46100</v>
      </c>
      <c r="D587" t="inlineStr">
        <is>
          <t>ÖSTERGÖTLANDS LÄN</t>
        </is>
      </c>
      <c r="E587" t="inlineStr">
        <is>
          <t>LINKÖPING</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48343-2025</t>
        </is>
      </c>
      <c r="B588" s="1" t="n">
        <v>45932</v>
      </c>
      <c r="C588" s="1" t="n">
        <v>46100</v>
      </c>
      <c r="D588" t="inlineStr">
        <is>
          <t>ÖSTERGÖTLANDS LÄN</t>
        </is>
      </c>
      <c r="E588" t="inlineStr">
        <is>
          <t>LINKÖPING</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48266-2025</t>
        </is>
      </c>
      <c r="B589" s="1" t="n">
        <v>45932</v>
      </c>
      <c r="C589" s="1" t="n">
        <v>46100</v>
      </c>
      <c r="D589" t="inlineStr">
        <is>
          <t>ÖSTERGÖTLANDS LÄN</t>
        </is>
      </c>
      <c r="E589" t="inlineStr">
        <is>
          <t>LINKÖPING</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53647-2021</t>
        </is>
      </c>
      <c r="B590" s="1" t="n">
        <v>44469</v>
      </c>
      <c r="C590" s="1" t="n">
        <v>46100</v>
      </c>
      <c r="D590" t="inlineStr">
        <is>
          <t>ÖSTERGÖTLANDS LÄN</t>
        </is>
      </c>
      <c r="E590" t="inlineStr">
        <is>
          <t>LINKÖPING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48254-2025</t>
        </is>
      </c>
      <c r="B591" s="1" t="n">
        <v>45932</v>
      </c>
      <c r="C591" s="1" t="n">
        <v>46100</v>
      </c>
      <c r="D591" t="inlineStr">
        <is>
          <t>ÖSTERGÖTLANDS LÄN</t>
        </is>
      </c>
      <c r="E591" t="inlineStr">
        <is>
          <t>LINKÖPING</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6599-2023</t>
        </is>
      </c>
      <c r="B592" s="1" t="n">
        <v>44966.52603009259</v>
      </c>
      <c r="C592" s="1" t="n">
        <v>46100</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52111-2025</t>
        </is>
      </c>
      <c r="B593" s="1" t="n">
        <v>45952.69527777778</v>
      </c>
      <c r="C593" s="1" t="n">
        <v>46100</v>
      </c>
      <c r="D593" t="inlineStr">
        <is>
          <t>ÖSTERGÖTLANDS LÄN</t>
        </is>
      </c>
      <c r="E593" t="inlineStr">
        <is>
          <t>LINKÖPING</t>
        </is>
      </c>
      <c r="G593" t="n">
        <v>1.3</v>
      </c>
      <c r="H593" t="n">
        <v>0</v>
      </c>
      <c r="I593" t="n">
        <v>0</v>
      </c>
      <c r="J593" t="n">
        <v>0</v>
      </c>
      <c r="K593" t="n">
        <v>0</v>
      </c>
      <c r="L593" t="n">
        <v>0</v>
      </c>
      <c r="M593" t="n">
        <v>0</v>
      </c>
      <c r="N593" t="n">
        <v>0</v>
      </c>
      <c r="O593" t="n">
        <v>0</v>
      </c>
      <c r="P593" t="n">
        <v>0</v>
      </c>
      <c r="Q593" t="n">
        <v>0</v>
      </c>
      <c r="R593" s="2" t="inlineStr"/>
    </row>
    <row r="594" ht="15" customHeight="1">
      <c r="A594" t="inlineStr">
        <is>
          <t>A 35735-2023</t>
        </is>
      </c>
      <c r="B594" s="1" t="n">
        <v>45147</v>
      </c>
      <c r="C594" s="1" t="n">
        <v>46100</v>
      </c>
      <c r="D594" t="inlineStr">
        <is>
          <t>ÖSTERGÖTLANDS LÄN</t>
        </is>
      </c>
      <c r="E594" t="inlineStr">
        <is>
          <t>LINKÖPING</t>
        </is>
      </c>
      <c r="G594" t="n">
        <v>2.8</v>
      </c>
      <c r="H594" t="n">
        <v>0</v>
      </c>
      <c r="I594" t="n">
        <v>0</v>
      </c>
      <c r="J594" t="n">
        <v>0</v>
      </c>
      <c r="K594" t="n">
        <v>0</v>
      </c>
      <c r="L594" t="n">
        <v>0</v>
      </c>
      <c r="M594" t="n">
        <v>0</v>
      </c>
      <c r="N594" t="n">
        <v>0</v>
      </c>
      <c r="O594" t="n">
        <v>0</v>
      </c>
      <c r="P594" t="n">
        <v>0</v>
      </c>
      <c r="Q594" t="n">
        <v>0</v>
      </c>
      <c r="R594" s="2" t="inlineStr"/>
    </row>
    <row r="595" ht="15" customHeight="1">
      <c r="A595" t="inlineStr">
        <is>
          <t>A 52740-2025</t>
        </is>
      </c>
      <c r="B595" s="1" t="n">
        <v>45957.37747685185</v>
      </c>
      <c r="C595" s="1" t="n">
        <v>46100</v>
      </c>
      <c r="D595" t="inlineStr">
        <is>
          <t>ÖSTERGÖTLANDS LÄN</t>
        </is>
      </c>
      <c r="E595" t="inlineStr">
        <is>
          <t>LINKÖPING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45831-2024</t>
        </is>
      </c>
      <c r="B596" s="1" t="n">
        <v>45579.90508101852</v>
      </c>
      <c r="C596" s="1" t="n">
        <v>46100</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17157-2024</t>
        </is>
      </c>
      <c r="B597" s="1" t="n">
        <v>45412.70567129629</v>
      </c>
      <c r="C597" s="1" t="n">
        <v>46100</v>
      </c>
      <c r="D597" t="inlineStr">
        <is>
          <t>ÖSTERGÖTLANDS LÄN</t>
        </is>
      </c>
      <c r="E597" t="inlineStr">
        <is>
          <t>LINKÖPING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32723-2025</t>
        </is>
      </c>
      <c r="B598" s="1" t="n">
        <v>45838</v>
      </c>
      <c r="C598" s="1" t="n">
        <v>46100</v>
      </c>
      <c r="D598" t="inlineStr">
        <is>
          <t>ÖSTERGÖTLANDS LÄN</t>
        </is>
      </c>
      <c r="E598" t="inlineStr">
        <is>
          <t>LINKÖPING</t>
        </is>
      </c>
      <c r="G598" t="n">
        <v>2.1</v>
      </c>
      <c r="H598" t="n">
        <v>0</v>
      </c>
      <c r="I598" t="n">
        <v>0</v>
      </c>
      <c r="J598" t="n">
        <v>0</v>
      </c>
      <c r="K598" t="n">
        <v>0</v>
      </c>
      <c r="L598" t="n">
        <v>0</v>
      </c>
      <c r="M598" t="n">
        <v>0</v>
      </c>
      <c r="N598" t="n">
        <v>0</v>
      </c>
      <c r="O598" t="n">
        <v>0</v>
      </c>
      <c r="P598" t="n">
        <v>0</v>
      </c>
      <c r="Q598" t="n">
        <v>0</v>
      </c>
      <c r="R598" s="2" t="inlineStr"/>
    </row>
    <row r="599" ht="15" customHeight="1">
      <c r="A599" t="inlineStr">
        <is>
          <t>A 52800-2025</t>
        </is>
      </c>
      <c r="B599" s="1" t="n">
        <v>45957.44152777778</v>
      </c>
      <c r="C599" s="1" t="n">
        <v>46100</v>
      </c>
      <c r="D599" t="inlineStr">
        <is>
          <t>ÖSTERGÖTLANDS LÄN</t>
        </is>
      </c>
      <c r="E599" t="inlineStr">
        <is>
          <t>LINKÖPING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52802-2025</t>
        </is>
      </c>
      <c r="B600" s="1" t="n">
        <v>45957.44295138889</v>
      </c>
      <c r="C600" s="1" t="n">
        <v>46100</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52743-2025</t>
        </is>
      </c>
      <c r="B601" s="1" t="n">
        <v>45957.38039351852</v>
      </c>
      <c r="C601" s="1" t="n">
        <v>46100</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52807-2025</t>
        </is>
      </c>
      <c r="B602" s="1" t="n">
        <v>45957.44837962963</v>
      </c>
      <c r="C602" s="1" t="n">
        <v>46100</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37154-2023</t>
        </is>
      </c>
      <c r="B603" s="1" t="n">
        <v>45155</v>
      </c>
      <c r="C603" s="1" t="n">
        <v>46100</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53812-2023</t>
        </is>
      </c>
      <c r="B604" s="1" t="n">
        <v>45231.39583333334</v>
      </c>
      <c r="C604" s="1" t="n">
        <v>46100</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53830-2023</t>
        </is>
      </c>
      <c r="B605" s="1" t="n">
        <v>45230</v>
      </c>
      <c r="C605" s="1" t="n">
        <v>46100</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56841-2023</t>
        </is>
      </c>
      <c r="B606" s="1" t="n">
        <v>45244</v>
      </c>
      <c r="C606" s="1" t="n">
        <v>46100</v>
      </c>
      <c r="D606" t="inlineStr">
        <is>
          <t>ÖSTERGÖTLANDS LÄN</t>
        </is>
      </c>
      <c r="E606" t="inlineStr">
        <is>
          <t>LINKÖPING</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56741-2023</t>
        </is>
      </c>
      <c r="B607" s="1" t="n">
        <v>45244</v>
      </c>
      <c r="C607" s="1" t="n">
        <v>46100</v>
      </c>
      <c r="D607" t="inlineStr">
        <is>
          <t>ÖSTERGÖTLANDS LÄN</t>
        </is>
      </c>
      <c r="E607" t="inlineStr">
        <is>
          <t>LINKÖPING</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53816-2023</t>
        </is>
      </c>
      <c r="B608" s="1" t="n">
        <v>45231.40012731482</v>
      </c>
      <c r="C608" s="1" t="n">
        <v>46100</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63935-2021</t>
        </is>
      </c>
      <c r="B609" s="1" t="n">
        <v>44509</v>
      </c>
      <c r="C609" s="1" t="n">
        <v>46100</v>
      </c>
      <c r="D609" t="inlineStr">
        <is>
          <t>ÖSTERGÖTLANDS LÄN</t>
        </is>
      </c>
      <c r="E609" t="inlineStr">
        <is>
          <t>LINKÖPING</t>
        </is>
      </c>
      <c r="F609" t="inlineStr">
        <is>
          <t>Övriga statliga verk och myndigheter</t>
        </is>
      </c>
      <c r="G609" t="n">
        <v>2.8</v>
      </c>
      <c r="H609" t="n">
        <v>0</v>
      </c>
      <c r="I609" t="n">
        <v>0</v>
      </c>
      <c r="J609" t="n">
        <v>0</v>
      </c>
      <c r="K609" t="n">
        <v>0</v>
      </c>
      <c r="L609" t="n">
        <v>0</v>
      </c>
      <c r="M609" t="n">
        <v>0</v>
      </c>
      <c r="N609" t="n">
        <v>0</v>
      </c>
      <c r="O609" t="n">
        <v>0</v>
      </c>
      <c r="P609" t="n">
        <v>0</v>
      </c>
      <c r="Q609" t="n">
        <v>0</v>
      </c>
      <c r="R609" s="2" t="inlineStr"/>
    </row>
    <row r="610" ht="15" customHeight="1">
      <c r="A610" t="inlineStr">
        <is>
          <t>A 6726-2024</t>
        </is>
      </c>
      <c r="B610" s="1" t="n">
        <v>45341</v>
      </c>
      <c r="C610" s="1" t="n">
        <v>46100</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3007-2023</t>
        </is>
      </c>
      <c r="B611" s="1" t="n">
        <v>44945</v>
      </c>
      <c r="C611" s="1" t="n">
        <v>46100</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18145-2021</t>
        </is>
      </c>
      <c r="B612" s="1" t="n">
        <v>44302</v>
      </c>
      <c r="C612" s="1" t="n">
        <v>46100</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33947-2025</t>
        </is>
      </c>
      <c r="B613" s="1" t="n">
        <v>45842.65444444444</v>
      </c>
      <c r="C613" s="1" t="n">
        <v>46100</v>
      </c>
      <c r="D613" t="inlineStr">
        <is>
          <t>ÖSTERGÖTLANDS LÄN</t>
        </is>
      </c>
      <c r="E613" t="inlineStr">
        <is>
          <t>LINKÖPING</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53529-2024</t>
        </is>
      </c>
      <c r="B614" s="1" t="n">
        <v>45614</v>
      </c>
      <c r="C614" s="1" t="n">
        <v>46100</v>
      </c>
      <c r="D614" t="inlineStr">
        <is>
          <t>ÖSTERGÖTLANDS LÄN</t>
        </is>
      </c>
      <c r="E614" t="inlineStr">
        <is>
          <t>LINKÖPING</t>
        </is>
      </c>
      <c r="G614" t="n">
        <v>6.7</v>
      </c>
      <c r="H614" t="n">
        <v>0</v>
      </c>
      <c r="I614" t="n">
        <v>0</v>
      </c>
      <c r="J614" t="n">
        <v>0</v>
      </c>
      <c r="K614" t="n">
        <v>0</v>
      </c>
      <c r="L614" t="n">
        <v>0</v>
      </c>
      <c r="M614" t="n">
        <v>0</v>
      </c>
      <c r="N614" t="n">
        <v>0</v>
      </c>
      <c r="O614" t="n">
        <v>0</v>
      </c>
      <c r="P614" t="n">
        <v>0</v>
      </c>
      <c r="Q614" t="n">
        <v>0</v>
      </c>
      <c r="R614" s="2" t="inlineStr"/>
    </row>
    <row r="615" ht="15" customHeight="1">
      <c r="A615" t="inlineStr">
        <is>
          <t>A 62012-2024</t>
        </is>
      </c>
      <c r="B615" s="1" t="n">
        <v>45655.79679398148</v>
      </c>
      <c r="C615" s="1" t="n">
        <v>46100</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29309-2024</t>
        </is>
      </c>
      <c r="B616" s="1" t="n">
        <v>45483</v>
      </c>
      <c r="C616" s="1" t="n">
        <v>46100</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54332-2025</t>
        </is>
      </c>
      <c r="B617" s="1" t="n">
        <v>45965.34915509259</v>
      </c>
      <c r="C617" s="1" t="n">
        <v>46100</v>
      </c>
      <c r="D617" t="inlineStr">
        <is>
          <t>ÖSTERGÖTLANDS LÄN</t>
        </is>
      </c>
      <c r="E617" t="inlineStr">
        <is>
          <t>LINKÖPING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54329-2025</t>
        </is>
      </c>
      <c r="B618" s="1" t="n">
        <v>45965.34706018519</v>
      </c>
      <c r="C618" s="1" t="n">
        <v>46100</v>
      </c>
      <c r="D618" t="inlineStr">
        <is>
          <t>ÖSTERGÖTLANDS LÄN</t>
        </is>
      </c>
      <c r="E618" t="inlineStr">
        <is>
          <t>LINKÖPING</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20469-2025</t>
        </is>
      </c>
      <c r="B619" s="1" t="n">
        <v>45775</v>
      </c>
      <c r="C619" s="1" t="n">
        <v>46100</v>
      </c>
      <c r="D619" t="inlineStr">
        <is>
          <t>ÖSTERGÖTLANDS LÄN</t>
        </is>
      </c>
      <c r="E619" t="inlineStr">
        <is>
          <t>LINKÖPING</t>
        </is>
      </c>
      <c r="F619" t="inlineStr">
        <is>
          <t>Kyrkan</t>
        </is>
      </c>
      <c r="G619" t="n">
        <v>6.1</v>
      </c>
      <c r="H619" t="n">
        <v>0</v>
      </c>
      <c r="I619" t="n">
        <v>0</v>
      </c>
      <c r="J619" t="n">
        <v>0</v>
      </c>
      <c r="K619" t="n">
        <v>0</v>
      </c>
      <c r="L619" t="n">
        <v>0</v>
      </c>
      <c r="M619" t="n">
        <v>0</v>
      </c>
      <c r="N619" t="n">
        <v>0</v>
      </c>
      <c r="O619" t="n">
        <v>0</v>
      </c>
      <c r="P619" t="n">
        <v>0</v>
      </c>
      <c r="Q619" t="n">
        <v>0</v>
      </c>
      <c r="R619" s="2" t="inlineStr"/>
    </row>
    <row r="620" ht="15" customHeight="1">
      <c r="A620" t="inlineStr">
        <is>
          <t>A 54333-2025</t>
        </is>
      </c>
      <c r="B620" s="1" t="n">
        <v>45965.35090277778</v>
      </c>
      <c r="C620" s="1" t="n">
        <v>46100</v>
      </c>
      <c r="D620" t="inlineStr">
        <is>
          <t>ÖSTERGÖTLANDS LÄN</t>
        </is>
      </c>
      <c r="E620" t="inlineStr">
        <is>
          <t>LINKÖPING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53411-2023</t>
        </is>
      </c>
      <c r="B621" s="1" t="n">
        <v>45229.81049768518</v>
      </c>
      <c r="C621" s="1" t="n">
        <v>46100</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26788-2022</t>
        </is>
      </c>
      <c r="B622" s="1" t="n">
        <v>44740</v>
      </c>
      <c r="C622" s="1" t="n">
        <v>46100</v>
      </c>
      <c r="D622" t="inlineStr">
        <is>
          <t>ÖSTERGÖTLANDS LÄN</t>
        </is>
      </c>
      <c r="E622" t="inlineStr">
        <is>
          <t>LINKÖPING</t>
        </is>
      </c>
      <c r="G622" t="n">
        <v>3.2</v>
      </c>
      <c r="H622" t="n">
        <v>0</v>
      </c>
      <c r="I622" t="n">
        <v>0</v>
      </c>
      <c r="J622" t="n">
        <v>0</v>
      </c>
      <c r="K622" t="n">
        <v>0</v>
      </c>
      <c r="L622" t="n">
        <v>0</v>
      </c>
      <c r="M622" t="n">
        <v>0</v>
      </c>
      <c r="N622" t="n">
        <v>0</v>
      </c>
      <c r="O622" t="n">
        <v>0</v>
      </c>
      <c r="P622" t="n">
        <v>0</v>
      </c>
      <c r="Q622" t="n">
        <v>0</v>
      </c>
      <c r="R622" s="2" t="inlineStr"/>
    </row>
    <row r="623" ht="15" customHeight="1">
      <c r="A623" t="inlineStr">
        <is>
          <t>A 33800-2023</t>
        </is>
      </c>
      <c r="B623" s="1" t="n">
        <v>45121</v>
      </c>
      <c r="C623" s="1" t="n">
        <v>46100</v>
      </c>
      <c r="D623" t="inlineStr">
        <is>
          <t>ÖSTERGÖTLANDS LÄN</t>
        </is>
      </c>
      <c r="E623" t="inlineStr">
        <is>
          <t>LINKÖPING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26007-2025</t>
        </is>
      </c>
      <c r="B624" s="1" t="n">
        <v>45804.67081018518</v>
      </c>
      <c r="C624" s="1" t="n">
        <v>46100</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35174-2025</t>
        </is>
      </c>
      <c r="B625" s="1" t="n">
        <v>45852.90648148148</v>
      </c>
      <c r="C625" s="1" t="n">
        <v>46100</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24462-2023</t>
        </is>
      </c>
      <c r="B626" s="1" t="n">
        <v>45082</v>
      </c>
      <c r="C626" s="1" t="n">
        <v>46100</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47991-2023</t>
        </is>
      </c>
      <c r="B627" s="1" t="n">
        <v>45204.62655092592</v>
      </c>
      <c r="C627" s="1" t="n">
        <v>46100</v>
      </c>
      <c r="D627" t="inlineStr">
        <is>
          <t>ÖSTERGÖTLANDS LÄN</t>
        </is>
      </c>
      <c r="E627" t="inlineStr">
        <is>
          <t>LINKÖPING</t>
        </is>
      </c>
      <c r="F627" t="inlineStr">
        <is>
          <t>Allmännings- och besparingsskogar</t>
        </is>
      </c>
      <c r="G627" t="n">
        <v>7.3</v>
      </c>
      <c r="H627" t="n">
        <v>0</v>
      </c>
      <c r="I627" t="n">
        <v>0</v>
      </c>
      <c r="J627" t="n">
        <v>0</v>
      </c>
      <c r="K627" t="n">
        <v>0</v>
      </c>
      <c r="L627" t="n">
        <v>0</v>
      </c>
      <c r="M627" t="n">
        <v>0</v>
      </c>
      <c r="N627" t="n">
        <v>0</v>
      </c>
      <c r="O627" t="n">
        <v>0</v>
      </c>
      <c r="P627" t="n">
        <v>0</v>
      </c>
      <c r="Q627" t="n">
        <v>0</v>
      </c>
      <c r="R627" s="2" t="inlineStr"/>
    </row>
    <row r="628" ht="15" customHeight="1">
      <c r="A628" t="inlineStr">
        <is>
          <t>A 35179-2025</t>
        </is>
      </c>
      <c r="B628" s="1" t="n">
        <v>45852.93737268518</v>
      </c>
      <c r="C628" s="1" t="n">
        <v>46100</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35180-2025</t>
        </is>
      </c>
      <c r="B629" s="1" t="n">
        <v>45852.9413425926</v>
      </c>
      <c r="C629" s="1" t="n">
        <v>46100</v>
      </c>
      <c r="D629" t="inlineStr">
        <is>
          <t>ÖSTERGÖTLANDS LÄN</t>
        </is>
      </c>
      <c r="E629" t="inlineStr">
        <is>
          <t>LINKÖPING</t>
        </is>
      </c>
      <c r="G629" t="n">
        <v>1.9</v>
      </c>
      <c r="H629" t="n">
        <v>0</v>
      </c>
      <c r="I629" t="n">
        <v>0</v>
      </c>
      <c r="J629" t="n">
        <v>0</v>
      </c>
      <c r="K629" t="n">
        <v>0</v>
      </c>
      <c r="L629" t="n">
        <v>0</v>
      </c>
      <c r="M629" t="n">
        <v>0</v>
      </c>
      <c r="N629" t="n">
        <v>0</v>
      </c>
      <c r="O629" t="n">
        <v>0</v>
      </c>
      <c r="P629" t="n">
        <v>0</v>
      </c>
      <c r="Q629" t="n">
        <v>0</v>
      </c>
      <c r="R629" s="2" t="inlineStr"/>
    </row>
    <row r="630" ht="15" customHeight="1">
      <c r="A630" t="inlineStr">
        <is>
          <t>A 35178-2025</t>
        </is>
      </c>
      <c r="B630" s="1" t="n">
        <v>45852.91939814815</v>
      </c>
      <c r="C630" s="1" t="n">
        <v>46100</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62015-2024</t>
        </is>
      </c>
      <c r="B631" s="1" t="n">
        <v>45655.80457175926</v>
      </c>
      <c r="C631" s="1" t="n">
        <v>46100</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55102-2025</t>
        </is>
      </c>
      <c r="B632" s="1" t="n">
        <v>45968.35410879629</v>
      </c>
      <c r="C632" s="1" t="n">
        <v>46100</v>
      </c>
      <c r="D632" t="inlineStr">
        <is>
          <t>ÖSTERGÖTLANDS LÄN</t>
        </is>
      </c>
      <c r="E632" t="inlineStr">
        <is>
          <t>LINKÖPING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55132-2025</t>
        </is>
      </c>
      <c r="B633" s="1" t="n">
        <v>45968.41912037037</v>
      </c>
      <c r="C633" s="1" t="n">
        <v>46100</v>
      </c>
      <c r="D633" t="inlineStr">
        <is>
          <t>ÖSTERGÖTLANDS LÄN</t>
        </is>
      </c>
      <c r="E633" t="inlineStr">
        <is>
          <t>LINKÖPING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55109-2025</t>
        </is>
      </c>
      <c r="B634" s="1" t="n">
        <v>45968.37731481482</v>
      </c>
      <c r="C634" s="1" t="n">
        <v>46100</v>
      </c>
      <c r="D634" t="inlineStr">
        <is>
          <t>ÖSTERGÖTLANDS LÄN</t>
        </is>
      </c>
      <c r="E634" t="inlineStr">
        <is>
          <t>LINKÖPING</t>
        </is>
      </c>
      <c r="G634" t="n">
        <v>3.2</v>
      </c>
      <c r="H634" t="n">
        <v>0</v>
      </c>
      <c r="I634" t="n">
        <v>0</v>
      </c>
      <c r="J634" t="n">
        <v>0</v>
      </c>
      <c r="K634" t="n">
        <v>0</v>
      </c>
      <c r="L634" t="n">
        <v>0</v>
      </c>
      <c r="M634" t="n">
        <v>0</v>
      </c>
      <c r="N634" t="n">
        <v>0</v>
      </c>
      <c r="O634" t="n">
        <v>0</v>
      </c>
      <c r="P634" t="n">
        <v>0</v>
      </c>
      <c r="Q634" t="n">
        <v>0</v>
      </c>
      <c r="R634" s="2" t="inlineStr"/>
    </row>
    <row r="635" ht="15" customHeight="1">
      <c r="A635" t="inlineStr">
        <is>
          <t>A 10741-2023</t>
        </is>
      </c>
      <c r="B635" s="1" t="n">
        <v>44988.70084490741</v>
      </c>
      <c r="C635" s="1" t="n">
        <v>46100</v>
      </c>
      <c r="D635" t="inlineStr">
        <is>
          <t>ÖSTERGÖTLANDS LÄN</t>
        </is>
      </c>
      <c r="E635" t="inlineStr">
        <is>
          <t>LINKÖPING</t>
        </is>
      </c>
      <c r="F635" t="inlineStr">
        <is>
          <t>Allmännings- och besparingsskogar</t>
        </is>
      </c>
      <c r="G635" t="n">
        <v>11.2</v>
      </c>
      <c r="H635" t="n">
        <v>0</v>
      </c>
      <c r="I635" t="n">
        <v>0</v>
      </c>
      <c r="J635" t="n">
        <v>0</v>
      </c>
      <c r="K635" t="n">
        <v>0</v>
      </c>
      <c r="L635" t="n">
        <v>0</v>
      </c>
      <c r="M635" t="n">
        <v>0</v>
      </c>
      <c r="N635" t="n">
        <v>0</v>
      </c>
      <c r="O635" t="n">
        <v>0</v>
      </c>
      <c r="P635" t="n">
        <v>0</v>
      </c>
      <c r="Q635" t="n">
        <v>0</v>
      </c>
      <c r="R635" s="2" t="inlineStr"/>
    </row>
    <row r="636" ht="15" customHeight="1">
      <c r="A636" t="inlineStr">
        <is>
          <t>A 55165-2025</t>
        </is>
      </c>
      <c r="B636" s="1" t="n">
        <v>45968.48194444444</v>
      </c>
      <c r="C636" s="1" t="n">
        <v>46100</v>
      </c>
      <c r="D636" t="inlineStr">
        <is>
          <t>ÖSTERGÖTLANDS LÄN</t>
        </is>
      </c>
      <c r="E636" t="inlineStr">
        <is>
          <t>LINKÖPING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49455-2025</t>
        </is>
      </c>
      <c r="B637" s="1" t="n">
        <v>45938</v>
      </c>
      <c r="C637" s="1" t="n">
        <v>46100</v>
      </c>
      <c r="D637" t="inlineStr">
        <is>
          <t>ÖSTERGÖTLANDS LÄN</t>
        </is>
      </c>
      <c r="E637" t="inlineStr">
        <is>
          <t>LINKÖPING</t>
        </is>
      </c>
      <c r="F637" t="inlineStr">
        <is>
          <t>Övriga Aktiebolag</t>
        </is>
      </c>
      <c r="G637" t="n">
        <v>5.9</v>
      </c>
      <c r="H637" t="n">
        <v>0</v>
      </c>
      <c r="I637" t="n">
        <v>0</v>
      </c>
      <c r="J637" t="n">
        <v>0</v>
      </c>
      <c r="K637" t="n">
        <v>0</v>
      </c>
      <c r="L637" t="n">
        <v>0</v>
      </c>
      <c r="M637" t="n">
        <v>0</v>
      </c>
      <c r="N637" t="n">
        <v>0</v>
      </c>
      <c r="O637" t="n">
        <v>0</v>
      </c>
      <c r="P637" t="n">
        <v>0</v>
      </c>
      <c r="Q637" t="n">
        <v>0</v>
      </c>
      <c r="R637" s="2" t="inlineStr"/>
    </row>
    <row r="638" ht="15" customHeight="1">
      <c r="A638" t="inlineStr">
        <is>
          <t>A 43473-2024</t>
        </is>
      </c>
      <c r="B638" s="1" t="n">
        <v>45568</v>
      </c>
      <c r="C638" s="1" t="n">
        <v>46100</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43475-2024</t>
        </is>
      </c>
      <c r="B639" s="1" t="n">
        <v>45568</v>
      </c>
      <c r="C639" s="1" t="n">
        <v>46100</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1207-2023</t>
        </is>
      </c>
      <c r="B640" s="1" t="n">
        <v>44930</v>
      </c>
      <c r="C640" s="1" t="n">
        <v>46100</v>
      </c>
      <c r="D640" t="inlineStr">
        <is>
          <t>ÖSTERGÖTLANDS LÄN</t>
        </is>
      </c>
      <c r="E640" t="inlineStr">
        <is>
          <t>LINKÖPING</t>
        </is>
      </c>
      <c r="F640" t="inlineStr">
        <is>
          <t>Övriga statliga verk och myndigheter</t>
        </is>
      </c>
      <c r="G640" t="n">
        <v>32.8</v>
      </c>
      <c r="H640" t="n">
        <v>0</v>
      </c>
      <c r="I640" t="n">
        <v>0</v>
      </c>
      <c r="J640" t="n">
        <v>0</v>
      </c>
      <c r="K640" t="n">
        <v>0</v>
      </c>
      <c r="L640" t="n">
        <v>0</v>
      </c>
      <c r="M640" t="n">
        <v>0</v>
      </c>
      <c r="N640" t="n">
        <v>0</v>
      </c>
      <c r="O640" t="n">
        <v>0</v>
      </c>
      <c r="P640" t="n">
        <v>0</v>
      </c>
      <c r="Q640" t="n">
        <v>0</v>
      </c>
      <c r="R640" s="2" t="inlineStr"/>
    </row>
    <row r="641" ht="15" customHeight="1">
      <c r="A641" t="inlineStr">
        <is>
          <t>A 29859-2024</t>
        </is>
      </c>
      <c r="B641" s="1" t="n">
        <v>45485.6846412037</v>
      </c>
      <c r="C641" s="1" t="n">
        <v>46100</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35757-2025</t>
        </is>
      </c>
      <c r="B642" s="1" t="n">
        <v>45860.59876157407</v>
      </c>
      <c r="C642" s="1" t="n">
        <v>46100</v>
      </c>
      <c r="D642" t="inlineStr">
        <is>
          <t>ÖSTERGÖTLANDS LÄN</t>
        </is>
      </c>
      <c r="E642" t="inlineStr">
        <is>
          <t>LINKÖPING</t>
        </is>
      </c>
      <c r="G642" t="n">
        <v>5.7</v>
      </c>
      <c r="H642" t="n">
        <v>0</v>
      </c>
      <c r="I642" t="n">
        <v>0</v>
      </c>
      <c r="J642" t="n">
        <v>0</v>
      </c>
      <c r="K642" t="n">
        <v>0</v>
      </c>
      <c r="L642" t="n">
        <v>0</v>
      </c>
      <c r="M642" t="n">
        <v>0</v>
      </c>
      <c r="N642" t="n">
        <v>0</v>
      </c>
      <c r="O642" t="n">
        <v>0</v>
      </c>
      <c r="P642" t="n">
        <v>0</v>
      </c>
      <c r="Q642" t="n">
        <v>0</v>
      </c>
      <c r="R642" s="2" t="inlineStr"/>
    </row>
    <row r="643" ht="15" customHeight="1">
      <c r="A643" t="inlineStr">
        <is>
          <t>A 35745-2025</t>
        </is>
      </c>
      <c r="B643" s="1" t="n">
        <v>45860.54739583333</v>
      </c>
      <c r="C643" s="1" t="n">
        <v>46100</v>
      </c>
      <c r="D643" t="inlineStr">
        <is>
          <t>ÖSTERGÖTLANDS LÄN</t>
        </is>
      </c>
      <c r="E643" t="inlineStr">
        <is>
          <t>LINKÖPING</t>
        </is>
      </c>
      <c r="G643" t="n">
        <v>4.4</v>
      </c>
      <c r="H643" t="n">
        <v>0</v>
      </c>
      <c r="I643" t="n">
        <v>0</v>
      </c>
      <c r="J643" t="n">
        <v>0</v>
      </c>
      <c r="K643" t="n">
        <v>0</v>
      </c>
      <c r="L643" t="n">
        <v>0</v>
      </c>
      <c r="M643" t="n">
        <v>0</v>
      </c>
      <c r="N643" t="n">
        <v>0</v>
      </c>
      <c r="O643" t="n">
        <v>0</v>
      </c>
      <c r="P643" t="n">
        <v>0</v>
      </c>
      <c r="Q643" t="n">
        <v>0</v>
      </c>
      <c r="R643" s="2" t="inlineStr"/>
    </row>
    <row r="644" ht="15" customHeight="1">
      <c r="A644" t="inlineStr">
        <is>
          <t>A 45819-2024</t>
        </is>
      </c>
      <c r="B644" s="1" t="n">
        <v>45579.7454050926</v>
      </c>
      <c r="C644" s="1" t="n">
        <v>46100</v>
      </c>
      <c r="D644" t="inlineStr">
        <is>
          <t>ÖSTERGÖTLANDS LÄN</t>
        </is>
      </c>
      <c r="E644" t="inlineStr">
        <is>
          <t>LINKÖPING</t>
        </is>
      </c>
      <c r="G644" t="n">
        <v>5</v>
      </c>
      <c r="H644" t="n">
        <v>0</v>
      </c>
      <c r="I644" t="n">
        <v>0</v>
      </c>
      <c r="J644" t="n">
        <v>0</v>
      </c>
      <c r="K644" t="n">
        <v>0</v>
      </c>
      <c r="L644" t="n">
        <v>0</v>
      </c>
      <c r="M644" t="n">
        <v>0</v>
      </c>
      <c r="N644" t="n">
        <v>0</v>
      </c>
      <c r="O644" t="n">
        <v>0</v>
      </c>
      <c r="P644" t="n">
        <v>0</v>
      </c>
      <c r="Q644" t="n">
        <v>0</v>
      </c>
      <c r="R644" s="2" t="inlineStr"/>
    </row>
    <row r="645" ht="15" customHeight="1">
      <c r="A645" t="inlineStr">
        <is>
          <t>A 35747-2025</t>
        </is>
      </c>
      <c r="B645" s="1" t="n">
        <v>45860.56385416666</v>
      </c>
      <c r="C645" s="1" t="n">
        <v>46100</v>
      </c>
      <c r="D645" t="inlineStr">
        <is>
          <t>ÖSTERGÖTLANDS LÄN</t>
        </is>
      </c>
      <c r="E645" t="inlineStr">
        <is>
          <t>LINKÖPING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15748-2025</t>
        </is>
      </c>
      <c r="B646" s="1" t="n">
        <v>45748.55282407408</v>
      </c>
      <c r="C646" s="1" t="n">
        <v>46100</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15754-2025</t>
        </is>
      </c>
      <c r="B647" s="1" t="n">
        <v>45748.56105324074</v>
      </c>
      <c r="C647" s="1" t="n">
        <v>46100</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30518-2024</t>
        </is>
      </c>
      <c r="B648" s="1" t="n">
        <v>45492</v>
      </c>
      <c r="C648" s="1" t="n">
        <v>46100</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56113-2025</t>
        </is>
      </c>
      <c r="B649" s="1" t="n">
        <v>45973.73924768518</v>
      </c>
      <c r="C649" s="1" t="n">
        <v>46100</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35759-2025</t>
        </is>
      </c>
      <c r="B650" s="1" t="n">
        <v>45860</v>
      </c>
      <c r="C650" s="1" t="n">
        <v>46100</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49605-2025</t>
        </is>
      </c>
      <c r="B651" s="1" t="n">
        <v>45938</v>
      </c>
      <c r="C651" s="1" t="n">
        <v>46100</v>
      </c>
      <c r="D651" t="inlineStr">
        <is>
          <t>ÖSTERGÖTLANDS LÄN</t>
        </is>
      </c>
      <c r="E651" t="inlineStr">
        <is>
          <t>LINKÖPING</t>
        </is>
      </c>
      <c r="F651" t="inlineStr">
        <is>
          <t>Övriga Aktiebolag</t>
        </is>
      </c>
      <c r="G651" t="n">
        <v>3.3</v>
      </c>
      <c r="H651" t="n">
        <v>0</v>
      </c>
      <c r="I651" t="n">
        <v>0</v>
      </c>
      <c r="J651" t="n">
        <v>0</v>
      </c>
      <c r="K651" t="n">
        <v>0</v>
      </c>
      <c r="L651" t="n">
        <v>0</v>
      </c>
      <c r="M651" t="n">
        <v>0</v>
      </c>
      <c r="N651" t="n">
        <v>0</v>
      </c>
      <c r="O651" t="n">
        <v>0</v>
      </c>
      <c r="P651" t="n">
        <v>0</v>
      </c>
      <c r="Q651" t="n">
        <v>0</v>
      </c>
      <c r="R651" s="2" t="inlineStr"/>
    </row>
    <row r="652" ht="15" customHeight="1">
      <c r="A652" t="inlineStr">
        <is>
          <t>A 53797-2023</t>
        </is>
      </c>
      <c r="B652" s="1" t="n">
        <v>45230</v>
      </c>
      <c r="C652" s="1" t="n">
        <v>46100</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56105-2025</t>
        </is>
      </c>
      <c r="B653" s="1" t="n">
        <v>45973.72855324074</v>
      </c>
      <c r="C653" s="1" t="n">
        <v>46100</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49663-2025</t>
        </is>
      </c>
      <c r="B654" s="1" t="n">
        <v>45938</v>
      </c>
      <c r="C654" s="1" t="n">
        <v>46100</v>
      </c>
      <c r="D654" t="inlineStr">
        <is>
          <t>ÖSTERGÖTLANDS LÄN</t>
        </is>
      </c>
      <c r="E654" t="inlineStr">
        <is>
          <t>LINKÖPING</t>
        </is>
      </c>
      <c r="F654" t="inlineStr">
        <is>
          <t>Övriga Aktiebolag</t>
        </is>
      </c>
      <c r="G654" t="n">
        <v>1.2</v>
      </c>
      <c r="H654" t="n">
        <v>0</v>
      </c>
      <c r="I654" t="n">
        <v>0</v>
      </c>
      <c r="J654" t="n">
        <v>0</v>
      </c>
      <c r="K654" t="n">
        <v>0</v>
      </c>
      <c r="L654" t="n">
        <v>0</v>
      </c>
      <c r="M654" t="n">
        <v>0</v>
      </c>
      <c r="N654" t="n">
        <v>0</v>
      </c>
      <c r="O654" t="n">
        <v>0</v>
      </c>
      <c r="P654" t="n">
        <v>0</v>
      </c>
      <c r="Q654" t="n">
        <v>0</v>
      </c>
      <c r="R654" s="2" t="inlineStr"/>
    </row>
    <row r="655" ht="15" customHeight="1">
      <c r="A655" t="inlineStr">
        <is>
          <t>A 56403-2025</t>
        </is>
      </c>
      <c r="B655" s="1" t="n">
        <v>45974</v>
      </c>
      <c r="C655" s="1" t="n">
        <v>46100</v>
      </c>
      <c r="D655" t="inlineStr">
        <is>
          <t>ÖSTERGÖTLANDS LÄN</t>
        </is>
      </c>
      <c r="E655" t="inlineStr">
        <is>
          <t>LINKÖPING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55345-2021</t>
        </is>
      </c>
      <c r="B656" s="1" t="n">
        <v>44475</v>
      </c>
      <c r="C656" s="1" t="n">
        <v>46100</v>
      </c>
      <c r="D656" t="inlineStr">
        <is>
          <t>ÖSTERGÖTLANDS LÄN</t>
        </is>
      </c>
      <c r="E656" t="inlineStr">
        <is>
          <t>LINKÖPING</t>
        </is>
      </c>
      <c r="G656" t="n">
        <v>5.7</v>
      </c>
      <c r="H656" t="n">
        <v>0</v>
      </c>
      <c r="I656" t="n">
        <v>0</v>
      </c>
      <c r="J656" t="n">
        <v>0</v>
      </c>
      <c r="K656" t="n">
        <v>0</v>
      </c>
      <c r="L656" t="n">
        <v>0</v>
      </c>
      <c r="M656" t="n">
        <v>0</v>
      </c>
      <c r="N656" t="n">
        <v>0</v>
      </c>
      <c r="O656" t="n">
        <v>0</v>
      </c>
      <c r="P656" t="n">
        <v>0</v>
      </c>
      <c r="Q656" t="n">
        <v>0</v>
      </c>
      <c r="R656" s="2" t="inlineStr"/>
    </row>
    <row r="657" ht="15" customHeight="1">
      <c r="A657" t="inlineStr">
        <is>
          <t>A 10198-2023</t>
        </is>
      </c>
      <c r="B657" s="1" t="n">
        <v>44986.54665509259</v>
      </c>
      <c r="C657" s="1" t="n">
        <v>46100</v>
      </c>
      <c r="D657" t="inlineStr">
        <is>
          <t>ÖSTERGÖTLANDS LÄN</t>
        </is>
      </c>
      <c r="E657" t="inlineStr">
        <is>
          <t>LINKÖPING</t>
        </is>
      </c>
      <c r="G657" t="n">
        <v>4.6</v>
      </c>
      <c r="H657" t="n">
        <v>0</v>
      </c>
      <c r="I657" t="n">
        <v>0</v>
      </c>
      <c r="J657" t="n">
        <v>0</v>
      </c>
      <c r="K657" t="n">
        <v>0</v>
      </c>
      <c r="L657" t="n">
        <v>0</v>
      </c>
      <c r="M657" t="n">
        <v>0</v>
      </c>
      <c r="N657" t="n">
        <v>0</v>
      </c>
      <c r="O657" t="n">
        <v>0</v>
      </c>
      <c r="P657" t="n">
        <v>0</v>
      </c>
      <c r="Q657" t="n">
        <v>0</v>
      </c>
      <c r="R657" s="2" t="inlineStr"/>
    </row>
    <row r="658" ht="15" customHeight="1">
      <c r="A658" t="inlineStr">
        <is>
          <t>A 4298-2023</t>
        </is>
      </c>
      <c r="B658" s="1" t="n">
        <v>44953</v>
      </c>
      <c r="C658" s="1" t="n">
        <v>46100</v>
      </c>
      <c r="D658" t="inlineStr">
        <is>
          <t>ÖSTERGÖTLANDS LÄN</t>
        </is>
      </c>
      <c r="E658" t="inlineStr">
        <is>
          <t>LINKÖPING</t>
        </is>
      </c>
      <c r="G658" t="n">
        <v>2.8</v>
      </c>
      <c r="H658" t="n">
        <v>0</v>
      </c>
      <c r="I658" t="n">
        <v>0</v>
      </c>
      <c r="J658" t="n">
        <v>0</v>
      </c>
      <c r="K658" t="n">
        <v>0</v>
      </c>
      <c r="L658" t="n">
        <v>0</v>
      </c>
      <c r="M658" t="n">
        <v>0</v>
      </c>
      <c r="N658" t="n">
        <v>0</v>
      </c>
      <c r="O658" t="n">
        <v>0</v>
      </c>
      <c r="P658" t="n">
        <v>0</v>
      </c>
      <c r="Q658" t="n">
        <v>0</v>
      </c>
      <c r="R658" s="2" t="inlineStr"/>
    </row>
    <row r="659" ht="15" customHeight="1">
      <c r="A659" t="inlineStr">
        <is>
          <t>A 49632-2025</t>
        </is>
      </c>
      <c r="B659" s="1" t="n">
        <v>45938</v>
      </c>
      <c r="C659" s="1" t="n">
        <v>46100</v>
      </c>
      <c r="D659" t="inlineStr">
        <is>
          <t>ÖSTERGÖTLANDS LÄN</t>
        </is>
      </c>
      <c r="E659" t="inlineStr">
        <is>
          <t>LINKÖPING</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49647-2025</t>
        </is>
      </c>
      <c r="B660" s="1" t="n">
        <v>45938</v>
      </c>
      <c r="C660" s="1" t="n">
        <v>46100</v>
      </c>
      <c r="D660" t="inlineStr">
        <is>
          <t>ÖSTERGÖTLANDS LÄN</t>
        </is>
      </c>
      <c r="E660" t="inlineStr">
        <is>
          <t>LINKÖPING</t>
        </is>
      </c>
      <c r="F660" t="inlineStr">
        <is>
          <t>Övriga Aktiebolag</t>
        </is>
      </c>
      <c r="G660" t="n">
        <v>0.6</v>
      </c>
      <c r="H660" t="n">
        <v>0</v>
      </c>
      <c r="I660" t="n">
        <v>0</v>
      </c>
      <c r="J660" t="n">
        <v>0</v>
      </c>
      <c r="K660" t="n">
        <v>0</v>
      </c>
      <c r="L660" t="n">
        <v>0</v>
      </c>
      <c r="M660" t="n">
        <v>0</v>
      </c>
      <c r="N660" t="n">
        <v>0</v>
      </c>
      <c r="O660" t="n">
        <v>0</v>
      </c>
      <c r="P660" t="n">
        <v>0</v>
      </c>
      <c r="Q660" t="n">
        <v>0</v>
      </c>
      <c r="R660" s="2" t="inlineStr"/>
    </row>
    <row r="661" ht="15" customHeight="1">
      <c r="A661" t="inlineStr">
        <is>
          <t>A 49652-2025</t>
        </is>
      </c>
      <c r="B661" s="1" t="n">
        <v>45938</v>
      </c>
      <c r="C661" s="1" t="n">
        <v>46100</v>
      </c>
      <c r="D661" t="inlineStr">
        <is>
          <t>ÖSTERGÖTLANDS LÄN</t>
        </is>
      </c>
      <c r="E661" t="inlineStr">
        <is>
          <t>LINKÖPING</t>
        </is>
      </c>
      <c r="F661" t="inlineStr">
        <is>
          <t>Övriga Aktiebolag</t>
        </is>
      </c>
      <c r="G661" t="n">
        <v>1.8</v>
      </c>
      <c r="H661" t="n">
        <v>0</v>
      </c>
      <c r="I661" t="n">
        <v>0</v>
      </c>
      <c r="J661" t="n">
        <v>0</v>
      </c>
      <c r="K661" t="n">
        <v>0</v>
      </c>
      <c r="L661" t="n">
        <v>0</v>
      </c>
      <c r="M661" t="n">
        <v>0</v>
      </c>
      <c r="N661" t="n">
        <v>0</v>
      </c>
      <c r="O661" t="n">
        <v>0</v>
      </c>
      <c r="P661" t="n">
        <v>0</v>
      </c>
      <c r="Q661" t="n">
        <v>0</v>
      </c>
      <c r="R661" s="2" t="inlineStr"/>
    </row>
    <row r="662" ht="15" customHeight="1">
      <c r="A662" t="inlineStr">
        <is>
          <t>A 49654-2025</t>
        </is>
      </c>
      <c r="B662" s="1" t="n">
        <v>45938</v>
      </c>
      <c r="C662" s="1" t="n">
        <v>46100</v>
      </c>
      <c r="D662" t="inlineStr">
        <is>
          <t>ÖSTERGÖTLANDS LÄN</t>
        </is>
      </c>
      <c r="E662" t="inlineStr">
        <is>
          <t>LINKÖPING</t>
        </is>
      </c>
      <c r="F662" t="inlineStr">
        <is>
          <t>Övriga Aktiebolag</t>
        </is>
      </c>
      <c r="G662" t="n">
        <v>3.1</v>
      </c>
      <c r="H662" t="n">
        <v>0</v>
      </c>
      <c r="I662" t="n">
        <v>0</v>
      </c>
      <c r="J662" t="n">
        <v>0</v>
      </c>
      <c r="K662" t="n">
        <v>0</v>
      </c>
      <c r="L662" t="n">
        <v>0</v>
      </c>
      <c r="M662" t="n">
        <v>0</v>
      </c>
      <c r="N662" t="n">
        <v>0</v>
      </c>
      <c r="O662" t="n">
        <v>0</v>
      </c>
      <c r="P662" t="n">
        <v>0</v>
      </c>
      <c r="Q662" t="n">
        <v>0</v>
      </c>
      <c r="R662" s="2" t="inlineStr"/>
    </row>
    <row r="663" ht="15" customHeight="1">
      <c r="A663" t="inlineStr">
        <is>
          <t>A 56704-2025</t>
        </is>
      </c>
      <c r="B663" s="1" t="n">
        <v>45977.50608796296</v>
      </c>
      <c r="C663" s="1" t="n">
        <v>46100</v>
      </c>
      <c r="D663" t="inlineStr">
        <is>
          <t>ÖSTERGÖTLANDS LÄN</t>
        </is>
      </c>
      <c r="E663" t="inlineStr">
        <is>
          <t>LINKÖPING</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12428-2024</t>
        </is>
      </c>
      <c r="B664" s="1" t="n">
        <v>45379</v>
      </c>
      <c r="C664" s="1" t="n">
        <v>46100</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26618-2023</t>
        </is>
      </c>
      <c r="B665" s="1" t="n">
        <v>45092.70306712963</v>
      </c>
      <c r="C665" s="1" t="n">
        <v>46100</v>
      </c>
      <c r="D665" t="inlineStr">
        <is>
          <t>ÖSTERGÖTLANDS LÄN</t>
        </is>
      </c>
      <c r="E665" t="inlineStr">
        <is>
          <t>LINKÖPING</t>
        </is>
      </c>
      <c r="G665" t="n">
        <v>6.9</v>
      </c>
      <c r="H665" t="n">
        <v>0</v>
      </c>
      <c r="I665" t="n">
        <v>0</v>
      </c>
      <c r="J665" t="n">
        <v>0</v>
      </c>
      <c r="K665" t="n">
        <v>0</v>
      </c>
      <c r="L665" t="n">
        <v>0</v>
      </c>
      <c r="M665" t="n">
        <v>0</v>
      </c>
      <c r="N665" t="n">
        <v>0</v>
      </c>
      <c r="O665" t="n">
        <v>0</v>
      </c>
      <c r="P665" t="n">
        <v>0</v>
      </c>
      <c r="Q665" t="n">
        <v>0</v>
      </c>
      <c r="R665" s="2" t="inlineStr"/>
    </row>
    <row r="666" ht="15" customHeight="1">
      <c r="A666" t="inlineStr">
        <is>
          <t>A 49615-2025</t>
        </is>
      </c>
      <c r="B666" s="1" t="n">
        <v>45938</v>
      </c>
      <c r="C666" s="1" t="n">
        <v>46100</v>
      </c>
      <c r="D666" t="inlineStr">
        <is>
          <t>ÖSTERGÖTLANDS LÄN</t>
        </is>
      </c>
      <c r="E666" t="inlineStr">
        <is>
          <t>LINKÖPING</t>
        </is>
      </c>
      <c r="F666" t="inlineStr">
        <is>
          <t>Övriga Aktiebolag</t>
        </is>
      </c>
      <c r="G666" t="n">
        <v>1.6</v>
      </c>
      <c r="H666" t="n">
        <v>0</v>
      </c>
      <c r="I666" t="n">
        <v>0</v>
      </c>
      <c r="J666" t="n">
        <v>0</v>
      </c>
      <c r="K666" t="n">
        <v>0</v>
      </c>
      <c r="L666" t="n">
        <v>0</v>
      </c>
      <c r="M666" t="n">
        <v>0</v>
      </c>
      <c r="N666" t="n">
        <v>0</v>
      </c>
      <c r="O666" t="n">
        <v>0</v>
      </c>
      <c r="P666" t="n">
        <v>0</v>
      </c>
      <c r="Q666" t="n">
        <v>0</v>
      </c>
      <c r="R666" s="2" t="inlineStr"/>
    </row>
    <row r="667" ht="15" customHeight="1">
      <c r="A667" t="inlineStr">
        <is>
          <t>A 49619-2025</t>
        </is>
      </c>
      <c r="B667" s="1" t="n">
        <v>45938</v>
      </c>
      <c r="C667" s="1" t="n">
        <v>46100</v>
      </c>
      <c r="D667" t="inlineStr">
        <is>
          <t>ÖSTERGÖTLANDS LÄN</t>
        </is>
      </c>
      <c r="E667" t="inlineStr">
        <is>
          <t>LINKÖPING</t>
        </is>
      </c>
      <c r="F667" t="inlineStr">
        <is>
          <t>Övriga Aktiebolag</t>
        </is>
      </c>
      <c r="G667" t="n">
        <v>2.3</v>
      </c>
      <c r="H667" t="n">
        <v>0</v>
      </c>
      <c r="I667" t="n">
        <v>0</v>
      </c>
      <c r="J667" t="n">
        <v>0</v>
      </c>
      <c r="K667" t="n">
        <v>0</v>
      </c>
      <c r="L667" t="n">
        <v>0</v>
      </c>
      <c r="M667" t="n">
        <v>0</v>
      </c>
      <c r="N667" t="n">
        <v>0</v>
      </c>
      <c r="O667" t="n">
        <v>0</v>
      </c>
      <c r="P667" t="n">
        <v>0</v>
      </c>
      <c r="Q667" t="n">
        <v>0</v>
      </c>
      <c r="R667" s="2" t="inlineStr"/>
    </row>
    <row r="668" ht="15" customHeight="1">
      <c r="A668" t="inlineStr">
        <is>
          <t>A 49629-2025</t>
        </is>
      </c>
      <c r="B668" s="1" t="n">
        <v>45938</v>
      </c>
      <c r="C668" s="1" t="n">
        <v>46100</v>
      </c>
      <c r="D668" t="inlineStr">
        <is>
          <t>ÖSTERGÖTLANDS LÄN</t>
        </is>
      </c>
      <c r="E668" t="inlineStr">
        <is>
          <t>LINKÖPING</t>
        </is>
      </c>
      <c r="F668" t="inlineStr">
        <is>
          <t>Övriga Aktiebolag</t>
        </is>
      </c>
      <c r="G668" t="n">
        <v>4.5</v>
      </c>
      <c r="H668" t="n">
        <v>0</v>
      </c>
      <c r="I668" t="n">
        <v>0</v>
      </c>
      <c r="J668" t="n">
        <v>0</v>
      </c>
      <c r="K668" t="n">
        <v>0</v>
      </c>
      <c r="L668" t="n">
        <v>0</v>
      </c>
      <c r="M668" t="n">
        <v>0</v>
      </c>
      <c r="N668" t="n">
        <v>0</v>
      </c>
      <c r="O668" t="n">
        <v>0</v>
      </c>
      <c r="P668" t="n">
        <v>0</v>
      </c>
      <c r="Q668" t="n">
        <v>0</v>
      </c>
      <c r="R668" s="2" t="inlineStr"/>
    </row>
    <row r="669" ht="15" customHeight="1">
      <c r="A669" t="inlineStr">
        <is>
          <t>A 49650-2025</t>
        </is>
      </c>
      <c r="B669" s="1" t="n">
        <v>45938</v>
      </c>
      <c r="C669" s="1" t="n">
        <v>46100</v>
      </c>
      <c r="D669" t="inlineStr">
        <is>
          <t>ÖSTERGÖTLANDS LÄN</t>
        </is>
      </c>
      <c r="E669" t="inlineStr">
        <is>
          <t>LINKÖPING</t>
        </is>
      </c>
      <c r="F669" t="inlineStr">
        <is>
          <t>Övriga Aktiebolag</t>
        </is>
      </c>
      <c r="G669" t="n">
        <v>1.5</v>
      </c>
      <c r="H669" t="n">
        <v>0</v>
      </c>
      <c r="I669" t="n">
        <v>0</v>
      </c>
      <c r="J669" t="n">
        <v>0</v>
      </c>
      <c r="K669" t="n">
        <v>0</v>
      </c>
      <c r="L669" t="n">
        <v>0</v>
      </c>
      <c r="M669" t="n">
        <v>0</v>
      </c>
      <c r="N669" t="n">
        <v>0</v>
      </c>
      <c r="O669" t="n">
        <v>0</v>
      </c>
      <c r="P669" t="n">
        <v>0</v>
      </c>
      <c r="Q669" t="n">
        <v>0</v>
      </c>
      <c r="R669" s="2" t="inlineStr"/>
    </row>
    <row r="670" ht="15" customHeight="1">
      <c r="A670" t="inlineStr">
        <is>
          <t>A 34930-2023</t>
        </is>
      </c>
      <c r="B670" s="1" t="n">
        <v>45142</v>
      </c>
      <c r="C670" s="1" t="n">
        <v>46100</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670-2024</t>
        </is>
      </c>
      <c r="B671" s="1" t="n">
        <v>45300.3408912037</v>
      </c>
      <c r="C671" s="1" t="n">
        <v>46100</v>
      </c>
      <c r="D671" t="inlineStr">
        <is>
          <t>ÖSTERGÖTLANDS LÄN</t>
        </is>
      </c>
      <c r="E671" t="inlineStr">
        <is>
          <t>LINKÖPING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63845-2021</t>
        </is>
      </c>
      <c r="B672" s="1" t="n">
        <v>44509</v>
      </c>
      <c r="C672" s="1" t="n">
        <v>46100</v>
      </c>
      <c r="D672" t="inlineStr">
        <is>
          <t>ÖSTERGÖTLANDS LÄN</t>
        </is>
      </c>
      <c r="E672" t="inlineStr">
        <is>
          <t>LINKÖPING</t>
        </is>
      </c>
      <c r="G672" t="n">
        <v>5</v>
      </c>
      <c r="H672" t="n">
        <v>0</v>
      </c>
      <c r="I672" t="n">
        <v>0</v>
      </c>
      <c r="J672" t="n">
        <v>0</v>
      </c>
      <c r="K672" t="n">
        <v>0</v>
      </c>
      <c r="L672" t="n">
        <v>0</v>
      </c>
      <c r="M672" t="n">
        <v>0</v>
      </c>
      <c r="N672" t="n">
        <v>0</v>
      </c>
      <c r="O672" t="n">
        <v>0</v>
      </c>
      <c r="P672" t="n">
        <v>0</v>
      </c>
      <c r="Q672" t="n">
        <v>0</v>
      </c>
      <c r="R672" s="2" t="inlineStr"/>
    </row>
    <row r="673" ht="15" customHeight="1">
      <c r="A673" t="inlineStr">
        <is>
          <t>A 49633-2025</t>
        </is>
      </c>
      <c r="B673" s="1" t="n">
        <v>45938</v>
      </c>
      <c r="C673" s="1" t="n">
        <v>46100</v>
      </c>
      <c r="D673" t="inlineStr">
        <is>
          <t>ÖSTERGÖTLANDS LÄN</t>
        </is>
      </c>
      <c r="E673" t="inlineStr">
        <is>
          <t>LINKÖPING</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54034-2022</t>
        </is>
      </c>
      <c r="B674" s="1" t="n">
        <v>44881</v>
      </c>
      <c r="C674" s="1" t="n">
        <v>46100</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36336-2023</t>
        </is>
      </c>
      <c r="B675" s="1" t="n">
        <v>45152.45078703704</v>
      </c>
      <c r="C675" s="1" t="n">
        <v>46100</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48829-2023</t>
        </is>
      </c>
      <c r="B676" s="1" t="n">
        <v>45209.38177083333</v>
      </c>
      <c r="C676" s="1" t="n">
        <v>46100</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37057-2025</t>
        </is>
      </c>
      <c r="B677" s="1" t="n">
        <v>45875.37489583333</v>
      </c>
      <c r="C677" s="1" t="n">
        <v>46100</v>
      </c>
      <c r="D677" t="inlineStr">
        <is>
          <t>ÖSTERGÖTLANDS LÄN</t>
        </is>
      </c>
      <c r="E677" t="inlineStr">
        <is>
          <t>LINKÖPING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40983-2025</t>
        </is>
      </c>
      <c r="B678" s="1" t="n">
        <v>45898</v>
      </c>
      <c r="C678" s="1" t="n">
        <v>46100</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50056-2025</t>
        </is>
      </c>
      <c r="B679" s="1" t="n">
        <v>45941</v>
      </c>
      <c r="C679" s="1" t="n">
        <v>46100</v>
      </c>
      <c r="D679" t="inlineStr">
        <is>
          <t>ÖSTERGÖTLANDS LÄN</t>
        </is>
      </c>
      <c r="E679" t="inlineStr">
        <is>
          <t>LINKÖPING</t>
        </is>
      </c>
      <c r="G679" t="n">
        <v>0.3</v>
      </c>
      <c r="H679" t="n">
        <v>0</v>
      </c>
      <c r="I679" t="n">
        <v>0</v>
      </c>
      <c r="J679" t="n">
        <v>0</v>
      </c>
      <c r="K679" t="n">
        <v>0</v>
      </c>
      <c r="L679" t="n">
        <v>0</v>
      </c>
      <c r="M679" t="n">
        <v>0</v>
      </c>
      <c r="N679" t="n">
        <v>0</v>
      </c>
      <c r="O679" t="n">
        <v>0</v>
      </c>
      <c r="P679" t="n">
        <v>0</v>
      </c>
      <c r="Q679" t="n">
        <v>0</v>
      </c>
      <c r="R679" s="2" t="inlineStr"/>
    </row>
    <row r="680" ht="15" customHeight="1">
      <c r="A680" t="inlineStr">
        <is>
          <t>A 48186-2022</t>
        </is>
      </c>
      <c r="B680" s="1" t="n">
        <v>44858</v>
      </c>
      <c r="C680" s="1" t="n">
        <v>46100</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63669-2023</t>
        </is>
      </c>
      <c r="B681" s="1" t="n">
        <v>45275</v>
      </c>
      <c r="C681" s="1" t="n">
        <v>46100</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24586-2024</t>
        </is>
      </c>
      <c r="B682" s="1" t="n">
        <v>45460.46664351852</v>
      </c>
      <c r="C682" s="1" t="n">
        <v>46100</v>
      </c>
      <c r="D682" t="inlineStr">
        <is>
          <t>ÖSTERGÖTLANDS LÄN</t>
        </is>
      </c>
      <c r="E682" t="inlineStr">
        <is>
          <t>LINKÖPING</t>
        </is>
      </c>
      <c r="G682" t="n">
        <v>4</v>
      </c>
      <c r="H682" t="n">
        <v>0</v>
      </c>
      <c r="I682" t="n">
        <v>0</v>
      </c>
      <c r="J682" t="n">
        <v>0</v>
      </c>
      <c r="K682" t="n">
        <v>0</v>
      </c>
      <c r="L682" t="n">
        <v>0</v>
      </c>
      <c r="M682" t="n">
        <v>0</v>
      </c>
      <c r="N682" t="n">
        <v>0</v>
      </c>
      <c r="O682" t="n">
        <v>0</v>
      </c>
      <c r="P682" t="n">
        <v>0</v>
      </c>
      <c r="Q682" t="n">
        <v>0</v>
      </c>
      <c r="R682" s="2" t="inlineStr"/>
    </row>
    <row r="683" ht="15" customHeight="1">
      <c r="A683" t="inlineStr">
        <is>
          <t>A 58802-2025</t>
        </is>
      </c>
      <c r="B683" s="1" t="n">
        <v>45986.8768287037</v>
      </c>
      <c r="C683" s="1" t="n">
        <v>46100</v>
      </c>
      <c r="D683" t="inlineStr">
        <is>
          <t>ÖSTERGÖTLANDS LÄN</t>
        </is>
      </c>
      <c r="E683" t="inlineStr">
        <is>
          <t>LINKÖPING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59576-2024</t>
        </is>
      </c>
      <c r="B684" s="1" t="n">
        <v>45638.66378472222</v>
      </c>
      <c r="C684" s="1" t="n">
        <v>46100</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59642-2024</t>
        </is>
      </c>
      <c r="B685" s="1" t="n">
        <v>45639.31511574074</v>
      </c>
      <c r="C685" s="1" t="n">
        <v>46100</v>
      </c>
      <c r="D685" t="inlineStr">
        <is>
          <t>ÖSTERGÖTLANDS LÄN</t>
        </is>
      </c>
      <c r="E685" t="inlineStr">
        <is>
          <t>LINKÖPING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55004-2025</t>
        </is>
      </c>
      <c r="B686" s="1" t="n">
        <v>45967</v>
      </c>
      <c r="C686" s="1" t="n">
        <v>46100</v>
      </c>
      <c r="D686" t="inlineStr">
        <is>
          <t>ÖSTERGÖTLANDS LÄN</t>
        </is>
      </c>
      <c r="E686" t="inlineStr">
        <is>
          <t>LINKÖPING</t>
        </is>
      </c>
      <c r="G686" t="n">
        <v>2.5</v>
      </c>
      <c r="H686" t="n">
        <v>0</v>
      </c>
      <c r="I686" t="n">
        <v>0</v>
      </c>
      <c r="J686" t="n">
        <v>0</v>
      </c>
      <c r="K686" t="n">
        <v>0</v>
      </c>
      <c r="L686" t="n">
        <v>0</v>
      </c>
      <c r="M686" t="n">
        <v>0</v>
      </c>
      <c r="N686" t="n">
        <v>0</v>
      </c>
      <c r="O686" t="n">
        <v>0</v>
      </c>
      <c r="P686" t="n">
        <v>0</v>
      </c>
      <c r="Q686" t="n">
        <v>0</v>
      </c>
      <c r="R686" s="2" t="inlineStr"/>
    </row>
    <row r="687" ht="15" customHeight="1">
      <c r="A687" t="inlineStr">
        <is>
          <t>A 59674-2024</t>
        </is>
      </c>
      <c r="B687" s="1" t="n">
        <v>45639</v>
      </c>
      <c r="C687" s="1" t="n">
        <v>46100</v>
      </c>
      <c r="D687" t="inlineStr">
        <is>
          <t>ÖSTERGÖTLANDS LÄN</t>
        </is>
      </c>
      <c r="E687" t="inlineStr">
        <is>
          <t>LINKÖPING</t>
        </is>
      </c>
      <c r="G687" t="n">
        <v>6.3</v>
      </c>
      <c r="H687" t="n">
        <v>0</v>
      </c>
      <c r="I687" t="n">
        <v>0</v>
      </c>
      <c r="J687" t="n">
        <v>0</v>
      </c>
      <c r="K687" t="n">
        <v>0</v>
      </c>
      <c r="L687" t="n">
        <v>0</v>
      </c>
      <c r="M687" t="n">
        <v>0</v>
      </c>
      <c r="N687" t="n">
        <v>0</v>
      </c>
      <c r="O687" t="n">
        <v>0</v>
      </c>
      <c r="P687" t="n">
        <v>0</v>
      </c>
      <c r="Q687" t="n">
        <v>0</v>
      </c>
      <c r="R687" s="2" t="inlineStr"/>
    </row>
    <row r="688" ht="15" customHeight="1">
      <c r="A688" t="inlineStr">
        <is>
          <t>A 50667-2025</t>
        </is>
      </c>
      <c r="B688" s="1" t="n">
        <v>45945</v>
      </c>
      <c r="C688" s="1" t="n">
        <v>46100</v>
      </c>
      <c r="D688" t="inlineStr">
        <is>
          <t>ÖSTERGÖTLANDS LÄN</t>
        </is>
      </c>
      <c r="E688" t="inlineStr">
        <is>
          <t>LINKÖPING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18916-2024</t>
        </is>
      </c>
      <c r="B689" s="1" t="n">
        <v>45427.39541666667</v>
      </c>
      <c r="C689" s="1" t="n">
        <v>46100</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59205-2025</t>
        </is>
      </c>
      <c r="B690" s="1" t="n">
        <v>45988.60721064815</v>
      </c>
      <c r="C690" s="1" t="n">
        <v>46100</v>
      </c>
      <c r="D690" t="inlineStr">
        <is>
          <t>ÖSTERGÖTLANDS LÄN</t>
        </is>
      </c>
      <c r="E690" t="inlineStr">
        <is>
          <t>LINKÖPING</t>
        </is>
      </c>
      <c r="F690" t="inlineStr">
        <is>
          <t>Sveaskog</t>
        </is>
      </c>
      <c r="G690" t="n">
        <v>11.3</v>
      </c>
      <c r="H690" t="n">
        <v>0</v>
      </c>
      <c r="I690" t="n">
        <v>0</v>
      </c>
      <c r="J690" t="n">
        <v>0</v>
      </c>
      <c r="K690" t="n">
        <v>0</v>
      </c>
      <c r="L690" t="n">
        <v>0</v>
      </c>
      <c r="M690" t="n">
        <v>0</v>
      </c>
      <c r="N690" t="n">
        <v>0</v>
      </c>
      <c r="O690" t="n">
        <v>0</v>
      </c>
      <c r="P690" t="n">
        <v>0</v>
      </c>
      <c r="Q690" t="n">
        <v>0</v>
      </c>
      <c r="R690" s="2" t="inlineStr"/>
    </row>
    <row r="691" ht="15" customHeight="1">
      <c r="A691" t="inlineStr">
        <is>
          <t>A 11084-2022</t>
        </is>
      </c>
      <c r="B691" s="1" t="n">
        <v>44628</v>
      </c>
      <c r="C691" s="1" t="n">
        <v>46100</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59472-2025</t>
        </is>
      </c>
      <c r="B692" s="1" t="n">
        <v>45989.58321759259</v>
      </c>
      <c r="C692" s="1" t="n">
        <v>46100</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25829-2025</t>
        </is>
      </c>
      <c r="B693" s="1" t="n">
        <v>45804.44505787037</v>
      </c>
      <c r="C693" s="1" t="n">
        <v>46100</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38046-2025</t>
        </is>
      </c>
      <c r="B694" s="1" t="n">
        <v>45882.39939814815</v>
      </c>
      <c r="C694" s="1" t="n">
        <v>46100</v>
      </c>
      <c r="D694" t="inlineStr">
        <is>
          <t>ÖSTERGÖTLANDS LÄN</t>
        </is>
      </c>
      <c r="E694" t="inlineStr">
        <is>
          <t>LINKÖPING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10203-2023</t>
        </is>
      </c>
      <c r="B695" s="1" t="n">
        <v>44986.55711805556</v>
      </c>
      <c r="C695" s="1" t="n">
        <v>46100</v>
      </c>
      <c r="D695" t="inlineStr">
        <is>
          <t>ÖSTERGÖTLANDS LÄN</t>
        </is>
      </c>
      <c r="E695" t="inlineStr">
        <is>
          <t>LINKÖPING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60087-2025</t>
        </is>
      </c>
      <c r="B696" s="1" t="n">
        <v>45993.71726851852</v>
      </c>
      <c r="C696" s="1" t="n">
        <v>46100</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2618-2023</t>
        </is>
      </c>
      <c r="B697" s="1" t="n">
        <v>44944.35847222222</v>
      </c>
      <c r="C697" s="1" t="n">
        <v>46100</v>
      </c>
      <c r="D697" t="inlineStr">
        <is>
          <t>ÖSTERGÖTLANDS LÄN</t>
        </is>
      </c>
      <c r="E697" t="inlineStr">
        <is>
          <t>LINKÖPING</t>
        </is>
      </c>
      <c r="G697" t="n">
        <v>4.3</v>
      </c>
      <c r="H697" t="n">
        <v>0</v>
      </c>
      <c r="I697" t="n">
        <v>0</v>
      </c>
      <c r="J697" t="n">
        <v>0</v>
      </c>
      <c r="K697" t="n">
        <v>0</v>
      </c>
      <c r="L697" t="n">
        <v>0</v>
      </c>
      <c r="M697" t="n">
        <v>0</v>
      </c>
      <c r="N697" t="n">
        <v>0</v>
      </c>
      <c r="O697" t="n">
        <v>0</v>
      </c>
      <c r="P697" t="n">
        <v>0</v>
      </c>
      <c r="Q697" t="n">
        <v>0</v>
      </c>
      <c r="R697" s="2" t="inlineStr"/>
    </row>
    <row r="698" ht="15" customHeight="1">
      <c r="A698" t="inlineStr">
        <is>
          <t>A 60306-2025</t>
        </is>
      </c>
      <c r="B698" s="1" t="n">
        <v>45994.68326388889</v>
      </c>
      <c r="C698" s="1" t="n">
        <v>46100</v>
      </c>
      <c r="D698" t="inlineStr">
        <is>
          <t>ÖSTERGÖTLANDS LÄN</t>
        </is>
      </c>
      <c r="E698" t="inlineStr">
        <is>
          <t>LINKÖPING</t>
        </is>
      </c>
      <c r="G698" t="n">
        <v>1.6</v>
      </c>
      <c r="H698" t="n">
        <v>0</v>
      </c>
      <c r="I698" t="n">
        <v>0</v>
      </c>
      <c r="J698" t="n">
        <v>0</v>
      </c>
      <c r="K698" t="n">
        <v>0</v>
      </c>
      <c r="L698" t="n">
        <v>0</v>
      </c>
      <c r="M698" t="n">
        <v>0</v>
      </c>
      <c r="N698" t="n">
        <v>0</v>
      </c>
      <c r="O698" t="n">
        <v>0</v>
      </c>
      <c r="P698" t="n">
        <v>0</v>
      </c>
      <c r="Q698" t="n">
        <v>0</v>
      </c>
      <c r="R698" s="2" t="inlineStr"/>
    </row>
    <row r="699" ht="15" customHeight="1">
      <c r="A699" t="inlineStr">
        <is>
          <t>A 60284-2025</t>
        </is>
      </c>
      <c r="B699" s="1" t="n">
        <v>45994.64373842593</v>
      </c>
      <c r="C699" s="1" t="n">
        <v>46100</v>
      </c>
      <c r="D699" t="inlineStr">
        <is>
          <t>ÖSTERGÖTLANDS LÄN</t>
        </is>
      </c>
      <c r="E699" t="inlineStr">
        <is>
          <t>LINKÖPING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62020-2024</t>
        </is>
      </c>
      <c r="B700" s="1" t="n">
        <v>45655.83563657408</v>
      </c>
      <c r="C700" s="1" t="n">
        <v>46100</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62021-2024</t>
        </is>
      </c>
      <c r="B701" s="1" t="n">
        <v>45655.84232638889</v>
      </c>
      <c r="C701" s="1" t="n">
        <v>46100</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60703-2025</t>
        </is>
      </c>
      <c r="B702" s="1" t="n">
        <v>45996.6052662037</v>
      </c>
      <c r="C702" s="1" t="n">
        <v>46100</v>
      </c>
      <c r="D702" t="inlineStr">
        <is>
          <t>ÖSTERGÖTLANDS LÄN</t>
        </is>
      </c>
      <c r="E702" t="inlineStr">
        <is>
          <t>LINKÖPING</t>
        </is>
      </c>
      <c r="F702" t="inlineStr">
        <is>
          <t>Övriga Aktiebolag</t>
        </is>
      </c>
      <c r="G702" t="n">
        <v>1.3</v>
      </c>
      <c r="H702" t="n">
        <v>0</v>
      </c>
      <c r="I702" t="n">
        <v>0</v>
      </c>
      <c r="J702" t="n">
        <v>0</v>
      </c>
      <c r="K702" t="n">
        <v>0</v>
      </c>
      <c r="L702" t="n">
        <v>0</v>
      </c>
      <c r="M702" t="n">
        <v>0</v>
      </c>
      <c r="N702" t="n">
        <v>0</v>
      </c>
      <c r="O702" t="n">
        <v>0</v>
      </c>
      <c r="P702" t="n">
        <v>0</v>
      </c>
      <c r="Q702" t="n">
        <v>0</v>
      </c>
      <c r="R702" s="2" t="inlineStr"/>
    </row>
    <row r="703" ht="15" customHeight="1">
      <c r="A703" t="inlineStr">
        <is>
          <t>A 60866-2025</t>
        </is>
      </c>
      <c r="B703" s="1" t="n">
        <v>45999</v>
      </c>
      <c r="C703" s="1" t="n">
        <v>46100</v>
      </c>
      <c r="D703" t="inlineStr">
        <is>
          <t>ÖSTERGÖTLANDS LÄN</t>
        </is>
      </c>
      <c r="E703" t="inlineStr">
        <is>
          <t>LINKÖPING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61230-2025</t>
        </is>
      </c>
      <c r="B704" s="1" t="n">
        <v>46000.63111111111</v>
      </c>
      <c r="C704" s="1" t="n">
        <v>46100</v>
      </c>
      <c r="D704" t="inlineStr">
        <is>
          <t>ÖSTERGÖTLANDS LÄN</t>
        </is>
      </c>
      <c r="E704" t="inlineStr">
        <is>
          <t>LINKÖPING</t>
        </is>
      </c>
      <c r="F704" t="inlineStr">
        <is>
          <t>Kyrkan</t>
        </is>
      </c>
      <c r="G704" t="n">
        <v>2.1</v>
      </c>
      <c r="H704" t="n">
        <v>0</v>
      </c>
      <c r="I704" t="n">
        <v>0</v>
      </c>
      <c r="J704" t="n">
        <v>0</v>
      </c>
      <c r="K704" t="n">
        <v>0</v>
      </c>
      <c r="L704" t="n">
        <v>0</v>
      </c>
      <c r="M704" t="n">
        <v>0</v>
      </c>
      <c r="N704" t="n">
        <v>0</v>
      </c>
      <c r="O704" t="n">
        <v>0</v>
      </c>
      <c r="P704" t="n">
        <v>0</v>
      </c>
      <c r="Q704" t="n">
        <v>0</v>
      </c>
      <c r="R704" s="2" t="inlineStr"/>
    </row>
    <row r="705" ht="15" customHeight="1">
      <c r="A705" t="inlineStr">
        <is>
          <t>A 1362-2023</t>
        </is>
      </c>
      <c r="B705" s="1" t="n">
        <v>44931</v>
      </c>
      <c r="C705" s="1" t="n">
        <v>46100</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61447-2025</t>
        </is>
      </c>
      <c r="B706" s="1" t="n">
        <v>46001.57554398148</v>
      </c>
      <c r="C706" s="1" t="n">
        <v>46100</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49928-2024</t>
        </is>
      </c>
      <c r="B707" s="1" t="n">
        <v>45597.57811342592</v>
      </c>
      <c r="C707" s="1" t="n">
        <v>46100</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3627-2023</t>
        </is>
      </c>
      <c r="B708" s="1" t="n">
        <v>44950.64782407408</v>
      </c>
      <c r="C708" s="1" t="n">
        <v>46100</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61899-2025</t>
        </is>
      </c>
      <c r="B709" s="1" t="n">
        <v>46003.46635416667</v>
      </c>
      <c r="C709" s="1" t="n">
        <v>46100</v>
      </c>
      <c r="D709" t="inlineStr">
        <is>
          <t>ÖSTERGÖTLANDS LÄN</t>
        </is>
      </c>
      <c r="E709" t="inlineStr">
        <is>
          <t>LINKÖPING</t>
        </is>
      </c>
      <c r="G709" t="n">
        <v>2.4</v>
      </c>
      <c r="H709" t="n">
        <v>0</v>
      </c>
      <c r="I709" t="n">
        <v>0</v>
      </c>
      <c r="J709" t="n">
        <v>0</v>
      </c>
      <c r="K709" t="n">
        <v>0</v>
      </c>
      <c r="L709" t="n">
        <v>0</v>
      </c>
      <c r="M709" t="n">
        <v>0</v>
      </c>
      <c r="N709" t="n">
        <v>0</v>
      </c>
      <c r="O709" t="n">
        <v>0</v>
      </c>
      <c r="P709" t="n">
        <v>0</v>
      </c>
      <c r="Q709" t="n">
        <v>0</v>
      </c>
      <c r="R709" s="2" t="inlineStr"/>
    </row>
    <row r="710" ht="15" customHeight="1">
      <c r="A710" t="inlineStr">
        <is>
          <t>A 51405-2023</t>
        </is>
      </c>
      <c r="B710" s="1" t="n">
        <v>45219</v>
      </c>
      <c r="C710" s="1" t="n">
        <v>46100</v>
      </c>
      <c r="D710" t="inlineStr">
        <is>
          <t>ÖSTERGÖTLANDS LÄN</t>
        </is>
      </c>
      <c r="E710" t="inlineStr">
        <is>
          <t>LINKÖPING</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11601-2023</t>
        </is>
      </c>
      <c r="B711" s="1" t="n">
        <v>44994</v>
      </c>
      <c r="C711" s="1" t="n">
        <v>46100</v>
      </c>
      <c r="D711" t="inlineStr">
        <is>
          <t>ÖSTERGÖTLANDS LÄN</t>
        </is>
      </c>
      <c r="E711" t="inlineStr">
        <is>
          <t>LINKÖPING</t>
        </is>
      </c>
      <c r="G711" t="n">
        <v>1.7</v>
      </c>
      <c r="H711" t="n">
        <v>0</v>
      </c>
      <c r="I711" t="n">
        <v>0</v>
      </c>
      <c r="J711" t="n">
        <v>0</v>
      </c>
      <c r="K711" t="n">
        <v>0</v>
      </c>
      <c r="L711" t="n">
        <v>0</v>
      </c>
      <c r="M711" t="n">
        <v>0</v>
      </c>
      <c r="N711" t="n">
        <v>0</v>
      </c>
      <c r="O711" t="n">
        <v>0</v>
      </c>
      <c r="P711" t="n">
        <v>0</v>
      </c>
      <c r="Q711" t="n">
        <v>0</v>
      </c>
      <c r="R711" s="2" t="inlineStr"/>
    </row>
    <row r="712" ht="15" customHeight="1">
      <c r="A712" t="inlineStr">
        <is>
          <t>A 61643-2025</t>
        </is>
      </c>
      <c r="B712" s="1" t="n">
        <v>46002.43575231481</v>
      </c>
      <c r="C712" s="1" t="n">
        <v>46100</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61645-2025</t>
        </is>
      </c>
      <c r="B713" s="1" t="n">
        <v>46002.43697916667</v>
      </c>
      <c r="C713" s="1" t="n">
        <v>46100</v>
      </c>
      <c r="D713" t="inlineStr">
        <is>
          <t>ÖSTERGÖTLANDS LÄN</t>
        </is>
      </c>
      <c r="E713" t="inlineStr">
        <is>
          <t>LINKÖPING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62515-2025</t>
        </is>
      </c>
      <c r="B714" s="1" t="n">
        <v>46007.60548611111</v>
      </c>
      <c r="C714" s="1" t="n">
        <v>46100</v>
      </c>
      <c r="D714" t="inlineStr">
        <is>
          <t>ÖSTERGÖTLANDS LÄN</t>
        </is>
      </c>
      <c r="E714" t="inlineStr">
        <is>
          <t>LINKÖPING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62791-2025</t>
        </is>
      </c>
      <c r="B715" s="1" t="n">
        <v>46008.63266203704</v>
      </c>
      <c r="C715" s="1" t="n">
        <v>46100</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62686-2025</t>
        </is>
      </c>
      <c r="B716" s="1" t="n">
        <v>46008.46769675926</v>
      </c>
      <c r="C716" s="1" t="n">
        <v>46100</v>
      </c>
      <c r="D716" t="inlineStr">
        <is>
          <t>ÖSTERGÖTLANDS LÄN</t>
        </is>
      </c>
      <c r="E716" t="inlineStr">
        <is>
          <t>LINKÖPING</t>
        </is>
      </c>
      <c r="G716" t="n">
        <v>7.6</v>
      </c>
      <c r="H716" t="n">
        <v>0</v>
      </c>
      <c r="I716" t="n">
        <v>0</v>
      </c>
      <c r="J716" t="n">
        <v>0</v>
      </c>
      <c r="K716" t="n">
        <v>0</v>
      </c>
      <c r="L716" t="n">
        <v>0</v>
      </c>
      <c r="M716" t="n">
        <v>0</v>
      </c>
      <c r="N716" t="n">
        <v>0</v>
      </c>
      <c r="O716" t="n">
        <v>0</v>
      </c>
      <c r="P716" t="n">
        <v>0</v>
      </c>
      <c r="Q716" t="n">
        <v>0</v>
      </c>
      <c r="R716" s="2" t="inlineStr"/>
    </row>
    <row r="717" ht="15" customHeight="1">
      <c r="A717" t="inlineStr">
        <is>
          <t>A 63147-2025</t>
        </is>
      </c>
      <c r="B717" s="1" t="n">
        <v>46010.35003472222</v>
      </c>
      <c r="C717" s="1" t="n">
        <v>46100</v>
      </c>
      <c r="D717" t="inlineStr">
        <is>
          <t>ÖSTERGÖTLANDS LÄN</t>
        </is>
      </c>
      <c r="E717" t="inlineStr">
        <is>
          <t>LINKÖPING</t>
        </is>
      </c>
      <c r="G717" t="n">
        <v>4</v>
      </c>
      <c r="H717" t="n">
        <v>0</v>
      </c>
      <c r="I717" t="n">
        <v>0</v>
      </c>
      <c r="J717" t="n">
        <v>0</v>
      </c>
      <c r="K717" t="n">
        <v>0</v>
      </c>
      <c r="L717" t="n">
        <v>0</v>
      </c>
      <c r="M717" t="n">
        <v>0</v>
      </c>
      <c r="N717" t="n">
        <v>0</v>
      </c>
      <c r="O717" t="n">
        <v>0</v>
      </c>
      <c r="P717" t="n">
        <v>0</v>
      </c>
      <c r="Q717" t="n">
        <v>0</v>
      </c>
      <c r="R717" s="2" t="inlineStr"/>
    </row>
    <row r="718" ht="15" customHeight="1">
      <c r="A718" t="inlineStr">
        <is>
          <t>A 63144-2025</t>
        </is>
      </c>
      <c r="B718" s="1" t="n">
        <v>46010.34716435185</v>
      </c>
      <c r="C718" s="1" t="n">
        <v>46100</v>
      </c>
      <c r="D718" t="inlineStr">
        <is>
          <t>ÖSTERGÖTLANDS LÄN</t>
        </is>
      </c>
      <c r="E718" t="inlineStr">
        <is>
          <t>LINKÖPING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1223-2026</t>
        </is>
      </c>
      <c r="B719" s="1" t="n">
        <v>46031.40233796297</v>
      </c>
      <c r="C719" s="1" t="n">
        <v>46100</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858-2026</t>
        </is>
      </c>
      <c r="B720" s="1" t="n">
        <v>46030.41200231481</v>
      </c>
      <c r="C720" s="1" t="n">
        <v>46100</v>
      </c>
      <c r="D720" t="inlineStr">
        <is>
          <t>ÖSTERGÖTLANDS LÄN</t>
        </is>
      </c>
      <c r="E720" t="inlineStr">
        <is>
          <t>LINKÖPING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873-2026</t>
        </is>
      </c>
      <c r="B721" s="1" t="n">
        <v>46030.43818287037</v>
      </c>
      <c r="C721" s="1" t="n">
        <v>46100</v>
      </c>
      <c r="D721" t="inlineStr">
        <is>
          <t>ÖSTERGÖTLANDS LÄN</t>
        </is>
      </c>
      <c r="E721" t="inlineStr">
        <is>
          <t>LINKÖPING</t>
        </is>
      </c>
      <c r="G721" t="n">
        <v>4.1</v>
      </c>
      <c r="H721" t="n">
        <v>0</v>
      </c>
      <c r="I721" t="n">
        <v>0</v>
      </c>
      <c r="J721" t="n">
        <v>0</v>
      </c>
      <c r="K721" t="n">
        <v>0</v>
      </c>
      <c r="L721" t="n">
        <v>0</v>
      </c>
      <c r="M721" t="n">
        <v>0</v>
      </c>
      <c r="N721" t="n">
        <v>0</v>
      </c>
      <c r="O721" t="n">
        <v>0</v>
      </c>
      <c r="P721" t="n">
        <v>0</v>
      </c>
      <c r="Q721" t="n">
        <v>0</v>
      </c>
      <c r="R721" s="2" t="inlineStr"/>
    </row>
    <row r="722" ht="15" customHeight="1">
      <c r="A722" t="inlineStr">
        <is>
          <t>A 856-2026</t>
        </is>
      </c>
      <c r="B722" s="1" t="n">
        <v>46030.40644675926</v>
      </c>
      <c r="C722" s="1" t="n">
        <v>46100</v>
      </c>
      <c r="D722" t="inlineStr">
        <is>
          <t>ÖSTERGÖTLANDS LÄN</t>
        </is>
      </c>
      <c r="E722" t="inlineStr">
        <is>
          <t>LINKÖPING</t>
        </is>
      </c>
      <c r="G722" t="n">
        <v>6.4</v>
      </c>
      <c r="H722" t="n">
        <v>0</v>
      </c>
      <c r="I722" t="n">
        <v>0</v>
      </c>
      <c r="J722" t="n">
        <v>0</v>
      </c>
      <c r="K722" t="n">
        <v>0</v>
      </c>
      <c r="L722" t="n">
        <v>0</v>
      </c>
      <c r="M722" t="n">
        <v>0</v>
      </c>
      <c r="N722" t="n">
        <v>0</v>
      </c>
      <c r="O722" t="n">
        <v>0</v>
      </c>
      <c r="P722" t="n">
        <v>0</v>
      </c>
      <c r="Q722" t="n">
        <v>0</v>
      </c>
      <c r="R722" s="2" t="inlineStr"/>
    </row>
    <row r="723" ht="15" customHeight="1">
      <c r="A723" t="inlineStr">
        <is>
          <t>A 860-2026</t>
        </is>
      </c>
      <c r="B723" s="1" t="n">
        <v>46030.41974537037</v>
      </c>
      <c r="C723" s="1" t="n">
        <v>46100</v>
      </c>
      <c r="D723" t="inlineStr">
        <is>
          <t>ÖSTERGÖTLANDS LÄN</t>
        </is>
      </c>
      <c r="E723" t="inlineStr">
        <is>
          <t>LINKÖPING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940-2026</t>
        </is>
      </c>
      <c r="B724" s="1" t="n">
        <v>46030.53052083333</v>
      </c>
      <c r="C724" s="1" t="n">
        <v>46100</v>
      </c>
      <c r="D724" t="inlineStr">
        <is>
          <t>ÖSTERGÖTLANDS LÄN</t>
        </is>
      </c>
      <c r="E724" t="inlineStr">
        <is>
          <t>LINKÖPING</t>
        </is>
      </c>
      <c r="F724" t="inlineStr">
        <is>
          <t>Allmännings- och besparingsskogar</t>
        </is>
      </c>
      <c r="G724" t="n">
        <v>2.9</v>
      </c>
      <c r="H724" t="n">
        <v>0</v>
      </c>
      <c r="I724" t="n">
        <v>0</v>
      </c>
      <c r="J724" t="n">
        <v>0</v>
      </c>
      <c r="K724" t="n">
        <v>0</v>
      </c>
      <c r="L724" t="n">
        <v>0</v>
      </c>
      <c r="M724" t="n">
        <v>0</v>
      </c>
      <c r="N724" t="n">
        <v>0</v>
      </c>
      <c r="O724" t="n">
        <v>0</v>
      </c>
      <c r="P724" t="n">
        <v>0</v>
      </c>
      <c r="Q724" t="n">
        <v>0</v>
      </c>
      <c r="R724" s="2" t="inlineStr"/>
    </row>
    <row r="725" ht="15" customHeight="1">
      <c r="A725" t="inlineStr">
        <is>
          <t>A 944-2026</t>
        </is>
      </c>
      <c r="B725" s="1" t="n">
        <v>46030.53461805556</v>
      </c>
      <c r="C725" s="1" t="n">
        <v>46100</v>
      </c>
      <c r="D725" t="inlineStr">
        <is>
          <t>ÖSTERGÖTLANDS LÄN</t>
        </is>
      </c>
      <c r="E725" t="inlineStr">
        <is>
          <t>LINKÖPING</t>
        </is>
      </c>
      <c r="F725" t="inlineStr">
        <is>
          <t>Allmännings- och besparingsskogar</t>
        </is>
      </c>
      <c r="G725" t="n">
        <v>0.9</v>
      </c>
      <c r="H725" t="n">
        <v>0</v>
      </c>
      <c r="I725" t="n">
        <v>0</v>
      </c>
      <c r="J725" t="n">
        <v>0</v>
      </c>
      <c r="K725" t="n">
        <v>0</v>
      </c>
      <c r="L725" t="n">
        <v>0</v>
      </c>
      <c r="M725" t="n">
        <v>0</v>
      </c>
      <c r="N725" t="n">
        <v>0</v>
      </c>
      <c r="O725" t="n">
        <v>0</v>
      </c>
      <c r="P725" t="n">
        <v>0</v>
      </c>
      <c r="Q725" t="n">
        <v>0</v>
      </c>
      <c r="R725" s="2" t="inlineStr"/>
    </row>
    <row r="726" ht="15" customHeight="1">
      <c r="A726" t="inlineStr">
        <is>
          <t>A 927-2026</t>
        </is>
      </c>
      <c r="B726" s="1" t="n">
        <v>46030.50560185185</v>
      </c>
      <c r="C726" s="1" t="n">
        <v>46100</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859-2026</t>
        </is>
      </c>
      <c r="B727" s="1" t="n">
        <v>46030.41450231482</v>
      </c>
      <c r="C727" s="1" t="n">
        <v>46100</v>
      </c>
      <c r="D727" t="inlineStr">
        <is>
          <t>ÖSTERGÖTLANDS LÄN</t>
        </is>
      </c>
      <c r="E727" t="inlineStr">
        <is>
          <t>LINKÖPING</t>
        </is>
      </c>
      <c r="G727" t="n">
        <v>0.2</v>
      </c>
      <c r="H727" t="n">
        <v>0</v>
      </c>
      <c r="I727" t="n">
        <v>0</v>
      </c>
      <c r="J727" t="n">
        <v>0</v>
      </c>
      <c r="K727" t="n">
        <v>0</v>
      </c>
      <c r="L727" t="n">
        <v>0</v>
      </c>
      <c r="M727" t="n">
        <v>0</v>
      </c>
      <c r="N727" t="n">
        <v>0</v>
      </c>
      <c r="O727" t="n">
        <v>0</v>
      </c>
      <c r="P727" t="n">
        <v>0</v>
      </c>
      <c r="Q727" t="n">
        <v>0</v>
      </c>
      <c r="R727" s="2" t="inlineStr"/>
    </row>
    <row r="728" ht="15" customHeight="1">
      <c r="A728" t="inlineStr">
        <is>
          <t>A 2030-2026</t>
        </is>
      </c>
      <c r="B728" s="1" t="n">
        <v>46035.73590277778</v>
      </c>
      <c r="C728" s="1" t="n">
        <v>46100</v>
      </c>
      <c r="D728" t="inlineStr">
        <is>
          <t>ÖSTERGÖTLANDS LÄN</t>
        </is>
      </c>
      <c r="E728" t="inlineStr">
        <is>
          <t>LINKÖPING</t>
        </is>
      </c>
      <c r="G728" t="n">
        <v>1.4</v>
      </c>
      <c r="H728" t="n">
        <v>0</v>
      </c>
      <c r="I728" t="n">
        <v>0</v>
      </c>
      <c r="J728" t="n">
        <v>0</v>
      </c>
      <c r="K728" t="n">
        <v>0</v>
      </c>
      <c r="L728" t="n">
        <v>0</v>
      </c>
      <c r="M728" t="n">
        <v>0</v>
      </c>
      <c r="N728" t="n">
        <v>0</v>
      </c>
      <c r="O728" t="n">
        <v>0</v>
      </c>
      <c r="P728" t="n">
        <v>0</v>
      </c>
      <c r="Q728" t="n">
        <v>0</v>
      </c>
      <c r="R728" s="2" t="inlineStr"/>
    </row>
    <row r="729" ht="15" customHeight="1">
      <c r="A729" t="inlineStr">
        <is>
          <t>A 10479-2026</t>
        </is>
      </c>
      <c r="B729" s="1" t="n">
        <v>46077.49231481482</v>
      </c>
      <c r="C729" s="1" t="n">
        <v>46100</v>
      </c>
      <c r="D729" t="inlineStr">
        <is>
          <t>ÖSTERGÖTLANDS LÄN</t>
        </is>
      </c>
      <c r="E729" t="inlineStr">
        <is>
          <t>LINKÖPING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2031-2026</t>
        </is>
      </c>
      <c r="B730" s="1" t="n">
        <v>46035.74182870371</v>
      </c>
      <c r="C730" s="1" t="n">
        <v>46100</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11033-2026</t>
        </is>
      </c>
      <c r="B731" s="1" t="n">
        <v>46079.57361111111</v>
      </c>
      <c r="C731" s="1" t="n">
        <v>46100</v>
      </c>
      <c r="D731" t="inlineStr">
        <is>
          <t>ÖSTERGÖTLANDS LÄN</t>
        </is>
      </c>
      <c r="E731" t="inlineStr">
        <is>
          <t>LINKÖPING</t>
        </is>
      </c>
      <c r="G731" t="n">
        <v>7.9</v>
      </c>
      <c r="H731" t="n">
        <v>0</v>
      </c>
      <c r="I731" t="n">
        <v>0</v>
      </c>
      <c r="J731" t="n">
        <v>0</v>
      </c>
      <c r="K731" t="n">
        <v>0</v>
      </c>
      <c r="L731" t="n">
        <v>0</v>
      </c>
      <c r="M731" t="n">
        <v>0</v>
      </c>
      <c r="N731" t="n">
        <v>0</v>
      </c>
      <c r="O731" t="n">
        <v>0</v>
      </c>
      <c r="P731" t="n">
        <v>0</v>
      </c>
      <c r="Q731" t="n">
        <v>0</v>
      </c>
      <c r="R731" s="2" t="inlineStr"/>
    </row>
    <row r="732" ht="15" customHeight="1">
      <c r="A732" t="inlineStr">
        <is>
          <t>A 10756-2026</t>
        </is>
      </c>
      <c r="B732" s="1" t="n">
        <v>46078.55412037037</v>
      </c>
      <c r="C732" s="1" t="n">
        <v>46100</v>
      </c>
      <c r="D732" t="inlineStr">
        <is>
          <t>ÖSTERGÖTLANDS LÄN</t>
        </is>
      </c>
      <c r="E732" t="inlineStr">
        <is>
          <t>LINKÖPING</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11057-2026</t>
        </is>
      </c>
      <c r="B733" s="1" t="n">
        <v>46079.59515046296</v>
      </c>
      <c r="C733" s="1" t="n">
        <v>46100</v>
      </c>
      <c r="D733" t="inlineStr">
        <is>
          <t>ÖSTERGÖTLANDS LÄN</t>
        </is>
      </c>
      <c r="E733" t="inlineStr">
        <is>
          <t>LINKÖPING</t>
        </is>
      </c>
      <c r="G733" t="n">
        <v>2.9</v>
      </c>
      <c r="H733" t="n">
        <v>0</v>
      </c>
      <c r="I733" t="n">
        <v>0</v>
      </c>
      <c r="J733" t="n">
        <v>0</v>
      </c>
      <c r="K733" t="n">
        <v>0</v>
      </c>
      <c r="L733" t="n">
        <v>0</v>
      </c>
      <c r="M733" t="n">
        <v>0</v>
      </c>
      <c r="N733" t="n">
        <v>0</v>
      </c>
      <c r="O733" t="n">
        <v>0</v>
      </c>
      <c r="P733" t="n">
        <v>0</v>
      </c>
      <c r="Q733" t="n">
        <v>0</v>
      </c>
      <c r="R733" s="2" t="inlineStr"/>
    </row>
    <row r="734" ht="15" customHeight="1">
      <c r="A734" t="inlineStr">
        <is>
          <t>A 11036-2026</t>
        </is>
      </c>
      <c r="B734" s="1" t="n">
        <v>46079.57836805555</v>
      </c>
      <c r="C734" s="1" t="n">
        <v>46100</v>
      </c>
      <c r="D734" t="inlineStr">
        <is>
          <t>ÖSTERGÖTLANDS LÄN</t>
        </is>
      </c>
      <c r="E734" t="inlineStr">
        <is>
          <t>LINKÖPING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3045-2026</t>
        </is>
      </c>
      <c r="B735" s="1" t="n">
        <v>46038.74047453704</v>
      </c>
      <c r="C735" s="1" t="n">
        <v>46100</v>
      </c>
      <c r="D735" t="inlineStr">
        <is>
          <t>ÖSTERGÖTLANDS LÄN</t>
        </is>
      </c>
      <c r="E735" t="inlineStr">
        <is>
          <t>LINKÖPING</t>
        </is>
      </c>
      <c r="G735" t="n">
        <v>2</v>
      </c>
      <c r="H735" t="n">
        <v>0</v>
      </c>
      <c r="I735" t="n">
        <v>0</v>
      </c>
      <c r="J735" t="n">
        <v>0</v>
      </c>
      <c r="K735" t="n">
        <v>0</v>
      </c>
      <c r="L735" t="n">
        <v>0</v>
      </c>
      <c r="M735" t="n">
        <v>0</v>
      </c>
      <c r="N735" t="n">
        <v>0</v>
      </c>
      <c r="O735" t="n">
        <v>0</v>
      </c>
      <c r="P735" t="n">
        <v>0</v>
      </c>
      <c r="Q735" t="n">
        <v>0</v>
      </c>
      <c r="R735" s="2" t="inlineStr"/>
    </row>
    <row r="736" ht="15" customHeight="1">
      <c r="A736" t="inlineStr">
        <is>
          <t>A 11169-2026</t>
        </is>
      </c>
      <c r="B736" s="1" t="n">
        <v>46080.37020833333</v>
      </c>
      <c r="C736" s="1" t="n">
        <v>46100</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3043-2026</t>
        </is>
      </c>
      <c r="B737" s="1" t="n">
        <v>46038.73675925926</v>
      </c>
      <c r="C737" s="1" t="n">
        <v>46100</v>
      </c>
      <c r="D737" t="inlineStr">
        <is>
          <t>ÖSTERGÖTLANDS LÄN</t>
        </is>
      </c>
      <c r="E737" t="inlineStr">
        <is>
          <t>LINKÖPING</t>
        </is>
      </c>
      <c r="G737" t="n">
        <v>2.5</v>
      </c>
      <c r="H737" t="n">
        <v>0</v>
      </c>
      <c r="I737" t="n">
        <v>0</v>
      </c>
      <c r="J737" t="n">
        <v>0</v>
      </c>
      <c r="K737" t="n">
        <v>0</v>
      </c>
      <c r="L737" t="n">
        <v>0</v>
      </c>
      <c r="M737" t="n">
        <v>0</v>
      </c>
      <c r="N737" t="n">
        <v>0</v>
      </c>
      <c r="O737" t="n">
        <v>0</v>
      </c>
      <c r="P737" t="n">
        <v>0</v>
      </c>
      <c r="Q737" t="n">
        <v>0</v>
      </c>
      <c r="R737" s="2" t="inlineStr"/>
    </row>
    <row r="738" ht="15" customHeight="1">
      <c r="A738" t="inlineStr">
        <is>
          <t>A 3044-2026</t>
        </is>
      </c>
      <c r="B738" s="1" t="n">
        <v>46038.73855324074</v>
      </c>
      <c r="C738" s="1" t="n">
        <v>46100</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10764-2026</t>
        </is>
      </c>
      <c r="B739" s="1" t="n">
        <v>46078</v>
      </c>
      <c r="C739" s="1" t="n">
        <v>46100</v>
      </c>
      <c r="D739" t="inlineStr">
        <is>
          <t>ÖSTERGÖTLANDS LÄN</t>
        </is>
      </c>
      <c r="E739" t="inlineStr">
        <is>
          <t>LINKÖPING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3046-2026</t>
        </is>
      </c>
      <c r="B740" s="1" t="n">
        <v>46038.74182870371</v>
      </c>
      <c r="C740" s="1" t="n">
        <v>46100</v>
      </c>
      <c r="D740" t="inlineStr">
        <is>
          <t>ÖSTERGÖTLANDS LÄN</t>
        </is>
      </c>
      <c r="E740" t="inlineStr">
        <is>
          <t>LINKÖPING</t>
        </is>
      </c>
      <c r="G740" t="n">
        <v>1.9</v>
      </c>
      <c r="H740" t="n">
        <v>0</v>
      </c>
      <c r="I740" t="n">
        <v>0</v>
      </c>
      <c r="J740" t="n">
        <v>0</v>
      </c>
      <c r="K740" t="n">
        <v>0</v>
      </c>
      <c r="L740" t="n">
        <v>0</v>
      </c>
      <c r="M740" t="n">
        <v>0</v>
      </c>
      <c r="N740" t="n">
        <v>0</v>
      </c>
      <c r="O740" t="n">
        <v>0</v>
      </c>
      <c r="P740" t="n">
        <v>0</v>
      </c>
      <c r="Q740" t="n">
        <v>0</v>
      </c>
      <c r="R740" s="2" t="inlineStr"/>
    </row>
    <row r="741" ht="15" customHeight="1">
      <c r="A741" t="inlineStr">
        <is>
          <t>A 11888-2026</t>
        </is>
      </c>
      <c r="B741" s="1" t="n">
        <v>46085.51813657407</v>
      </c>
      <c r="C741" s="1" t="n">
        <v>46100</v>
      </c>
      <c r="D741" t="inlineStr">
        <is>
          <t>ÖSTERGÖTLANDS LÄN</t>
        </is>
      </c>
      <c r="E741" t="inlineStr">
        <is>
          <t>LINKÖPING</t>
        </is>
      </c>
      <c r="G741" t="n">
        <v>3.6</v>
      </c>
      <c r="H741" t="n">
        <v>0</v>
      </c>
      <c r="I741" t="n">
        <v>0</v>
      </c>
      <c r="J741" t="n">
        <v>0</v>
      </c>
      <c r="K741" t="n">
        <v>0</v>
      </c>
      <c r="L741" t="n">
        <v>0</v>
      </c>
      <c r="M741" t="n">
        <v>0</v>
      </c>
      <c r="N741" t="n">
        <v>0</v>
      </c>
      <c r="O741" t="n">
        <v>0</v>
      </c>
      <c r="P741" t="n">
        <v>0</v>
      </c>
      <c r="Q741" t="n">
        <v>0</v>
      </c>
      <c r="R741" s="2" t="inlineStr"/>
    </row>
    <row r="742" ht="15" customHeight="1">
      <c r="A742" t="inlineStr">
        <is>
          <t>A 11891-2026</t>
        </is>
      </c>
      <c r="B742" s="1" t="n">
        <v>46085.5197800926</v>
      </c>
      <c r="C742" s="1" t="n">
        <v>46100</v>
      </c>
      <c r="D742" t="inlineStr">
        <is>
          <t>ÖSTERGÖTLANDS LÄN</t>
        </is>
      </c>
      <c r="E742" t="inlineStr">
        <is>
          <t>LINKÖPING</t>
        </is>
      </c>
      <c r="G742" t="n">
        <v>2.8</v>
      </c>
      <c r="H742" t="n">
        <v>0</v>
      </c>
      <c r="I742" t="n">
        <v>0</v>
      </c>
      <c r="J742" t="n">
        <v>0</v>
      </c>
      <c r="K742" t="n">
        <v>0</v>
      </c>
      <c r="L742" t="n">
        <v>0</v>
      </c>
      <c r="M742" t="n">
        <v>0</v>
      </c>
      <c r="N742" t="n">
        <v>0</v>
      </c>
      <c r="O742" t="n">
        <v>0</v>
      </c>
      <c r="P742" t="n">
        <v>0</v>
      </c>
      <c r="Q742" t="n">
        <v>0</v>
      </c>
      <c r="R742" s="2" t="inlineStr"/>
    </row>
    <row r="743" ht="15" customHeight="1">
      <c r="A743" t="inlineStr">
        <is>
          <t>A 12251-2026</t>
        </is>
      </c>
      <c r="B743" s="1" t="n">
        <v>46087.45278935185</v>
      </c>
      <c r="C743" s="1" t="n">
        <v>46100</v>
      </c>
      <c r="D743" t="inlineStr">
        <is>
          <t>ÖSTERGÖTLANDS LÄN</t>
        </is>
      </c>
      <c r="E743" t="inlineStr">
        <is>
          <t>LINKÖPING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12254-2026</t>
        </is>
      </c>
      <c r="B744" s="1" t="n">
        <v>46087.46196759259</v>
      </c>
      <c r="C744" s="1" t="n">
        <v>46100</v>
      </c>
      <c r="D744" t="inlineStr">
        <is>
          <t>ÖSTERGÖTLANDS LÄN</t>
        </is>
      </c>
      <c r="E744" t="inlineStr">
        <is>
          <t>LINKÖPING</t>
        </is>
      </c>
      <c r="G744" t="n">
        <v>10.4</v>
      </c>
      <c r="H744" t="n">
        <v>0</v>
      </c>
      <c r="I744" t="n">
        <v>0</v>
      </c>
      <c r="J744" t="n">
        <v>0</v>
      </c>
      <c r="K744" t="n">
        <v>0</v>
      </c>
      <c r="L744" t="n">
        <v>0</v>
      </c>
      <c r="M744" t="n">
        <v>0</v>
      </c>
      <c r="N744" t="n">
        <v>0</v>
      </c>
      <c r="O744" t="n">
        <v>0</v>
      </c>
      <c r="P744" t="n">
        <v>0</v>
      </c>
      <c r="Q744" t="n">
        <v>0</v>
      </c>
      <c r="R744" s="2" t="inlineStr"/>
    </row>
    <row r="745" ht="15" customHeight="1">
      <c r="A745" t="inlineStr">
        <is>
          <t>A 4469-2026</t>
        </is>
      </c>
      <c r="B745" s="1" t="n">
        <v>46045.65662037037</v>
      </c>
      <c r="C745" s="1" t="n">
        <v>46100</v>
      </c>
      <c r="D745" t="inlineStr">
        <is>
          <t>ÖSTERGÖTLANDS LÄN</t>
        </is>
      </c>
      <c r="E745" t="inlineStr">
        <is>
          <t>LINKÖPING</t>
        </is>
      </c>
      <c r="F745" t="inlineStr">
        <is>
          <t>Övriga Aktiebolag</t>
        </is>
      </c>
      <c r="G745" t="n">
        <v>3.8</v>
      </c>
      <c r="H745" t="n">
        <v>0</v>
      </c>
      <c r="I745" t="n">
        <v>0</v>
      </c>
      <c r="J745" t="n">
        <v>0</v>
      </c>
      <c r="K745" t="n">
        <v>0</v>
      </c>
      <c r="L745" t="n">
        <v>0</v>
      </c>
      <c r="M745" t="n">
        <v>0</v>
      </c>
      <c r="N745" t="n">
        <v>0</v>
      </c>
      <c r="O745" t="n">
        <v>0</v>
      </c>
      <c r="P745" t="n">
        <v>0</v>
      </c>
      <c r="Q745" t="n">
        <v>0</v>
      </c>
      <c r="R745" s="2" t="inlineStr"/>
    </row>
    <row r="746" ht="15" customHeight="1">
      <c r="A746" t="inlineStr">
        <is>
          <t>A 12247-2026</t>
        </is>
      </c>
      <c r="B746" s="1" t="n">
        <v>46087.44436342592</v>
      </c>
      <c r="C746" s="1" t="n">
        <v>46100</v>
      </c>
      <c r="D746" t="inlineStr">
        <is>
          <t>ÖSTERGÖTLANDS LÄN</t>
        </is>
      </c>
      <c r="E746" t="inlineStr">
        <is>
          <t>LINKÖPING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12255-2026</t>
        </is>
      </c>
      <c r="B747" s="1" t="n">
        <v>46087.46630787037</v>
      </c>
      <c r="C747" s="1" t="n">
        <v>46100</v>
      </c>
      <c r="D747" t="inlineStr">
        <is>
          <t>ÖSTERGÖTLANDS LÄN</t>
        </is>
      </c>
      <c r="E747" t="inlineStr">
        <is>
          <t>LINKÖPING</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38886-2024</t>
        </is>
      </c>
      <c r="B748" s="1" t="n">
        <v>45547.66443287037</v>
      </c>
      <c r="C748" s="1" t="n">
        <v>46100</v>
      </c>
      <c r="D748" t="inlineStr">
        <is>
          <t>ÖSTERGÖTLANDS LÄN</t>
        </is>
      </c>
      <c r="E748" t="inlineStr">
        <is>
          <t>LINKÖPING</t>
        </is>
      </c>
      <c r="G748" t="n">
        <v>5.3</v>
      </c>
      <c r="H748" t="n">
        <v>0</v>
      </c>
      <c r="I748" t="n">
        <v>0</v>
      </c>
      <c r="J748" t="n">
        <v>0</v>
      </c>
      <c r="K748" t="n">
        <v>0</v>
      </c>
      <c r="L748" t="n">
        <v>0</v>
      </c>
      <c r="M748" t="n">
        <v>0</v>
      </c>
      <c r="N748" t="n">
        <v>0</v>
      </c>
      <c r="O748" t="n">
        <v>0</v>
      </c>
      <c r="P748" t="n">
        <v>0</v>
      </c>
      <c r="Q748" t="n">
        <v>0</v>
      </c>
      <c r="R748" s="2" t="inlineStr"/>
    </row>
    <row r="749" ht="15" customHeight="1">
      <c r="A749" t="inlineStr">
        <is>
          <t>A 12486-2026</t>
        </is>
      </c>
      <c r="B749" s="1" t="n">
        <v>46090.56501157407</v>
      </c>
      <c r="C749" s="1" t="n">
        <v>46100</v>
      </c>
      <c r="D749" t="inlineStr">
        <is>
          <t>ÖSTERGÖTLANDS LÄN</t>
        </is>
      </c>
      <c r="E749" t="inlineStr">
        <is>
          <t>LINKÖPING</t>
        </is>
      </c>
      <c r="G749" t="n">
        <v>2.6</v>
      </c>
      <c r="H749" t="n">
        <v>0</v>
      </c>
      <c r="I749" t="n">
        <v>0</v>
      </c>
      <c r="J749" t="n">
        <v>0</v>
      </c>
      <c r="K749" t="n">
        <v>0</v>
      </c>
      <c r="L749" t="n">
        <v>0</v>
      </c>
      <c r="M749" t="n">
        <v>0</v>
      </c>
      <c r="N749" t="n">
        <v>0</v>
      </c>
      <c r="O749" t="n">
        <v>0</v>
      </c>
      <c r="P749" t="n">
        <v>0</v>
      </c>
      <c r="Q749" t="n">
        <v>0</v>
      </c>
      <c r="R749" s="2" t="inlineStr"/>
    </row>
    <row r="750" ht="15" customHeight="1">
      <c r="A750" t="inlineStr">
        <is>
          <t>A 10477-2026</t>
        </is>
      </c>
      <c r="B750" s="1" t="n">
        <v>46077.4871875</v>
      </c>
      <c r="C750" s="1" t="n">
        <v>46100</v>
      </c>
      <c r="D750" t="inlineStr">
        <is>
          <t>ÖSTERGÖTLANDS LÄN</t>
        </is>
      </c>
      <c r="E750" t="inlineStr">
        <is>
          <t>LINKÖPING</t>
        </is>
      </c>
      <c r="G750" t="n">
        <v>9.6</v>
      </c>
      <c r="H750" t="n">
        <v>0</v>
      </c>
      <c r="I750" t="n">
        <v>0</v>
      </c>
      <c r="J750" t="n">
        <v>0</v>
      </c>
      <c r="K750" t="n">
        <v>0</v>
      </c>
      <c r="L750" t="n">
        <v>0</v>
      </c>
      <c r="M750" t="n">
        <v>0</v>
      </c>
      <c r="N750" t="n">
        <v>0</v>
      </c>
      <c r="O750" t="n">
        <v>0</v>
      </c>
      <c r="P750" t="n">
        <v>0</v>
      </c>
      <c r="Q750" t="n">
        <v>0</v>
      </c>
      <c r="R750" s="2" t="inlineStr"/>
    </row>
    <row r="751" ht="15" customHeight="1">
      <c r="A751" t="inlineStr">
        <is>
          <t>A 5099-2026</t>
        </is>
      </c>
      <c r="B751" s="1" t="n">
        <v>46049.56158564815</v>
      </c>
      <c r="C751" s="1" t="n">
        <v>46100</v>
      </c>
      <c r="D751" t="inlineStr">
        <is>
          <t>ÖSTERGÖTLANDS LÄN</t>
        </is>
      </c>
      <c r="E751" t="inlineStr">
        <is>
          <t>LINKÖPING</t>
        </is>
      </c>
      <c r="G751" t="n">
        <v>5</v>
      </c>
      <c r="H751" t="n">
        <v>0</v>
      </c>
      <c r="I751" t="n">
        <v>0</v>
      </c>
      <c r="J751" t="n">
        <v>0</v>
      </c>
      <c r="K751" t="n">
        <v>0</v>
      </c>
      <c r="L751" t="n">
        <v>0</v>
      </c>
      <c r="M751" t="n">
        <v>0</v>
      </c>
      <c r="N751" t="n">
        <v>0</v>
      </c>
      <c r="O751" t="n">
        <v>0</v>
      </c>
      <c r="P751" t="n">
        <v>0</v>
      </c>
      <c r="Q751" t="n">
        <v>0</v>
      </c>
      <c r="R751" s="2" t="inlineStr"/>
    </row>
    <row r="752" ht="15" customHeight="1">
      <c r="A752" t="inlineStr">
        <is>
          <t>A 12482-2026</t>
        </is>
      </c>
      <c r="B752" s="1" t="n">
        <v>46090.56292824074</v>
      </c>
      <c r="C752" s="1" t="n">
        <v>46100</v>
      </c>
      <c r="D752" t="inlineStr">
        <is>
          <t>ÖSTERGÖTLANDS LÄN</t>
        </is>
      </c>
      <c r="E752" t="inlineStr">
        <is>
          <t>LINKÖPING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5545-2026</t>
        </is>
      </c>
      <c r="B753" s="1" t="n">
        <v>46050.70089120371</v>
      </c>
      <c r="C753" s="1" t="n">
        <v>46100</v>
      </c>
      <c r="D753" t="inlineStr">
        <is>
          <t>ÖSTERGÖTLANDS LÄN</t>
        </is>
      </c>
      <c r="E753" t="inlineStr">
        <is>
          <t>LINKÖPING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13565-2026</t>
        </is>
      </c>
      <c r="B754" s="1" t="n">
        <v>46094.80006944444</v>
      </c>
      <c r="C754" s="1" t="n">
        <v>46100</v>
      </c>
      <c r="D754" t="inlineStr">
        <is>
          <t>ÖSTERGÖTLANDS LÄN</t>
        </is>
      </c>
      <c r="E754" t="inlineStr">
        <is>
          <t>LINKÖPING</t>
        </is>
      </c>
      <c r="G754" t="n">
        <v>2.2</v>
      </c>
      <c r="H754" t="n">
        <v>0</v>
      </c>
      <c r="I754" t="n">
        <v>0</v>
      </c>
      <c r="J754" t="n">
        <v>0</v>
      </c>
      <c r="K754" t="n">
        <v>0</v>
      </c>
      <c r="L754" t="n">
        <v>0</v>
      </c>
      <c r="M754" t="n">
        <v>0</v>
      </c>
      <c r="N754" t="n">
        <v>0</v>
      </c>
      <c r="O754" t="n">
        <v>0</v>
      </c>
      <c r="P754" t="n">
        <v>0</v>
      </c>
      <c r="Q754" t="n">
        <v>0</v>
      </c>
      <c r="R754" s="2" t="inlineStr"/>
    </row>
    <row r="755" ht="15" customHeight="1">
      <c r="A755" t="inlineStr">
        <is>
          <t>A 6384-2026</t>
        </is>
      </c>
      <c r="B755" s="1" t="n">
        <v>46055.63732638889</v>
      </c>
      <c r="C755" s="1" t="n">
        <v>46100</v>
      </c>
      <c r="D755" t="inlineStr">
        <is>
          <t>ÖSTERGÖTLANDS LÄN</t>
        </is>
      </c>
      <c r="E755" t="inlineStr">
        <is>
          <t>LINKÖPING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6164-2026</t>
        </is>
      </c>
      <c r="B756" s="1" t="n">
        <v>46055.32596064815</v>
      </c>
      <c r="C756" s="1" t="n">
        <v>46100</v>
      </c>
      <c r="D756" t="inlineStr">
        <is>
          <t>ÖSTERGÖTLANDS LÄN</t>
        </is>
      </c>
      <c r="E756" t="inlineStr">
        <is>
          <t>LINKÖPING</t>
        </is>
      </c>
      <c r="G756" t="n">
        <v>0.4</v>
      </c>
      <c r="H756" t="n">
        <v>0</v>
      </c>
      <c r="I756" t="n">
        <v>0</v>
      </c>
      <c r="J756" t="n">
        <v>0</v>
      </c>
      <c r="K756" t="n">
        <v>0</v>
      </c>
      <c r="L756" t="n">
        <v>0</v>
      </c>
      <c r="M756" t="n">
        <v>0</v>
      </c>
      <c r="N756" t="n">
        <v>0</v>
      </c>
      <c r="O756" t="n">
        <v>0</v>
      </c>
      <c r="P756" t="n">
        <v>0</v>
      </c>
      <c r="Q756" t="n">
        <v>0</v>
      </c>
      <c r="R756" s="2" t="inlineStr"/>
    </row>
    <row r="757" ht="15" customHeight="1">
      <c r="A757" t="inlineStr">
        <is>
          <t>A 13927-2026</t>
        </is>
      </c>
      <c r="B757" s="1" t="n">
        <v>46098</v>
      </c>
      <c r="C757" s="1" t="n">
        <v>46100</v>
      </c>
      <c r="D757" t="inlineStr">
        <is>
          <t>ÖSTERGÖTLANDS LÄN</t>
        </is>
      </c>
      <c r="E757" t="inlineStr">
        <is>
          <t>LINKÖPING</t>
        </is>
      </c>
      <c r="G757" t="n">
        <v>1.8</v>
      </c>
      <c r="H757" t="n">
        <v>0</v>
      </c>
      <c r="I757" t="n">
        <v>0</v>
      </c>
      <c r="J757" t="n">
        <v>0</v>
      </c>
      <c r="K757" t="n">
        <v>0</v>
      </c>
      <c r="L757" t="n">
        <v>0</v>
      </c>
      <c r="M757" t="n">
        <v>0</v>
      </c>
      <c r="N757" t="n">
        <v>0</v>
      </c>
      <c r="O757" t="n">
        <v>0</v>
      </c>
      <c r="P757" t="n">
        <v>0</v>
      </c>
      <c r="Q757" t="n">
        <v>0</v>
      </c>
      <c r="R757" s="2" t="inlineStr"/>
    </row>
    <row r="758" ht="15" customHeight="1">
      <c r="A758" t="inlineStr">
        <is>
          <t>A 14157-2026</t>
        </is>
      </c>
      <c r="B758" s="1" t="n">
        <v>46099.46829861111</v>
      </c>
      <c r="C758" s="1" t="n">
        <v>46100</v>
      </c>
      <c r="D758" t="inlineStr">
        <is>
          <t>ÖSTERGÖTLANDS LÄN</t>
        </is>
      </c>
      <c r="E758" t="inlineStr">
        <is>
          <t>LINKÖPING</t>
        </is>
      </c>
      <c r="F758" t="inlineStr">
        <is>
          <t>Allmännings- och besparingsskogar</t>
        </is>
      </c>
      <c r="G758" t="n">
        <v>1.6</v>
      </c>
      <c r="H758" t="n">
        <v>0</v>
      </c>
      <c r="I758" t="n">
        <v>0</v>
      </c>
      <c r="J758" t="n">
        <v>0</v>
      </c>
      <c r="K758" t="n">
        <v>0</v>
      </c>
      <c r="L758" t="n">
        <v>0</v>
      </c>
      <c r="M758" t="n">
        <v>0</v>
      </c>
      <c r="N758" t="n">
        <v>0</v>
      </c>
      <c r="O758" t="n">
        <v>0</v>
      </c>
      <c r="P758" t="n">
        <v>0</v>
      </c>
      <c r="Q758" t="n">
        <v>0</v>
      </c>
      <c r="R758" s="2" t="inlineStr"/>
    </row>
    <row r="759">
      <c r="A759" t="inlineStr">
        <is>
          <t>A 7133-2026</t>
        </is>
      </c>
      <c r="B759" s="1" t="n">
        <v>46057</v>
      </c>
      <c r="C759" s="1" t="n">
        <v>46100</v>
      </c>
      <c r="D759" t="inlineStr">
        <is>
          <t>ÖSTERGÖTLANDS LÄN</t>
        </is>
      </c>
      <c r="E759" t="inlineStr">
        <is>
          <t>LINKÖPING</t>
        </is>
      </c>
      <c r="G759" t="n">
        <v>2.4</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2026-03-19T11:36:18Z</dcterms:created>
  <dcterms:modified xmlns:dcterms="http://purl.org/dc/terms/" xmlns:xsi="http://www.w3.org/2001/XMLSchema-instance" xsi:type="dcterms:W3CDTF">2026-03-19T11:36:19Z</dcterms:modified>
</cp:coreProperties>
</file>