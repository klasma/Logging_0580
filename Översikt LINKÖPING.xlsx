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46176</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46176</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46176</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46176</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46176</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46176</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46176</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12494-2026</t>
        </is>
      </c>
      <c r="B16" s="1" t="n">
        <v>46090.56896990741</v>
      </c>
      <c r="C16" s="1" t="n">
        <v>46176</v>
      </c>
      <c r="D16" t="inlineStr">
        <is>
          <t>ÖSTERGÖTLANDS LÄN</t>
        </is>
      </c>
      <c r="E16" t="inlineStr">
        <is>
          <t>LINKÖPING</t>
        </is>
      </c>
      <c r="G16" t="n">
        <v>3.4</v>
      </c>
      <c r="H16" t="n">
        <v>1</v>
      </c>
      <c r="I16" t="n">
        <v>0</v>
      </c>
      <c r="J16" t="n">
        <v>1</v>
      </c>
      <c r="K16" t="n">
        <v>1</v>
      </c>
      <c r="L16" t="n">
        <v>0</v>
      </c>
      <c r="M16" t="n">
        <v>0</v>
      </c>
      <c r="N16" t="n">
        <v>0</v>
      </c>
      <c r="O16" t="n">
        <v>2</v>
      </c>
      <c r="P16" t="n">
        <v>1</v>
      </c>
      <c r="Q16" t="n">
        <v>3</v>
      </c>
      <c r="R16" s="2" t="inlineStr">
        <is>
          <t>Slåttergubbe
Svinrot
Blåsippa</t>
        </is>
      </c>
      <c r="S16">
        <f>HYPERLINK("https://klasma.github.io/Logging_0580/artfynd/A 12494-2026 artfynd.xlsx", "A 12494-2026")</f>
        <v/>
      </c>
      <c r="T16">
        <f>HYPERLINK("https://klasma.github.io/Logging_0580/kartor/A 12494-2026 karta.png", "A 12494-2026")</f>
        <v/>
      </c>
      <c r="V16">
        <f>HYPERLINK("https://klasma.github.io/Logging_0580/klagomål/A 12494-2026 FSC-klagomål.docx", "A 12494-2026")</f>
        <v/>
      </c>
      <c r="W16">
        <f>HYPERLINK("https://klasma.github.io/Logging_0580/klagomålsmail/A 12494-2026 FSC-klagomål mail.docx", "A 12494-2026")</f>
        <v/>
      </c>
      <c r="X16">
        <f>HYPERLINK("https://klasma.github.io/Logging_0580/tillsyn/A 12494-2026 tillsynsbegäran.docx", "A 12494-2026")</f>
        <v/>
      </c>
      <c r="Y16">
        <f>HYPERLINK("https://klasma.github.io/Logging_0580/tillsynsmail/A 12494-2026 tillsynsbegäran mail.docx", "A 12494-2026")</f>
        <v/>
      </c>
    </row>
    <row r="17" ht="15" customHeight="1">
      <c r="A17" t="inlineStr">
        <is>
          <t>A 49999-2025</t>
        </is>
      </c>
      <c r="B17" s="1" t="n">
        <v>45943.30185185185</v>
      </c>
      <c r="C17" s="1" t="n">
        <v>46176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46176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46176</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11048-2026</t>
        </is>
      </c>
      <c r="B20" s="1" t="n">
        <v>46079.58841435185</v>
      </c>
      <c r="C20" s="1" t="n">
        <v>46176</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11097-2026</t>
        </is>
      </c>
      <c r="B21" s="1" t="n">
        <v>46079.64511574074</v>
      </c>
      <c r="C21" s="1" t="n">
        <v>46176</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38913-2023</t>
        </is>
      </c>
      <c r="B22" s="1" t="n">
        <v>45163</v>
      </c>
      <c r="C22" s="1" t="n">
        <v>46176</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4256-2022</t>
        </is>
      </c>
      <c r="B23" s="1" t="n">
        <v>44588</v>
      </c>
      <c r="C23" s="1" t="n">
        <v>46176</v>
      </c>
      <c r="D23" t="inlineStr">
        <is>
          <t>ÖSTERGÖTLANDS LÄN</t>
        </is>
      </c>
      <c r="E23" t="inlineStr">
        <is>
          <t>LINKÖPING</t>
        </is>
      </c>
      <c r="G23" t="n">
        <v>1.4</v>
      </c>
      <c r="H23" t="n">
        <v>2</v>
      </c>
      <c r="I23" t="n">
        <v>0</v>
      </c>
      <c r="J23" t="n">
        <v>2</v>
      </c>
      <c r="K23" t="n">
        <v>1</v>
      </c>
      <c r="L23" t="n">
        <v>0</v>
      </c>
      <c r="M23" t="n">
        <v>0</v>
      </c>
      <c r="N23" t="n">
        <v>0</v>
      </c>
      <c r="O23" t="n">
        <v>3</v>
      </c>
      <c r="P23" t="n">
        <v>1</v>
      </c>
      <c r="Q23" t="n">
        <v>3</v>
      </c>
      <c r="R23" s="2" t="inlineStr">
        <is>
          <t>Stare
Asksolvecklare
Gulsparv</t>
        </is>
      </c>
      <c r="S23">
        <f>HYPERLINK("https://klasma.github.io/Logging_0580/artfynd/A 4256-2022 artfynd.xlsx", "A 4256-2022")</f>
        <v/>
      </c>
      <c r="T23">
        <f>HYPERLINK("https://klasma.github.io/Logging_0580/kartor/A 4256-2022 karta.png", "A 4256-2022")</f>
        <v/>
      </c>
      <c r="V23">
        <f>HYPERLINK("https://klasma.github.io/Logging_0580/klagomål/A 4256-2022 FSC-klagomål.docx", "A 4256-2022")</f>
        <v/>
      </c>
      <c r="W23">
        <f>HYPERLINK("https://klasma.github.io/Logging_0580/klagomålsmail/A 4256-2022 FSC-klagomål mail.docx", "A 4256-2022")</f>
        <v/>
      </c>
      <c r="X23">
        <f>HYPERLINK("https://klasma.github.io/Logging_0580/tillsyn/A 4256-2022 tillsynsbegäran.docx", "A 4256-2022")</f>
        <v/>
      </c>
      <c r="Y23">
        <f>HYPERLINK("https://klasma.github.io/Logging_0580/tillsynsmail/A 4256-2022 tillsynsbegäran mail.docx", "A 4256-2022")</f>
        <v/>
      </c>
      <c r="Z23">
        <f>HYPERLINK("https://klasma.github.io/Logging_0580/fåglar/A 4256-2022 prioriterade fågelarter.docx", "A 4256-2022")</f>
        <v/>
      </c>
    </row>
    <row r="24" ht="15" customHeight="1">
      <c r="A24" t="inlineStr">
        <is>
          <t>A 55341-2024</t>
        </is>
      </c>
      <c r="B24" s="1" t="n">
        <v>45621.71255787037</v>
      </c>
      <c r="C24" s="1" t="n">
        <v>46176</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46176</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46176</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46176</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46176</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46176</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14879-2024</t>
        </is>
      </c>
      <c r="B30" s="1" t="n">
        <v>45398</v>
      </c>
      <c r="C30" s="1" t="n">
        <v>46176</v>
      </c>
      <c r="D30" t="inlineStr">
        <is>
          <t>ÖSTERGÖTLANDS LÄN</t>
        </is>
      </c>
      <c r="E30" t="inlineStr">
        <is>
          <t>LINKÖPING</t>
        </is>
      </c>
      <c r="F30" t="inlineStr">
        <is>
          <t>Övriga Aktiebolag</t>
        </is>
      </c>
      <c r="G30" t="n">
        <v>1.7</v>
      </c>
      <c r="H30" t="n">
        <v>1</v>
      </c>
      <c r="I30" t="n">
        <v>1</v>
      </c>
      <c r="J30" t="n">
        <v>0</v>
      </c>
      <c r="K30" t="n">
        <v>0</v>
      </c>
      <c r="L30" t="n">
        <v>0</v>
      </c>
      <c r="M30" t="n">
        <v>0</v>
      </c>
      <c r="N30" t="n">
        <v>0</v>
      </c>
      <c r="O30" t="n">
        <v>0</v>
      </c>
      <c r="P30" t="n">
        <v>0</v>
      </c>
      <c r="Q30" t="n">
        <v>2</v>
      </c>
      <c r="R30" s="2" t="inlineStr">
        <is>
          <t>Svart trolldruva
Grönvit nattviol</t>
        </is>
      </c>
      <c r="S30">
        <f>HYPERLINK("https://klasma.github.io/Logging_0580/artfynd/A 14879-2024 artfynd.xlsx", "A 14879-2024")</f>
        <v/>
      </c>
      <c r="T30">
        <f>HYPERLINK("https://klasma.github.io/Logging_0580/kartor/A 14879-2024 karta.png", "A 14879-2024")</f>
        <v/>
      </c>
      <c r="V30">
        <f>HYPERLINK("https://klasma.github.io/Logging_0580/klagomål/A 14879-2024 FSC-klagomål.docx", "A 14879-2024")</f>
        <v/>
      </c>
      <c r="W30">
        <f>HYPERLINK("https://klasma.github.io/Logging_0580/klagomålsmail/A 14879-2024 FSC-klagomål mail.docx", "A 14879-2024")</f>
        <v/>
      </c>
      <c r="X30">
        <f>HYPERLINK("https://klasma.github.io/Logging_0580/tillsyn/A 14879-2024 tillsynsbegäran.docx", "A 14879-2024")</f>
        <v/>
      </c>
      <c r="Y30">
        <f>HYPERLINK("https://klasma.github.io/Logging_0580/tillsynsmail/A 14879-2024 tillsynsbegäran mail.docx", "A 14879-2024")</f>
        <v/>
      </c>
    </row>
    <row r="31" ht="15" customHeight="1">
      <c r="A31" t="inlineStr">
        <is>
          <t>A 12247-2026</t>
        </is>
      </c>
      <c r="B31" s="1" t="n">
        <v>46087.44436342592</v>
      </c>
      <c r="C31" s="1" t="n">
        <v>46176</v>
      </c>
      <c r="D31" t="inlineStr">
        <is>
          <t>ÖSTERGÖTLANDS LÄN</t>
        </is>
      </c>
      <c r="E31" t="inlineStr">
        <is>
          <t>LINKÖPING</t>
        </is>
      </c>
      <c r="G31" t="n">
        <v>0.9</v>
      </c>
      <c r="H31" t="n">
        <v>1</v>
      </c>
      <c r="I31" t="n">
        <v>0</v>
      </c>
      <c r="J31" t="n">
        <v>2</v>
      </c>
      <c r="K31" t="n">
        <v>0</v>
      </c>
      <c r="L31" t="n">
        <v>0</v>
      </c>
      <c r="M31" t="n">
        <v>0</v>
      </c>
      <c r="N31" t="n">
        <v>0</v>
      </c>
      <c r="O31" t="n">
        <v>2</v>
      </c>
      <c r="P31" t="n">
        <v>0</v>
      </c>
      <c r="Q31" t="n">
        <v>2</v>
      </c>
      <c r="R31" s="2" t="inlineStr">
        <is>
          <t>Spillkråka
Vedtrappmossa</t>
        </is>
      </c>
      <c r="S31">
        <f>HYPERLINK("https://klasma.github.io/Logging_0580/artfynd/A 12247-2026 artfynd.xlsx", "A 12247-2026")</f>
        <v/>
      </c>
      <c r="T31">
        <f>HYPERLINK("https://klasma.github.io/Logging_0580/kartor/A 12247-2026 karta.png", "A 12247-2026")</f>
        <v/>
      </c>
      <c r="V31">
        <f>HYPERLINK("https://klasma.github.io/Logging_0580/klagomål/A 12247-2026 FSC-klagomål.docx", "A 12247-2026")</f>
        <v/>
      </c>
      <c r="W31">
        <f>HYPERLINK("https://klasma.github.io/Logging_0580/klagomålsmail/A 12247-2026 FSC-klagomål mail.docx", "A 12247-2026")</f>
        <v/>
      </c>
      <c r="X31">
        <f>HYPERLINK("https://klasma.github.io/Logging_0580/tillsyn/A 12247-2026 tillsynsbegäran.docx", "A 12247-2026")</f>
        <v/>
      </c>
      <c r="Y31">
        <f>HYPERLINK("https://klasma.github.io/Logging_0580/tillsynsmail/A 12247-2026 tillsynsbegäran mail.docx", "A 12247-2026")</f>
        <v/>
      </c>
      <c r="Z31">
        <f>HYPERLINK("https://klasma.github.io/Logging_0580/fåglar/A 12247-2026 prioriterade fågelarter.docx", "A 12247-2026")</f>
        <v/>
      </c>
    </row>
    <row r="32" ht="15" customHeight="1">
      <c r="A32" t="inlineStr">
        <is>
          <t>A 8818-2025</t>
        </is>
      </c>
      <c r="B32" s="1" t="n">
        <v>45712</v>
      </c>
      <c r="C32" s="1" t="n">
        <v>46176</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46176</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21228-2026</t>
        </is>
      </c>
      <c r="B34" s="1" t="n">
        <v>46146.7919212963</v>
      </c>
      <c r="C34" s="1" t="n">
        <v>46176</v>
      </c>
      <c r="D34" t="inlineStr">
        <is>
          <t>ÖSTERGÖTLANDS LÄN</t>
        </is>
      </c>
      <c r="E34" t="inlineStr">
        <is>
          <t>LINKÖPING</t>
        </is>
      </c>
      <c r="G34" t="n">
        <v>2.5</v>
      </c>
      <c r="H34" t="n">
        <v>2</v>
      </c>
      <c r="I34" t="n">
        <v>0</v>
      </c>
      <c r="J34" t="n">
        <v>0</v>
      </c>
      <c r="K34" t="n">
        <v>0</v>
      </c>
      <c r="L34" t="n">
        <v>0</v>
      </c>
      <c r="M34" t="n">
        <v>0</v>
      </c>
      <c r="N34" t="n">
        <v>0</v>
      </c>
      <c r="O34" t="n">
        <v>0</v>
      </c>
      <c r="P34" t="n">
        <v>0</v>
      </c>
      <c r="Q34" t="n">
        <v>2</v>
      </c>
      <c r="R34" s="2" t="inlineStr">
        <is>
          <t>Kungsfågel
Vanlig groda</t>
        </is>
      </c>
      <c r="S34">
        <f>HYPERLINK("https://klasma.github.io/Logging_0580/artfynd/A 21228-2026 artfynd.xlsx", "A 21228-2026")</f>
        <v/>
      </c>
      <c r="T34">
        <f>HYPERLINK("https://klasma.github.io/Logging_0580/kartor/A 21228-2026 karta.png", "A 21228-2026")</f>
        <v/>
      </c>
      <c r="V34">
        <f>HYPERLINK("https://klasma.github.io/Logging_0580/klagomål/A 21228-2026 FSC-klagomål.docx", "A 21228-2026")</f>
        <v/>
      </c>
      <c r="W34">
        <f>HYPERLINK("https://klasma.github.io/Logging_0580/klagomålsmail/A 21228-2026 FSC-klagomål mail.docx", "A 21228-2026")</f>
        <v/>
      </c>
      <c r="X34">
        <f>HYPERLINK("https://klasma.github.io/Logging_0580/tillsyn/A 21228-2026 tillsynsbegäran.docx", "A 21228-2026")</f>
        <v/>
      </c>
      <c r="Y34">
        <f>HYPERLINK("https://klasma.github.io/Logging_0580/tillsynsmail/A 21228-2026 tillsynsbegäran mail.docx", "A 21228-2026")</f>
        <v/>
      </c>
      <c r="Z34">
        <f>HYPERLINK("https://klasma.github.io/Logging_0580/fåglar/A 21228-2026 prioriterade fågelarter.docx", "A 21228-2026")</f>
        <v/>
      </c>
    </row>
    <row r="35" ht="15" customHeight="1">
      <c r="A35" t="inlineStr">
        <is>
          <t>A 15856-2026</t>
        </is>
      </c>
      <c r="B35" s="1" t="n">
        <v>46107.57620370371</v>
      </c>
      <c r="C35" s="1" t="n">
        <v>46176</v>
      </c>
      <c r="D35" t="inlineStr">
        <is>
          <t>ÖSTERGÖTLANDS LÄN</t>
        </is>
      </c>
      <c r="E35" t="inlineStr">
        <is>
          <t>LINKÖPING</t>
        </is>
      </c>
      <c r="F35" t="inlineStr">
        <is>
          <t>Sveaskog</t>
        </is>
      </c>
      <c r="G35" t="n">
        <v>16.2</v>
      </c>
      <c r="H35" t="n">
        <v>0</v>
      </c>
      <c r="I35" t="n">
        <v>1</v>
      </c>
      <c r="J35" t="n">
        <v>1</v>
      </c>
      <c r="K35" t="n">
        <v>0</v>
      </c>
      <c r="L35" t="n">
        <v>0</v>
      </c>
      <c r="M35" t="n">
        <v>0</v>
      </c>
      <c r="N35" t="n">
        <v>0</v>
      </c>
      <c r="O35" t="n">
        <v>1</v>
      </c>
      <c r="P35" t="n">
        <v>0</v>
      </c>
      <c r="Q35" t="n">
        <v>2</v>
      </c>
      <c r="R35" s="2" t="inlineStr">
        <is>
          <t>Svinrot
Granbräken</t>
        </is>
      </c>
      <c r="S35">
        <f>HYPERLINK("https://klasma.github.io/Logging_0580/artfynd/A 15856-2026 artfynd.xlsx", "A 15856-2026")</f>
        <v/>
      </c>
      <c r="T35">
        <f>HYPERLINK("https://klasma.github.io/Logging_0580/kartor/A 15856-2026 karta.png", "A 15856-2026")</f>
        <v/>
      </c>
      <c r="V35">
        <f>HYPERLINK("https://klasma.github.io/Logging_0580/klagomål/A 15856-2026 FSC-klagomål.docx", "A 15856-2026")</f>
        <v/>
      </c>
      <c r="W35">
        <f>HYPERLINK("https://klasma.github.io/Logging_0580/klagomålsmail/A 15856-2026 FSC-klagomål mail.docx", "A 15856-2026")</f>
        <v/>
      </c>
      <c r="X35">
        <f>HYPERLINK("https://klasma.github.io/Logging_0580/tillsyn/A 15856-2026 tillsynsbegäran.docx", "A 15856-2026")</f>
        <v/>
      </c>
      <c r="Y35">
        <f>HYPERLINK("https://klasma.github.io/Logging_0580/tillsynsmail/A 15856-2026 tillsynsbegäran mail.docx", "A 15856-2026")</f>
        <v/>
      </c>
    </row>
    <row r="36" ht="15" customHeight="1">
      <c r="A36" t="inlineStr">
        <is>
          <t>A 15844-2026</t>
        </is>
      </c>
      <c r="B36" s="1" t="n">
        <v>46107.56542824074</v>
      </c>
      <c r="C36" s="1" t="n">
        <v>46176</v>
      </c>
      <c r="D36" t="inlineStr">
        <is>
          <t>ÖSTERGÖTLANDS LÄN</t>
        </is>
      </c>
      <c r="E36" t="inlineStr">
        <is>
          <t>LINKÖPING</t>
        </is>
      </c>
      <c r="F36" t="inlineStr">
        <is>
          <t>Sveaskog</t>
        </is>
      </c>
      <c r="G36" t="n">
        <v>10.6</v>
      </c>
      <c r="H36" t="n">
        <v>0</v>
      </c>
      <c r="I36" t="n">
        <v>2</v>
      </c>
      <c r="J36" t="n">
        <v>0</v>
      </c>
      <c r="K36" t="n">
        <v>0</v>
      </c>
      <c r="L36" t="n">
        <v>0</v>
      </c>
      <c r="M36" t="n">
        <v>0</v>
      </c>
      <c r="N36" t="n">
        <v>0</v>
      </c>
      <c r="O36" t="n">
        <v>0</v>
      </c>
      <c r="P36" t="n">
        <v>0</v>
      </c>
      <c r="Q36" t="n">
        <v>2</v>
      </c>
      <c r="R36" s="2" t="inlineStr">
        <is>
          <t>Fällmossa
Toppvaxing</t>
        </is>
      </c>
      <c r="S36">
        <f>HYPERLINK("https://klasma.github.io/Logging_0580/artfynd/A 15844-2026 artfynd.xlsx", "A 15844-2026")</f>
        <v/>
      </c>
      <c r="T36">
        <f>HYPERLINK("https://klasma.github.io/Logging_0580/kartor/A 15844-2026 karta.png", "A 15844-2026")</f>
        <v/>
      </c>
      <c r="V36">
        <f>HYPERLINK("https://klasma.github.io/Logging_0580/klagomål/A 15844-2026 FSC-klagomål.docx", "A 15844-2026")</f>
        <v/>
      </c>
      <c r="W36">
        <f>HYPERLINK("https://klasma.github.io/Logging_0580/klagomålsmail/A 15844-2026 FSC-klagomål mail.docx", "A 15844-2026")</f>
        <v/>
      </c>
      <c r="X36">
        <f>HYPERLINK("https://klasma.github.io/Logging_0580/tillsyn/A 15844-2026 tillsynsbegäran.docx", "A 15844-2026")</f>
        <v/>
      </c>
      <c r="Y36">
        <f>HYPERLINK("https://klasma.github.io/Logging_0580/tillsynsmail/A 15844-2026 tillsynsbegäran mail.docx", "A 15844-2026")</f>
        <v/>
      </c>
    </row>
    <row r="37" ht="15" customHeight="1">
      <c r="A37" t="inlineStr">
        <is>
          <t>A 22074-2026</t>
        </is>
      </c>
      <c r="B37" s="1" t="n">
        <v>46153.50032407408</v>
      </c>
      <c r="C37" s="1" t="n">
        <v>46176</v>
      </c>
      <c r="D37" t="inlineStr">
        <is>
          <t>ÖSTERGÖTLANDS LÄN</t>
        </is>
      </c>
      <c r="E37" t="inlineStr">
        <is>
          <t>LINKÖPING</t>
        </is>
      </c>
      <c r="G37" t="n">
        <v>1.9</v>
      </c>
      <c r="H37" t="n">
        <v>0</v>
      </c>
      <c r="I37" t="n">
        <v>2</v>
      </c>
      <c r="J37" t="n">
        <v>0</v>
      </c>
      <c r="K37" t="n">
        <v>0</v>
      </c>
      <c r="L37" t="n">
        <v>0</v>
      </c>
      <c r="M37" t="n">
        <v>0</v>
      </c>
      <c r="N37" t="n">
        <v>0</v>
      </c>
      <c r="O37" t="n">
        <v>0</v>
      </c>
      <c r="P37" t="n">
        <v>0</v>
      </c>
      <c r="Q37" t="n">
        <v>2</v>
      </c>
      <c r="R37" s="2" t="inlineStr">
        <is>
          <t>Blomkålssvamp
Mandelriska</t>
        </is>
      </c>
      <c r="S37">
        <f>HYPERLINK("https://klasma.github.io/Logging_0580/artfynd/A 22074-2026 artfynd.xlsx", "A 22074-2026")</f>
        <v/>
      </c>
      <c r="T37">
        <f>HYPERLINK("https://klasma.github.io/Logging_0580/kartor/A 22074-2026 karta.png", "A 22074-2026")</f>
        <v/>
      </c>
      <c r="V37">
        <f>HYPERLINK("https://klasma.github.io/Logging_0580/klagomål/A 22074-2026 FSC-klagomål.docx", "A 22074-2026")</f>
        <v/>
      </c>
      <c r="W37">
        <f>HYPERLINK("https://klasma.github.io/Logging_0580/klagomålsmail/A 22074-2026 FSC-klagomål mail.docx", "A 22074-2026")</f>
        <v/>
      </c>
      <c r="X37">
        <f>HYPERLINK("https://klasma.github.io/Logging_0580/tillsyn/A 22074-2026 tillsynsbegäran.docx", "A 22074-2026")</f>
        <v/>
      </c>
      <c r="Y37">
        <f>HYPERLINK("https://klasma.github.io/Logging_0580/tillsynsmail/A 22074-2026 tillsynsbegäran mail.docx", "A 22074-2026")</f>
        <v/>
      </c>
    </row>
    <row r="38" ht="15" customHeight="1">
      <c r="A38" t="inlineStr">
        <is>
          <t>A 58068-2021</t>
        </is>
      </c>
      <c r="B38" s="1" t="n">
        <v>44487</v>
      </c>
      <c r="C38" s="1" t="n">
        <v>46176</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50048-2025</t>
        </is>
      </c>
      <c r="B39" s="1" t="n">
        <v>45941</v>
      </c>
      <c r="C39" s="1" t="n">
        <v>46176</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58068-2021</t>
        </is>
      </c>
      <c r="B40" s="1" t="n">
        <v>44487</v>
      </c>
      <c r="C40" s="1" t="n">
        <v>46176</v>
      </c>
      <c r="D40" t="inlineStr">
        <is>
          <t>ÖSTERGÖTLANDS LÄN</t>
        </is>
      </c>
      <c r="E40" t="inlineStr">
        <is>
          <t>LINKÖPING</t>
        </is>
      </c>
      <c r="F40" t="inlineStr">
        <is>
          <t>Övriga Aktiebolag</t>
        </is>
      </c>
      <c r="G40" t="n">
        <v>1.2</v>
      </c>
      <c r="H40" t="n">
        <v>0</v>
      </c>
      <c r="I40" t="n">
        <v>0</v>
      </c>
      <c r="J40" t="n">
        <v>2</v>
      </c>
      <c r="K40" t="n">
        <v>0</v>
      </c>
      <c r="L40" t="n">
        <v>0</v>
      </c>
      <c r="M40" t="n">
        <v>0</v>
      </c>
      <c r="N40" t="n">
        <v>0</v>
      </c>
      <c r="O40" t="n">
        <v>2</v>
      </c>
      <c r="P40" t="n">
        <v>0</v>
      </c>
      <c r="Q40" t="n">
        <v>2</v>
      </c>
      <c r="R40" s="2" t="inlineStr">
        <is>
          <t>Rödbrun blekspik
Skuggorangelav</t>
        </is>
      </c>
      <c r="S40">
        <f>HYPERLINK("https://klasma.github.io/Logging_0580/artfynd/A 58068-2021 artfynd.xlsx", "A 58068-2021")</f>
        <v/>
      </c>
      <c r="T40">
        <f>HYPERLINK("https://klasma.github.io/Logging_0580/kartor/A 58068-2021 karta.png", "A 58068-2021")</f>
        <v/>
      </c>
      <c r="V40">
        <f>HYPERLINK("https://klasma.github.io/Logging_0580/klagomål/A 58068-2021 FSC-klagomål.docx", "A 58068-2021")</f>
        <v/>
      </c>
      <c r="W40">
        <f>HYPERLINK("https://klasma.github.io/Logging_0580/klagomålsmail/A 58068-2021 FSC-klagomål mail.docx", "A 58068-2021")</f>
        <v/>
      </c>
      <c r="X40">
        <f>HYPERLINK("https://klasma.github.io/Logging_0580/tillsyn/A 58068-2021 tillsynsbegäran.docx", "A 58068-2021")</f>
        <v/>
      </c>
      <c r="Y40">
        <f>HYPERLINK("https://klasma.github.io/Logging_0580/tillsynsmail/A 58068-2021 tillsynsbegäran mail.docx", "A 58068-2021")</f>
        <v/>
      </c>
    </row>
    <row r="41" ht="15" customHeight="1">
      <c r="A41" t="inlineStr">
        <is>
          <t>A 22040-2023</t>
        </is>
      </c>
      <c r="B41" s="1" t="n">
        <v>45068</v>
      </c>
      <c r="C41" s="1" t="n">
        <v>46176</v>
      </c>
      <c r="D41" t="inlineStr">
        <is>
          <t>ÖSTERGÖTLANDS LÄN</t>
        </is>
      </c>
      <c r="E41" t="inlineStr">
        <is>
          <t>LINKÖPING</t>
        </is>
      </c>
      <c r="F41" t="inlineStr">
        <is>
          <t>Kommuner</t>
        </is>
      </c>
      <c r="G41" t="n">
        <v>1</v>
      </c>
      <c r="H41" t="n">
        <v>1</v>
      </c>
      <c r="I41" t="n">
        <v>1</v>
      </c>
      <c r="J41" t="n">
        <v>0</v>
      </c>
      <c r="K41" t="n">
        <v>1</v>
      </c>
      <c r="L41" t="n">
        <v>0</v>
      </c>
      <c r="M41" t="n">
        <v>0</v>
      </c>
      <c r="N41" t="n">
        <v>0</v>
      </c>
      <c r="O41" t="n">
        <v>1</v>
      </c>
      <c r="P41" t="n">
        <v>1</v>
      </c>
      <c r="Q41" t="n">
        <v>2</v>
      </c>
      <c r="R41" s="2" t="inlineStr">
        <is>
          <t>Bombmurkla
Skarp dropptaggsvamp</t>
        </is>
      </c>
      <c r="S41">
        <f>HYPERLINK("https://klasma.github.io/Logging_0580/artfynd/A 22040-2023 artfynd.xlsx", "A 22040-2023")</f>
        <v/>
      </c>
      <c r="T41">
        <f>HYPERLINK("https://klasma.github.io/Logging_0580/kartor/A 22040-2023 karta.png", "A 22040-2023")</f>
        <v/>
      </c>
      <c r="V41">
        <f>HYPERLINK("https://klasma.github.io/Logging_0580/klagomål/A 22040-2023 FSC-klagomål.docx", "A 22040-2023")</f>
        <v/>
      </c>
      <c r="W41">
        <f>HYPERLINK("https://klasma.github.io/Logging_0580/klagomålsmail/A 22040-2023 FSC-klagomål mail.docx", "A 22040-2023")</f>
        <v/>
      </c>
      <c r="X41">
        <f>HYPERLINK("https://klasma.github.io/Logging_0580/tillsyn/A 22040-2023 tillsynsbegäran.docx", "A 22040-2023")</f>
        <v/>
      </c>
      <c r="Y41">
        <f>HYPERLINK("https://klasma.github.io/Logging_0580/tillsynsmail/A 22040-2023 tillsynsbegäran mail.docx", "A 22040-2023")</f>
        <v/>
      </c>
    </row>
    <row r="42" ht="15" customHeight="1">
      <c r="A42" t="inlineStr">
        <is>
          <t>A 49188-2024</t>
        </is>
      </c>
      <c r="B42" s="1" t="n">
        <v>45595</v>
      </c>
      <c r="C42" s="1" t="n">
        <v>46176</v>
      </c>
      <c r="D42" t="inlineStr">
        <is>
          <t>ÖSTERGÖTLANDS LÄN</t>
        </is>
      </c>
      <c r="E42" t="inlineStr">
        <is>
          <t>LINKÖPING</t>
        </is>
      </c>
      <c r="G42" t="n">
        <v>3.1</v>
      </c>
      <c r="H42" t="n">
        <v>0</v>
      </c>
      <c r="I42" t="n">
        <v>0</v>
      </c>
      <c r="J42" t="n">
        <v>0</v>
      </c>
      <c r="K42" t="n">
        <v>0</v>
      </c>
      <c r="L42" t="n">
        <v>1</v>
      </c>
      <c r="M42" t="n">
        <v>1</v>
      </c>
      <c r="N42" t="n">
        <v>0</v>
      </c>
      <c r="O42" t="n">
        <v>2</v>
      </c>
      <c r="P42" t="n">
        <v>2</v>
      </c>
      <c r="Q42" t="n">
        <v>2</v>
      </c>
      <c r="R42" s="2" t="inlineStr">
        <is>
          <t>Skogsalm
Ask</t>
        </is>
      </c>
      <c r="S42">
        <f>HYPERLINK("https://klasma.github.io/Logging_0580/artfynd/A 49188-2024 artfynd.xlsx", "A 49188-2024")</f>
        <v/>
      </c>
      <c r="T42">
        <f>HYPERLINK("https://klasma.github.io/Logging_0580/kartor/A 49188-2024 karta.png", "A 49188-2024")</f>
        <v/>
      </c>
      <c r="V42">
        <f>HYPERLINK("https://klasma.github.io/Logging_0580/klagomål/A 49188-2024 FSC-klagomål.docx", "A 49188-2024")</f>
        <v/>
      </c>
      <c r="W42">
        <f>HYPERLINK("https://klasma.github.io/Logging_0580/klagomålsmail/A 49188-2024 FSC-klagomål mail.docx", "A 49188-2024")</f>
        <v/>
      </c>
      <c r="X42">
        <f>HYPERLINK("https://klasma.github.io/Logging_0580/tillsyn/A 49188-2024 tillsynsbegäran.docx", "A 49188-2024")</f>
        <v/>
      </c>
      <c r="Y42">
        <f>HYPERLINK("https://klasma.github.io/Logging_0580/tillsynsmail/A 49188-2024 tillsynsbegäran mail.docx", "A 49188-2024")</f>
        <v/>
      </c>
    </row>
    <row r="43" ht="15" customHeight="1">
      <c r="A43" t="inlineStr">
        <is>
          <t>A 11613-2025</t>
        </is>
      </c>
      <c r="B43" s="1" t="n">
        <v>45727.44623842592</v>
      </c>
      <c r="C43" s="1" t="n">
        <v>46176</v>
      </c>
      <c r="D43" t="inlineStr">
        <is>
          <t>ÖSTERGÖTLANDS LÄN</t>
        </is>
      </c>
      <c r="E43" t="inlineStr">
        <is>
          <t>LINKÖPING</t>
        </is>
      </c>
      <c r="G43" t="n">
        <v>5.7</v>
      </c>
      <c r="H43" t="n">
        <v>1</v>
      </c>
      <c r="I43" t="n">
        <v>1</v>
      </c>
      <c r="J43" t="n">
        <v>0</v>
      </c>
      <c r="K43" t="n">
        <v>1</v>
      </c>
      <c r="L43" t="n">
        <v>0</v>
      </c>
      <c r="M43" t="n">
        <v>0</v>
      </c>
      <c r="N43" t="n">
        <v>0</v>
      </c>
      <c r="O43" t="n">
        <v>1</v>
      </c>
      <c r="P43" t="n">
        <v>1</v>
      </c>
      <c r="Q43" t="n">
        <v>2</v>
      </c>
      <c r="R43" s="2" t="inlineStr">
        <is>
          <t>Knärot
Grönpyrola</t>
        </is>
      </c>
      <c r="S43">
        <f>HYPERLINK("https://klasma.github.io/Logging_0580/artfynd/A 11613-2025 artfynd.xlsx", "A 11613-2025")</f>
        <v/>
      </c>
      <c r="T43">
        <f>HYPERLINK("https://klasma.github.io/Logging_0580/kartor/A 11613-2025 karta.png", "A 11613-2025")</f>
        <v/>
      </c>
      <c r="U43">
        <f>HYPERLINK("https://klasma.github.io/Logging_0580/knärot/A 11613-2025 karta knärot.png", "A 11613-2025")</f>
        <v/>
      </c>
      <c r="V43">
        <f>HYPERLINK("https://klasma.github.io/Logging_0580/klagomål/A 11613-2025 FSC-klagomål.docx", "A 11613-2025")</f>
        <v/>
      </c>
      <c r="W43">
        <f>HYPERLINK("https://klasma.github.io/Logging_0580/klagomålsmail/A 11613-2025 FSC-klagomål mail.docx", "A 11613-2025")</f>
        <v/>
      </c>
      <c r="X43">
        <f>HYPERLINK("https://klasma.github.io/Logging_0580/tillsyn/A 11613-2025 tillsynsbegäran.docx", "A 11613-2025")</f>
        <v/>
      </c>
      <c r="Y43">
        <f>HYPERLINK("https://klasma.github.io/Logging_0580/tillsynsmail/A 11613-2025 tillsynsbegäran mail.docx", "A 11613-2025")</f>
        <v/>
      </c>
    </row>
    <row r="44" ht="15" customHeight="1">
      <c r="A44" t="inlineStr">
        <is>
          <t>A 20292-2025</t>
        </is>
      </c>
      <c r="B44" s="1" t="n">
        <v>45774.7449537037</v>
      </c>
      <c r="C44" s="1" t="n">
        <v>46176</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20297-2025</t>
        </is>
      </c>
      <c r="B45" s="1" t="n">
        <v>45774.74971064815</v>
      </c>
      <c r="C45" s="1" t="n">
        <v>46176</v>
      </c>
      <c r="D45" t="inlineStr">
        <is>
          <t>ÖSTERGÖTLANDS LÄN</t>
        </is>
      </c>
      <c r="E45" t="inlineStr">
        <is>
          <t>LINKÖPING</t>
        </is>
      </c>
      <c r="G45" t="n">
        <v>1.5</v>
      </c>
      <c r="H45" t="n">
        <v>1</v>
      </c>
      <c r="I45" t="n">
        <v>1</v>
      </c>
      <c r="J45" t="n">
        <v>0</v>
      </c>
      <c r="K45" t="n">
        <v>0</v>
      </c>
      <c r="L45" t="n">
        <v>0</v>
      </c>
      <c r="M45" t="n">
        <v>0</v>
      </c>
      <c r="N45" t="n">
        <v>0</v>
      </c>
      <c r="O45" t="n">
        <v>0</v>
      </c>
      <c r="P45" t="n">
        <v>0</v>
      </c>
      <c r="Q45" t="n">
        <v>2</v>
      </c>
      <c r="R45" s="2" t="inlineStr">
        <is>
          <t>Blanksvart trämyra
Blåsippa</t>
        </is>
      </c>
      <c r="S45">
        <f>HYPERLINK("https://klasma.github.io/Logging_0580/artfynd/A 20297-2025 artfynd.xlsx", "A 20297-2025")</f>
        <v/>
      </c>
      <c r="T45">
        <f>HYPERLINK("https://klasma.github.io/Logging_0580/kartor/A 20297-2025 karta.png", "A 20297-2025")</f>
        <v/>
      </c>
      <c r="V45">
        <f>HYPERLINK("https://klasma.github.io/Logging_0580/klagomål/A 20297-2025 FSC-klagomål.docx", "A 20297-2025")</f>
        <v/>
      </c>
      <c r="W45">
        <f>HYPERLINK("https://klasma.github.io/Logging_0580/klagomålsmail/A 20297-2025 FSC-klagomål mail.docx", "A 20297-2025")</f>
        <v/>
      </c>
      <c r="X45">
        <f>HYPERLINK("https://klasma.github.io/Logging_0580/tillsyn/A 20297-2025 tillsynsbegäran.docx", "A 20297-2025")</f>
        <v/>
      </c>
      <c r="Y45">
        <f>HYPERLINK("https://klasma.github.io/Logging_0580/tillsynsmail/A 20297-2025 tillsynsbegäran mail.docx", "A 20297-2025")</f>
        <v/>
      </c>
    </row>
    <row r="46" ht="15" customHeight="1">
      <c r="A46" t="inlineStr">
        <is>
          <t>A 3912-2026</t>
        </is>
      </c>
      <c r="B46" s="1" t="n">
        <v>46043.71958333333</v>
      </c>
      <c r="C46" s="1" t="n">
        <v>46176</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41751-2023</t>
        </is>
      </c>
      <c r="B47" s="1" t="n">
        <v>45176</v>
      </c>
      <c r="C47" s="1" t="n">
        <v>46176</v>
      </c>
      <c r="D47" t="inlineStr">
        <is>
          <t>ÖSTERGÖTLANDS LÄN</t>
        </is>
      </c>
      <c r="E47" t="inlineStr">
        <is>
          <t>LINKÖPING</t>
        </is>
      </c>
      <c r="G47" t="n">
        <v>1.5</v>
      </c>
      <c r="H47" t="n">
        <v>1</v>
      </c>
      <c r="I47" t="n">
        <v>0</v>
      </c>
      <c r="J47" t="n">
        <v>1</v>
      </c>
      <c r="K47" t="n">
        <v>0</v>
      </c>
      <c r="L47" t="n">
        <v>0</v>
      </c>
      <c r="M47" t="n">
        <v>0</v>
      </c>
      <c r="N47" t="n">
        <v>0</v>
      </c>
      <c r="O47" t="n">
        <v>1</v>
      </c>
      <c r="P47" t="n">
        <v>0</v>
      </c>
      <c r="Q47" t="n">
        <v>2</v>
      </c>
      <c r="R47" s="2" t="inlineStr">
        <is>
          <t>Svinrot
Grönvit nattviol</t>
        </is>
      </c>
      <c r="S47">
        <f>HYPERLINK("https://klasma.github.io/Logging_0580/artfynd/A 41751-2023 artfynd.xlsx", "A 41751-2023")</f>
        <v/>
      </c>
      <c r="T47">
        <f>HYPERLINK("https://klasma.github.io/Logging_0580/kartor/A 41751-2023 karta.png", "A 41751-2023")</f>
        <v/>
      </c>
      <c r="V47">
        <f>HYPERLINK("https://klasma.github.io/Logging_0580/klagomål/A 41751-2023 FSC-klagomål.docx", "A 41751-2023")</f>
        <v/>
      </c>
      <c r="W47">
        <f>HYPERLINK("https://klasma.github.io/Logging_0580/klagomålsmail/A 41751-2023 FSC-klagomål mail.docx", "A 41751-2023")</f>
        <v/>
      </c>
      <c r="X47">
        <f>HYPERLINK("https://klasma.github.io/Logging_0580/tillsyn/A 41751-2023 tillsynsbegäran.docx", "A 41751-2023")</f>
        <v/>
      </c>
      <c r="Y47">
        <f>HYPERLINK("https://klasma.github.io/Logging_0580/tillsynsmail/A 41751-2023 tillsynsbegäran mail.docx", "A 41751-2023")</f>
        <v/>
      </c>
    </row>
    <row r="48" ht="15" customHeight="1">
      <c r="A48" t="inlineStr">
        <is>
          <t>A 42858-2023</t>
        </is>
      </c>
      <c r="B48" s="1" t="n">
        <v>45177</v>
      </c>
      <c r="C48" s="1" t="n">
        <v>46176</v>
      </c>
      <c r="D48" t="inlineStr">
        <is>
          <t>ÖSTERGÖTLANDS LÄN</t>
        </is>
      </c>
      <c r="E48" t="inlineStr">
        <is>
          <t>LINKÖPING</t>
        </is>
      </c>
      <c r="G48" t="n">
        <v>5.3</v>
      </c>
      <c r="H48" t="n">
        <v>1</v>
      </c>
      <c r="I48" t="n">
        <v>0</v>
      </c>
      <c r="J48" t="n">
        <v>1</v>
      </c>
      <c r="K48" t="n">
        <v>0</v>
      </c>
      <c r="L48" t="n">
        <v>0</v>
      </c>
      <c r="M48" t="n">
        <v>0</v>
      </c>
      <c r="N48" t="n">
        <v>0</v>
      </c>
      <c r="O48" t="n">
        <v>1</v>
      </c>
      <c r="P48" t="n">
        <v>0</v>
      </c>
      <c r="Q48" t="n">
        <v>2</v>
      </c>
      <c r="R48" s="2" t="inlineStr">
        <is>
          <t>Svinrot
Skogsödla</t>
        </is>
      </c>
      <c r="S48">
        <f>HYPERLINK("https://klasma.github.io/Logging_0580/artfynd/A 42858-2023 artfynd.xlsx", "A 42858-2023")</f>
        <v/>
      </c>
      <c r="T48">
        <f>HYPERLINK("https://klasma.github.io/Logging_0580/kartor/A 42858-2023 karta.png", "A 42858-2023")</f>
        <v/>
      </c>
      <c r="V48">
        <f>HYPERLINK("https://klasma.github.io/Logging_0580/klagomål/A 42858-2023 FSC-klagomål.docx", "A 42858-2023")</f>
        <v/>
      </c>
      <c r="W48">
        <f>HYPERLINK("https://klasma.github.io/Logging_0580/klagomålsmail/A 42858-2023 FSC-klagomål mail.docx", "A 42858-2023")</f>
        <v/>
      </c>
      <c r="X48">
        <f>HYPERLINK("https://klasma.github.io/Logging_0580/tillsyn/A 42858-2023 tillsynsbegäran.docx", "A 42858-2023")</f>
        <v/>
      </c>
      <c r="Y48">
        <f>HYPERLINK("https://klasma.github.io/Logging_0580/tillsynsmail/A 42858-2023 tillsynsbegäran mail.docx", "A 42858-2023")</f>
        <v/>
      </c>
    </row>
    <row r="49" ht="15" customHeight="1">
      <c r="A49" t="inlineStr">
        <is>
          <t>A 55344-2024</t>
        </is>
      </c>
      <c r="B49" s="1" t="n">
        <v>45621.7202662037</v>
      </c>
      <c r="C49" s="1" t="n">
        <v>46176</v>
      </c>
      <c r="D49" t="inlineStr">
        <is>
          <t>ÖSTERGÖTLANDS LÄN</t>
        </is>
      </c>
      <c r="E49" t="inlineStr">
        <is>
          <t>LINKÖPING</t>
        </is>
      </c>
      <c r="G49" t="n">
        <v>6.6</v>
      </c>
      <c r="H49" t="n">
        <v>0</v>
      </c>
      <c r="I49" t="n">
        <v>0</v>
      </c>
      <c r="J49" t="n">
        <v>2</v>
      </c>
      <c r="K49" t="n">
        <v>0</v>
      </c>
      <c r="L49" t="n">
        <v>0</v>
      </c>
      <c r="M49" t="n">
        <v>0</v>
      </c>
      <c r="N49" t="n">
        <v>0</v>
      </c>
      <c r="O49" t="n">
        <v>2</v>
      </c>
      <c r="P49" t="n">
        <v>0</v>
      </c>
      <c r="Q49" t="n">
        <v>2</v>
      </c>
      <c r="R49" s="2" t="inlineStr">
        <is>
          <t>Kandelabersvamp
Stjärnnästing</t>
        </is>
      </c>
      <c r="S49">
        <f>HYPERLINK("https://klasma.github.io/Logging_0580/artfynd/A 55344-2024 artfynd.xlsx", "A 55344-2024")</f>
        <v/>
      </c>
      <c r="T49">
        <f>HYPERLINK("https://klasma.github.io/Logging_0580/kartor/A 55344-2024 karta.png", "A 55344-2024")</f>
        <v/>
      </c>
      <c r="V49">
        <f>HYPERLINK("https://klasma.github.io/Logging_0580/klagomål/A 55344-2024 FSC-klagomål.docx", "A 55344-2024")</f>
        <v/>
      </c>
      <c r="W49">
        <f>HYPERLINK("https://klasma.github.io/Logging_0580/klagomålsmail/A 55344-2024 FSC-klagomål mail.docx", "A 55344-2024")</f>
        <v/>
      </c>
      <c r="X49">
        <f>HYPERLINK("https://klasma.github.io/Logging_0580/tillsyn/A 55344-2024 tillsynsbegäran.docx", "A 55344-2024")</f>
        <v/>
      </c>
      <c r="Y49">
        <f>HYPERLINK("https://klasma.github.io/Logging_0580/tillsynsmail/A 55344-2024 tillsynsbegäran mail.docx", "A 55344-2024")</f>
        <v/>
      </c>
    </row>
    <row r="50" ht="15" customHeight="1">
      <c r="A50" t="inlineStr">
        <is>
          <t>A 21326-2025</t>
        </is>
      </c>
      <c r="B50" s="1" t="n">
        <v>45782.35407407407</v>
      </c>
      <c r="C50" s="1" t="n">
        <v>46176</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27795-2025</t>
        </is>
      </c>
      <c r="B51" s="1" t="n">
        <v>45816.7908912037</v>
      </c>
      <c r="C51" s="1" t="n">
        <v>46176</v>
      </c>
      <c r="D51" t="inlineStr">
        <is>
          <t>ÖSTERGÖTLANDS LÄN</t>
        </is>
      </c>
      <c r="E51" t="inlineStr">
        <is>
          <t>LINKÖPING</t>
        </is>
      </c>
      <c r="G51" t="n">
        <v>5</v>
      </c>
      <c r="H51" t="n">
        <v>0</v>
      </c>
      <c r="I51" t="n">
        <v>0</v>
      </c>
      <c r="J51" t="n">
        <v>2</v>
      </c>
      <c r="K51" t="n">
        <v>0</v>
      </c>
      <c r="L51" t="n">
        <v>0</v>
      </c>
      <c r="M51" t="n">
        <v>0</v>
      </c>
      <c r="N51" t="n">
        <v>0</v>
      </c>
      <c r="O51" t="n">
        <v>2</v>
      </c>
      <c r="P51" t="n">
        <v>0</v>
      </c>
      <c r="Q51" t="n">
        <v>2</v>
      </c>
      <c r="R51" s="2" t="inlineStr">
        <is>
          <t>Svinrot
Ängsskära</t>
        </is>
      </c>
      <c r="S51">
        <f>HYPERLINK("https://klasma.github.io/Logging_0580/artfynd/A 27795-2025 artfynd.xlsx", "A 27795-2025")</f>
        <v/>
      </c>
      <c r="T51">
        <f>HYPERLINK("https://klasma.github.io/Logging_0580/kartor/A 27795-2025 karta.png", "A 27795-2025")</f>
        <v/>
      </c>
      <c r="V51">
        <f>HYPERLINK("https://klasma.github.io/Logging_0580/klagomål/A 27795-2025 FSC-klagomål.docx", "A 27795-2025")</f>
        <v/>
      </c>
      <c r="W51">
        <f>HYPERLINK("https://klasma.github.io/Logging_0580/klagomålsmail/A 27795-2025 FSC-klagomål mail.docx", "A 27795-2025")</f>
        <v/>
      </c>
      <c r="X51">
        <f>HYPERLINK("https://klasma.github.io/Logging_0580/tillsyn/A 27795-2025 tillsynsbegäran.docx", "A 27795-2025")</f>
        <v/>
      </c>
      <c r="Y51">
        <f>HYPERLINK("https://klasma.github.io/Logging_0580/tillsynsmail/A 27795-2025 tillsynsbegäran mail.docx", "A 27795-2025")</f>
        <v/>
      </c>
    </row>
    <row r="52" ht="15" customHeight="1">
      <c r="A52" t="inlineStr">
        <is>
          <t>A 38129-2021</t>
        </is>
      </c>
      <c r="B52" s="1" t="n">
        <v>44405.37199074074</v>
      </c>
      <c r="C52" s="1" t="n">
        <v>46176</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Spillkråka</t>
        </is>
      </c>
      <c r="S52">
        <f>HYPERLINK("https://klasma.github.io/Logging_0580/artfynd/A 38129-2021 artfynd.xlsx", "A 38129-2021")</f>
        <v/>
      </c>
      <c r="T52">
        <f>HYPERLINK("https://klasma.github.io/Logging_0580/kartor/A 38129-2021 karta.png", "A 38129-2021")</f>
        <v/>
      </c>
      <c r="V52">
        <f>HYPERLINK("https://klasma.github.io/Logging_0580/klagomål/A 38129-2021 FSC-klagomål.docx", "A 38129-2021")</f>
        <v/>
      </c>
      <c r="W52">
        <f>HYPERLINK("https://klasma.github.io/Logging_0580/klagomålsmail/A 38129-2021 FSC-klagomål mail.docx", "A 38129-2021")</f>
        <v/>
      </c>
      <c r="X52">
        <f>HYPERLINK("https://klasma.github.io/Logging_0580/tillsyn/A 38129-2021 tillsynsbegäran.docx", "A 38129-2021")</f>
        <v/>
      </c>
      <c r="Y52">
        <f>HYPERLINK("https://klasma.github.io/Logging_0580/tillsynsmail/A 38129-2021 tillsynsbegäran mail.docx", "A 38129-2021")</f>
        <v/>
      </c>
      <c r="Z52">
        <f>HYPERLINK("https://klasma.github.io/Logging_0580/fåglar/A 38129-2021 prioriterade fågelarter.docx", "A 38129-2021")</f>
        <v/>
      </c>
    </row>
    <row r="53" ht="15" customHeight="1">
      <c r="A53" t="inlineStr">
        <is>
          <t>A 17513-2022</t>
        </is>
      </c>
      <c r="B53" s="1" t="n">
        <v>44679</v>
      </c>
      <c r="C53" s="1" t="n">
        <v>46176</v>
      </c>
      <c r="D53" t="inlineStr">
        <is>
          <t>ÖSTERGÖTLANDS LÄN</t>
        </is>
      </c>
      <c r="E53" t="inlineStr">
        <is>
          <t>LINKÖPING</t>
        </is>
      </c>
      <c r="F53" t="inlineStr">
        <is>
          <t>Kommuner</t>
        </is>
      </c>
      <c r="G53" t="n">
        <v>1.6</v>
      </c>
      <c r="H53" t="n">
        <v>0</v>
      </c>
      <c r="I53" t="n">
        <v>0</v>
      </c>
      <c r="J53" t="n">
        <v>1</v>
      </c>
      <c r="K53" t="n">
        <v>0</v>
      </c>
      <c r="L53" t="n">
        <v>0</v>
      </c>
      <c r="M53" t="n">
        <v>0</v>
      </c>
      <c r="N53" t="n">
        <v>0</v>
      </c>
      <c r="O53" t="n">
        <v>1</v>
      </c>
      <c r="P53" t="n">
        <v>0</v>
      </c>
      <c r="Q53" t="n">
        <v>1</v>
      </c>
      <c r="R53" s="2" t="inlineStr">
        <is>
          <t>Sexfläckig bastardsvärmare</t>
        </is>
      </c>
      <c r="S53">
        <f>HYPERLINK("https://klasma.github.io/Logging_0580/artfynd/A 17513-2022 artfynd.xlsx", "A 17513-2022")</f>
        <v/>
      </c>
      <c r="T53">
        <f>HYPERLINK("https://klasma.github.io/Logging_0580/kartor/A 17513-2022 karta.png", "A 17513-2022")</f>
        <v/>
      </c>
      <c r="V53">
        <f>HYPERLINK("https://klasma.github.io/Logging_0580/klagomål/A 17513-2022 FSC-klagomål.docx", "A 17513-2022")</f>
        <v/>
      </c>
      <c r="W53">
        <f>HYPERLINK("https://klasma.github.io/Logging_0580/klagomålsmail/A 17513-2022 FSC-klagomål mail.docx", "A 17513-2022")</f>
        <v/>
      </c>
      <c r="X53">
        <f>HYPERLINK("https://klasma.github.io/Logging_0580/tillsyn/A 17513-2022 tillsynsbegäran.docx", "A 17513-2022")</f>
        <v/>
      </c>
      <c r="Y53">
        <f>HYPERLINK("https://klasma.github.io/Logging_0580/tillsynsmail/A 17513-2022 tillsynsbegäran mail.docx", "A 17513-2022")</f>
        <v/>
      </c>
    </row>
    <row r="54" ht="15" customHeight="1">
      <c r="A54" t="inlineStr">
        <is>
          <t>A 43017-2021</t>
        </is>
      </c>
      <c r="B54" s="1" t="n">
        <v>44431</v>
      </c>
      <c r="C54" s="1" t="n">
        <v>46176</v>
      </c>
      <c r="D54" t="inlineStr">
        <is>
          <t>ÖSTERGÖTLANDS LÄN</t>
        </is>
      </c>
      <c r="E54" t="inlineStr">
        <is>
          <t>LINKÖPING</t>
        </is>
      </c>
      <c r="G54" t="n">
        <v>0.9</v>
      </c>
      <c r="H54" t="n">
        <v>0</v>
      </c>
      <c r="I54" t="n">
        <v>0</v>
      </c>
      <c r="J54" t="n">
        <v>1</v>
      </c>
      <c r="K54" t="n">
        <v>0</v>
      </c>
      <c r="L54" t="n">
        <v>0</v>
      </c>
      <c r="M54" t="n">
        <v>0</v>
      </c>
      <c r="N54" t="n">
        <v>0</v>
      </c>
      <c r="O54" t="n">
        <v>1</v>
      </c>
      <c r="P54" t="n">
        <v>0</v>
      </c>
      <c r="Q54" t="n">
        <v>1</v>
      </c>
      <c r="R54" s="2" t="inlineStr">
        <is>
          <t>Apelsinticka</t>
        </is>
      </c>
      <c r="S54">
        <f>HYPERLINK("https://klasma.github.io/Logging_0580/artfynd/A 43017-2021 artfynd.xlsx", "A 43017-2021")</f>
        <v/>
      </c>
      <c r="T54">
        <f>HYPERLINK("https://klasma.github.io/Logging_0580/kartor/A 43017-2021 karta.png", "A 43017-2021")</f>
        <v/>
      </c>
      <c r="V54">
        <f>HYPERLINK("https://klasma.github.io/Logging_0580/klagomål/A 43017-2021 FSC-klagomål.docx", "A 43017-2021")</f>
        <v/>
      </c>
      <c r="W54">
        <f>HYPERLINK("https://klasma.github.io/Logging_0580/klagomålsmail/A 43017-2021 FSC-klagomål mail.docx", "A 43017-2021")</f>
        <v/>
      </c>
      <c r="X54">
        <f>HYPERLINK("https://klasma.github.io/Logging_0580/tillsyn/A 43017-2021 tillsynsbegäran.docx", "A 43017-2021")</f>
        <v/>
      </c>
      <c r="Y54">
        <f>HYPERLINK("https://klasma.github.io/Logging_0580/tillsynsmail/A 43017-2021 tillsynsbegäran mail.docx", "A 43017-2021")</f>
        <v/>
      </c>
    </row>
    <row r="55" ht="15" customHeight="1">
      <c r="A55" t="inlineStr">
        <is>
          <t>A 46496-2022</t>
        </is>
      </c>
      <c r="B55" s="1" t="n">
        <v>44848</v>
      </c>
      <c r="C55" s="1" t="n">
        <v>46176</v>
      </c>
      <c r="D55" t="inlineStr">
        <is>
          <t>ÖSTERGÖTLANDS LÄN</t>
        </is>
      </c>
      <c r="E55" t="inlineStr">
        <is>
          <t>LINKÖPING</t>
        </is>
      </c>
      <c r="G55" t="n">
        <v>1.1</v>
      </c>
      <c r="H55" t="n">
        <v>0</v>
      </c>
      <c r="I55" t="n">
        <v>0</v>
      </c>
      <c r="J55" t="n">
        <v>1</v>
      </c>
      <c r="K55" t="n">
        <v>0</v>
      </c>
      <c r="L55" t="n">
        <v>0</v>
      </c>
      <c r="M55" t="n">
        <v>0</v>
      </c>
      <c r="N55" t="n">
        <v>0</v>
      </c>
      <c r="O55" t="n">
        <v>1</v>
      </c>
      <c r="P55" t="n">
        <v>0</v>
      </c>
      <c r="Q55" t="n">
        <v>1</v>
      </c>
      <c r="R55" s="2" t="inlineStr">
        <is>
          <t>Bredbrämad bastardsvärmare</t>
        </is>
      </c>
      <c r="S55">
        <f>HYPERLINK("https://klasma.github.io/Logging_0580/artfynd/A 46496-2022 artfynd.xlsx", "A 46496-2022")</f>
        <v/>
      </c>
      <c r="T55">
        <f>HYPERLINK("https://klasma.github.io/Logging_0580/kartor/A 46496-2022 karta.png", "A 46496-2022")</f>
        <v/>
      </c>
      <c r="V55">
        <f>HYPERLINK("https://klasma.github.io/Logging_0580/klagomål/A 46496-2022 FSC-klagomål.docx", "A 46496-2022")</f>
        <v/>
      </c>
      <c r="W55">
        <f>HYPERLINK("https://klasma.github.io/Logging_0580/klagomålsmail/A 46496-2022 FSC-klagomål mail.docx", "A 46496-2022")</f>
        <v/>
      </c>
      <c r="X55">
        <f>HYPERLINK("https://klasma.github.io/Logging_0580/tillsyn/A 46496-2022 tillsynsbegäran.docx", "A 46496-2022")</f>
        <v/>
      </c>
      <c r="Y55">
        <f>HYPERLINK("https://klasma.github.io/Logging_0580/tillsynsmail/A 46496-2022 tillsynsbegäran mail.docx", "A 46496-2022")</f>
        <v/>
      </c>
    </row>
    <row r="56" ht="15" customHeight="1">
      <c r="A56" t="inlineStr">
        <is>
          <t>A 56250-2021</t>
        </is>
      </c>
      <c r="B56" s="1" t="n">
        <v>44479</v>
      </c>
      <c r="C56" s="1" t="n">
        <v>46176</v>
      </c>
      <c r="D56" t="inlineStr">
        <is>
          <t>ÖSTERGÖTLANDS LÄN</t>
        </is>
      </c>
      <c r="E56" t="inlineStr">
        <is>
          <t>LINKÖPING</t>
        </is>
      </c>
      <c r="F56" t="inlineStr">
        <is>
          <t>Övriga Aktiebolag</t>
        </is>
      </c>
      <c r="G56" t="n">
        <v>3.2</v>
      </c>
      <c r="H56" t="n">
        <v>0</v>
      </c>
      <c r="I56" t="n">
        <v>1</v>
      </c>
      <c r="J56" t="n">
        <v>0</v>
      </c>
      <c r="K56" t="n">
        <v>0</v>
      </c>
      <c r="L56" t="n">
        <v>0</v>
      </c>
      <c r="M56" t="n">
        <v>0</v>
      </c>
      <c r="N56" t="n">
        <v>0</v>
      </c>
      <c r="O56" t="n">
        <v>0</v>
      </c>
      <c r="P56" t="n">
        <v>0</v>
      </c>
      <c r="Q56" t="n">
        <v>1</v>
      </c>
      <c r="R56" s="2" t="inlineStr">
        <is>
          <t>Strutbräken</t>
        </is>
      </c>
      <c r="S56">
        <f>HYPERLINK("https://klasma.github.io/Logging_0580/artfynd/A 56250-2021 artfynd.xlsx", "A 56250-2021")</f>
        <v/>
      </c>
      <c r="T56">
        <f>HYPERLINK("https://klasma.github.io/Logging_0580/kartor/A 56250-2021 karta.png", "A 56250-2021")</f>
        <v/>
      </c>
      <c r="V56">
        <f>HYPERLINK("https://klasma.github.io/Logging_0580/klagomål/A 56250-2021 FSC-klagomål.docx", "A 56250-2021")</f>
        <v/>
      </c>
      <c r="W56">
        <f>HYPERLINK("https://klasma.github.io/Logging_0580/klagomålsmail/A 56250-2021 FSC-klagomål mail.docx", "A 56250-2021")</f>
        <v/>
      </c>
      <c r="X56">
        <f>HYPERLINK("https://klasma.github.io/Logging_0580/tillsyn/A 56250-2021 tillsynsbegäran.docx", "A 56250-2021")</f>
        <v/>
      </c>
      <c r="Y56">
        <f>HYPERLINK("https://klasma.github.io/Logging_0580/tillsynsmail/A 56250-2021 tillsynsbegäran mail.docx", "A 56250-2021")</f>
        <v/>
      </c>
    </row>
    <row r="57" ht="15" customHeight="1">
      <c r="A57" t="inlineStr">
        <is>
          <t>A 71127-2021</t>
        </is>
      </c>
      <c r="B57" s="1" t="n">
        <v>44537</v>
      </c>
      <c r="C57" s="1" t="n">
        <v>46176</v>
      </c>
      <c r="D57" t="inlineStr">
        <is>
          <t>ÖSTERGÖTLANDS LÄN</t>
        </is>
      </c>
      <c r="E57" t="inlineStr">
        <is>
          <t>LINKÖPING</t>
        </is>
      </c>
      <c r="F57" t="inlineStr">
        <is>
          <t>Kommuner</t>
        </is>
      </c>
      <c r="G57" t="n">
        <v>7.2</v>
      </c>
      <c r="H57" t="n">
        <v>0</v>
      </c>
      <c r="I57" t="n">
        <v>0</v>
      </c>
      <c r="J57" t="n">
        <v>1</v>
      </c>
      <c r="K57" t="n">
        <v>0</v>
      </c>
      <c r="L57" t="n">
        <v>0</v>
      </c>
      <c r="M57" t="n">
        <v>0</v>
      </c>
      <c r="N57" t="n">
        <v>0</v>
      </c>
      <c r="O57" t="n">
        <v>1</v>
      </c>
      <c r="P57" t="n">
        <v>0</v>
      </c>
      <c r="Q57" t="n">
        <v>1</v>
      </c>
      <c r="R57" s="2" t="inlineStr">
        <is>
          <t>Svinrot</t>
        </is>
      </c>
      <c r="S57">
        <f>HYPERLINK("https://klasma.github.io/Logging_0580/artfynd/A 71127-2021 artfynd.xlsx", "A 71127-2021")</f>
        <v/>
      </c>
      <c r="T57">
        <f>HYPERLINK("https://klasma.github.io/Logging_0580/kartor/A 71127-2021 karta.png", "A 71127-2021")</f>
        <v/>
      </c>
      <c r="V57">
        <f>HYPERLINK("https://klasma.github.io/Logging_0580/klagomål/A 71127-2021 FSC-klagomål.docx", "A 71127-2021")</f>
        <v/>
      </c>
      <c r="W57">
        <f>HYPERLINK("https://klasma.github.io/Logging_0580/klagomålsmail/A 71127-2021 FSC-klagomål mail.docx", "A 71127-2021")</f>
        <v/>
      </c>
      <c r="X57">
        <f>HYPERLINK("https://klasma.github.io/Logging_0580/tillsyn/A 71127-2021 tillsynsbegäran.docx", "A 71127-2021")</f>
        <v/>
      </c>
      <c r="Y57">
        <f>HYPERLINK("https://klasma.github.io/Logging_0580/tillsynsmail/A 71127-2021 tillsynsbegäran mail.docx", "A 71127-2021")</f>
        <v/>
      </c>
    </row>
    <row r="58" ht="15" customHeight="1">
      <c r="A58" t="inlineStr">
        <is>
          <t>A 931-2025</t>
        </is>
      </c>
      <c r="B58" s="1" t="n">
        <v>45665.88498842593</v>
      </c>
      <c r="C58" s="1" t="n">
        <v>46176</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1716-2023</t>
        </is>
      </c>
      <c r="B59" s="1" t="n">
        <v>44938</v>
      </c>
      <c r="C59" s="1" t="n">
        <v>46176</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1716-2023 artfynd.xlsx", "A 1716-2023")</f>
        <v/>
      </c>
      <c r="T59">
        <f>HYPERLINK("https://klasma.github.io/Logging_0580/kartor/A 1716-2023 karta.png", "A 1716-2023")</f>
        <v/>
      </c>
      <c r="V59">
        <f>HYPERLINK("https://klasma.github.io/Logging_0580/klagomål/A 1716-2023 FSC-klagomål.docx", "A 1716-2023")</f>
        <v/>
      </c>
      <c r="W59">
        <f>HYPERLINK("https://klasma.github.io/Logging_0580/klagomålsmail/A 1716-2023 FSC-klagomål mail.docx", "A 1716-2023")</f>
        <v/>
      </c>
      <c r="X59">
        <f>HYPERLINK("https://klasma.github.io/Logging_0580/tillsyn/A 1716-2023 tillsynsbegäran.docx", "A 1716-2023")</f>
        <v/>
      </c>
      <c r="Y59">
        <f>HYPERLINK("https://klasma.github.io/Logging_0580/tillsynsmail/A 1716-2023 tillsynsbegäran mail.docx", "A 1716-2023")</f>
        <v/>
      </c>
    </row>
    <row r="60" ht="15" customHeight="1">
      <c r="A60" t="inlineStr">
        <is>
          <t>A 1213-2023</t>
        </is>
      </c>
      <c r="B60" s="1" t="n">
        <v>44930</v>
      </c>
      <c r="C60" s="1" t="n">
        <v>46176</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45317-2023</t>
        </is>
      </c>
      <c r="B61" s="1" t="n">
        <v>45191.74868055555</v>
      </c>
      <c r="C61" s="1" t="n">
        <v>46176</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59948-2022</t>
        </is>
      </c>
      <c r="B62" s="1" t="n">
        <v>44909</v>
      </c>
      <c r="C62" s="1" t="n">
        <v>46176</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37683-2024</t>
        </is>
      </c>
      <c r="B63" s="1" t="n">
        <v>45541.59120370371</v>
      </c>
      <c r="C63" s="1" t="n">
        <v>46176</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22526-2025</t>
        </is>
      </c>
      <c r="B64" s="1" t="n">
        <v>45786.78096064815</v>
      </c>
      <c r="C64" s="1" t="n">
        <v>46176</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36723-2023</t>
        </is>
      </c>
      <c r="B65" s="1" t="n">
        <v>45153</v>
      </c>
      <c r="C65" s="1" t="n">
        <v>46176</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21227-2026</t>
        </is>
      </c>
      <c r="B66" s="1" t="n">
        <v>46146.78898148148</v>
      </c>
      <c r="C66" s="1" t="n">
        <v>46176</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Rödvingetrast</t>
        </is>
      </c>
      <c r="S66">
        <f>HYPERLINK("https://klasma.github.io/Logging_0580/artfynd/A 21227-2026 artfynd.xlsx", "A 21227-2026")</f>
        <v/>
      </c>
      <c r="T66">
        <f>HYPERLINK("https://klasma.github.io/Logging_0580/kartor/A 21227-2026 karta.png", "A 21227-2026")</f>
        <v/>
      </c>
      <c r="V66">
        <f>HYPERLINK("https://klasma.github.io/Logging_0580/klagomål/A 21227-2026 FSC-klagomål.docx", "A 21227-2026")</f>
        <v/>
      </c>
      <c r="W66">
        <f>HYPERLINK("https://klasma.github.io/Logging_0580/klagomålsmail/A 21227-2026 FSC-klagomål mail.docx", "A 21227-2026")</f>
        <v/>
      </c>
      <c r="X66">
        <f>HYPERLINK("https://klasma.github.io/Logging_0580/tillsyn/A 21227-2026 tillsynsbegäran.docx", "A 21227-2026")</f>
        <v/>
      </c>
      <c r="Y66">
        <f>HYPERLINK("https://klasma.github.io/Logging_0580/tillsynsmail/A 21227-2026 tillsynsbegäran mail.docx", "A 21227-2026")</f>
        <v/>
      </c>
      <c r="Z66">
        <f>HYPERLINK("https://klasma.github.io/Logging_0580/fåglar/A 21227-2026 prioriterade fågelarter.docx", "A 21227-2026")</f>
        <v/>
      </c>
    </row>
    <row r="67" ht="15" customHeight="1">
      <c r="A67" t="inlineStr">
        <is>
          <t>A 56651-2023</t>
        </is>
      </c>
      <c r="B67" s="1" t="n">
        <v>45243</v>
      </c>
      <c r="C67" s="1" t="n">
        <v>46176</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46176</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42054-2022</t>
        </is>
      </c>
      <c r="B69" s="1" t="n">
        <v>44830</v>
      </c>
      <c r="C69" s="1" t="n">
        <v>46176</v>
      </c>
      <c r="D69" t="inlineStr">
        <is>
          <t>ÖSTERGÖTLANDS LÄN</t>
        </is>
      </c>
      <c r="E69" t="inlineStr">
        <is>
          <t>LINKÖPING</t>
        </is>
      </c>
      <c r="G69" t="n">
        <v>1.7</v>
      </c>
      <c r="H69" t="n">
        <v>0</v>
      </c>
      <c r="I69" t="n">
        <v>0</v>
      </c>
      <c r="J69" t="n">
        <v>1</v>
      </c>
      <c r="K69" t="n">
        <v>0</v>
      </c>
      <c r="L69" t="n">
        <v>0</v>
      </c>
      <c r="M69" t="n">
        <v>0</v>
      </c>
      <c r="N69" t="n">
        <v>0</v>
      </c>
      <c r="O69" t="n">
        <v>1</v>
      </c>
      <c r="P69" t="n">
        <v>0</v>
      </c>
      <c r="Q69" t="n">
        <v>1</v>
      </c>
      <c r="R69" s="2" t="inlineStr">
        <is>
          <t>Tallticka</t>
        </is>
      </c>
      <c r="S69">
        <f>HYPERLINK("https://klasma.github.io/Logging_0580/artfynd/A 42054-2022 artfynd.xlsx", "A 42054-2022")</f>
        <v/>
      </c>
      <c r="T69">
        <f>HYPERLINK("https://klasma.github.io/Logging_0580/kartor/A 42054-2022 karta.png", "A 42054-2022")</f>
        <v/>
      </c>
      <c r="V69">
        <f>HYPERLINK("https://klasma.github.io/Logging_0580/klagomål/A 42054-2022 FSC-klagomål.docx", "A 42054-2022")</f>
        <v/>
      </c>
      <c r="W69">
        <f>HYPERLINK("https://klasma.github.io/Logging_0580/klagomålsmail/A 42054-2022 FSC-klagomål mail.docx", "A 42054-2022")</f>
        <v/>
      </c>
      <c r="X69">
        <f>HYPERLINK("https://klasma.github.io/Logging_0580/tillsyn/A 42054-2022 tillsynsbegäran.docx", "A 42054-2022")</f>
        <v/>
      </c>
      <c r="Y69">
        <f>HYPERLINK("https://klasma.github.io/Logging_0580/tillsynsmail/A 42054-2022 tillsynsbegäran mail.docx", "A 42054-2022")</f>
        <v/>
      </c>
    </row>
    <row r="70" ht="15" customHeight="1">
      <c r="A70" t="inlineStr">
        <is>
          <t>A 43989-2025</t>
        </is>
      </c>
      <c r="B70" s="1" t="n">
        <v>45915.44128472222</v>
      </c>
      <c r="C70" s="1" t="n">
        <v>46176</v>
      </c>
      <c r="D70" t="inlineStr">
        <is>
          <t>ÖSTERGÖTLANDS LÄN</t>
        </is>
      </c>
      <c r="E70" t="inlineStr">
        <is>
          <t>LINKÖPING</t>
        </is>
      </c>
      <c r="F70" t="inlineStr">
        <is>
          <t>Allmännings- och besparingsskogar</t>
        </is>
      </c>
      <c r="G70" t="n">
        <v>3.5</v>
      </c>
      <c r="H70" t="n">
        <v>0</v>
      </c>
      <c r="I70" t="n">
        <v>0</v>
      </c>
      <c r="J70" t="n">
        <v>1</v>
      </c>
      <c r="K70" t="n">
        <v>0</v>
      </c>
      <c r="L70" t="n">
        <v>0</v>
      </c>
      <c r="M70" t="n">
        <v>0</v>
      </c>
      <c r="N70" t="n">
        <v>0</v>
      </c>
      <c r="O70" t="n">
        <v>1</v>
      </c>
      <c r="P70" t="n">
        <v>0</v>
      </c>
      <c r="Q70" t="n">
        <v>1</v>
      </c>
      <c r="R70" s="2" t="inlineStr">
        <is>
          <t>Kavelhirs</t>
        </is>
      </c>
      <c r="S70">
        <f>HYPERLINK("https://klasma.github.io/Logging_0580/artfynd/A 43989-2025 artfynd.xlsx", "A 43989-2025")</f>
        <v/>
      </c>
      <c r="T70">
        <f>HYPERLINK("https://klasma.github.io/Logging_0580/kartor/A 43989-2025 karta.png", "A 43989-2025")</f>
        <v/>
      </c>
      <c r="V70">
        <f>HYPERLINK("https://klasma.github.io/Logging_0580/klagomål/A 43989-2025 FSC-klagomål.docx", "A 43989-2025")</f>
        <v/>
      </c>
      <c r="W70">
        <f>HYPERLINK("https://klasma.github.io/Logging_0580/klagomålsmail/A 43989-2025 FSC-klagomål mail.docx", "A 43989-2025")</f>
        <v/>
      </c>
      <c r="X70">
        <f>HYPERLINK("https://klasma.github.io/Logging_0580/tillsyn/A 43989-2025 tillsynsbegäran.docx", "A 43989-2025")</f>
        <v/>
      </c>
      <c r="Y70">
        <f>HYPERLINK("https://klasma.github.io/Logging_0580/tillsynsmail/A 43989-2025 tillsynsbegäran mail.docx", "A 43989-2025")</f>
        <v/>
      </c>
    </row>
    <row r="71" ht="15" customHeight="1">
      <c r="A71" t="inlineStr">
        <is>
          <t>A 5911-2022</t>
        </is>
      </c>
      <c r="B71" s="1" t="n">
        <v>44597</v>
      </c>
      <c r="C71" s="1" t="n">
        <v>46176</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44760-2025</t>
        </is>
      </c>
      <c r="B72" s="1" t="n">
        <v>45917.71873842592</v>
      </c>
      <c r="C72" s="1" t="n">
        <v>46176</v>
      </c>
      <c r="D72" t="inlineStr">
        <is>
          <t>ÖSTERGÖTLANDS LÄN</t>
        </is>
      </c>
      <c r="E72" t="inlineStr">
        <is>
          <t>LINKÖPING</t>
        </is>
      </c>
      <c r="G72" t="n">
        <v>0.9</v>
      </c>
      <c r="H72" t="n">
        <v>0</v>
      </c>
      <c r="I72" t="n">
        <v>0</v>
      </c>
      <c r="J72" t="n">
        <v>1</v>
      </c>
      <c r="K72" t="n">
        <v>0</v>
      </c>
      <c r="L72" t="n">
        <v>0</v>
      </c>
      <c r="M72" t="n">
        <v>0</v>
      </c>
      <c r="N72" t="n">
        <v>0</v>
      </c>
      <c r="O72" t="n">
        <v>1</v>
      </c>
      <c r="P72" t="n">
        <v>0</v>
      </c>
      <c r="Q72" t="n">
        <v>1</v>
      </c>
      <c r="R72" s="2" t="inlineStr">
        <is>
          <t>Tallticka</t>
        </is>
      </c>
      <c r="S72">
        <f>HYPERLINK("https://klasma.github.io/Logging_0580/artfynd/A 44760-2025 artfynd.xlsx", "A 44760-2025")</f>
        <v/>
      </c>
      <c r="T72">
        <f>HYPERLINK("https://klasma.github.io/Logging_0580/kartor/A 44760-2025 karta.png", "A 44760-2025")</f>
        <v/>
      </c>
      <c r="V72">
        <f>HYPERLINK("https://klasma.github.io/Logging_0580/klagomål/A 44760-2025 FSC-klagomål.docx", "A 44760-2025")</f>
        <v/>
      </c>
      <c r="W72">
        <f>HYPERLINK("https://klasma.github.io/Logging_0580/klagomålsmail/A 44760-2025 FSC-klagomål mail.docx", "A 44760-2025")</f>
        <v/>
      </c>
      <c r="X72">
        <f>HYPERLINK("https://klasma.github.io/Logging_0580/tillsyn/A 44760-2025 tillsynsbegäran.docx", "A 44760-2025")</f>
        <v/>
      </c>
      <c r="Y72">
        <f>HYPERLINK("https://klasma.github.io/Logging_0580/tillsynsmail/A 44760-2025 tillsynsbegäran mail.docx", "A 44760-2025")</f>
        <v/>
      </c>
    </row>
    <row r="73" ht="15" customHeight="1">
      <c r="A73" t="inlineStr">
        <is>
          <t>A 90-2024</t>
        </is>
      </c>
      <c r="B73" s="1" t="n">
        <v>45293</v>
      </c>
      <c r="C73" s="1" t="n">
        <v>46176</v>
      </c>
      <c r="D73" t="inlineStr">
        <is>
          <t>ÖSTERGÖTLANDS LÄN</t>
        </is>
      </c>
      <c r="E73" t="inlineStr">
        <is>
          <t>LINKÖPING</t>
        </is>
      </c>
      <c r="G73" t="n">
        <v>1.8</v>
      </c>
      <c r="H73" t="n">
        <v>0</v>
      </c>
      <c r="I73" t="n">
        <v>1</v>
      </c>
      <c r="J73" t="n">
        <v>0</v>
      </c>
      <c r="K73" t="n">
        <v>0</v>
      </c>
      <c r="L73" t="n">
        <v>0</v>
      </c>
      <c r="M73" t="n">
        <v>0</v>
      </c>
      <c r="N73" t="n">
        <v>0</v>
      </c>
      <c r="O73" t="n">
        <v>0</v>
      </c>
      <c r="P73" t="n">
        <v>0</v>
      </c>
      <c r="Q73" t="n">
        <v>1</v>
      </c>
      <c r="R73" s="2" t="inlineStr">
        <is>
          <t>Grov fjädermossa</t>
        </is>
      </c>
      <c r="S73">
        <f>HYPERLINK("https://klasma.github.io/Logging_0580/artfynd/A 90-2024 artfynd.xlsx", "A 90-2024")</f>
        <v/>
      </c>
      <c r="T73">
        <f>HYPERLINK("https://klasma.github.io/Logging_0580/kartor/A 90-2024 karta.png", "A 90-2024")</f>
        <v/>
      </c>
      <c r="V73">
        <f>HYPERLINK("https://klasma.github.io/Logging_0580/klagomål/A 90-2024 FSC-klagomål.docx", "A 90-2024")</f>
        <v/>
      </c>
      <c r="W73">
        <f>HYPERLINK("https://klasma.github.io/Logging_0580/klagomålsmail/A 90-2024 FSC-klagomål mail.docx", "A 90-2024")</f>
        <v/>
      </c>
      <c r="X73">
        <f>HYPERLINK("https://klasma.github.io/Logging_0580/tillsyn/A 90-2024 tillsynsbegäran.docx", "A 90-2024")</f>
        <v/>
      </c>
      <c r="Y73">
        <f>HYPERLINK("https://klasma.github.io/Logging_0580/tillsynsmail/A 90-2024 tillsynsbegäran mail.docx", "A 90-2024")</f>
        <v/>
      </c>
    </row>
    <row r="74" ht="15" customHeight="1">
      <c r="A74" t="inlineStr">
        <is>
          <t>A 40315-2024</t>
        </is>
      </c>
      <c r="B74" s="1" t="n">
        <v>45554.7571875</v>
      </c>
      <c r="C74" s="1" t="n">
        <v>46176</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48347-2025</t>
        </is>
      </c>
      <c r="B75" s="1" t="n">
        <v>45932</v>
      </c>
      <c r="C75" s="1" t="n">
        <v>46176</v>
      </c>
      <c r="D75" t="inlineStr">
        <is>
          <t>ÖSTERGÖTLANDS LÄN</t>
        </is>
      </c>
      <c r="E75" t="inlineStr">
        <is>
          <t>LINKÖPING</t>
        </is>
      </c>
      <c r="F75" t="inlineStr">
        <is>
          <t>Övriga Aktiebolag</t>
        </is>
      </c>
      <c r="G75" t="n">
        <v>0.9</v>
      </c>
      <c r="H75" t="n">
        <v>0</v>
      </c>
      <c r="I75" t="n">
        <v>0</v>
      </c>
      <c r="J75" t="n">
        <v>1</v>
      </c>
      <c r="K75" t="n">
        <v>0</v>
      </c>
      <c r="L75" t="n">
        <v>0</v>
      </c>
      <c r="M75" t="n">
        <v>0</v>
      </c>
      <c r="N75" t="n">
        <v>0</v>
      </c>
      <c r="O75" t="n">
        <v>1</v>
      </c>
      <c r="P75" t="n">
        <v>0</v>
      </c>
      <c r="Q75" t="n">
        <v>1</v>
      </c>
      <c r="R75" s="2" t="inlineStr">
        <is>
          <t>Igelkott</t>
        </is>
      </c>
      <c r="S75">
        <f>HYPERLINK("https://klasma.github.io/Logging_0580/artfynd/A 48347-2025 artfynd.xlsx", "A 48347-2025")</f>
        <v/>
      </c>
      <c r="T75">
        <f>HYPERLINK("https://klasma.github.io/Logging_0580/kartor/A 48347-2025 karta.png", "A 48347-2025")</f>
        <v/>
      </c>
      <c r="V75">
        <f>HYPERLINK("https://klasma.github.io/Logging_0580/klagomål/A 48347-2025 FSC-klagomål.docx", "A 48347-2025")</f>
        <v/>
      </c>
      <c r="W75">
        <f>HYPERLINK("https://klasma.github.io/Logging_0580/klagomålsmail/A 48347-2025 FSC-klagomål mail.docx", "A 48347-2025")</f>
        <v/>
      </c>
      <c r="X75">
        <f>HYPERLINK("https://klasma.github.io/Logging_0580/tillsyn/A 48347-2025 tillsynsbegäran.docx", "A 48347-2025")</f>
        <v/>
      </c>
      <c r="Y75">
        <f>HYPERLINK("https://klasma.github.io/Logging_0580/tillsynsmail/A 48347-2025 tillsynsbegäran mail.docx", "A 48347-2025")</f>
        <v/>
      </c>
    </row>
    <row r="76" ht="15" customHeight="1">
      <c r="A76" t="inlineStr">
        <is>
          <t>A 48353-2025</t>
        </is>
      </c>
      <c r="B76" s="1" t="n">
        <v>45932</v>
      </c>
      <c r="C76" s="1" t="n">
        <v>46176</v>
      </c>
      <c r="D76" t="inlineStr">
        <is>
          <t>ÖSTERGÖTLANDS LÄN</t>
        </is>
      </c>
      <c r="E76" t="inlineStr">
        <is>
          <t>LINKÖPING</t>
        </is>
      </c>
      <c r="F76" t="inlineStr">
        <is>
          <t>Övriga Aktiebolag</t>
        </is>
      </c>
      <c r="G76" t="n">
        <v>4.5</v>
      </c>
      <c r="H76" t="n">
        <v>1</v>
      </c>
      <c r="I76" t="n">
        <v>0</v>
      </c>
      <c r="J76" t="n">
        <v>1</v>
      </c>
      <c r="K76" t="n">
        <v>0</v>
      </c>
      <c r="L76" t="n">
        <v>0</v>
      </c>
      <c r="M76" t="n">
        <v>0</v>
      </c>
      <c r="N76" t="n">
        <v>0</v>
      </c>
      <c r="O76" t="n">
        <v>1</v>
      </c>
      <c r="P76" t="n">
        <v>0</v>
      </c>
      <c r="Q76" t="n">
        <v>1</v>
      </c>
      <c r="R76" s="2" t="inlineStr">
        <is>
          <t>Entita</t>
        </is>
      </c>
      <c r="S76">
        <f>HYPERLINK("https://klasma.github.io/Logging_0580/artfynd/A 48353-2025 artfynd.xlsx", "A 48353-2025")</f>
        <v/>
      </c>
      <c r="T76">
        <f>HYPERLINK("https://klasma.github.io/Logging_0580/kartor/A 48353-2025 karta.png", "A 48353-2025")</f>
        <v/>
      </c>
      <c r="V76">
        <f>HYPERLINK("https://klasma.github.io/Logging_0580/klagomål/A 48353-2025 FSC-klagomål.docx", "A 48353-2025")</f>
        <v/>
      </c>
      <c r="W76">
        <f>HYPERLINK("https://klasma.github.io/Logging_0580/klagomålsmail/A 48353-2025 FSC-klagomål mail.docx", "A 48353-2025")</f>
        <v/>
      </c>
      <c r="X76">
        <f>HYPERLINK("https://klasma.github.io/Logging_0580/tillsyn/A 48353-2025 tillsynsbegäran.docx", "A 48353-2025")</f>
        <v/>
      </c>
      <c r="Y76">
        <f>HYPERLINK("https://klasma.github.io/Logging_0580/tillsynsmail/A 48353-2025 tillsynsbegäran mail.docx", "A 48353-2025")</f>
        <v/>
      </c>
      <c r="Z76">
        <f>HYPERLINK("https://klasma.github.io/Logging_0580/fåglar/A 48353-2025 prioriterade fågelarter.docx", "A 48353-2025")</f>
        <v/>
      </c>
    </row>
    <row r="77" ht="15" customHeight="1">
      <c r="A77" t="inlineStr">
        <is>
          <t>A 48273-2025</t>
        </is>
      </c>
      <c r="B77" s="1" t="n">
        <v>45932</v>
      </c>
      <c r="C77" s="1" t="n">
        <v>46176</v>
      </c>
      <c r="D77" t="inlineStr">
        <is>
          <t>ÖSTERGÖTLANDS LÄN</t>
        </is>
      </c>
      <c r="E77" t="inlineStr">
        <is>
          <t>LINKÖPING</t>
        </is>
      </c>
      <c r="F77" t="inlineStr">
        <is>
          <t>Övriga Aktiebolag</t>
        </is>
      </c>
      <c r="G77" t="n">
        <v>4.6</v>
      </c>
      <c r="H77" t="n">
        <v>0</v>
      </c>
      <c r="I77" t="n">
        <v>0</v>
      </c>
      <c r="J77" t="n">
        <v>1</v>
      </c>
      <c r="K77" t="n">
        <v>0</v>
      </c>
      <c r="L77" t="n">
        <v>0</v>
      </c>
      <c r="M77" t="n">
        <v>0</v>
      </c>
      <c r="N77" t="n">
        <v>0</v>
      </c>
      <c r="O77" t="n">
        <v>1</v>
      </c>
      <c r="P77" t="n">
        <v>0</v>
      </c>
      <c r="Q77" t="n">
        <v>1</v>
      </c>
      <c r="R77" s="2" t="inlineStr">
        <is>
          <t>Barrviolspindling</t>
        </is>
      </c>
      <c r="S77">
        <f>HYPERLINK("https://klasma.github.io/Logging_0580/artfynd/A 48273-2025 artfynd.xlsx", "A 48273-2025")</f>
        <v/>
      </c>
      <c r="T77">
        <f>HYPERLINK("https://klasma.github.io/Logging_0580/kartor/A 48273-2025 karta.png", "A 48273-2025")</f>
        <v/>
      </c>
      <c r="V77">
        <f>HYPERLINK("https://klasma.github.io/Logging_0580/klagomål/A 48273-2025 FSC-klagomål.docx", "A 48273-2025")</f>
        <v/>
      </c>
      <c r="W77">
        <f>HYPERLINK("https://klasma.github.io/Logging_0580/klagomålsmail/A 48273-2025 FSC-klagomål mail.docx", "A 48273-2025")</f>
        <v/>
      </c>
      <c r="X77">
        <f>HYPERLINK("https://klasma.github.io/Logging_0580/tillsyn/A 48273-2025 tillsynsbegäran.docx", "A 48273-2025")</f>
        <v/>
      </c>
      <c r="Y77">
        <f>HYPERLINK("https://klasma.github.io/Logging_0580/tillsynsmail/A 48273-2025 tillsynsbegäran mail.docx", "A 48273-2025")</f>
        <v/>
      </c>
    </row>
    <row r="78" ht="15" customHeight="1">
      <c r="A78" t="inlineStr">
        <is>
          <t>A 48298-2025</t>
        </is>
      </c>
      <c r="B78" s="1" t="n">
        <v>45932</v>
      </c>
      <c r="C78" s="1" t="n">
        <v>46176</v>
      </c>
      <c r="D78" t="inlineStr">
        <is>
          <t>ÖSTERGÖTLANDS LÄN</t>
        </is>
      </c>
      <c r="E78" t="inlineStr">
        <is>
          <t>LINKÖPING</t>
        </is>
      </c>
      <c r="F78" t="inlineStr">
        <is>
          <t>Övriga Aktiebolag</t>
        </is>
      </c>
      <c r="G78" t="n">
        <v>1.7</v>
      </c>
      <c r="H78" t="n">
        <v>0</v>
      </c>
      <c r="I78" t="n">
        <v>1</v>
      </c>
      <c r="J78" t="n">
        <v>0</v>
      </c>
      <c r="K78" t="n">
        <v>0</v>
      </c>
      <c r="L78" t="n">
        <v>0</v>
      </c>
      <c r="M78" t="n">
        <v>0</v>
      </c>
      <c r="N78" t="n">
        <v>0</v>
      </c>
      <c r="O78" t="n">
        <v>0</v>
      </c>
      <c r="P78" t="n">
        <v>0</v>
      </c>
      <c r="Q78" t="n">
        <v>1</v>
      </c>
      <c r="R78" s="2" t="inlineStr">
        <is>
          <t>Västlig hakmossa</t>
        </is>
      </c>
      <c r="S78">
        <f>HYPERLINK("https://klasma.github.io/Logging_0580/artfynd/A 48298-2025 artfynd.xlsx", "A 48298-2025")</f>
        <v/>
      </c>
      <c r="T78">
        <f>HYPERLINK("https://klasma.github.io/Logging_0580/kartor/A 48298-2025 karta.png", "A 48298-2025")</f>
        <v/>
      </c>
      <c r="V78">
        <f>HYPERLINK("https://klasma.github.io/Logging_0580/klagomål/A 48298-2025 FSC-klagomål.docx", "A 48298-2025")</f>
        <v/>
      </c>
      <c r="W78">
        <f>HYPERLINK("https://klasma.github.io/Logging_0580/klagomålsmail/A 48298-2025 FSC-klagomål mail.docx", "A 48298-2025")</f>
        <v/>
      </c>
      <c r="X78">
        <f>HYPERLINK("https://klasma.github.io/Logging_0580/tillsyn/A 48298-2025 tillsynsbegäran.docx", "A 48298-2025")</f>
        <v/>
      </c>
      <c r="Y78">
        <f>HYPERLINK("https://klasma.github.io/Logging_0580/tillsynsmail/A 48298-2025 tillsynsbegäran mail.docx", "A 48298-2025")</f>
        <v/>
      </c>
    </row>
    <row r="79" ht="15" customHeight="1">
      <c r="A79" t="inlineStr">
        <is>
          <t>A 50034-2025</t>
        </is>
      </c>
      <c r="B79" s="1" t="n">
        <v>45941</v>
      </c>
      <c r="C79" s="1" t="n">
        <v>46176</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25262-2026</t>
        </is>
      </c>
      <c r="B80" s="1" t="n">
        <v>46175.84725694444</v>
      </c>
      <c r="C80" s="1" t="n">
        <v>46176</v>
      </c>
      <c r="D80" t="inlineStr">
        <is>
          <t>ÖSTERGÖTLANDS LÄN</t>
        </is>
      </c>
      <c r="E80" t="inlineStr">
        <is>
          <t>LINKÖPING</t>
        </is>
      </c>
      <c r="G80" t="n">
        <v>0.9</v>
      </c>
      <c r="H80" t="n">
        <v>0</v>
      </c>
      <c r="I80" t="n">
        <v>0</v>
      </c>
      <c r="J80" t="n">
        <v>1</v>
      </c>
      <c r="K80" t="n">
        <v>0</v>
      </c>
      <c r="L80" t="n">
        <v>0</v>
      </c>
      <c r="M80" t="n">
        <v>0</v>
      </c>
      <c r="N80" t="n">
        <v>0</v>
      </c>
      <c r="O80" t="n">
        <v>1</v>
      </c>
      <c r="P80" t="n">
        <v>0</v>
      </c>
      <c r="Q80" t="n">
        <v>1</v>
      </c>
      <c r="R80" s="2" t="inlineStr">
        <is>
          <t>Gullklöver</t>
        </is>
      </c>
      <c r="S80">
        <f>HYPERLINK("https://klasma.github.io/Logging_0580/artfynd/A 25262-2026 artfynd.xlsx", "A 25262-2026")</f>
        <v/>
      </c>
      <c r="T80">
        <f>HYPERLINK("https://klasma.github.io/Logging_0580/kartor/A 25262-2026 karta.png", "A 25262-2026")</f>
        <v/>
      </c>
      <c r="V80">
        <f>HYPERLINK("https://klasma.github.io/Logging_0580/klagomål/A 25262-2026 FSC-klagomål.docx", "A 25262-2026")</f>
        <v/>
      </c>
      <c r="W80">
        <f>HYPERLINK("https://klasma.github.io/Logging_0580/klagomålsmail/A 25262-2026 FSC-klagomål mail.docx", "A 25262-2026")</f>
        <v/>
      </c>
      <c r="X80">
        <f>HYPERLINK("https://klasma.github.io/Logging_0580/tillsyn/A 25262-2026 tillsynsbegäran.docx", "A 25262-2026")</f>
        <v/>
      </c>
      <c r="Y80">
        <f>HYPERLINK("https://klasma.github.io/Logging_0580/tillsynsmail/A 25262-2026 tillsynsbegäran mail.docx", "A 25262-2026")</f>
        <v/>
      </c>
    </row>
    <row r="81" ht="15" customHeight="1">
      <c r="A81" t="inlineStr">
        <is>
          <t>A 15290-2025</t>
        </is>
      </c>
      <c r="B81" s="1" t="n">
        <v>45745.45288194445</v>
      </c>
      <c r="C81" s="1" t="n">
        <v>46176</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34881-2023</t>
        </is>
      </c>
      <c r="B82" s="1" t="n">
        <v>45140</v>
      </c>
      <c r="C82" s="1" t="n">
        <v>46176</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Tallticka</t>
        </is>
      </c>
      <c r="S82">
        <f>HYPERLINK("https://klasma.github.io/Logging_0580/artfynd/A 34881-2023 artfynd.xlsx", "A 34881-2023")</f>
        <v/>
      </c>
      <c r="T82">
        <f>HYPERLINK("https://klasma.github.io/Logging_0580/kartor/A 34881-2023 karta.png", "A 34881-2023")</f>
        <v/>
      </c>
      <c r="U82">
        <f>HYPERLINK("https://klasma.github.io/Logging_0580/knärot/A 34881-2023 karta knärot.png", "A 34881-2023")</f>
        <v/>
      </c>
      <c r="V82">
        <f>HYPERLINK("https://klasma.github.io/Logging_0580/klagomål/A 34881-2023 FSC-klagomål.docx", "A 34881-2023")</f>
        <v/>
      </c>
      <c r="W82">
        <f>HYPERLINK("https://klasma.github.io/Logging_0580/klagomålsmail/A 34881-2023 FSC-klagomål mail.docx", "A 34881-2023")</f>
        <v/>
      </c>
      <c r="X82">
        <f>HYPERLINK("https://klasma.github.io/Logging_0580/tillsyn/A 34881-2023 tillsynsbegäran.docx", "A 34881-2023")</f>
        <v/>
      </c>
      <c r="Y82">
        <f>HYPERLINK("https://klasma.github.io/Logging_0580/tillsynsmail/A 34881-2023 tillsynsbegäran mail.docx", "A 34881-2023")</f>
        <v/>
      </c>
    </row>
    <row r="83" ht="15" customHeight="1">
      <c r="A83" t="inlineStr">
        <is>
          <t>A 50471-2024</t>
        </is>
      </c>
      <c r="B83" s="1" t="n">
        <v>45601.47166666666</v>
      </c>
      <c r="C83" s="1" t="n">
        <v>46176</v>
      </c>
      <c r="D83" t="inlineStr">
        <is>
          <t>ÖSTERGÖTLANDS LÄN</t>
        </is>
      </c>
      <c r="E83" t="inlineStr">
        <is>
          <t>LINKÖPING</t>
        </is>
      </c>
      <c r="F83" t="inlineStr">
        <is>
          <t>Övriga Aktiebolag</t>
        </is>
      </c>
      <c r="G83" t="n">
        <v>2</v>
      </c>
      <c r="H83" t="n">
        <v>0</v>
      </c>
      <c r="I83" t="n">
        <v>1</v>
      </c>
      <c r="J83" t="n">
        <v>0</v>
      </c>
      <c r="K83" t="n">
        <v>0</v>
      </c>
      <c r="L83" t="n">
        <v>0</v>
      </c>
      <c r="M83" t="n">
        <v>0</v>
      </c>
      <c r="N83" t="n">
        <v>0</v>
      </c>
      <c r="O83" t="n">
        <v>0</v>
      </c>
      <c r="P83" t="n">
        <v>0</v>
      </c>
      <c r="Q83" t="n">
        <v>1</v>
      </c>
      <c r="R83" s="2" t="inlineStr">
        <is>
          <t>Västlig hakmossa</t>
        </is>
      </c>
      <c r="S83">
        <f>HYPERLINK("https://klasma.github.io/Logging_0580/artfynd/A 50471-2024 artfynd.xlsx", "A 50471-2024")</f>
        <v/>
      </c>
      <c r="T83">
        <f>HYPERLINK("https://klasma.github.io/Logging_0580/kartor/A 50471-2024 karta.png", "A 50471-2024")</f>
        <v/>
      </c>
      <c r="V83">
        <f>HYPERLINK("https://klasma.github.io/Logging_0580/klagomål/A 50471-2024 FSC-klagomål.docx", "A 50471-2024")</f>
        <v/>
      </c>
      <c r="W83">
        <f>HYPERLINK("https://klasma.github.io/Logging_0580/klagomålsmail/A 50471-2024 FSC-klagomål mail.docx", "A 50471-2024")</f>
        <v/>
      </c>
      <c r="X83">
        <f>HYPERLINK("https://klasma.github.io/Logging_0580/tillsyn/A 50471-2024 tillsynsbegäran.docx", "A 50471-2024")</f>
        <v/>
      </c>
      <c r="Y83">
        <f>HYPERLINK("https://klasma.github.io/Logging_0580/tillsynsmail/A 50471-2024 tillsynsbegäran mail.docx", "A 50471-2024")</f>
        <v/>
      </c>
    </row>
    <row r="84" ht="15" customHeight="1">
      <c r="A84" t="inlineStr">
        <is>
          <t>A 56112-2025</t>
        </is>
      </c>
      <c r="B84" s="1" t="n">
        <v>45973.73625</v>
      </c>
      <c r="C84" s="1" t="n">
        <v>46176</v>
      </c>
      <c r="D84" t="inlineStr">
        <is>
          <t>ÖSTERGÖTLANDS LÄN</t>
        </is>
      </c>
      <c r="E84" t="inlineStr">
        <is>
          <t>LINKÖPING</t>
        </is>
      </c>
      <c r="G84" t="n">
        <v>0.6</v>
      </c>
      <c r="H84" t="n">
        <v>0</v>
      </c>
      <c r="I84" t="n">
        <v>0</v>
      </c>
      <c r="J84" t="n">
        <v>1</v>
      </c>
      <c r="K84" t="n">
        <v>0</v>
      </c>
      <c r="L84" t="n">
        <v>0</v>
      </c>
      <c r="M84" t="n">
        <v>0</v>
      </c>
      <c r="N84" t="n">
        <v>0</v>
      </c>
      <c r="O84" t="n">
        <v>1</v>
      </c>
      <c r="P84" t="n">
        <v>0</v>
      </c>
      <c r="Q84" t="n">
        <v>1</v>
      </c>
      <c r="R84" s="2" t="inlineStr">
        <is>
          <t>Solvända</t>
        </is>
      </c>
      <c r="S84">
        <f>HYPERLINK("https://klasma.github.io/Logging_0580/artfynd/A 56112-2025 artfynd.xlsx", "A 56112-2025")</f>
        <v/>
      </c>
      <c r="T84">
        <f>HYPERLINK("https://klasma.github.io/Logging_0580/kartor/A 56112-2025 karta.png", "A 56112-2025")</f>
        <v/>
      </c>
      <c r="V84">
        <f>HYPERLINK("https://klasma.github.io/Logging_0580/klagomål/A 56112-2025 FSC-klagomål.docx", "A 56112-2025")</f>
        <v/>
      </c>
      <c r="W84">
        <f>HYPERLINK("https://klasma.github.io/Logging_0580/klagomålsmail/A 56112-2025 FSC-klagomål mail.docx", "A 56112-2025")</f>
        <v/>
      </c>
      <c r="X84">
        <f>HYPERLINK("https://klasma.github.io/Logging_0580/tillsyn/A 56112-2025 tillsynsbegäran.docx", "A 56112-2025")</f>
        <v/>
      </c>
      <c r="Y84">
        <f>HYPERLINK("https://klasma.github.io/Logging_0580/tillsynsmail/A 56112-2025 tillsynsbegäran mail.docx", "A 56112-2025")</f>
        <v/>
      </c>
    </row>
    <row r="85" ht="15" customHeight="1">
      <c r="A85" t="inlineStr">
        <is>
          <t>A 56128-2022</t>
        </is>
      </c>
      <c r="B85" s="1" t="n">
        <v>44889</v>
      </c>
      <c r="C85" s="1" t="n">
        <v>46176</v>
      </c>
      <c r="D85" t="inlineStr">
        <is>
          <t>ÖSTERGÖTLANDS LÄN</t>
        </is>
      </c>
      <c r="E85" t="inlineStr">
        <is>
          <t>LINKÖPING</t>
        </is>
      </c>
      <c r="G85" t="n">
        <v>2</v>
      </c>
      <c r="H85" t="n">
        <v>0</v>
      </c>
      <c r="I85" t="n">
        <v>1</v>
      </c>
      <c r="J85" t="n">
        <v>0</v>
      </c>
      <c r="K85" t="n">
        <v>0</v>
      </c>
      <c r="L85" t="n">
        <v>0</v>
      </c>
      <c r="M85" t="n">
        <v>0</v>
      </c>
      <c r="N85" t="n">
        <v>0</v>
      </c>
      <c r="O85" t="n">
        <v>0</v>
      </c>
      <c r="P85" t="n">
        <v>0</v>
      </c>
      <c r="Q85" t="n">
        <v>1</v>
      </c>
      <c r="R85" s="2" t="inlineStr">
        <is>
          <t>Tibast</t>
        </is>
      </c>
      <c r="S85">
        <f>HYPERLINK("https://klasma.github.io/Logging_0580/artfynd/A 56128-2022 artfynd.xlsx", "A 56128-2022")</f>
        <v/>
      </c>
      <c r="T85">
        <f>HYPERLINK("https://klasma.github.io/Logging_0580/kartor/A 56128-2022 karta.png", "A 56128-2022")</f>
        <v/>
      </c>
      <c r="V85">
        <f>HYPERLINK("https://klasma.github.io/Logging_0580/klagomål/A 56128-2022 FSC-klagomål.docx", "A 56128-2022")</f>
        <v/>
      </c>
      <c r="W85">
        <f>HYPERLINK("https://klasma.github.io/Logging_0580/klagomålsmail/A 56128-2022 FSC-klagomål mail.docx", "A 56128-2022")</f>
        <v/>
      </c>
      <c r="X85">
        <f>HYPERLINK("https://klasma.github.io/Logging_0580/tillsyn/A 56128-2022 tillsynsbegäran.docx", "A 56128-2022")</f>
        <v/>
      </c>
      <c r="Y85">
        <f>HYPERLINK("https://klasma.github.io/Logging_0580/tillsynsmail/A 56128-2022 tillsynsbegäran mail.docx", "A 56128-2022")</f>
        <v/>
      </c>
    </row>
    <row r="86" ht="15" customHeight="1">
      <c r="A86" t="inlineStr">
        <is>
          <t>A 40309-2024</t>
        </is>
      </c>
      <c r="B86" s="1" t="n">
        <v>45554.724375</v>
      </c>
      <c r="C86" s="1" t="n">
        <v>46176</v>
      </c>
      <c r="D86" t="inlineStr">
        <is>
          <t>ÖSTERGÖTLANDS LÄN</t>
        </is>
      </c>
      <c r="E86" t="inlineStr">
        <is>
          <t>LINKÖPING</t>
        </is>
      </c>
      <c r="F86" t="inlineStr">
        <is>
          <t>Allmännings- och besparingsskogar</t>
        </is>
      </c>
      <c r="G86" t="n">
        <v>6</v>
      </c>
      <c r="H86" t="n">
        <v>0</v>
      </c>
      <c r="I86" t="n">
        <v>0</v>
      </c>
      <c r="J86" t="n">
        <v>1</v>
      </c>
      <c r="K86" t="n">
        <v>0</v>
      </c>
      <c r="L86" t="n">
        <v>0</v>
      </c>
      <c r="M86" t="n">
        <v>0</v>
      </c>
      <c r="N86" t="n">
        <v>0</v>
      </c>
      <c r="O86" t="n">
        <v>1</v>
      </c>
      <c r="P86" t="n">
        <v>0</v>
      </c>
      <c r="Q86" t="n">
        <v>1</v>
      </c>
      <c r="R86" s="2" t="inlineStr">
        <is>
          <t>Garnlav</t>
        </is>
      </c>
      <c r="S86">
        <f>HYPERLINK("https://klasma.github.io/Logging_0580/artfynd/A 40309-2024 artfynd.xlsx", "A 40309-2024")</f>
        <v/>
      </c>
      <c r="T86">
        <f>HYPERLINK("https://klasma.github.io/Logging_0580/kartor/A 40309-2024 karta.png", "A 40309-2024")</f>
        <v/>
      </c>
      <c r="V86">
        <f>HYPERLINK("https://klasma.github.io/Logging_0580/klagomål/A 40309-2024 FSC-klagomål.docx", "A 40309-2024")</f>
        <v/>
      </c>
      <c r="W86">
        <f>HYPERLINK("https://klasma.github.io/Logging_0580/klagomålsmail/A 40309-2024 FSC-klagomål mail.docx", "A 40309-2024")</f>
        <v/>
      </c>
      <c r="X86">
        <f>HYPERLINK("https://klasma.github.io/Logging_0580/tillsyn/A 40309-2024 tillsynsbegäran.docx", "A 40309-2024")</f>
        <v/>
      </c>
      <c r="Y86">
        <f>HYPERLINK("https://klasma.github.io/Logging_0580/tillsynsmail/A 40309-2024 tillsynsbegäran mail.docx", "A 40309-2024")</f>
        <v/>
      </c>
    </row>
    <row r="87" ht="15" customHeight="1">
      <c r="A87" t="inlineStr">
        <is>
          <t>A 54835-2023</t>
        </is>
      </c>
      <c r="B87" s="1" t="n">
        <v>45236</v>
      </c>
      <c r="C87" s="1" t="n">
        <v>46176</v>
      </c>
      <c r="D87" t="inlineStr">
        <is>
          <t>ÖSTERGÖTLANDS LÄN</t>
        </is>
      </c>
      <c r="E87" t="inlineStr">
        <is>
          <t>LINKÖPING</t>
        </is>
      </c>
      <c r="G87" t="n">
        <v>2</v>
      </c>
      <c r="H87" t="n">
        <v>1</v>
      </c>
      <c r="I87" t="n">
        <v>0</v>
      </c>
      <c r="J87" t="n">
        <v>0</v>
      </c>
      <c r="K87" t="n">
        <v>0</v>
      </c>
      <c r="L87" t="n">
        <v>0</v>
      </c>
      <c r="M87" t="n">
        <v>0</v>
      </c>
      <c r="N87" t="n">
        <v>0</v>
      </c>
      <c r="O87" t="n">
        <v>0</v>
      </c>
      <c r="P87" t="n">
        <v>0</v>
      </c>
      <c r="Q87" t="n">
        <v>1</v>
      </c>
      <c r="R87" s="2" t="inlineStr">
        <is>
          <t>Sparvuggla</t>
        </is>
      </c>
      <c r="S87">
        <f>HYPERLINK("https://klasma.github.io/Logging_0580/artfynd/A 54835-2023 artfynd.xlsx", "A 54835-2023")</f>
        <v/>
      </c>
      <c r="T87">
        <f>HYPERLINK("https://klasma.github.io/Logging_0580/kartor/A 54835-2023 karta.png", "A 54835-2023")</f>
        <v/>
      </c>
      <c r="V87">
        <f>HYPERLINK("https://klasma.github.io/Logging_0580/klagomål/A 54835-2023 FSC-klagomål.docx", "A 54835-2023")</f>
        <v/>
      </c>
      <c r="W87">
        <f>HYPERLINK("https://klasma.github.io/Logging_0580/klagomålsmail/A 54835-2023 FSC-klagomål mail.docx", "A 54835-2023")</f>
        <v/>
      </c>
      <c r="X87">
        <f>HYPERLINK("https://klasma.github.io/Logging_0580/tillsyn/A 54835-2023 tillsynsbegäran.docx", "A 54835-2023")</f>
        <v/>
      </c>
      <c r="Y87">
        <f>HYPERLINK("https://klasma.github.io/Logging_0580/tillsynsmail/A 54835-2023 tillsynsbegäran mail.docx", "A 54835-2023")</f>
        <v/>
      </c>
      <c r="Z87">
        <f>HYPERLINK("https://klasma.github.io/Logging_0580/fåglar/A 54835-2023 prioriterade fågelarter.docx", "A 54835-2023")</f>
        <v/>
      </c>
    </row>
    <row r="88" ht="15" customHeight="1">
      <c r="A88" t="inlineStr">
        <is>
          <t>A 59474-2025</t>
        </is>
      </c>
      <c r="B88" s="1" t="n">
        <v>45989.58512731481</v>
      </c>
      <c r="C88" s="1" t="n">
        <v>46176</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v>
      </c>
      <c r="C89" s="1" t="n">
        <v>46176</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126-2024</t>
        </is>
      </c>
      <c r="B90" s="1" t="n">
        <v>45294</v>
      </c>
      <c r="C90" s="1" t="n">
        <v>46176</v>
      </c>
      <c r="D90" t="inlineStr">
        <is>
          <t>ÖSTERGÖTLANDS LÄN</t>
        </is>
      </c>
      <c r="E90" t="inlineStr">
        <is>
          <t>LINKÖPING</t>
        </is>
      </c>
      <c r="G90" t="n">
        <v>1</v>
      </c>
      <c r="H90" t="n">
        <v>0</v>
      </c>
      <c r="I90" t="n">
        <v>1</v>
      </c>
      <c r="J90" t="n">
        <v>0</v>
      </c>
      <c r="K90" t="n">
        <v>0</v>
      </c>
      <c r="L90" t="n">
        <v>0</v>
      </c>
      <c r="M90" t="n">
        <v>0</v>
      </c>
      <c r="N90" t="n">
        <v>0</v>
      </c>
      <c r="O90" t="n">
        <v>0</v>
      </c>
      <c r="P90" t="n">
        <v>0</v>
      </c>
      <c r="Q90" t="n">
        <v>1</v>
      </c>
      <c r="R90" s="2" t="inlineStr">
        <is>
          <t>Blåmossa</t>
        </is>
      </c>
      <c r="S90">
        <f>HYPERLINK("https://klasma.github.io/Logging_0580/artfynd/A 126-2024 artfynd.xlsx", "A 126-2024")</f>
        <v/>
      </c>
      <c r="T90">
        <f>HYPERLINK("https://klasma.github.io/Logging_0580/kartor/A 126-2024 karta.png", "A 126-2024")</f>
        <v/>
      </c>
      <c r="V90">
        <f>HYPERLINK("https://klasma.github.io/Logging_0580/klagomål/A 126-2024 FSC-klagomål.docx", "A 126-2024")</f>
        <v/>
      </c>
      <c r="W90">
        <f>HYPERLINK("https://klasma.github.io/Logging_0580/klagomålsmail/A 126-2024 FSC-klagomål mail.docx", "A 126-2024")</f>
        <v/>
      </c>
      <c r="X90">
        <f>HYPERLINK("https://klasma.github.io/Logging_0580/tillsyn/A 126-2024 tillsynsbegäran.docx", "A 126-2024")</f>
        <v/>
      </c>
      <c r="Y90">
        <f>HYPERLINK("https://klasma.github.io/Logging_0580/tillsynsmail/A 126-2024 tillsynsbegäran mail.docx", "A 126-2024")</f>
        <v/>
      </c>
    </row>
    <row r="91" ht="15" customHeight="1">
      <c r="A91" t="inlineStr">
        <is>
          <t>A 3395-2023</t>
        </is>
      </c>
      <c r="B91" s="1" t="n">
        <v>44949</v>
      </c>
      <c r="C91" s="1" t="n">
        <v>46176</v>
      </c>
      <c r="D91" t="inlineStr">
        <is>
          <t>ÖSTERGÖTLANDS LÄN</t>
        </is>
      </c>
      <c r="E91" t="inlineStr">
        <is>
          <t>LINKÖPING</t>
        </is>
      </c>
      <c r="G91" t="n">
        <v>2</v>
      </c>
      <c r="H91" t="n">
        <v>0</v>
      </c>
      <c r="I91" t="n">
        <v>0</v>
      </c>
      <c r="J91" t="n">
        <v>1</v>
      </c>
      <c r="K91" t="n">
        <v>0</v>
      </c>
      <c r="L91" t="n">
        <v>0</v>
      </c>
      <c r="M91" t="n">
        <v>0</v>
      </c>
      <c r="N91" t="n">
        <v>0</v>
      </c>
      <c r="O91" t="n">
        <v>1</v>
      </c>
      <c r="P91" t="n">
        <v>0</v>
      </c>
      <c r="Q91" t="n">
        <v>1</v>
      </c>
      <c r="R91" s="2" t="inlineStr">
        <is>
          <t>Sommarfibbla</t>
        </is>
      </c>
      <c r="S91">
        <f>HYPERLINK("https://klasma.github.io/Logging_0580/artfynd/A 3395-2023 artfynd.xlsx", "A 3395-2023")</f>
        <v/>
      </c>
      <c r="T91">
        <f>HYPERLINK("https://klasma.github.io/Logging_0580/kartor/A 3395-2023 karta.png", "A 3395-2023")</f>
        <v/>
      </c>
      <c r="V91">
        <f>HYPERLINK("https://klasma.github.io/Logging_0580/klagomål/A 3395-2023 FSC-klagomål.docx", "A 3395-2023")</f>
        <v/>
      </c>
      <c r="W91">
        <f>HYPERLINK("https://klasma.github.io/Logging_0580/klagomålsmail/A 3395-2023 FSC-klagomål mail.docx", "A 3395-2023")</f>
        <v/>
      </c>
      <c r="X91">
        <f>HYPERLINK("https://klasma.github.io/Logging_0580/tillsyn/A 3395-2023 tillsynsbegäran.docx", "A 3395-2023")</f>
        <v/>
      </c>
      <c r="Y91">
        <f>HYPERLINK("https://klasma.github.io/Logging_0580/tillsynsmail/A 3395-2023 tillsynsbegäran mail.docx", "A 3395-2023")</f>
        <v/>
      </c>
    </row>
    <row r="92" ht="15" customHeight="1">
      <c r="A92" t="inlineStr">
        <is>
          <t>A 50806-2023</t>
        </is>
      </c>
      <c r="B92" s="1" t="n">
        <v>45217</v>
      </c>
      <c r="C92" s="1" t="n">
        <v>46176</v>
      </c>
      <c r="D92" t="inlineStr">
        <is>
          <t>ÖSTERGÖTLANDS LÄN</t>
        </is>
      </c>
      <c r="E92" t="inlineStr">
        <is>
          <t>LINKÖPING</t>
        </is>
      </c>
      <c r="F92" t="inlineStr">
        <is>
          <t>Övriga Aktiebolag</t>
        </is>
      </c>
      <c r="G92" t="n">
        <v>0.7</v>
      </c>
      <c r="H92" t="n">
        <v>1</v>
      </c>
      <c r="I92" t="n">
        <v>0</v>
      </c>
      <c r="J92" t="n">
        <v>0</v>
      </c>
      <c r="K92" t="n">
        <v>0</v>
      </c>
      <c r="L92" t="n">
        <v>0</v>
      </c>
      <c r="M92" t="n">
        <v>0</v>
      </c>
      <c r="N92" t="n">
        <v>0</v>
      </c>
      <c r="O92" t="n">
        <v>0</v>
      </c>
      <c r="P92" t="n">
        <v>0</v>
      </c>
      <c r="Q92" t="n">
        <v>1</v>
      </c>
      <c r="R92" s="2" t="inlineStr">
        <is>
          <t>Gullviva</t>
        </is>
      </c>
      <c r="S92">
        <f>HYPERLINK("https://klasma.github.io/Logging_0580/artfynd/A 50806-2023 artfynd.xlsx", "A 50806-2023")</f>
        <v/>
      </c>
      <c r="T92">
        <f>HYPERLINK("https://klasma.github.io/Logging_0580/kartor/A 50806-2023 karta.png", "A 50806-2023")</f>
        <v/>
      </c>
      <c r="V92">
        <f>HYPERLINK("https://klasma.github.io/Logging_0580/klagomål/A 50806-2023 FSC-klagomål.docx", "A 50806-2023")</f>
        <v/>
      </c>
      <c r="W92">
        <f>HYPERLINK("https://klasma.github.io/Logging_0580/klagomålsmail/A 50806-2023 FSC-klagomål mail.docx", "A 50806-2023")</f>
        <v/>
      </c>
      <c r="X92">
        <f>HYPERLINK("https://klasma.github.io/Logging_0580/tillsyn/A 50806-2023 tillsynsbegäran.docx", "A 50806-2023")</f>
        <v/>
      </c>
      <c r="Y92">
        <f>HYPERLINK("https://klasma.github.io/Logging_0580/tillsynsmail/A 50806-2023 tillsynsbegäran mail.docx", "A 50806-2023")</f>
        <v/>
      </c>
    </row>
    <row r="93" ht="15" customHeight="1">
      <c r="A93" t="inlineStr">
        <is>
          <t>A 39457-2023</t>
        </is>
      </c>
      <c r="B93" s="1" t="n">
        <v>45166</v>
      </c>
      <c r="C93" s="1" t="n">
        <v>46176</v>
      </c>
      <c r="D93" t="inlineStr">
        <is>
          <t>ÖSTERGÖTLANDS LÄN</t>
        </is>
      </c>
      <c r="E93" t="inlineStr">
        <is>
          <t>LINKÖPING</t>
        </is>
      </c>
      <c r="G93" t="n">
        <v>2.1</v>
      </c>
      <c r="H93" t="n">
        <v>1</v>
      </c>
      <c r="I93" t="n">
        <v>0</v>
      </c>
      <c r="J93" t="n">
        <v>0</v>
      </c>
      <c r="K93" t="n">
        <v>0</v>
      </c>
      <c r="L93" t="n">
        <v>0</v>
      </c>
      <c r="M93" t="n">
        <v>0</v>
      </c>
      <c r="N93" t="n">
        <v>0</v>
      </c>
      <c r="O93" t="n">
        <v>0</v>
      </c>
      <c r="P93" t="n">
        <v>0</v>
      </c>
      <c r="Q93" t="n">
        <v>1</v>
      </c>
      <c r="R93" s="2" t="inlineStr">
        <is>
          <t>Sparvuggla</t>
        </is>
      </c>
      <c r="S93">
        <f>HYPERLINK("https://klasma.github.io/Logging_0580/artfynd/A 39457-2023 artfynd.xlsx", "A 39457-2023")</f>
        <v/>
      </c>
      <c r="T93">
        <f>HYPERLINK("https://klasma.github.io/Logging_0580/kartor/A 39457-2023 karta.png", "A 39457-2023")</f>
        <v/>
      </c>
      <c r="V93">
        <f>HYPERLINK("https://klasma.github.io/Logging_0580/klagomål/A 39457-2023 FSC-klagomål.docx", "A 39457-2023")</f>
        <v/>
      </c>
      <c r="W93">
        <f>HYPERLINK("https://klasma.github.io/Logging_0580/klagomålsmail/A 39457-2023 FSC-klagomål mail.docx", "A 39457-2023")</f>
        <v/>
      </c>
      <c r="X93">
        <f>HYPERLINK("https://klasma.github.io/Logging_0580/tillsyn/A 39457-2023 tillsynsbegäran.docx", "A 39457-2023")</f>
        <v/>
      </c>
      <c r="Y93">
        <f>HYPERLINK("https://klasma.github.io/Logging_0580/tillsynsmail/A 39457-2023 tillsynsbegäran mail.docx", "A 39457-2023")</f>
        <v/>
      </c>
      <c r="Z93">
        <f>HYPERLINK("https://klasma.github.io/Logging_0580/fåglar/A 39457-2023 prioriterade fågelarter.docx", "A 39457-2023")</f>
        <v/>
      </c>
    </row>
    <row r="94" ht="15" customHeight="1">
      <c r="A94" t="inlineStr">
        <is>
          <t>A 35948-2023</t>
        </is>
      </c>
      <c r="B94" s="1" t="n">
        <v>45148</v>
      </c>
      <c r="C94" s="1" t="n">
        <v>46176</v>
      </c>
      <c r="D94" t="inlineStr">
        <is>
          <t>ÖSTERGÖTLANDS LÄN</t>
        </is>
      </c>
      <c r="E94" t="inlineStr">
        <is>
          <t>LINKÖPING</t>
        </is>
      </c>
      <c r="G94" t="n">
        <v>1.9</v>
      </c>
      <c r="H94" t="n">
        <v>0</v>
      </c>
      <c r="I94" t="n">
        <v>1</v>
      </c>
      <c r="J94" t="n">
        <v>0</v>
      </c>
      <c r="K94" t="n">
        <v>0</v>
      </c>
      <c r="L94" t="n">
        <v>0</v>
      </c>
      <c r="M94" t="n">
        <v>0</v>
      </c>
      <c r="N94" t="n">
        <v>0</v>
      </c>
      <c r="O94" t="n">
        <v>0</v>
      </c>
      <c r="P94" t="n">
        <v>0</v>
      </c>
      <c r="Q94" t="n">
        <v>1</v>
      </c>
      <c r="R94" s="2" t="inlineStr">
        <is>
          <t>Brun nållav</t>
        </is>
      </c>
      <c r="S94">
        <f>HYPERLINK("https://klasma.github.io/Logging_0580/artfynd/A 35948-2023 artfynd.xlsx", "A 35948-2023")</f>
        <v/>
      </c>
      <c r="T94">
        <f>HYPERLINK("https://klasma.github.io/Logging_0580/kartor/A 35948-2023 karta.png", "A 35948-2023")</f>
        <v/>
      </c>
      <c r="V94">
        <f>HYPERLINK("https://klasma.github.io/Logging_0580/klagomål/A 35948-2023 FSC-klagomål.docx", "A 35948-2023")</f>
        <v/>
      </c>
      <c r="W94">
        <f>HYPERLINK("https://klasma.github.io/Logging_0580/klagomålsmail/A 35948-2023 FSC-klagomål mail.docx", "A 35948-2023")</f>
        <v/>
      </c>
      <c r="X94">
        <f>HYPERLINK("https://klasma.github.io/Logging_0580/tillsyn/A 35948-2023 tillsynsbegäran.docx", "A 35948-2023")</f>
        <v/>
      </c>
      <c r="Y94">
        <f>HYPERLINK("https://klasma.github.io/Logging_0580/tillsynsmail/A 35948-2023 tillsynsbegäran mail.docx", "A 35948-2023")</f>
        <v/>
      </c>
    </row>
    <row r="95" ht="15" customHeight="1">
      <c r="A95" t="inlineStr">
        <is>
          <t>A 62071-2023</t>
        </is>
      </c>
      <c r="B95" s="1" t="n">
        <v>45266.73542824074</v>
      </c>
      <c r="C95" s="1" t="n">
        <v>46176</v>
      </c>
      <c r="D95" t="inlineStr">
        <is>
          <t>ÖSTERGÖTLANDS LÄN</t>
        </is>
      </c>
      <c r="E95" t="inlineStr">
        <is>
          <t>LINKÖPING</t>
        </is>
      </c>
      <c r="G95" t="n">
        <v>6.5</v>
      </c>
      <c r="H95" t="n">
        <v>0</v>
      </c>
      <c r="I95" t="n">
        <v>0</v>
      </c>
      <c r="J95" t="n">
        <v>1</v>
      </c>
      <c r="K95" t="n">
        <v>0</v>
      </c>
      <c r="L95" t="n">
        <v>0</v>
      </c>
      <c r="M95" t="n">
        <v>0</v>
      </c>
      <c r="N95" t="n">
        <v>0</v>
      </c>
      <c r="O95" t="n">
        <v>1</v>
      </c>
      <c r="P95" t="n">
        <v>0</v>
      </c>
      <c r="Q95" t="n">
        <v>1</v>
      </c>
      <c r="R95" s="2" t="inlineStr">
        <is>
          <t>Svinrot</t>
        </is>
      </c>
      <c r="S95">
        <f>HYPERLINK("https://klasma.github.io/Logging_0580/artfynd/A 62071-2023 artfynd.xlsx", "A 62071-2023")</f>
        <v/>
      </c>
      <c r="T95">
        <f>HYPERLINK("https://klasma.github.io/Logging_0580/kartor/A 62071-2023 karta.png", "A 62071-2023")</f>
        <v/>
      </c>
      <c r="V95">
        <f>HYPERLINK("https://klasma.github.io/Logging_0580/klagomål/A 62071-2023 FSC-klagomål.docx", "A 62071-2023")</f>
        <v/>
      </c>
      <c r="W95">
        <f>HYPERLINK("https://klasma.github.io/Logging_0580/klagomålsmail/A 62071-2023 FSC-klagomål mail.docx", "A 62071-2023")</f>
        <v/>
      </c>
      <c r="X95">
        <f>HYPERLINK("https://klasma.github.io/Logging_0580/tillsyn/A 62071-2023 tillsynsbegäran.docx", "A 62071-2023")</f>
        <v/>
      </c>
      <c r="Y95">
        <f>HYPERLINK("https://klasma.github.io/Logging_0580/tillsynsmail/A 62071-2023 tillsynsbegäran mail.docx", "A 62071-2023")</f>
        <v/>
      </c>
    </row>
    <row r="96" ht="15" customHeight="1">
      <c r="A96" t="inlineStr">
        <is>
          <t>A 3397-2023</t>
        </is>
      </c>
      <c r="B96" s="1" t="n">
        <v>44949</v>
      </c>
      <c r="C96" s="1" t="n">
        <v>46176</v>
      </c>
      <c r="D96" t="inlineStr">
        <is>
          <t>ÖSTERGÖTLANDS LÄN</t>
        </is>
      </c>
      <c r="E96" t="inlineStr">
        <is>
          <t>LINKÖPING</t>
        </is>
      </c>
      <c r="G96" t="n">
        <v>4.1</v>
      </c>
      <c r="H96" t="n">
        <v>0</v>
      </c>
      <c r="I96" t="n">
        <v>0</v>
      </c>
      <c r="J96" t="n">
        <v>1</v>
      </c>
      <c r="K96" t="n">
        <v>0</v>
      </c>
      <c r="L96" t="n">
        <v>0</v>
      </c>
      <c r="M96" t="n">
        <v>0</v>
      </c>
      <c r="N96" t="n">
        <v>0</v>
      </c>
      <c r="O96" t="n">
        <v>1</v>
      </c>
      <c r="P96" t="n">
        <v>0</v>
      </c>
      <c r="Q96" t="n">
        <v>1</v>
      </c>
      <c r="R96" s="2" t="inlineStr">
        <is>
          <t>Svinrot</t>
        </is>
      </c>
      <c r="S96">
        <f>HYPERLINK("https://klasma.github.io/Logging_0580/artfynd/A 3397-2023 artfynd.xlsx", "A 3397-2023")</f>
        <v/>
      </c>
      <c r="T96">
        <f>HYPERLINK("https://klasma.github.io/Logging_0580/kartor/A 3397-2023 karta.png", "A 3397-2023")</f>
        <v/>
      </c>
      <c r="V96">
        <f>HYPERLINK("https://klasma.github.io/Logging_0580/klagomål/A 3397-2023 FSC-klagomål.docx", "A 3397-2023")</f>
        <v/>
      </c>
      <c r="W96">
        <f>HYPERLINK("https://klasma.github.io/Logging_0580/klagomålsmail/A 3397-2023 FSC-klagomål mail.docx", "A 3397-2023")</f>
        <v/>
      </c>
      <c r="X96">
        <f>HYPERLINK("https://klasma.github.io/Logging_0580/tillsyn/A 3397-2023 tillsynsbegäran.docx", "A 3397-2023")</f>
        <v/>
      </c>
      <c r="Y96">
        <f>HYPERLINK("https://klasma.github.io/Logging_0580/tillsynsmail/A 3397-2023 tillsynsbegäran mail.docx", "A 3397-2023")</f>
        <v/>
      </c>
    </row>
    <row r="97" ht="15" customHeight="1">
      <c r="A97" t="inlineStr">
        <is>
          <t>A 20295-2025</t>
        </is>
      </c>
      <c r="B97" s="1" t="n">
        <v>45774.74846064814</v>
      </c>
      <c r="C97" s="1" t="n">
        <v>46176</v>
      </c>
      <c r="D97" t="inlineStr">
        <is>
          <t>ÖSTERGÖTLANDS LÄN</t>
        </is>
      </c>
      <c r="E97" t="inlineStr">
        <is>
          <t>LINKÖPING</t>
        </is>
      </c>
      <c r="G97" t="n">
        <v>3</v>
      </c>
      <c r="H97" t="n">
        <v>0</v>
      </c>
      <c r="I97" t="n">
        <v>0</v>
      </c>
      <c r="J97" t="n">
        <v>1</v>
      </c>
      <c r="K97" t="n">
        <v>0</v>
      </c>
      <c r="L97" t="n">
        <v>0</v>
      </c>
      <c r="M97" t="n">
        <v>0</v>
      </c>
      <c r="N97" t="n">
        <v>0</v>
      </c>
      <c r="O97" t="n">
        <v>1</v>
      </c>
      <c r="P97" t="n">
        <v>0</v>
      </c>
      <c r="Q97" t="n">
        <v>1</v>
      </c>
      <c r="R97" s="2" t="inlineStr">
        <is>
          <t>Tallticka</t>
        </is>
      </c>
      <c r="S97">
        <f>HYPERLINK("https://klasma.github.io/Logging_0580/artfynd/A 20295-2025 artfynd.xlsx", "A 20295-2025")</f>
        <v/>
      </c>
      <c r="T97">
        <f>HYPERLINK("https://klasma.github.io/Logging_0580/kartor/A 20295-2025 karta.png", "A 20295-2025")</f>
        <v/>
      </c>
      <c r="V97">
        <f>HYPERLINK("https://klasma.github.io/Logging_0580/klagomål/A 20295-2025 FSC-klagomål.docx", "A 20295-2025")</f>
        <v/>
      </c>
      <c r="W97">
        <f>HYPERLINK("https://klasma.github.io/Logging_0580/klagomålsmail/A 20295-2025 FSC-klagomål mail.docx", "A 20295-2025")</f>
        <v/>
      </c>
      <c r="X97">
        <f>HYPERLINK("https://klasma.github.io/Logging_0580/tillsyn/A 20295-2025 tillsynsbegäran.docx", "A 20295-2025")</f>
        <v/>
      </c>
      <c r="Y97">
        <f>HYPERLINK("https://klasma.github.io/Logging_0580/tillsynsmail/A 20295-2025 tillsynsbegäran mail.docx", "A 20295-2025")</f>
        <v/>
      </c>
    </row>
    <row r="98" ht="15" customHeight="1">
      <c r="A98" t="inlineStr">
        <is>
          <t>A 60573-2021</t>
        </is>
      </c>
      <c r="B98" s="1" t="n">
        <v>44496</v>
      </c>
      <c r="C98" s="1" t="n">
        <v>46176</v>
      </c>
      <c r="D98" t="inlineStr">
        <is>
          <t>ÖSTERGÖTLANDS LÄN</t>
        </is>
      </c>
      <c r="E98" t="inlineStr">
        <is>
          <t>LINKÖPING</t>
        </is>
      </c>
      <c r="F98" t="inlineStr">
        <is>
          <t>Övriga Aktiebolag</t>
        </is>
      </c>
      <c r="G98" t="n">
        <v>5.6</v>
      </c>
      <c r="H98" t="n">
        <v>0</v>
      </c>
      <c r="I98" t="n">
        <v>0</v>
      </c>
      <c r="J98" t="n">
        <v>1</v>
      </c>
      <c r="K98" t="n">
        <v>0</v>
      </c>
      <c r="L98" t="n">
        <v>0</v>
      </c>
      <c r="M98" t="n">
        <v>0</v>
      </c>
      <c r="N98" t="n">
        <v>0</v>
      </c>
      <c r="O98" t="n">
        <v>1</v>
      </c>
      <c r="P98" t="n">
        <v>0</v>
      </c>
      <c r="Q98" t="n">
        <v>1</v>
      </c>
      <c r="R98" s="2" t="inlineStr">
        <is>
          <t>Sommarfibbla</t>
        </is>
      </c>
      <c r="S98">
        <f>HYPERLINK("https://klasma.github.io/Logging_0580/artfynd/A 60573-2021 artfynd.xlsx", "A 60573-2021")</f>
        <v/>
      </c>
      <c r="T98">
        <f>HYPERLINK("https://klasma.github.io/Logging_0580/kartor/A 60573-2021 karta.png", "A 60573-2021")</f>
        <v/>
      </c>
      <c r="V98">
        <f>HYPERLINK("https://klasma.github.io/Logging_0580/klagomål/A 60573-2021 FSC-klagomål.docx", "A 60573-2021")</f>
        <v/>
      </c>
      <c r="W98">
        <f>HYPERLINK("https://klasma.github.io/Logging_0580/klagomålsmail/A 60573-2021 FSC-klagomål mail.docx", "A 60573-2021")</f>
        <v/>
      </c>
      <c r="X98">
        <f>HYPERLINK("https://klasma.github.io/Logging_0580/tillsyn/A 60573-2021 tillsynsbegäran.docx", "A 60573-2021")</f>
        <v/>
      </c>
      <c r="Y98">
        <f>HYPERLINK("https://klasma.github.io/Logging_0580/tillsynsmail/A 60573-2021 tillsynsbegäran mail.docx", "A 60573-2021")</f>
        <v/>
      </c>
    </row>
    <row r="99" ht="15" customHeight="1">
      <c r="A99" t="inlineStr">
        <is>
          <t>A 41749-2023</t>
        </is>
      </c>
      <c r="B99" s="1" t="n">
        <v>45176</v>
      </c>
      <c r="C99" s="1" t="n">
        <v>46176</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27403-2025</t>
        </is>
      </c>
      <c r="B100" s="1" t="n">
        <v>45812.72518518518</v>
      </c>
      <c r="C100" s="1" t="n">
        <v>46176</v>
      </c>
      <c r="D100" t="inlineStr">
        <is>
          <t>ÖSTERGÖTLANDS LÄN</t>
        </is>
      </c>
      <c r="E100" t="inlineStr">
        <is>
          <t>LINKÖPING</t>
        </is>
      </c>
      <c r="G100" t="n">
        <v>1.4</v>
      </c>
      <c r="H100" t="n">
        <v>0</v>
      </c>
      <c r="I100" t="n">
        <v>0</v>
      </c>
      <c r="J100" t="n">
        <v>1</v>
      </c>
      <c r="K100" t="n">
        <v>0</v>
      </c>
      <c r="L100" t="n">
        <v>0</v>
      </c>
      <c r="M100" t="n">
        <v>0</v>
      </c>
      <c r="N100" t="n">
        <v>0</v>
      </c>
      <c r="O100" t="n">
        <v>1</v>
      </c>
      <c r="P100" t="n">
        <v>0</v>
      </c>
      <c r="Q100" t="n">
        <v>1</v>
      </c>
      <c r="R100" s="2" t="inlineStr">
        <is>
          <t>Tallticka</t>
        </is>
      </c>
      <c r="S100">
        <f>HYPERLINK("https://klasma.github.io/Logging_0580/artfynd/A 27403-2025 artfynd.xlsx", "A 27403-2025")</f>
        <v/>
      </c>
      <c r="T100">
        <f>HYPERLINK("https://klasma.github.io/Logging_0580/kartor/A 27403-2025 karta.png", "A 27403-2025")</f>
        <v/>
      </c>
      <c r="V100">
        <f>HYPERLINK("https://klasma.github.io/Logging_0580/klagomål/A 27403-2025 FSC-klagomål.docx", "A 27403-2025")</f>
        <v/>
      </c>
      <c r="W100">
        <f>HYPERLINK("https://klasma.github.io/Logging_0580/klagomålsmail/A 27403-2025 FSC-klagomål mail.docx", "A 27403-2025")</f>
        <v/>
      </c>
      <c r="X100">
        <f>HYPERLINK("https://klasma.github.io/Logging_0580/tillsyn/A 27403-2025 tillsynsbegäran.docx", "A 27403-2025")</f>
        <v/>
      </c>
      <c r="Y100">
        <f>HYPERLINK("https://klasma.github.io/Logging_0580/tillsynsmail/A 27403-2025 tillsynsbegäran mail.docx", "A 27403-2025")</f>
        <v/>
      </c>
    </row>
    <row r="101" ht="15" customHeight="1">
      <c r="A101" t="inlineStr">
        <is>
          <t>A 29393-2025</t>
        </is>
      </c>
      <c r="B101" s="1" t="n">
        <v>45824.6057175926</v>
      </c>
      <c r="C101" s="1" t="n">
        <v>46176</v>
      </c>
      <c r="D101" t="inlineStr">
        <is>
          <t>ÖSTERGÖTLANDS LÄN</t>
        </is>
      </c>
      <c r="E101" t="inlineStr">
        <is>
          <t>LINKÖPING</t>
        </is>
      </c>
      <c r="F101" t="inlineStr">
        <is>
          <t>Sveaskog</t>
        </is>
      </c>
      <c r="G101" t="n">
        <v>24.6</v>
      </c>
      <c r="H101" t="n">
        <v>1</v>
      </c>
      <c r="I101" t="n">
        <v>0</v>
      </c>
      <c r="J101" t="n">
        <v>0</v>
      </c>
      <c r="K101" t="n">
        <v>1</v>
      </c>
      <c r="L101" t="n">
        <v>0</v>
      </c>
      <c r="M101" t="n">
        <v>0</v>
      </c>
      <c r="N101" t="n">
        <v>0</v>
      </c>
      <c r="O101" t="n">
        <v>1</v>
      </c>
      <c r="P101" t="n">
        <v>1</v>
      </c>
      <c r="Q101" t="n">
        <v>1</v>
      </c>
      <c r="R101" s="2" t="inlineStr">
        <is>
          <t>Skogsgås</t>
        </is>
      </c>
      <c r="S101">
        <f>HYPERLINK("https://klasma.github.io/Logging_0580/artfynd/A 29393-2025 artfynd.xlsx", "A 29393-2025")</f>
        <v/>
      </c>
      <c r="T101">
        <f>HYPERLINK("https://klasma.github.io/Logging_0580/kartor/A 29393-2025 karta.png", "A 29393-2025")</f>
        <v/>
      </c>
      <c r="V101">
        <f>HYPERLINK("https://klasma.github.io/Logging_0580/klagomål/A 29393-2025 FSC-klagomål.docx", "A 29393-2025")</f>
        <v/>
      </c>
      <c r="W101">
        <f>HYPERLINK("https://klasma.github.io/Logging_0580/klagomålsmail/A 29393-2025 FSC-klagomål mail.docx", "A 29393-2025")</f>
        <v/>
      </c>
      <c r="X101">
        <f>HYPERLINK("https://klasma.github.io/Logging_0580/tillsyn/A 29393-2025 tillsynsbegäran.docx", "A 29393-2025")</f>
        <v/>
      </c>
      <c r="Y101">
        <f>HYPERLINK("https://klasma.github.io/Logging_0580/tillsynsmail/A 29393-2025 tillsynsbegäran mail.docx", "A 29393-2025")</f>
        <v/>
      </c>
      <c r="Z101">
        <f>HYPERLINK("https://klasma.github.io/Logging_0580/fåglar/A 29393-2025 prioriterade fågelarter.docx", "A 29393-2025")</f>
        <v/>
      </c>
    </row>
    <row r="102" ht="15" customHeight="1">
      <c r="A102" t="inlineStr">
        <is>
          <t>A 38881-2021</t>
        </is>
      </c>
      <c r="B102" s="1" t="n">
        <v>44411.46893518518</v>
      </c>
      <c r="C102" s="1" t="n">
        <v>46176</v>
      </c>
      <c r="D102" t="inlineStr">
        <is>
          <t>ÖSTERGÖTLANDS LÄN</t>
        </is>
      </c>
      <c r="E102" t="inlineStr">
        <is>
          <t>LINKÖPING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38887-2021</t>
        </is>
      </c>
      <c r="B103" s="1" t="n">
        <v>44411</v>
      </c>
      <c r="C103" s="1" t="n">
        <v>46176</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56239-2021</t>
        </is>
      </c>
      <c r="B104" s="1" t="n">
        <v>44478</v>
      </c>
      <c r="C104" s="1" t="n">
        <v>46176</v>
      </c>
      <c r="D104" t="inlineStr">
        <is>
          <t>ÖSTERGÖTLANDS LÄN</t>
        </is>
      </c>
      <c r="E104" t="inlineStr">
        <is>
          <t>LINKÖPING</t>
        </is>
      </c>
      <c r="F104" t="inlineStr">
        <is>
          <t>Övriga Aktiebolag</t>
        </is>
      </c>
      <c r="G104" t="n">
        <v>3</v>
      </c>
      <c r="H104" t="n">
        <v>0</v>
      </c>
      <c r="I104" t="n">
        <v>0</v>
      </c>
      <c r="J104" t="n">
        <v>0</v>
      </c>
      <c r="K104" t="n">
        <v>0</v>
      </c>
      <c r="L104" t="n">
        <v>0</v>
      </c>
      <c r="M104" t="n">
        <v>0</v>
      </c>
      <c r="N104" t="n">
        <v>0</v>
      </c>
      <c r="O104" t="n">
        <v>0</v>
      </c>
      <c r="P104" t="n">
        <v>0</v>
      </c>
      <c r="Q104" t="n">
        <v>0</v>
      </c>
      <c r="R104" s="2" t="inlineStr"/>
    </row>
    <row r="105" ht="15" customHeight="1">
      <c r="A105" t="inlineStr">
        <is>
          <t>A 67322-2021</t>
        </is>
      </c>
      <c r="B105" s="1" t="n">
        <v>44523</v>
      </c>
      <c r="C105" s="1" t="n">
        <v>46176</v>
      </c>
      <c r="D105" t="inlineStr">
        <is>
          <t>ÖSTERGÖTLANDS LÄN</t>
        </is>
      </c>
      <c r="E105" t="inlineStr">
        <is>
          <t>LINKÖPING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7840-2022</t>
        </is>
      </c>
      <c r="B106" s="1" t="n">
        <v>44608</v>
      </c>
      <c r="C106" s="1" t="n">
        <v>46176</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40506-2021</t>
        </is>
      </c>
      <c r="B107" s="1" t="n">
        <v>44420</v>
      </c>
      <c r="C107" s="1" t="n">
        <v>46176</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64269-2021</t>
        </is>
      </c>
      <c r="B108" s="1" t="n">
        <v>44510</v>
      </c>
      <c r="C108" s="1" t="n">
        <v>46176</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58407-2021</t>
        </is>
      </c>
      <c r="B109" s="1" t="n">
        <v>44488</v>
      </c>
      <c r="C109" s="1" t="n">
        <v>46176</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30800-2022</t>
        </is>
      </c>
      <c r="B110" s="1" t="n">
        <v>44764.75119212963</v>
      </c>
      <c r="C110" s="1" t="n">
        <v>46176</v>
      </c>
      <c r="D110" t="inlineStr">
        <is>
          <t>ÖSTERGÖTLANDS LÄN</t>
        </is>
      </c>
      <c r="E110" t="inlineStr">
        <is>
          <t>LINKÖPING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40635-2021</t>
        </is>
      </c>
      <c r="B111" s="1" t="n">
        <v>44420</v>
      </c>
      <c r="C111" s="1" t="n">
        <v>46176</v>
      </c>
      <c r="D111" t="inlineStr">
        <is>
          <t>ÖSTERGÖTLANDS LÄN</t>
        </is>
      </c>
      <c r="E111" t="inlineStr">
        <is>
          <t>LINKÖPING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49018-2022</t>
        </is>
      </c>
      <c r="B112" s="1" t="n">
        <v>44855</v>
      </c>
      <c r="C112" s="1" t="n">
        <v>46176</v>
      </c>
      <c r="D112" t="inlineStr">
        <is>
          <t>ÖSTERGÖTLANDS LÄN</t>
        </is>
      </c>
      <c r="E112" t="inlineStr">
        <is>
          <t>LINKÖPING</t>
        </is>
      </c>
      <c r="F112" t="inlineStr">
        <is>
          <t>Kommuner</t>
        </is>
      </c>
      <c r="G112" t="n">
        <v>0.4</v>
      </c>
      <c r="H112" t="n">
        <v>0</v>
      </c>
      <c r="I112" t="n">
        <v>0</v>
      </c>
      <c r="J112" t="n">
        <v>0</v>
      </c>
      <c r="K112" t="n">
        <v>0</v>
      </c>
      <c r="L112" t="n">
        <v>0</v>
      </c>
      <c r="M112" t="n">
        <v>0</v>
      </c>
      <c r="N112" t="n">
        <v>0</v>
      </c>
      <c r="O112" t="n">
        <v>0</v>
      </c>
      <c r="P112" t="n">
        <v>0</v>
      </c>
      <c r="Q112" t="n">
        <v>0</v>
      </c>
      <c r="R112" s="2" t="inlineStr"/>
    </row>
    <row r="113" ht="15" customHeight="1">
      <c r="A113" t="inlineStr">
        <is>
          <t>A 1581-2022</t>
        </is>
      </c>
      <c r="B113" s="1" t="n">
        <v>44573</v>
      </c>
      <c r="C113" s="1" t="n">
        <v>46176</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46234-2022</t>
        </is>
      </c>
      <c r="B114" s="1" t="n">
        <v>44846</v>
      </c>
      <c r="C114" s="1" t="n">
        <v>46176</v>
      </c>
      <c r="D114" t="inlineStr">
        <is>
          <t>ÖSTERGÖTLANDS LÄN</t>
        </is>
      </c>
      <c r="E114" t="inlineStr">
        <is>
          <t>LINKÖPING</t>
        </is>
      </c>
      <c r="G114" t="n">
        <v>3.3</v>
      </c>
      <c r="H114" t="n">
        <v>0</v>
      </c>
      <c r="I114" t="n">
        <v>0</v>
      </c>
      <c r="J114" t="n">
        <v>0</v>
      </c>
      <c r="K114" t="n">
        <v>0</v>
      </c>
      <c r="L114" t="n">
        <v>0</v>
      </c>
      <c r="M114" t="n">
        <v>0</v>
      </c>
      <c r="N114" t="n">
        <v>0</v>
      </c>
      <c r="O114" t="n">
        <v>0</v>
      </c>
      <c r="P114" t="n">
        <v>0</v>
      </c>
      <c r="Q114" t="n">
        <v>0</v>
      </c>
      <c r="R114" s="2" t="inlineStr"/>
    </row>
    <row r="115" ht="15" customHeight="1">
      <c r="A115" t="inlineStr">
        <is>
          <t>A 38961-2021</t>
        </is>
      </c>
      <c r="B115" s="1" t="n">
        <v>44411</v>
      </c>
      <c r="C115" s="1" t="n">
        <v>46176</v>
      </c>
      <c r="D115" t="inlineStr">
        <is>
          <t>ÖSTERGÖTLANDS LÄN</t>
        </is>
      </c>
      <c r="E115" t="inlineStr">
        <is>
          <t>LINKÖPING</t>
        </is>
      </c>
      <c r="G115" t="n">
        <v>1.3</v>
      </c>
      <c r="H115" t="n">
        <v>0</v>
      </c>
      <c r="I115" t="n">
        <v>0</v>
      </c>
      <c r="J115" t="n">
        <v>0</v>
      </c>
      <c r="K115" t="n">
        <v>0</v>
      </c>
      <c r="L115" t="n">
        <v>0</v>
      </c>
      <c r="M115" t="n">
        <v>0</v>
      </c>
      <c r="N115" t="n">
        <v>0</v>
      </c>
      <c r="O115" t="n">
        <v>0</v>
      </c>
      <c r="P115" t="n">
        <v>0</v>
      </c>
      <c r="Q115" t="n">
        <v>0</v>
      </c>
      <c r="R115" s="2" t="inlineStr"/>
    </row>
    <row r="116" ht="15" customHeight="1">
      <c r="A116" t="inlineStr">
        <is>
          <t>A 159-2022</t>
        </is>
      </c>
      <c r="B116" s="1" t="n">
        <v>44564</v>
      </c>
      <c r="C116" s="1" t="n">
        <v>46176</v>
      </c>
      <c r="D116" t="inlineStr">
        <is>
          <t>ÖSTERGÖTLANDS LÄN</t>
        </is>
      </c>
      <c r="E116" t="inlineStr">
        <is>
          <t>LINKÖPING</t>
        </is>
      </c>
      <c r="G116" t="n">
        <v>0.3</v>
      </c>
      <c r="H116" t="n">
        <v>0</v>
      </c>
      <c r="I116" t="n">
        <v>0</v>
      </c>
      <c r="J116" t="n">
        <v>0</v>
      </c>
      <c r="K116" t="n">
        <v>0</v>
      </c>
      <c r="L116" t="n">
        <v>0</v>
      </c>
      <c r="M116" t="n">
        <v>0</v>
      </c>
      <c r="N116" t="n">
        <v>0</v>
      </c>
      <c r="O116" t="n">
        <v>0</v>
      </c>
      <c r="P116" t="n">
        <v>0</v>
      </c>
      <c r="Q116" t="n">
        <v>0</v>
      </c>
      <c r="R116" s="2" t="inlineStr"/>
    </row>
    <row r="117" ht="15" customHeight="1">
      <c r="A117" t="inlineStr">
        <is>
          <t>A 60639-2021</t>
        </is>
      </c>
      <c r="B117" s="1" t="n">
        <v>44496</v>
      </c>
      <c r="C117" s="1" t="n">
        <v>46176</v>
      </c>
      <c r="D117" t="inlineStr">
        <is>
          <t>ÖSTERGÖTLANDS LÄN</t>
        </is>
      </c>
      <c r="E117" t="inlineStr">
        <is>
          <t>LINKÖPING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47462-2022</t>
        </is>
      </c>
      <c r="B118" s="1" t="n">
        <v>44853.62758101852</v>
      </c>
      <c r="C118" s="1" t="n">
        <v>46176</v>
      </c>
      <c r="D118" t="inlineStr">
        <is>
          <t>ÖSTERGÖTLANDS LÄN</t>
        </is>
      </c>
      <c r="E118" t="inlineStr">
        <is>
          <t>LINKÖPING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32433-2022</t>
        </is>
      </c>
      <c r="B119" s="1" t="n">
        <v>44782.48431712963</v>
      </c>
      <c r="C119" s="1" t="n">
        <v>46176</v>
      </c>
      <c r="D119" t="inlineStr">
        <is>
          <t>ÖSTERGÖTLANDS LÄN</t>
        </is>
      </c>
      <c r="E119" t="inlineStr">
        <is>
          <t>LINKÖPING</t>
        </is>
      </c>
      <c r="G119" t="n">
        <v>11.3</v>
      </c>
      <c r="H119" t="n">
        <v>0</v>
      </c>
      <c r="I119" t="n">
        <v>0</v>
      </c>
      <c r="J119" t="n">
        <v>0</v>
      </c>
      <c r="K119" t="n">
        <v>0</v>
      </c>
      <c r="L119" t="n">
        <v>0</v>
      </c>
      <c r="M119" t="n">
        <v>0</v>
      </c>
      <c r="N119" t="n">
        <v>0</v>
      </c>
      <c r="O119" t="n">
        <v>0</v>
      </c>
      <c r="P119" t="n">
        <v>0</v>
      </c>
      <c r="Q119" t="n">
        <v>0</v>
      </c>
      <c r="R119" s="2" t="inlineStr"/>
    </row>
    <row r="120" ht="15" customHeight="1">
      <c r="A120" t="inlineStr">
        <is>
          <t>A 38143-2021</t>
        </is>
      </c>
      <c r="B120" s="1" t="n">
        <v>44405</v>
      </c>
      <c r="C120" s="1" t="n">
        <v>46176</v>
      </c>
      <c r="D120" t="inlineStr">
        <is>
          <t>ÖSTERGÖTLANDS LÄN</t>
        </is>
      </c>
      <c r="E120" t="inlineStr">
        <is>
          <t>LINKÖPING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38254-2021</t>
        </is>
      </c>
      <c r="B121" s="1" t="n">
        <v>44405</v>
      </c>
      <c r="C121" s="1" t="n">
        <v>46176</v>
      </c>
      <c r="D121" t="inlineStr">
        <is>
          <t>ÖSTERGÖTLANDS LÄN</t>
        </is>
      </c>
      <c r="E121" t="inlineStr">
        <is>
          <t>LINKÖPING</t>
        </is>
      </c>
      <c r="G121" t="n">
        <v>1.9</v>
      </c>
      <c r="H121" t="n">
        <v>0</v>
      </c>
      <c r="I121" t="n">
        <v>0</v>
      </c>
      <c r="J121" t="n">
        <v>0</v>
      </c>
      <c r="K121" t="n">
        <v>0</v>
      </c>
      <c r="L121" t="n">
        <v>0</v>
      </c>
      <c r="M121" t="n">
        <v>0</v>
      </c>
      <c r="N121" t="n">
        <v>0</v>
      </c>
      <c r="O121" t="n">
        <v>0</v>
      </c>
      <c r="P121" t="n">
        <v>0</v>
      </c>
      <c r="Q121" t="n">
        <v>0</v>
      </c>
      <c r="R121" s="2" t="inlineStr"/>
    </row>
    <row r="122" ht="15" customHeight="1">
      <c r="A122" t="inlineStr">
        <is>
          <t>A 44054-2021</t>
        </is>
      </c>
      <c r="B122" s="1" t="n">
        <v>44434</v>
      </c>
      <c r="C122" s="1" t="n">
        <v>46176</v>
      </c>
      <c r="D122" t="inlineStr">
        <is>
          <t>ÖSTERGÖTLANDS LÄN</t>
        </is>
      </c>
      <c r="E122" t="inlineStr">
        <is>
          <t>LINKÖPING</t>
        </is>
      </c>
      <c r="F122" t="inlineStr">
        <is>
          <t>Övriga Aktiebolag</t>
        </is>
      </c>
      <c r="G122" t="n">
        <v>2.3</v>
      </c>
      <c r="H122" t="n">
        <v>0</v>
      </c>
      <c r="I122" t="n">
        <v>0</v>
      </c>
      <c r="J122" t="n">
        <v>0</v>
      </c>
      <c r="K122" t="n">
        <v>0</v>
      </c>
      <c r="L122" t="n">
        <v>0</v>
      </c>
      <c r="M122" t="n">
        <v>0</v>
      </c>
      <c r="N122" t="n">
        <v>0</v>
      </c>
      <c r="O122" t="n">
        <v>0</v>
      </c>
      <c r="P122" t="n">
        <v>0</v>
      </c>
      <c r="Q122" t="n">
        <v>0</v>
      </c>
      <c r="R122" s="2" t="inlineStr"/>
    </row>
    <row r="123" ht="15" customHeight="1">
      <c r="A123" t="inlineStr">
        <is>
          <t>A 31703-2022</t>
        </is>
      </c>
      <c r="B123" s="1" t="n">
        <v>44776</v>
      </c>
      <c r="C123" s="1" t="n">
        <v>46176</v>
      </c>
      <c r="D123" t="inlineStr">
        <is>
          <t>ÖSTERGÖTLANDS LÄN</t>
        </is>
      </c>
      <c r="E123" t="inlineStr">
        <is>
          <t>LINKÖPING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53146-2021</t>
        </is>
      </c>
      <c r="B124" s="1" t="n">
        <v>44466</v>
      </c>
      <c r="C124" s="1" t="n">
        <v>46176</v>
      </c>
      <c r="D124" t="inlineStr">
        <is>
          <t>ÖSTERGÖTLANDS LÄN</t>
        </is>
      </c>
      <c r="E124" t="inlineStr">
        <is>
          <t>LINKÖPING</t>
        </is>
      </c>
      <c r="G124" t="n">
        <v>1.2</v>
      </c>
      <c r="H124" t="n">
        <v>0</v>
      </c>
      <c r="I124" t="n">
        <v>0</v>
      </c>
      <c r="J124" t="n">
        <v>0</v>
      </c>
      <c r="K124" t="n">
        <v>0</v>
      </c>
      <c r="L124" t="n">
        <v>0</v>
      </c>
      <c r="M124" t="n">
        <v>0</v>
      </c>
      <c r="N124" t="n">
        <v>0</v>
      </c>
      <c r="O124" t="n">
        <v>0</v>
      </c>
      <c r="P124" t="n">
        <v>0</v>
      </c>
      <c r="Q124" t="n">
        <v>0</v>
      </c>
      <c r="R124" s="2" t="inlineStr"/>
    </row>
    <row r="125" ht="15" customHeight="1">
      <c r="A125" t="inlineStr">
        <is>
          <t>A 40437-2021</t>
        </is>
      </c>
      <c r="B125" s="1" t="n">
        <v>44419</v>
      </c>
      <c r="C125" s="1" t="n">
        <v>46176</v>
      </c>
      <c r="D125" t="inlineStr">
        <is>
          <t>ÖSTERGÖTLANDS LÄN</t>
        </is>
      </c>
      <c r="E125" t="inlineStr">
        <is>
          <t>LINKÖPING</t>
        </is>
      </c>
      <c r="G125" t="n">
        <v>1.1</v>
      </c>
      <c r="H125" t="n">
        <v>0</v>
      </c>
      <c r="I125" t="n">
        <v>0</v>
      </c>
      <c r="J125" t="n">
        <v>0</v>
      </c>
      <c r="K125" t="n">
        <v>0</v>
      </c>
      <c r="L125" t="n">
        <v>0</v>
      </c>
      <c r="M125" t="n">
        <v>0</v>
      </c>
      <c r="N125" t="n">
        <v>0</v>
      </c>
      <c r="O125" t="n">
        <v>0</v>
      </c>
      <c r="P125" t="n">
        <v>0</v>
      </c>
      <c r="Q125" t="n">
        <v>0</v>
      </c>
      <c r="R125" s="2" t="inlineStr"/>
    </row>
    <row r="126" ht="15" customHeight="1">
      <c r="A126" t="inlineStr">
        <is>
          <t>A 17497-2022</t>
        </is>
      </c>
      <c r="B126" s="1" t="n">
        <v>44679</v>
      </c>
      <c r="C126" s="1" t="n">
        <v>46176</v>
      </c>
      <c r="D126" t="inlineStr">
        <is>
          <t>ÖSTERGÖTLANDS LÄN</t>
        </is>
      </c>
      <c r="E126" t="inlineStr">
        <is>
          <t>LINKÖPING</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17500-2022</t>
        </is>
      </c>
      <c r="B127" s="1" t="n">
        <v>44679</v>
      </c>
      <c r="C127" s="1" t="n">
        <v>46176</v>
      </c>
      <c r="D127" t="inlineStr">
        <is>
          <t>ÖSTERGÖTLANDS LÄN</t>
        </is>
      </c>
      <c r="E127" t="inlineStr">
        <is>
          <t>LINKÖPING</t>
        </is>
      </c>
      <c r="F127" t="inlineStr">
        <is>
          <t>Kommuner</t>
        </is>
      </c>
      <c r="G127" t="n">
        <v>1.8</v>
      </c>
      <c r="H127" t="n">
        <v>0</v>
      </c>
      <c r="I127" t="n">
        <v>0</v>
      </c>
      <c r="J127" t="n">
        <v>0</v>
      </c>
      <c r="K127" t="n">
        <v>0</v>
      </c>
      <c r="L127" t="n">
        <v>0</v>
      </c>
      <c r="M127" t="n">
        <v>0</v>
      </c>
      <c r="N127" t="n">
        <v>0</v>
      </c>
      <c r="O127" t="n">
        <v>0</v>
      </c>
      <c r="P127" t="n">
        <v>0</v>
      </c>
      <c r="Q127" t="n">
        <v>0</v>
      </c>
      <c r="R127" s="2" t="inlineStr"/>
    </row>
    <row r="128" ht="15" customHeight="1">
      <c r="A128" t="inlineStr">
        <is>
          <t>A 32000-2022</t>
        </is>
      </c>
      <c r="B128" s="1" t="n">
        <v>44777</v>
      </c>
      <c r="C128" s="1" t="n">
        <v>46176</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33876-2021</t>
        </is>
      </c>
      <c r="B129" s="1" t="n">
        <v>44378</v>
      </c>
      <c r="C129" s="1" t="n">
        <v>46176</v>
      </c>
      <c r="D129" t="inlineStr">
        <is>
          <t>ÖSTERGÖTLANDS LÄN</t>
        </is>
      </c>
      <c r="E129" t="inlineStr">
        <is>
          <t>LINKÖPING</t>
        </is>
      </c>
      <c r="G129" t="n">
        <v>6.3</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46176</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49791-2021</t>
        </is>
      </c>
      <c r="B131" s="1" t="n">
        <v>44455.59368055555</v>
      </c>
      <c r="C131" s="1" t="n">
        <v>46176</v>
      </c>
      <c r="D131" t="inlineStr">
        <is>
          <t>ÖSTERGÖTLANDS LÄN</t>
        </is>
      </c>
      <c r="E131" t="inlineStr">
        <is>
          <t>LINKÖPING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27185-2021</t>
        </is>
      </c>
      <c r="B132" s="1" t="n">
        <v>44350</v>
      </c>
      <c r="C132" s="1" t="n">
        <v>46176</v>
      </c>
      <c r="D132" t="inlineStr">
        <is>
          <t>ÖSTERGÖTLANDS LÄN</t>
        </is>
      </c>
      <c r="E132" t="inlineStr">
        <is>
          <t>LINKÖPING</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46176</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46176</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46176</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46176</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46176</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46176</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46176</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46176</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46176</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46176</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46176</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46176</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46176</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46176</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46176</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46176</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46176</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46176</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46176</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46176</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46176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46176</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46176</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46176</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46176</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46176</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46176</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46176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46176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46176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46176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46176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46176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46176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46176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46176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46176</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46176</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46176</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46176</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46176</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46176</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46176</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46176</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46176</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46176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46176</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46176</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33885-2021</t>
        </is>
      </c>
      <c r="B181" s="1" t="n">
        <v>44378</v>
      </c>
      <c r="C181" s="1" t="n">
        <v>46176</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46176</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46176</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46176</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46176</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46176</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46176</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46176</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12412-2022</t>
        </is>
      </c>
      <c r="B189" s="1" t="n">
        <v>44638</v>
      </c>
      <c r="C189" s="1" t="n">
        <v>46176</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46176</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46176</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46176</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46176</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46176</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46176</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34558-2022</t>
        </is>
      </c>
      <c r="B196" s="1" t="n">
        <v>44794.57594907407</v>
      </c>
      <c r="C196" s="1" t="n">
        <v>46176</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63489-2023</t>
        </is>
      </c>
      <c r="B197" s="1" t="n">
        <v>45274.66761574074</v>
      </c>
      <c r="C197" s="1" t="n">
        <v>46176</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54845-2023</t>
        </is>
      </c>
      <c r="B198" s="1" t="n">
        <v>45236</v>
      </c>
      <c r="C198" s="1" t="n">
        <v>46176</v>
      </c>
      <c r="D198" t="inlineStr">
        <is>
          <t>ÖSTERGÖTLANDS LÄN</t>
        </is>
      </c>
      <c r="E198" t="inlineStr">
        <is>
          <t>LINKÖPING</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46176</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28266-2024</t>
        </is>
      </c>
      <c r="B200" s="1" t="n">
        <v>45477.43600694444</v>
      </c>
      <c r="C200" s="1" t="n">
        <v>46176</v>
      </c>
      <c r="D200" t="inlineStr">
        <is>
          <t>ÖSTERGÖTLANDS LÄN</t>
        </is>
      </c>
      <c r="E200" t="inlineStr">
        <is>
          <t>LINKÖPING</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46176</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46176</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46176</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224-2024</t>
        </is>
      </c>
      <c r="B204" s="1" t="n">
        <v>45294</v>
      </c>
      <c r="C204" s="1" t="n">
        <v>46176</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46176</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46176</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52796-2023</t>
        </is>
      </c>
      <c r="B207" s="1" t="n">
        <v>45219</v>
      </c>
      <c r="C207" s="1" t="n">
        <v>46176</v>
      </c>
      <c r="D207" t="inlineStr">
        <is>
          <t>ÖSTERGÖTLANDS LÄN</t>
        </is>
      </c>
      <c r="E207" t="inlineStr">
        <is>
          <t>LINKÖPING</t>
        </is>
      </c>
      <c r="F207" t="inlineStr">
        <is>
          <t>Övriga statliga verk och myndigheter</t>
        </is>
      </c>
      <c r="G207" t="n">
        <v>3.9</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46176</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46176</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57745-2022</t>
        </is>
      </c>
      <c r="B210" s="1" t="n">
        <v>44897.58119212963</v>
      </c>
      <c r="C210" s="1" t="n">
        <v>46176</v>
      </c>
      <c r="D210" t="inlineStr">
        <is>
          <t>ÖSTERGÖTLANDS LÄN</t>
        </is>
      </c>
      <c r="E210" t="inlineStr">
        <is>
          <t>LINKÖPING</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1993-2023</t>
        </is>
      </c>
      <c r="B211" s="1" t="n">
        <v>44939</v>
      </c>
      <c r="C211" s="1" t="n">
        <v>46176</v>
      </c>
      <c r="D211" t="inlineStr">
        <is>
          <t>ÖSTERGÖTLANDS LÄN</t>
        </is>
      </c>
      <c r="E211" t="inlineStr">
        <is>
          <t>LINKÖPING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34889-2023</t>
        </is>
      </c>
      <c r="B212" s="1" t="n">
        <v>45140</v>
      </c>
      <c r="C212" s="1" t="n">
        <v>46176</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3008-2023</t>
        </is>
      </c>
      <c r="B213" s="1" t="n">
        <v>44945.79784722222</v>
      </c>
      <c r="C213" s="1" t="n">
        <v>46176</v>
      </c>
      <c r="D213" t="inlineStr">
        <is>
          <t>ÖSTERGÖTLANDS LÄN</t>
        </is>
      </c>
      <c r="E213" t="inlineStr">
        <is>
          <t>LINKÖPING</t>
        </is>
      </c>
      <c r="G213" t="n">
        <v>19.3</v>
      </c>
      <c r="H213" t="n">
        <v>0</v>
      </c>
      <c r="I213" t="n">
        <v>0</v>
      </c>
      <c r="J213" t="n">
        <v>0</v>
      </c>
      <c r="K213" t="n">
        <v>0</v>
      </c>
      <c r="L213" t="n">
        <v>0</v>
      </c>
      <c r="M213" t="n">
        <v>0</v>
      </c>
      <c r="N213" t="n">
        <v>0</v>
      </c>
      <c r="O213" t="n">
        <v>0</v>
      </c>
      <c r="P213" t="n">
        <v>0</v>
      </c>
      <c r="Q213" t="n">
        <v>0</v>
      </c>
      <c r="R213" s="2" t="inlineStr"/>
    </row>
    <row r="214" ht="15" customHeight="1">
      <c r="A214" t="inlineStr">
        <is>
          <t>A 12035-2025</t>
        </is>
      </c>
      <c r="B214" s="1" t="n">
        <v>45728.64946759259</v>
      </c>
      <c r="C214" s="1" t="n">
        <v>46176</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52220-2023</t>
        </is>
      </c>
      <c r="B215" s="1" t="n">
        <v>45217</v>
      </c>
      <c r="C215" s="1" t="n">
        <v>46176</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52225-2023</t>
        </is>
      </c>
      <c r="B216" s="1" t="n">
        <v>45217</v>
      </c>
      <c r="C216" s="1" t="n">
        <v>46176</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22771-2024</t>
        </is>
      </c>
      <c r="B217" s="1" t="n">
        <v>45448.46574074074</v>
      </c>
      <c r="C217" s="1" t="n">
        <v>46176</v>
      </c>
      <c r="D217" t="inlineStr">
        <is>
          <t>ÖSTERGÖTLANDS LÄN</t>
        </is>
      </c>
      <c r="E217" t="inlineStr">
        <is>
          <t>LINKÖPING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42832-2023</t>
        </is>
      </c>
      <c r="B218" s="1" t="n">
        <v>45182.38091435185</v>
      </c>
      <c r="C218" s="1" t="n">
        <v>46176</v>
      </c>
      <c r="D218" t="inlineStr">
        <is>
          <t>ÖSTERGÖTLANDS LÄN</t>
        </is>
      </c>
      <c r="E218" t="inlineStr">
        <is>
          <t>LINKÖPING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56560-2023</t>
        </is>
      </c>
      <c r="B219" s="1" t="n">
        <v>45238</v>
      </c>
      <c r="C219" s="1" t="n">
        <v>46176</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52412-2023</t>
        </is>
      </c>
      <c r="B220" s="1" t="n">
        <v>45225.27888888889</v>
      </c>
      <c r="C220" s="1" t="n">
        <v>46176</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52413-2023</t>
        </is>
      </c>
      <c r="B221" s="1" t="n">
        <v>45225.27950231481</v>
      </c>
      <c r="C221" s="1" t="n">
        <v>46176</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7354-2025</t>
        </is>
      </c>
      <c r="B222" s="1" t="n">
        <v>45704.41174768518</v>
      </c>
      <c r="C222" s="1" t="n">
        <v>46176</v>
      </c>
      <c r="D222" t="inlineStr">
        <is>
          <t>ÖSTERGÖTLANDS LÄN</t>
        </is>
      </c>
      <c r="E222" t="inlineStr">
        <is>
          <t>LINKÖPING</t>
        </is>
      </c>
      <c r="G222" t="n">
        <v>4.8</v>
      </c>
      <c r="H222" t="n">
        <v>0</v>
      </c>
      <c r="I222" t="n">
        <v>0</v>
      </c>
      <c r="J222" t="n">
        <v>0</v>
      </c>
      <c r="K222" t="n">
        <v>0</v>
      </c>
      <c r="L222" t="n">
        <v>0</v>
      </c>
      <c r="M222" t="n">
        <v>0</v>
      </c>
      <c r="N222" t="n">
        <v>0</v>
      </c>
      <c r="O222" t="n">
        <v>0</v>
      </c>
      <c r="P222" t="n">
        <v>0</v>
      </c>
      <c r="Q222" t="n">
        <v>0</v>
      </c>
      <c r="R222" s="2" t="inlineStr"/>
    </row>
    <row r="223" ht="15" customHeight="1">
      <c r="A223" t="inlineStr">
        <is>
          <t>A 34928-2023</t>
        </is>
      </c>
      <c r="B223" s="1" t="n">
        <v>45142</v>
      </c>
      <c r="C223" s="1" t="n">
        <v>46176</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1263-2024</t>
        </is>
      </c>
      <c r="B224" s="1" t="n">
        <v>45302</v>
      </c>
      <c r="C224" s="1" t="n">
        <v>46176</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52531-2023</t>
        </is>
      </c>
      <c r="B225" s="1" t="n">
        <v>45225</v>
      </c>
      <c r="C225" s="1" t="n">
        <v>46176</v>
      </c>
      <c r="D225" t="inlineStr">
        <is>
          <t>ÖSTERGÖTLANDS LÄN</t>
        </is>
      </c>
      <c r="E225" t="inlineStr">
        <is>
          <t>LINKÖPING</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20291-2025</t>
        </is>
      </c>
      <c r="B226" s="1" t="n">
        <v>45774.74288194445</v>
      </c>
      <c r="C226" s="1" t="n">
        <v>46176</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20293-2025</t>
        </is>
      </c>
      <c r="B227" s="1" t="n">
        <v>45774.74611111111</v>
      </c>
      <c r="C227" s="1" t="n">
        <v>46176</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46176</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63665-2023</t>
        </is>
      </c>
      <c r="B229" s="1" t="n">
        <v>45275</v>
      </c>
      <c r="C229" s="1" t="n">
        <v>46176</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3041-2024</t>
        </is>
      </c>
      <c r="B230" s="1" t="n">
        <v>45316.34875</v>
      </c>
      <c r="C230" s="1" t="n">
        <v>46176</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33867-2023</t>
        </is>
      </c>
      <c r="B231" s="1" t="n">
        <v>45133.94640046296</v>
      </c>
      <c r="C231" s="1" t="n">
        <v>46176</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50963-2021</t>
        </is>
      </c>
      <c r="B232" s="1" t="n">
        <v>44460</v>
      </c>
      <c r="C232" s="1" t="n">
        <v>46176</v>
      </c>
      <c r="D232" t="inlineStr">
        <is>
          <t>ÖSTERGÖTLANDS LÄN</t>
        </is>
      </c>
      <c r="E232" t="inlineStr">
        <is>
          <t>LINKÖPING</t>
        </is>
      </c>
      <c r="G232" t="n">
        <v>4.4</v>
      </c>
      <c r="H232" t="n">
        <v>0</v>
      </c>
      <c r="I232" t="n">
        <v>0</v>
      </c>
      <c r="J232" t="n">
        <v>0</v>
      </c>
      <c r="K232" t="n">
        <v>0</v>
      </c>
      <c r="L232" t="n">
        <v>0</v>
      </c>
      <c r="M232" t="n">
        <v>0</v>
      </c>
      <c r="N232" t="n">
        <v>0</v>
      </c>
      <c r="O232" t="n">
        <v>0</v>
      </c>
      <c r="P232" t="n">
        <v>0</v>
      </c>
      <c r="Q232" t="n">
        <v>0</v>
      </c>
      <c r="R232" s="2" t="inlineStr"/>
    </row>
    <row r="233" ht="15" customHeight="1">
      <c r="A233" t="inlineStr">
        <is>
          <t>A 61307-2021</t>
        </is>
      </c>
      <c r="B233" s="1" t="n">
        <v>44498.63928240741</v>
      </c>
      <c r="C233" s="1" t="n">
        <v>46176</v>
      </c>
      <c r="D233" t="inlineStr">
        <is>
          <t>ÖSTERGÖTLANDS LÄN</t>
        </is>
      </c>
      <c r="E233" t="inlineStr">
        <is>
          <t>LINKÖPING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61325-2021</t>
        </is>
      </c>
      <c r="B234" s="1" t="n">
        <v>44498.66814814815</v>
      </c>
      <c r="C234" s="1" t="n">
        <v>46176</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46176</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38317-2024</t>
        </is>
      </c>
      <c r="B236" s="1" t="n">
        <v>45545.65766203704</v>
      </c>
      <c r="C236" s="1" t="n">
        <v>46176</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16665-2023</t>
        </is>
      </c>
      <c r="B237" s="1" t="n">
        <v>45030.5583912037</v>
      </c>
      <c r="C237" s="1" t="n">
        <v>46176</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60001-2022</t>
        </is>
      </c>
      <c r="B238" s="1" t="n">
        <v>44909.47087962963</v>
      </c>
      <c r="C238" s="1" t="n">
        <v>46176</v>
      </c>
      <c r="D238" t="inlineStr">
        <is>
          <t>ÖSTERGÖTLANDS LÄN</t>
        </is>
      </c>
      <c r="E238" t="inlineStr">
        <is>
          <t>LINKÖPING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60013-2022</t>
        </is>
      </c>
      <c r="B239" s="1" t="n">
        <v>44909.47482638889</v>
      </c>
      <c r="C239" s="1" t="n">
        <v>46176</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46176</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1211-2023</t>
        </is>
      </c>
      <c r="B241" s="1" t="n">
        <v>44930</v>
      </c>
      <c r="C241" s="1" t="n">
        <v>46176</v>
      </c>
      <c r="D241" t="inlineStr">
        <is>
          <t>ÖSTERGÖTLANDS LÄN</t>
        </is>
      </c>
      <c r="E241" t="inlineStr">
        <is>
          <t>LINKÖPING</t>
        </is>
      </c>
      <c r="F241" t="inlineStr">
        <is>
          <t>Övriga statliga verk och myndigheter</t>
        </is>
      </c>
      <c r="G241" t="n">
        <v>7.9</v>
      </c>
      <c r="H241" t="n">
        <v>0</v>
      </c>
      <c r="I241" t="n">
        <v>0</v>
      </c>
      <c r="J241" t="n">
        <v>0</v>
      </c>
      <c r="K241" t="n">
        <v>0</v>
      </c>
      <c r="L241" t="n">
        <v>0</v>
      </c>
      <c r="M241" t="n">
        <v>0</v>
      </c>
      <c r="N241" t="n">
        <v>0</v>
      </c>
      <c r="O241" t="n">
        <v>0</v>
      </c>
      <c r="P241" t="n">
        <v>0</v>
      </c>
      <c r="Q241" t="n">
        <v>0</v>
      </c>
      <c r="R241" s="2" t="inlineStr"/>
    </row>
    <row r="242" ht="15" customHeight="1">
      <c r="A242" t="inlineStr">
        <is>
          <t>A 2085-2024</t>
        </is>
      </c>
      <c r="B242" s="1" t="n">
        <v>45309</v>
      </c>
      <c r="C242" s="1" t="n">
        <v>46176</v>
      </c>
      <c r="D242" t="inlineStr">
        <is>
          <t>ÖSTERGÖTLANDS LÄN</t>
        </is>
      </c>
      <c r="E242" t="inlineStr">
        <is>
          <t>LINKÖPING</t>
        </is>
      </c>
      <c r="G242" t="n">
        <v>4.5</v>
      </c>
      <c r="H242" t="n">
        <v>0</v>
      </c>
      <c r="I242" t="n">
        <v>0</v>
      </c>
      <c r="J242" t="n">
        <v>0</v>
      </c>
      <c r="K242" t="n">
        <v>0</v>
      </c>
      <c r="L242" t="n">
        <v>0</v>
      </c>
      <c r="M242" t="n">
        <v>0</v>
      </c>
      <c r="N242" t="n">
        <v>0</v>
      </c>
      <c r="O242" t="n">
        <v>0</v>
      </c>
      <c r="P242" t="n">
        <v>0</v>
      </c>
      <c r="Q242" t="n">
        <v>0</v>
      </c>
      <c r="R242" s="2" t="inlineStr"/>
    </row>
    <row r="243" ht="15" customHeight="1">
      <c r="A243" t="inlineStr">
        <is>
          <t>A 30468-2023</t>
        </is>
      </c>
      <c r="B243" s="1" t="n">
        <v>45111.58732638889</v>
      </c>
      <c r="C243" s="1" t="n">
        <v>46176</v>
      </c>
      <c r="D243" t="inlineStr">
        <is>
          <t>ÖSTERGÖTLANDS LÄN</t>
        </is>
      </c>
      <c r="E243" t="inlineStr">
        <is>
          <t>LINKÖPING</t>
        </is>
      </c>
      <c r="G243" t="n">
        <v>10.1</v>
      </c>
      <c r="H243" t="n">
        <v>0</v>
      </c>
      <c r="I243" t="n">
        <v>0</v>
      </c>
      <c r="J243" t="n">
        <v>0</v>
      </c>
      <c r="K243" t="n">
        <v>0</v>
      </c>
      <c r="L243" t="n">
        <v>0</v>
      </c>
      <c r="M243" t="n">
        <v>0</v>
      </c>
      <c r="N243" t="n">
        <v>0</v>
      </c>
      <c r="O243" t="n">
        <v>0</v>
      </c>
      <c r="P243" t="n">
        <v>0</v>
      </c>
      <c r="Q243" t="n">
        <v>0</v>
      </c>
      <c r="R243" s="2" t="inlineStr"/>
    </row>
    <row r="244" ht="15" customHeight="1">
      <c r="A244" t="inlineStr">
        <is>
          <t>A 38715-2023</t>
        </is>
      </c>
      <c r="B244" s="1" t="n">
        <v>45160</v>
      </c>
      <c r="C244" s="1" t="n">
        <v>46176</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12317-2025</t>
        </is>
      </c>
      <c r="B245" s="1" t="n">
        <v>45729.8487037037</v>
      </c>
      <c r="C245" s="1" t="n">
        <v>46176</v>
      </c>
      <c r="D245" t="inlineStr">
        <is>
          <t>ÖSTERGÖTLANDS LÄN</t>
        </is>
      </c>
      <c r="E245" t="inlineStr">
        <is>
          <t>LINKÖPING</t>
        </is>
      </c>
      <c r="G245" t="n">
        <v>8</v>
      </c>
      <c r="H245" t="n">
        <v>0</v>
      </c>
      <c r="I245" t="n">
        <v>0</v>
      </c>
      <c r="J245" t="n">
        <v>0</v>
      </c>
      <c r="K245" t="n">
        <v>0</v>
      </c>
      <c r="L245" t="n">
        <v>0</v>
      </c>
      <c r="M245" t="n">
        <v>0</v>
      </c>
      <c r="N245" t="n">
        <v>0</v>
      </c>
      <c r="O245" t="n">
        <v>0</v>
      </c>
      <c r="P245" t="n">
        <v>0</v>
      </c>
      <c r="Q245" t="n">
        <v>0</v>
      </c>
      <c r="R245" s="2" t="inlineStr"/>
    </row>
    <row r="246" ht="15" customHeight="1">
      <c r="A246" t="inlineStr">
        <is>
          <t>A 36557-2023</t>
        </is>
      </c>
      <c r="B246" s="1" t="n">
        <v>45153</v>
      </c>
      <c r="C246" s="1" t="n">
        <v>46176</v>
      </c>
      <c r="D246" t="inlineStr">
        <is>
          <t>ÖSTERGÖTLANDS LÄN</t>
        </is>
      </c>
      <c r="E246" t="inlineStr">
        <is>
          <t>LINKÖPING</t>
        </is>
      </c>
      <c r="F246" t="inlineStr">
        <is>
          <t>Övriga Aktiebolag</t>
        </is>
      </c>
      <c r="G246" t="n">
        <v>3.1</v>
      </c>
      <c r="H246" t="n">
        <v>0</v>
      </c>
      <c r="I246" t="n">
        <v>0</v>
      </c>
      <c r="J246" t="n">
        <v>0</v>
      </c>
      <c r="K246" t="n">
        <v>0</v>
      </c>
      <c r="L246" t="n">
        <v>0</v>
      </c>
      <c r="M246" t="n">
        <v>0</v>
      </c>
      <c r="N246" t="n">
        <v>0</v>
      </c>
      <c r="O246" t="n">
        <v>0</v>
      </c>
      <c r="P246" t="n">
        <v>0</v>
      </c>
      <c r="Q246" t="n">
        <v>0</v>
      </c>
      <c r="R246" s="2" t="inlineStr"/>
    </row>
    <row r="247" ht="15" customHeight="1">
      <c r="A247" t="inlineStr">
        <is>
          <t>A 17103-2025</t>
        </is>
      </c>
      <c r="B247" s="1" t="n">
        <v>45755.66143518518</v>
      </c>
      <c r="C247" s="1" t="n">
        <v>46176</v>
      </c>
      <c r="D247" t="inlineStr">
        <is>
          <t>ÖSTERGÖTLANDS LÄN</t>
        </is>
      </c>
      <c r="E247" t="inlineStr">
        <is>
          <t>LINKÖPING</t>
        </is>
      </c>
      <c r="G247" t="n">
        <v>1.9</v>
      </c>
      <c r="H247" t="n">
        <v>0</v>
      </c>
      <c r="I247" t="n">
        <v>0</v>
      </c>
      <c r="J247" t="n">
        <v>0</v>
      </c>
      <c r="K247" t="n">
        <v>0</v>
      </c>
      <c r="L247" t="n">
        <v>0</v>
      </c>
      <c r="M247" t="n">
        <v>0</v>
      </c>
      <c r="N247" t="n">
        <v>0</v>
      </c>
      <c r="O247" t="n">
        <v>0</v>
      </c>
      <c r="P247" t="n">
        <v>0</v>
      </c>
      <c r="Q247" t="n">
        <v>0</v>
      </c>
      <c r="R247" s="2" t="inlineStr"/>
    </row>
    <row r="248" ht="15" customHeight="1">
      <c r="A248" t="inlineStr">
        <is>
          <t>A 34864-2023</t>
        </is>
      </c>
      <c r="B248" s="1" t="n">
        <v>45141</v>
      </c>
      <c r="C248" s="1" t="n">
        <v>46176</v>
      </c>
      <c r="D248" t="inlineStr">
        <is>
          <t>ÖSTERGÖTLANDS LÄN</t>
        </is>
      </c>
      <c r="E248" t="inlineStr">
        <is>
          <t>LINKÖPING</t>
        </is>
      </c>
      <c r="G248" t="n">
        <v>3.3</v>
      </c>
      <c r="H248" t="n">
        <v>0</v>
      </c>
      <c r="I248" t="n">
        <v>0</v>
      </c>
      <c r="J248" t="n">
        <v>0</v>
      </c>
      <c r="K248" t="n">
        <v>0</v>
      </c>
      <c r="L248" t="n">
        <v>0</v>
      </c>
      <c r="M248" t="n">
        <v>0</v>
      </c>
      <c r="N248" t="n">
        <v>0</v>
      </c>
      <c r="O248" t="n">
        <v>0</v>
      </c>
      <c r="P248" t="n">
        <v>0</v>
      </c>
      <c r="Q248" t="n">
        <v>0</v>
      </c>
      <c r="R248" s="2" t="inlineStr"/>
    </row>
    <row r="249" ht="15" customHeight="1">
      <c r="A249" t="inlineStr">
        <is>
          <t>A 46687-2021</t>
        </is>
      </c>
      <c r="B249" s="1" t="n">
        <v>44445</v>
      </c>
      <c r="C249" s="1" t="n">
        <v>46176</v>
      </c>
      <c r="D249" t="inlineStr">
        <is>
          <t>ÖSTERGÖTLANDS LÄN</t>
        </is>
      </c>
      <c r="E249" t="inlineStr">
        <is>
          <t>LINKÖPING</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40618-2021</t>
        </is>
      </c>
      <c r="B250" s="1" t="n">
        <v>44420.49575231481</v>
      </c>
      <c r="C250" s="1" t="n">
        <v>46176</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227-2024</t>
        </is>
      </c>
      <c r="B251" s="1" t="n">
        <v>45294.73603009259</v>
      </c>
      <c r="C251" s="1" t="n">
        <v>46176</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46176</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46176</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30434-2024</t>
        </is>
      </c>
      <c r="B254" s="1" t="n">
        <v>45491.69811342593</v>
      </c>
      <c r="C254" s="1" t="n">
        <v>46176</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38136-2023</t>
        </is>
      </c>
      <c r="B255" s="1" t="n">
        <v>45161.37310185185</v>
      </c>
      <c r="C255" s="1" t="n">
        <v>46176</v>
      </c>
      <c r="D255" t="inlineStr">
        <is>
          <t>ÖSTERGÖTLANDS LÄN</t>
        </is>
      </c>
      <c r="E255" t="inlineStr">
        <is>
          <t>LINKÖPING</t>
        </is>
      </c>
      <c r="G255" t="n">
        <v>5.6</v>
      </c>
      <c r="H255" t="n">
        <v>0</v>
      </c>
      <c r="I255" t="n">
        <v>0</v>
      </c>
      <c r="J255" t="n">
        <v>0</v>
      </c>
      <c r="K255" t="n">
        <v>0</v>
      </c>
      <c r="L255" t="n">
        <v>0</v>
      </c>
      <c r="M255" t="n">
        <v>0</v>
      </c>
      <c r="N255" t="n">
        <v>0</v>
      </c>
      <c r="O255" t="n">
        <v>0</v>
      </c>
      <c r="P255" t="n">
        <v>0</v>
      </c>
      <c r="Q255" t="n">
        <v>0</v>
      </c>
      <c r="R255" s="2" t="inlineStr"/>
    </row>
    <row r="256" ht="15" customHeight="1">
      <c r="A256" t="inlineStr">
        <is>
          <t>A 56917-2022</t>
        </is>
      </c>
      <c r="B256" s="1" t="n">
        <v>44894</v>
      </c>
      <c r="C256" s="1" t="n">
        <v>46176</v>
      </c>
      <c r="D256" t="inlineStr">
        <is>
          <t>ÖSTERGÖTLANDS LÄN</t>
        </is>
      </c>
      <c r="E256" t="inlineStr">
        <is>
          <t>LINKÖPING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57766-2023</t>
        </is>
      </c>
      <c r="B257" s="1" t="n">
        <v>45246</v>
      </c>
      <c r="C257" s="1" t="n">
        <v>46176</v>
      </c>
      <c r="D257" t="inlineStr">
        <is>
          <t>ÖSTERGÖTLANDS LÄN</t>
        </is>
      </c>
      <c r="E257" t="inlineStr">
        <is>
          <t>LINKÖPING</t>
        </is>
      </c>
      <c r="F257" t="inlineStr">
        <is>
          <t>Allmännings- och besparingsskogar</t>
        </is>
      </c>
      <c r="G257" t="n">
        <v>12.8</v>
      </c>
      <c r="H257" t="n">
        <v>0</v>
      </c>
      <c r="I257" t="n">
        <v>0</v>
      </c>
      <c r="J257" t="n">
        <v>0</v>
      </c>
      <c r="K257" t="n">
        <v>0</v>
      </c>
      <c r="L257" t="n">
        <v>0</v>
      </c>
      <c r="M257" t="n">
        <v>0</v>
      </c>
      <c r="N257" t="n">
        <v>0</v>
      </c>
      <c r="O257" t="n">
        <v>0</v>
      </c>
      <c r="P257" t="n">
        <v>0</v>
      </c>
      <c r="Q257" t="n">
        <v>0</v>
      </c>
      <c r="R257" s="2" t="inlineStr"/>
    </row>
    <row r="258" ht="15" customHeight="1">
      <c r="A258" t="inlineStr">
        <is>
          <t>A 44155-2024</t>
        </is>
      </c>
      <c r="B258" s="1" t="n">
        <v>45572.68226851852</v>
      </c>
      <c r="C258" s="1" t="n">
        <v>46176</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22833-2023</t>
        </is>
      </c>
      <c r="B259" s="1" t="n">
        <v>45071</v>
      </c>
      <c r="C259" s="1" t="n">
        <v>46176</v>
      </c>
      <c r="D259" t="inlineStr">
        <is>
          <t>ÖSTERGÖTLANDS LÄN</t>
        </is>
      </c>
      <c r="E259" t="inlineStr">
        <is>
          <t>LINKÖPING</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25568-2024</t>
        </is>
      </c>
      <c r="B260" s="1" t="n">
        <v>45463.58699074074</v>
      </c>
      <c r="C260" s="1" t="n">
        <v>46176</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41345-2021</t>
        </is>
      </c>
      <c r="B261" s="1" t="n">
        <v>44424.61851851852</v>
      </c>
      <c r="C261" s="1" t="n">
        <v>46176</v>
      </c>
      <c r="D261" t="inlineStr">
        <is>
          <t>ÖSTERGÖTLANDS LÄN</t>
        </is>
      </c>
      <c r="E261" t="inlineStr">
        <is>
          <t>LINKÖPING</t>
        </is>
      </c>
      <c r="F261" t="inlineStr">
        <is>
          <t>Sveaskog</t>
        </is>
      </c>
      <c r="G261" t="n">
        <v>6.3</v>
      </c>
      <c r="H261" t="n">
        <v>0</v>
      </c>
      <c r="I261" t="n">
        <v>0</v>
      </c>
      <c r="J261" t="n">
        <v>0</v>
      </c>
      <c r="K261" t="n">
        <v>0</v>
      </c>
      <c r="L261" t="n">
        <v>0</v>
      </c>
      <c r="M261" t="n">
        <v>0</v>
      </c>
      <c r="N261" t="n">
        <v>0</v>
      </c>
      <c r="O261" t="n">
        <v>0</v>
      </c>
      <c r="P261" t="n">
        <v>0</v>
      </c>
      <c r="Q261" t="n">
        <v>0</v>
      </c>
      <c r="R261" s="2" t="inlineStr"/>
    </row>
    <row r="262" ht="15" customHeight="1">
      <c r="A262" t="inlineStr">
        <is>
          <t>A 2997-2025</t>
        </is>
      </c>
      <c r="B262" s="1" t="n">
        <v>45678.54631944445</v>
      </c>
      <c r="C262" s="1" t="n">
        <v>46176</v>
      </c>
      <c r="D262" t="inlineStr">
        <is>
          <t>ÖSTERGÖTLANDS LÄN</t>
        </is>
      </c>
      <c r="E262" t="inlineStr">
        <is>
          <t>LINKÖPING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13266-2025</t>
        </is>
      </c>
      <c r="B263" s="1" t="n">
        <v>45735.53318287037</v>
      </c>
      <c r="C263" s="1" t="n">
        <v>46176</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16213-2025</t>
        </is>
      </c>
      <c r="B264" s="1" t="n">
        <v>45750.62740740741</v>
      </c>
      <c r="C264" s="1" t="n">
        <v>46176</v>
      </c>
      <c r="D264" t="inlineStr">
        <is>
          <t>ÖSTERGÖTLANDS LÄN</t>
        </is>
      </c>
      <c r="E264" t="inlineStr">
        <is>
          <t>LINKÖPING</t>
        </is>
      </c>
      <c r="G264" t="n">
        <v>3.4</v>
      </c>
      <c r="H264" t="n">
        <v>0</v>
      </c>
      <c r="I264" t="n">
        <v>0</v>
      </c>
      <c r="J264" t="n">
        <v>0</v>
      </c>
      <c r="K264" t="n">
        <v>0</v>
      </c>
      <c r="L264" t="n">
        <v>0</v>
      </c>
      <c r="M264" t="n">
        <v>0</v>
      </c>
      <c r="N264" t="n">
        <v>0</v>
      </c>
      <c r="O264" t="n">
        <v>0</v>
      </c>
      <c r="P264" t="n">
        <v>0</v>
      </c>
      <c r="Q264" t="n">
        <v>0</v>
      </c>
      <c r="R264" s="2" t="inlineStr"/>
    </row>
    <row r="265" ht="15" customHeight="1">
      <c r="A265" t="inlineStr">
        <is>
          <t>A 46225-2021</t>
        </is>
      </c>
      <c r="B265" s="1" t="n">
        <v>44442</v>
      </c>
      <c r="C265" s="1" t="n">
        <v>46176</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17898-2022</t>
        </is>
      </c>
      <c r="B266" s="1" t="n">
        <v>44683</v>
      </c>
      <c r="C266" s="1" t="n">
        <v>46176</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51484-2023</t>
        </is>
      </c>
      <c r="B267" s="1" t="n">
        <v>45222</v>
      </c>
      <c r="C267" s="1" t="n">
        <v>46176</v>
      </c>
      <c r="D267" t="inlineStr">
        <is>
          <t>ÖSTERGÖTLANDS LÄN</t>
        </is>
      </c>
      <c r="E267" t="inlineStr">
        <is>
          <t>LINKÖPING</t>
        </is>
      </c>
      <c r="F267" t="inlineStr">
        <is>
          <t>Övriga Aktiebolag</t>
        </is>
      </c>
      <c r="G267" t="n">
        <v>7.7</v>
      </c>
      <c r="H267" t="n">
        <v>0</v>
      </c>
      <c r="I267" t="n">
        <v>0</v>
      </c>
      <c r="J267" t="n">
        <v>0</v>
      </c>
      <c r="K267" t="n">
        <v>0</v>
      </c>
      <c r="L267" t="n">
        <v>0</v>
      </c>
      <c r="M267" t="n">
        <v>0</v>
      </c>
      <c r="N267" t="n">
        <v>0</v>
      </c>
      <c r="O267" t="n">
        <v>0</v>
      </c>
      <c r="P267" t="n">
        <v>0</v>
      </c>
      <c r="Q267" t="n">
        <v>0</v>
      </c>
      <c r="R267" s="2" t="inlineStr"/>
    </row>
    <row r="268" ht="15" customHeight="1">
      <c r="A268" t="inlineStr">
        <is>
          <t>A 63487-2023</t>
        </is>
      </c>
      <c r="B268" s="1" t="n">
        <v>45274.66712962963</v>
      </c>
      <c r="C268" s="1" t="n">
        <v>46176</v>
      </c>
      <c r="D268" t="inlineStr">
        <is>
          <t>ÖSTERGÖTLANDS LÄN</t>
        </is>
      </c>
      <c r="E268" t="inlineStr">
        <is>
          <t>LINKÖPING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35463-2023</t>
        </is>
      </c>
      <c r="B269" s="1" t="n">
        <v>45146</v>
      </c>
      <c r="C269" s="1" t="n">
        <v>46176</v>
      </c>
      <c r="D269" t="inlineStr">
        <is>
          <t>ÖSTERGÖTLANDS LÄN</t>
        </is>
      </c>
      <c r="E269" t="inlineStr">
        <is>
          <t>LINKÖPING</t>
        </is>
      </c>
      <c r="F269" t="inlineStr">
        <is>
          <t>Övriga Aktiebolag</t>
        </is>
      </c>
      <c r="G269" t="n">
        <v>1.8</v>
      </c>
      <c r="H269" t="n">
        <v>0</v>
      </c>
      <c r="I269" t="n">
        <v>0</v>
      </c>
      <c r="J269" t="n">
        <v>0</v>
      </c>
      <c r="K269" t="n">
        <v>0</v>
      </c>
      <c r="L269" t="n">
        <v>0</v>
      </c>
      <c r="M269" t="n">
        <v>0</v>
      </c>
      <c r="N269" t="n">
        <v>0</v>
      </c>
      <c r="O269" t="n">
        <v>0</v>
      </c>
      <c r="P269" t="n">
        <v>0</v>
      </c>
      <c r="Q269" t="n">
        <v>0</v>
      </c>
      <c r="R269" s="2" t="inlineStr"/>
    </row>
    <row r="270" ht="15" customHeight="1">
      <c r="A270" t="inlineStr">
        <is>
          <t>A 63559-2023</t>
        </is>
      </c>
      <c r="B270" s="1" t="n">
        <v>45275.35924768518</v>
      </c>
      <c r="C270" s="1" t="n">
        <v>46176</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55632-2022</t>
        </is>
      </c>
      <c r="B271" s="1" t="n">
        <v>44888</v>
      </c>
      <c r="C271" s="1" t="n">
        <v>46176</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46176</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11891-2026</t>
        </is>
      </c>
      <c r="B273" s="1" t="n">
        <v>46085.5197800926</v>
      </c>
      <c r="C273" s="1" t="n">
        <v>46176</v>
      </c>
      <c r="D273" t="inlineStr">
        <is>
          <t>ÖSTERGÖTLANDS LÄN</t>
        </is>
      </c>
      <c r="E273" t="inlineStr">
        <is>
          <t>LINKÖPING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32723-2025</t>
        </is>
      </c>
      <c r="B274" s="1" t="n">
        <v>45838</v>
      </c>
      <c r="C274" s="1" t="n">
        <v>46176</v>
      </c>
      <c r="D274" t="inlineStr">
        <is>
          <t>ÖSTERGÖTLANDS LÄN</t>
        </is>
      </c>
      <c r="E274" t="inlineStr">
        <is>
          <t>LINKÖPING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11888-2026</t>
        </is>
      </c>
      <c r="B275" s="1" t="n">
        <v>46085.51813657407</v>
      </c>
      <c r="C275" s="1" t="n">
        <v>46176</v>
      </c>
      <c r="D275" t="inlineStr">
        <is>
          <t>ÖSTERGÖTLANDS LÄN</t>
        </is>
      </c>
      <c r="E275" t="inlineStr">
        <is>
          <t>LINKÖPING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12251-2026</t>
        </is>
      </c>
      <c r="B276" s="1" t="n">
        <v>46087.45278935185</v>
      </c>
      <c r="C276" s="1" t="n">
        <v>46176</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12254-2026</t>
        </is>
      </c>
      <c r="B277" s="1" t="n">
        <v>46087.46196759259</v>
      </c>
      <c r="C277" s="1" t="n">
        <v>46176</v>
      </c>
      <c r="D277" t="inlineStr">
        <is>
          <t>ÖSTERGÖTLANDS LÄN</t>
        </is>
      </c>
      <c r="E277" t="inlineStr">
        <is>
          <t>LINKÖPING</t>
        </is>
      </c>
      <c r="G277" t="n">
        <v>10.4</v>
      </c>
      <c r="H277" t="n">
        <v>0</v>
      </c>
      <c r="I277" t="n">
        <v>0</v>
      </c>
      <c r="J277" t="n">
        <v>0</v>
      </c>
      <c r="K277" t="n">
        <v>0</v>
      </c>
      <c r="L277" t="n">
        <v>0</v>
      </c>
      <c r="M277" t="n">
        <v>0</v>
      </c>
      <c r="N277" t="n">
        <v>0</v>
      </c>
      <c r="O277" t="n">
        <v>0</v>
      </c>
      <c r="P277" t="n">
        <v>0</v>
      </c>
      <c r="Q277" t="n">
        <v>0</v>
      </c>
      <c r="R277" s="2" t="inlineStr"/>
    </row>
    <row r="278" ht="15" customHeight="1">
      <c r="A278" t="inlineStr">
        <is>
          <t>A 12482-2026</t>
        </is>
      </c>
      <c r="B278" s="1" t="n">
        <v>46090.56292824074</v>
      </c>
      <c r="C278" s="1" t="n">
        <v>46176</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12486-2026</t>
        </is>
      </c>
      <c r="B279" s="1" t="n">
        <v>46090.56501157407</v>
      </c>
      <c r="C279" s="1" t="n">
        <v>46176</v>
      </c>
      <c r="D279" t="inlineStr">
        <is>
          <t>ÖSTERGÖTLANDS LÄN</t>
        </is>
      </c>
      <c r="E279" t="inlineStr">
        <is>
          <t>LINKÖPING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55944-2024</t>
        </is>
      </c>
      <c r="B280" s="1" t="n">
        <v>45623.61640046296</v>
      </c>
      <c r="C280" s="1" t="n">
        <v>46176</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55947-2024</t>
        </is>
      </c>
      <c r="B281" s="1" t="n">
        <v>45623</v>
      </c>
      <c r="C281" s="1" t="n">
        <v>46176</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3374-2023</t>
        </is>
      </c>
      <c r="B282" s="1" t="n">
        <v>44949</v>
      </c>
      <c r="C282" s="1" t="n">
        <v>46176</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19523-2026</t>
        </is>
      </c>
      <c r="B283" s="1" t="n">
        <v>46134.35099537037</v>
      </c>
      <c r="C283" s="1" t="n">
        <v>46176</v>
      </c>
      <c r="D283" t="inlineStr">
        <is>
          <t>ÖSTERGÖTLANDS LÄN</t>
        </is>
      </c>
      <c r="E283" t="inlineStr">
        <is>
          <t>LINKÖPING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33947-2025</t>
        </is>
      </c>
      <c r="B284" s="1" t="n">
        <v>45842.65444444444</v>
      </c>
      <c r="C284" s="1" t="n">
        <v>46176</v>
      </c>
      <c r="D284" t="inlineStr">
        <is>
          <t>ÖSTERGÖTLANDS LÄN</t>
        </is>
      </c>
      <c r="E284" t="inlineStr">
        <is>
          <t>LINKÖPING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53529-2024</t>
        </is>
      </c>
      <c r="B285" s="1" t="n">
        <v>45614</v>
      </c>
      <c r="C285" s="1" t="n">
        <v>46176</v>
      </c>
      <c r="D285" t="inlineStr">
        <is>
          <t>ÖSTERGÖTLANDS LÄN</t>
        </is>
      </c>
      <c r="E285" t="inlineStr">
        <is>
          <t>LINKÖPING</t>
        </is>
      </c>
      <c r="G285" t="n">
        <v>6.7</v>
      </c>
      <c r="H285" t="n">
        <v>0</v>
      </c>
      <c r="I285" t="n">
        <v>0</v>
      </c>
      <c r="J285" t="n">
        <v>0</v>
      </c>
      <c r="K285" t="n">
        <v>0</v>
      </c>
      <c r="L285" t="n">
        <v>0</v>
      </c>
      <c r="M285" t="n">
        <v>0</v>
      </c>
      <c r="N285" t="n">
        <v>0</v>
      </c>
      <c r="O285" t="n">
        <v>0</v>
      </c>
      <c r="P285" t="n">
        <v>0</v>
      </c>
      <c r="Q285" t="n">
        <v>0</v>
      </c>
      <c r="R285" s="2" t="inlineStr"/>
    </row>
    <row r="286" ht="15" customHeight="1">
      <c r="A286" t="inlineStr">
        <is>
          <t>A 62012-2024</t>
        </is>
      </c>
      <c r="B286" s="1" t="n">
        <v>45655.79679398148</v>
      </c>
      <c r="C286" s="1" t="n">
        <v>46176</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3008-2023</t>
        </is>
      </c>
      <c r="B287" s="1" t="n">
        <v>44945.79784722222</v>
      </c>
      <c r="C287" s="1" t="n">
        <v>46176</v>
      </c>
      <c r="D287" t="inlineStr">
        <is>
          <t>ÖSTERGÖTLANDS LÄN</t>
        </is>
      </c>
      <c r="E287" t="inlineStr">
        <is>
          <t>LINKÖPING</t>
        </is>
      </c>
      <c r="G287" t="n">
        <v>19.3</v>
      </c>
      <c r="H287" t="n">
        <v>0</v>
      </c>
      <c r="I287" t="n">
        <v>0</v>
      </c>
      <c r="J287" t="n">
        <v>0</v>
      </c>
      <c r="K287" t="n">
        <v>0</v>
      </c>
      <c r="L287" t="n">
        <v>0</v>
      </c>
      <c r="M287" t="n">
        <v>0</v>
      </c>
      <c r="N287" t="n">
        <v>0</v>
      </c>
      <c r="O287" t="n">
        <v>0</v>
      </c>
      <c r="P287" t="n">
        <v>0</v>
      </c>
      <c r="Q287" t="n">
        <v>0</v>
      </c>
      <c r="R287" s="2" t="inlineStr"/>
    </row>
    <row r="288" ht="15" customHeight="1">
      <c r="A288" t="inlineStr">
        <is>
          <t>A 24151-2024</t>
        </is>
      </c>
      <c r="B288" s="1" t="n">
        <v>45456.67717592593</v>
      </c>
      <c r="C288" s="1" t="n">
        <v>46176</v>
      </c>
      <c r="D288" t="inlineStr">
        <is>
          <t>ÖSTERGÖTLANDS LÄN</t>
        </is>
      </c>
      <c r="E288" t="inlineStr">
        <is>
          <t>LINKÖPING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20469-2025</t>
        </is>
      </c>
      <c r="B289" s="1" t="n">
        <v>45775</v>
      </c>
      <c r="C289" s="1" t="n">
        <v>46176</v>
      </c>
      <c r="D289" t="inlineStr">
        <is>
          <t>ÖSTERGÖTLANDS LÄN</t>
        </is>
      </c>
      <c r="E289" t="inlineStr">
        <is>
          <t>LINKÖPING</t>
        </is>
      </c>
      <c r="F289" t="inlineStr">
        <is>
          <t>Kyrkan</t>
        </is>
      </c>
      <c r="G289" t="n">
        <v>6.1</v>
      </c>
      <c r="H289" t="n">
        <v>0</v>
      </c>
      <c r="I289" t="n">
        <v>0</v>
      </c>
      <c r="J289" t="n">
        <v>0</v>
      </c>
      <c r="K289" t="n">
        <v>0</v>
      </c>
      <c r="L289" t="n">
        <v>0</v>
      </c>
      <c r="M289" t="n">
        <v>0</v>
      </c>
      <c r="N289" t="n">
        <v>0</v>
      </c>
      <c r="O289" t="n">
        <v>0</v>
      </c>
      <c r="P289" t="n">
        <v>0</v>
      </c>
      <c r="Q289" t="n">
        <v>0</v>
      </c>
      <c r="R289" s="2" t="inlineStr"/>
    </row>
    <row r="290" ht="15" customHeight="1">
      <c r="A290" t="inlineStr">
        <is>
          <t>A 39438-2025</t>
        </is>
      </c>
      <c r="B290" s="1" t="n">
        <v>45889.68641203704</v>
      </c>
      <c r="C290" s="1" t="n">
        <v>46176</v>
      </c>
      <c r="D290" t="inlineStr">
        <is>
          <t>ÖSTERGÖTLANDS LÄN</t>
        </is>
      </c>
      <c r="E290" t="inlineStr">
        <is>
          <t>LINKÖPING</t>
        </is>
      </c>
      <c r="G290" t="n">
        <v>2.4</v>
      </c>
      <c r="H290" t="n">
        <v>0</v>
      </c>
      <c r="I290" t="n">
        <v>0</v>
      </c>
      <c r="J290" t="n">
        <v>0</v>
      </c>
      <c r="K290" t="n">
        <v>0</v>
      </c>
      <c r="L290" t="n">
        <v>0</v>
      </c>
      <c r="M290" t="n">
        <v>0</v>
      </c>
      <c r="N290" t="n">
        <v>0</v>
      </c>
      <c r="O290" t="n">
        <v>0</v>
      </c>
      <c r="P290" t="n">
        <v>0</v>
      </c>
      <c r="Q290" t="n">
        <v>0</v>
      </c>
      <c r="R290" s="2" t="inlineStr"/>
    </row>
    <row r="291" ht="15" customHeight="1">
      <c r="A291" t="inlineStr">
        <is>
          <t>A 27264-2025</t>
        </is>
      </c>
      <c r="B291" s="1" t="n">
        <v>45812.4794212963</v>
      </c>
      <c r="C291" s="1" t="n">
        <v>46176</v>
      </c>
      <c r="D291" t="inlineStr">
        <is>
          <t>ÖSTERGÖTLANDS LÄN</t>
        </is>
      </c>
      <c r="E291" t="inlineStr">
        <is>
          <t>LINKÖPING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33800-2023</t>
        </is>
      </c>
      <c r="B292" s="1" t="n">
        <v>45121</v>
      </c>
      <c r="C292" s="1" t="n">
        <v>46176</v>
      </c>
      <c r="D292" t="inlineStr">
        <is>
          <t>ÖSTERGÖTLANDS LÄN</t>
        </is>
      </c>
      <c r="E292" t="inlineStr">
        <is>
          <t>LINKÖPING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26007-2025</t>
        </is>
      </c>
      <c r="B293" s="1" t="n">
        <v>45804.67081018518</v>
      </c>
      <c r="C293" s="1" t="n">
        <v>46176</v>
      </c>
      <c r="D293" t="inlineStr">
        <is>
          <t>ÖSTERGÖTLANDS LÄN</t>
        </is>
      </c>
      <c r="E293" t="inlineStr">
        <is>
          <t>LINKÖPING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35174-2025</t>
        </is>
      </c>
      <c r="B294" s="1" t="n">
        <v>45852.90648148148</v>
      </c>
      <c r="C294" s="1" t="n">
        <v>46176</v>
      </c>
      <c r="D294" t="inlineStr">
        <is>
          <t>ÖSTERGÖTLANDS LÄN</t>
        </is>
      </c>
      <c r="E294" t="inlineStr">
        <is>
          <t>LINKÖPING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39074-2025</t>
        </is>
      </c>
      <c r="B295" s="1" t="n">
        <v>45888</v>
      </c>
      <c r="C295" s="1" t="n">
        <v>46176</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72567-2021</t>
        </is>
      </c>
      <c r="B296" s="1" t="n">
        <v>44546.45023148148</v>
      </c>
      <c r="C296" s="1" t="n">
        <v>46176</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47991-2023</t>
        </is>
      </c>
      <c r="B297" s="1" t="n">
        <v>45204.62655092592</v>
      </c>
      <c r="C297" s="1" t="n">
        <v>46176</v>
      </c>
      <c r="D297" t="inlineStr">
        <is>
          <t>ÖSTERGÖTLANDS LÄN</t>
        </is>
      </c>
      <c r="E297" t="inlineStr">
        <is>
          <t>LINKÖPING</t>
        </is>
      </c>
      <c r="F297" t="inlineStr">
        <is>
          <t>Allmännings- och besparingsskogar</t>
        </is>
      </c>
      <c r="G297" t="n">
        <v>7.3</v>
      </c>
      <c r="H297" t="n">
        <v>0</v>
      </c>
      <c r="I297" t="n">
        <v>0</v>
      </c>
      <c r="J297" t="n">
        <v>0</v>
      </c>
      <c r="K297" t="n">
        <v>0</v>
      </c>
      <c r="L297" t="n">
        <v>0</v>
      </c>
      <c r="M297" t="n">
        <v>0</v>
      </c>
      <c r="N297" t="n">
        <v>0</v>
      </c>
      <c r="O297" t="n">
        <v>0</v>
      </c>
      <c r="P297" t="n">
        <v>0</v>
      </c>
      <c r="Q297" t="n">
        <v>0</v>
      </c>
      <c r="R297" s="2" t="inlineStr"/>
    </row>
    <row r="298" ht="15" customHeight="1">
      <c r="A298" t="inlineStr">
        <is>
          <t>A 35179-2025</t>
        </is>
      </c>
      <c r="B298" s="1" t="n">
        <v>45852.93737268518</v>
      </c>
      <c r="C298" s="1" t="n">
        <v>46176</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35180-2025</t>
        </is>
      </c>
      <c r="B299" s="1" t="n">
        <v>45852.9413425926</v>
      </c>
      <c r="C299" s="1" t="n">
        <v>46176</v>
      </c>
      <c r="D299" t="inlineStr">
        <is>
          <t>ÖSTERGÖTLANDS LÄN</t>
        </is>
      </c>
      <c r="E299" t="inlineStr">
        <is>
          <t>LINKÖPING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35178-2025</t>
        </is>
      </c>
      <c r="B300" s="1" t="n">
        <v>45852.91939814815</v>
      </c>
      <c r="C300" s="1" t="n">
        <v>46176</v>
      </c>
      <c r="D300" t="inlineStr">
        <is>
          <t>ÖSTERGÖTLANDS LÄN</t>
        </is>
      </c>
      <c r="E300" t="inlineStr">
        <is>
          <t>LINKÖPING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13927-2026</t>
        </is>
      </c>
      <c r="B301" s="1" t="n">
        <v>46098</v>
      </c>
      <c r="C301" s="1" t="n">
        <v>46176</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5099-2026</t>
        </is>
      </c>
      <c r="B302" s="1" t="n">
        <v>46049.56158564815</v>
      </c>
      <c r="C302" s="1" t="n">
        <v>46176</v>
      </c>
      <c r="D302" t="inlineStr">
        <is>
          <t>ÖSTERGÖTLANDS LÄN</t>
        </is>
      </c>
      <c r="E302" t="inlineStr">
        <is>
          <t>LINKÖPING</t>
        </is>
      </c>
      <c r="G302" t="n">
        <v>5</v>
      </c>
      <c r="H302" t="n">
        <v>0</v>
      </c>
      <c r="I302" t="n">
        <v>0</v>
      </c>
      <c r="J302" t="n">
        <v>0</v>
      </c>
      <c r="K302" t="n">
        <v>0</v>
      </c>
      <c r="L302" t="n">
        <v>0</v>
      </c>
      <c r="M302" t="n">
        <v>0</v>
      </c>
      <c r="N302" t="n">
        <v>0</v>
      </c>
      <c r="O302" t="n">
        <v>0</v>
      </c>
      <c r="P302" t="n">
        <v>0</v>
      </c>
      <c r="Q302" t="n">
        <v>0</v>
      </c>
      <c r="R302" s="2" t="inlineStr"/>
    </row>
    <row r="303" ht="15" customHeight="1">
      <c r="A303" t="inlineStr">
        <is>
          <t>A 14135-2026</t>
        </is>
      </c>
      <c r="B303" s="1" t="n">
        <v>46099</v>
      </c>
      <c r="C303" s="1" t="n">
        <v>46176</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35757-2025</t>
        </is>
      </c>
      <c r="B304" s="1" t="n">
        <v>45860.59876157407</v>
      </c>
      <c r="C304" s="1" t="n">
        <v>46176</v>
      </c>
      <c r="D304" t="inlineStr">
        <is>
          <t>ÖSTERGÖTLANDS LÄN</t>
        </is>
      </c>
      <c r="E304" t="inlineStr">
        <is>
          <t>LINKÖPING</t>
        </is>
      </c>
      <c r="G304" t="n">
        <v>5.7</v>
      </c>
      <c r="H304" t="n">
        <v>0</v>
      </c>
      <c r="I304" t="n">
        <v>0</v>
      </c>
      <c r="J304" t="n">
        <v>0</v>
      </c>
      <c r="K304" t="n">
        <v>0</v>
      </c>
      <c r="L304" t="n">
        <v>0</v>
      </c>
      <c r="M304" t="n">
        <v>0</v>
      </c>
      <c r="N304" t="n">
        <v>0</v>
      </c>
      <c r="O304" t="n">
        <v>0</v>
      </c>
      <c r="P304" t="n">
        <v>0</v>
      </c>
      <c r="Q304" t="n">
        <v>0</v>
      </c>
      <c r="R304" s="2" t="inlineStr"/>
    </row>
    <row r="305" ht="15" customHeight="1">
      <c r="A305" t="inlineStr">
        <is>
          <t>A 40169-2025</t>
        </is>
      </c>
      <c r="B305" s="1" t="n">
        <v>45894.62824074074</v>
      </c>
      <c r="C305" s="1" t="n">
        <v>46176</v>
      </c>
      <c r="D305" t="inlineStr">
        <is>
          <t>ÖSTERGÖTLANDS LÄN</t>
        </is>
      </c>
      <c r="E305" t="inlineStr">
        <is>
          <t>LINKÖPING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35745-2025</t>
        </is>
      </c>
      <c r="B306" s="1" t="n">
        <v>45860.54739583333</v>
      </c>
      <c r="C306" s="1" t="n">
        <v>46176</v>
      </c>
      <c r="D306" t="inlineStr">
        <is>
          <t>ÖSTERGÖTLANDS LÄN</t>
        </is>
      </c>
      <c r="E306" t="inlineStr">
        <is>
          <t>LINKÖPING</t>
        </is>
      </c>
      <c r="G306" t="n">
        <v>4.4</v>
      </c>
      <c r="H306" t="n">
        <v>0</v>
      </c>
      <c r="I306" t="n">
        <v>0</v>
      </c>
      <c r="J306" t="n">
        <v>0</v>
      </c>
      <c r="K306" t="n">
        <v>0</v>
      </c>
      <c r="L306" t="n">
        <v>0</v>
      </c>
      <c r="M306" t="n">
        <v>0</v>
      </c>
      <c r="N306" t="n">
        <v>0</v>
      </c>
      <c r="O306" t="n">
        <v>0</v>
      </c>
      <c r="P306" t="n">
        <v>0</v>
      </c>
      <c r="Q306" t="n">
        <v>0</v>
      </c>
      <c r="R306" s="2" t="inlineStr"/>
    </row>
    <row r="307" ht="15" customHeight="1">
      <c r="A307" t="inlineStr">
        <is>
          <t>A 35747-2025</t>
        </is>
      </c>
      <c r="B307" s="1" t="n">
        <v>45860.56385416666</v>
      </c>
      <c r="C307" s="1" t="n">
        <v>46176</v>
      </c>
      <c r="D307" t="inlineStr">
        <is>
          <t>ÖSTERGÖTLANDS LÄN</t>
        </is>
      </c>
      <c r="E307" t="inlineStr">
        <is>
          <t>LINKÖPING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13565-2026</t>
        </is>
      </c>
      <c r="B308" s="1" t="n">
        <v>46094.80006944444</v>
      </c>
      <c r="C308" s="1" t="n">
        <v>46176</v>
      </c>
      <c r="D308" t="inlineStr">
        <is>
          <t>ÖSTERGÖTLANDS LÄN</t>
        </is>
      </c>
      <c r="E308" t="inlineStr">
        <is>
          <t>LINKÖPING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14576-2023</t>
        </is>
      </c>
      <c r="B309" s="1" t="n">
        <v>45013</v>
      </c>
      <c r="C309" s="1" t="n">
        <v>46176</v>
      </c>
      <c r="D309" t="inlineStr">
        <is>
          <t>ÖSTERGÖTLANDS LÄN</t>
        </is>
      </c>
      <c r="E309" t="inlineStr">
        <is>
          <t>LINKÖPING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12174-2026</t>
        </is>
      </c>
      <c r="B310" s="1" t="n">
        <v>46086</v>
      </c>
      <c r="C310" s="1" t="n">
        <v>46176</v>
      </c>
      <c r="D310" t="inlineStr">
        <is>
          <t>ÖSTERGÖTLANDS LÄN</t>
        </is>
      </c>
      <c r="E310" t="inlineStr">
        <is>
          <t>LINKÖPING</t>
        </is>
      </c>
      <c r="G310" t="n">
        <v>7.2</v>
      </c>
      <c r="H310" t="n">
        <v>0</v>
      </c>
      <c r="I310" t="n">
        <v>0</v>
      </c>
      <c r="J310" t="n">
        <v>0</v>
      </c>
      <c r="K310" t="n">
        <v>0</v>
      </c>
      <c r="L310" t="n">
        <v>0</v>
      </c>
      <c r="M310" t="n">
        <v>0</v>
      </c>
      <c r="N310" t="n">
        <v>0</v>
      </c>
      <c r="O310" t="n">
        <v>0</v>
      </c>
      <c r="P310" t="n">
        <v>0</v>
      </c>
      <c r="Q310" t="n">
        <v>0</v>
      </c>
      <c r="R310" s="2" t="inlineStr"/>
    </row>
    <row r="311" ht="15" customHeight="1">
      <c r="A311" t="inlineStr">
        <is>
          <t>A 12175-2026</t>
        </is>
      </c>
      <c r="B311" s="1" t="n">
        <v>46086</v>
      </c>
      <c r="C311" s="1" t="n">
        <v>46176</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12181-2026</t>
        </is>
      </c>
      <c r="B312" s="1" t="n">
        <v>46086</v>
      </c>
      <c r="C312" s="1" t="n">
        <v>46176</v>
      </c>
      <c r="D312" t="inlineStr">
        <is>
          <t>ÖSTERGÖTLANDS LÄN</t>
        </is>
      </c>
      <c r="E312" t="inlineStr">
        <is>
          <t>LINKÖPING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35759-2025</t>
        </is>
      </c>
      <c r="B313" s="1" t="n">
        <v>45860</v>
      </c>
      <c r="C313" s="1" t="n">
        <v>46176</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14157-2026</t>
        </is>
      </c>
      <c r="B314" s="1" t="n">
        <v>46099.46829861111</v>
      </c>
      <c r="C314" s="1" t="n">
        <v>46176</v>
      </c>
      <c r="D314" t="inlineStr">
        <is>
          <t>ÖSTERGÖTLANDS LÄN</t>
        </is>
      </c>
      <c r="E314" t="inlineStr">
        <is>
          <t>LINKÖPING</t>
        </is>
      </c>
      <c r="F314" t="inlineStr">
        <is>
          <t>Allmännings- och besparingsskogar</t>
        </is>
      </c>
      <c r="G314" t="n">
        <v>1.6</v>
      </c>
      <c r="H314" t="n">
        <v>0</v>
      </c>
      <c r="I314" t="n">
        <v>0</v>
      </c>
      <c r="J314" t="n">
        <v>0</v>
      </c>
      <c r="K314" t="n">
        <v>0</v>
      </c>
      <c r="L314" t="n">
        <v>0</v>
      </c>
      <c r="M314" t="n">
        <v>0</v>
      </c>
      <c r="N314" t="n">
        <v>0</v>
      </c>
      <c r="O314" t="n">
        <v>0</v>
      </c>
      <c r="P314" t="n">
        <v>0</v>
      </c>
      <c r="Q314" t="n">
        <v>0</v>
      </c>
      <c r="R314" s="2" t="inlineStr"/>
    </row>
    <row r="315" ht="15" customHeight="1">
      <c r="A315" t="inlineStr">
        <is>
          <t>A 41511-2025</t>
        </is>
      </c>
      <c r="B315" s="1" t="n">
        <v>45901.53839120371</v>
      </c>
      <c r="C315" s="1" t="n">
        <v>46176</v>
      </c>
      <c r="D315" t="inlineStr">
        <is>
          <t>ÖSTERGÖTLANDS LÄN</t>
        </is>
      </c>
      <c r="E315" t="inlineStr">
        <is>
          <t>LINKÖPING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37057-2025</t>
        </is>
      </c>
      <c r="B316" s="1" t="n">
        <v>45875.37489583333</v>
      </c>
      <c r="C316" s="1" t="n">
        <v>46176</v>
      </c>
      <c r="D316" t="inlineStr">
        <is>
          <t>ÖSTERGÖTLANDS LÄN</t>
        </is>
      </c>
      <c r="E316" t="inlineStr">
        <is>
          <t>LINKÖPING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21246-2026</t>
        </is>
      </c>
      <c r="B317" s="1" t="n">
        <v>46147.36642361111</v>
      </c>
      <c r="C317" s="1" t="n">
        <v>46176</v>
      </c>
      <c r="D317" t="inlineStr">
        <is>
          <t>ÖSTERGÖTLANDS LÄN</t>
        </is>
      </c>
      <c r="E317" t="inlineStr">
        <is>
          <t>LINKÖPING</t>
        </is>
      </c>
      <c r="F317" t="inlineStr">
        <is>
          <t>Sveaskog</t>
        </is>
      </c>
      <c r="G317" t="n">
        <v>6.5</v>
      </c>
      <c r="H317" t="n">
        <v>0</v>
      </c>
      <c r="I317" t="n">
        <v>0</v>
      </c>
      <c r="J317" t="n">
        <v>0</v>
      </c>
      <c r="K317" t="n">
        <v>0</v>
      </c>
      <c r="L317" t="n">
        <v>0</v>
      </c>
      <c r="M317" t="n">
        <v>0</v>
      </c>
      <c r="N317" t="n">
        <v>0</v>
      </c>
      <c r="O317" t="n">
        <v>0</v>
      </c>
      <c r="P317" t="n">
        <v>0</v>
      </c>
      <c r="Q317" t="n">
        <v>0</v>
      </c>
      <c r="R317" s="2" t="inlineStr"/>
    </row>
    <row r="318" ht="15" customHeight="1">
      <c r="A318" t="inlineStr">
        <is>
          <t>A 21248-2026</t>
        </is>
      </c>
      <c r="B318" s="1" t="n">
        <v>46147.36969907407</v>
      </c>
      <c r="C318" s="1" t="n">
        <v>46176</v>
      </c>
      <c r="D318" t="inlineStr">
        <is>
          <t>ÖSTERGÖTLANDS LÄN</t>
        </is>
      </c>
      <c r="E318" t="inlineStr">
        <is>
          <t>LINKÖPING</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41706-2025</t>
        </is>
      </c>
      <c r="B319" s="1" t="n">
        <v>45902.42209490741</v>
      </c>
      <c r="C319" s="1" t="n">
        <v>46176</v>
      </c>
      <c r="D319" t="inlineStr">
        <is>
          <t>ÖSTERGÖTLANDS LÄN</t>
        </is>
      </c>
      <c r="E319" t="inlineStr">
        <is>
          <t>LINKÖPING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74160-2021</t>
        </is>
      </c>
      <c r="B320" s="1" t="n">
        <v>44558</v>
      </c>
      <c r="C320" s="1" t="n">
        <v>46176</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3042-2024</t>
        </is>
      </c>
      <c r="B321" s="1" t="n">
        <v>45316.35028935185</v>
      </c>
      <c r="C321" s="1" t="n">
        <v>46176</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29293-2025</t>
        </is>
      </c>
      <c r="B322" s="1" t="n">
        <v>45824</v>
      </c>
      <c r="C322" s="1" t="n">
        <v>46176</v>
      </c>
      <c r="D322" t="inlineStr">
        <is>
          <t>ÖSTERGÖTLANDS LÄN</t>
        </is>
      </c>
      <c r="E322" t="inlineStr">
        <is>
          <t>LINKÖPING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42624-2025</t>
        </is>
      </c>
      <c r="B323" s="1" t="n">
        <v>45905</v>
      </c>
      <c r="C323" s="1" t="n">
        <v>46176</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42626-2025</t>
        </is>
      </c>
      <c r="B324" s="1" t="n">
        <v>45905</v>
      </c>
      <c r="C324" s="1" t="n">
        <v>46176</v>
      </c>
      <c r="D324" t="inlineStr">
        <is>
          <t>ÖSTERGÖTLANDS LÄN</t>
        </is>
      </c>
      <c r="E324" t="inlineStr">
        <is>
          <t>LINKÖPING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42623-2025</t>
        </is>
      </c>
      <c r="B325" s="1" t="n">
        <v>45905</v>
      </c>
      <c r="C325" s="1" t="n">
        <v>46176</v>
      </c>
      <c r="D325" t="inlineStr">
        <is>
          <t>ÖSTERGÖTLANDS LÄN</t>
        </is>
      </c>
      <c r="E325" t="inlineStr">
        <is>
          <t>LINKÖPING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27766-2022</t>
        </is>
      </c>
      <c r="B326" s="1" t="n">
        <v>44743.53112268518</v>
      </c>
      <c r="C326" s="1" t="n">
        <v>46176</v>
      </c>
      <c r="D326" t="inlineStr">
        <is>
          <t>ÖSTERGÖTLANDS LÄN</t>
        </is>
      </c>
      <c r="E326" t="inlineStr">
        <is>
          <t>LINKÖPING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21374-2026</t>
        </is>
      </c>
      <c r="B327" s="1" t="n">
        <v>46145</v>
      </c>
      <c r="C327" s="1" t="n">
        <v>46176</v>
      </c>
      <c r="D327" t="inlineStr">
        <is>
          <t>ÖSTERGÖTLANDS LÄN</t>
        </is>
      </c>
      <c r="E327" t="inlineStr">
        <is>
          <t>LINKÖPING</t>
        </is>
      </c>
      <c r="G327" t="n">
        <v>3.7</v>
      </c>
      <c r="H327" t="n">
        <v>0</v>
      </c>
      <c r="I327" t="n">
        <v>0</v>
      </c>
      <c r="J327" t="n">
        <v>0</v>
      </c>
      <c r="K327" t="n">
        <v>0</v>
      </c>
      <c r="L327" t="n">
        <v>0</v>
      </c>
      <c r="M327" t="n">
        <v>0</v>
      </c>
      <c r="N327" t="n">
        <v>0</v>
      </c>
      <c r="O327" t="n">
        <v>0</v>
      </c>
      <c r="P327" t="n">
        <v>0</v>
      </c>
      <c r="Q327" t="n">
        <v>0</v>
      </c>
      <c r="R327" s="2" t="inlineStr"/>
    </row>
    <row r="328" ht="15" customHeight="1">
      <c r="A328" t="inlineStr">
        <is>
          <t>A 53641-2023</t>
        </is>
      </c>
      <c r="B328" s="1" t="n">
        <v>45230</v>
      </c>
      <c r="C328" s="1" t="n">
        <v>46176</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33000-2023</t>
        </is>
      </c>
      <c r="B329" s="1" t="n">
        <v>45125</v>
      </c>
      <c r="C329" s="1" t="n">
        <v>46176</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52892-2024</t>
        </is>
      </c>
      <c r="B330" s="1" t="n">
        <v>45610</v>
      </c>
      <c r="C330" s="1" t="n">
        <v>46176</v>
      </c>
      <c r="D330" t="inlineStr">
        <is>
          <t>ÖSTERGÖTLANDS LÄN</t>
        </is>
      </c>
      <c r="E330" t="inlineStr">
        <is>
          <t>LINKÖPING</t>
        </is>
      </c>
      <c r="G330" t="n">
        <v>4.2</v>
      </c>
      <c r="H330" t="n">
        <v>0</v>
      </c>
      <c r="I330" t="n">
        <v>0</v>
      </c>
      <c r="J330" t="n">
        <v>0</v>
      </c>
      <c r="K330" t="n">
        <v>0</v>
      </c>
      <c r="L330" t="n">
        <v>0</v>
      </c>
      <c r="M330" t="n">
        <v>0</v>
      </c>
      <c r="N330" t="n">
        <v>0</v>
      </c>
      <c r="O330" t="n">
        <v>0</v>
      </c>
      <c r="P330" t="n">
        <v>0</v>
      </c>
      <c r="Q330" t="n">
        <v>0</v>
      </c>
      <c r="R330" s="2" t="inlineStr"/>
    </row>
    <row r="331" ht="15" customHeight="1">
      <c r="A331" t="inlineStr">
        <is>
          <t>A 25829-2025</t>
        </is>
      </c>
      <c r="B331" s="1" t="n">
        <v>45804.44505787037</v>
      </c>
      <c r="C331" s="1" t="n">
        <v>46176</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38046-2025</t>
        </is>
      </c>
      <c r="B332" s="1" t="n">
        <v>45882.39939814815</v>
      </c>
      <c r="C332" s="1" t="n">
        <v>46176</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30521-2024</t>
        </is>
      </c>
      <c r="B333" s="1" t="n">
        <v>45492</v>
      </c>
      <c r="C333" s="1" t="n">
        <v>46176</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51191-2022</t>
        </is>
      </c>
      <c r="B334" s="1" t="n">
        <v>44865</v>
      </c>
      <c r="C334" s="1" t="n">
        <v>46176</v>
      </c>
      <c r="D334" t="inlineStr">
        <is>
          <t>ÖSTERGÖTLANDS LÄN</t>
        </is>
      </c>
      <c r="E334" t="inlineStr">
        <is>
          <t>LINKÖPING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12289-2025</t>
        </is>
      </c>
      <c r="B335" s="1" t="n">
        <v>45729</v>
      </c>
      <c r="C335" s="1" t="n">
        <v>46176</v>
      </c>
      <c r="D335" t="inlineStr">
        <is>
          <t>ÖSTERGÖTLANDS LÄN</t>
        </is>
      </c>
      <c r="E335" t="inlineStr">
        <is>
          <t>LINKÖPING</t>
        </is>
      </c>
      <c r="F335" t="inlineStr">
        <is>
          <t>Övriga statliga verk och myndigheter</t>
        </is>
      </c>
      <c r="G335" t="n">
        <v>6.5</v>
      </c>
      <c r="H335" t="n">
        <v>0</v>
      </c>
      <c r="I335" t="n">
        <v>0</v>
      </c>
      <c r="J335" t="n">
        <v>0</v>
      </c>
      <c r="K335" t="n">
        <v>0</v>
      </c>
      <c r="L335" t="n">
        <v>0</v>
      </c>
      <c r="M335" t="n">
        <v>0</v>
      </c>
      <c r="N335" t="n">
        <v>0</v>
      </c>
      <c r="O335" t="n">
        <v>0</v>
      </c>
      <c r="P335" t="n">
        <v>0</v>
      </c>
      <c r="Q335" t="n">
        <v>0</v>
      </c>
      <c r="R335" s="2" t="inlineStr"/>
    </row>
    <row r="336" ht="15" customHeight="1">
      <c r="A336" t="inlineStr">
        <is>
          <t>A 15850-2026</t>
        </is>
      </c>
      <c r="B336" s="1" t="n">
        <v>46107.57224537037</v>
      </c>
      <c r="C336" s="1" t="n">
        <v>46176</v>
      </c>
      <c r="D336" t="inlineStr">
        <is>
          <t>ÖSTERGÖTLANDS LÄN</t>
        </is>
      </c>
      <c r="E336" t="inlineStr">
        <is>
          <t>LINKÖPING</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9434-2024</t>
        </is>
      </c>
      <c r="B337" s="1" t="n">
        <v>45359</v>
      </c>
      <c r="C337" s="1" t="n">
        <v>46176</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50182-2023</t>
        </is>
      </c>
      <c r="B338" s="1" t="n">
        <v>45208</v>
      </c>
      <c r="C338" s="1" t="n">
        <v>46176</v>
      </c>
      <c r="D338" t="inlineStr">
        <is>
          <t>ÖSTERGÖTLANDS LÄN</t>
        </is>
      </c>
      <c r="E338" t="inlineStr">
        <is>
          <t>LINKÖPING</t>
        </is>
      </c>
      <c r="G338" t="n">
        <v>2.5</v>
      </c>
      <c r="H338" t="n">
        <v>0</v>
      </c>
      <c r="I338" t="n">
        <v>0</v>
      </c>
      <c r="J338" t="n">
        <v>0</v>
      </c>
      <c r="K338" t="n">
        <v>0</v>
      </c>
      <c r="L338" t="n">
        <v>0</v>
      </c>
      <c r="M338" t="n">
        <v>0</v>
      </c>
      <c r="N338" t="n">
        <v>0</v>
      </c>
      <c r="O338" t="n">
        <v>0</v>
      </c>
      <c r="P338" t="n">
        <v>0</v>
      </c>
      <c r="Q338" t="n">
        <v>0</v>
      </c>
      <c r="R338" s="2" t="inlineStr"/>
    </row>
    <row r="339" ht="15" customHeight="1">
      <c r="A339" t="inlineStr">
        <is>
          <t>A 22289-2026</t>
        </is>
      </c>
      <c r="B339" s="1" t="n">
        <v>46154.43842592592</v>
      </c>
      <c r="C339" s="1" t="n">
        <v>46176</v>
      </c>
      <c r="D339" t="inlineStr">
        <is>
          <t>ÖSTERGÖTLANDS LÄN</t>
        </is>
      </c>
      <c r="E339" t="inlineStr">
        <is>
          <t>LINKÖPING</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35781-2023</t>
        </is>
      </c>
      <c r="B340" s="1" t="n">
        <v>45147</v>
      </c>
      <c r="C340" s="1" t="n">
        <v>46176</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22271-2026</t>
        </is>
      </c>
      <c r="B341" s="1" t="n">
        <v>46154.41280092593</v>
      </c>
      <c r="C341" s="1" t="n">
        <v>46176</v>
      </c>
      <c r="D341" t="inlineStr">
        <is>
          <t>ÖSTERGÖTLANDS LÄN</t>
        </is>
      </c>
      <c r="E341" t="inlineStr">
        <is>
          <t>LINKÖPING</t>
        </is>
      </c>
      <c r="F341" t="inlineStr">
        <is>
          <t>Sveaskog</t>
        </is>
      </c>
      <c r="G341" t="n">
        <v>6.5</v>
      </c>
      <c r="H341" t="n">
        <v>0</v>
      </c>
      <c r="I341" t="n">
        <v>0</v>
      </c>
      <c r="J341" t="n">
        <v>0</v>
      </c>
      <c r="K341" t="n">
        <v>0</v>
      </c>
      <c r="L341" t="n">
        <v>0</v>
      </c>
      <c r="M341" t="n">
        <v>0</v>
      </c>
      <c r="N341" t="n">
        <v>0</v>
      </c>
      <c r="O341" t="n">
        <v>0</v>
      </c>
      <c r="P341" t="n">
        <v>0</v>
      </c>
      <c r="Q341" t="n">
        <v>0</v>
      </c>
      <c r="R341" s="2" t="inlineStr"/>
    </row>
    <row r="342" ht="15" customHeight="1">
      <c r="A342" t="inlineStr">
        <is>
          <t>A 61281-2021</t>
        </is>
      </c>
      <c r="B342" s="1" t="n">
        <v>44498.60736111111</v>
      </c>
      <c r="C342" s="1" t="n">
        <v>46176</v>
      </c>
      <c r="D342" t="inlineStr">
        <is>
          <t>ÖSTERGÖTLANDS LÄN</t>
        </is>
      </c>
      <c r="E342" t="inlineStr">
        <is>
          <t>LINKÖPING</t>
        </is>
      </c>
      <c r="G342" t="n">
        <v>4.5</v>
      </c>
      <c r="H342" t="n">
        <v>0</v>
      </c>
      <c r="I342" t="n">
        <v>0</v>
      </c>
      <c r="J342" t="n">
        <v>0</v>
      </c>
      <c r="K342" t="n">
        <v>0</v>
      </c>
      <c r="L342" t="n">
        <v>0</v>
      </c>
      <c r="M342" t="n">
        <v>0</v>
      </c>
      <c r="N342" t="n">
        <v>0</v>
      </c>
      <c r="O342" t="n">
        <v>0</v>
      </c>
      <c r="P342" t="n">
        <v>0</v>
      </c>
      <c r="Q342" t="n">
        <v>0</v>
      </c>
      <c r="R342" s="2" t="inlineStr"/>
    </row>
    <row r="343" ht="15" customHeight="1">
      <c r="A343" t="inlineStr">
        <is>
          <t>A 44170-2025</t>
        </is>
      </c>
      <c r="B343" s="1" t="n">
        <v>45915.59864583334</v>
      </c>
      <c r="C343" s="1" t="n">
        <v>46176</v>
      </c>
      <c r="D343" t="inlineStr">
        <is>
          <t>ÖSTERGÖTLANDS LÄN</t>
        </is>
      </c>
      <c r="E343" t="inlineStr">
        <is>
          <t>LINKÖPING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63935-2021</t>
        </is>
      </c>
      <c r="B344" s="1" t="n">
        <v>44509</v>
      </c>
      <c r="C344" s="1" t="n">
        <v>46176</v>
      </c>
      <c r="D344" t="inlineStr">
        <is>
          <t>ÖSTERGÖTLANDS LÄN</t>
        </is>
      </c>
      <c r="E344" t="inlineStr">
        <is>
          <t>LINKÖPING</t>
        </is>
      </c>
      <c r="F344" t="inlineStr">
        <is>
          <t>Övriga statliga verk och myndigheter</t>
        </is>
      </c>
      <c r="G344" t="n">
        <v>2.8</v>
      </c>
      <c r="H344" t="n">
        <v>0</v>
      </c>
      <c r="I344" t="n">
        <v>0</v>
      </c>
      <c r="J344" t="n">
        <v>0</v>
      </c>
      <c r="K344" t="n">
        <v>0</v>
      </c>
      <c r="L344" t="n">
        <v>0</v>
      </c>
      <c r="M344" t="n">
        <v>0</v>
      </c>
      <c r="N344" t="n">
        <v>0</v>
      </c>
      <c r="O344" t="n">
        <v>0</v>
      </c>
      <c r="P344" t="n">
        <v>0</v>
      </c>
      <c r="Q344" t="n">
        <v>0</v>
      </c>
      <c r="R344" s="2" t="inlineStr"/>
    </row>
    <row r="345" ht="15" customHeight="1">
      <c r="A345" t="inlineStr">
        <is>
          <t>A 6387-2022</t>
        </is>
      </c>
      <c r="B345" s="1" t="n">
        <v>44600</v>
      </c>
      <c r="C345" s="1" t="n">
        <v>46176</v>
      </c>
      <c r="D345" t="inlineStr">
        <is>
          <t>ÖSTERGÖTLANDS LÄN</t>
        </is>
      </c>
      <c r="E345" t="inlineStr">
        <is>
          <t>LINKÖPING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48707-2023</t>
        </is>
      </c>
      <c r="B346" s="1" t="n">
        <v>45202</v>
      </c>
      <c r="C346" s="1" t="n">
        <v>46176</v>
      </c>
      <c r="D346" t="inlineStr">
        <is>
          <t>ÖSTERGÖTLANDS LÄN</t>
        </is>
      </c>
      <c r="E346" t="inlineStr">
        <is>
          <t>LINKÖPING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38971-2025</t>
        </is>
      </c>
      <c r="B347" s="1" t="n">
        <v>45887.71827546296</v>
      </c>
      <c r="C347" s="1" t="n">
        <v>46176</v>
      </c>
      <c r="D347" t="inlineStr">
        <is>
          <t>ÖSTERGÖTLANDS LÄN</t>
        </is>
      </c>
      <c r="E347" t="inlineStr">
        <is>
          <t>LINKÖPING</t>
        </is>
      </c>
      <c r="G347" t="n">
        <v>3.9</v>
      </c>
      <c r="H347" t="n">
        <v>0</v>
      </c>
      <c r="I347" t="n">
        <v>0</v>
      </c>
      <c r="J347" t="n">
        <v>0</v>
      </c>
      <c r="K347" t="n">
        <v>0</v>
      </c>
      <c r="L347" t="n">
        <v>0</v>
      </c>
      <c r="M347" t="n">
        <v>0</v>
      </c>
      <c r="N347" t="n">
        <v>0</v>
      </c>
      <c r="O347" t="n">
        <v>0</v>
      </c>
      <c r="P347" t="n">
        <v>0</v>
      </c>
      <c r="Q347" t="n">
        <v>0</v>
      </c>
      <c r="R347" s="2" t="inlineStr"/>
    </row>
    <row r="348" ht="15" customHeight="1">
      <c r="A348" t="inlineStr">
        <is>
          <t>A 55345-2021</t>
        </is>
      </c>
      <c r="B348" s="1" t="n">
        <v>44475</v>
      </c>
      <c r="C348" s="1" t="n">
        <v>46176</v>
      </c>
      <c r="D348" t="inlineStr">
        <is>
          <t>ÖSTERGÖTLANDS LÄN</t>
        </is>
      </c>
      <c r="E348" t="inlineStr">
        <is>
          <t>LINKÖPING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22272-2026</t>
        </is>
      </c>
      <c r="B349" s="1" t="n">
        <v>46154.41445601852</v>
      </c>
      <c r="C349" s="1" t="n">
        <v>46176</v>
      </c>
      <c r="D349" t="inlineStr">
        <is>
          <t>ÖSTERGÖTLANDS LÄN</t>
        </is>
      </c>
      <c r="E349" t="inlineStr">
        <is>
          <t>LINKÖPING</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22286-2026</t>
        </is>
      </c>
      <c r="B350" s="1" t="n">
        <v>46154.43436342593</v>
      </c>
      <c r="C350" s="1" t="n">
        <v>46176</v>
      </c>
      <c r="D350" t="inlineStr">
        <is>
          <t>ÖSTERGÖTLANDS LÄN</t>
        </is>
      </c>
      <c r="E350" t="inlineStr">
        <is>
          <t>LINKÖPING</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22070-2026</t>
        </is>
      </c>
      <c r="B351" s="1" t="n">
        <v>46153.49255787037</v>
      </c>
      <c r="C351" s="1" t="n">
        <v>46176</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22282-2026</t>
        </is>
      </c>
      <c r="B352" s="1" t="n">
        <v>46154.42961805555</v>
      </c>
      <c r="C352" s="1" t="n">
        <v>46176</v>
      </c>
      <c r="D352" t="inlineStr">
        <is>
          <t>ÖSTERGÖTLANDS LÄN</t>
        </is>
      </c>
      <c r="E352" t="inlineStr">
        <is>
          <t>LINKÖPING</t>
        </is>
      </c>
      <c r="F352" t="inlineStr">
        <is>
          <t>Sveaskog</t>
        </is>
      </c>
      <c r="G352" t="n">
        <v>6.7</v>
      </c>
      <c r="H352" t="n">
        <v>0</v>
      </c>
      <c r="I352" t="n">
        <v>0</v>
      </c>
      <c r="J352" t="n">
        <v>0</v>
      </c>
      <c r="K352" t="n">
        <v>0</v>
      </c>
      <c r="L352" t="n">
        <v>0</v>
      </c>
      <c r="M352" t="n">
        <v>0</v>
      </c>
      <c r="N352" t="n">
        <v>0</v>
      </c>
      <c r="O352" t="n">
        <v>0</v>
      </c>
      <c r="P352" t="n">
        <v>0</v>
      </c>
      <c r="Q352" t="n">
        <v>0</v>
      </c>
      <c r="R352" s="2" t="inlineStr"/>
    </row>
    <row r="353" ht="15" customHeight="1">
      <c r="A353" t="inlineStr">
        <is>
          <t>A 43755-2025</t>
        </is>
      </c>
      <c r="B353" s="1" t="n">
        <v>45912.47329861111</v>
      </c>
      <c r="C353" s="1" t="n">
        <v>46176</v>
      </c>
      <c r="D353" t="inlineStr">
        <is>
          <t>ÖSTERGÖTLANDS LÄN</t>
        </is>
      </c>
      <c r="E353" t="inlineStr">
        <is>
          <t>LINKÖPING</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43758-2025</t>
        </is>
      </c>
      <c r="B354" s="1" t="n">
        <v>45912.47711805555</v>
      </c>
      <c r="C354" s="1" t="n">
        <v>46176</v>
      </c>
      <c r="D354" t="inlineStr">
        <is>
          <t>ÖSTERGÖTLANDS LÄN</t>
        </is>
      </c>
      <c r="E354" t="inlineStr">
        <is>
          <t>LINKÖPING</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43753-2025</t>
        </is>
      </c>
      <c r="B355" s="1" t="n">
        <v>45912.4715625</v>
      </c>
      <c r="C355" s="1" t="n">
        <v>46176</v>
      </c>
      <c r="D355" t="inlineStr">
        <is>
          <t>ÖSTERGÖTLANDS LÄN</t>
        </is>
      </c>
      <c r="E355" t="inlineStr">
        <is>
          <t>LINKÖPING</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12089-2025</t>
        </is>
      </c>
      <c r="B356" s="1" t="n">
        <v>45729</v>
      </c>
      <c r="C356" s="1" t="n">
        <v>46176</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15658-2023</t>
        </is>
      </c>
      <c r="B357" s="1" t="n">
        <v>45021.41194444444</v>
      </c>
      <c r="C357" s="1" t="n">
        <v>46176</v>
      </c>
      <c r="D357" t="inlineStr">
        <is>
          <t>ÖSTERGÖTLANDS LÄN</t>
        </is>
      </c>
      <c r="E357" t="inlineStr">
        <is>
          <t>LINKÖPING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44759-2025</t>
        </is>
      </c>
      <c r="B358" s="1" t="n">
        <v>45917.7152662037</v>
      </c>
      <c r="C358" s="1" t="n">
        <v>46176</v>
      </c>
      <c r="D358" t="inlineStr">
        <is>
          <t>ÖSTERGÖTLANDS LÄN</t>
        </is>
      </c>
      <c r="E358" t="inlineStr">
        <is>
          <t>LINKÖPING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16967-2026</t>
        </is>
      </c>
      <c r="B359" s="1" t="n">
        <v>46114.36207175926</v>
      </c>
      <c r="C359" s="1" t="n">
        <v>46176</v>
      </c>
      <c r="D359" t="inlineStr">
        <is>
          <t>ÖSTERGÖTLANDS LÄN</t>
        </is>
      </c>
      <c r="E359" t="inlineStr">
        <is>
          <t>LINKÖPING</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44764-2025</t>
        </is>
      </c>
      <c r="B360" s="1" t="n">
        <v>45917.72821759259</v>
      </c>
      <c r="C360" s="1" t="n">
        <v>46176</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51583-2024</t>
        </is>
      </c>
      <c r="B361" s="1" t="n">
        <v>45604.6397337963</v>
      </c>
      <c r="C361" s="1" t="n">
        <v>46176</v>
      </c>
      <c r="D361" t="inlineStr">
        <is>
          <t>ÖSTERGÖTLANDS LÄN</t>
        </is>
      </c>
      <c r="E361" t="inlineStr">
        <is>
          <t>LINKÖPING</t>
        </is>
      </c>
      <c r="F361" t="inlineStr">
        <is>
          <t>Övriga Aktiebolag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64694-2023</t>
        </is>
      </c>
      <c r="B362" s="1" t="n">
        <v>45281</v>
      </c>
      <c r="C362" s="1" t="n">
        <v>46176</v>
      </c>
      <c r="D362" t="inlineStr">
        <is>
          <t>ÖSTERGÖTLANDS LÄN</t>
        </is>
      </c>
      <c r="E362" t="inlineStr">
        <is>
          <t>LINKÖPING</t>
        </is>
      </c>
      <c r="F362" t="inlineStr">
        <is>
          <t>Övriga statliga verk och myndigheter</t>
        </is>
      </c>
      <c r="G362" t="n">
        <v>4.9</v>
      </c>
      <c r="H362" t="n">
        <v>0</v>
      </c>
      <c r="I362" t="n">
        <v>0</v>
      </c>
      <c r="J362" t="n">
        <v>0</v>
      </c>
      <c r="K362" t="n">
        <v>0</v>
      </c>
      <c r="L362" t="n">
        <v>0</v>
      </c>
      <c r="M362" t="n">
        <v>0</v>
      </c>
      <c r="N362" t="n">
        <v>0</v>
      </c>
      <c r="O362" t="n">
        <v>0</v>
      </c>
      <c r="P362" t="n">
        <v>0</v>
      </c>
      <c r="Q362" t="n">
        <v>0</v>
      </c>
      <c r="R362" s="2" t="inlineStr"/>
    </row>
    <row r="363" ht="15" customHeight="1">
      <c r="A363" t="inlineStr">
        <is>
          <t>A 45112-2025</t>
        </is>
      </c>
      <c r="B363" s="1" t="n">
        <v>45919</v>
      </c>
      <c r="C363" s="1" t="n">
        <v>46176</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32602-2022</t>
        </is>
      </c>
      <c r="B364" s="1" t="n">
        <v>44783.43192129629</v>
      </c>
      <c r="C364" s="1" t="n">
        <v>46176</v>
      </c>
      <c r="D364" t="inlineStr">
        <is>
          <t>ÖSTERGÖTLANDS LÄN</t>
        </is>
      </c>
      <c r="E364" t="inlineStr">
        <is>
          <t>LINKÖPING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62321-2022</t>
        </is>
      </c>
      <c r="B365" s="1" t="n">
        <v>44916</v>
      </c>
      <c r="C365" s="1" t="n">
        <v>46176</v>
      </c>
      <c r="D365" t="inlineStr">
        <is>
          <t>ÖSTERGÖTLANDS LÄN</t>
        </is>
      </c>
      <c r="E365" t="inlineStr">
        <is>
          <t>LINKÖPING</t>
        </is>
      </c>
      <c r="F365" t="inlineStr">
        <is>
          <t>Kommuner</t>
        </is>
      </c>
      <c r="G365" t="n">
        <v>5.3</v>
      </c>
      <c r="H365" t="n">
        <v>0</v>
      </c>
      <c r="I365" t="n">
        <v>0</v>
      </c>
      <c r="J365" t="n">
        <v>0</v>
      </c>
      <c r="K365" t="n">
        <v>0</v>
      </c>
      <c r="L365" t="n">
        <v>0</v>
      </c>
      <c r="M365" t="n">
        <v>0</v>
      </c>
      <c r="N365" t="n">
        <v>0</v>
      </c>
      <c r="O365" t="n">
        <v>0</v>
      </c>
      <c r="P365" t="n">
        <v>0</v>
      </c>
      <c r="Q365" t="n">
        <v>0</v>
      </c>
      <c r="R365" s="2" t="inlineStr"/>
    </row>
    <row r="366" ht="15" customHeight="1">
      <c r="A366" t="inlineStr">
        <is>
          <t>A 45634-2025</t>
        </is>
      </c>
      <c r="B366" s="1" t="n">
        <v>45922.85089120371</v>
      </c>
      <c r="C366" s="1" t="n">
        <v>46176</v>
      </c>
      <c r="D366" t="inlineStr">
        <is>
          <t>ÖSTERGÖTLANDS LÄN</t>
        </is>
      </c>
      <c r="E366" t="inlineStr">
        <is>
          <t>LINKÖPING</t>
        </is>
      </c>
      <c r="F366" t="inlineStr">
        <is>
          <t>Övriga Aktiebolag</t>
        </is>
      </c>
      <c r="G366" t="n">
        <v>0.3</v>
      </c>
      <c r="H366" t="n">
        <v>0</v>
      </c>
      <c r="I366" t="n">
        <v>0</v>
      </c>
      <c r="J366" t="n">
        <v>0</v>
      </c>
      <c r="K366" t="n">
        <v>0</v>
      </c>
      <c r="L366" t="n">
        <v>0</v>
      </c>
      <c r="M366" t="n">
        <v>0</v>
      </c>
      <c r="N366" t="n">
        <v>0</v>
      </c>
      <c r="O366" t="n">
        <v>0</v>
      </c>
      <c r="P366" t="n">
        <v>0</v>
      </c>
      <c r="Q366" t="n">
        <v>0</v>
      </c>
      <c r="R366" s="2" t="inlineStr"/>
    </row>
    <row r="367" ht="15" customHeight="1">
      <c r="A367" t="inlineStr">
        <is>
          <t>A 1084-2023</t>
        </is>
      </c>
      <c r="B367" s="1" t="n">
        <v>44929</v>
      </c>
      <c r="C367" s="1" t="n">
        <v>46176</v>
      </c>
      <c r="D367" t="inlineStr">
        <is>
          <t>ÖSTERGÖTLANDS LÄN</t>
        </is>
      </c>
      <c r="E367" t="inlineStr">
        <is>
          <t>LINKÖPING</t>
        </is>
      </c>
      <c r="G367" t="n">
        <v>10.4</v>
      </c>
      <c r="H367" t="n">
        <v>0</v>
      </c>
      <c r="I367" t="n">
        <v>0</v>
      </c>
      <c r="J367" t="n">
        <v>0</v>
      </c>
      <c r="K367" t="n">
        <v>0</v>
      </c>
      <c r="L367" t="n">
        <v>0</v>
      </c>
      <c r="M367" t="n">
        <v>0</v>
      </c>
      <c r="N367" t="n">
        <v>0</v>
      </c>
      <c r="O367" t="n">
        <v>0</v>
      </c>
      <c r="P367" t="n">
        <v>0</v>
      </c>
      <c r="Q367" t="n">
        <v>0</v>
      </c>
      <c r="R367" s="2" t="inlineStr"/>
    </row>
    <row r="368" ht="15" customHeight="1">
      <c r="A368" t="inlineStr">
        <is>
          <t>A 267-2023</t>
        </is>
      </c>
      <c r="B368" s="1" t="n">
        <v>44928.80907407407</v>
      </c>
      <c r="C368" s="1" t="n">
        <v>46176</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940-2023</t>
        </is>
      </c>
      <c r="B369" s="1" t="n">
        <v>44933</v>
      </c>
      <c r="C369" s="1" t="n">
        <v>46176</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45792-2025</t>
        </is>
      </c>
      <c r="B370" s="1" t="n">
        <v>45923.56998842592</v>
      </c>
      <c r="C370" s="1" t="n">
        <v>46176</v>
      </c>
      <c r="D370" t="inlineStr">
        <is>
          <t>ÖSTERGÖTLANDS LÄN</t>
        </is>
      </c>
      <c r="E370" t="inlineStr">
        <is>
          <t>LINKÖPING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45804-2025</t>
        </is>
      </c>
      <c r="B371" s="1" t="n">
        <v>45923.5819675926</v>
      </c>
      <c r="C371" s="1" t="n">
        <v>46176</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17513-2026</t>
        </is>
      </c>
      <c r="B372" s="1" t="n">
        <v>46120</v>
      </c>
      <c r="C372" s="1" t="n">
        <v>46176</v>
      </c>
      <c r="D372" t="inlineStr">
        <is>
          <t>ÖSTERGÖTLANDS LÄN</t>
        </is>
      </c>
      <c r="E372" t="inlineStr">
        <is>
          <t>LINKÖPING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46426-2025</t>
        </is>
      </c>
      <c r="B373" s="1" t="n">
        <v>45925.6012962963</v>
      </c>
      <c r="C373" s="1" t="n">
        <v>46176</v>
      </c>
      <c r="D373" t="inlineStr">
        <is>
          <t>ÖSTERGÖTLANDS LÄN</t>
        </is>
      </c>
      <c r="E373" t="inlineStr">
        <is>
          <t>LINKÖPING</t>
        </is>
      </c>
      <c r="G373" t="n">
        <v>4.4</v>
      </c>
      <c r="H373" t="n">
        <v>0</v>
      </c>
      <c r="I373" t="n">
        <v>0</v>
      </c>
      <c r="J373" t="n">
        <v>0</v>
      </c>
      <c r="K373" t="n">
        <v>0</v>
      </c>
      <c r="L373" t="n">
        <v>0</v>
      </c>
      <c r="M373" t="n">
        <v>0</v>
      </c>
      <c r="N373" t="n">
        <v>0</v>
      </c>
      <c r="O373" t="n">
        <v>0</v>
      </c>
      <c r="P373" t="n">
        <v>0</v>
      </c>
      <c r="Q373" t="n">
        <v>0</v>
      </c>
      <c r="R373" s="2" t="inlineStr"/>
    </row>
    <row r="374" ht="15" customHeight="1">
      <c r="A374" t="inlineStr">
        <is>
          <t>A 6369-2023</t>
        </is>
      </c>
      <c r="B374" s="1" t="n">
        <v>44965.61106481482</v>
      </c>
      <c r="C374" s="1" t="n">
        <v>46176</v>
      </c>
      <c r="D374" t="inlineStr">
        <is>
          <t>ÖSTERGÖTLANDS LÄN</t>
        </is>
      </c>
      <c r="E374" t="inlineStr">
        <is>
          <t>LINKÖPING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30980-2022</t>
        </is>
      </c>
      <c r="B375" s="1" t="n">
        <v>44768</v>
      </c>
      <c r="C375" s="1" t="n">
        <v>46176</v>
      </c>
      <c r="D375" t="inlineStr">
        <is>
          <t>ÖSTERGÖTLANDS LÄN</t>
        </is>
      </c>
      <c r="E375" t="inlineStr">
        <is>
          <t>LINKÖPING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46428-2025</t>
        </is>
      </c>
      <c r="B376" s="1" t="n">
        <v>45925.60758101852</v>
      </c>
      <c r="C376" s="1" t="n">
        <v>46176</v>
      </c>
      <c r="D376" t="inlineStr">
        <is>
          <t>ÖSTERGÖTLANDS LÄN</t>
        </is>
      </c>
      <c r="E376" t="inlineStr">
        <is>
          <t>LINKÖPING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60007-2022</t>
        </is>
      </c>
      <c r="B377" s="1" t="n">
        <v>44909.47282407407</v>
      </c>
      <c r="C377" s="1" t="n">
        <v>46176</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50799-2022</t>
        </is>
      </c>
      <c r="B378" s="1" t="n">
        <v>44862</v>
      </c>
      <c r="C378" s="1" t="n">
        <v>46176</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46377-2025</t>
        </is>
      </c>
      <c r="B379" s="1" t="n">
        <v>45925.51773148148</v>
      </c>
      <c r="C379" s="1" t="n">
        <v>46176</v>
      </c>
      <c r="D379" t="inlineStr">
        <is>
          <t>ÖSTERGÖTLANDS LÄN</t>
        </is>
      </c>
      <c r="E379" t="inlineStr">
        <is>
          <t>LINKÖPING</t>
        </is>
      </c>
      <c r="G379" t="n">
        <v>3.1</v>
      </c>
      <c r="H379" t="n">
        <v>0</v>
      </c>
      <c r="I379" t="n">
        <v>0</v>
      </c>
      <c r="J379" t="n">
        <v>0</v>
      </c>
      <c r="K379" t="n">
        <v>0</v>
      </c>
      <c r="L379" t="n">
        <v>0</v>
      </c>
      <c r="M379" t="n">
        <v>0</v>
      </c>
      <c r="N379" t="n">
        <v>0</v>
      </c>
      <c r="O379" t="n">
        <v>0</v>
      </c>
      <c r="P379" t="n">
        <v>0</v>
      </c>
      <c r="Q379" t="n">
        <v>0</v>
      </c>
      <c r="R379" s="2" t="inlineStr"/>
    </row>
    <row r="380" ht="15" customHeight="1">
      <c r="A380" t="inlineStr">
        <is>
          <t>A 21247-2026</t>
        </is>
      </c>
      <c r="B380" s="1" t="n">
        <v>46147.36827546296</v>
      </c>
      <c r="C380" s="1" t="n">
        <v>46176</v>
      </c>
      <c r="D380" t="inlineStr">
        <is>
          <t>ÖSTERGÖTLANDS LÄN</t>
        </is>
      </c>
      <c r="E380" t="inlineStr">
        <is>
          <t>LINKÖPING</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56064-2022</t>
        </is>
      </c>
      <c r="B381" s="1" t="n">
        <v>44889.59107638889</v>
      </c>
      <c r="C381" s="1" t="n">
        <v>46176</v>
      </c>
      <c r="D381" t="inlineStr">
        <is>
          <t>ÖSTERGÖTLANDS LÄN</t>
        </is>
      </c>
      <c r="E381" t="inlineStr">
        <is>
          <t>LINKÖPING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47703-2023</t>
        </is>
      </c>
      <c r="B382" s="1" t="n">
        <v>45203</v>
      </c>
      <c r="C382" s="1" t="n">
        <v>46176</v>
      </c>
      <c r="D382" t="inlineStr">
        <is>
          <t>ÖSTERGÖTLANDS LÄN</t>
        </is>
      </c>
      <c r="E382" t="inlineStr">
        <is>
          <t>LINKÖPING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46847-2025</t>
        </is>
      </c>
      <c r="B383" s="1" t="n">
        <v>45928.69971064815</v>
      </c>
      <c r="C383" s="1" t="n">
        <v>46176</v>
      </c>
      <c r="D383" t="inlineStr">
        <is>
          <t>ÖSTERGÖTLANDS LÄN</t>
        </is>
      </c>
      <c r="E383" t="inlineStr">
        <is>
          <t>LINKÖPING</t>
        </is>
      </c>
      <c r="G383" t="n">
        <v>4.6</v>
      </c>
      <c r="H383" t="n">
        <v>0</v>
      </c>
      <c r="I383" t="n">
        <v>0</v>
      </c>
      <c r="J383" t="n">
        <v>0</v>
      </c>
      <c r="K383" t="n">
        <v>0</v>
      </c>
      <c r="L383" t="n">
        <v>0</v>
      </c>
      <c r="M383" t="n">
        <v>0</v>
      </c>
      <c r="N383" t="n">
        <v>0</v>
      </c>
      <c r="O383" t="n">
        <v>0</v>
      </c>
      <c r="P383" t="n">
        <v>0</v>
      </c>
      <c r="Q383" t="n">
        <v>0</v>
      </c>
      <c r="R383" s="2" t="inlineStr"/>
    </row>
    <row r="384" ht="15" customHeight="1">
      <c r="A384" t="inlineStr">
        <is>
          <t>A 16111-2022</t>
        </is>
      </c>
      <c r="B384" s="1" t="n">
        <v>44665</v>
      </c>
      <c r="C384" s="1" t="n">
        <v>46176</v>
      </c>
      <c r="D384" t="inlineStr">
        <is>
          <t>ÖSTERGÖTLANDS LÄN</t>
        </is>
      </c>
      <c r="E384" t="inlineStr">
        <is>
          <t>LINKÖPING</t>
        </is>
      </c>
      <c r="F384" t="inlineStr">
        <is>
          <t>Övriga Aktiebolag</t>
        </is>
      </c>
      <c r="G384" t="n">
        <v>2.9</v>
      </c>
      <c r="H384" t="n">
        <v>0</v>
      </c>
      <c r="I384" t="n">
        <v>0</v>
      </c>
      <c r="J384" t="n">
        <v>0</v>
      </c>
      <c r="K384" t="n">
        <v>0</v>
      </c>
      <c r="L384" t="n">
        <v>0</v>
      </c>
      <c r="M384" t="n">
        <v>0</v>
      </c>
      <c r="N384" t="n">
        <v>0</v>
      </c>
      <c r="O384" t="n">
        <v>0</v>
      </c>
      <c r="P384" t="n">
        <v>0</v>
      </c>
      <c r="Q384" t="n">
        <v>0</v>
      </c>
      <c r="R384" s="2" t="inlineStr"/>
    </row>
    <row r="385" ht="15" customHeight="1">
      <c r="A385" t="inlineStr">
        <is>
          <t>A 48962-2022</t>
        </is>
      </c>
      <c r="B385" s="1" t="n">
        <v>44860.31635416667</v>
      </c>
      <c r="C385" s="1" t="n">
        <v>46176</v>
      </c>
      <c r="D385" t="inlineStr">
        <is>
          <t>ÖSTERGÖTLANDS LÄN</t>
        </is>
      </c>
      <c r="E385" t="inlineStr">
        <is>
          <t>LINKÖPING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18183-2026</t>
        </is>
      </c>
      <c r="B386" s="1" t="n">
        <v>46125</v>
      </c>
      <c r="C386" s="1" t="n">
        <v>46176</v>
      </c>
      <c r="D386" t="inlineStr">
        <is>
          <t>ÖSTERGÖTLANDS LÄN</t>
        </is>
      </c>
      <c r="E386" t="inlineStr">
        <is>
          <t>LINKÖPING</t>
        </is>
      </c>
      <c r="G386" t="n">
        <v>3.6</v>
      </c>
      <c r="H386" t="n">
        <v>0</v>
      </c>
      <c r="I386" t="n">
        <v>0</v>
      </c>
      <c r="J386" t="n">
        <v>0</v>
      </c>
      <c r="K386" t="n">
        <v>0</v>
      </c>
      <c r="L386" t="n">
        <v>0</v>
      </c>
      <c r="M386" t="n">
        <v>0</v>
      </c>
      <c r="N386" t="n">
        <v>0</v>
      </c>
      <c r="O386" t="n">
        <v>0</v>
      </c>
      <c r="P386" t="n">
        <v>0</v>
      </c>
      <c r="Q386" t="n">
        <v>0</v>
      </c>
      <c r="R386" s="2" t="inlineStr"/>
    </row>
    <row r="387" ht="15" customHeight="1">
      <c r="A387" t="inlineStr">
        <is>
          <t>A 47233-2025</t>
        </is>
      </c>
      <c r="B387" s="1" t="n">
        <v>45930.40612268518</v>
      </c>
      <c r="C387" s="1" t="n">
        <v>46176</v>
      </c>
      <c r="D387" t="inlineStr">
        <is>
          <t>ÖSTERGÖTLANDS LÄN</t>
        </is>
      </c>
      <c r="E387" t="inlineStr">
        <is>
          <t>LINKÖPING</t>
        </is>
      </c>
      <c r="G387" t="n">
        <v>4.3</v>
      </c>
      <c r="H387" t="n">
        <v>0</v>
      </c>
      <c r="I387" t="n">
        <v>0</v>
      </c>
      <c r="J387" t="n">
        <v>0</v>
      </c>
      <c r="K387" t="n">
        <v>0</v>
      </c>
      <c r="L387" t="n">
        <v>0</v>
      </c>
      <c r="M387" t="n">
        <v>0</v>
      </c>
      <c r="N387" t="n">
        <v>0</v>
      </c>
      <c r="O387" t="n">
        <v>0</v>
      </c>
      <c r="P387" t="n">
        <v>0</v>
      </c>
      <c r="Q387" t="n">
        <v>0</v>
      </c>
      <c r="R387" s="2" t="inlineStr"/>
    </row>
    <row r="388" ht="15" customHeight="1">
      <c r="A388" t="inlineStr">
        <is>
          <t>A 27891-2021</t>
        </is>
      </c>
      <c r="B388" s="1" t="n">
        <v>44354.65108796296</v>
      </c>
      <c r="C388" s="1" t="n">
        <v>46176</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47606-2025</t>
        </is>
      </c>
      <c r="B389" s="1" t="n">
        <v>45931.46402777778</v>
      </c>
      <c r="C389" s="1" t="n">
        <v>46176</v>
      </c>
      <c r="D389" t="inlineStr">
        <is>
          <t>ÖSTERGÖTLANDS LÄN</t>
        </is>
      </c>
      <c r="E389" t="inlineStr">
        <is>
          <t>LINKÖPING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47304-2025</t>
        </is>
      </c>
      <c r="B390" s="1" t="n">
        <v>45930.52037037037</v>
      </c>
      <c r="C390" s="1" t="n">
        <v>46176</v>
      </c>
      <c r="D390" t="inlineStr">
        <is>
          <t>ÖSTERGÖTLANDS LÄN</t>
        </is>
      </c>
      <c r="E390" t="inlineStr">
        <is>
          <t>LINKÖPING</t>
        </is>
      </c>
      <c r="G390" t="n">
        <v>2.7</v>
      </c>
      <c r="H390" t="n">
        <v>0</v>
      </c>
      <c r="I390" t="n">
        <v>0</v>
      </c>
      <c r="J390" t="n">
        <v>0</v>
      </c>
      <c r="K390" t="n">
        <v>0</v>
      </c>
      <c r="L390" t="n">
        <v>0</v>
      </c>
      <c r="M390" t="n">
        <v>0</v>
      </c>
      <c r="N390" t="n">
        <v>0</v>
      </c>
      <c r="O390" t="n">
        <v>0</v>
      </c>
      <c r="P390" t="n">
        <v>0</v>
      </c>
      <c r="Q390" t="n">
        <v>0</v>
      </c>
      <c r="R390" s="2" t="inlineStr"/>
    </row>
    <row r="391" ht="15" customHeight="1">
      <c r="A391" t="inlineStr">
        <is>
          <t>A 48343-2025</t>
        </is>
      </c>
      <c r="B391" s="1" t="n">
        <v>45932</v>
      </c>
      <c r="C391" s="1" t="n">
        <v>46176</v>
      </c>
      <c r="D391" t="inlineStr">
        <is>
          <t>ÖSTERGÖTLANDS LÄN</t>
        </is>
      </c>
      <c r="E391" t="inlineStr">
        <is>
          <t>LINKÖPING</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48266-2025</t>
        </is>
      </c>
      <c r="B392" s="1" t="n">
        <v>45932</v>
      </c>
      <c r="C392" s="1" t="n">
        <v>46176</v>
      </c>
      <c r="D392" t="inlineStr">
        <is>
          <t>ÖSTERGÖTLANDS LÄN</t>
        </is>
      </c>
      <c r="E392" t="inlineStr">
        <is>
          <t>LINKÖPING</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1268-2023</t>
        </is>
      </c>
      <c r="B393" s="1" t="n">
        <v>44936</v>
      </c>
      <c r="C393" s="1" t="n">
        <v>46176</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62687-2023</t>
        </is>
      </c>
      <c r="B394" s="1" t="n">
        <v>45271</v>
      </c>
      <c r="C394" s="1" t="n">
        <v>46176</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48254-2025</t>
        </is>
      </c>
      <c r="B395" s="1" t="n">
        <v>45932</v>
      </c>
      <c r="C395" s="1" t="n">
        <v>46176</v>
      </c>
      <c r="D395" t="inlineStr">
        <is>
          <t>ÖSTERGÖTLANDS LÄN</t>
        </is>
      </c>
      <c r="E395" t="inlineStr">
        <is>
          <t>LINKÖPING</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34641-2022</t>
        </is>
      </c>
      <c r="B396" s="1" t="n">
        <v>44795</v>
      </c>
      <c r="C396" s="1" t="n">
        <v>46176</v>
      </c>
      <c r="D396" t="inlineStr">
        <is>
          <t>ÖSTERGÖTLANDS LÄN</t>
        </is>
      </c>
      <c r="E396" t="inlineStr">
        <is>
          <t>LINKÖPING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938-2023</t>
        </is>
      </c>
      <c r="B397" s="1" t="n">
        <v>44933</v>
      </c>
      <c r="C397" s="1" t="n">
        <v>46176</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2389-2023</t>
        </is>
      </c>
      <c r="B398" s="1" t="n">
        <v>44942</v>
      </c>
      <c r="C398" s="1" t="n">
        <v>46176</v>
      </c>
      <c r="D398" t="inlineStr">
        <is>
          <t>ÖSTERGÖTLANDS LÄN</t>
        </is>
      </c>
      <c r="E398" t="inlineStr">
        <is>
          <t>LINKÖPING</t>
        </is>
      </c>
      <c r="G398" t="n">
        <v>3.3</v>
      </c>
      <c r="H398" t="n">
        <v>0</v>
      </c>
      <c r="I398" t="n">
        <v>0</v>
      </c>
      <c r="J398" t="n">
        <v>0</v>
      </c>
      <c r="K398" t="n">
        <v>0</v>
      </c>
      <c r="L398" t="n">
        <v>0</v>
      </c>
      <c r="M398" t="n">
        <v>0</v>
      </c>
      <c r="N398" t="n">
        <v>0</v>
      </c>
      <c r="O398" t="n">
        <v>0</v>
      </c>
      <c r="P398" t="n">
        <v>0</v>
      </c>
      <c r="Q398" t="n">
        <v>0</v>
      </c>
      <c r="R398" s="2" t="inlineStr"/>
    </row>
    <row r="399" ht="15" customHeight="1">
      <c r="A399" t="inlineStr">
        <is>
          <t>A 24436-2026</t>
        </is>
      </c>
      <c r="B399" s="1" t="n">
        <v>46169</v>
      </c>
      <c r="C399" s="1" t="n">
        <v>46176</v>
      </c>
      <c r="D399" t="inlineStr">
        <is>
          <t>ÖSTERGÖTLANDS LÄN</t>
        </is>
      </c>
      <c r="E399" t="inlineStr">
        <is>
          <t>LINKÖPING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49455-2025</t>
        </is>
      </c>
      <c r="B400" s="1" t="n">
        <v>45938</v>
      </c>
      <c r="C400" s="1" t="n">
        <v>46176</v>
      </c>
      <c r="D400" t="inlineStr">
        <is>
          <t>ÖSTERGÖTLANDS LÄN</t>
        </is>
      </c>
      <c r="E400" t="inlineStr">
        <is>
          <t>LINKÖPING</t>
        </is>
      </c>
      <c r="F400" t="inlineStr">
        <is>
          <t>Övriga Aktiebolag</t>
        </is>
      </c>
      <c r="G400" t="n">
        <v>5.9</v>
      </c>
      <c r="H400" t="n">
        <v>0</v>
      </c>
      <c r="I400" t="n">
        <v>0</v>
      </c>
      <c r="J400" t="n">
        <v>0</v>
      </c>
      <c r="K400" t="n">
        <v>0</v>
      </c>
      <c r="L400" t="n">
        <v>0</v>
      </c>
      <c r="M400" t="n">
        <v>0</v>
      </c>
      <c r="N400" t="n">
        <v>0</v>
      </c>
      <c r="O400" t="n">
        <v>0</v>
      </c>
      <c r="P400" t="n">
        <v>0</v>
      </c>
      <c r="Q400" t="n">
        <v>0</v>
      </c>
      <c r="R400" s="2" t="inlineStr"/>
    </row>
    <row r="401" ht="15" customHeight="1">
      <c r="A401" t="inlineStr">
        <is>
          <t>A 24618-2026</t>
        </is>
      </c>
      <c r="B401" s="1" t="n">
        <v>46169</v>
      </c>
      <c r="C401" s="1" t="n">
        <v>46176</v>
      </c>
      <c r="D401" t="inlineStr">
        <is>
          <t>ÖSTERGÖTLANDS LÄN</t>
        </is>
      </c>
      <c r="E401" t="inlineStr">
        <is>
          <t>LINKÖPING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48-2024</t>
        </is>
      </c>
      <c r="B402" s="1" t="n">
        <v>45293</v>
      </c>
      <c r="C402" s="1" t="n">
        <v>46176</v>
      </c>
      <c r="D402" t="inlineStr">
        <is>
          <t>ÖSTERGÖTLANDS LÄN</t>
        </is>
      </c>
      <c r="E402" t="inlineStr">
        <is>
          <t>LINKÖPING</t>
        </is>
      </c>
      <c r="G402" t="n">
        <v>4.6</v>
      </c>
      <c r="H402" t="n">
        <v>0</v>
      </c>
      <c r="I402" t="n">
        <v>0</v>
      </c>
      <c r="J402" t="n">
        <v>0</v>
      </c>
      <c r="K402" t="n">
        <v>0</v>
      </c>
      <c r="L402" t="n">
        <v>0</v>
      </c>
      <c r="M402" t="n">
        <v>0</v>
      </c>
      <c r="N402" t="n">
        <v>0</v>
      </c>
      <c r="O402" t="n">
        <v>0</v>
      </c>
      <c r="P402" t="n">
        <v>0</v>
      </c>
      <c r="Q402" t="n">
        <v>0</v>
      </c>
      <c r="R402" s="2" t="inlineStr"/>
    </row>
    <row r="403" ht="15" customHeight="1">
      <c r="A403" t="inlineStr">
        <is>
          <t>A 24792-2026</t>
        </is>
      </c>
      <c r="B403" s="1" t="n">
        <v>46170</v>
      </c>
      <c r="C403" s="1" t="n">
        <v>46176</v>
      </c>
      <c r="D403" t="inlineStr">
        <is>
          <t>ÖSTERGÖTLANDS LÄN</t>
        </is>
      </c>
      <c r="E403" t="inlineStr">
        <is>
          <t>LINKÖPING</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49605-2025</t>
        </is>
      </c>
      <c r="B404" s="1" t="n">
        <v>45938</v>
      </c>
      <c r="C404" s="1" t="n">
        <v>46176</v>
      </c>
      <c r="D404" t="inlineStr">
        <is>
          <t>ÖSTERGÖTLANDS LÄN</t>
        </is>
      </c>
      <c r="E404" t="inlineStr">
        <is>
          <t>LINKÖPING</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46176</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45771-2023</t>
        </is>
      </c>
      <c r="B406" s="1" t="n">
        <v>45195.4384375</v>
      </c>
      <c r="C406" s="1" t="n">
        <v>46176</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30547-2023</t>
        </is>
      </c>
      <c r="B407" s="1" t="n">
        <v>45111.75905092592</v>
      </c>
      <c r="C407" s="1" t="n">
        <v>46176</v>
      </c>
      <c r="D407" t="inlineStr">
        <is>
          <t>ÖSTERGÖTLANDS LÄN</t>
        </is>
      </c>
      <c r="E407" t="inlineStr">
        <is>
          <t>LINKÖPING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49632-2025</t>
        </is>
      </c>
      <c r="B408" s="1" t="n">
        <v>45938</v>
      </c>
      <c r="C408" s="1" t="n">
        <v>46176</v>
      </c>
      <c r="D408" t="inlineStr">
        <is>
          <t>ÖSTERGÖTLANDS LÄN</t>
        </is>
      </c>
      <c r="E408" t="inlineStr">
        <is>
          <t>LINKÖPING</t>
        </is>
      </c>
      <c r="F408" t="inlineStr">
        <is>
          <t>Övriga Aktiebolag</t>
        </is>
      </c>
      <c r="G408" t="n">
        <v>1.6</v>
      </c>
      <c r="H408" t="n">
        <v>0</v>
      </c>
      <c r="I408" t="n">
        <v>0</v>
      </c>
      <c r="J408" t="n">
        <v>0</v>
      </c>
      <c r="K408" t="n">
        <v>0</v>
      </c>
      <c r="L408" t="n">
        <v>0</v>
      </c>
      <c r="M408" t="n">
        <v>0</v>
      </c>
      <c r="N408" t="n">
        <v>0</v>
      </c>
      <c r="O408" t="n">
        <v>0</v>
      </c>
      <c r="P408" t="n">
        <v>0</v>
      </c>
      <c r="Q408" t="n">
        <v>0</v>
      </c>
      <c r="R408" s="2" t="inlineStr"/>
    </row>
    <row r="409" ht="15" customHeight="1">
      <c r="A409" t="inlineStr">
        <is>
          <t>A 49647-2025</t>
        </is>
      </c>
      <c r="B409" s="1" t="n">
        <v>45938</v>
      </c>
      <c r="C409" s="1" t="n">
        <v>46176</v>
      </c>
      <c r="D409" t="inlineStr">
        <is>
          <t>ÖSTERGÖTLANDS LÄN</t>
        </is>
      </c>
      <c r="E409" t="inlineStr">
        <is>
          <t>LINKÖPING</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49652-2025</t>
        </is>
      </c>
      <c r="B410" s="1" t="n">
        <v>45938</v>
      </c>
      <c r="C410" s="1" t="n">
        <v>46176</v>
      </c>
      <c r="D410" t="inlineStr">
        <is>
          <t>ÖSTERGÖTLANDS LÄN</t>
        </is>
      </c>
      <c r="E410" t="inlineStr">
        <is>
          <t>LINKÖPING</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49654-2025</t>
        </is>
      </c>
      <c r="B411" s="1" t="n">
        <v>45938</v>
      </c>
      <c r="C411" s="1" t="n">
        <v>46176</v>
      </c>
      <c r="D411" t="inlineStr">
        <is>
          <t>ÖSTERGÖTLANDS LÄN</t>
        </is>
      </c>
      <c r="E411" t="inlineStr">
        <is>
          <t>LINKÖPING</t>
        </is>
      </c>
      <c r="F411" t="inlineStr">
        <is>
          <t>Övriga Aktiebolag</t>
        </is>
      </c>
      <c r="G411" t="n">
        <v>3.1</v>
      </c>
      <c r="H411" t="n">
        <v>0</v>
      </c>
      <c r="I411" t="n">
        <v>0</v>
      </c>
      <c r="J411" t="n">
        <v>0</v>
      </c>
      <c r="K411" t="n">
        <v>0</v>
      </c>
      <c r="L411" t="n">
        <v>0</v>
      </c>
      <c r="M411" t="n">
        <v>0</v>
      </c>
      <c r="N411" t="n">
        <v>0</v>
      </c>
      <c r="O411" t="n">
        <v>0</v>
      </c>
      <c r="P411" t="n">
        <v>0</v>
      </c>
      <c r="Q411" t="n">
        <v>0</v>
      </c>
      <c r="R411" s="2" t="inlineStr"/>
    </row>
    <row r="412" ht="15" customHeight="1">
      <c r="A412" t="inlineStr">
        <is>
          <t>A 40502-2024</t>
        </is>
      </c>
      <c r="B412" s="1" t="n">
        <v>45555.57263888889</v>
      </c>
      <c r="C412" s="1" t="n">
        <v>46176</v>
      </c>
      <c r="D412" t="inlineStr">
        <is>
          <t>ÖSTERGÖTLANDS LÄN</t>
        </is>
      </c>
      <c r="E412" t="inlineStr">
        <is>
          <t>LINKÖPING</t>
        </is>
      </c>
      <c r="F412" t="inlineStr">
        <is>
          <t>Allmännings- och besparingsskogar</t>
        </is>
      </c>
      <c r="G412" t="n">
        <v>17.5</v>
      </c>
      <c r="H412" t="n">
        <v>0</v>
      </c>
      <c r="I412" t="n">
        <v>0</v>
      </c>
      <c r="J412" t="n">
        <v>0</v>
      </c>
      <c r="K412" t="n">
        <v>0</v>
      </c>
      <c r="L412" t="n">
        <v>0</v>
      </c>
      <c r="M412" t="n">
        <v>0</v>
      </c>
      <c r="N412" t="n">
        <v>0</v>
      </c>
      <c r="O412" t="n">
        <v>0</v>
      </c>
      <c r="P412" t="n">
        <v>0</v>
      </c>
      <c r="Q412" t="n">
        <v>0</v>
      </c>
      <c r="R412" s="2" t="inlineStr"/>
    </row>
    <row r="413" ht="15" customHeight="1">
      <c r="A413" t="inlineStr">
        <is>
          <t>A 49615-2025</t>
        </is>
      </c>
      <c r="B413" s="1" t="n">
        <v>45938</v>
      </c>
      <c r="C413" s="1" t="n">
        <v>46176</v>
      </c>
      <c r="D413" t="inlineStr">
        <is>
          <t>ÖSTERGÖTLANDS LÄN</t>
        </is>
      </c>
      <c r="E413" t="inlineStr">
        <is>
          <t>LINKÖPING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49619-2025</t>
        </is>
      </c>
      <c r="B414" s="1" t="n">
        <v>45938</v>
      </c>
      <c r="C414" s="1" t="n">
        <v>46176</v>
      </c>
      <c r="D414" t="inlineStr">
        <is>
          <t>ÖSTERGÖTLANDS LÄN</t>
        </is>
      </c>
      <c r="E414" t="inlineStr">
        <is>
          <t>LINKÖPING</t>
        </is>
      </c>
      <c r="F414" t="inlineStr">
        <is>
          <t>Övriga Aktiebolag</t>
        </is>
      </c>
      <c r="G414" t="n">
        <v>2.3</v>
      </c>
      <c r="H414" t="n">
        <v>0</v>
      </c>
      <c r="I414" t="n">
        <v>0</v>
      </c>
      <c r="J414" t="n">
        <v>0</v>
      </c>
      <c r="K414" t="n">
        <v>0</v>
      </c>
      <c r="L414" t="n">
        <v>0</v>
      </c>
      <c r="M414" t="n">
        <v>0</v>
      </c>
      <c r="N414" t="n">
        <v>0</v>
      </c>
      <c r="O414" t="n">
        <v>0</v>
      </c>
      <c r="P414" t="n">
        <v>0</v>
      </c>
      <c r="Q414" t="n">
        <v>0</v>
      </c>
      <c r="R414" s="2" t="inlineStr"/>
    </row>
    <row r="415" ht="15" customHeight="1">
      <c r="A415" t="inlineStr">
        <is>
          <t>A 49629-2025</t>
        </is>
      </c>
      <c r="B415" s="1" t="n">
        <v>45938</v>
      </c>
      <c r="C415" s="1" t="n">
        <v>46176</v>
      </c>
      <c r="D415" t="inlineStr">
        <is>
          <t>ÖSTERGÖTLANDS LÄN</t>
        </is>
      </c>
      <c r="E415" t="inlineStr">
        <is>
          <t>LINKÖPING</t>
        </is>
      </c>
      <c r="F415" t="inlineStr">
        <is>
          <t>Övriga Aktiebolag</t>
        </is>
      </c>
      <c r="G415" t="n">
        <v>4.5</v>
      </c>
      <c r="H415" t="n">
        <v>0</v>
      </c>
      <c r="I415" t="n">
        <v>0</v>
      </c>
      <c r="J415" t="n">
        <v>0</v>
      </c>
      <c r="K415" t="n">
        <v>0</v>
      </c>
      <c r="L415" t="n">
        <v>0</v>
      </c>
      <c r="M415" t="n">
        <v>0</v>
      </c>
      <c r="N415" t="n">
        <v>0</v>
      </c>
      <c r="O415" t="n">
        <v>0</v>
      </c>
      <c r="P415" t="n">
        <v>0</v>
      </c>
      <c r="Q415" t="n">
        <v>0</v>
      </c>
      <c r="R415" s="2" t="inlineStr"/>
    </row>
    <row r="416" ht="15" customHeight="1">
      <c r="A416" t="inlineStr">
        <is>
          <t>A 49650-2025</t>
        </is>
      </c>
      <c r="B416" s="1" t="n">
        <v>45938</v>
      </c>
      <c r="C416" s="1" t="n">
        <v>46176</v>
      </c>
      <c r="D416" t="inlineStr">
        <is>
          <t>ÖSTERGÖTLANDS LÄN</t>
        </is>
      </c>
      <c r="E416" t="inlineStr">
        <is>
          <t>LINKÖPING</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24619-2026</t>
        </is>
      </c>
      <c r="B417" s="1" t="n">
        <v>46169</v>
      </c>
      <c r="C417" s="1" t="n">
        <v>46176</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49633-2025</t>
        </is>
      </c>
      <c r="B418" s="1" t="n">
        <v>45938</v>
      </c>
      <c r="C418" s="1" t="n">
        <v>46176</v>
      </c>
      <c r="D418" t="inlineStr">
        <is>
          <t>ÖSTERGÖTLANDS LÄN</t>
        </is>
      </c>
      <c r="E418" t="inlineStr">
        <is>
          <t>LINKÖPING</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24464-2023</t>
        </is>
      </c>
      <c r="B419" s="1" t="n">
        <v>45082.58068287037</v>
      </c>
      <c r="C419" s="1" t="n">
        <v>46176</v>
      </c>
      <c r="D419" t="inlineStr">
        <is>
          <t>ÖSTERGÖTLANDS LÄN</t>
        </is>
      </c>
      <c r="E419" t="inlineStr">
        <is>
          <t>LINKÖPING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24467-2023</t>
        </is>
      </c>
      <c r="B420" s="1" t="n">
        <v>45082</v>
      </c>
      <c r="C420" s="1" t="n">
        <v>46176</v>
      </c>
      <c r="D420" t="inlineStr">
        <is>
          <t>ÖSTERGÖTLANDS LÄN</t>
        </is>
      </c>
      <c r="E420" t="inlineStr">
        <is>
          <t>LINKÖPING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40983-2025</t>
        </is>
      </c>
      <c r="B421" s="1" t="n">
        <v>45898</v>
      </c>
      <c r="C421" s="1" t="n">
        <v>46176</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48389-2024</t>
        </is>
      </c>
      <c r="B422" s="1" t="n">
        <v>45590.59991898148</v>
      </c>
      <c r="C422" s="1" t="n">
        <v>46176</v>
      </c>
      <c r="D422" t="inlineStr">
        <is>
          <t>ÖSTERGÖTLANDS LÄN</t>
        </is>
      </c>
      <c r="E422" t="inlineStr">
        <is>
          <t>LINKÖPING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50056-2025</t>
        </is>
      </c>
      <c r="B423" s="1" t="n">
        <v>45941</v>
      </c>
      <c r="C423" s="1" t="n">
        <v>46176</v>
      </c>
      <c r="D423" t="inlineStr">
        <is>
          <t>ÖSTERGÖTLANDS LÄN</t>
        </is>
      </c>
      <c r="E423" t="inlineStr">
        <is>
          <t>LINKÖPING</t>
        </is>
      </c>
      <c r="G423" t="n">
        <v>0.3</v>
      </c>
      <c r="H423" t="n">
        <v>0</v>
      </c>
      <c r="I423" t="n">
        <v>0</v>
      </c>
      <c r="J423" t="n">
        <v>0</v>
      </c>
      <c r="K423" t="n">
        <v>0</v>
      </c>
      <c r="L423" t="n">
        <v>0</v>
      </c>
      <c r="M423" t="n">
        <v>0</v>
      </c>
      <c r="N423" t="n">
        <v>0</v>
      </c>
      <c r="O423" t="n">
        <v>0</v>
      </c>
      <c r="P423" t="n">
        <v>0</v>
      </c>
      <c r="Q423" t="n">
        <v>0</v>
      </c>
      <c r="R423" s="2" t="inlineStr"/>
    </row>
    <row r="424" ht="15" customHeight="1">
      <c r="A424" t="inlineStr">
        <is>
          <t>A 22284-2026</t>
        </is>
      </c>
      <c r="B424" s="1" t="n">
        <v>46154.4333449074</v>
      </c>
      <c r="C424" s="1" t="n">
        <v>46176</v>
      </c>
      <c r="D424" t="inlineStr">
        <is>
          <t>ÖSTERGÖTLANDS LÄN</t>
        </is>
      </c>
      <c r="E424" t="inlineStr">
        <is>
          <t>LINKÖPING</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50667-2025</t>
        </is>
      </c>
      <c r="B425" s="1" t="n">
        <v>45945</v>
      </c>
      <c r="C425" s="1" t="n">
        <v>46176</v>
      </c>
      <c r="D425" t="inlineStr">
        <is>
          <t>ÖSTERGÖTLANDS LÄN</t>
        </is>
      </c>
      <c r="E425" t="inlineStr">
        <is>
          <t>LINKÖPING</t>
        </is>
      </c>
      <c r="G425" t="n">
        <v>3.3</v>
      </c>
      <c r="H425" t="n">
        <v>0</v>
      </c>
      <c r="I425" t="n">
        <v>0</v>
      </c>
      <c r="J425" t="n">
        <v>0</v>
      </c>
      <c r="K425" t="n">
        <v>0</v>
      </c>
      <c r="L425" t="n">
        <v>0</v>
      </c>
      <c r="M425" t="n">
        <v>0</v>
      </c>
      <c r="N425" t="n">
        <v>0</v>
      </c>
      <c r="O425" t="n">
        <v>0</v>
      </c>
      <c r="P425" t="n">
        <v>0</v>
      </c>
      <c r="Q425" t="n">
        <v>0</v>
      </c>
      <c r="R425" s="2" t="inlineStr"/>
    </row>
    <row r="426" ht="15" customHeight="1">
      <c r="A426" t="inlineStr">
        <is>
          <t>A 56792-2023</t>
        </is>
      </c>
      <c r="B426" s="1" t="n">
        <v>45244</v>
      </c>
      <c r="C426" s="1" t="n">
        <v>46176</v>
      </c>
      <c r="D426" t="inlineStr">
        <is>
          <t>ÖSTERGÖTLANDS LÄN</t>
        </is>
      </c>
      <c r="E426" t="inlineStr">
        <is>
          <t>LINKÖPING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25229-2026</t>
        </is>
      </c>
      <c r="B427" s="1" t="n">
        <v>46175.64745370371</v>
      </c>
      <c r="C427" s="1" t="n">
        <v>46176</v>
      </c>
      <c r="D427" t="inlineStr">
        <is>
          <t>ÖSTERGÖTLANDS LÄN</t>
        </is>
      </c>
      <c r="E427" t="inlineStr">
        <is>
          <t>LINKÖPING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39017-2021</t>
        </is>
      </c>
      <c r="B428" s="1" t="n">
        <v>44412</v>
      </c>
      <c r="C428" s="1" t="n">
        <v>46176</v>
      </c>
      <c r="D428" t="inlineStr">
        <is>
          <t>ÖSTERGÖTLANDS LÄN</t>
        </is>
      </c>
      <c r="E428" t="inlineStr">
        <is>
          <t>LINKÖPING</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1260-2023</t>
        </is>
      </c>
      <c r="B429" s="1" t="n">
        <v>44936</v>
      </c>
      <c r="C429" s="1" t="n">
        <v>46176</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1355-2023</t>
        </is>
      </c>
      <c r="B430" s="1" t="n">
        <v>44931</v>
      </c>
      <c r="C430" s="1" t="n">
        <v>46176</v>
      </c>
      <c r="D430" t="inlineStr">
        <is>
          <t>ÖSTERGÖTLANDS LÄN</t>
        </is>
      </c>
      <c r="E430" t="inlineStr">
        <is>
          <t>LINKÖPING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3007-2025</t>
        </is>
      </c>
      <c r="B431" s="1" t="n">
        <v>45678.56328703704</v>
      </c>
      <c r="C431" s="1" t="n">
        <v>46176</v>
      </c>
      <c r="D431" t="inlineStr">
        <is>
          <t>ÖSTERGÖTLANDS LÄN</t>
        </is>
      </c>
      <c r="E431" t="inlineStr">
        <is>
          <t>LINKÖPING</t>
        </is>
      </c>
      <c r="G431" t="n">
        <v>3.1</v>
      </c>
      <c r="H431" t="n">
        <v>0</v>
      </c>
      <c r="I431" t="n">
        <v>0</v>
      </c>
      <c r="J431" t="n">
        <v>0</v>
      </c>
      <c r="K431" t="n">
        <v>0</v>
      </c>
      <c r="L431" t="n">
        <v>0</v>
      </c>
      <c r="M431" t="n">
        <v>0</v>
      </c>
      <c r="N431" t="n">
        <v>0</v>
      </c>
      <c r="O431" t="n">
        <v>0</v>
      </c>
      <c r="P431" t="n">
        <v>0</v>
      </c>
      <c r="Q431" t="n">
        <v>0</v>
      </c>
      <c r="R431" s="2" t="inlineStr"/>
    </row>
    <row r="432" ht="15" customHeight="1">
      <c r="A432" t="inlineStr">
        <is>
          <t>A 10492-2022</t>
        </is>
      </c>
      <c r="B432" s="1" t="n">
        <v>44623.6377199074</v>
      </c>
      <c r="C432" s="1" t="n">
        <v>46176</v>
      </c>
      <c r="D432" t="inlineStr">
        <is>
          <t>ÖSTERGÖTLANDS LÄN</t>
        </is>
      </c>
      <c r="E432" t="inlineStr">
        <is>
          <t>LINKÖPING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51802-2025</t>
        </is>
      </c>
      <c r="B433" s="1" t="n">
        <v>45950</v>
      </c>
      <c r="C433" s="1" t="n">
        <v>46176</v>
      </c>
      <c r="D433" t="inlineStr">
        <is>
          <t>ÖSTERGÖTLANDS LÄN</t>
        </is>
      </c>
      <c r="E433" t="inlineStr">
        <is>
          <t>LINKÖPING</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30465-2023</t>
        </is>
      </c>
      <c r="B434" s="1" t="n">
        <v>45111</v>
      </c>
      <c r="C434" s="1" t="n">
        <v>46176</v>
      </c>
      <c r="D434" t="inlineStr">
        <is>
          <t>ÖSTERGÖTLANDS LÄN</t>
        </is>
      </c>
      <c r="E434" t="inlineStr">
        <is>
          <t>LINKÖPING</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39021-2021</t>
        </is>
      </c>
      <c r="B435" s="1" t="n">
        <v>44412</v>
      </c>
      <c r="C435" s="1" t="n">
        <v>46176</v>
      </c>
      <c r="D435" t="inlineStr">
        <is>
          <t>ÖSTERGÖTLANDS LÄN</t>
        </is>
      </c>
      <c r="E435" t="inlineStr">
        <is>
          <t>LINKÖPING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62353-2022</t>
        </is>
      </c>
      <c r="B436" s="1" t="n">
        <v>44923</v>
      </c>
      <c r="C436" s="1" t="n">
        <v>46176</v>
      </c>
      <c r="D436" t="inlineStr">
        <is>
          <t>ÖSTERGÖTLANDS LÄN</t>
        </is>
      </c>
      <c r="E436" t="inlineStr">
        <is>
          <t>LINKÖPING</t>
        </is>
      </c>
      <c r="F436" t="inlineStr">
        <is>
          <t>Allmännings- och besparingsskogar</t>
        </is>
      </c>
      <c r="G436" t="n">
        <v>1.7</v>
      </c>
      <c r="H436" t="n">
        <v>0</v>
      </c>
      <c r="I436" t="n">
        <v>0</v>
      </c>
      <c r="J436" t="n">
        <v>0</v>
      </c>
      <c r="K436" t="n">
        <v>0</v>
      </c>
      <c r="L436" t="n">
        <v>0</v>
      </c>
      <c r="M436" t="n">
        <v>0</v>
      </c>
      <c r="N436" t="n">
        <v>0</v>
      </c>
      <c r="O436" t="n">
        <v>0</v>
      </c>
      <c r="P436" t="n">
        <v>0</v>
      </c>
      <c r="Q436" t="n">
        <v>0</v>
      </c>
      <c r="R436" s="2" t="inlineStr"/>
    </row>
    <row r="437" ht="15" customHeight="1">
      <c r="A437" t="inlineStr">
        <is>
          <t>A 30111-2024</t>
        </is>
      </c>
      <c r="B437" s="1" t="n">
        <v>45489.46947916667</v>
      </c>
      <c r="C437" s="1" t="n">
        <v>46176</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30119-2024</t>
        </is>
      </c>
      <c r="B438" s="1" t="n">
        <v>45489</v>
      </c>
      <c r="C438" s="1" t="n">
        <v>46176</v>
      </c>
      <c r="D438" t="inlineStr">
        <is>
          <t>ÖSTERGÖTLANDS LÄN</t>
        </is>
      </c>
      <c r="E438" t="inlineStr">
        <is>
          <t>LINKÖPING</t>
        </is>
      </c>
      <c r="G438" t="n">
        <v>1.7</v>
      </c>
      <c r="H438" t="n">
        <v>0</v>
      </c>
      <c r="I438" t="n">
        <v>0</v>
      </c>
      <c r="J438" t="n">
        <v>0</v>
      </c>
      <c r="K438" t="n">
        <v>0</v>
      </c>
      <c r="L438" t="n">
        <v>0</v>
      </c>
      <c r="M438" t="n">
        <v>0</v>
      </c>
      <c r="N438" t="n">
        <v>0</v>
      </c>
      <c r="O438" t="n">
        <v>0</v>
      </c>
      <c r="P438" t="n">
        <v>0</v>
      </c>
      <c r="Q438" t="n">
        <v>0</v>
      </c>
      <c r="R438" s="2" t="inlineStr"/>
    </row>
    <row r="439" ht="15" customHeight="1">
      <c r="A439" t="inlineStr">
        <is>
          <t>A 29411-2023</t>
        </is>
      </c>
      <c r="B439" s="1" t="n">
        <v>45106.46225694445</v>
      </c>
      <c r="C439" s="1" t="n">
        <v>46176</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29412-2023</t>
        </is>
      </c>
      <c r="B440" s="1" t="n">
        <v>45106.46359953703</v>
      </c>
      <c r="C440" s="1" t="n">
        <v>46176</v>
      </c>
      <c r="D440" t="inlineStr">
        <is>
          <t>ÖSTERGÖTLANDS LÄN</t>
        </is>
      </c>
      <c r="E440" t="inlineStr">
        <is>
          <t>LINKÖPING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52111-2025</t>
        </is>
      </c>
      <c r="B441" s="1" t="n">
        <v>45952.69527777778</v>
      </c>
      <c r="C441" s="1" t="n">
        <v>46176</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31792-2021</t>
        </is>
      </c>
      <c r="B442" s="1" t="n">
        <v>44369</v>
      </c>
      <c r="C442" s="1" t="n">
        <v>46176</v>
      </c>
      <c r="D442" t="inlineStr">
        <is>
          <t>ÖSTERGÖTLANDS LÄN</t>
        </is>
      </c>
      <c r="E442" t="inlineStr">
        <is>
          <t>LINKÖPING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421-2024</t>
        </is>
      </c>
      <c r="B443" s="1" t="n">
        <v>45296.51877314815</v>
      </c>
      <c r="C443" s="1" t="n">
        <v>46176</v>
      </c>
      <c r="D443" t="inlineStr">
        <is>
          <t>ÖSTERGÖTLANDS LÄN</t>
        </is>
      </c>
      <c r="E443" t="inlineStr">
        <is>
          <t>LINKÖPING</t>
        </is>
      </c>
      <c r="G443" t="n">
        <v>3.7</v>
      </c>
      <c r="H443" t="n">
        <v>0</v>
      </c>
      <c r="I443" t="n">
        <v>0</v>
      </c>
      <c r="J443" t="n">
        <v>0</v>
      </c>
      <c r="K443" t="n">
        <v>0</v>
      </c>
      <c r="L443" t="n">
        <v>0</v>
      </c>
      <c r="M443" t="n">
        <v>0</v>
      </c>
      <c r="N443" t="n">
        <v>0</v>
      </c>
      <c r="O443" t="n">
        <v>0</v>
      </c>
      <c r="P443" t="n">
        <v>0</v>
      </c>
      <c r="Q443" t="n">
        <v>0</v>
      </c>
      <c r="R443" s="2" t="inlineStr"/>
    </row>
    <row r="444" ht="15" customHeight="1">
      <c r="A444" t="inlineStr">
        <is>
          <t>A 22043-2023</t>
        </is>
      </c>
      <c r="B444" s="1" t="n">
        <v>45069.39050925926</v>
      </c>
      <c r="C444" s="1" t="n">
        <v>46176</v>
      </c>
      <c r="D444" t="inlineStr">
        <is>
          <t>ÖSTERGÖTLANDS LÄN</t>
        </is>
      </c>
      <c r="E444" t="inlineStr">
        <is>
          <t>LINKÖPING</t>
        </is>
      </c>
      <c r="G444" t="n">
        <v>5.9</v>
      </c>
      <c r="H444" t="n">
        <v>0</v>
      </c>
      <c r="I444" t="n">
        <v>0</v>
      </c>
      <c r="J444" t="n">
        <v>0</v>
      </c>
      <c r="K444" t="n">
        <v>0</v>
      </c>
      <c r="L444" t="n">
        <v>0</v>
      </c>
      <c r="M444" t="n">
        <v>0</v>
      </c>
      <c r="N444" t="n">
        <v>0</v>
      </c>
      <c r="O444" t="n">
        <v>0</v>
      </c>
      <c r="P444" t="n">
        <v>0</v>
      </c>
      <c r="Q444" t="n">
        <v>0</v>
      </c>
      <c r="R444" s="2" t="inlineStr"/>
    </row>
    <row r="445" ht="15" customHeight="1">
      <c r="A445" t="inlineStr">
        <is>
          <t>A 61532-2021</t>
        </is>
      </c>
      <c r="B445" s="1" t="n">
        <v>44501</v>
      </c>
      <c r="C445" s="1" t="n">
        <v>46176</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52740-2025</t>
        </is>
      </c>
      <c r="B446" s="1" t="n">
        <v>45957.37747685185</v>
      </c>
      <c r="C446" s="1" t="n">
        <v>46176</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14028-2024</t>
        </is>
      </c>
      <c r="B447" s="1" t="n">
        <v>45392</v>
      </c>
      <c r="C447" s="1" t="n">
        <v>46176</v>
      </c>
      <c r="D447" t="inlineStr">
        <is>
          <t>ÖSTERGÖTLANDS LÄN</t>
        </is>
      </c>
      <c r="E447" t="inlineStr">
        <is>
          <t>LINKÖPING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40431-2024</t>
        </is>
      </c>
      <c r="B448" s="1" t="n">
        <v>45555.47070601852</v>
      </c>
      <c r="C448" s="1" t="n">
        <v>46176</v>
      </c>
      <c r="D448" t="inlineStr">
        <is>
          <t>ÖSTERGÖTLANDS LÄN</t>
        </is>
      </c>
      <c r="E448" t="inlineStr">
        <is>
          <t>LINKÖPING</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52800-2025</t>
        </is>
      </c>
      <c r="B449" s="1" t="n">
        <v>45957.44152777778</v>
      </c>
      <c r="C449" s="1" t="n">
        <v>46176</v>
      </c>
      <c r="D449" t="inlineStr">
        <is>
          <t>ÖSTERGÖTLANDS LÄN</t>
        </is>
      </c>
      <c r="E449" t="inlineStr">
        <is>
          <t>LINKÖPING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52802-2025</t>
        </is>
      </c>
      <c r="B450" s="1" t="n">
        <v>45957.44295138889</v>
      </c>
      <c r="C450" s="1" t="n">
        <v>46176</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60860-2024</t>
        </is>
      </c>
      <c r="B451" s="1" t="n">
        <v>45644.6893287037</v>
      </c>
      <c r="C451" s="1" t="n">
        <v>46176</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52743-2025</t>
        </is>
      </c>
      <c r="B452" s="1" t="n">
        <v>45957.38039351852</v>
      </c>
      <c r="C452" s="1" t="n">
        <v>46176</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52807-2025</t>
        </is>
      </c>
      <c r="B453" s="1" t="n">
        <v>45957.44837962963</v>
      </c>
      <c r="C453" s="1" t="n">
        <v>46176</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2697-2023</t>
        </is>
      </c>
      <c r="B454" s="1" t="n">
        <v>44944</v>
      </c>
      <c r="C454" s="1" t="n">
        <v>46176</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45806-2024</t>
        </is>
      </c>
      <c r="B455" s="1" t="n">
        <v>45579.69619212963</v>
      </c>
      <c r="C455" s="1" t="n">
        <v>46176</v>
      </c>
      <c r="D455" t="inlineStr">
        <is>
          <t>ÖSTERGÖTLANDS LÄN</t>
        </is>
      </c>
      <c r="E455" t="inlineStr">
        <is>
          <t>LINKÖPING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56756-2023</t>
        </is>
      </c>
      <c r="B456" s="1" t="n">
        <v>45244</v>
      </c>
      <c r="C456" s="1" t="n">
        <v>46176</v>
      </c>
      <c r="D456" t="inlineStr">
        <is>
          <t>ÖSTERGÖTLANDS LÄN</t>
        </is>
      </c>
      <c r="E456" t="inlineStr">
        <is>
          <t>LINKÖPING</t>
        </is>
      </c>
      <c r="F456" t="inlineStr">
        <is>
          <t>Övriga Aktiebolag</t>
        </is>
      </c>
      <c r="G456" t="n">
        <v>0.8</v>
      </c>
      <c r="H456" t="n">
        <v>0</v>
      </c>
      <c r="I456" t="n">
        <v>0</v>
      </c>
      <c r="J456" t="n">
        <v>0</v>
      </c>
      <c r="K456" t="n">
        <v>0</v>
      </c>
      <c r="L456" t="n">
        <v>0</v>
      </c>
      <c r="M456" t="n">
        <v>0</v>
      </c>
      <c r="N456" t="n">
        <v>0</v>
      </c>
      <c r="O456" t="n">
        <v>0</v>
      </c>
      <c r="P456" t="n">
        <v>0</v>
      </c>
      <c r="Q456" t="n">
        <v>0</v>
      </c>
      <c r="R456" s="2" t="inlineStr"/>
    </row>
    <row r="457" ht="15" customHeight="1">
      <c r="A457" t="inlineStr">
        <is>
          <t>A 60985-2023</t>
        </is>
      </c>
      <c r="B457" s="1" t="n">
        <v>45261.48429398148</v>
      </c>
      <c r="C457" s="1" t="n">
        <v>46176</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24904-2024</t>
        </is>
      </c>
      <c r="B458" s="1" t="n">
        <v>45461</v>
      </c>
      <c r="C458" s="1" t="n">
        <v>46176</v>
      </c>
      <c r="D458" t="inlineStr">
        <is>
          <t>ÖSTERGÖTLANDS LÄN</t>
        </is>
      </c>
      <c r="E458" t="inlineStr">
        <is>
          <t>LINKÖPING</t>
        </is>
      </c>
      <c r="G458" t="n">
        <v>3.8</v>
      </c>
      <c r="H458" t="n">
        <v>0</v>
      </c>
      <c r="I458" t="n">
        <v>0</v>
      </c>
      <c r="J458" t="n">
        <v>0</v>
      </c>
      <c r="K458" t="n">
        <v>0</v>
      </c>
      <c r="L458" t="n">
        <v>0</v>
      </c>
      <c r="M458" t="n">
        <v>0</v>
      </c>
      <c r="N458" t="n">
        <v>0</v>
      </c>
      <c r="O458" t="n">
        <v>0</v>
      </c>
      <c r="P458" t="n">
        <v>0</v>
      </c>
      <c r="Q458" t="n">
        <v>0</v>
      </c>
      <c r="R458" s="2" t="inlineStr"/>
    </row>
    <row r="459" ht="15" customHeight="1">
      <c r="A459" t="inlineStr">
        <is>
          <t>A 55009-2023</t>
        </is>
      </c>
      <c r="B459" s="1" t="n">
        <v>45237</v>
      </c>
      <c r="C459" s="1" t="n">
        <v>46176</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34872-2023</t>
        </is>
      </c>
      <c r="B460" s="1" t="n">
        <v>45140</v>
      </c>
      <c r="C460" s="1" t="n">
        <v>46176</v>
      </c>
      <c r="D460" t="inlineStr">
        <is>
          <t>ÖSTERGÖTLANDS LÄN</t>
        </is>
      </c>
      <c r="E460" t="inlineStr">
        <is>
          <t>LINKÖPING</t>
        </is>
      </c>
      <c r="G460" t="n">
        <v>4.8</v>
      </c>
      <c r="H460" t="n">
        <v>0</v>
      </c>
      <c r="I460" t="n">
        <v>0</v>
      </c>
      <c r="J460" t="n">
        <v>0</v>
      </c>
      <c r="K460" t="n">
        <v>0</v>
      </c>
      <c r="L460" t="n">
        <v>0</v>
      </c>
      <c r="M460" t="n">
        <v>0</v>
      </c>
      <c r="N460" t="n">
        <v>0</v>
      </c>
      <c r="O460" t="n">
        <v>0</v>
      </c>
      <c r="P460" t="n">
        <v>0</v>
      </c>
      <c r="Q460" t="n">
        <v>0</v>
      </c>
      <c r="R460" s="2" t="inlineStr"/>
    </row>
    <row r="461" ht="15" customHeight="1">
      <c r="A461" t="inlineStr">
        <is>
          <t>A 54332-2025</t>
        </is>
      </c>
      <c r="B461" s="1" t="n">
        <v>45965.34915509259</v>
      </c>
      <c r="C461" s="1" t="n">
        <v>46176</v>
      </c>
      <c r="D461" t="inlineStr">
        <is>
          <t>ÖSTERGÖTLANDS LÄN</t>
        </is>
      </c>
      <c r="E461" t="inlineStr">
        <is>
          <t>LINKÖPING</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54329-2025</t>
        </is>
      </c>
      <c r="B462" s="1" t="n">
        <v>45965.34706018519</v>
      </c>
      <c r="C462" s="1" t="n">
        <v>46176</v>
      </c>
      <c r="D462" t="inlineStr">
        <is>
          <t>ÖSTERGÖTLANDS LÄN</t>
        </is>
      </c>
      <c r="E462" t="inlineStr">
        <is>
          <t>LINKÖPING</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36336-2022</t>
        </is>
      </c>
      <c r="B463" s="1" t="n">
        <v>44803</v>
      </c>
      <c r="C463" s="1" t="n">
        <v>46176</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54333-2025</t>
        </is>
      </c>
      <c r="B464" s="1" t="n">
        <v>45965.35090277778</v>
      </c>
      <c r="C464" s="1" t="n">
        <v>46176</v>
      </c>
      <c r="D464" t="inlineStr">
        <is>
          <t>ÖSTERGÖTLANDS LÄN</t>
        </is>
      </c>
      <c r="E464" t="inlineStr">
        <is>
          <t>LINKÖPING</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25097-2023</t>
        </is>
      </c>
      <c r="B465" s="1" t="n">
        <v>45086</v>
      </c>
      <c r="C465" s="1" t="n">
        <v>46176</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10461-2023</t>
        </is>
      </c>
      <c r="B466" s="1" t="n">
        <v>44987.5969212963</v>
      </c>
      <c r="C466" s="1" t="n">
        <v>46176</v>
      </c>
      <c r="D466" t="inlineStr">
        <is>
          <t>ÖSTERGÖTLANDS LÄN</t>
        </is>
      </c>
      <c r="E466" t="inlineStr">
        <is>
          <t>LINKÖPING</t>
        </is>
      </c>
      <c r="G466" t="n">
        <v>7.8</v>
      </c>
      <c r="H466" t="n">
        <v>0</v>
      </c>
      <c r="I466" t="n">
        <v>0</v>
      </c>
      <c r="J466" t="n">
        <v>0</v>
      </c>
      <c r="K466" t="n">
        <v>0</v>
      </c>
      <c r="L466" t="n">
        <v>0</v>
      </c>
      <c r="M466" t="n">
        <v>0</v>
      </c>
      <c r="N466" t="n">
        <v>0</v>
      </c>
      <c r="O466" t="n">
        <v>0</v>
      </c>
      <c r="P466" t="n">
        <v>0</v>
      </c>
      <c r="Q466" t="n">
        <v>0</v>
      </c>
      <c r="R466" s="2" t="inlineStr"/>
    </row>
    <row r="467" ht="15" customHeight="1">
      <c r="A467" t="inlineStr">
        <is>
          <t>A 50386-2021</t>
        </is>
      </c>
      <c r="B467" s="1" t="n">
        <v>44459</v>
      </c>
      <c r="C467" s="1" t="n">
        <v>46176</v>
      </c>
      <c r="D467" t="inlineStr">
        <is>
          <t>ÖSTERGÖTLANDS LÄN</t>
        </is>
      </c>
      <c r="E467" t="inlineStr">
        <is>
          <t>LINKÖPING</t>
        </is>
      </c>
      <c r="G467" t="n">
        <v>2.3</v>
      </c>
      <c r="H467" t="n">
        <v>0</v>
      </c>
      <c r="I467" t="n">
        <v>0</v>
      </c>
      <c r="J467" t="n">
        <v>0</v>
      </c>
      <c r="K467" t="n">
        <v>0</v>
      </c>
      <c r="L467" t="n">
        <v>0</v>
      </c>
      <c r="M467" t="n">
        <v>0</v>
      </c>
      <c r="N467" t="n">
        <v>0</v>
      </c>
      <c r="O467" t="n">
        <v>0</v>
      </c>
      <c r="P467" t="n">
        <v>0</v>
      </c>
      <c r="Q467" t="n">
        <v>0</v>
      </c>
      <c r="R467" s="2" t="inlineStr"/>
    </row>
    <row r="468" ht="15" customHeight="1">
      <c r="A468" t="inlineStr">
        <is>
          <t>A 350-2022</t>
        </is>
      </c>
      <c r="B468" s="1" t="n">
        <v>44565</v>
      </c>
      <c r="C468" s="1" t="n">
        <v>46176</v>
      </c>
      <c r="D468" t="inlineStr">
        <is>
          <t>ÖSTERGÖTLANDS LÄN</t>
        </is>
      </c>
      <c r="E468" t="inlineStr">
        <is>
          <t>LINKÖPING</t>
        </is>
      </c>
      <c r="G468" t="n">
        <v>1.2</v>
      </c>
      <c r="H468" t="n">
        <v>0</v>
      </c>
      <c r="I468" t="n">
        <v>0</v>
      </c>
      <c r="J468" t="n">
        <v>0</v>
      </c>
      <c r="K468" t="n">
        <v>0</v>
      </c>
      <c r="L468" t="n">
        <v>0</v>
      </c>
      <c r="M468" t="n">
        <v>0</v>
      </c>
      <c r="N468" t="n">
        <v>0</v>
      </c>
      <c r="O468" t="n">
        <v>0</v>
      </c>
      <c r="P468" t="n">
        <v>0</v>
      </c>
      <c r="Q468" t="n">
        <v>0</v>
      </c>
      <c r="R468" s="2" t="inlineStr"/>
    </row>
    <row r="469" ht="15" customHeight="1">
      <c r="A469" t="inlineStr">
        <is>
          <t>A 18891-2022</t>
        </is>
      </c>
      <c r="B469" s="1" t="n">
        <v>44690</v>
      </c>
      <c r="C469" s="1" t="n">
        <v>46176</v>
      </c>
      <c r="D469" t="inlineStr">
        <is>
          <t>ÖSTERGÖTLANDS LÄN</t>
        </is>
      </c>
      <c r="E469" t="inlineStr">
        <is>
          <t>LINKÖPING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55102-2025</t>
        </is>
      </c>
      <c r="B470" s="1" t="n">
        <v>45968.35410879629</v>
      </c>
      <c r="C470" s="1" t="n">
        <v>46176</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55132-2025</t>
        </is>
      </c>
      <c r="B471" s="1" t="n">
        <v>45968.41912037037</v>
      </c>
      <c r="C471" s="1" t="n">
        <v>46176</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30976-2022</t>
        </is>
      </c>
      <c r="B472" s="1" t="n">
        <v>44768</v>
      </c>
      <c r="C472" s="1" t="n">
        <v>46176</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55736-2022</t>
        </is>
      </c>
      <c r="B473" s="1" t="n">
        <v>44888</v>
      </c>
      <c r="C473" s="1" t="n">
        <v>46176</v>
      </c>
      <c r="D473" t="inlineStr">
        <is>
          <t>ÖSTERGÖTLANDS LÄN</t>
        </is>
      </c>
      <c r="E473" t="inlineStr">
        <is>
          <t>LINKÖPING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55109-2025</t>
        </is>
      </c>
      <c r="B474" s="1" t="n">
        <v>45968.37731481482</v>
      </c>
      <c r="C474" s="1" t="n">
        <v>46176</v>
      </c>
      <c r="D474" t="inlineStr">
        <is>
          <t>ÖSTERGÖTLANDS LÄN</t>
        </is>
      </c>
      <c r="E474" t="inlineStr">
        <is>
          <t>LINKÖPING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55165-2025</t>
        </is>
      </c>
      <c r="B475" s="1" t="n">
        <v>45968.48194444444</v>
      </c>
      <c r="C475" s="1" t="n">
        <v>46176</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10194-2023</t>
        </is>
      </c>
      <c r="B476" s="1" t="n">
        <v>44986.52277777778</v>
      </c>
      <c r="C476" s="1" t="n">
        <v>46176</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56113-2025</t>
        </is>
      </c>
      <c r="B477" s="1" t="n">
        <v>45973.73924768518</v>
      </c>
      <c r="C477" s="1" t="n">
        <v>46176</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56105-2025</t>
        </is>
      </c>
      <c r="B478" s="1" t="n">
        <v>45973.72855324074</v>
      </c>
      <c r="C478" s="1" t="n">
        <v>46176</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56403-2025</t>
        </is>
      </c>
      <c r="B479" s="1" t="n">
        <v>45974</v>
      </c>
      <c r="C479" s="1" t="n">
        <v>46176</v>
      </c>
      <c r="D479" t="inlineStr">
        <is>
          <t>ÖSTERGÖTLANDS LÄN</t>
        </is>
      </c>
      <c r="E479" t="inlineStr">
        <is>
          <t>LINKÖPING</t>
        </is>
      </c>
      <c r="G479" t="n">
        <v>3.3</v>
      </c>
      <c r="H479" t="n">
        <v>0</v>
      </c>
      <c r="I479" t="n">
        <v>0</v>
      </c>
      <c r="J479" t="n">
        <v>0</v>
      </c>
      <c r="K479" t="n">
        <v>0</v>
      </c>
      <c r="L479" t="n">
        <v>0</v>
      </c>
      <c r="M479" t="n">
        <v>0</v>
      </c>
      <c r="N479" t="n">
        <v>0</v>
      </c>
      <c r="O479" t="n">
        <v>0</v>
      </c>
      <c r="P479" t="n">
        <v>0</v>
      </c>
      <c r="Q479" t="n">
        <v>0</v>
      </c>
      <c r="R479" s="2" t="inlineStr"/>
    </row>
    <row r="480" ht="15" customHeight="1">
      <c r="A480" t="inlineStr">
        <is>
          <t>A 56704-2025</t>
        </is>
      </c>
      <c r="B480" s="1" t="n">
        <v>45977.50608796296</v>
      </c>
      <c r="C480" s="1" t="n">
        <v>46176</v>
      </c>
      <c r="D480" t="inlineStr">
        <is>
          <t>ÖSTERGÖTLANDS LÄN</t>
        </is>
      </c>
      <c r="E480" t="inlineStr">
        <is>
          <t>LINKÖPING</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7702-2023</t>
        </is>
      </c>
      <c r="B481" s="1" t="n">
        <v>44967</v>
      </c>
      <c r="C481" s="1" t="n">
        <v>46176</v>
      </c>
      <c r="D481" t="inlineStr">
        <is>
          <t>ÖSTERGÖTLANDS LÄN</t>
        </is>
      </c>
      <c r="E481" t="inlineStr">
        <is>
          <t>LINKÖPING</t>
        </is>
      </c>
      <c r="F481" t="inlineStr">
        <is>
          <t>Övriga statliga verk och myndigheter</t>
        </is>
      </c>
      <c r="G481" t="n">
        <v>8</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46176</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31534-2023</t>
        </is>
      </c>
      <c r="B483" s="1" t="n">
        <v>45116</v>
      </c>
      <c r="C483" s="1" t="n">
        <v>46176</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35427-2023</t>
        </is>
      </c>
      <c r="B484" s="1" t="n">
        <v>45146</v>
      </c>
      <c r="C484" s="1" t="n">
        <v>46176</v>
      </c>
      <c r="D484" t="inlineStr">
        <is>
          <t>ÖSTERGÖTLANDS LÄN</t>
        </is>
      </c>
      <c r="E484" t="inlineStr">
        <is>
          <t>LINKÖPING</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36725-2023</t>
        </is>
      </c>
      <c r="B485" s="1" t="n">
        <v>45153.68471064815</v>
      </c>
      <c r="C485" s="1" t="n">
        <v>46176</v>
      </c>
      <c r="D485" t="inlineStr">
        <is>
          <t>ÖSTERGÖTLANDS LÄN</t>
        </is>
      </c>
      <c r="E485" t="inlineStr">
        <is>
          <t>LINKÖPING</t>
        </is>
      </c>
      <c r="F485" t="inlineStr">
        <is>
          <t>Allmännings- och besparingsskogar</t>
        </is>
      </c>
      <c r="G485" t="n">
        <v>2.6</v>
      </c>
      <c r="H485" t="n">
        <v>0</v>
      </c>
      <c r="I485" t="n">
        <v>0</v>
      </c>
      <c r="J485" t="n">
        <v>0</v>
      </c>
      <c r="K485" t="n">
        <v>0</v>
      </c>
      <c r="L485" t="n">
        <v>0</v>
      </c>
      <c r="M485" t="n">
        <v>0</v>
      </c>
      <c r="N485" t="n">
        <v>0</v>
      </c>
      <c r="O485" t="n">
        <v>0</v>
      </c>
      <c r="P485" t="n">
        <v>0</v>
      </c>
      <c r="Q485" t="n">
        <v>0</v>
      </c>
      <c r="R485" s="2" t="inlineStr"/>
    </row>
    <row r="486" ht="15" customHeight="1">
      <c r="A486" t="inlineStr">
        <is>
          <t>A 53639-2023</t>
        </is>
      </c>
      <c r="B486" s="1" t="n">
        <v>45230.59686342593</v>
      </c>
      <c r="C486" s="1" t="n">
        <v>46176</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1657-2024</t>
        </is>
      </c>
      <c r="B487" s="1" t="n">
        <v>45306.82501157407</v>
      </c>
      <c r="C487" s="1" t="n">
        <v>46176</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50784-2022</t>
        </is>
      </c>
      <c r="B488" s="1" t="n">
        <v>44862</v>
      </c>
      <c r="C488" s="1" t="n">
        <v>46176</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26803-2024</t>
        </is>
      </c>
      <c r="B489" s="1" t="n">
        <v>45470</v>
      </c>
      <c r="C489" s="1" t="n">
        <v>46176</v>
      </c>
      <c r="D489" t="inlineStr">
        <is>
          <t>ÖSTERGÖTLANDS LÄN</t>
        </is>
      </c>
      <c r="E489" t="inlineStr">
        <is>
          <t>LINKÖPING</t>
        </is>
      </c>
      <c r="F489" t="inlineStr">
        <is>
          <t>Allmännings- och besparingsskogar</t>
        </is>
      </c>
      <c r="G489" t="n">
        <v>4.5</v>
      </c>
      <c r="H489" t="n">
        <v>0</v>
      </c>
      <c r="I489" t="n">
        <v>0</v>
      </c>
      <c r="J489" t="n">
        <v>0</v>
      </c>
      <c r="K489" t="n">
        <v>0</v>
      </c>
      <c r="L489" t="n">
        <v>0</v>
      </c>
      <c r="M489" t="n">
        <v>0</v>
      </c>
      <c r="N489" t="n">
        <v>0</v>
      </c>
      <c r="O489" t="n">
        <v>0</v>
      </c>
      <c r="P489" t="n">
        <v>0</v>
      </c>
      <c r="Q489" t="n">
        <v>0</v>
      </c>
      <c r="R489" s="2" t="inlineStr"/>
    </row>
    <row r="490" ht="15" customHeight="1">
      <c r="A490" t="inlineStr">
        <is>
          <t>A 60472-2022</t>
        </is>
      </c>
      <c r="B490" s="1" t="n">
        <v>44911.41037037037</v>
      </c>
      <c r="C490" s="1" t="n">
        <v>46176</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58802-2025</t>
        </is>
      </c>
      <c r="B491" s="1" t="n">
        <v>45986.8768287037</v>
      </c>
      <c r="C491" s="1" t="n">
        <v>46176</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55004-2025</t>
        </is>
      </c>
      <c r="B492" s="1" t="n">
        <v>45967</v>
      </c>
      <c r="C492" s="1" t="n">
        <v>46176</v>
      </c>
      <c r="D492" t="inlineStr">
        <is>
          <t>ÖSTERGÖTLANDS LÄN</t>
        </is>
      </c>
      <c r="E492" t="inlineStr">
        <is>
          <t>LINKÖPING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43934-2023</t>
        </is>
      </c>
      <c r="B493" s="1" t="n">
        <v>45187</v>
      </c>
      <c r="C493" s="1" t="n">
        <v>46176</v>
      </c>
      <c r="D493" t="inlineStr">
        <is>
          <t>ÖSTERGÖTLANDS LÄN</t>
        </is>
      </c>
      <c r="E493" t="inlineStr">
        <is>
          <t>LINKÖPING</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22774-2024</t>
        </is>
      </c>
      <c r="B494" s="1" t="n">
        <v>45448.46924768519</v>
      </c>
      <c r="C494" s="1" t="n">
        <v>46176</v>
      </c>
      <c r="D494" t="inlineStr">
        <is>
          <t>ÖSTERGÖTLANDS LÄN</t>
        </is>
      </c>
      <c r="E494" t="inlineStr">
        <is>
          <t>LINKÖPING</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22778-2024</t>
        </is>
      </c>
      <c r="B495" s="1" t="n">
        <v>45448.47233796296</v>
      </c>
      <c r="C495" s="1" t="n">
        <v>46176</v>
      </c>
      <c r="D495" t="inlineStr">
        <is>
          <t>ÖSTERGÖTLANDS LÄN</t>
        </is>
      </c>
      <c r="E495" t="inlineStr">
        <is>
          <t>LINKÖPING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1209-2023</t>
        </is>
      </c>
      <c r="B496" s="1" t="n">
        <v>44930</v>
      </c>
      <c r="C496" s="1" t="n">
        <v>46176</v>
      </c>
      <c r="D496" t="inlineStr">
        <is>
          <t>ÖSTERGÖTLANDS LÄN</t>
        </is>
      </c>
      <c r="E496" t="inlineStr">
        <is>
          <t>LINKÖPING</t>
        </is>
      </c>
      <c r="F496" t="inlineStr">
        <is>
          <t>Övriga statliga verk och myndigheter</t>
        </is>
      </c>
      <c r="G496" t="n">
        <v>25.8</v>
      </c>
      <c r="H496" t="n">
        <v>0</v>
      </c>
      <c r="I496" t="n">
        <v>0</v>
      </c>
      <c r="J496" t="n">
        <v>0</v>
      </c>
      <c r="K496" t="n">
        <v>0</v>
      </c>
      <c r="L496" t="n">
        <v>0</v>
      </c>
      <c r="M496" t="n">
        <v>0</v>
      </c>
      <c r="N496" t="n">
        <v>0</v>
      </c>
      <c r="O496" t="n">
        <v>0</v>
      </c>
      <c r="P496" t="n">
        <v>0</v>
      </c>
      <c r="Q496" t="n">
        <v>0</v>
      </c>
      <c r="R496" s="2" t="inlineStr"/>
    </row>
    <row r="497" ht="15" customHeight="1">
      <c r="A497" t="inlineStr">
        <is>
          <t>A 59205-2025</t>
        </is>
      </c>
      <c r="B497" s="1" t="n">
        <v>45988.60721064815</v>
      </c>
      <c r="C497" s="1" t="n">
        <v>46176</v>
      </c>
      <c r="D497" t="inlineStr">
        <is>
          <t>ÖSTERGÖTLANDS LÄN</t>
        </is>
      </c>
      <c r="E497" t="inlineStr">
        <is>
          <t>LINKÖPING</t>
        </is>
      </c>
      <c r="F497" t="inlineStr">
        <is>
          <t>Sveaskog</t>
        </is>
      </c>
      <c r="G497" t="n">
        <v>11.3</v>
      </c>
      <c r="H497" t="n">
        <v>0</v>
      </c>
      <c r="I497" t="n">
        <v>0</v>
      </c>
      <c r="J497" t="n">
        <v>0</v>
      </c>
      <c r="K497" t="n">
        <v>0</v>
      </c>
      <c r="L497" t="n">
        <v>0</v>
      </c>
      <c r="M497" t="n">
        <v>0</v>
      </c>
      <c r="N497" t="n">
        <v>0</v>
      </c>
      <c r="O497" t="n">
        <v>0</v>
      </c>
      <c r="P497" t="n">
        <v>0</v>
      </c>
      <c r="Q497" t="n">
        <v>0</v>
      </c>
      <c r="R497" s="2" t="inlineStr"/>
    </row>
    <row r="498" ht="15" customHeight="1">
      <c r="A498" t="inlineStr">
        <is>
          <t>A 10407-2025</t>
        </is>
      </c>
      <c r="B498" s="1" t="n">
        <v>45720.62863425926</v>
      </c>
      <c r="C498" s="1" t="n">
        <v>46176</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11590-2023</t>
        </is>
      </c>
      <c r="B499" s="1" t="n">
        <v>44994.36689814815</v>
      </c>
      <c r="C499" s="1" t="n">
        <v>46176</v>
      </c>
      <c r="D499" t="inlineStr">
        <is>
          <t>ÖSTERGÖTLANDS LÄN</t>
        </is>
      </c>
      <c r="E499" t="inlineStr">
        <is>
          <t>LINKÖPING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19169-2023</t>
        </is>
      </c>
      <c r="B500" s="1" t="n">
        <v>45044</v>
      </c>
      <c r="C500" s="1" t="n">
        <v>46176</v>
      </c>
      <c r="D500" t="inlineStr">
        <is>
          <t>ÖSTERGÖTLANDS LÄN</t>
        </is>
      </c>
      <c r="E500" t="inlineStr">
        <is>
          <t>LINKÖPING</t>
        </is>
      </c>
      <c r="G500" t="n">
        <v>2.7</v>
      </c>
      <c r="H500" t="n">
        <v>0</v>
      </c>
      <c r="I500" t="n">
        <v>0</v>
      </c>
      <c r="J500" t="n">
        <v>0</v>
      </c>
      <c r="K500" t="n">
        <v>0</v>
      </c>
      <c r="L500" t="n">
        <v>0</v>
      </c>
      <c r="M500" t="n">
        <v>0</v>
      </c>
      <c r="N500" t="n">
        <v>0</v>
      </c>
      <c r="O500" t="n">
        <v>0</v>
      </c>
      <c r="P500" t="n">
        <v>0</v>
      </c>
      <c r="Q500" t="n">
        <v>0</v>
      </c>
      <c r="R500" s="2" t="inlineStr"/>
    </row>
    <row r="501" ht="15" customHeight="1">
      <c r="A501" t="inlineStr">
        <is>
          <t>A 59472-2025</t>
        </is>
      </c>
      <c r="B501" s="1" t="n">
        <v>45989.58321759259</v>
      </c>
      <c r="C501" s="1" t="n">
        <v>46176</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672-2024</t>
        </is>
      </c>
      <c r="B502" s="1" t="n">
        <v>45300</v>
      </c>
      <c r="C502" s="1" t="n">
        <v>46176</v>
      </c>
      <c r="D502" t="inlineStr">
        <is>
          <t>ÖSTERGÖTLANDS LÄN</t>
        </is>
      </c>
      <c r="E502" t="inlineStr">
        <is>
          <t>LINKÖPING</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55493-2021</t>
        </is>
      </c>
      <c r="B503" s="1" t="n">
        <v>44475.61988425926</v>
      </c>
      <c r="C503" s="1" t="n">
        <v>46176</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60087-2025</t>
        </is>
      </c>
      <c r="B504" s="1" t="n">
        <v>45993.71726851852</v>
      </c>
      <c r="C504" s="1" t="n">
        <v>46176</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14093-2024</t>
        </is>
      </c>
      <c r="B505" s="1" t="n">
        <v>45392.60278935185</v>
      </c>
      <c r="C505" s="1" t="n">
        <v>46176</v>
      </c>
      <c r="D505" t="inlineStr">
        <is>
          <t>ÖSTERGÖTLANDS LÄN</t>
        </is>
      </c>
      <c r="E505" t="inlineStr">
        <is>
          <t>LINKÖPING</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62019-2024</t>
        </is>
      </c>
      <c r="B506" s="1" t="n">
        <v>45655.82</v>
      </c>
      <c r="C506" s="1" t="n">
        <v>46176</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25119-2023</t>
        </is>
      </c>
      <c r="B507" s="1" t="n">
        <v>45086.42326388889</v>
      </c>
      <c r="C507" s="1" t="n">
        <v>46176</v>
      </c>
      <c r="D507" t="inlineStr">
        <is>
          <t>ÖSTERGÖTLANDS LÄN</t>
        </is>
      </c>
      <c r="E507" t="inlineStr">
        <is>
          <t>LINKÖPING</t>
        </is>
      </c>
      <c r="G507" t="n">
        <v>3.2</v>
      </c>
      <c r="H507" t="n">
        <v>0</v>
      </c>
      <c r="I507" t="n">
        <v>0</v>
      </c>
      <c r="J507" t="n">
        <v>0</v>
      </c>
      <c r="K507" t="n">
        <v>0</v>
      </c>
      <c r="L507" t="n">
        <v>0</v>
      </c>
      <c r="M507" t="n">
        <v>0</v>
      </c>
      <c r="N507" t="n">
        <v>0</v>
      </c>
      <c r="O507" t="n">
        <v>0</v>
      </c>
      <c r="P507" t="n">
        <v>0</v>
      </c>
      <c r="Q507" t="n">
        <v>0</v>
      </c>
      <c r="R507" s="2" t="inlineStr"/>
    </row>
    <row r="508" ht="15" customHeight="1">
      <c r="A508" t="inlineStr">
        <is>
          <t>A 60306-2025</t>
        </is>
      </c>
      <c r="B508" s="1" t="n">
        <v>45994.68326388889</v>
      </c>
      <c r="C508" s="1" t="n">
        <v>46176</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57396-2021</t>
        </is>
      </c>
      <c r="B509" s="1" t="n">
        <v>44483.56151620371</v>
      </c>
      <c r="C509" s="1" t="n">
        <v>46176</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60284-2025</t>
        </is>
      </c>
      <c r="B510" s="1" t="n">
        <v>45994.64373842593</v>
      </c>
      <c r="C510" s="1" t="n">
        <v>46176</v>
      </c>
      <c r="D510" t="inlineStr">
        <is>
          <t>ÖSTERGÖTLANDS LÄN</t>
        </is>
      </c>
      <c r="E510" t="inlineStr">
        <is>
          <t>LINKÖPING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51571-2024</t>
        </is>
      </c>
      <c r="B511" s="1" t="n">
        <v>45604</v>
      </c>
      <c r="C511" s="1" t="n">
        <v>46176</v>
      </c>
      <c r="D511" t="inlineStr">
        <is>
          <t>ÖSTERGÖTLANDS LÄN</t>
        </is>
      </c>
      <c r="E511" t="inlineStr">
        <is>
          <t>LINKÖPING</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17143-2025</t>
        </is>
      </c>
      <c r="B512" s="1" t="n">
        <v>45755.92731481481</v>
      </c>
      <c r="C512" s="1" t="n">
        <v>46176</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17124-2025</t>
        </is>
      </c>
      <c r="B513" s="1" t="n">
        <v>45755.69678240741</v>
      </c>
      <c r="C513" s="1" t="n">
        <v>46176</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17126-2025</t>
        </is>
      </c>
      <c r="B514" s="1" t="n">
        <v>45755.70814814815</v>
      </c>
      <c r="C514" s="1" t="n">
        <v>46176</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60703-2025</t>
        </is>
      </c>
      <c r="B515" s="1" t="n">
        <v>45996.6052662037</v>
      </c>
      <c r="C515" s="1" t="n">
        <v>46176</v>
      </c>
      <c r="D515" t="inlineStr">
        <is>
          <t>ÖSTERGÖTLANDS LÄN</t>
        </is>
      </c>
      <c r="E515" t="inlineStr">
        <is>
          <t>LINKÖPING</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60866-2025</t>
        </is>
      </c>
      <c r="B516" s="1" t="n">
        <v>45999</v>
      </c>
      <c r="C516" s="1" t="n">
        <v>46176</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31640-2023</t>
        </is>
      </c>
      <c r="B517" s="1" t="n">
        <v>45117</v>
      </c>
      <c r="C517" s="1" t="n">
        <v>46176</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61230-2025</t>
        </is>
      </c>
      <c r="B518" s="1" t="n">
        <v>46000.63111111111</v>
      </c>
      <c r="C518" s="1" t="n">
        <v>46176</v>
      </c>
      <c r="D518" t="inlineStr">
        <is>
          <t>ÖSTERGÖTLANDS LÄN</t>
        </is>
      </c>
      <c r="E518" t="inlineStr">
        <is>
          <t>LINKÖPING</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11790-2024</t>
        </is>
      </c>
      <c r="B519" s="1" t="n">
        <v>45374</v>
      </c>
      <c r="C519" s="1" t="n">
        <v>46176</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61281-2021</t>
        </is>
      </c>
      <c r="B520" s="1" t="n">
        <v>44498.60736111111</v>
      </c>
      <c r="C520" s="1" t="n">
        <v>46176</v>
      </c>
      <c r="D520" t="inlineStr">
        <is>
          <t>ÖSTERGÖTLANDS LÄN</t>
        </is>
      </c>
      <c r="E520" t="inlineStr">
        <is>
          <t>LINKÖPING</t>
        </is>
      </c>
      <c r="G520" t="n">
        <v>4.5</v>
      </c>
      <c r="H520" t="n">
        <v>0</v>
      </c>
      <c r="I520" t="n">
        <v>0</v>
      </c>
      <c r="J520" t="n">
        <v>0</v>
      </c>
      <c r="K520" t="n">
        <v>0</v>
      </c>
      <c r="L520" t="n">
        <v>0</v>
      </c>
      <c r="M520" t="n">
        <v>0</v>
      </c>
      <c r="N520" t="n">
        <v>0</v>
      </c>
      <c r="O520" t="n">
        <v>0</v>
      </c>
      <c r="P520" t="n">
        <v>0</v>
      </c>
      <c r="Q520" t="n">
        <v>0</v>
      </c>
      <c r="R520" s="2" t="inlineStr"/>
    </row>
    <row r="521" ht="15" customHeight="1">
      <c r="A521" t="inlineStr">
        <is>
          <t>A 61447-2025</t>
        </is>
      </c>
      <c r="B521" s="1" t="n">
        <v>46001.57554398148</v>
      </c>
      <c r="C521" s="1" t="n">
        <v>46176</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61899-2025</t>
        </is>
      </c>
      <c r="B522" s="1" t="n">
        <v>46003.46635416667</v>
      </c>
      <c r="C522" s="1" t="n">
        <v>46176</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6206-2024</t>
        </is>
      </c>
      <c r="B523" s="1" t="n">
        <v>45337.5977662037</v>
      </c>
      <c r="C523" s="1" t="n">
        <v>46176</v>
      </c>
      <c r="D523" t="inlineStr">
        <is>
          <t>ÖSTERGÖTLANDS LÄN</t>
        </is>
      </c>
      <c r="E523" t="inlineStr">
        <is>
          <t>LINKÖPING</t>
        </is>
      </c>
      <c r="G523" t="n">
        <v>2</v>
      </c>
      <c r="H523" t="n">
        <v>0</v>
      </c>
      <c r="I523" t="n">
        <v>0</v>
      </c>
      <c r="J523" t="n">
        <v>0</v>
      </c>
      <c r="K523" t="n">
        <v>0</v>
      </c>
      <c r="L523" t="n">
        <v>0</v>
      </c>
      <c r="M523" t="n">
        <v>0</v>
      </c>
      <c r="N523" t="n">
        <v>0</v>
      </c>
      <c r="O523" t="n">
        <v>0</v>
      </c>
      <c r="P523" t="n">
        <v>0</v>
      </c>
      <c r="Q523" t="n">
        <v>0</v>
      </c>
      <c r="R523" s="2" t="inlineStr"/>
    </row>
    <row r="524" ht="15" customHeight="1">
      <c r="A524" t="inlineStr">
        <is>
          <t>A 61643-2025</t>
        </is>
      </c>
      <c r="B524" s="1" t="n">
        <v>46002.43575231481</v>
      </c>
      <c r="C524" s="1" t="n">
        <v>46176</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61645-2025</t>
        </is>
      </c>
      <c r="B525" s="1" t="n">
        <v>46002.43697916667</v>
      </c>
      <c r="C525" s="1" t="n">
        <v>46176</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168-2024</t>
        </is>
      </c>
      <c r="B526" s="1" t="n">
        <v>45294</v>
      </c>
      <c r="C526" s="1" t="n">
        <v>46176</v>
      </c>
      <c r="D526" t="inlineStr">
        <is>
          <t>ÖSTERGÖTLANDS LÄN</t>
        </is>
      </c>
      <c r="E526" t="inlineStr">
        <is>
          <t>LINKÖPING</t>
        </is>
      </c>
      <c r="F526" t="inlineStr">
        <is>
          <t>Allmännings- och besparingsskogar</t>
        </is>
      </c>
      <c r="G526" t="n">
        <v>8.9</v>
      </c>
      <c r="H526" t="n">
        <v>0</v>
      </c>
      <c r="I526" t="n">
        <v>0</v>
      </c>
      <c r="J526" t="n">
        <v>0</v>
      </c>
      <c r="K526" t="n">
        <v>0</v>
      </c>
      <c r="L526" t="n">
        <v>0</v>
      </c>
      <c r="M526" t="n">
        <v>0</v>
      </c>
      <c r="N526" t="n">
        <v>0</v>
      </c>
      <c r="O526" t="n">
        <v>0</v>
      </c>
      <c r="P526" t="n">
        <v>0</v>
      </c>
      <c r="Q526" t="n">
        <v>0</v>
      </c>
      <c r="R526" s="2" t="inlineStr"/>
    </row>
    <row r="527" ht="15" customHeight="1">
      <c r="A527" t="inlineStr">
        <is>
          <t>A 51919-2024</t>
        </is>
      </c>
      <c r="B527" s="1" t="n">
        <v>45607.60791666667</v>
      </c>
      <c r="C527" s="1" t="n">
        <v>46176</v>
      </c>
      <c r="D527" t="inlineStr">
        <is>
          <t>ÖSTERGÖTLANDS LÄN</t>
        </is>
      </c>
      <c r="E527" t="inlineStr">
        <is>
          <t>LINKÖPING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56623-2024</t>
        </is>
      </c>
      <c r="B528" s="1" t="n">
        <v>45625</v>
      </c>
      <c r="C528" s="1" t="n">
        <v>46176</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11330-2023</t>
        </is>
      </c>
      <c r="B529" s="1" t="n">
        <v>44993.24648148148</v>
      </c>
      <c r="C529" s="1" t="n">
        <v>46176</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63304-2021</t>
        </is>
      </c>
      <c r="B530" s="1" t="n">
        <v>44508.4396412037</v>
      </c>
      <c r="C530" s="1" t="n">
        <v>46176</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14528-2025</t>
        </is>
      </c>
      <c r="B531" s="1" t="n">
        <v>45741</v>
      </c>
      <c r="C531" s="1" t="n">
        <v>46176</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62515-2025</t>
        </is>
      </c>
      <c r="B532" s="1" t="n">
        <v>46007.60548611111</v>
      </c>
      <c r="C532" s="1" t="n">
        <v>46176</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3530-2024</t>
        </is>
      </c>
      <c r="B533" s="1" t="n">
        <v>45320.54717592592</v>
      </c>
      <c r="C533" s="1" t="n">
        <v>46176</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62073-2023</t>
        </is>
      </c>
      <c r="B534" s="1" t="n">
        <v>45266.73844907407</v>
      </c>
      <c r="C534" s="1" t="n">
        <v>46176</v>
      </c>
      <c r="D534" t="inlineStr">
        <is>
          <t>ÖSTERGÖTLANDS LÄN</t>
        </is>
      </c>
      <c r="E534" t="inlineStr">
        <is>
          <t>LINKÖPING</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5872-2025</t>
        </is>
      </c>
      <c r="B535" s="1" t="n">
        <v>45695.36659722222</v>
      </c>
      <c r="C535" s="1" t="n">
        <v>46176</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62791-2025</t>
        </is>
      </c>
      <c r="B536" s="1" t="n">
        <v>46008.63266203704</v>
      </c>
      <c r="C536" s="1" t="n">
        <v>46176</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53814-2023</t>
        </is>
      </c>
      <c r="B537" s="1" t="n">
        <v>45231</v>
      </c>
      <c r="C537" s="1" t="n">
        <v>46176</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3432-2023</t>
        </is>
      </c>
      <c r="B538" s="1" t="n">
        <v>44949</v>
      </c>
      <c r="C538" s="1" t="n">
        <v>46176</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62686-2025</t>
        </is>
      </c>
      <c r="B539" s="1" t="n">
        <v>46008.46769675926</v>
      </c>
      <c r="C539" s="1" t="n">
        <v>46176</v>
      </c>
      <c r="D539" t="inlineStr">
        <is>
          <t>ÖSTERGÖTLANDS LÄN</t>
        </is>
      </c>
      <c r="E539" t="inlineStr">
        <is>
          <t>LINKÖPING</t>
        </is>
      </c>
      <c r="G539" t="n">
        <v>7.6</v>
      </c>
      <c r="H539" t="n">
        <v>0</v>
      </c>
      <c r="I539" t="n">
        <v>0</v>
      </c>
      <c r="J539" t="n">
        <v>0</v>
      </c>
      <c r="K539" t="n">
        <v>0</v>
      </c>
      <c r="L539" t="n">
        <v>0</v>
      </c>
      <c r="M539" t="n">
        <v>0</v>
      </c>
      <c r="N539" t="n">
        <v>0</v>
      </c>
      <c r="O539" t="n">
        <v>0</v>
      </c>
      <c r="P539" t="n">
        <v>0</v>
      </c>
      <c r="Q539" t="n">
        <v>0</v>
      </c>
      <c r="R539" s="2" t="inlineStr"/>
    </row>
    <row r="540" ht="15" customHeight="1">
      <c r="A540" t="inlineStr">
        <is>
          <t>A 63147-2025</t>
        </is>
      </c>
      <c r="B540" s="1" t="n">
        <v>46010.35003472222</v>
      </c>
      <c r="C540" s="1" t="n">
        <v>46176</v>
      </c>
      <c r="D540" t="inlineStr">
        <is>
          <t>ÖSTERGÖTLANDS LÄN</t>
        </is>
      </c>
      <c r="E540" t="inlineStr">
        <is>
          <t>LINKÖPING</t>
        </is>
      </c>
      <c r="G540" t="n">
        <v>4</v>
      </c>
      <c r="H540" t="n">
        <v>0</v>
      </c>
      <c r="I540" t="n">
        <v>0</v>
      </c>
      <c r="J540" t="n">
        <v>0</v>
      </c>
      <c r="K540" t="n">
        <v>0</v>
      </c>
      <c r="L540" t="n">
        <v>0</v>
      </c>
      <c r="M540" t="n">
        <v>0</v>
      </c>
      <c r="N540" t="n">
        <v>0</v>
      </c>
      <c r="O540" t="n">
        <v>0</v>
      </c>
      <c r="P540" t="n">
        <v>0</v>
      </c>
      <c r="Q540" t="n">
        <v>0</v>
      </c>
      <c r="R540" s="2" t="inlineStr"/>
    </row>
    <row r="541" ht="15" customHeight="1">
      <c r="A541" t="inlineStr">
        <is>
          <t>A 54425-2022</t>
        </is>
      </c>
      <c r="B541" s="1" t="n">
        <v>44882.57453703704</v>
      </c>
      <c r="C541" s="1" t="n">
        <v>46176</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54428-2022</t>
        </is>
      </c>
      <c r="B542" s="1" t="n">
        <v>44882.57643518518</v>
      </c>
      <c r="C542" s="1" t="n">
        <v>46176</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63144-2025</t>
        </is>
      </c>
      <c r="B543" s="1" t="n">
        <v>46010.34716435185</v>
      </c>
      <c r="C543" s="1" t="n">
        <v>46176</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660-2023</t>
        </is>
      </c>
      <c r="B544" s="1" t="n">
        <v>44930</v>
      </c>
      <c r="C544" s="1" t="n">
        <v>46176</v>
      </c>
      <c r="D544" t="inlineStr">
        <is>
          <t>ÖSTERGÖTLANDS LÄN</t>
        </is>
      </c>
      <c r="E544" t="inlineStr">
        <is>
          <t>LINKÖPING</t>
        </is>
      </c>
      <c r="F544" t="inlineStr">
        <is>
          <t>Kyrkan</t>
        </is>
      </c>
      <c r="G544" t="n">
        <v>1.6</v>
      </c>
      <c r="H544" t="n">
        <v>0</v>
      </c>
      <c r="I544" t="n">
        <v>0</v>
      </c>
      <c r="J544" t="n">
        <v>0</v>
      </c>
      <c r="K544" t="n">
        <v>0</v>
      </c>
      <c r="L544" t="n">
        <v>0</v>
      </c>
      <c r="M544" t="n">
        <v>0</v>
      </c>
      <c r="N544" t="n">
        <v>0</v>
      </c>
      <c r="O544" t="n">
        <v>0</v>
      </c>
      <c r="P544" t="n">
        <v>0</v>
      </c>
      <c r="Q544" t="n">
        <v>0</v>
      </c>
      <c r="R544" s="2" t="inlineStr"/>
    </row>
    <row r="545" ht="15" customHeight="1">
      <c r="A545" t="inlineStr">
        <is>
          <t>A 62501-2023</t>
        </is>
      </c>
      <c r="B545" s="1" t="n">
        <v>45268</v>
      </c>
      <c r="C545" s="1" t="n">
        <v>46176</v>
      </c>
      <c r="D545" t="inlineStr">
        <is>
          <t>ÖSTERGÖTLANDS LÄN</t>
        </is>
      </c>
      <c r="E545" t="inlineStr">
        <is>
          <t>LINKÖPING</t>
        </is>
      </c>
      <c r="G545" t="n">
        <v>7.4</v>
      </c>
      <c r="H545" t="n">
        <v>0</v>
      </c>
      <c r="I545" t="n">
        <v>0</v>
      </c>
      <c r="J545" t="n">
        <v>0</v>
      </c>
      <c r="K545" t="n">
        <v>0</v>
      </c>
      <c r="L545" t="n">
        <v>0</v>
      </c>
      <c r="M545" t="n">
        <v>0</v>
      </c>
      <c r="N545" t="n">
        <v>0</v>
      </c>
      <c r="O545" t="n">
        <v>0</v>
      </c>
      <c r="P545" t="n">
        <v>0</v>
      </c>
      <c r="Q545" t="n">
        <v>0</v>
      </c>
      <c r="R545" s="2" t="inlineStr"/>
    </row>
    <row r="546" ht="15" customHeight="1">
      <c r="A546" t="inlineStr">
        <is>
          <t>A 13413-2023</t>
        </is>
      </c>
      <c r="B546" s="1" t="n">
        <v>45005.58341435185</v>
      </c>
      <c r="C546" s="1" t="n">
        <v>46176</v>
      </c>
      <c r="D546" t="inlineStr">
        <is>
          <t>ÖSTERGÖTLANDS LÄN</t>
        </is>
      </c>
      <c r="E546" t="inlineStr">
        <is>
          <t>LINKÖPING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26620-2023</t>
        </is>
      </c>
      <c r="B547" s="1" t="n">
        <v>45092.70390046296</v>
      </c>
      <c r="C547" s="1" t="n">
        <v>46176</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1223-2026</t>
        </is>
      </c>
      <c r="B548" s="1" t="n">
        <v>46031.40233796297</v>
      </c>
      <c r="C548" s="1" t="n">
        <v>46176</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858-2026</t>
        </is>
      </c>
      <c r="B549" s="1" t="n">
        <v>46030.41200231481</v>
      </c>
      <c r="C549" s="1" t="n">
        <v>46176</v>
      </c>
      <c r="D549" t="inlineStr">
        <is>
          <t>ÖSTERGÖTLANDS LÄN</t>
        </is>
      </c>
      <c r="E549" t="inlineStr">
        <is>
          <t>LINKÖPING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873-2026</t>
        </is>
      </c>
      <c r="B550" s="1" t="n">
        <v>46030.43818287037</v>
      </c>
      <c r="C550" s="1" t="n">
        <v>46176</v>
      </c>
      <c r="D550" t="inlineStr">
        <is>
          <t>ÖSTERGÖTLANDS LÄN</t>
        </is>
      </c>
      <c r="E550" t="inlineStr">
        <is>
          <t>LINKÖPING</t>
        </is>
      </c>
      <c r="G550" t="n">
        <v>4.1</v>
      </c>
      <c r="H550" t="n">
        <v>0</v>
      </c>
      <c r="I550" t="n">
        <v>0</v>
      </c>
      <c r="J550" t="n">
        <v>0</v>
      </c>
      <c r="K550" t="n">
        <v>0</v>
      </c>
      <c r="L550" t="n">
        <v>0</v>
      </c>
      <c r="M550" t="n">
        <v>0</v>
      </c>
      <c r="N550" t="n">
        <v>0</v>
      </c>
      <c r="O550" t="n">
        <v>0</v>
      </c>
      <c r="P550" t="n">
        <v>0</v>
      </c>
      <c r="Q550" t="n">
        <v>0</v>
      </c>
      <c r="R550" s="2" t="inlineStr"/>
    </row>
    <row r="551" ht="15" customHeight="1">
      <c r="A551" t="inlineStr">
        <is>
          <t>A 856-2026</t>
        </is>
      </c>
      <c r="B551" s="1" t="n">
        <v>46030.40644675926</v>
      </c>
      <c r="C551" s="1" t="n">
        <v>46176</v>
      </c>
      <c r="D551" t="inlineStr">
        <is>
          <t>ÖSTERGÖTLANDS LÄN</t>
        </is>
      </c>
      <c r="E551" t="inlineStr">
        <is>
          <t>LINKÖPING</t>
        </is>
      </c>
      <c r="G551" t="n">
        <v>6.4</v>
      </c>
      <c r="H551" t="n">
        <v>0</v>
      </c>
      <c r="I551" t="n">
        <v>0</v>
      </c>
      <c r="J551" t="n">
        <v>0</v>
      </c>
      <c r="K551" t="n">
        <v>0</v>
      </c>
      <c r="L551" t="n">
        <v>0</v>
      </c>
      <c r="M551" t="n">
        <v>0</v>
      </c>
      <c r="N551" t="n">
        <v>0</v>
      </c>
      <c r="O551" t="n">
        <v>0</v>
      </c>
      <c r="P551" t="n">
        <v>0</v>
      </c>
      <c r="Q551" t="n">
        <v>0</v>
      </c>
      <c r="R551" s="2" t="inlineStr"/>
    </row>
    <row r="552" ht="15" customHeight="1">
      <c r="A552" t="inlineStr">
        <is>
          <t>A 860-2026</t>
        </is>
      </c>
      <c r="B552" s="1" t="n">
        <v>46030.41974537037</v>
      </c>
      <c r="C552" s="1" t="n">
        <v>46176</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63554-2023</t>
        </is>
      </c>
      <c r="B553" s="1" t="n">
        <v>45275</v>
      </c>
      <c r="C553" s="1" t="n">
        <v>46176</v>
      </c>
      <c r="D553" t="inlineStr">
        <is>
          <t>ÖSTERGÖTLANDS LÄN</t>
        </is>
      </c>
      <c r="E553" t="inlineStr">
        <is>
          <t>LINKÖPING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940-2026</t>
        </is>
      </c>
      <c r="B554" s="1" t="n">
        <v>46030.53052083333</v>
      </c>
      <c r="C554" s="1" t="n">
        <v>46176</v>
      </c>
      <c r="D554" t="inlineStr">
        <is>
          <t>ÖSTERGÖTLANDS LÄN</t>
        </is>
      </c>
      <c r="E554" t="inlineStr">
        <is>
          <t>LINKÖPING</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944-2026</t>
        </is>
      </c>
      <c r="B555" s="1" t="n">
        <v>46030.53461805556</v>
      </c>
      <c r="C555" s="1" t="n">
        <v>46176</v>
      </c>
      <c r="D555" t="inlineStr">
        <is>
          <t>ÖSTERGÖTLANDS LÄN</t>
        </is>
      </c>
      <c r="E555" t="inlineStr">
        <is>
          <t>LINKÖPING</t>
        </is>
      </c>
      <c r="F555" t="inlineStr">
        <is>
          <t>Allmännings- och besparingsskogar</t>
        </is>
      </c>
      <c r="G555" t="n">
        <v>0.9</v>
      </c>
      <c r="H555" t="n">
        <v>0</v>
      </c>
      <c r="I555" t="n">
        <v>0</v>
      </c>
      <c r="J555" t="n">
        <v>0</v>
      </c>
      <c r="K555" t="n">
        <v>0</v>
      </c>
      <c r="L555" t="n">
        <v>0</v>
      </c>
      <c r="M555" t="n">
        <v>0</v>
      </c>
      <c r="N555" t="n">
        <v>0</v>
      </c>
      <c r="O555" t="n">
        <v>0</v>
      </c>
      <c r="P555" t="n">
        <v>0</v>
      </c>
      <c r="Q555" t="n">
        <v>0</v>
      </c>
      <c r="R555" s="2" t="inlineStr"/>
    </row>
    <row r="556" ht="15" customHeight="1">
      <c r="A556" t="inlineStr">
        <is>
          <t>A 927-2026</t>
        </is>
      </c>
      <c r="B556" s="1" t="n">
        <v>46030.50560185185</v>
      </c>
      <c r="C556" s="1" t="n">
        <v>46176</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859-2026</t>
        </is>
      </c>
      <c r="B557" s="1" t="n">
        <v>46030.41450231482</v>
      </c>
      <c r="C557" s="1" t="n">
        <v>46176</v>
      </c>
      <c r="D557" t="inlineStr">
        <is>
          <t>ÖSTERGÖTLANDS LÄN</t>
        </is>
      </c>
      <c r="E557" t="inlineStr">
        <is>
          <t>LINKÖPING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63638-2023</t>
        </is>
      </c>
      <c r="B558" s="1" t="n">
        <v>45275</v>
      </c>
      <c r="C558" s="1" t="n">
        <v>46176</v>
      </c>
      <c r="D558" t="inlineStr">
        <is>
          <t>ÖSTERGÖTLANDS LÄN</t>
        </is>
      </c>
      <c r="E558" t="inlineStr">
        <is>
          <t>LINKÖPING</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63658-2023</t>
        </is>
      </c>
      <c r="B559" s="1" t="n">
        <v>45275</v>
      </c>
      <c r="C559" s="1" t="n">
        <v>46176</v>
      </c>
      <c r="D559" t="inlineStr">
        <is>
          <t>ÖSTERGÖTLANDS LÄN</t>
        </is>
      </c>
      <c r="E559" t="inlineStr">
        <is>
          <t>LINKÖPING</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2030-2026</t>
        </is>
      </c>
      <c r="B560" s="1" t="n">
        <v>46035.73590277778</v>
      </c>
      <c r="C560" s="1" t="n">
        <v>46176</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16820-2024</t>
        </is>
      </c>
      <c r="B561" s="1" t="n">
        <v>45411.46809027778</v>
      </c>
      <c r="C561" s="1" t="n">
        <v>46176</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2031-2026</t>
        </is>
      </c>
      <c r="B562" s="1" t="n">
        <v>46035.74182870371</v>
      </c>
      <c r="C562" s="1" t="n">
        <v>46176</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4456-2024</t>
        </is>
      </c>
      <c r="B563" s="1" t="n">
        <v>45327.52847222222</v>
      </c>
      <c r="C563" s="1" t="n">
        <v>46176</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20298-2025</t>
        </is>
      </c>
      <c r="B564" s="1" t="n">
        <v>45774.75024305555</v>
      </c>
      <c r="C564" s="1" t="n">
        <v>46176</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15121-2022</t>
        </is>
      </c>
      <c r="B565" s="1" t="n">
        <v>44658</v>
      </c>
      <c r="C565" s="1" t="n">
        <v>46176</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50743-2023</t>
        </is>
      </c>
      <c r="B566" s="1" t="n">
        <v>45217</v>
      </c>
      <c r="C566" s="1" t="n">
        <v>46176</v>
      </c>
      <c r="D566" t="inlineStr">
        <is>
          <t>ÖSTERGÖTLANDS LÄN</t>
        </is>
      </c>
      <c r="E566" t="inlineStr">
        <is>
          <t>LINKÖPING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3045-2026</t>
        </is>
      </c>
      <c r="B567" s="1" t="n">
        <v>46038.74047453704</v>
      </c>
      <c r="C567" s="1" t="n">
        <v>46176</v>
      </c>
      <c r="D567" t="inlineStr">
        <is>
          <t>ÖSTERGÖTLANDS LÄN</t>
        </is>
      </c>
      <c r="E567" t="inlineStr">
        <is>
          <t>LINKÖPING</t>
        </is>
      </c>
      <c r="G567" t="n">
        <v>2</v>
      </c>
      <c r="H567" t="n">
        <v>0</v>
      </c>
      <c r="I567" t="n">
        <v>0</v>
      </c>
      <c r="J567" t="n">
        <v>0</v>
      </c>
      <c r="K567" t="n">
        <v>0</v>
      </c>
      <c r="L567" t="n">
        <v>0</v>
      </c>
      <c r="M567" t="n">
        <v>0</v>
      </c>
      <c r="N567" t="n">
        <v>0</v>
      </c>
      <c r="O567" t="n">
        <v>0</v>
      </c>
      <c r="P567" t="n">
        <v>0</v>
      </c>
      <c r="Q567" t="n">
        <v>0</v>
      </c>
      <c r="R567" s="2" t="inlineStr"/>
    </row>
    <row r="568" ht="15" customHeight="1">
      <c r="A568" t="inlineStr">
        <is>
          <t>A 13687-2025</t>
        </is>
      </c>
      <c r="B568" s="1" t="n">
        <v>45737.31425925926</v>
      </c>
      <c r="C568" s="1" t="n">
        <v>46176</v>
      </c>
      <c r="D568" t="inlineStr">
        <is>
          <t>ÖSTERGÖTLANDS LÄN</t>
        </is>
      </c>
      <c r="E568" t="inlineStr">
        <is>
          <t>LINKÖPING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13695-2025</t>
        </is>
      </c>
      <c r="B569" s="1" t="n">
        <v>45737.32219907407</v>
      </c>
      <c r="C569" s="1" t="n">
        <v>46176</v>
      </c>
      <c r="D569" t="inlineStr">
        <is>
          <t>ÖSTERGÖTLANDS LÄN</t>
        </is>
      </c>
      <c r="E569" t="inlineStr">
        <is>
          <t>LINKÖPING</t>
        </is>
      </c>
      <c r="G569" t="n">
        <v>5.3</v>
      </c>
      <c r="H569" t="n">
        <v>0</v>
      </c>
      <c r="I569" t="n">
        <v>0</v>
      </c>
      <c r="J569" t="n">
        <v>0</v>
      </c>
      <c r="K569" t="n">
        <v>0</v>
      </c>
      <c r="L569" t="n">
        <v>0</v>
      </c>
      <c r="M569" t="n">
        <v>0</v>
      </c>
      <c r="N569" t="n">
        <v>0</v>
      </c>
      <c r="O569" t="n">
        <v>0</v>
      </c>
      <c r="P569" t="n">
        <v>0</v>
      </c>
      <c r="Q569" t="n">
        <v>0</v>
      </c>
      <c r="R569" s="2" t="inlineStr"/>
    </row>
    <row r="570" ht="15" customHeight="1">
      <c r="A570" t="inlineStr">
        <is>
          <t>A 20294-2025</t>
        </is>
      </c>
      <c r="B570" s="1" t="n">
        <v>45774.74667824074</v>
      </c>
      <c r="C570" s="1" t="n">
        <v>46176</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3043-2026</t>
        </is>
      </c>
      <c r="B571" s="1" t="n">
        <v>46038.73675925926</v>
      </c>
      <c r="C571" s="1" t="n">
        <v>46176</v>
      </c>
      <c r="D571" t="inlineStr">
        <is>
          <t>ÖSTERGÖTLANDS LÄN</t>
        </is>
      </c>
      <c r="E571" t="inlineStr">
        <is>
          <t>LINKÖPING</t>
        </is>
      </c>
      <c r="G571" t="n">
        <v>2.5</v>
      </c>
      <c r="H571" t="n">
        <v>0</v>
      </c>
      <c r="I571" t="n">
        <v>0</v>
      </c>
      <c r="J571" t="n">
        <v>0</v>
      </c>
      <c r="K571" t="n">
        <v>0</v>
      </c>
      <c r="L571" t="n">
        <v>0</v>
      </c>
      <c r="M571" t="n">
        <v>0</v>
      </c>
      <c r="N571" t="n">
        <v>0</v>
      </c>
      <c r="O571" t="n">
        <v>0</v>
      </c>
      <c r="P571" t="n">
        <v>0</v>
      </c>
      <c r="Q571" t="n">
        <v>0</v>
      </c>
      <c r="R571" s="2" t="inlineStr"/>
    </row>
    <row r="572" ht="15" customHeight="1">
      <c r="A572" t="inlineStr">
        <is>
          <t>A 3044-2026</t>
        </is>
      </c>
      <c r="B572" s="1" t="n">
        <v>46038.73855324074</v>
      </c>
      <c r="C572" s="1" t="n">
        <v>46176</v>
      </c>
      <c r="D572" t="inlineStr">
        <is>
          <t>ÖSTERGÖTLANDS LÄN</t>
        </is>
      </c>
      <c r="E572" t="inlineStr">
        <is>
          <t>LINKÖPING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3046-2026</t>
        </is>
      </c>
      <c r="B573" s="1" t="n">
        <v>46038.74182870371</v>
      </c>
      <c r="C573" s="1" t="n">
        <v>46176</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17128-2025</t>
        </is>
      </c>
      <c r="B574" s="1" t="n">
        <v>45755.72622685185</v>
      </c>
      <c r="C574" s="1" t="n">
        <v>46176</v>
      </c>
      <c r="D574" t="inlineStr">
        <is>
          <t>ÖSTERGÖTLANDS LÄN</t>
        </is>
      </c>
      <c r="E574" t="inlineStr">
        <is>
          <t>LINKÖPING</t>
        </is>
      </c>
      <c r="G574" t="n">
        <v>2.9</v>
      </c>
      <c r="H574" t="n">
        <v>0</v>
      </c>
      <c r="I574" t="n">
        <v>0</v>
      </c>
      <c r="J574" t="n">
        <v>0</v>
      </c>
      <c r="K574" t="n">
        <v>0</v>
      </c>
      <c r="L574" t="n">
        <v>0</v>
      </c>
      <c r="M574" t="n">
        <v>0</v>
      </c>
      <c r="N574" t="n">
        <v>0</v>
      </c>
      <c r="O574" t="n">
        <v>0</v>
      </c>
      <c r="P574" t="n">
        <v>0</v>
      </c>
      <c r="Q574" t="n">
        <v>0</v>
      </c>
      <c r="R574" s="2" t="inlineStr"/>
    </row>
    <row r="575" ht="15" customHeight="1">
      <c r="A575" t="inlineStr">
        <is>
          <t>A 52125-2022</t>
        </is>
      </c>
      <c r="B575" s="1" t="n">
        <v>44873</v>
      </c>
      <c r="C575" s="1" t="n">
        <v>46176</v>
      </c>
      <c r="D575" t="inlineStr">
        <is>
          <t>ÖSTERGÖTLANDS LÄN</t>
        </is>
      </c>
      <c r="E575" t="inlineStr">
        <is>
          <t>LINKÖPING</t>
        </is>
      </c>
      <c r="F575" t="inlineStr">
        <is>
          <t>Övriga Aktiebolag</t>
        </is>
      </c>
      <c r="G575" t="n">
        <v>0.7</v>
      </c>
      <c r="H575" t="n">
        <v>0</v>
      </c>
      <c r="I575" t="n">
        <v>0</v>
      </c>
      <c r="J575" t="n">
        <v>0</v>
      </c>
      <c r="K575" t="n">
        <v>0</v>
      </c>
      <c r="L575" t="n">
        <v>0</v>
      </c>
      <c r="M575" t="n">
        <v>0</v>
      </c>
      <c r="N575" t="n">
        <v>0</v>
      </c>
      <c r="O575" t="n">
        <v>0</v>
      </c>
      <c r="P575" t="n">
        <v>0</v>
      </c>
      <c r="Q575" t="n">
        <v>0</v>
      </c>
      <c r="R575" s="2" t="inlineStr"/>
    </row>
    <row r="576" ht="15" customHeight="1">
      <c r="A576" t="inlineStr">
        <is>
          <t>A 27343-2023</t>
        </is>
      </c>
      <c r="B576" s="1" t="n">
        <v>45096</v>
      </c>
      <c r="C576" s="1" t="n">
        <v>46176</v>
      </c>
      <c r="D576" t="inlineStr">
        <is>
          <t>ÖSTERGÖTLANDS LÄN</t>
        </is>
      </c>
      <c r="E576" t="inlineStr">
        <is>
          <t>LINKÖPING</t>
        </is>
      </c>
      <c r="F576" t="inlineStr">
        <is>
          <t>Allmännings- och besparingsskogar</t>
        </is>
      </c>
      <c r="G576" t="n">
        <v>6.9</v>
      </c>
      <c r="H576" t="n">
        <v>0</v>
      </c>
      <c r="I576" t="n">
        <v>0</v>
      </c>
      <c r="J576" t="n">
        <v>0</v>
      </c>
      <c r="K576" t="n">
        <v>0</v>
      </c>
      <c r="L576" t="n">
        <v>0</v>
      </c>
      <c r="M576" t="n">
        <v>0</v>
      </c>
      <c r="N576" t="n">
        <v>0</v>
      </c>
      <c r="O576" t="n">
        <v>0</v>
      </c>
      <c r="P576" t="n">
        <v>0</v>
      </c>
      <c r="Q576" t="n">
        <v>0</v>
      </c>
      <c r="R576" s="2" t="inlineStr"/>
    </row>
    <row r="577" ht="15" customHeight="1">
      <c r="A577" t="inlineStr">
        <is>
          <t>A 4469-2026</t>
        </is>
      </c>
      <c r="B577" s="1" t="n">
        <v>46045.65662037037</v>
      </c>
      <c r="C577" s="1" t="n">
        <v>46176</v>
      </c>
      <c r="D577" t="inlineStr">
        <is>
          <t>ÖSTERGÖTLANDS LÄN</t>
        </is>
      </c>
      <c r="E577" t="inlineStr">
        <is>
          <t>LINKÖPING</t>
        </is>
      </c>
      <c r="F577" t="inlineStr">
        <is>
          <t>Övriga Aktiebolag</t>
        </is>
      </c>
      <c r="G577" t="n">
        <v>3.8</v>
      </c>
      <c r="H577" t="n">
        <v>0</v>
      </c>
      <c r="I577" t="n">
        <v>0</v>
      </c>
      <c r="J577" t="n">
        <v>0</v>
      </c>
      <c r="K577" t="n">
        <v>0</v>
      </c>
      <c r="L577" t="n">
        <v>0</v>
      </c>
      <c r="M577" t="n">
        <v>0</v>
      </c>
      <c r="N577" t="n">
        <v>0</v>
      </c>
      <c r="O577" t="n">
        <v>0</v>
      </c>
      <c r="P577" t="n">
        <v>0</v>
      </c>
      <c r="Q577" t="n">
        <v>0</v>
      </c>
      <c r="R577" s="2" t="inlineStr"/>
    </row>
    <row r="578" ht="15" customHeight="1">
      <c r="A578" t="inlineStr">
        <is>
          <t>A 22842-2023</t>
        </is>
      </c>
      <c r="B578" s="1" t="n">
        <v>45071</v>
      </c>
      <c r="C578" s="1" t="n">
        <v>46176</v>
      </c>
      <c r="D578" t="inlineStr">
        <is>
          <t>ÖSTERGÖTLANDS LÄN</t>
        </is>
      </c>
      <c r="E578" t="inlineStr">
        <is>
          <t>LINKÖPING</t>
        </is>
      </c>
      <c r="F578" t="inlineStr">
        <is>
          <t>Kommuner</t>
        </is>
      </c>
      <c r="G578" t="n">
        <v>1.3</v>
      </c>
      <c r="H578" t="n">
        <v>0</v>
      </c>
      <c r="I578" t="n">
        <v>0</v>
      </c>
      <c r="J578" t="n">
        <v>0</v>
      </c>
      <c r="K578" t="n">
        <v>0</v>
      </c>
      <c r="L578" t="n">
        <v>0</v>
      </c>
      <c r="M578" t="n">
        <v>0</v>
      </c>
      <c r="N578" t="n">
        <v>0</v>
      </c>
      <c r="O578" t="n">
        <v>0</v>
      </c>
      <c r="P578" t="n">
        <v>0</v>
      </c>
      <c r="Q578" t="n">
        <v>0</v>
      </c>
      <c r="R578" s="2" t="inlineStr"/>
    </row>
    <row r="579" ht="15" customHeight="1">
      <c r="A579" t="inlineStr">
        <is>
          <t>A 38886-2024</t>
        </is>
      </c>
      <c r="B579" s="1" t="n">
        <v>45547.66443287037</v>
      </c>
      <c r="C579" s="1" t="n">
        <v>46176</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14520-2025</t>
        </is>
      </c>
      <c r="B580" s="1" t="n">
        <v>45741</v>
      </c>
      <c r="C580" s="1" t="n">
        <v>46176</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31548-2022</t>
        </is>
      </c>
      <c r="B581" s="1" t="n">
        <v>44775.39832175926</v>
      </c>
      <c r="C581" s="1" t="n">
        <v>46176</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62017-2024</t>
        </is>
      </c>
      <c r="B582" s="1" t="n">
        <v>45655.81140046296</v>
      </c>
      <c r="C582" s="1" t="n">
        <v>46176</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17785-2023</t>
        </is>
      </c>
      <c r="B583" s="1" t="n">
        <v>45037.55094907407</v>
      </c>
      <c r="C583" s="1" t="n">
        <v>46176</v>
      </c>
      <c r="D583" t="inlineStr">
        <is>
          <t>ÖSTERGÖTLANDS LÄN</t>
        </is>
      </c>
      <c r="E583" t="inlineStr">
        <is>
          <t>LINKÖPING</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5545-2026</t>
        </is>
      </c>
      <c r="B584" s="1" t="n">
        <v>46050.70089120371</v>
      </c>
      <c r="C584" s="1" t="n">
        <v>46176</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62686-2023</t>
        </is>
      </c>
      <c r="B585" s="1" t="n">
        <v>45271</v>
      </c>
      <c r="C585" s="1" t="n">
        <v>46176</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42044-2023</t>
        </is>
      </c>
      <c r="B586" s="1" t="n">
        <v>45177</v>
      </c>
      <c r="C586" s="1" t="n">
        <v>46176</v>
      </c>
      <c r="D586" t="inlineStr">
        <is>
          <t>ÖSTERGÖTLANDS LÄN</t>
        </is>
      </c>
      <c r="E586" t="inlineStr">
        <is>
          <t>LINKÖPING</t>
        </is>
      </c>
      <c r="G586" t="n">
        <v>3.9</v>
      </c>
      <c r="H586" t="n">
        <v>0</v>
      </c>
      <c r="I586" t="n">
        <v>0</v>
      </c>
      <c r="J586" t="n">
        <v>0</v>
      </c>
      <c r="K586" t="n">
        <v>0</v>
      </c>
      <c r="L586" t="n">
        <v>0</v>
      </c>
      <c r="M586" t="n">
        <v>0</v>
      </c>
      <c r="N586" t="n">
        <v>0</v>
      </c>
      <c r="O586" t="n">
        <v>0</v>
      </c>
      <c r="P586" t="n">
        <v>0</v>
      </c>
      <c r="Q586" t="n">
        <v>0</v>
      </c>
      <c r="R586" s="2" t="inlineStr"/>
    </row>
    <row r="587" ht="15" customHeight="1">
      <c r="A587" t="inlineStr">
        <is>
          <t>A 49656-2021</t>
        </is>
      </c>
      <c r="B587" s="1" t="n">
        <v>44454</v>
      </c>
      <c r="C587" s="1" t="n">
        <v>46176</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38230-2023</t>
        </is>
      </c>
      <c r="B588" s="1" t="n">
        <v>45161.55373842592</v>
      </c>
      <c r="C588" s="1" t="n">
        <v>46176</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45442-2024</t>
        </is>
      </c>
      <c r="B589" s="1" t="n">
        <v>45576.64189814815</v>
      </c>
      <c r="C589" s="1" t="n">
        <v>46176</v>
      </c>
      <c r="D589" t="inlineStr">
        <is>
          <t>ÖSTERGÖTLANDS LÄN</t>
        </is>
      </c>
      <c r="E589" t="inlineStr">
        <is>
          <t>LINKÖPING</t>
        </is>
      </c>
      <c r="G589" t="n">
        <v>1.8</v>
      </c>
      <c r="H589" t="n">
        <v>0</v>
      </c>
      <c r="I589" t="n">
        <v>0</v>
      </c>
      <c r="J589" t="n">
        <v>0</v>
      </c>
      <c r="K589" t="n">
        <v>0</v>
      </c>
      <c r="L589" t="n">
        <v>0</v>
      </c>
      <c r="M589" t="n">
        <v>0</v>
      </c>
      <c r="N589" t="n">
        <v>0</v>
      </c>
      <c r="O589" t="n">
        <v>0</v>
      </c>
      <c r="P589" t="n">
        <v>0</v>
      </c>
      <c r="Q589" t="n">
        <v>0</v>
      </c>
      <c r="R589" s="2" t="inlineStr"/>
    </row>
    <row r="590" ht="15" customHeight="1">
      <c r="A590" t="inlineStr">
        <is>
          <t>A 6384-2026</t>
        </is>
      </c>
      <c r="B590" s="1" t="n">
        <v>46055.63732638889</v>
      </c>
      <c r="C590" s="1" t="n">
        <v>46176</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4908-2023</t>
        </is>
      </c>
      <c r="B591" s="1" t="n">
        <v>44958</v>
      </c>
      <c r="C591" s="1" t="n">
        <v>46176</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1265-2023</t>
        </is>
      </c>
      <c r="B592" s="1" t="n">
        <v>44936</v>
      </c>
      <c r="C592" s="1" t="n">
        <v>46176</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6164-2026</t>
        </is>
      </c>
      <c r="B593" s="1" t="n">
        <v>46055.32596064815</v>
      </c>
      <c r="C593" s="1" t="n">
        <v>46176</v>
      </c>
      <c r="D593" t="inlineStr">
        <is>
          <t>ÖSTERGÖTLANDS LÄN</t>
        </is>
      </c>
      <c r="E593" t="inlineStr">
        <is>
          <t>LINKÖPING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7133-2026</t>
        </is>
      </c>
      <c r="B594" s="1" t="n">
        <v>46057</v>
      </c>
      <c r="C594" s="1" t="n">
        <v>46176</v>
      </c>
      <c r="D594" t="inlineStr">
        <is>
          <t>ÖSTERGÖTLANDS LÄN</t>
        </is>
      </c>
      <c r="E594" t="inlineStr">
        <is>
          <t>LINKÖPING</t>
        </is>
      </c>
      <c r="G594" t="n">
        <v>2.4</v>
      </c>
      <c r="H594" t="n">
        <v>0</v>
      </c>
      <c r="I594" t="n">
        <v>0</v>
      </c>
      <c r="J594" t="n">
        <v>0</v>
      </c>
      <c r="K594" t="n">
        <v>0</v>
      </c>
      <c r="L594" t="n">
        <v>0</v>
      </c>
      <c r="M594" t="n">
        <v>0</v>
      </c>
      <c r="N594" t="n">
        <v>0</v>
      </c>
      <c r="O594" t="n">
        <v>0</v>
      </c>
      <c r="P594" t="n">
        <v>0</v>
      </c>
      <c r="Q594" t="n">
        <v>0</v>
      </c>
      <c r="R594" s="2" t="inlineStr"/>
    </row>
    <row r="595" ht="15" customHeight="1">
      <c r="A595" t="inlineStr">
        <is>
          <t>A 12411-2022</t>
        </is>
      </c>
      <c r="B595" s="1" t="n">
        <v>44638.21601851852</v>
      </c>
      <c r="C595" s="1" t="n">
        <v>46176</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23491-2024</t>
        </is>
      </c>
      <c r="B596" s="1" t="n">
        <v>45453</v>
      </c>
      <c r="C596" s="1" t="n">
        <v>46176</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70-2024</t>
        </is>
      </c>
      <c r="B597" s="1" t="n">
        <v>45293</v>
      </c>
      <c r="C597" s="1" t="n">
        <v>46176</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6054-2022</t>
        </is>
      </c>
      <c r="B598" s="1" t="n">
        <v>44599.53623842593</v>
      </c>
      <c r="C598" s="1" t="n">
        <v>46176</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31725-2022</t>
        </is>
      </c>
      <c r="B599" s="1" t="n">
        <v>44776.48541666667</v>
      </c>
      <c r="C599" s="1" t="n">
        <v>46176</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57391-2023</t>
        </is>
      </c>
      <c r="B600" s="1" t="n">
        <v>45245</v>
      </c>
      <c r="C600" s="1" t="n">
        <v>46176</v>
      </c>
      <c r="D600" t="inlineStr">
        <is>
          <t>ÖSTERGÖTLANDS LÄN</t>
        </is>
      </c>
      <c r="E600" t="inlineStr">
        <is>
          <t>LINKÖPING</t>
        </is>
      </c>
      <c r="F600" t="inlineStr">
        <is>
          <t>Övriga Aktiebolag</t>
        </is>
      </c>
      <c r="G600" t="n">
        <v>1.7</v>
      </c>
      <c r="H600" t="n">
        <v>0</v>
      </c>
      <c r="I600" t="n">
        <v>0</v>
      </c>
      <c r="J600" t="n">
        <v>0</v>
      </c>
      <c r="K600" t="n">
        <v>0</v>
      </c>
      <c r="L600" t="n">
        <v>0</v>
      </c>
      <c r="M600" t="n">
        <v>0</v>
      </c>
      <c r="N600" t="n">
        <v>0</v>
      </c>
      <c r="O600" t="n">
        <v>0</v>
      </c>
      <c r="P600" t="n">
        <v>0</v>
      </c>
      <c r="Q600" t="n">
        <v>0</v>
      </c>
      <c r="R600" s="2" t="inlineStr"/>
    </row>
    <row r="601" ht="15" customHeight="1">
      <c r="A601" t="inlineStr">
        <is>
          <t>A 7992-2023</t>
        </is>
      </c>
      <c r="B601" s="1" t="n">
        <v>44970</v>
      </c>
      <c r="C601" s="1" t="n">
        <v>46176</v>
      </c>
      <c r="D601" t="inlineStr">
        <is>
          <t>ÖSTERGÖTLANDS LÄN</t>
        </is>
      </c>
      <c r="E601" t="inlineStr">
        <is>
          <t>LINKÖPING</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13689-2025</t>
        </is>
      </c>
      <c r="B602" s="1" t="n">
        <v>45737.31590277778</v>
      </c>
      <c r="C602" s="1" t="n">
        <v>46176</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13696-2025</t>
        </is>
      </c>
      <c r="B603" s="1" t="n">
        <v>45737.32273148148</v>
      </c>
      <c r="C603" s="1" t="n">
        <v>46176</v>
      </c>
      <c r="D603" t="inlineStr">
        <is>
          <t>ÖSTERGÖTLANDS LÄN</t>
        </is>
      </c>
      <c r="E603" t="inlineStr">
        <is>
          <t>LINKÖPING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1924-2024</t>
        </is>
      </c>
      <c r="B604" s="1" t="n">
        <v>45308</v>
      </c>
      <c r="C604" s="1" t="n">
        <v>46176</v>
      </c>
      <c r="D604" t="inlineStr">
        <is>
          <t>ÖSTERGÖTLANDS LÄN</t>
        </is>
      </c>
      <c r="E604" t="inlineStr">
        <is>
          <t>LINKÖPING</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32346-2023</t>
        </is>
      </c>
      <c r="B605" s="1" t="n">
        <v>45120</v>
      </c>
      <c r="C605" s="1" t="n">
        <v>46176</v>
      </c>
      <c r="D605" t="inlineStr">
        <is>
          <t>ÖSTERGÖTLANDS LÄN</t>
        </is>
      </c>
      <c r="E605" t="inlineStr">
        <is>
          <t>LINKÖPING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50508-2024</t>
        </is>
      </c>
      <c r="B606" s="1" t="n">
        <v>45601.53907407408</v>
      </c>
      <c r="C606" s="1" t="n">
        <v>46176</v>
      </c>
      <c r="D606" t="inlineStr">
        <is>
          <t>ÖSTERGÖTLANDS LÄN</t>
        </is>
      </c>
      <c r="E606" t="inlineStr">
        <is>
          <t>LINKÖPING</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7808-2022</t>
        </is>
      </c>
      <c r="B607" s="1" t="n">
        <v>44608</v>
      </c>
      <c r="C607" s="1" t="n">
        <v>46176</v>
      </c>
      <c r="D607" t="inlineStr">
        <is>
          <t>ÖSTERGÖTLANDS LÄN</t>
        </is>
      </c>
      <c r="E607" t="inlineStr">
        <is>
          <t>LINKÖPING</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27844-2024</t>
        </is>
      </c>
      <c r="B608" s="1" t="n">
        <v>45475.63047453704</v>
      </c>
      <c r="C608" s="1" t="n">
        <v>46176</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40810-2022</t>
        </is>
      </c>
      <c r="B609" s="1" t="n">
        <v>44824</v>
      </c>
      <c r="C609" s="1" t="n">
        <v>46176</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51559-2024</t>
        </is>
      </c>
      <c r="B610" s="1" t="n">
        <v>45604.61431712963</v>
      </c>
      <c r="C610" s="1" t="n">
        <v>46176</v>
      </c>
      <c r="D610" t="inlineStr">
        <is>
          <t>ÖSTERGÖTLANDS LÄN</t>
        </is>
      </c>
      <c r="E610" t="inlineStr">
        <is>
          <t>LINKÖPING</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49979-2022</t>
        </is>
      </c>
      <c r="B611" s="1" t="n">
        <v>44865</v>
      </c>
      <c r="C611" s="1" t="n">
        <v>46176</v>
      </c>
      <c r="D611" t="inlineStr">
        <is>
          <t>ÖSTERGÖTLANDS LÄN</t>
        </is>
      </c>
      <c r="E611" t="inlineStr">
        <is>
          <t>LINKÖPING</t>
        </is>
      </c>
      <c r="F611" t="inlineStr">
        <is>
          <t>Övriga Aktiebolag</t>
        </is>
      </c>
      <c r="G611" t="n">
        <v>11.4</v>
      </c>
      <c r="H611" t="n">
        <v>0</v>
      </c>
      <c r="I611" t="n">
        <v>0</v>
      </c>
      <c r="J611" t="n">
        <v>0</v>
      </c>
      <c r="K611" t="n">
        <v>0</v>
      </c>
      <c r="L611" t="n">
        <v>0</v>
      </c>
      <c r="M611" t="n">
        <v>0</v>
      </c>
      <c r="N611" t="n">
        <v>0</v>
      </c>
      <c r="O611" t="n">
        <v>0</v>
      </c>
      <c r="P611" t="n">
        <v>0</v>
      </c>
      <c r="Q611" t="n">
        <v>0</v>
      </c>
      <c r="R611" s="2" t="inlineStr"/>
    </row>
    <row r="612" ht="15" customHeight="1">
      <c r="A612" t="inlineStr">
        <is>
          <t>A 39219-2021</t>
        </is>
      </c>
      <c r="B612" s="1" t="n">
        <v>44413</v>
      </c>
      <c r="C612" s="1" t="n">
        <v>46176</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39224-2021</t>
        </is>
      </c>
      <c r="B613" s="1" t="n">
        <v>44413</v>
      </c>
      <c r="C613" s="1" t="n">
        <v>46176</v>
      </c>
      <c r="D613" t="inlineStr">
        <is>
          <t>ÖSTERGÖTLANDS LÄN</t>
        </is>
      </c>
      <c r="E613" t="inlineStr">
        <is>
          <t>LINKÖPING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62495-2023</t>
        </is>
      </c>
      <c r="B614" s="1" t="n">
        <v>45268.59717592593</v>
      </c>
      <c r="C614" s="1" t="n">
        <v>46176</v>
      </c>
      <c r="D614" t="inlineStr">
        <is>
          <t>ÖSTERGÖTLANDS LÄN</t>
        </is>
      </c>
      <c r="E614" t="inlineStr">
        <is>
          <t>LINKÖPING</t>
        </is>
      </c>
      <c r="G614" t="n">
        <v>4.1</v>
      </c>
      <c r="H614" t="n">
        <v>0</v>
      </c>
      <c r="I614" t="n">
        <v>0</v>
      </c>
      <c r="J614" t="n">
        <v>0</v>
      </c>
      <c r="K614" t="n">
        <v>0</v>
      </c>
      <c r="L614" t="n">
        <v>0</v>
      </c>
      <c r="M614" t="n">
        <v>0</v>
      </c>
      <c r="N614" t="n">
        <v>0</v>
      </c>
      <c r="O614" t="n">
        <v>0</v>
      </c>
      <c r="P614" t="n">
        <v>0</v>
      </c>
      <c r="Q614" t="n">
        <v>0</v>
      </c>
      <c r="R614" s="2" t="inlineStr"/>
    </row>
    <row r="615" ht="15" customHeight="1">
      <c r="A615" t="inlineStr">
        <is>
          <t>A 10479-2026</t>
        </is>
      </c>
      <c r="B615" s="1" t="n">
        <v>46077.49231481482</v>
      </c>
      <c r="C615" s="1" t="n">
        <v>46176</v>
      </c>
      <c r="D615" t="inlineStr">
        <is>
          <t>ÖSTERGÖTLANDS LÄN</t>
        </is>
      </c>
      <c r="E615" t="inlineStr">
        <is>
          <t>LINKÖPING</t>
        </is>
      </c>
      <c r="G615" t="n">
        <v>1.9</v>
      </c>
      <c r="H615" t="n">
        <v>0</v>
      </c>
      <c r="I615" t="n">
        <v>0</v>
      </c>
      <c r="J615" t="n">
        <v>0</v>
      </c>
      <c r="K615" t="n">
        <v>0</v>
      </c>
      <c r="L615" t="n">
        <v>0</v>
      </c>
      <c r="M615" t="n">
        <v>0</v>
      </c>
      <c r="N615" t="n">
        <v>0</v>
      </c>
      <c r="O615" t="n">
        <v>0</v>
      </c>
      <c r="P615" t="n">
        <v>0</v>
      </c>
      <c r="Q615" t="n">
        <v>0</v>
      </c>
      <c r="R615" s="2" t="inlineStr"/>
    </row>
    <row r="616" ht="15" customHeight="1">
      <c r="A616" t="inlineStr">
        <is>
          <t>A 29413-2023</t>
        </is>
      </c>
      <c r="B616" s="1" t="n">
        <v>45106.46465277778</v>
      </c>
      <c r="C616" s="1" t="n">
        <v>46176</v>
      </c>
      <c r="D616" t="inlineStr">
        <is>
          <t>ÖSTERGÖTLANDS LÄN</t>
        </is>
      </c>
      <c r="E616" t="inlineStr">
        <is>
          <t>LINKÖPING</t>
        </is>
      </c>
      <c r="G616" t="n">
        <v>8</v>
      </c>
      <c r="H616" t="n">
        <v>0</v>
      </c>
      <c r="I616" t="n">
        <v>0</v>
      </c>
      <c r="J616" t="n">
        <v>0</v>
      </c>
      <c r="K616" t="n">
        <v>0</v>
      </c>
      <c r="L616" t="n">
        <v>0</v>
      </c>
      <c r="M616" t="n">
        <v>0</v>
      </c>
      <c r="N616" t="n">
        <v>0</v>
      </c>
      <c r="O616" t="n">
        <v>0</v>
      </c>
      <c r="P616" t="n">
        <v>0</v>
      </c>
      <c r="Q616" t="n">
        <v>0</v>
      </c>
      <c r="R616" s="2" t="inlineStr"/>
    </row>
    <row r="617" ht="15" customHeight="1">
      <c r="A617" t="inlineStr">
        <is>
          <t>A 10756-2026</t>
        </is>
      </c>
      <c r="B617" s="1" t="n">
        <v>46078.55412037037</v>
      </c>
      <c r="C617" s="1" t="n">
        <v>46176</v>
      </c>
      <c r="D617" t="inlineStr">
        <is>
          <t>ÖSTERGÖTLANDS LÄN</t>
        </is>
      </c>
      <c r="E617" t="inlineStr">
        <is>
          <t>LINKÖPING</t>
        </is>
      </c>
      <c r="F617" t="inlineStr">
        <is>
          <t>Övriga Aktiebolag</t>
        </is>
      </c>
      <c r="G617" t="n">
        <v>1.2</v>
      </c>
      <c r="H617" t="n">
        <v>0</v>
      </c>
      <c r="I617" t="n">
        <v>0</v>
      </c>
      <c r="J617" t="n">
        <v>0</v>
      </c>
      <c r="K617" t="n">
        <v>0</v>
      </c>
      <c r="L617" t="n">
        <v>0</v>
      </c>
      <c r="M617" t="n">
        <v>0</v>
      </c>
      <c r="N617" t="n">
        <v>0</v>
      </c>
      <c r="O617" t="n">
        <v>0</v>
      </c>
      <c r="P617" t="n">
        <v>0</v>
      </c>
      <c r="Q617" t="n">
        <v>0</v>
      </c>
      <c r="R617" s="2" t="inlineStr"/>
    </row>
    <row r="618" ht="15" customHeight="1">
      <c r="A618" t="inlineStr">
        <is>
          <t>A 25948-2023</t>
        </is>
      </c>
      <c r="B618" s="1" t="n">
        <v>45090</v>
      </c>
      <c r="C618" s="1" t="n">
        <v>46176</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10764-2026</t>
        </is>
      </c>
      <c r="B619" s="1" t="n">
        <v>46078</v>
      </c>
      <c r="C619" s="1" t="n">
        <v>46176</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1627-2023</t>
        </is>
      </c>
      <c r="B620" s="1" t="n">
        <v>44937</v>
      </c>
      <c r="C620" s="1" t="n">
        <v>46176</v>
      </c>
      <c r="D620" t="inlineStr">
        <is>
          <t>ÖSTERGÖTLANDS LÄN</t>
        </is>
      </c>
      <c r="E620" t="inlineStr">
        <is>
          <t>LINKÖPING</t>
        </is>
      </c>
      <c r="G620" t="n">
        <v>10.8</v>
      </c>
      <c r="H620" t="n">
        <v>0</v>
      </c>
      <c r="I620" t="n">
        <v>0</v>
      </c>
      <c r="J620" t="n">
        <v>0</v>
      </c>
      <c r="K620" t="n">
        <v>0</v>
      </c>
      <c r="L620" t="n">
        <v>0</v>
      </c>
      <c r="M620" t="n">
        <v>0</v>
      </c>
      <c r="N620" t="n">
        <v>0</v>
      </c>
      <c r="O620" t="n">
        <v>0</v>
      </c>
      <c r="P620" t="n">
        <v>0</v>
      </c>
      <c r="Q620" t="n">
        <v>0</v>
      </c>
      <c r="R620" s="2" t="inlineStr"/>
    </row>
    <row r="621" ht="15" customHeight="1">
      <c r="A621" t="inlineStr">
        <is>
          <t>A 10477-2026</t>
        </is>
      </c>
      <c r="B621" s="1" t="n">
        <v>46077.4871875</v>
      </c>
      <c r="C621" s="1" t="n">
        <v>46176</v>
      </c>
      <c r="D621" t="inlineStr">
        <is>
          <t>ÖSTERGÖTLANDS LÄN</t>
        </is>
      </c>
      <c r="E621" t="inlineStr">
        <is>
          <t>LINKÖPING</t>
        </is>
      </c>
      <c r="G621" t="n">
        <v>9.6</v>
      </c>
      <c r="H621" t="n">
        <v>0</v>
      </c>
      <c r="I621" t="n">
        <v>0</v>
      </c>
      <c r="J621" t="n">
        <v>0</v>
      </c>
      <c r="K621" t="n">
        <v>0</v>
      </c>
      <c r="L621" t="n">
        <v>0</v>
      </c>
      <c r="M621" t="n">
        <v>0</v>
      </c>
      <c r="N621" t="n">
        <v>0</v>
      </c>
      <c r="O621" t="n">
        <v>0</v>
      </c>
      <c r="P621" t="n">
        <v>0</v>
      </c>
      <c r="Q621" t="n">
        <v>0</v>
      </c>
      <c r="R621" s="2" t="inlineStr"/>
    </row>
    <row r="622" ht="15" customHeight="1">
      <c r="A622" t="inlineStr">
        <is>
          <t>A 30481-2023</t>
        </is>
      </c>
      <c r="B622" s="1" t="n">
        <v>45111</v>
      </c>
      <c r="C622" s="1" t="n">
        <v>46176</v>
      </c>
      <c r="D622" t="inlineStr">
        <is>
          <t>ÖSTERGÖTLANDS LÄN</t>
        </is>
      </c>
      <c r="E622" t="inlineStr">
        <is>
          <t>LINKÖPING</t>
        </is>
      </c>
      <c r="F622" t="inlineStr">
        <is>
          <t>Övriga Aktiebolag</t>
        </is>
      </c>
      <c r="G622" t="n">
        <v>2</v>
      </c>
      <c r="H622" t="n">
        <v>0</v>
      </c>
      <c r="I622" t="n">
        <v>0</v>
      </c>
      <c r="J622" t="n">
        <v>0</v>
      </c>
      <c r="K622" t="n">
        <v>0</v>
      </c>
      <c r="L622" t="n">
        <v>0</v>
      </c>
      <c r="M622" t="n">
        <v>0</v>
      </c>
      <c r="N622" t="n">
        <v>0</v>
      </c>
      <c r="O622" t="n">
        <v>0</v>
      </c>
      <c r="P622" t="n">
        <v>0</v>
      </c>
      <c r="Q622" t="n">
        <v>0</v>
      </c>
      <c r="R622" s="2" t="inlineStr"/>
    </row>
    <row r="623" ht="15" customHeight="1">
      <c r="A623" t="inlineStr">
        <is>
          <t>A 21782-2024</t>
        </is>
      </c>
      <c r="B623" s="1" t="n">
        <v>45442.63368055555</v>
      </c>
      <c r="C623" s="1" t="n">
        <v>46176</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11169-2026</t>
        </is>
      </c>
      <c r="B624" s="1" t="n">
        <v>46080.37020833333</v>
      </c>
      <c r="C624" s="1" t="n">
        <v>46176</v>
      </c>
      <c r="D624" t="inlineStr">
        <is>
          <t>ÖSTERGÖTLANDS LÄN</t>
        </is>
      </c>
      <c r="E624" t="inlineStr">
        <is>
          <t>LINKÖPING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11033-2026</t>
        </is>
      </c>
      <c r="B625" s="1" t="n">
        <v>46079.57361111111</v>
      </c>
      <c r="C625" s="1" t="n">
        <v>46176</v>
      </c>
      <c r="D625" t="inlineStr">
        <is>
          <t>ÖSTERGÖTLANDS LÄN</t>
        </is>
      </c>
      <c r="E625" t="inlineStr">
        <is>
          <t>LINKÖPING</t>
        </is>
      </c>
      <c r="G625" t="n">
        <v>7.9</v>
      </c>
      <c r="H625" t="n">
        <v>0</v>
      </c>
      <c r="I625" t="n">
        <v>0</v>
      </c>
      <c r="J625" t="n">
        <v>0</v>
      </c>
      <c r="K625" t="n">
        <v>0</v>
      </c>
      <c r="L625" t="n">
        <v>0</v>
      </c>
      <c r="M625" t="n">
        <v>0</v>
      </c>
      <c r="N625" t="n">
        <v>0</v>
      </c>
      <c r="O625" t="n">
        <v>0</v>
      </c>
      <c r="P625" t="n">
        <v>0</v>
      </c>
      <c r="Q625" t="n">
        <v>0</v>
      </c>
      <c r="R625" s="2" t="inlineStr"/>
    </row>
    <row r="626" ht="15" customHeight="1">
      <c r="A626" t="inlineStr">
        <is>
          <t>A 11671-2023</t>
        </is>
      </c>
      <c r="B626" s="1" t="n">
        <v>44994.48125</v>
      </c>
      <c r="C626" s="1" t="n">
        <v>46176</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11036-2026</t>
        </is>
      </c>
      <c r="B627" s="1" t="n">
        <v>46079.57836805555</v>
      </c>
      <c r="C627" s="1" t="n">
        <v>46176</v>
      </c>
      <c r="D627" t="inlineStr">
        <is>
          <t>ÖSTERGÖTLANDS LÄN</t>
        </is>
      </c>
      <c r="E627" t="inlineStr">
        <is>
          <t>LINKÖPING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11057-2026</t>
        </is>
      </c>
      <c r="B628" s="1" t="n">
        <v>46079.59515046296</v>
      </c>
      <c r="C628" s="1" t="n">
        <v>46176</v>
      </c>
      <c r="D628" t="inlineStr">
        <is>
          <t>ÖSTERGÖTLANDS LÄN</t>
        </is>
      </c>
      <c r="E628" t="inlineStr">
        <is>
          <t>LINKÖPING</t>
        </is>
      </c>
      <c r="G628" t="n">
        <v>2.9</v>
      </c>
      <c r="H628" t="n">
        <v>0</v>
      </c>
      <c r="I628" t="n">
        <v>0</v>
      </c>
      <c r="J628" t="n">
        <v>0</v>
      </c>
      <c r="K628" t="n">
        <v>0</v>
      </c>
      <c r="L628" t="n">
        <v>0</v>
      </c>
      <c r="M628" t="n">
        <v>0</v>
      </c>
      <c r="N628" t="n">
        <v>0</v>
      </c>
      <c r="O628" t="n">
        <v>0</v>
      </c>
      <c r="P628" t="n">
        <v>0</v>
      </c>
      <c r="Q628" t="n">
        <v>0</v>
      </c>
      <c r="R628" s="2" t="inlineStr"/>
    </row>
    <row r="629" ht="15" customHeight="1">
      <c r="A629" t="inlineStr">
        <is>
          <t>A 3013-2023</t>
        </is>
      </c>
      <c r="B629" s="1" t="n">
        <v>44945.8092824074</v>
      </c>
      <c r="C629" s="1" t="n">
        <v>46176</v>
      </c>
      <c r="D629" t="inlineStr">
        <is>
          <t>ÖSTERGÖTLANDS LÄN</t>
        </is>
      </c>
      <c r="E629" t="inlineStr">
        <is>
          <t>LINKÖPING</t>
        </is>
      </c>
      <c r="G629" t="n">
        <v>5.2</v>
      </c>
      <c r="H629" t="n">
        <v>0</v>
      </c>
      <c r="I629" t="n">
        <v>0</v>
      </c>
      <c r="J629" t="n">
        <v>0</v>
      </c>
      <c r="K629" t="n">
        <v>0</v>
      </c>
      <c r="L629" t="n">
        <v>0</v>
      </c>
      <c r="M629" t="n">
        <v>0</v>
      </c>
      <c r="N629" t="n">
        <v>0</v>
      </c>
      <c r="O629" t="n">
        <v>0</v>
      </c>
      <c r="P629" t="n">
        <v>0</v>
      </c>
      <c r="Q629" t="n">
        <v>0</v>
      </c>
      <c r="R629" s="2" t="inlineStr"/>
    </row>
    <row r="630" ht="15" customHeight="1">
      <c r="A630" t="inlineStr">
        <is>
          <t>A 49747-2024</t>
        </is>
      </c>
      <c r="B630" s="1" t="n">
        <v>45596</v>
      </c>
      <c r="C630" s="1" t="n">
        <v>46176</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42997-2021</t>
        </is>
      </c>
      <c r="B631" s="1" t="n">
        <v>44431.45556712963</v>
      </c>
      <c r="C631" s="1" t="n">
        <v>46176</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3011-2023</t>
        </is>
      </c>
      <c r="B632" s="1" t="n">
        <v>44945</v>
      </c>
      <c r="C632" s="1" t="n">
        <v>46176</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23735-2023</t>
        </is>
      </c>
      <c r="B633" s="1" t="n">
        <v>45077</v>
      </c>
      <c r="C633" s="1" t="n">
        <v>46176</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45821-2024</t>
        </is>
      </c>
      <c r="B634" s="1" t="n">
        <v>45579.75803240741</v>
      </c>
      <c r="C634" s="1" t="n">
        <v>46176</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53647-2021</t>
        </is>
      </c>
      <c r="B635" s="1" t="n">
        <v>44469</v>
      </c>
      <c r="C635" s="1" t="n">
        <v>46176</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6599-2023</t>
        </is>
      </c>
      <c r="B636" s="1" t="n">
        <v>44966.52603009259</v>
      </c>
      <c r="C636" s="1" t="n">
        <v>46176</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35735-2023</t>
        </is>
      </c>
      <c r="B637" s="1" t="n">
        <v>45147</v>
      </c>
      <c r="C637" s="1" t="n">
        <v>46176</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45831-2024</t>
        </is>
      </c>
      <c r="B638" s="1" t="n">
        <v>45579.90508101852</v>
      </c>
      <c r="C638" s="1" t="n">
        <v>46176</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17157-2024</t>
        </is>
      </c>
      <c r="B639" s="1" t="n">
        <v>45412.70567129629</v>
      </c>
      <c r="C639" s="1" t="n">
        <v>46176</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37154-2023</t>
        </is>
      </c>
      <c r="B640" s="1" t="n">
        <v>45155</v>
      </c>
      <c r="C640" s="1" t="n">
        <v>46176</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53812-2023</t>
        </is>
      </c>
      <c r="B641" s="1" t="n">
        <v>45231.39583333334</v>
      </c>
      <c r="C641" s="1" t="n">
        <v>46176</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53830-2023</t>
        </is>
      </c>
      <c r="B642" s="1" t="n">
        <v>45230</v>
      </c>
      <c r="C642" s="1" t="n">
        <v>46176</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56841-2023</t>
        </is>
      </c>
      <c r="B643" s="1" t="n">
        <v>45244</v>
      </c>
      <c r="C643" s="1" t="n">
        <v>46176</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56741-2023</t>
        </is>
      </c>
      <c r="B644" s="1" t="n">
        <v>45244</v>
      </c>
      <c r="C644" s="1" t="n">
        <v>46176</v>
      </c>
      <c r="D644" t="inlineStr">
        <is>
          <t>ÖSTERGÖTLANDS LÄN</t>
        </is>
      </c>
      <c r="E644" t="inlineStr">
        <is>
          <t>LINKÖPING</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53816-2023</t>
        </is>
      </c>
      <c r="B645" s="1" t="n">
        <v>45231.40012731482</v>
      </c>
      <c r="C645" s="1" t="n">
        <v>46176</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63935-2021</t>
        </is>
      </c>
      <c r="B646" s="1" t="n">
        <v>44509</v>
      </c>
      <c r="C646" s="1" t="n">
        <v>46176</v>
      </c>
      <c r="D646" t="inlineStr">
        <is>
          <t>ÖSTERGÖTLANDS LÄN</t>
        </is>
      </c>
      <c r="E646" t="inlineStr">
        <is>
          <t>LINKÖPING</t>
        </is>
      </c>
      <c r="F646" t="inlineStr">
        <is>
          <t>Övriga statliga verk och myndigheter</t>
        </is>
      </c>
      <c r="G646" t="n">
        <v>2.8</v>
      </c>
      <c r="H646" t="n">
        <v>0</v>
      </c>
      <c r="I646" t="n">
        <v>0</v>
      </c>
      <c r="J646" t="n">
        <v>0</v>
      </c>
      <c r="K646" t="n">
        <v>0</v>
      </c>
      <c r="L646" t="n">
        <v>0</v>
      </c>
      <c r="M646" t="n">
        <v>0</v>
      </c>
      <c r="N646" t="n">
        <v>0</v>
      </c>
      <c r="O646" t="n">
        <v>0</v>
      </c>
      <c r="P646" t="n">
        <v>0</v>
      </c>
      <c r="Q646" t="n">
        <v>0</v>
      </c>
      <c r="R646" s="2" t="inlineStr"/>
    </row>
    <row r="647" ht="15" customHeight="1">
      <c r="A647" t="inlineStr">
        <is>
          <t>A 6726-2024</t>
        </is>
      </c>
      <c r="B647" s="1" t="n">
        <v>45341</v>
      </c>
      <c r="C647" s="1" t="n">
        <v>46176</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3007-2023</t>
        </is>
      </c>
      <c r="B648" s="1" t="n">
        <v>44945</v>
      </c>
      <c r="C648" s="1" t="n">
        <v>46176</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29309-2024</t>
        </is>
      </c>
      <c r="B649" s="1" t="n">
        <v>45483</v>
      </c>
      <c r="C649" s="1" t="n">
        <v>46176</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53411-2023</t>
        </is>
      </c>
      <c r="B650" s="1" t="n">
        <v>45229.81049768518</v>
      </c>
      <c r="C650" s="1" t="n">
        <v>46176</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26788-2022</t>
        </is>
      </c>
      <c r="B651" s="1" t="n">
        <v>44740</v>
      </c>
      <c r="C651" s="1" t="n">
        <v>46176</v>
      </c>
      <c r="D651" t="inlineStr">
        <is>
          <t>ÖSTERGÖTLANDS LÄN</t>
        </is>
      </c>
      <c r="E651" t="inlineStr">
        <is>
          <t>LINKÖPING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24462-2023</t>
        </is>
      </c>
      <c r="B652" s="1" t="n">
        <v>45082</v>
      </c>
      <c r="C652" s="1" t="n">
        <v>46176</v>
      </c>
      <c r="D652" t="inlineStr">
        <is>
          <t>ÖSTERGÖTLANDS LÄN</t>
        </is>
      </c>
      <c r="E652" t="inlineStr">
        <is>
          <t>LINKÖPING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62015-2024</t>
        </is>
      </c>
      <c r="B653" s="1" t="n">
        <v>45655.80457175926</v>
      </c>
      <c r="C653" s="1" t="n">
        <v>46176</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10741-2023</t>
        </is>
      </c>
      <c r="B654" s="1" t="n">
        <v>44988.70084490741</v>
      </c>
      <c r="C654" s="1" t="n">
        <v>46176</v>
      </c>
      <c r="D654" t="inlineStr">
        <is>
          <t>ÖSTERGÖTLANDS LÄN</t>
        </is>
      </c>
      <c r="E654" t="inlineStr">
        <is>
          <t>LINKÖPING</t>
        </is>
      </c>
      <c r="F654" t="inlineStr">
        <is>
          <t>Allmännings- och besparingsskogar</t>
        </is>
      </c>
      <c r="G654" t="n">
        <v>11.2</v>
      </c>
      <c r="H654" t="n">
        <v>0</v>
      </c>
      <c r="I654" t="n">
        <v>0</v>
      </c>
      <c r="J654" t="n">
        <v>0</v>
      </c>
      <c r="K654" t="n">
        <v>0</v>
      </c>
      <c r="L654" t="n">
        <v>0</v>
      </c>
      <c r="M654" t="n">
        <v>0</v>
      </c>
      <c r="N654" t="n">
        <v>0</v>
      </c>
      <c r="O654" t="n">
        <v>0</v>
      </c>
      <c r="P654" t="n">
        <v>0</v>
      </c>
      <c r="Q654" t="n">
        <v>0</v>
      </c>
      <c r="R654" s="2" t="inlineStr"/>
    </row>
    <row r="655" ht="15" customHeight="1">
      <c r="A655" t="inlineStr">
        <is>
          <t>A 43473-2024</t>
        </is>
      </c>
      <c r="B655" s="1" t="n">
        <v>45568</v>
      </c>
      <c r="C655" s="1" t="n">
        <v>46176</v>
      </c>
      <c r="D655" t="inlineStr">
        <is>
          <t>ÖSTERGÖTLANDS LÄN</t>
        </is>
      </c>
      <c r="E655" t="inlineStr">
        <is>
          <t>LINKÖPING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43475-2024</t>
        </is>
      </c>
      <c r="B656" s="1" t="n">
        <v>45568</v>
      </c>
      <c r="C656" s="1" t="n">
        <v>46176</v>
      </c>
      <c r="D656" t="inlineStr">
        <is>
          <t>ÖSTERGÖTLANDS LÄN</t>
        </is>
      </c>
      <c r="E656" t="inlineStr">
        <is>
          <t>LINKÖPING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1207-2023</t>
        </is>
      </c>
      <c r="B657" s="1" t="n">
        <v>44930</v>
      </c>
      <c r="C657" s="1" t="n">
        <v>46176</v>
      </c>
      <c r="D657" t="inlineStr">
        <is>
          <t>ÖSTERGÖTLANDS LÄN</t>
        </is>
      </c>
      <c r="E657" t="inlineStr">
        <is>
          <t>LINKÖPING</t>
        </is>
      </c>
      <c r="F657" t="inlineStr">
        <is>
          <t>Övriga statliga verk och myndigheter</t>
        </is>
      </c>
      <c r="G657" t="n">
        <v>32.8</v>
      </c>
      <c r="H657" t="n">
        <v>0</v>
      </c>
      <c r="I657" t="n">
        <v>0</v>
      </c>
      <c r="J657" t="n">
        <v>0</v>
      </c>
      <c r="K657" t="n">
        <v>0</v>
      </c>
      <c r="L657" t="n">
        <v>0</v>
      </c>
      <c r="M657" t="n">
        <v>0</v>
      </c>
      <c r="N657" t="n">
        <v>0</v>
      </c>
      <c r="O657" t="n">
        <v>0</v>
      </c>
      <c r="P657" t="n">
        <v>0</v>
      </c>
      <c r="Q657" t="n">
        <v>0</v>
      </c>
      <c r="R657" s="2" t="inlineStr"/>
    </row>
    <row r="658" ht="15" customHeight="1">
      <c r="A658" t="inlineStr">
        <is>
          <t>A 29859-2024</t>
        </is>
      </c>
      <c r="B658" s="1" t="n">
        <v>45485.6846412037</v>
      </c>
      <c r="C658" s="1" t="n">
        <v>46176</v>
      </c>
      <c r="D658" t="inlineStr">
        <is>
          <t>ÖSTERGÖTLANDS LÄN</t>
        </is>
      </c>
      <c r="E658" t="inlineStr">
        <is>
          <t>LINKÖPING</t>
        </is>
      </c>
      <c r="G658" t="n">
        <v>0.4</v>
      </c>
      <c r="H658" t="n">
        <v>0</v>
      </c>
      <c r="I658" t="n">
        <v>0</v>
      </c>
      <c r="J658" t="n">
        <v>0</v>
      </c>
      <c r="K658" t="n">
        <v>0</v>
      </c>
      <c r="L658" t="n">
        <v>0</v>
      </c>
      <c r="M658" t="n">
        <v>0</v>
      </c>
      <c r="N658" t="n">
        <v>0</v>
      </c>
      <c r="O658" t="n">
        <v>0</v>
      </c>
      <c r="P658" t="n">
        <v>0</v>
      </c>
      <c r="Q658" t="n">
        <v>0</v>
      </c>
      <c r="R658" s="2" t="inlineStr"/>
    </row>
    <row r="659" ht="15" customHeight="1">
      <c r="A659" t="inlineStr">
        <is>
          <t>A 45819-2024</t>
        </is>
      </c>
      <c r="B659" s="1" t="n">
        <v>45579.7454050926</v>
      </c>
      <c r="C659" s="1" t="n">
        <v>46176</v>
      </c>
      <c r="D659" t="inlineStr">
        <is>
          <t>ÖSTERGÖTLANDS LÄN</t>
        </is>
      </c>
      <c r="E659" t="inlineStr">
        <is>
          <t>LINKÖPING</t>
        </is>
      </c>
      <c r="G659" t="n">
        <v>5</v>
      </c>
      <c r="H659" t="n">
        <v>0</v>
      </c>
      <c r="I659" t="n">
        <v>0</v>
      </c>
      <c r="J659" t="n">
        <v>0</v>
      </c>
      <c r="K659" t="n">
        <v>0</v>
      </c>
      <c r="L659" t="n">
        <v>0</v>
      </c>
      <c r="M659" t="n">
        <v>0</v>
      </c>
      <c r="N659" t="n">
        <v>0</v>
      </c>
      <c r="O659" t="n">
        <v>0</v>
      </c>
      <c r="P659" t="n">
        <v>0</v>
      </c>
      <c r="Q659" t="n">
        <v>0</v>
      </c>
      <c r="R659" s="2" t="inlineStr"/>
    </row>
    <row r="660" ht="15" customHeight="1">
      <c r="A660" t="inlineStr">
        <is>
          <t>A 15748-2025</t>
        </is>
      </c>
      <c r="B660" s="1" t="n">
        <v>45748.55282407408</v>
      </c>
      <c r="C660" s="1" t="n">
        <v>46176</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15754-2025</t>
        </is>
      </c>
      <c r="B661" s="1" t="n">
        <v>45748.56105324074</v>
      </c>
      <c r="C661" s="1" t="n">
        <v>46176</v>
      </c>
      <c r="D661" t="inlineStr">
        <is>
          <t>ÖSTERGÖTLANDS LÄN</t>
        </is>
      </c>
      <c r="E661" t="inlineStr">
        <is>
          <t>LINKÖPING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30518-2024</t>
        </is>
      </c>
      <c r="B662" s="1" t="n">
        <v>45492</v>
      </c>
      <c r="C662" s="1" t="n">
        <v>46176</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53797-2023</t>
        </is>
      </c>
      <c r="B663" s="1" t="n">
        <v>45230</v>
      </c>
      <c r="C663" s="1" t="n">
        <v>46176</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55345-2021</t>
        </is>
      </c>
      <c r="B664" s="1" t="n">
        <v>44475</v>
      </c>
      <c r="C664" s="1" t="n">
        <v>46176</v>
      </c>
      <c r="D664" t="inlineStr">
        <is>
          <t>ÖSTERGÖTLANDS LÄN</t>
        </is>
      </c>
      <c r="E664" t="inlineStr">
        <is>
          <t>LINKÖPING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10198-2023</t>
        </is>
      </c>
      <c r="B665" s="1" t="n">
        <v>44986.54665509259</v>
      </c>
      <c r="C665" s="1" t="n">
        <v>46176</v>
      </c>
      <c r="D665" t="inlineStr">
        <is>
          <t>ÖSTERGÖTLANDS LÄN</t>
        </is>
      </c>
      <c r="E665" t="inlineStr">
        <is>
          <t>LINKÖPING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4298-2023</t>
        </is>
      </c>
      <c r="B666" s="1" t="n">
        <v>44953</v>
      </c>
      <c r="C666" s="1" t="n">
        <v>46176</v>
      </c>
      <c r="D666" t="inlineStr">
        <is>
          <t>ÖSTERGÖTLANDS LÄN</t>
        </is>
      </c>
      <c r="E666" t="inlineStr">
        <is>
          <t>LINKÖPING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12428-2024</t>
        </is>
      </c>
      <c r="B667" s="1" t="n">
        <v>45379</v>
      </c>
      <c r="C667" s="1" t="n">
        <v>46176</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26618-2023</t>
        </is>
      </c>
      <c r="B668" s="1" t="n">
        <v>45092.70306712963</v>
      </c>
      <c r="C668" s="1" t="n">
        <v>46176</v>
      </c>
      <c r="D668" t="inlineStr">
        <is>
          <t>ÖSTERGÖTLANDS LÄN</t>
        </is>
      </c>
      <c r="E668" t="inlineStr">
        <is>
          <t>LINKÖPING</t>
        </is>
      </c>
      <c r="G668" t="n">
        <v>6.9</v>
      </c>
      <c r="H668" t="n">
        <v>0</v>
      </c>
      <c r="I668" t="n">
        <v>0</v>
      </c>
      <c r="J668" t="n">
        <v>0</v>
      </c>
      <c r="K668" t="n">
        <v>0</v>
      </c>
      <c r="L668" t="n">
        <v>0</v>
      </c>
      <c r="M668" t="n">
        <v>0</v>
      </c>
      <c r="N668" t="n">
        <v>0</v>
      </c>
      <c r="O668" t="n">
        <v>0</v>
      </c>
      <c r="P668" t="n">
        <v>0</v>
      </c>
      <c r="Q668" t="n">
        <v>0</v>
      </c>
      <c r="R668" s="2" t="inlineStr"/>
    </row>
    <row r="669" ht="15" customHeight="1">
      <c r="A669" t="inlineStr">
        <is>
          <t>A 34930-2023</t>
        </is>
      </c>
      <c r="B669" s="1" t="n">
        <v>45142</v>
      </c>
      <c r="C669" s="1" t="n">
        <v>46176</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670-2024</t>
        </is>
      </c>
      <c r="B670" s="1" t="n">
        <v>45300.3408912037</v>
      </c>
      <c r="C670" s="1" t="n">
        <v>46176</v>
      </c>
      <c r="D670" t="inlineStr">
        <is>
          <t>ÖSTERGÖTLANDS LÄN</t>
        </is>
      </c>
      <c r="E670" t="inlineStr">
        <is>
          <t>LINKÖPING</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63845-2021</t>
        </is>
      </c>
      <c r="B671" s="1" t="n">
        <v>44509</v>
      </c>
      <c r="C671" s="1" t="n">
        <v>46176</v>
      </c>
      <c r="D671" t="inlineStr">
        <is>
          <t>ÖSTERGÖTLANDS LÄN</t>
        </is>
      </c>
      <c r="E671" t="inlineStr">
        <is>
          <t>LINKÖPING</t>
        </is>
      </c>
      <c r="G671" t="n">
        <v>5</v>
      </c>
      <c r="H671" t="n">
        <v>0</v>
      </c>
      <c r="I671" t="n">
        <v>0</v>
      </c>
      <c r="J671" t="n">
        <v>0</v>
      </c>
      <c r="K671" t="n">
        <v>0</v>
      </c>
      <c r="L671" t="n">
        <v>0</v>
      </c>
      <c r="M671" t="n">
        <v>0</v>
      </c>
      <c r="N671" t="n">
        <v>0</v>
      </c>
      <c r="O671" t="n">
        <v>0</v>
      </c>
      <c r="P671" t="n">
        <v>0</v>
      </c>
      <c r="Q671" t="n">
        <v>0</v>
      </c>
      <c r="R671" s="2" t="inlineStr"/>
    </row>
    <row r="672" ht="15" customHeight="1">
      <c r="A672" t="inlineStr">
        <is>
          <t>A 54034-2022</t>
        </is>
      </c>
      <c r="B672" s="1" t="n">
        <v>44881</v>
      </c>
      <c r="C672" s="1" t="n">
        <v>46176</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36336-2023</t>
        </is>
      </c>
      <c r="B673" s="1" t="n">
        <v>45152.45078703704</v>
      </c>
      <c r="C673" s="1" t="n">
        <v>46176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48829-2023</t>
        </is>
      </c>
      <c r="B674" s="1" t="n">
        <v>45209.38177083333</v>
      </c>
      <c r="C674" s="1" t="n">
        <v>46176</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48186-2022</t>
        </is>
      </c>
      <c r="B675" s="1" t="n">
        <v>44858</v>
      </c>
      <c r="C675" s="1" t="n">
        <v>46176</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63669-2023</t>
        </is>
      </c>
      <c r="B676" s="1" t="n">
        <v>45275</v>
      </c>
      <c r="C676" s="1" t="n">
        <v>46176</v>
      </c>
      <c r="D676" t="inlineStr">
        <is>
          <t>ÖSTERGÖTLANDS LÄN</t>
        </is>
      </c>
      <c r="E676" t="inlineStr">
        <is>
          <t>LINKÖPING</t>
        </is>
      </c>
      <c r="F676" t="inlineStr">
        <is>
          <t>Övriga Aktiebolag</t>
        </is>
      </c>
      <c r="G676" t="n">
        <v>3</v>
      </c>
      <c r="H676" t="n">
        <v>0</v>
      </c>
      <c r="I676" t="n">
        <v>0</v>
      </c>
      <c r="J676" t="n">
        <v>0</v>
      </c>
      <c r="K676" t="n">
        <v>0</v>
      </c>
      <c r="L676" t="n">
        <v>0</v>
      </c>
      <c r="M676" t="n">
        <v>0</v>
      </c>
      <c r="N676" t="n">
        <v>0</v>
      </c>
      <c r="O676" t="n">
        <v>0</v>
      </c>
      <c r="P676" t="n">
        <v>0</v>
      </c>
      <c r="Q676" t="n">
        <v>0</v>
      </c>
      <c r="R676" s="2" t="inlineStr"/>
    </row>
    <row r="677" ht="15" customHeight="1">
      <c r="A677" t="inlineStr">
        <is>
          <t>A 24586-2024</t>
        </is>
      </c>
      <c r="B677" s="1" t="n">
        <v>45460.46664351852</v>
      </c>
      <c r="C677" s="1" t="n">
        <v>46176</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59576-2024</t>
        </is>
      </c>
      <c r="B678" s="1" t="n">
        <v>45638.66378472222</v>
      </c>
      <c r="C678" s="1" t="n">
        <v>46176</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59642-2024</t>
        </is>
      </c>
      <c r="B679" s="1" t="n">
        <v>45639.31511574074</v>
      </c>
      <c r="C679" s="1" t="n">
        <v>46176</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59674-2024</t>
        </is>
      </c>
      <c r="B680" s="1" t="n">
        <v>45639</v>
      </c>
      <c r="C680" s="1" t="n">
        <v>46176</v>
      </c>
      <c r="D680" t="inlineStr">
        <is>
          <t>ÖSTERGÖTLANDS LÄN</t>
        </is>
      </c>
      <c r="E680" t="inlineStr">
        <is>
          <t>LINKÖPING</t>
        </is>
      </c>
      <c r="G680" t="n">
        <v>6.3</v>
      </c>
      <c r="H680" t="n">
        <v>0</v>
      </c>
      <c r="I680" t="n">
        <v>0</v>
      </c>
      <c r="J680" t="n">
        <v>0</v>
      </c>
      <c r="K680" t="n">
        <v>0</v>
      </c>
      <c r="L680" t="n">
        <v>0</v>
      </c>
      <c r="M680" t="n">
        <v>0</v>
      </c>
      <c r="N680" t="n">
        <v>0</v>
      </c>
      <c r="O680" t="n">
        <v>0</v>
      </c>
      <c r="P680" t="n">
        <v>0</v>
      </c>
      <c r="Q680" t="n">
        <v>0</v>
      </c>
      <c r="R680" s="2" t="inlineStr"/>
    </row>
    <row r="681" ht="15" customHeight="1">
      <c r="A681" t="inlineStr">
        <is>
          <t>A 18916-2024</t>
        </is>
      </c>
      <c r="B681" s="1" t="n">
        <v>45427.39541666667</v>
      </c>
      <c r="C681" s="1" t="n">
        <v>46176</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11084-2022</t>
        </is>
      </c>
      <c r="B682" s="1" t="n">
        <v>44628</v>
      </c>
      <c r="C682" s="1" t="n">
        <v>46176</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10203-2023</t>
        </is>
      </c>
      <c r="B683" s="1" t="n">
        <v>44986.55711805556</v>
      </c>
      <c r="C683" s="1" t="n">
        <v>46176</v>
      </c>
      <c r="D683" t="inlineStr">
        <is>
          <t>ÖSTERGÖTLANDS LÄN</t>
        </is>
      </c>
      <c r="E683" t="inlineStr">
        <is>
          <t>LINKÖPING</t>
        </is>
      </c>
      <c r="G683" t="n">
        <v>3.3</v>
      </c>
      <c r="H683" t="n">
        <v>0</v>
      </c>
      <c r="I683" t="n">
        <v>0</v>
      </c>
      <c r="J683" t="n">
        <v>0</v>
      </c>
      <c r="K683" t="n">
        <v>0</v>
      </c>
      <c r="L683" t="n">
        <v>0</v>
      </c>
      <c r="M683" t="n">
        <v>0</v>
      </c>
      <c r="N683" t="n">
        <v>0</v>
      </c>
      <c r="O683" t="n">
        <v>0</v>
      </c>
      <c r="P683" t="n">
        <v>0</v>
      </c>
      <c r="Q683" t="n">
        <v>0</v>
      </c>
      <c r="R683" s="2" t="inlineStr"/>
    </row>
    <row r="684" ht="15" customHeight="1">
      <c r="A684" t="inlineStr">
        <is>
          <t>A 2618-2023</t>
        </is>
      </c>
      <c r="B684" s="1" t="n">
        <v>44944.35847222222</v>
      </c>
      <c r="C684" s="1" t="n">
        <v>46176</v>
      </c>
      <c r="D684" t="inlineStr">
        <is>
          <t>ÖSTERGÖTLANDS LÄN</t>
        </is>
      </c>
      <c r="E684" t="inlineStr">
        <is>
          <t>LINKÖPING</t>
        </is>
      </c>
      <c r="G684" t="n">
        <v>4.3</v>
      </c>
      <c r="H684" t="n">
        <v>0</v>
      </c>
      <c r="I684" t="n">
        <v>0</v>
      </c>
      <c r="J684" t="n">
        <v>0</v>
      </c>
      <c r="K684" t="n">
        <v>0</v>
      </c>
      <c r="L684" t="n">
        <v>0</v>
      </c>
      <c r="M684" t="n">
        <v>0</v>
      </c>
      <c r="N684" t="n">
        <v>0</v>
      </c>
      <c r="O684" t="n">
        <v>0</v>
      </c>
      <c r="P684" t="n">
        <v>0</v>
      </c>
      <c r="Q684" t="n">
        <v>0</v>
      </c>
      <c r="R684" s="2" t="inlineStr"/>
    </row>
    <row r="685" ht="15" customHeight="1">
      <c r="A685" t="inlineStr">
        <is>
          <t>A 62020-2024</t>
        </is>
      </c>
      <c r="B685" s="1" t="n">
        <v>45655.83563657408</v>
      </c>
      <c r="C685" s="1" t="n">
        <v>46176</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62021-2024</t>
        </is>
      </c>
      <c r="B686" s="1" t="n">
        <v>45655.84232638889</v>
      </c>
      <c r="C686" s="1" t="n">
        <v>46176</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1362-2023</t>
        </is>
      </c>
      <c r="B687" s="1" t="n">
        <v>44931</v>
      </c>
      <c r="C687" s="1" t="n">
        <v>46176</v>
      </c>
      <c r="D687" t="inlineStr">
        <is>
          <t>ÖSTERGÖTLANDS LÄN</t>
        </is>
      </c>
      <c r="E687" t="inlineStr">
        <is>
          <t>LINKÖPING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49928-2024</t>
        </is>
      </c>
      <c r="B688" s="1" t="n">
        <v>45597.57811342592</v>
      </c>
      <c r="C688" s="1" t="n">
        <v>46176</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3627-2023</t>
        </is>
      </c>
      <c r="B689" s="1" t="n">
        <v>44950.64782407408</v>
      </c>
      <c r="C689" s="1" t="n">
        <v>46176</v>
      </c>
      <c r="D689" t="inlineStr">
        <is>
          <t>ÖSTERGÖTLANDS LÄN</t>
        </is>
      </c>
      <c r="E689" t="inlineStr">
        <is>
          <t>LINKÖPING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51405-2023</t>
        </is>
      </c>
      <c r="B690" s="1" t="n">
        <v>45219</v>
      </c>
      <c r="C690" s="1" t="n">
        <v>46176</v>
      </c>
      <c r="D690" t="inlineStr">
        <is>
          <t>ÖSTERGÖTLANDS LÄN</t>
        </is>
      </c>
      <c r="E690" t="inlineStr">
        <is>
          <t>LINKÖPING</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11601-2023</t>
        </is>
      </c>
      <c r="B691" s="1" t="n">
        <v>44994</v>
      </c>
      <c r="C691" s="1" t="n">
        <v>46176</v>
      </c>
      <c r="D691" t="inlineStr">
        <is>
          <t>ÖSTERGÖTLANDS LÄN</t>
        </is>
      </c>
      <c r="E691" t="inlineStr">
        <is>
          <t>LINKÖPING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40338-2024</t>
        </is>
      </c>
      <c r="B692" s="1" t="n">
        <v>45555.32940972222</v>
      </c>
      <c r="C692" s="1" t="n">
        <v>46176</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167-2024</t>
        </is>
      </c>
      <c r="B693" s="1" t="n">
        <v>45294</v>
      </c>
      <c r="C693" s="1" t="n">
        <v>46176</v>
      </c>
      <c r="D693" t="inlineStr">
        <is>
          <t>ÖSTERGÖTLANDS LÄN</t>
        </is>
      </c>
      <c r="E693" t="inlineStr">
        <is>
          <t>LINKÖPING</t>
        </is>
      </c>
      <c r="F693" t="inlineStr">
        <is>
          <t>Allmännings- och besparingsskogar</t>
        </is>
      </c>
      <c r="G693" t="n">
        <v>11.6</v>
      </c>
      <c r="H693" t="n">
        <v>0</v>
      </c>
      <c r="I693" t="n">
        <v>0</v>
      </c>
      <c r="J693" t="n">
        <v>0</v>
      </c>
      <c r="K693" t="n">
        <v>0</v>
      </c>
      <c r="L693" t="n">
        <v>0</v>
      </c>
      <c r="M693" t="n">
        <v>0</v>
      </c>
      <c r="N693" t="n">
        <v>0</v>
      </c>
      <c r="O693" t="n">
        <v>0</v>
      </c>
      <c r="P693" t="n">
        <v>0</v>
      </c>
      <c r="Q693" t="n">
        <v>0</v>
      </c>
      <c r="R693" s="2" t="inlineStr"/>
    </row>
    <row r="694" ht="15" customHeight="1">
      <c r="A694" t="inlineStr">
        <is>
          <t>A 27186-2021</t>
        </is>
      </c>
      <c r="B694" s="1" t="n">
        <v>44350.67715277777</v>
      </c>
      <c r="C694" s="1" t="n">
        <v>46176</v>
      </c>
      <c r="D694" t="inlineStr">
        <is>
          <t>ÖSTERGÖTLANDS LÄN</t>
        </is>
      </c>
      <c r="E694" t="inlineStr">
        <is>
          <t>LINKÖPING</t>
        </is>
      </c>
      <c r="F694" t="inlineStr">
        <is>
          <t>Allmännings- och besparingsskogar</t>
        </is>
      </c>
      <c r="G694" t="n">
        <v>1.4</v>
      </c>
      <c r="H694" t="n">
        <v>0</v>
      </c>
      <c r="I694" t="n">
        <v>0</v>
      </c>
      <c r="J694" t="n">
        <v>0</v>
      </c>
      <c r="K694" t="n">
        <v>0</v>
      </c>
      <c r="L694" t="n">
        <v>0</v>
      </c>
      <c r="M694" t="n">
        <v>0</v>
      </c>
      <c r="N694" t="n">
        <v>0</v>
      </c>
      <c r="O694" t="n">
        <v>0</v>
      </c>
      <c r="P694" t="n">
        <v>0</v>
      </c>
      <c r="Q694" t="n">
        <v>0</v>
      </c>
      <c r="R694" s="2" t="inlineStr"/>
    </row>
    <row r="695" ht="15" customHeight="1">
      <c r="A695" t="inlineStr">
        <is>
          <t>A 7343-2025</t>
        </is>
      </c>
      <c r="B695" s="1" t="n">
        <v>45703.67853009259</v>
      </c>
      <c r="C695" s="1" t="n">
        <v>46176</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48271-2023</t>
        </is>
      </c>
      <c r="B696" s="1" t="n">
        <v>45205</v>
      </c>
      <c r="C696" s="1" t="n">
        <v>46176</v>
      </c>
      <c r="D696" t="inlineStr">
        <is>
          <t>ÖSTERGÖTLANDS LÄN</t>
        </is>
      </c>
      <c r="E696" t="inlineStr">
        <is>
          <t>LINKÖPING</t>
        </is>
      </c>
      <c r="G696" t="n">
        <v>3</v>
      </c>
      <c r="H696" t="n">
        <v>0</v>
      </c>
      <c r="I696" t="n">
        <v>0</v>
      </c>
      <c r="J696" t="n">
        <v>0</v>
      </c>
      <c r="K696" t="n">
        <v>0</v>
      </c>
      <c r="L696" t="n">
        <v>0</v>
      </c>
      <c r="M696" t="n">
        <v>0</v>
      </c>
      <c r="N696" t="n">
        <v>0</v>
      </c>
      <c r="O696" t="n">
        <v>0</v>
      </c>
      <c r="P696" t="n">
        <v>0</v>
      </c>
      <c r="Q696" t="n">
        <v>0</v>
      </c>
      <c r="R696" s="2" t="inlineStr"/>
    </row>
    <row r="697" ht="15" customHeight="1">
      <c r="A697" t="inlineStr">
        <is>
          <t>A 12720-2022</t>
        </is>
      </c>
      <c r="B697" s="1" t="n">
        <v>44641</v>
      </c>
      <c r="C697" s="1" t="n">
        <v>46176</v>
      </c>
      <c r="D697" t="inlineStr">
        <is>
          <t>ÖSTERGÖTLANDS LÄN</t>
        </is>
      </c>
      <c r="E697" t="inlineStr">
        <is>
          <t>LINKÖPING</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62018-2024</t>
        </is>
      </c>
      <c r="B698" s="1" t="n">
        <v>45655.81387731482</v>
      </c>
      <c r="C698" s="1" t="n">
        <v>46176</v>
      </c>
      <c r="D698" t="inlineStr">
        <is>
          <t>ÖSTERGÖTLANDS LÄN</t>
        </is>
      </c>
      <c r="E698" t="inlineStr">
        <is>
          <t>LINKÖPING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30551-2023</t>
        </is>
      </c>
      <c r="B699" s="1" t="n">
        <v>45111</v>
      </c>
      <c r="C699" s="1" t="n">
        <v>46176</v>
      </c>
      <c r="D699" t="inlineStr">
        <is>
          <t>ÖSTERGÖTLANDS LÄN</t>
        </is>
      </c>
      <c r="E699" t="inlineStr">
        <is>
          <t>LINKÖPING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30860-2022</t>
        </is>
      </c>
      <c r="B700" s="1" t="n">
        <v>44767</v>
      </c>
      <c r="C700" s="1" t="n">
        <v>46176</v>
      </c>
      <c r="D700" t="inlineStr">
        <is>
          <t>ÖSTERGÖTLANDS LÄN</t>
        </is>
      </c>
      <c r="E700" t="inlineStr">
        <is>
          <t>LINKÖPING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60004-2022</t>
        </is>
      </c>
      <c r="B701" s="1" t="n">
        <v>44909.47206018519</v>
      </c>
      <c r="C701" s="1" t="n">
        <v>46176</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60010-2022</t>
        </is>
      </c>
      <c r="B702" s="1" t="n">
        <v>44909.4740625</v>
      </c>
      <c r="C702" s="1" t="n">
        <v>46176</v>
      </c>
      <c r="D702" t="inlineStr">
        <is>
          <t>ÖSTERGÖTLANDS LÄN</t>
        </is>
      </c>
      <c r="E702" t="inlineStr">
        <is>
          <t>LINKÖPING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53827-2023</t>
        </is>
      </c>
      <c r="B703" s="1" t="n">
        <v>45230</v>
      </c>
      <c r="C703" s="1" t="n">
        <v>46176</v>
      </c>
      <c r="D703" t="inlineStr">
        <is>
          <t>ÖSTERGÖTLANDS LÄN</t>
        </is>
      </c>
      <c r="E703" t="inlineStr">
        <is>
          <t>LINKÖPING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61649-2023</t>
        </is>
      </c>
      <c r="B704" s="1" t="n">
        <v>45265</v>
      </c>
      <c r="C704" s="1" t="n">
        <v>46176</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223-2024</t>
        </is>
      </c>
      <c r="B705" s="1" t="n">
        <v>45294.72739583333</v>
      </c>
      <c r="C705" s="1" t="n">
        <v>46176</v>
      </c>
      <c r="D705" t="inlineStr">
        <is>
          <t>ÖSTERGÖTLANDS LÄN</t>
        </is>
      </c>
      <c r="E705" t="inlineStr">
        <is>
          <t>LINKÖPING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19464-2024</t>
        </is>
      </c>
      <c r="B706" s="1" t="n">
        <v>45429</v>
      </c>
      <c r="C706" s="1" t="n">
        <v>46176</v>
      </c>
      <c r="D706" t="inlineStr">
        <is>
          <t>ÖSTERGÖTLANDS LÄN</t>
        </is>
      </c>
      <c r="E706" t="inlineStr">
        <is>
          <t>LINKÖPING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630-2024</t>
        </is>
      </c>
      <c r="B707" s="1" t="n">
        <v>45299.67736111111</v>
      </c>
      <c r="C707" s="1" t="n">
        <v>46176</v>
      </c>
      <c r="D707" t="inlineStr">
        <is>
          <t>ÖSTERGÖTLANDS LÄN</t>
        </is>
      </c>
      <c r="E707" t="inlineStr">
        <is>
          <t>LINKÖPING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30433-2024</t>
        </is>
      </c>
      <c r="B708" s="1" t="n">
        <v>45491.69741898148</v>
      </c>
      <c r="C708" s="1" t="n">
        <v>46176</v>
      </c>
      <c r="D708" t="inlineStr">
        <is>
          <t>ÖSTERGÖTLANDS LÄN</t>
        </is>
      </c>
      <c r="E708" t="inlineStr">
        <is>
          <t>LINKÖPING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63528-2023</t>
        </is>
      </c>
      <c r="B709" s="1" t="n">
        <v>45274.94810185185</v>
      </c>
      <c r="C709" s="1" t="n">
        <v>46176</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61936-2023</t>
        </is>
      </c>
      <c r="B710" s="1" t="n">
        <v>45266.54534722222</v>
      </c>
      <c r="C710" s="1" t="n">
        <v>46176</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62492-2023</t>
        </is>
      </c>
      <c r="B711" s="1" t="n">
        <v>45268.58987268519</v>
      </c>
      <c r="C711" s="1" t="n">
        <v>46176</v>
      </c>
      <c r="D711" t="inlineStr">
        <is>
          <t>ÖSTERGÖTLANDS LÄN</t>
        </is>
      </c>
      <c r="E711" t="inlineStr">
        <is>
          <t>LINKÖPING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674-2024</t>
        </is>
      </c>
      <c r="B712" s="1" t="n">
        <v>45300.34408564815</v>
      </c>
      <c r="C712" s="1" t="n">
        <v>46176</v>
      </c>
      <c r="D712" t="inlineStr">
        <is>
          <t>ÖSTERGÖTLANDS LÄN</t>
        </is>
      </c>
      <c r="E712" t="inlineStr">
        <is>
          <t>LINKÖPING</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6782-2024</t>
        </is>
      </c>
      <c r="B713" s="1" t="n">
        <v>45342</v>
      </c>
      <c r="C713" s="1" t="n">
        <v>46176</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10094-2024</t>
        </is>
      </c>
      <c r="B714" s="1" t="n">
        <v>45364</v>
      </c>
      <c r="C714" s="1" t="n">
        <v>46176</v>
      </c>
      <c r="D714" t="inlineStr">
        <is>
          <t>ÖSTERGÖTLANDS LÄN</t>
        </is>
      </c>
      <c r="E714" t="inlineStr">
        <is>
          <t>LINKÖPING</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63684-2023</t>
        </is>
      </c>
      <c r="B715" s="1" t="n">
        <v>45275</v>
      </c>
      <c r="C715" s="1" t="n">
        <v>46176</v>
      </c>
      <c r="D715" t="inlineStr">
        <is>
          <t>ÖSTERGÖTLANDS LÄN</t>
        </is>
      </c>
      <c r="E715" t="inlineStr">
        <is>
          <t>LINKÖPING</t>
        </is>
      </c>
      <c r="G715" t="n">
        <v>0.4</v>
      </c>
      <c r="H715" t="n">
        <v>0</v>
      </c>
      <c r="I715" t="n">
        <v>0</v>
      </c>
      <c r="J715" t="n">
        <v>0</v>
      </c>
      <c r="K715" t="n">
        <v>0</v>
      </c>
      <c r="L715" t="n">
        <v>0</v>
      </c>
      <c r="M715" t="n">
        <v>0</v>
      </c>
      <c r="N715" t="n">
        <v>0</v>
      </c>
      <c r="O715" t="n">
        <v>0</v>
      </c>
      <c r="P715" t="n">
        <v>0</v>
      </c>
      <c r="Q715" t="n">
        <v>0</v>
      </c>
      <c r="R715" s="2" t="inlineStr"/>
    </row>
    <row r="716" ht="15" customHeight="1">
      <c r="A716" t="inlineStr">
        <is>
          <t>A 63688-2023</t>
        </is>
      </c>
      <c r="B716" s="1" t="n">
        <v>45275</v>
      </c>
      <c r="C716" s="1" t="n">
        <v>46176</v>
      </c>
      <c r="D716" t="inlineStr">
        <is>
          <t>ÖSTERGÖTLANDS LÄN</t>
        </is>
      </c>
      <c r="E716" t="inlineStr">
        <is>
          <t>LINKÖPING</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63691-2023</t>
        </is>
      </c>
      <c r="B717" s="1" t="n">
        <v>45275</v>
      </c>
      <c r="C717" s="1" t="n">
        <v>46176</v>
      </c>
      <c r="D717" t="inlineStr">
        <is>
          <t>ÖSTERGÖTLANDS LÄN</t>
        </is>
      </c>
      <c r="E717" t="inlineStr">
        <is>
          <t>LINKÖPING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36657-2023</t>
        </is>
      </c>
      <c r="B718" s="1" t="n">
        <v>45153.5702662037</v>
      </c>
      <c r="C718" s="1" t="n">
        <v>46176</v>
      </c>
      <c r="D718" t="inlineStr">
        <is>
          <t>ÖSTERGÖTLANDS LÄN</t>
        </is>
      </c>
      <c r="E718" t="inlineStr">
        <is>
          <t>LINKÖPING</t>
        </is>
      </c>
      <c r="F718" t="inlineStr">
        <is>
          <t>Allmännings- och besparingsskogar</t>
        </is>
      </c>
      <c r="G718" t="n">
        <v>2</v>
      </c>
      <c r="H718" t="n">
        <v>0</v>
      </c>
      <c r="I718" t="n">
        <v>0</v>
      </c>
      <c r="J718" t="n">
        <v>0</v>
      </c>
      <c r="K718" t="n">
        <v>0</v>
      </c>
      <c r="L718" t="n">
        <v>0</v>
      </c>
      <c r="M718" t="n">
        <v>0</v>
      </c>
      <c r="N718" t="n">
        <v>0</v>
      </c>
      <c r="O718" t="n">
        <v>0</v>
      </c>
      <c r="P718" t="n">
        <v>0</v>
      </c>
      <c r="Q718" t="n">
        <v>0</v>
      </c>
      <c r="R718" s="2" t="inlineStr"/>
    </row>
    <row r="719" ht="15" customHeight="1">
      <c r="A719" t="inlineStr">
        <is>
          <t>A 14667-2024</t>
        </is>
      </c>
      <c r="B719" s="1" t="n">
        <v>45397.42005787037</v>
      </c>
      <c r="C719" s="1" t="n">
        <v>46176</v>
      </c>
      <c r="D719" t="inlineStr">
        <is>
          <t>ÖSTERGÖTLANDS LÄN</t>
        </is>
      </c>
      <c r="E719" t="inlineStr">
        <is>
          <t>LINKÖPING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15714-2024</t>
        </is>
      </c>
      <c r="B720" s="1" t="n">
        <v>45404.48288194444</v>
      </c>
      <c r="C720" s="1" t="n">
        <v>46176</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37715-2022</t>
        </is>
      </c>
      <c r="B721" s="1" t="n">
        <v>44810</v>
      </c>
      <c r="C721" s="1" t="n">
        <v>46176</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30429-2024</t>
        </is>
      </c>
      <c r="B722" s="1" t="n">
        <v>45491.68972222223</v>
      </c>
      <c r="C722" s="1" t="n">
        <v>46176</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30435-2024</t>
        </is>
      </c>
      <c r="B723" s="1" t="n">
        <v>45491.69962962963</v>
      </c>
      <c r="C723" s="1" t="n">
        <v>46176</v>
      </c>
      <c r="D723" t="inlineStr">
        <is>
          <t>ÖSTERGÖTLANDS LÄN</t>
        </is>
      </c>
      <c r="E723" t="inlineStr">
        <is>
          <t>LINKÖPING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38231-2022</t>
        </is>
      </c>
      <c r="B724" s="1" t="n">
        <v>44812</v>
      </c>
      <c r="C724" s="1" t="n">
        <v>46176</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34557-2022</t>
        </is>
      </c>
      <c r="B725" s="1" t="n">
        <v>44794.57074074074</v>
      </c>
      <c r="C725" s="1" t="n">
        <v>46176</v>
      </c>
      <c r="D725" t="inlineStr">
        <is>
          <t>ÖSTERGÖTLANDS LÄN</t>
        </is>
      </c>
      <c r="E725" t="inlineStr">
        <is>
          <t>LINKÖPING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13011-2022</t>
        </is>
      </c>
      <c r="B726" s="1" t="n">
        <v>44643</v>
      </c>
      <c r="C726" s="1" t="n">
        <v>46176</v>
      </c>
      <c r="D726" t="inlineStr">
        <is>
          <t>ÖSTERGÖTLANDS LÄN</t>
        </is>
      </c>
      <c r="E726" t="inlineStr">
        <is>
          <t>LINKÖPING</t>
        </is>
      </c>
      <c r="G726" t="n">
        <v>3.7</v>
      </c>
      <c r="H726" t="n">
        <v>0</v>
      </c>
      <c r="I726" t="n">
        <v>0</v>
      </c>
      <c r="J726" t="n">
        <v>0</v>
      </c>
      <c r="K726" t="n">
        <v>0</v>
      </c>
      <c r="L726" t="n">
        <v>0</v>
      </c>
      <c r="M726" t="n">
        <v>0</v>
      </c>
      <c r="N726" t="n">
        <v>0</v>
      </c>
      <c r="O726" t="n">
        <v>0</v>
      </c>
      <c r="P726" t="n">
        <v>0</v>
      </c>
      <c r="Q726" t="n">
        <v>0</v>
      </c>
      <c r="R726" s="2" t="inlineStr"/>
    </row>
    <row r="727" ht="15" customHeight="1">
      <c r="A727" t="inlineStr">
        <is>
          <t>A 617-2024</t>
        </is>
      </c>
      <c r="B727" s="1" t="n">
        <v>45299.66028935185</v>
      </c>
      <c r="C727" s="1" t="n">
        <v>46176</v>
      </c>
      <c r="D727" t="inlineStr">
        <is>
          <t>ÖSTERGÖTLANDS LÄN</t>
        </is>
      </c>
      <c r="E727" t="inlineStr">
        <is>
          <t>LINKÖPING</t>
        </is>
      </c>
      <c r="G727" t="n">
        <v>1.4</v>
      </c>
      <c r="H727" t="n">
        <v>0</v>
      </c>
      <c r="I727" t="n">
        <v>0</v>
      </c>
      <c r="J727" t="n">
        <v>0</v>
      </c>
      <c r="K727" t="n">
        <v>0</v>
      </c>
      <c r="L727" t="n">
        <v>0</v>
      </c>
      <c r="M727" t="n">
        <v>0</v>
      </c>
      <c r="N727" t="n">
        <v>0</v>
      </c>
      <c r="O727" t="n">
        <v>0</v>
      </c>
      <c r="P727" t="n">
        <v>0</v>
      </c>
      <c r="Q727" t="n">
        <v>0</v>
      </c>
      <c r="R727" s="2" t="inlineStr"/>
    </row>
    <row r="728" ht="15" customHeight="1">
      <c r="A728" t="inlineStr">
        <is>
          <t>A 19362-2023</t>
        </is>
      </c>
      <c r="B728" s="1" t="n">
        <v>45049</v>
      </c>
      <c r="C728" s="1" t="n">
        <v>46176</v>
      </c>
      <c r="D728" t="inlineStr">
        <is>
          <t>ÖSTERGÖTLANDS LÄN</t>
        </is>
      </c>
      <c r="E728" t="inlineStr">
        <is>
          <t>LINKÖPING</t>
        </is>
      </c>
      <c r="G728" t="n">
        <v>0.1</v>
      </c>
      <c r="H728" t="n">
        <v>0</v>
      </c>
      <c r="I728" t="n">
        <v>0</v>
      </c>
      <c r="J728" t="n">
        <v>0</v>
      </c>
      <c r="K728" t="n">
        <v>0</v>
      </c>
      <c r="L728" t="n">
        <v>0</v>
      </c>
      <c r="M728" t="n">
        <v>0</v>
      </c>
      <c r="N728" t="n">
        <v>0</v>
      </c>
      <c r="O728" t="n">
        <v>0</v>
      </c>
      <c r="P728" t="n">
        <v>0</v>
      </c>
      <c r="Q728" t="n">
        <v>0</v>
      </c>
      <c r="R728" s="2" t="inlineStr"/>
    </row>
    <row r="729" ht="15" customHeight="1">
      <c r="A729" t="inlineStr">
        <is>
          <t>A 19132-2023</t>
        </is>
      </c>
      <c r="B729" s="1" t="n">
        <v>45048.54754629629</v>
      </c>
      <c r="C729" s="1" t="n">
        <v>46176</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31635-2023</t>
        </is>
      </c>
      <c r="B730" s="1" t="n">
        <v>45105</v>
      </c>
      <c r="C730" s="1" t="n">
        <v>46176</v>
      </c>
      <c r="D730" t="inlineStr">
        <is>
          <t>ÖSTERGÖTLANDS LÄN</t>
        </is>
      </c>
      <c r="E730" t="inlineStr">
        <is>
          <t>LINKÖPING</t>
        </is>
      </c>
      <c r="F730" t="inlineStr">
        <is>
          <t>Övriga statliga verk och myndigheter</t>
        </is>
      </c>
      <c r="G730" t="n">
        <v>4.6</v>
      </c>
      <c r="H730" t="n">
        <v>0</v>
      </c>
      <c r="I730" t="n">
        <v>0</v>
      </c>
      <c r="J730" t="n">
        <v>0</v>
      </c>
      <c r="K730" t="n">
        <v>0</v>
      </c>
      <c r="L730" t="n">
        <v>0</v>
      </c>
      <c r="M730" t="n">
        <v>0</v>
      </c>
      <c r="N730" t="n">
        <v>0</v>
      </c>
      <c r="O730" t="n">
        <v>0</v>
      </c>
      <c r="P730" t="n">
        <v>0</v>
      </c>
      <c r="Q730" t="n">
        <v>0</v>
      </c>
      <c r="R730" s="2" t="inlineStr"/>
    </row>
    <row r="731" ht="15" customHeight="1">
      <c r="A731" t="inlineStr">
        <is>
          <t>A 20296-2025</t>
        </is>
      </c>
      <c r="B731" s="1" t="n">
        <v>45774.74922453704</v>
      </c>
      <c r="C731" s="1" t="n">
        <v>46176</v>
      </c>
      <c r="D731" t="inlineStr">
        <is>
          <t>ÖSTERGÖTLANDS LÄN</t>
        </is>
      </c>
      <c r="E731" t="inlineStr">
        <is>
          <t>LINKÖPING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22770-2024</t>
        </is>
      </c>
      <c r="B732" s="1" t="n">
        <v>45448.4634375</v>
      </c>
      <c r="C732" s="1" t="n">
        <v>46176</v>
      </c>
      <c r="D732" t="inlineStr">
        <is>
          <t>ÖSTERGÖTLANDS LÄN</t>
        </is>
      </c>
      <c r="E732" t="inlineStr">
        <is>
          <t>LINKÖPING</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11595-2025</t>
        </is>
      </c>
      <c r="B733" s="1" t="n">
        <v>45727.41893518518</v>
      </c>
      <c r="C733" s="1" t="n">
        <v>46176</v>
      </c>
      <c r="D733" t="inlineStr">
        <is>
          <t>ÖSTERGÖTLANDS LÄN</t>
        </is>
      </c>
      <c r="E733" t="inlineStr">
        <is>
          <t>LINKÖPING</t>
        </is>
      </c>
      <c r="G733" t="n">
        <v>6.6</v>
      </c>
      <c r="H733" t="n">
        <v>0</v>
      </c>
      <c r="I733" t="n">
        <v>0</v>
      </c>
      <c r="J733" t="n">
        <v>0</v>
      </c>
      <c r="K733" t="n">
        <v>0</v>
      </c>
      <c r="L733" t="n">
        <v>0</v>
      </c>
      <c r="M733" t="n">
        <v>0</v>
      </c>
      <c r="N733" t="n">
        <v>0</v>
      </c>
      <c r="O733" t="n">
        <v>0</v>
      </c>
      <c r="P733" t="n">
        <v>0</v>
      </c>
      <c r="Q733" t="n">
        <v>0</v>
      </c>
      <c r="R733" s="2" t="inlineStr"/>
    </row>
    <row r="734" ht="15" customHeight="1">
      <c r="A734" t="inlineStr">
        <is>
          <t>A 48839-2022</t>
        </is>
      </c>
      <c r="B734" s="1" t="n">
        <v>44859</v>
      </c>
      <c r="C734" s="1" t="n">
        <v>46176</v>
      </c>
      <c r="D734" t="inlineStr">
        <is>
          <t>ÖSTERGÖTLANDS LÄN</t>
        </is>
      </c>
      <c r="E734" t="inlineStr">
        <is>
          <t>LINKÖPING</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8967-2025</t>
        </is>
      </c>
      <c r="B735" s="1" t="n">
        <v>45712</v>
      </c>
      <c r="C735" s="1" t="n">
        <v>46176</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63678-2023</t>
        </is>
      </c>
      <c r="B736" s="1" t="n">
        <v>45275.64769675926</v>
      </c>
      <c r="C736" s="1" t="n">
        <v>46176</v>
      </c>
      <c r="D736" t="inlineStr">
        <is>
          <t>ÖSTERGÖTLANDS LÄN</t>
        </is>
      </c>
      <c r="E736" t="inlineStr">
        <is>
          <t>LINKÖPING</t>
        </is>
      </c>
      <c r="F736" t="inlineStr">
        <is>
          <t>Övriga Aktiebolag</t>
        </is>
      </c>
      <c r="G736" t="n">
        <v>0.4</v>
      </c>
      <c r="H736" t="n">
        <v>0</v>
      </c>
      <c r="I736" t="n">
        <v>0</v>
      </c>
      <c r="J736" t="n">
        <v>0</v>
      </c>
      <c r="K736" t="n">
        <v>0</v>
      </c>
      <c r="L736" t="n">
        <v>0</v>
      </c>
      <c r="M736" t="n">
        <v>0</v>
      </c>
      <c r="N736" t="n">
        <v>0</v>
      </c>
      <c r="O736" t="n">
        <v>0</v>
      </c>
      <c r="P736" t="n">
        <v>0</v>
      </c>
      <c r="Q736" t="n">
        <v>0</v>
      </c>
      <c r="R736" s="2" t="inlineStr"/>
    </row>
    <row r="737" ht="15" customHeight="1">
      <c r="A737" t="inlineStr">
        <is>
          <t>A 1844-2025</t>
        </is>
      </c>
      <c r="B737" s="1" t="n">
        <v>45671.57730324074</v>
      </c>
      <c r="C737" s="1" t="n">
        <v>46176</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21165-2025</t>
        </is>
      </c>
      <c r="B738" s="1" t="n">
        <v>45779.39417824074</v>
      </c>
      <c r="C738" s="1" t="n">
        <v>46176</v>
      </c>
      <c r="D738" t="inlineStr">
        <is>
          <t>ÖSTERGÖTLANDS LÄN</t>
        </is>
      </c>
      <c r="E738" t="inlineStr">
        <is>
          <t>LINKÖPING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21155-2025</t>
        </is>
      </c>
      <c r="B739" s="1" t="n">
        <v>45779.37586805555</v>
      </c>
      <c r="C739" s="1" t="n">
        <v>46176</v>
      </c>
      <c r="D739" t="inlineStr">
        <is>
          <t>ÖSTERGÖTLANDS LÄN</t>
        </is>
      </c>
      <c r="E739" t="inlineStr">
        <is>
          <t>LINKÖPING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22264-2025</t>
        </is>
      </c>
      <c r="B740" s="1" t="n">
        <v>45785</v>
      </c>
      <c r="C740" s="1" t="n">
        <v>46176</v>
      </c>
      <c r="D740" t="inlineStr">
        <is>
          <t>ÖSTERGÖTLANDS LÄN</t>
        </is>
      </c>
      <c r="E740" t="inlineStr">
        <is>
          <t>LINKÖPING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9473-2024</t>
        </is>
      </c>
      <c r="B741" s="1" t="n">
        <v>45359.55474537037</v>
      </c>
      <c r="C741" s="1" t="n">
        <v>46176</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6859-2024</t>
        </is>
      </c>
      <c r="B742" s="1" t="n">
        <v>45342</v>
      </c>
      <c r="C742" s="1" t="n">
        <v>46176</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44287-2024</t>
        </is>
      </c>
      <c r="B743" s="1" t="n">
        <v>45573.50582175926</v>
      </c>
      <c r="C743" s="1" t="n">
        <v>46176</v>
      </c>
      <c r="D743" t="inlineStr">
        <is>
          <t>ÖSTERGÖTLANDS LÄN</t>
        </is>
      </c>
      <c r="E743" t="inlineStr">
        <is>
          <t>LINKÖPING</t>
        </is>
      </c>
      <c r="G743" t="n">
        <v>12.7</v>
      </c>
      <c r="H743" t="n">
        <v>0</v>
      </c>
      <c r="I743" t="n">
        <v>0</v>
      </c>
      <c r="J743" t="n">
        <v>0</v>
      </c>
      <c r="K743" t="n">
        <v>0</v>
      </c>
      <c r="L743" t="n">
        <v>0</v>
      </c>
      <c r="M743" t="n">
        <v>0</v>
      </c>
      <c r="N743" t="n">
        <v>0</v>
      </c>
      <c r="O743" t="n">
        <v>0</v>
      </c>
      <c r="P743" t="n">
        <v>0</v>
      </c>
      <c r="Q743" t="n">
        <v>0</v>
      </c>
      <c r="R743" s="2" t="inlineStr"/>
    </row>
    <row r="744" ht="15" customHeight="1">
      <c r="A744" t="inlineStr">
        <is>
          <t>A 22364-2025</t>
        </is>
      </c>
      <c r="B744" s="1" t="n">
        <v>45786.46930555555</v>
      </c>
      <c r="C744" s="1" t="n">
        <v>46176</v>
      </c>
      <c r="D744" t="inlineStr">
        <is>
          <t>ÖSTERGÖTLANDS LÄN</t>
        </is>
      </c>
      <c r="E744" t="inlineStr">
        <is>
          <t>LINKÖPING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572-2025</t>
        </is>
      </c>
      <c r="B745" s="1" t="n">
        <v>45664.56349537037</v>
      </c>
      <c r="C745" s="1" t="n">
        <v>46176</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10797-2024</t>
        </is>
      </c>
      <c r="B746" s="1" t="n">
        <v>45369.6190162037</v>
      </c>
      <c r="C746" s="1" t="n">
        <v>46176</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38580-2024</t>
        </is>
      </c>
      <c r="B747" s="1" t="n">
        <v>45546.64825231482</v>
      </c>
      <c r="C747" s="1" t="n">
        <v>46176</v>
      </c>
      <c r="D747" t="inlineStr">
        <is>
          <t>ÖSTERGÖTLANDS LÄN</t>
        </is>
      </c>
      <c r="E747" t="inlineStr">
        <is>
          <t>LINKÖPING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57752-2023</t>
        </is>
      </c>
      <c r="B748" s="1" t="n">
        <v>45246.78474537037</v>
      </c>
      <c r="C748" s="1" t="n">
        <v>46176</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29312-2024</t>
        </is>
      </c>
      <c r="B749" s="1" t="n">
        <v>45483</v>
      </c>
      <c r="C749" s="1" t="n">
        <v>46176</v>
      </c>
      <c r="D749" t="inlineStr">
        <is>
          <t>ÖSTERGÖTLANDS LÄN</t>
        </is>
      </c>
      <c r="E749" t="inlineStr">
        <is>
          <t>LINKÖPING</t>
        </is>
      </c>
      <c r="G749" t="n">
        <v>2.1</v>
      </c>
      <c r="H749" t="n">
        <v>0</v>
      </c>
      <c r="I749" t="n">
        <v>0</v>
      </c>
      <c r="J749" t="n">
        <v>0</v>
      </c>
      <c r="K749" t="n">
        <v>0</v>
      </c>
      <c r="L749" t="n">
        <v>0</v>
      </c>
      <c r="M749" t="n">
        <v>0</v>
      </c>
      <c r="N749" t="n">
        <v>0</v>
      </c>
      <c r="O749" t="n">
        <v>0</v>
      </c>
      <c r="P749" t="n">
        <v>0</v>
      </c>
      <c r="Q749" t="n">
        <v>0</v>
      </c>
      <c r="R749" s="2" t="inlineStr"/>
    </row>
    <row r="750" ht="15" customHeight="1">
      <c r="A750" t="inlineStr">
        <is>
          <t>A 23120-2025</t>
        </is>
      </c>
      <c r="B750" s="1" t="n">
        <v>45791.37481481482</v>
      </c>
      <c r="C750" s="1" t="n">
        <v>46176</v>
      </c>
      <c r="D750" t="inlineStr">
        <is>
          <t>ÖSTERGÖTLANDS LÄN</t>
        </is>
      </c>
      <c r="E750" t="inlineStr">
        <is>
          <t>LINKÖPING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23768-2025</t>
        </is>
      </c>
      <c r="B751" s="1" t="n">
        <v>45793.47493055555</v>
      </c>
      <c r="C751" s="1" t="n">
        <v>46176</v>
      </c>
      <c r="D751" t="inlineStr">
        <is>
          <t>ÖSTERGÖTLANDS LÄN</t>
        </is>
      </c>
      <c r="E751" t="inlineStr">
        <is>
          <t>LINKÖPING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48699-2024</t>
        </is>
      </c>
      <c r="B752" s="1" t="n">
        <v>45593.52091435185</v>
      </c>
      <c r="C752" s="1" t="n">
        <v>46176</v>
      </c>
      <c r="D752" t="inlineStr">
        <is>
          <t>ÖSTERGÖTLANDS LÄN</t>
        </is>
      </c>
      <c r="E752" t="inlineStr">
        <is>
          <t>LINKÖPING</t>
        </is>
      </c>
      <c r="G752" t="n">
        <v>1.3</v>
      </c>
      <c r="H752" t="n">
        <v>0</v>
      </c>
      <c r="I752" t="n">
        <v>0</v>
      </c>
      <c r="J752" t="n">
        <v>0</v>
      </c>
      <c r="K752" t="n">
        <v>0</v>
      </c>
      <c r="L752" t="n">
        <v>0</v>
      </c>
      <c r="M752" t="n">
        <v>0</v>
      </c>
      <c r="N752" t="n">
        <v>0</v>
      </c>
      <c r="O752" t="n">
        <v>0</v>
      </c>
      <c r="P752" t="n">
        <v>0</v>
      </c>
      <c r="Q752" t="n">
        <v>0</v>
      </c>
      <c r="R752" s="2" t="inlineStr"/>
    </row>
    <row r="753" ht="15" customHeight="1">
      <c r="A753" t="inlineStr">
        <is>
          <t>A 13911-2025</t>
        </is>
      </c>
      <c r="B753" s="1" t="n">
        <v>45737.64784722222</v>
      </c>
      <c r="C753" s="1" t="n">
        <v>46176</v>
      </c>
      <c r="D753" t="inlineStr">
        <is>
          <t>ÖSTERGÖTLANDS LÄN</t>
        </is>
      </c>
      <c r="E753" t="inlineStr">
        <is>
          <t>LINKÖPING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44280-2024</t>
        </is>
      </c>
      <c r="B754" s="1" t="n">
        <v>45573.49461805556</v>
      </c>
      <c r="C754" s="1" t="n">
        <v>46176</v>
      </c>
      <c r="D754" t="inlineStr">
        <is>
          <t>ÖSTERGÖTLANDS LÄN</t>
        </is>
      </c>
      <c r="E754" t="inlineStr">
        <is>
          <t>LINKÖPING</t>
        </is>
      </c>
      <c r="G754" t="n">
        <v>5.3</v>
      </c>
      <c r="H754" t="n">
        <v>0</v>
      </c>
      <c r="I754" t="n">
        <v>0</v>
      </c>
      <c r="J754" t="n">
        <v>0</v>
      </c>
      <c r="K754" t="n">
        <v>0</v>
      </c>
      <c r="L754" t="n">
        <v>0</v>
      </c>
      <c r="M754" t="n">
        <v>0</v>
      </c>
      <c r="N754" t="n">
        <v>0</v>
      </c>
      <c r="O754" t="n">
        <v>0</v>
      </c>
      <c r="P754" t="n">
        <v>0</v>
      </c>
      <c r="Q754" t="n">
        <v>0</v>
      </c>
      <c r="R754" s="2" t="inlineStr"/>
    </row>
    <row r="755" ht="15" customHeight="1">
      <c r="A755" t="inlineStr">
        <is>
          <t>A 26002-2025</t>
        </is>
      </c>
      <c r="B755" s="1" t="n">
        <v>45804.66534722222</v>
      </c>
      <c r="C755" s="1" t="n">
        <v>46176</v>
      </c>
      <c r="D755" t="inlineStr">
        <is>
          <t>ÖSTERGÖTLANDS LÄN</t>
        </is>
      </c>
      <c r="E755" t="inlineStr">
        <is>
          <t>LINKÖPING</t>
        </is>
      </c>
      <c r="G755" t="n">
        <v>2.5</v>
      </c>
      <c r="H755" t="n">
        <v>0</v>
      </c>
      <c r="I755" t="n">
        <v>0</v>
      </c>
      <c r="J755" t="n">
        <v>0</v>
      </c>
      <c r="K755" t="n">
        <v>0</v>
      </c>
      <c r="L755" t="n">
        <v>0</v>
      </c>
      <c r="M755" t="n">
        <v>0</v>
      </c>
      <c r="N755" t="n">
        <v>0</v>
      </c>
      <c r="O755" t="n">
        <v>0</v>
      </c>
      <c r="P755" t="n">
        <v>0</v>
      </c>
      <c r="Q755" t="n">
        <v>0</v>
      </c>
      <c r="R755" s="2" t="inlineStr"/>
    </row>
    <row r="756" ht="15" customHeight="1">
      <c r="A756" t="inlineStr">
        <is>
          <t>A 25996-2025</t>
        </is>
      </c>
      <c r="B756" s="1" t="n">
        <v>45804.65851851852</v>
      </c>
      <c r="C756" s="1" t="n">
        <v>46176</v>
      </c>
      <c r="D756" t="inlineStr">
        <is>
          <t>ÖSTERGÖTLANDS LÄN</t>
        </is>
      </c>
      <c r="E756" t="inlineStr">
        <is>
          <t>LINKÖPING</t>
        </is>
      </c>
      <c r="G756" t="n">
        <v>3.2</v>
      </c>
      <c r="H756" t="n">
        <v>0</v>
      </c>
      <c r="I756" t="n">
        <v>0</v>
      </c>
      <c r="J756" t="n">
        <v>0</v>
      </c>
      <c r="K756" t="n">
        <v>0</v>
      </c>
      <c r="L756" t="n">
        <v>0</v>
      </c>
      <c r="M756" t="n">
        <v>0</v>
      </c>
      <c r="N756" t="n">
        <v>0</v>
      </c>
      <c r="O756" t="n">
        <v>0</v>
      </c>
      <c r="P756" t="n">
        <v>0</v>
      </c>
      <c r="Q756" t="n">
        <v>0</v>
      </c>
      <c r="R756" s="2" t="inlineStr"/>
    </row>
    <row r="757" ht="15" customHeight="1">
      <c r="A757" t="inlineStr">
        <is>
          <t>A 27950-2025</t>
        </is>
      </c>
      <c r="B757" s="1" t="n">
        <v>45817.52960648148</v>
      </c>
      <c r="C757" s="1" t="n">
        <v>46176</v>
      </c>
      <c r="D757" t="inlineStr">
        <is>
          <t>ÖSTERGÖTLANDS LÄN</t>
        </is>
      </c>
      <c r="E757" t="inlineStr">
        <is>
          <t>LINKÖPING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27797-2025</t>
        </is>
      </c>
      <c r="B758" s="1" t="n">
        <v>45816.80521990741</v>
      </c>
      <c r="C758" s="1" t="n">
        <v>46176</v>
      </c>
      <c r="D758" t="inlineStr">
        <is>
          <t>ÖSTERGÖTLANDS LÄN</t>
        </is>
      </c>
      <c r="E758" t="inlineStr">
        <is>
          <t>LINKÖPING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27798-2025</t>
        </is>
      </c>
      <c r="B759" s="1" t="n">
        <v>45816.81532407407</v>
      </c>
      <c r="C759" s="1" t="n">
        <v>46176</v>
      </c>
      <c r="D759" t="inlineStr">
        <is>
          <t>ÖSTERGÖTLANDS LÄN</t>
        </is>
      </c>
      <c r="E759" t="inlineStr">
        <is>
          <t>LINKÖPING</t>
        </is>
      </c>
      <c r="G759" t="n">
        <v>1.9</v>
      </c>
      <c r="H759" t="n">
        <v>0</v>
      </c>
      <c r="I759" t="n">
        <v>0</v>
      </c>
      <c r="J759" t="n">
        <v>0</v>
      </c>
      <c r="K759" t="n">
        <v>0</v>
      </c>
      <c r="L759" t="n">
        <v>0</v>
      </c>
      <c r="M759" t="n">
        <v>0</v>
      </c>
      <c r="N759" t="n">
        <v>0</v>
      </c>
      <c r="O759" t="n">
        <v>0</v>
      </c>
      <c r="P759" t="n">
        <v>0</v>
      </c>
      <c r="Q759" t="n">
        <v>0</v>
      </c>
      <c r="R759" s="2" t="inlineStr"/>
    </row>
    <row r="760" ht="15" customHeight="1">
      <c r="A760" t="inlineStr">
        <is>
          <t>A 28200-2025</t>
        </is>
      </c>
      <c r="B760" s="1" t="n">
        <v>45818.4428125</v>
      </c>
      <c r="C760" s="1" t="n">
        <v>46176</v>
      </c>
      <c r="D760" t="inlineStr">
        <is>
          <t>ÖSTERGÖTLANDS LÄN</t>
        </is>
      </c>
      <c r="E760" t="inlineStr">
        <is>
          <t>LINKÖPING</t>
        </is>
      </c>
      <c r="G760" t="n">
        <v>1.4</v>
      </c>
      <c r="H760" t="n">
        <v>0</v>
      </c>
      <c r="I760" t="n">
        <v>0</v>
      </c>
      <c r="J760" t="n">
        <v>0</v>
      </c>
      <c r="K760" t="n">
        <v>0</v>
      </c>
      <c r="L760" t="n">
        <v>0</v>
      </c>
      <c r="M760" t="n">
        <v>0</v>
      </c>
      <c r="N760" t="n">
        <v>0</v>
      </c>
      <c r="O760" t="n">
        <v>0</v>
      </c>
      <c r="P760" t="n">
        <v>0</v>
      </c>
      <c r="Q760" t="n">
        <v>0</v>
      </c>
      <c r="R760" s="2" t="inlineStr"/>
    </row>
    <row r="761" ht="15" customHeight="1">
      <c r="A761" t="inlineStr">
        <is>
          <t>A 28204-2025</t>
        </is>
      </c>
      <c r="B761" s="1" t="n">
        <v>45818.4477662037</v>
      </c>
      <c r="C761" s="1" t="n">
        <v>46176</v>
      </c>
      <c r="D761" t="inlineStr">
        <is>
          <t>ÖSTERGÖTLANDS LÄN</t>
        </is>
      </c>
      <c r="E761" t="inlineStr">
        <is>
          <t>LINKÖPING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28416-2025</t>
        </is>
      </c>
      <c r="B762" s="1" t="n">
        <v>45819.35346064815</v>
      </c>
      <c r="C762" s="1" t="n">
        <v>46176</v>
      </c>
      <c r="D762" t="inlineStr">
        <is>
          <t>ÖSTERGÖTLANDS LÄN</t>
        </is>
      </c>
      <c r="E762" t="inlineStr">
        <is>
          <t>LINKÖPING</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28398-2025</t>
        </is>
      </c>
      <c r="B763" s="1" t="n">
        <v>45819.34208333334</v>
      </c>
      <c r="C763" s="1" t="n">
        <v>46176</v>
      </c>
      <c r="D763" t="inlineStr">
        <is>
          <t>ÖSTERGÖTLANDS LÄN</t>
        </is>
      </c>
      <c r="E763" t="inlineStr">
        <is>
          <t>LINKÖPING</t>
        </is>
      </c>
      <c r="F763" t="inlineStr">
        <is>
          <t>Sveaskog</t>
        </is>
      </c>
      <c r="G763" t="n">
        <v>7.9</v>
      </c>
      <c r="H763" t="n">
        <v>0</v>
      </c>
      <c r="I763" t="n">
        <v>0</v>
      </c>
      <c r="J763" t="n">
        <v>0</v>
      </c>
      <c r="K763" t="n">
        <v>0</v>
      </c>
      <c r="L763" t="n">
        <v>0</v>
      </c>
      <c r="M763" t="n">
        <v>0</v>
      </c>
      <c r="N763" t="n">
        <v>0</v>
      </c>
      <c r="O763" t="n">
        <v>0</v>
      </c>
      <c r="P763" t="n">
        <v>0</v>
      </c>
      <c r="Q763" t="n">
        <v>0</v>
      </c>
      <c r="R763" s="2" t="inlineStr"/>
    </row>
    <row r="764" ht="15" customHeight="1">
      <c r="A764" t="inlineStr">
        <is>
          <t>A 28209-2025</t>
        </is>
      </c>
      <c r="B764" s="1" t="n">
        <v>45818.45112268518</v>
      </c>
      <c r="C764" s="1" t="n">
        <v>46176</v>
      </c>
      <c r="D764" t="inlineStr">
        <is>
          <t>ÖSTERGÖTLANDS LÄN</t>
        </is>
      </c>
      <c r="E764" t="inlineStr">
        <is>
          <t>LINKÖPING</t>
        </is>
      </c>
      <c r="G764" t="n">
        <v>4.2</v>
      </c>
      <c r="H764" t="n">
        <v>0</v>
      </c>
      <c r="I764" t="n">
        <v>0</v>
      </c>
      <c r="J764" t="n">
        <v>0</v>
      </c>
      <c r="K764" t="n">
        <v>0</v>
      </c>
      <c r="L764" t="n">
        <v>0</v>
      </c>
      <c r="M764" t="n">
        <v>0</v>
      </c>
      <c r="N764" t="n">
        <v>0</v>
      </c>
      <c r="O764" t="n">
        <v>0</v>
      </c>
      <c r="P764" t="n">
        <v>0</v>
      </c>
      <c r="Q764" t="n">
        <v>0</v>
      </c>
      <c r="R764" s="2" t="inlineStr"/>
    </row>
    <row r="765" ht="15" customHeight="1">
      <c r="A765" t="inlineStr">
        <is>
          <t>A 29027-2025</t>
        </is>
      </c>
      <c r="B765" s="1" t="n">
        <v>45821.4375462963</v>
      </c>
      <c r="C765" s="1" t="n">
        <v>46176</v>
      </c>
      <c r="D765" t="inlineStr">
        <is>
          <t>ÖSTERGÖTLANDS LÄN</t>
        </is>
      </c>
      <c r="E765" t="inlineStr">
        <is>
          <t>LINKÖPING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29411-2025</t>
        </is>
      </c>
      <c r="B766" s="1" t="n">
        <v>45824.6219212963</v>
      </c>
      <c r="C766" s="1" t="n">
        <v>46176</v>
      </c>
      <c r="D766" t="inlineStr">
        <is>
          <t>ÖSTERGÖTLANDS LÄN</t>
        </is>
      </c>
      <c r="E766" t="inlineStr">
        <is>
          <t>LINKÖPING</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29599-2025</t>
        </is>
      </c>
      <c r="B767" s="1" t="n">
        <v>45825.41101851852</v>
      </c>
      <c r="C767" s="1" t="n">
        <v>46176</v>
      </c>
      <c r="D767" t="inlineStr">
        <is>
          <t>ÖSTERGÖTLANDS LÄN</t>
        </is>
      </c>
      <c r="E767" t="inlineStr">
        <is>
          <t>LINKÖPING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30355-2025</t>
        </is>
      </c>
      <c r="B768" s="1" t="n">
        <v>45827</v>
      </c>
      <c r="C768" s="1" t="n">
        <v>46176</v>
      </c>
      <c r="D768" t="inlineStr">
        <is>
          <t>ÖSTERGÖTLANDS LÄN</t>
        </is>
      </c>
      <c r="E768" t="inlineStr">
        <is>
          <t>LINKÖPING</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30353-2025</t>
        </is>
      </c>
      <c r="B769" s="1" t="n">
        <v>45827</v>
      </c>
      <c r="C769" s="1" t="n">
        <v>46176</v>
      </c>
      <c r="D769" t="inlineStr">
        <is>
          <t>ÖSTERGÖTLANDS LÄN</t>
        </is>
      </c>
      <c r="E769" t="inlineStr">
        <is>
          <t>LINKÖPING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31581-2025</t>
        </is>
      </c>
      <c r="B770" s="1" t="n">
        <v>45833.6840162037</v>
      </c>
      <c r="C770" s="1" t="n">
        <v>46176</v>
      </c>
      <c r="D770" t="inlineStr">
        <is>
          <t>ÖSTERGÖTLANDS LÄN</t>
        </is>
      </c>
      <c r="E770" t="inlineStr">
        <is>
          <t>LINKÖPING</t>
        </is>
      </c>
      <c r="G770" t="n">
        <v>2.6</v>
      </c>
      <c r="H770" t="n">
        <v>0</v>
      </c>
      <c r="I770" t="n">
        <v>0</v>
      </c>
      <c r="J770" t="n">
        <v>0</v>
      </c>
      <c r="K770" t="n">
        <v>0</v>
      </c>
      <c r="L770" t="n">
        <v>0</v>
      </c>
      <c r="M770" t="n">
        <v>0</v>
      </c>
      <c r="N770" t="n">
        <v>0</v>
      </c>
      <c r="O770" t="n">
        <v>0</v>
      </c>
      <c r="P770" t="n">
        <v>0</v>
      </c>
      <c r="Q770" t="n">
        <v>0</v>
      </c>
      <c r="R770" s="2" t="inlineStr"/>
    </row>
    <row r="771">
      <c r="A771" t="inlineStr">
        <is>
          <t>A 31585-2025</t>
        </is>
      </c>
      <c r="B771" s="1" t="n">
        <v>45833.68815972222</v>
      </c>
      <c r="C771" s="1" t="n">
        <v>46176</v>
      </c>
      <c r="D771" t="inlineStr">
        <is>
          <t>ÖSTERGÖTLANDS LÄN</t>
        </is>
      </c>
      <c r="E771" t="inlineStr">
        <is>
          <t>LINKÖPING</t>
        </is>
      </c>
      <c r="G771" t="n">
        <v>1.6</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2026-06-03T10:57:59Z</dcterms:created>
  <dcterms:modified xmlns:dcterms="http://purl.org/dc/terms/" xmlns:xsi="http://www.w3.org/2001/XMLSchema-instance" xsi:type="dcterms:W3CDTF">2026-06-03T10:58:00Z</dcterms:modified>
</cp:coreProperties>
</file>