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46119</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46119</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46119</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46119</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46119</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46119</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46119</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46119</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46119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46119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11048-2026</t>
        </is>
      </c>
      <c r="B19" s="1" t="n">
        <v>46079.58841435185</v>
      </c>
      <c r="C19" s="1" t="n">
        <v>46119</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46119</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46119</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46119</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46119</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46119</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46119</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46119</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46119</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46119</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46119</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46119</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46119</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46119</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46119</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46119</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50048-2025</t>
        </is>
      </c>
      <c r="B35" s="1" t="n">
        <v>45941</v>
      </c>
      <c r="C35" s="1" t="n">
        <v>46119</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49188-2024</t>
        </is>
      </c>
      <c r="B36" s="1" t="n">
        <v>45595</v>
      </c>
      <c r="C36" s="1" t="n">
        <v>46119</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46119</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46119</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46119</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46119</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12494-2026</t>
        </is>
      </c>
      <c r="B41" s="1" t="n">
        <v>46090.56896990741</v>
      </c>
      <c r="C41" s="1" t="n">
        <v>46119</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15856-2026</t>
        </is>
      </c>
      <c r="B42" s="1" t="n">
        <v>46107.57620370371</v>
      </c>
      <c r="C42" s="1" t="n">
        <v>46119</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46119</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46119</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46119</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46119</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46119</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27795-2025</t>
        </is>
      </c>
      <c r="B48" s="1" t="n">
        <v>45816.7908912037</v>
      </c>
      <c r="C48" s="1" t="n">
        <v>46119</v>
      </c>
      <c r="D48" t="inlineStr">
        <is>
          <t>ÖSTERGÖTLANDS LÄN</t>
        </is>
      </c>
      <c r="E48" t="inlineStr">
        <is>
          <t>LINKÖPING</t>
        </is>
      </c>
      <c r="G48" t="n">
        <v>5</v>
      </c>
      <c r="H48" t="n">
        <v>0</v>
      </c>
      <c r="I48" t="n">
        <v>0</v>
      </c>
      <c r="J48" t="n">
        <v>2</v>
      </c>
      <c r="K48" t="n">
        <v>0</v>
      </c>
      <c r="L48" t="n">
        <v>0</v>
      </c>
      <c r="M48" t="n">
        <v>0</v>
      </c>
      <c r="N48" t="n">
        <v>0</v>
      </c>
      <c r="O48" t="n">
        <v>2</v>
      </c>
      <c r="P48" t="n">
        <v>0</v>
      </c>
      <c r="Q48" t="n">
        <v>2</v>
      </c>
      <c r="R48" s="2" t="inlineStr">
        <is>
          <t>Svinrot
Ängsskära</t>
        </is>
      </c>
      <c r="S48">
        <f>HYPERLINK("https://klasma.github.io/Logging_0580/artfynd/A 27795-2025 artfynd.xlsx", "A 27795-2025")</f>
        <v/>
      </c>
      <c r="T48">
        <f>HYPERLINK("https://klasma.github.io/Logging_0580/kartor/A 27795-2025 karta.png", "A 27795-2025")</f>
        <v/>
      </c>
      <c r="V48">
        <f>HYPERLINK("https://klasma.github.io/Logging_0580/klagomål/A 27795-2025 FSC-klagomål.docx", "A 27795-2025")</f>
        <v/>
      </c>
      <c r="W48">
        <f>HYPERLINK("https://klasma.github.io/Logging_0580/klagomålsmail/A 27795-2025 FSC-klagomål mail.docx", "A 27795-2025")</f>
        <v/>
      </c>
      <c r="X48">
        <f>HYPERLINK("https://klasma.github.io/Logging_0580/tillsyn/A 27795-2025 tillsynsbegäran.docx", "A 27795-2025")</f>
        <v/>
      </c>
      <c r="Y48">
        <f>HYPERLINK("https://klasma.github.io/Logging_0580/tillsynsmail/A 27795-2025 tillsynsbegäran mail.docx", "A 27795-2025")</f>
        <v/>
      </c>
    </row>
    <row r="49" ht="15" customHeight="1">
      <c r="A49" t="inlineStr">
        <is>
          <t>A 38129-2021</t>
        </is>
      </c>
      <c r="B49" s="1" t="n">
        <v>44405.37199074074</v>
      </c>
      <c r="C49" s="1" t="n">
        <v>46119</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46119</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46119</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46119</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46119</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46119</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1716-2023</t>
        </is>
      </c>
      <c r="B55" s="1" t="n">
        <v>44938</v>
      </c>
      <c r="C55" s="1" t="n">
        <v>46119</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931-2025</t>
        </is>
      </c>
      <c r="B56" s="1" t="n">
        <v>45665.88498842593</v>
      </c>
      <c r="C56" s="1" t="n">
        <v>46119</v>
      </c>
      <c r="D56" t="inlineStr">
        <is>
          <t>ÖSTERGÖTLANDS LÄN</t>
        </is>
      </c>
      <c r="E56" t="inlineStr">
        <is>
          <t>LINKÖPING</t>
        </is>
      </c>
      <c r="F56" t="inlineStr">
        <is>
          <t>Övriga Aktiebolag</t>
        </is>
      </c>
      <c r="G56" t="n">
        <v>0.8</v>
      </c>
      <c r="H56" t="n">
        <v>0</v>
      </c>
      <c r="I56" t="n">
        <v>0</v>
      </c>
      <c r="J56" t="n">
        <v>1</v>
      </c>
      <c r="K56" t="n">
        <v>0</v>
      </c>
      <c r="L56" t="n">
        <v>0</v>
      </c>
      <c r="M56" t="n">
        <v>0</v>
      </c>
      <c r="N56" t="n">
        <v>0</v>
      </c>
      <c r="O56" t="n">
        <v>1</v>
      </c>
      <c r="P56" t="n">
        <v>0</v>
      </c>
      <c r="Q56" t="n">
        <v>1</v>
      </c>
      <c r="R56" s="2" t="inlineStr">
        <is>
          <t>Tallticka</t>
        </is>
      </c>
      <c r="S56">
        <f>HYPERLINK("https://klasma.github.io/Logging_0580/artfynd/A 931-2025 artfynd.xlsx", "A 931-2025")</f>
        <v/>
      </c>
      <c r="T56">
        <f>HYPERLINK("https://klasma.github.io/Logging_0580/kartor/A 931-2025 karta.png", "A 931-2025")</f>
        <v/>
      </c>
      <c r="V56">
        <f>HYPERLINK("https://klasma.github.io/Logging_0580/klagomål/A 931-2025 FSC-klagomål.docx", "A 931-2025")</f>
        <v/>
      </c>
      <c r="W56">
        <f>HYPERLINK("https://klasma.github.io/Logging_0580/klagomålsmail/A 931-2025 FSC-klagomål mail.docx", "A 931-2025")</f>
        <v/>
      </c>
      <c r="X56">
        <f>HYPERLINK("https://klasma.github.io/Logging_0580/tillsyn/A 931-2025 tillsynsbegäran.docx", "A 931-2025")</f>
        <v/>
      </c>
      <c r="Y56">
        <f>HYPERLINK("https://klasma.github.io/Logging_0580/tillsynsmail/A 931-2025 tillsynsbegäran mail.docx", "A 931-2025")</f>
        <v/>
      </c>
    </row>
    <row r="57" ht="15" customHeight="1">
      <c r="A57" t="inlineStr">
        <is>
          <t>A 1213-2023</t>
        </is>
      </c>
      <c r="B57" s="1" t="n">
        <v>44930</v>
      </c>
      <c r="C57" s="1" t="n">
        <v>46119</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46119</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46119</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37683-2024</t>
        </is>
      </c>
      <c r="B60" s="1" t="n">
        <v>45541.59120370371</v>
      </c>
      <c r="C60" s="1" t="n">
        <v>46119</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36723-2023</t>
        </is>
      </c>
      <c r="B61" s="1" t="n">
        <v>45153</v>
      </c>
      <c r="C61" s="1" t="n">
        <v>46119</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56651-2023</t>
        </is>
      </c>
      <c r="B62" s="1" t="n">
        <v>45243</v>
      </c>
      <c r="C62" s="1" t="n">
        <v>46119</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22526-2025</t>
        </is>
      </c>
      <c r="B63" s="1" t="n">
        <v>45786.78096064815</v>
      </c>
      <c r="C63" s="1" t="n">
        <v>46119</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17444-2025</t>
        </is>
      </c>
      <c r="B64" s="1" t="n">
        <v>45757.43452546297</v>
      </c>
      <c r="C64" s="1" t="n">
        <v>46119</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46119</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5911-2022</t>
        </is>
      </c>
      <c r="B66" s="1" t="n">
        <v>44597</v>
      </c>
      <c r="C66" s="1" t="n">
        <v>46119</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90-2024</t>
        </is>
      </c>
      <c r="B67" s="1" t="n">
        <v>45293</v>
      </c>
      <c r="C67" s="1" t="n">
        <v>46119</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46119</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43989-2025</t>
        </is>
      </c>
      <c r="B69" s="1" t="n">
        <v>45915.44128472222</v>
      </c>
      <c r="C69" s="1" t="n">
        <v>46119</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46119</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15290-2025</t>
        </is>
      </c>
      <c r="B71" s="1" t="n">
        <v>45745.45288194445</v>
      </c>
      <c r="C71" s="1" t="n">
        <v>46119</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48347-2025</t>
        </is>
      </c>
      <c r="B72" s="1" t="n">
        <v>45932</v>
      </c>
      <c r="C72" s="1" t="n">
        <v>46119</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48353-2025</t>
        </is>
      </c>
      <c r="B73" s="1" t="n">
        <v>45932</v>
      </c>
      <c r="C73" s="1" t="n">
        <v>46119</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46119</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34881-2023</t>
        </is>
      </c>
      <c r="B75" s="1" t="n">
        <v>45140</v>
      </c>
      <c r="C75" s="1" t="n">
        <v>46119</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48298-2025</t>
        </is>
      </c>
      <c r="B76" s="1" t="n">
        <v>45932</v>
      </c>
      <c r="C76" s="1" t="n">
        <v>46119</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50471-2024</t>
        </is>
      </c>
      <c r="B77" s="1" t="n">
        <v>45601.47166666666</v>
      </c>
      <c r="C77" s="1" t="n">
        <v>46119</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46119</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50034-2025</t>
        </is>
      </c>
      <c r="B79" s="1" t="n">
        <v>45941</v>
      </c>
      <c r="C79" s="1" t="n">
        <v>46119</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56128-2022</t>
        </is>
      </c>
      <c r="B80" s="1" t="n">
        <v>44889</v>
      </c>
      <c r="C80" s="1" t="n">
        <v>46119</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46119</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46119</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56112-2025</t>
        </is>
      </c>
      <c r="B83" s="1" t="n">
        <v>45973.73625</v>
      </c>
      <c r="C83" s="1" t="n">
        <v>46119</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126-2024</t>
        </is>
      </c>
      <c r="B84" s="1" t="n">
        <v>45294</v>
      </c>
      <c r="C84" s="1" t="n">
        <v>46119</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59474-2025</t>
        </is>
      </c>
      <c r="B85" s="1" t="n">
        <v>45989.58512731481</v>
      </c>
      <c r="C85" s="1" t="n">
        <v>46119</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46119</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3395-2023</t>
        </is>
      </c>
      <c r="B87" s="1" t="n">
        <v>44949</v>
      </c>
      <c r="C87" s="1" t="n">
        <v>46119</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46119</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46119</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46119</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46119</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46119</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46119</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46119</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46119</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46119</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27403-2025</t>
        </is>
      </c>
      <c r="B97" s="1" t="n">
        <v>45812.72518518518</v>
      </c>
      <c r="C97" s="1" t="n">
        <v>46119</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46119</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38881-2021</t>
        </is>
      </c>
      <c r="B99" s="1" t="n">
        <v>44411.46893518518</v>
      </c>
      <c r="C99" s="1" t="n">
        <v>46119</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46119</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46119</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46119</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46119</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46119</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46119</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46119</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46119</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46119</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46119</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46234-2022</t>
        </is>
      </c>
      <c r="B111" s="1" t="n">
        <v>44846</v>
      </c>
      <c r="C111" s="1" t="n">
        <v>46119</v>
      </c>
      <c r="D111" t="inlineStr">
        <is>
          <t>ÖSTERGÖTLANDS LÄN</t>
        </is>
      </c>
      <c r="E111" t="inlineStr">
        <is>
          <t>LINKÖPING</t>
        </is>
      </c>
      <c r="G111" t="n">
        <v>3.3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46119</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46119</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46119</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16715-2021</t>
        </is>
      </c>
      <c r="B115" s="1" t="n">
        <v>44294</v>
      </c>
      <c r="C115" s="1" t="n">
        <v>46119</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46119</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46119</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46119</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46119</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46119</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46119</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46119</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46119</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46119</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46119</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46119</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46119</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46119</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46119</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46119</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46119</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46119</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46119</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46119</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46119</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46119</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46119</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46119</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46119</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46119</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46119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46119</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46119</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46119</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46119</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46119</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46119</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46119</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46119</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46119</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46119</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46119</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46119</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46119</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46119</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46119</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46119</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46119</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46119</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46119</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46119</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46119</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46119</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46119</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46119</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46119</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46119</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46119</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46119</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46119</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46119</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46119</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46119</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46119</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46119</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46119</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46119</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46119</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46119</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46119</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46119</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46119</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46119</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46119</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46119</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46119</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46119</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46119</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22772-2024</t>
        </is>
      </c>
      <c r="B202" s="1" t="n">
        <v>45448.46712962963</v>
      </c>
      <c r="C202" s="1" t="n">
        <v>46119</v>
      </c>
      <c r="D202" t="inlineStr">
        <is>
          <t>ÖSTERGÖTLANDS LÄN</t>
        </is>
      </c>
      <c r="E202" t="inlineStr">
        <is>
          <t>LINKÖPING</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46119</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46119</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46119</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46119</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46119</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62488-2023</t>
        </is>
      </c>
      <c r="B208" s="1" t="n">
        <v>45268.5847337963</v>
      </c>
      <c r="C208" s="1" t="n">
        <v>46119</v>
      </c>
      <c r="D208" t="inlineStr">
        <is>
          <t>ÖSTERGÖTLANDS LÄN</t>
        </is>
      </c>
      <c r="E208" t="inlineStr">
        <is>
          <t>LINKÖPING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24351-2024</t>
        </is>
      </c>
      <c r="B209" s="1" t="n">
        <v>45457.59011574074</v>
      </c>
      <c r="C209" s="1" t="n">
        <v>46119</v>
      </c>
      <c r="D209" t="inlineStr">
        <is>
          <t>ÖSTERGÖTLANDS LÄN</t>
        </is>
      </c>
      <c r="E209" t="inlineStr">
        <is>
          <t>LINKÖPING</t>
        </is>
      </c>
      <c r="G209" t="n">
        <v>11.9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46119</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34877-2023</t>
        </is>
      </c>
      <c r="B211" s="1" t="n">
        <v>45140</v>
      </c>
      <c r="C211" s="1" t="n">
        <v>46119</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46119</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46119</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46119</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46119</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46119</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46119</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46119</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22771-2024</t>
        </is>
      </c>
      <c r="B219" s="1" t="n">
        <v>45448.46574074074</v>
      </c>
      <c r="C219" s="1" t="n">
        <v>46119</v>
      </c>
      <c r="D219" t="inlineStr">
        <is>
          <t>ÖSTERGÖTLANDS LÄN</t>
        </is>
      </c>
      <c r="E219" t="inlineStr">
        <is>
          <t>LINKÖPING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52220-2023</t>
        </is>
      </c>
      <c r="B220" s="1" t="n">
        <v>45217</v>
      </c>
      <c r="C220" s="1" t="n">
        <v>46119</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52225-2023</t>
        </is>
      </c>
      <c r="B221" s="1" t="n">
        <v>45217</v>
      </c>
      <c r="C221" s="1" t="n">
        <v>46119</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46119</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46119</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46119</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46119</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46119</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46119</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46119</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46119</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20291-2025</t>
        </is>
      </c>
      <c r="B230" s="1" t="n">
        <v>45774.74288194445</v>
      </c>
      <c r="C230" s="1" t="n">
        <v>46119</v>
      </c>
      <c r="D230" t="inlineStr">
        <is>
          <t>ÖSTERGÖTLANDS LÄN</t>
        </is>
      </c>
      <c r="E230" t="inlineStr">
        <is>
          <t>LINKÖPING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20293-2025</t>
        </is>
      </c>
      <c r="B231" s="1" t="n">
        <v>45774.74611111111</v>
      </c>
      <c r="C231" s="1" t="n">
        <v>46119</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46119</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46119</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46119</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50963-2021</t>
        </is>
      </c>
      <c r="B235" s="1" t="n">
        <v>44460</v>
      </c>
      <c r="C235" s="1" t="n">
        <v>46119</v>
      </c>
      <c r="D235" t="inlineStr">
        <is>
          <t>ÖSTERGÖTLANDS LÄN</t>
        </is>
      </c>
      <c r="E235" t="inlineStr">
        <is>
          <t>LINKÖPING</t>
        </is>
      </c>
      <c r="G235" t="n">
        <v>4.4</v>
      </c>
      <c r="H235" t="n">
        <v>0</v>
      </c>
      <c r="I235" t="n">
        <v>0</v>
      </c>
      <c r="J235" t="n">
        <v>0</v>
      </c>
      <c r="K235" t="n">
        <v>0</v>
      </c>
      <c r="L235" t="n">
        <v>0</v>
      </c>
      <c r="M235" t="n">
        <v>0</v>
      </c>
      <c r="N235" t="n">
        <v>0</v>
      </c>
      <c r="O235" t="n">
        <v>0</v>
      </c>
      <c r="P235" t="n">
        <v>0</v>
      </c>
      <c r="Q235" t="n">
        <v>0</v>
      </c>
      <c r="R235" s="2" t="inlineStr"/>
    </row>
    <row r="236" ht="15" customHeight="1">
      <c r="A236" t="inlineStr">
        <is>
          <t>A 61307-2021</t>
        </is>
      </c>
      <c r="B236" s="1" t="n">
        <v>44498.63928240741</v>
      </c>
      <c r="C236" s="1" t="n">
        <v>46119</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61325-2021</t>
        </is>
      </c>
      <c r="B237" s="1" t="n">
        <v>44498.66814814815</v>
      </c>
      <c r="C237" s="1" t="n">
        <v>46119</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46119</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46119</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46119</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46119</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46119</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55945-2024</t>
        </is>
      </c>
      <c r="B243" s="1" t="n">
        <v>45623.61754629629</v>
      </c>
      <c r="C243" s="1" t="n">
        <v>46119</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46119</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46119</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16665-2023</t>
        </is>
      </c>
      <c r="B246" s="1" t="n">
        <v>45030.5583912037</v>
      </c>
      <c r="C246" s="1" t="n">
        <v>46119</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38715-2023</t>
        </is>
      </c>
      <c r="B247" s="1" t="n">
        <v>45160</v>
      </c>
      <c r="C247" s="1" t="n">
        <v>46119</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46119</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46119</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34864-2023</t>
        </is>
      </c>
      <c r="B250" s="1" t="n">
        <v>45141</v>
      </c>
      <c r="C250" s="1" t="n">
        <v>46119</v>
      </c>
      <c r="D250" t="inlineStr">
        <is>
          <t>ÖSTERGÖTLANDS LÄN</t>
        </is>
      </c>
      <c r="E250" t="inlineStr">
        <is>
          <t>LINKÖPING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46119</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46119</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46119</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46119</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46119</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56180-2024</t>
        </is>
      </c>
      <c r="B256" s="1" t="n">
        <v>45624.56611111111</v>
      </c>
      <c r="C256" s="1" t="n">
        <v>46119</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44155-2024</t>
        </is>
      </c>
      <c r="B257" s="1" t="n">
        <v>45572.68226851852</v>
      </c>
      <c r="C257" s="1" t="n">
        <v>46119</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46119</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30434-2024</t>
        </is>
      </c>
      <c r="B259" s="1" t="n">
        <v>45491.69811342593</v>
      </c>
      <c r="C259" s="1" t="n">
        <v>46119</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56917-2022</t>
        </is>
      </c>
      <c r="B260" s="1" t="n">
        <v>44894</v>
      </c>
      <c r="C260" s="1" t="n">
        <v>46119</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57766-2023</t>
        </is>
      </c>
      <c r="B261" s="1" t="n">
        <v>45246</v>
      </c>
      <c r="C261" s="1" t="n">
        <v>46119</v>
      </c>
      <c r="D261" t="inlineStr">
        <is>
          <t>ÖSTERGÖTLANDS LÄN</t>
        </is>
      </c>
      <c r="E261" t="inlineStr">
        <is>
          <t>LINKÖPING</t>
        </is>
      </c>
      <c r="F261" t="inlineStr">
        <is>
          <t>Allmännings- och besparingsskogar</t>
        </is>
      </c>
      <c r="G261" t="n">
        <v>12.8</v>
      </c>
      <c r="H261" t="n">
        <v>0</v>
      </c>
      <c r="I261" t="n">
        <v>0</v>
      </c>
      <c r="J261" t="n">
        <v>0</v>
      </c>
      <c r="K261" t="n">
        <v>0</v>
      </c>
      <c r="L261" t="n">
        <v>0</v>
      </c>
      <c r="M261" t="n">
        <v>0</v>
      </c>
      <c r="N261" t="n">
        <v>0</v>
      </c>
      <c r="O261" t="n">
        <v>0</v>
      </c>
      <c r="P261" t="n">
        <v>0</v>
      </c>
      <c r="Q261" t="n">
        <v>0</v>
      </c>
      <c r="R261" s="2" t="inlineStr"/>
    </row>
    <row r="262" ht="15" customHeight="1">
      <c r="A262" t="inlineStr">
        <is>
          <t>A 25568-2024</t>
        </is>
      </c>
      <c r="B262" s="1" t="n">
        <v>45463.58699074074</v>
      </c>
      <c r="C262" s="1" t="n">
        <v>46119</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46119</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46119</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41345-2021</t>
        </is>
      </c>
      <c r="B265" s="1" t="n">
        <v>44424.61851851852</v>
      </c>
      <c r="C265" s="1" t="n">
        <v>46119</v>
      </c>
      <c r="D265" t="inlineStr">
        <is>
          <t>ÖSTERGÖTLANDS LÄN</t>
        </is>
      </c>
      <c r="E265" t="inlineStr">
        <is>
          <t>LINKÖPING</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22833-2023</t>
        </is>
      </c>
      <c r="B266" s="1" t="n">
        <v>45071</v>
      </c>
      <c r="C266" s="1" t="n">
        <v>46119</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46119</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46119</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46225-2021</t>
        </is>
      </c>
      <c r="B269" s="1" t="n">
        <v>44442</v>
      </c>
      <c r="C269" s="1" t="n">
        <v>46119</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25776-2021</t>
        </is>
      </c>
      <c r="B270" s="1" t="n">
        <v>44343</v>
      </c>
      <c r="C270" s="1" t="n">
        <v>46119</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17898-2022</t>
        </is>
      </c>
      <c r="B271" s="1" t="n">
        <v>44683</v>
      </c>
      <c r="C271" s="1" t="n">
        <v>46119</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51484-2023</t>
        </is>
      </c>
      <c r="B272" s="1" t="n">
        <v>45222</v>
      </c>
      <c r="C272" s="1" t="n">
        <v>46119</v>
      </c>
      <c r="D272" t="inlineStr">
        <is>
          <t>ÖSTERGÖTLANDS LÄN</t>
        </is>
      </c>
      <c r="E272" t="inlineStr">
        <is>
          <t>LINKÖPING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63487-2023</t>
        </is>
      </c>
      <c r="B273" s="1" t="n">
        <v>45274.66712962963</v>
      </c>
      <c r="C273" s="1" t="n">
        <v>46119</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35463-2023</t>
        </is>
      </c>
      <c r="B274" s="1" t="n">
        <v>45146</v>
      </c>
      <c r="C274" s="1" t="n">
        <v>46119</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45275.35924768518</v>
      </c>
      <c r="C275" s="1" t="n">
        <v>46119</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46119</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55632-2022</t>
        </is>
      </c>
      <c r="B277" s="1" t="n">
        <v>44888</v>
      </c>
      <c r="C277" s="1" t="n">
        <v>46119</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24151-2024</t>
        </is>
      </c>
      <c r="B278" s="1" t="n">
        <v>45456.67717592593</v>
      </c>
      <c r="C278" s="1" t="n">
        <v>46119</v>
      </c>
      <c r="D278" t="inlineStr">
        <is>
          <t>ÖSTERGÖTLANDS LÄN</t>
        </is>
      </c>
      <c r="E278" t="inlineStr">
        <is>
          <t>LINKÖPING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55944-2024</t>
        </is>
      </c>
      <c r="B279" s="1" t="n">
        <v>45623.61640046296</v>
      </c>
      <c r="C279" s="1" t="n">
        <v>46119</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55947-2024</t>
        </is>
      </c>
      <c r="B280" s="1" t="n">
        <v>45623</v>
      </c>
      <c r="C280" s="1" t="n">
        <v>46119</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3374-2023</t>
        </is>
      </c>
      <c r="B281" s="1" t="n">
        <v>44949</v>
      </c>
      <c r="C281" s="1" t="n">
        <v>46119</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14576-2023</t>
        </is>
      </c>
      <c r="B282" s="1" t="n">
        <v>45013</v>
      </c>
      <c r="C282" s="1" t="n">
        <v>46119</v>
      </c>
      <c r="D282" t="inlineStr">
        <is>
          <t>ÖSTERGÖTLANDS LÄN</t>
        </is>
      </c>
      <c r="E282" t="inlineStr">
        <is>
          <t>LINKÖPING</t>
        </is>
      </c>
      <c r="G282" t="n">
        <v>3.2</v>
      </c>
      <c r="H282" t="n">
        <v>0</v>
      </c>
      <c r="I282" t="n">
        <v>0</v>
      </c>
      <c r="J282" t="n">
        <v>0</v>
      </c>
      <c r="K282" t="n">
        <v>0</v>
      </c>
      <c r="L282" t="n">
        <v>0</v>
      </c>
      <c r="M282" t="n">
        <v>0</v>
      </c>
      <c r="N282" t="n">
        <v>0</v>
      </c>
      <c r="O282" t="n">
        <v>0</v>
      </c>
      <c r="P282" t="n">
        <v>0</v>
      </c>
      <c r="Q282" t="n">
        <v>0</v>
      </c>
      <c r="R282" s="2" t="inlineStr"/>
    </row>
    <row r="283" ht="15" customHeight="1">
      <c r="A283" t="inlineStr">
        <is>
          <t>A 33800-2023</t>
        </is>
      </c>
      <c r="B283" s="1" t="n">
        <v>45121</v>
      </c>
      <c r="C283" s="1" t="n">
        <v>46119</v>
      </c>
      <c r="D283" t="inlineStr">
        <is>
          <t>ÖSTERGÖTLANDS LÄN</t>
        </is>
      </c>
      <c r="E283" t="inlineStr">
        <is>
          <t>LINKÖPING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26007-2025</t>
        </is>
      </c>
      <c r="B284" s="1" t="n">
        <v>45804.67081018518</v>
      </c>
      <c r="C284" s="1" t="n">
        <v>46119</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35174-2025</t>
        </is>
      </c>
      <c r="B285" s="1" t="n">
        <v>45852.90648148148</v>
      </c>
      <c r="C285" s="1" t="n">
        <v>46119</v>
      </c>
      <c r="D285" t="inlineStr">
        <is>
          <t>ÖSTERGÖTLANDS LÄN</t>
        </is>
      </c>
      <c r="E285" t="inlineStr">
        <is>
          <t>LINKÖPING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47991-2023</t>
        </is>
      </c>
      <c r="B286" s="1" t="n">
        <v>45204.62655092592</v>
      </c>
      <c r="C286" s="1" t="n">
        <v>46119</v>
      </c>
      <c r="D286" t="inlineStr">
        <is>
          <t>ÖSTERGÖTLANDS LÄN</t>
        </is>
      </c>
      <c r="E286" t="inlineStr">
        <is>
          <t>LINKÖPING</t>
        </is>
      </c>
      <c r="F286" t="inlineStr">
        <is>
          <t>Allmännings- och besparingsskogar</t>
        </is>
      </c>
      <c r="G286" t="n">
        <v>7.3</v>
      </c>
      <c r="H286" t="n">
        <v>0</v>
      </c>
      <c r="I286" t="n">
        <v>0</v>
      </c>
      <c r="J286" t="n">
        <v>0</v>
      </c>
      <c r="K286" t="n">
        <v>0</v>
      </c>
      <c r="L286" t="n">
        <v>0</v>
      </c>
      <c r="M286" t="n">
        <v>0</v>
      </c>
      <c r="N286" t="n">
        <v>0</v>
      </c>
      <c r="O286" t="n">
        <v>0</v>
      </c>
      <c r="P286" t="n">
        <v>0</v>
      </c>
      <c r="Q286" t="n">
        <v>0</v>
      </c>
      <c r="R286" s="2" t="inlineStr"/>
    </row>
    <row r="287" ht="15" customHeight="1">
      <c r="A287" t="inlineStr">
        <is>
          <t>A 35179-2025</t>
        </is>
      </c>
      <c r="B287" s="1" t="n">
        <v>45852.93737268518</v>
      </c>
      <c r="C287" s="1" t="n">
        <v>46119</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35180-2025</t>
        </is>
      </c>
      <c r="B288" s="1" t="n">
        <v>45852.9413425926</v>
      </c>
      <c r="C288" s="1" t="n">
        <v>46119</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35178-2025</t>
        </is>
      </c>
      <c r="B289" s="1" t="n">
        <v>45852.91939814815</v>
      </c>
      <c r="C289" s="1" t="n">
        <v>46119</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74160-2021</t>
        </is>
      </c>
      <c r="B290" s="1" t="n">
        <v>44558</v>
      </c>
      <c r="C290" s="1" t="n">
        <v>46119</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35757-2025</t>
        </is>
      </c>
      <c r="B291" s="1" t="n">
        <v>45860.59876157407</v>
      </c>
      <c r="C291" s="1" t="n">
        <v>46119</v>
      </c>
      <c r="D291" t="inlineStr">
        <is>
          <t>ÖSTERGÖTLANDS LÄN</t>
        </is>
      </c>
      <c r="E291" t="inlineStr">
        <is>
          <t>LINKÖPING</t>
        </is>
      </c>
      <c r="G291" t="n">
        <v>5.7</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46119</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35747-2025</t>
        </is>
      </c>
      <c r="B293" s="1" t="n">
        <v>45860.56385416666</v>
      </c>
      <c r="C293" s="1" t="n">
        <v>46119</v>
      </c>
      <c r="D293" t="inlineStr">
        <is>
          <t>ÖSTERGÖTLANDS LÄN</t>
        </is>
      </c>
      <c r="E293" t="inlineStr">
        <is>
          <t>LINKÖPING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27766-2022</t>
        </is>
      </c>
      <c r="B294" s="1" t="n">
        <v>44743.53112268518</v>
      </c>
      <c r="C294" s="1" t="n">
        <v>46119</v>
      </c>
      <c r="D294" t="inlineStr">
        <is>
          <t>ÖSTERGÖTLANDS LÄN</t>
        </is>
      </c>
      <c r="E294" t="inlineStr">
        <is>
          <t>LINKÖPING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35759-2025</t>
        </is>
      </c>
      <c r="B295" s="1" t="n">
        <v>45860</v>
      </c>
      <c r="C295" s="1" t="n">
        <v>46119</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44945.79784722222</v>
      </c>
      <c r="C296" s="1" t="n">
        <v>46119</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53641-2023</t>
        </is>
      </c>
      <c r="B297" s="1" t="n">
        <v>45230</v>
      </c>
      <c r="C297" s="1" t="n">
        <v>46119</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33000-2023</t>
        </is>
      </c>
      <c r="B298" s="1" t="n">
        <v>45125</v>
      </c>
      <c r="C298" s="1" t="n">
        <v>46119</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52892-2024</t>
        </is>
      </c>
      <c r="B299" s="1" t="n">
        <v>45610</v>
      </c>
      <c r="C299" s="1" t="n">
        <v>46119</v>
      </c>
      <c r="D299" t="inlineStr">
        <is>
          <t>ÖSTERGÖTLANDS LÄN</t>
        </is>
      </c>
      <c r="E299" t="inlineStr">
        <is>
          <t>LINKÖPING</t>
        </is>
      </c>
      <c r="G299" t="n">
        <v>4.2</v>
      </c>
      <c r="H299" t="n">
        <v>0</v>
      </c>
      <c r="I299" t="n">
        <v>0</v>
      </c>
      <c r="J299" t="n">
        <v>0</v>
      </c>
      <c r="K299" t="n">
        <v>0</v>
      </c>
      <c r="L299" t="n">
        <v>0</v>
      </c>
      <c r="M299" t="n">
        <v>0</v>
      </c>
      <c r="N299" t="n">
        <v>0</v>
      </c>
      <c r="O299" t="n">
        <v>0</v>
      </c>
      <c r="P299" t="n">
        <v>0</v>
      </c>
      <c r="Q299" t="n">
        <v>0</v>
      </c>
      <c r="R299" s="2" t="inlineStr"/>
    </row>
    <row r="300" ht="15" customHeight="1">
      <c r="A300" t="inlineStr">
        <is>
          <t>A 39438-2025</t>
        </is>
      </c>
      <c r="B300" s="1" t="n">
        <v>45889.68641203704</v>
      </c>
      <c r="C300" s="1" t="n">
        <v>46119</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27264-2025</t>
        </is>
      </c>
      <c r="B301" s="1" t="n">
        <v>45812.4794212963</v>
      </c>
      <c r="C301" s="1" t="n">
        <v>46119</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30521-2024</t>
        </is>
      </c>
      <c r="B302" s="1" t="n">
        <v>45492</v>
      </c>
      <c r="C302" s="1" t="n">
        <v>46119</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51191-2022</t>
        </is>
      </c>
      <c r="B303" s="1" t="n">
        <v>44865</v>
      </c>
      <c r="C303" s="1" t="n">
        <v>46119</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12289-2025</t>
        </is>
      </c>
      <c r="B304" s="1" t="n">
        <v>45729</v>
      </c>
      <c r="C304" s="1" t="n">
        <v>46119</v>
      </c>
      <c r="D304" t="inlineStr">
        <is>
          <t>ÖSTERGÖTLANDS LÄN</t>
        </is>
      </c>
      <c r="E304" t="inlineStr">
        <is>
          <t>LINKÖPING</t>
        </is>
      </c>
      <c r="F304" t="inlineStr">
        <is>
          <t>Övriga statliga verk och myndigheter</t>
        </is>
      </c>
      <c r="G304" t="n">
        <v>6.5</v>
      </c>
      <c r="H304" t="n">
        <v>0</v>
      </c>
      <c r="I304" t="n">
        <v>0</v>
      </c>
      <c r="J304" t="n">
        <v>0</v>
      </c>
      <c r="K304" t="n">
        <v>0</v>
      </c>
      <c r="L304" t="n">
        <v>0</v>
      </c>
      <c r="M304" t="n">
        <v>0</v>
      </c>
      <c r="N304" t="n">
        <v>0</v>
      </c>
      <c r="O304" t="n">
        <v>0</v>
      </c>
      <c r="P304" t="n">
        <v>0</v>
      </c>
      <c r="Q304" t="n">
        <v>0</v>
      </c>
      <c r="R304" s="2" t="inlineStr"/>
    </row>
    <row r="305" ht="15" customHeight="1">
      <c r="A305" t="inlineStr">
        <is>
          <t>A 39074-2025</t>
        </is>
      </c>
      <c r="B305" s="1" t="n">
        <v>45888</v>
      </c>
      <c r="C305" s="1" t="n">
        <v>46119</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72567-2021</t>
        </is>
      </c>
      <c r="B306" s="1" t="n">
        <v>44546.45023148148</v>
      </c>
      <c r="C306" s="1" t="n">
        <v>46119</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9434-2024</t>
        </is>
      </c>
      <c r="B307" s="1" t="n">
        <v>45359</v>
      </c>
      <c r="C307" s="1" t="n">
        <v>46119</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50182-2023</t>
        </is>
      </c>
      <c r="B308" s="1" t="n">
        <v>45208</v>
      </c>
      <c r="C308" s="1" t="n">
        <v>46119</v>
      </c>
      <c r="D308" t="inlineStr">
        <is>
          <t>ÖSTERGÖTLANDS LÄN</t>
        </is>
      </c>
      <c r="E308" t="inlineStr">
        <is>
          <t>LINKÖPING</t>
        </is>
      </c>
      <c r="G308" t="n">
        <v>2.5</v>
      </c>
      <c r="H308" t="n">
        <v>0</v>
      </c>
      <c r="I308" t="n">
        <v>0</v>
      </c>
      <c r="J308" t="n">
        <v>0</v>
      </c>
      <c r="K308" t="n">
        <v>0</v>
      </c>
      <c r="L308" t="n">
        <v>0</v>
      </c>
      <c r="M308" t="n">
        <v>0</v>
      </c>
      <c r="N308" t="n">
        <v>0</v>
      </c>
      <c r="O308" t="n">
        <v>0</v>
      </c>
      <c r="P308" t="n">
        <v>0</v>
      </c>
      <c r="Q308" t="n">
        <v>0</v>
      </c>
      <c r="R308" s="2" t="inlineStr"/>
    </row>
    <row r="309" ht="15" customHeight="1">
      <c r="A309" t="inlineStr">
        <is>
          <t>A 35781-2023</t>
        </is>
      </c>
      <c r="B309" s="1" t="n">
        <v>45147</v>
      </c>
      <c r="C309" s="1" t="n">
        <v>46119</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37057-2025</t>
        </is>
      </c>
      <c r="B310" s="1" t="n">
        <v>45875.37489583333</v>
      </c>
      <c r="C310" s="1" t="n">
        <v>46119</v>
      </c>
      <c r="D310" t="inlineStr">
        <is>
          <t>ÖSTERGÖTLANDS LÄN</t>
        </is>
      </c>
      <c r="E310" t="inlineStr">
        <is>
          <t>LINKÖPING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40169-2025</t>
        </is>
      </c>
      <c r="B311" s="1" t="n">
        <v>45894.62824074074</v>
      </c>
      <c r="C311" s="1" t="n">
        <v>46119</v>
      </c>
      <c r="D311" t="inlineStr">
        <is>
          <t>ÖSTERGÖTLANDS LÄN</t>
        </is>
      </c>
      <c r="E311" t="inlineStr">
        <is>
          <t>LINKÖPING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6387-2022</t>
        </is>
      </c>
      <c r="B312" s="1" t="n">
        <v>44600</v>
      </c>
      <c r="C312" s="1" t="n">
        <v>46119</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46119</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12089-2025</t>
        </is>
      </c>
      <c r="B314" s="1" t="n">
        <v>45729</v>
      </c>
      <c r="C314" s="1" t="n">
        <v>46119</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15658-2023</t>
        </is>
      </c>
      <c r="B315" s="1" t="n">
        <v>45021.41194444444</v>
      </c>
      <c r="C315" s="1" t="n">
        <v>46119</v>
      </c>
      <c r="D315" t="inlineStr">
        <is>
          <t>ÖSTERGÖTLANDS LÄN</t>
        </is>
      </c>
      <c r="E315" t="inlineStr">
        <is>
          <t>LINKÖPING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25829-2025</t>
        </is>
      </c>
      <c r="B316" s="1" t="n">
        <v>45804.44505787037</v>
      </c>
      <c r="C316" s="1" t="n">
        <v>46119</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38046-2025</t>
        </is>
      </c>
      <c r="B317" s="1" t="n">
        <v>45882.39939814815</v>
      </c>
      <c r="C317" s="1" t="n">
        <v>46119</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51583-2024</t>
        </is>
      </c>
      <c r="B318" s="1" t="n">
        <v>45604.6397337963</v>
      </c>
      <c r="C318" s="1" t="n">
        <v>46119</v>
      </c>
      <c r="D318" t="inlineStr">
        <is>
          <t>ÖSTERGÖTLANDS LÄN</t>
        </is>
      </c>
      <c r="E318" t="inlineStr">
        <is>
          <t>LINKÖPING</t>
        </is>
      </c>
      <c r="F318" t="inlineStr">
        <is>
          <t>Övriga Aktiebolag</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64694-2023</t>
        </is>
      </c>
      <c r="B319" s="1" t="n">
        <v>45281</v>
      </c>
      <c r="C319" s="1" t="n">
        <v>46119</v>
      </c>
      <c r="D319" t="inlineStr">
        <is>
          <t>ÖSTERGÖTLANDS LÄN</t>
        </is>
      </c>
      <c r="E319" t="inlineStr">
        <is>
          <t>LINKÖPING</t>
        </is>
      </c>
      <c r="F319" t="inlineStr">
        <is>
          <t>Övriga statliga verk och myndigheter</t>
        </is>
      </c>
      <c r="G319" t="n">
        <v>4.9</v>
      </c>
      <c r="H319" t="n">
        <v>0</v>
      </c>
      <c r="I319" t="n">
        <v>0</v>
      </c>
      <c r="J319" t="n">
        <v>0</v>
      </c>
      <c r="K319" t="n">
        <v>0</v>
      </c>
      <c r="L319" t="n">
        <v>0</v>
      </c>
      <c r="M319" t="n">
        <v>0</v>
      </c>
      <c r="N319" t="n">
        <v>0</v>
      </c>
      <c r="O319" t="n">
        <v>0</v>
      </c>
      <c r="P319" t="n">
        <v>0</v>
      </c>
      <c r="Q319" t="n">
        <v>0</v>
      </c>
      <c r="R319" s="2" t="inlineStr"/>
    </row>
    <row r="320" ht="15" customHeight="1">
      <c r="A320" t="inlineStr">
        <is>
          <t>A 32602-2022</t>
        </is>
      </c>
      <c r="B320" s="1" t="n">
        <v>44783.43192129629</v>
      </c>
      <c r="C320" s="1" t="n">
        <v>46119</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41511-2025</t>
        </is>
      </c>
      <c r="B321" s="1" t="n">
        <v>45901.53839120371</v>
      </c>
      <c r="C321" s="1" t="n">
        <v>46119</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62321-2022</t>
        </is>
      </c>
      <c r="B322" s="1" t="n">
        <v>44916</v>
      </c>
      <c r="C322" s="1" t="n">
        <v>46119</v>
      </c>
      <c r="D322" t="inlineStr">
        <is>
          <t>ÖSTERGÖTLANDS LÄN</t>
        </is>
      </c>
      <c r="E322" t="inlineStr">
        <is>
          <t>LINKÖPING</t>
        </is>
      </c>
      <c r="F322" t="inlineStr">
        <is>
          <t>Kommuner</t>
        </is>
      </c>
      <c r="G322" t="n">
        <v>5.3</v>
      </c>
      <c r="H322" t="n">
        <v>0</v>
      </c>
      <c r="I322" t="n">
        <v>0</v>
      </c>
      <c r="J322" t="n">
        <v>0</v>
      </c>
      <c r="K322" t="n">
        <v>0</v>
      </c>
      <c r="L322" t="n">
        <v>0</v>
      </c>
      <c r="M322" t="n">
        <v>0</v>
      </c>
      <c r="N322" t="n">
        <v>0</v>
      </c>
      <c r="O322" t="n">
        <v>0</v>
      </c>
      <c r="P322" t="n">
        <v>0</v>
      </c>
      <c r="Q322" t="n">
        <v>0</v>
      </c>
      <c r="R322" s="2" t="inlineStr"/>
    </row>
    <row r="323" ht="15" customHeight="1">
      <c r="A323" t="inlineStr">
        <is>
          <t>A 1084-2023</t>
        </is>
      </c>
      <c r="B323" s="1" t="n">
        <v>44929</v>
      </c>
      <c r="C323" s="1" t="n">
        <v>46119</v>
      </c>
      <c r="D323" t="inlineStr">
        <is>
          <t>ÖSTERGÖTLANDS LÄN</t>
        </is>
      </c>
      <c r="E323" t="inlineStr">
        <is>
          <t>LINKÖPING</t>
        </is>
      </c>
      <c r="G323" t="n">
        <v>10.4</v>
      </c>
      <c r="H323" t="n">
        <v>0</v>
      </c>
      <c r="I323" t="n">
        <v>0</v>
      </c>
      <c r="J323" t="n">
        <v>0</v>
      </c>
      <c r="K323" t="n">
        <v>0</v>
      </c>
      <c r="L323" t="n">
        <v>0</v>
      </c>
      <c r="M323" t="n">
        <v>0</v>
      </c>
      <c r="N323" t="n">
        <v>0</v>
      </c>
      <c r="O323" t="n">
        <v>0</v>
      </c>
      <c r="P323" t="n">
        <v>0</v>
      </c>
      <c r="Q323" t="n">
        <v>0</v>
      </c>
      <c r="R323" s="2" t="inlineStr"/>
    </row>
    <row r="324" ht="15" customHeight="1">
      <c r="A324" t="inlineStr">
        <is>
          <t>A 267-2023</t>
        </is>
      </c>
      <c r="B324" s="1" t="n">
        <v>44928.80907407407</v>
      </c>
      <c r="C324" s="1" t="n">
        <v>46119</v>
      </c>
      <c r="D324" t="inlineStr">
        <is>
          <t>ÖSTERGÖTLANDS LÄN</t>
        </is>
      </c>
      <c r="E324" t="inlineStr">
        <is>
          <t>LINKÖPING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940-2023</t>
        </is>
      </c>
      <c r="B325" s="1" t="n">
        <v>44933</v>
      </c>
      <c r="C325" s="1" t="n">
        <v>46119</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41706-2025</t>
        </is>
      </c>
      <c r="B326" s="1" t="n">
        <v>45902.42209490741</v>
      </c>
      <c r="C326" s="1" t="n">
        <v>46119</v>
      </c>
      <c r="D326" t="inlineStr">
        <is>
          <t>ÖSTERGÖTLANDS LÄN</t>
        </is>
      </c>
      <c r="E326" t="inlineStr">
        <is>
          <t>LINKÖPING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6369-2023</t>
        </is>
      </c>
      <c r="B327" s="1" t="n">
        <v>44965.61106481482</v>
      </c>
      <c r="C327" s="1" t="n">
        <v>46119</v>
      </c>
      <c r="D327" t="inlineStr">
        <is>
          <t>ÖSTERGÖTLANDS LÄN</t>
        </is>
      </c>
      <c r="E327" t="inlineStr">
        <is>
          <t>LINKÖPING</t>
        </is>
      </c>
      <c r="G327" t="n">
        <v>4</v>
      </c>
      <c r="H327" t="n">
        <v>0</v>
      </c>
      <c r="I327" t="n">
        <v>0</v>
      </c>
      <c r="J327" t="n">
        <v>0</v>
      </c>
      <c r="K327" t="n">
        <v>0</v>
      </c>
      <c r="L327" t="n">
        <v>0</v>
      </c>
      <c r="M327" t="n">
        <v>0</v>
      </c>
      <c r="N327" t="n">
        <v>0</v>
      </c>
      <c r="O327" t="n">
        <v>0</v>
      </c>
      <c r="P327" t="n">
        <v>0</v>
      </c>
      <c r="Q327" t="n">
        <v>0</v>
      </c>
      <c r="R327" s="2" t="inlineStr"/>
    </row>
    <row r="328" ht="15" customHeight="1">
      <c r="A328" t="inlineStr">
        <is>
          <t>A 3042-2024</t>
        </is>
      </c>
      <c r="B328" s="1" t="n">
        <v>45316.35028935185</v>
      </c>
      <c r="C328" s="1" t="n">
        <v>46119</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30980-2022</t>
        </is>
      </c>
      <c r="B329" s="1" t="n">
        <v>44768</v>
      </c>
      <c r="C329" s="1" t="n">
        <v>46119</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60007-2022</t>
        </is>
      </c>
      <c r="B330" s="1" t="n">
        <v>44909.47282407407</v>
      </c>
      <c r="C330" s="1" t="n">
        <v>46119</v>
      </c>
      <c r="D330" t="inlineStr">
        <is>
          <t>ÖSTERGÖTLANDS LÄN</t>
        </is>
      </c>
      <c r="E330" t="inlineStr">
        <is>
          <t>LINKÖPING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50799-2022</t>
        </is>
      </c>
      <c r="B331" s="1" t="n">
        <v>44862</v>
      </c>
      <c r="C331" s="1" t="n">
        <v>46119</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29293-2025</t>
        </is>
      </c>
      <c r="B332" s="1" t="n">
        <v>45824</v>
      </c>
      <c r="C332" s="1" t="n">
        <v>46119</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42624-2025</t>
        </is>
      </c>
      <c r="B333" s="1" t="n">
        <v>45905</v>
      </c>
      <c r="C333" s="1" t="n">
        <v>46119</v>
      </c>
      <c r="D333" t="inlineStr">
        <is>
          <t>ÖSTERGÖTLANDS LÄN</t>
        </is>
      </c>
      <c r="E333" t="inlineStr">
        <is>
          <t>LINKÖPING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42626-2025</t>
        </is>
      </c>
      <c r="B334" s="1" t="n">
        <v>45905</v>
      </c>
      <c r="C334" s="1" t="n">
        <v>46119</v>
      </c>
      <c r="D334" t="inlineStr">
        <is>
          <t>ÖSTERGÖTLANDS LÄN</t>
        </is>
      </c>
      <c r="E334" t="inlineStr">
        <is>
          <t>LINKÖPING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42623-2025</t>
        </is>
      </c>
      <c r="B335" s="1" t="n">
        <v>45905</v>
      </c>
      <c r="C335" s="1" t="n">
        <v>46119</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56064-2022</t>
        </is>
      </c>
      <c r="B336" s="1" t="n">
        <v>44889.59107638889</v>
      </c>
      <c r="C336" s="1" t="n">
        <v>46119</v>
      </c>
      <c r="D336" t="inlineStr">
        <is>
          <t>ÖSTERGÖTLANDS LÄN</t>
        </is>
      </c>
      <c r="E336" t="inlineStr">
        <is>
          <t>LINKÖPING</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47703-2023</t>
        </is>
      </c>
      <c r="B337" s="1" t="n">
        <v>45203</v>
      </c>
      <c r="C337" s="1" t="n">
        <v>46119</v>
      </c>
      <c r="D337" t="inlineStr">
        <is>
          <t>ÖSTERGÖTLANDS LÄN</t>
        </is>
      </c>
      <c r="E337" t="inlineStr">
        <is>
          <t>LINKÖPING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61281-2021</t>
        </is>
      </c>
      <c r="B338" s="1" t="n">
        <v>44498.60736111111</v>
      </c>
      <c r="C338" s="1" t="n">
        <v>46119</v>
      </c>
      <c r="D338" t="inlineStr">
        <is>
          <t>ÖSTERGÖTLANDS LÄN</t>
        </is>
      </c>
      <c r="E338" t="inlineStr">
        <is>
          <t>LINKÖPING</t>
        </is>
      </c>
      <c r="G338" t="n">
        <v>4.5</v>
      </c>
      <c r="H338" t="n">
        <v>0</v>
      </c>
      <c r="I338" t="n">
        <v>0</v>
      </c>
      <c r="J338" t="n">
        <v>0</v>
      </c>
      <c r="K338" t="n">
        <v>0</v>
      </c>
      <c r="L338" t="n">
        <v>0</v>
      </c>
      <c r="M338" t="n">
        <v>0</v>
      </c>
      <c r="N338" t="n">
        <v>0</v>
      </c>
      <c r="O338" t="n">
        <v>0</v>
      </c>
      <c r="P338" t="n">
        <v>0</v>
      </c>
      <c r="Q338" t="n">
        <v>0</v>
      </c>
      <c r="R338" s="2" t="inlineStr"/>
    </row>
    <row r="339" ht="15" customHeight="1">
      <c r="A339" t="inlineStr">
        <is>
          <t>A 25292-2021</t>
        </is>
      </c>
      <c r="B339" s="1" t="n">
        <v>44342</v>
      </c>
      <c r="C339" s="1" t="n">
        <v>46119</v>
      </c>
      <c r="D339" t="inlineStr">
        <is>
          <t>ÖSTERGÖTLANDS LÄN</t>
        </is>
      </c>
      <c r="E339" t="inlineStr">
        <is>
          <t>LINKÖPING</t>
        </is>
      </c>
      <c r="F339" t="inlineStr">
        <is>
          <t>Övriga Aktiebolag</t>
        </is>
      </c>
      <c r="G339" t="n">
        <v>12.8</v>
      </c>
      <c r="H339" t="n">
        <v>0</v>
      </c>
      <c r="I339" t="n">
        <v>0</v>
      </c>
      <c r="J339" t="n">
        <v>0</v>
      </c>
      <c r="K339" t="n">
        <v>0</v>
      </c>
      <c r="L339" t="n">
        <v>0</v>
      </c>
      <c r="M339" t="n">
        <v>0</v>
      </c>
      <c r="N339" t="n">
        <v>0</v>
      </c>
      <c r="O339" t="n">
        <v>0</v>
      </c>
      <c r="P339" t="n">
        <v>0</v>
      </c>
      <c r="Q339" t="n">
        <v>0</v>
      </c>
      <c r="R339" s="2" t="inlineStr"/>
    </row>
    <row r="340" ht="15" customHeight="1">
      <c r="A340" t="inlineStr">
        <is>
          <t>A 16111-2022</t>
        </is>
      </c>
      <c r="B340" s="1" t="n">
        <v>44665</v>
      </c>
      <c r="C340" s="1" t="n">
        <v>46119</v>
      </c>
      <c r="D340" t="inlineStr">
        <is>
          <t>ÖSTERGÖTLANDS LÄN</t>
        </is>
      </c>
      <c r="E340" t="inlineStr">
        <is>
          <t>LINKÖPING</t>
        </is>
      </c>
      <c r="F340" t="inlineStr">
        <is>
          <t>Övriga Aktiebolag</t>
        </is>
      </c>
      <c r="G340" t="n">
        <v>2.9</v>
      </c>
      <c r="H340" t="n">
        <v>0</v>
      </c>
      <c r="I340" t="n">
        <v>0</v>
      </c>
      <c r="J340" t="n">
        <v>0</v>
      </c>
      <c r="K340" t="n">
        <v>0</v>
      </c>
      <c r="L340" t="n">
        <v>0</v>
      </c>
      <c r="M340" t="n">
        <v>0</v>
      </c>
      <c r="N340" t="n">
        <v>0</v>
      </c>
      <c r="O340" t="n">
        <v>0</v>
      </c>
      <c r="P340" t="n">
        <v>0</v>
      </c>
      <c r="Q340" t="n">
        <v>0</v>
      </c>
      <c r="R340" s="2" t="inlineStr"/>
    </row>
    <row r="341" ht="15" customHeight="1">
      <c r="A341" t="inlineStr">
        <is>
          <t>A 63935-2021</t>
        </is>
      </c>
      <c r="B341" s="1" t="n">
        <v>44509</v>
      </c>
      <c r="C341" s="1" t="n">
        <v>46119</v>
      </c>
      <c r="D341" t="inlineStr">
        <is>
          <t>ÖSTERGÖTLANDS LÄN</t>
        </is>
      </c>
      <c r="E341" t="inlineStr">
        <is>
          <t>LINKÖPING</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38971-2025</t>
        </is>
      </c>
      <c r="B342" s="1" t="n">
        <v>45887.71827546296</v>
      </c>
      <c r="C342" s="1" t="n">
        <v>46119</v>
      </c>
      <c r="D342" t="inlineStr">
        <is>
          <t>ÖSTERGÖTLANDS LÄN</t>
        </is>
      </c>
      <c r="E342" t="inlineStr">
        <is>
          <t>LINKÖPING</t>
        </is>
      </c>
      <c r="G342" t="n">
        <v>3.9</v>
      </c>
      <c r="H342" t="n">
        <v>0</v>
      </c>
      <c r="I342" t="n">
        <v>0</v>
      </c>
      <c r="J342" t="n">
        <v>0</v>
      </c>
      <c r="K342" t="n">
        <v>0</v>
      </c>
      <c r="L342" t="n">
        <v>0</v>
      </c>
      <c r="M342" t="n">
        <v>0</v>
      </c>
      <c r="N342" t="n">
        <v>0</v>
      </c>
      <c r="O342" t="n">
        <v>0</v>
      </c>
      <c r="P342" t="n">
        <v>0</v>
      </c>
      <c r="Q342" t="n">
        <v>0</v>
      </c>
      <c r="R342" s="2" t="inlineStr"/>
    </row>
    <row r="343" ht="15" customHeight="1">
      <c r="A343" t="inlineStr">
        <is>
          <t>A 48962-2022</t>
        </is>
      </c>
      <c r="B343" s="1" t="n">
        <v>44860.31635416667</v>
      </c>
      <c r="C343" s="1" t="n">
        <v>46119</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55345-2021</t>
        </is>
      </c>
      <c r="B344" s="1" t="n">
        <v>44475</v>
      </c>
      <c r="C344" s="1" t="n">
        <v>46119</v>
      </c>
      <c r="D344" t="inlineStr">
        <is>
          <t>ÖSTERGÖTLANDS LÄN</t>
        </is>
      </c>
      <c r="E344" t="inlineStr">
        <is>
          <t>LINKÖPING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27891-2021</t>
        </is>
      </c>
      <c r="B345" s="1" t="n">
        <v>44354.65108796296</v>
      </c>
      <c r="C345" s="1" t="n">
        <v>46119</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1268-2023</t>
        </is>
      </c>
      <c r="B346" s="1" t="n">
        <v>44936</v>
      </c>
      <c r="C346" s="1" t="n">
        <v>46119</v>
      </c>
      <c r="D346" t="inlineStr">
        <is>
          <t>ÖSTERGÖTLANDS LÄN</t>
        </is>
      </c>
      <c r="E346" t="inlineStr">
        <is>
          <t>LINKÖPING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62687-2023</t>
        </is>
      </c>
      <c r="B347" s="1" t="n">
        <v>45271</v>
      </c>
      <c r="C347" s="1" t="n">
        <v>46119</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34641-2022</t>
        </is>
      </c>
      <c r="B348" s="1" t="n">
        <v>44795</v>
      </c>
      <c r="C348" s="1" t="n">
        <v>46119</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938-2023</t>
        </is>
      </c>
      <c r="B349" s="1" t="n">
        <v>44933</v>
      </c>
      <c r="C349" s="1" t="n">
        <v>46119</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2389-2023</t>
        </is>
      </c>
      <c r="B350" s="1" t="n">
        <v>44942</v>
      </c>
      <c r="C350" s="1" t="n">
        <v>46119</v>
      </c>
      <c r="D350" t="inlineStr">
        <is>
          <t>ÖSTERGÖTLANDS LÄN</t>
        </is>
      </c>
      <c r="E350" t="inlineStr">
        <is>
          <t>LINKÖPING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48-2024</t>
        </is>
      </c>
      <c r="B351" s="1" t="n">
        <v>45293</v>
      </c>
      <c r="C351" s="1" t="n">
        <v>46119</v>
      </c>
      <c r="D351" t="inlineStr">
        <is>
          <t>ÖSTERGÖTLANDS LÄN</t>
        </is>
      </c>
      <c r="E351" t="inlineStr">
        <is>
          <t>LINKÖPING</t>
        </is>
      </c>
      <c r="G351" t="n">
        <v>4.6</v>
      </c>
      <c r="H351" t="n">
        <v>0</v>
      </c>
      <c r="I351" t="n">
        <v>0</v>
      </c>
      <c r="J351" t="n">
        <v>0</v>
      </c>
      <c r="K351" t="n">
        <v>0</v>
      </c>
      <c r="L351" t="n">
        <v>0</v>
      </c>
      <c r="M351" t="n">
        <v>0</v>
      </c>
      <c r="N351" t="n">
        <v>0</v>
      </c>
      <c r="O351" t="n">
        <v>0</v>
      </c>
      <c r="P351" t="n">
        <v>0</v>
      </c>
      <c r="Q351" t="n">
        <v>0</v>
      </c>
      <c r="R351" s="2" t="inlineStr"/>
    </row>
    <row r="352" ht="15" customHeight="1">
      <c r="A352" t="inlineStr">
        <is>
          <t>A 44170-2025</t>
        </is>
      </c>
      <c r="B352" s="1" t="n">
        <v>45915.59864583334</v>
      </c>
      <c r="C352" s="1" t="n">
        <v>46119</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45771-2023</t>
        </is>
      </c>
      <c r="B353" s="1" t="n">
        <v>45195.4384375</v>
      </c>
      <c r="C353" s="1" t="n">
        <v>46119</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30547-2023</t>
        </is>
      </c>
      <c r="B354" s="1" t="n">
        <v>45111.75905092592</v>
      </c>
      <c r="C354" s="1" t="n">
        <v>46119</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40502-2024</t>
        </is>
      </c>
      <c r="B355" s="1" t="n">
        <v>45555.57263888889</v>
      </c>
      <c r="C355" s="1" t="n">
        <v>46119</v>
      </c>
      <c r="D355" t="inlineStr">
        <is>
          <t>ÖSTERGÖTLANDS LÄN</t>
        </is>
      </c>
      <c r="E355" t="inlineStr">
        <is>
          <t>LINKÖPING</t>
        </is>
      </c>
      <c r="F355" t="inlineStr">
        <is>
          <t>Allmännings- och besparingsskogar</t>
        </is>
      </c>
      <c r="G355" t="n">
        <v>17.5</v>
      </c>
      <c r="H355" t="n">
        <v>0</v>
      </c>
      <c r="I355" t="n">
        <v>0</v>
      </c>
      <c r="J355" t="n">
        <v>0</v>
      </c>
      <c r="K355" t="n">
        <v>0</v>
      </c>
      <c r="L355" t="n">
        <v>0</v>
      </c>
      <c r="M355" t="n">
        <v>0</v>
      </c>
      <c r="N355" t="n">
        <v>0</v>
      </c>
      <c r="O355" t="n">
        <v>0</v>
      </c>
      <c r="P355" t="n">
        <v>0</v>
      </c>
      <c r="Q355" t="n">
        <v>0</v>
      </c>
      <c r="R355" s="2" t="inlineStr"/>
    </row>
    <row r="356" ht="15" customHeight="1">
      <c r="A356" t="inlineStr">
        <is>
          <t>A 43755-2025</t>
        </is>
      </c>
      <c r="B356" s="1" t="n">
        <v>45912.47329861111</v>
      </c>
      <c r="C356" s="1" t="n">
        <v>46119</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43758-2025</t>
        </is>
      </c>
      <c r="B357" s="1" t="n">
        <v>45912.47711805555</v>
      </c>
      <c r="C357" s="1" t="n">
        <v>46119</v>
      </c>
      <c r="D357" t="inlineStr">
        <is>
          <t>ÖSTERGÖTLANDS LÄN</t>
        </is>
      </c>
      <c r="E357" t="inlineStr">
        <is>
          <t>LINKÖPING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43753-2025</t>
        </is>
      </c>
      <c r="B358" s="1" t="n">
        <v>45912.4715625</v>
      </c>
      <c r="C358" s="1" t="n">
        <v>46119</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24464-2023</t>
        </is>
      </c>
      <c r="B359" s="1" t="n">
        <v>45082.58068287037</v>
      </c>
      <c r="C359" s="1" t="n">
        <v>46119</v>
      </c>
      <c r="D359" t="inlineStr">
        <is>
          <t>ÖSTERGÖTLANDS LÄN</t>
        </is>
      </c>
      <c r="E359" t="inlineStr">
        <is>
          <t>LINKÖPING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24467-2023</t>
        </is>
      </c>
      <c r="B360" s="1" t="n">
        <v>45082</v>
      </c>
      <c r="C360" s="1" t="n">
        <v>46119</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48389-2024</t>
        </is>
      </c>
      <c r="B361" s="1" t="n">
        <v>45590.59991898148</v>
      </c>
      <c r="C361" s="1" t="n">
        <v>46119</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44759-2025</t>
        </is>
      </c>
      <c r="B362" s="1" t="n">
        <v>45917.7152662037</v>
      </c>
      <c r="C362" s="1" t="n">
        <v>46119</v>
      </c>
      <c r="D362" t="inlineStr">
        <is>
          <t>ÖSTERGÖTLANDS LÄN</t>
        </is>
      </c>
      <c r="E362" t="inlineStr">
        <is>
          <t>LINKÖPING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56792-2023</t>
        </is>
      </c>
      <c r="B363" s="1" t="n">
        <v>45244</v>
      </c>
      <c r="C363" s="1" t="n">
        <v>46119</v>
      </c>
      <c r="D363" t="inlineStr">
        <is>
          <t>ÖSTERGÖTLANDS LÄN</t>
        </is>
      </c>
      <c r="E363" t="inlineStr">
        <is>
          <t>LINKÖPING</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44764-2025</t>
        </is>
      </c>
      <c r="B364" s="1" t="n">
        <v>45917.72821759259</v>
      </c>
      <c r="C364" s="1" t="n">
        <v>46119</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39017-2021</t>
        </is>
      </c>
      <c r="B365" s="1" t="n">
        <v>44412</v>
      </c>
      <c r="C365" s="1" t="n">
        <v>46119</v>
      </c>
      <c r="D365" t="inlineStr">
        <is>
          <t>ÖSTERGÖTLANDS LÄN</t>
        </is>
      </c>
      <c r="E365" t="inlineStr">
        <is>
          <t>LINKÖPING</t>
        </is>
      </c>
      <c r="F365" t="inlineStr">
        <is>
          <t>Övriga statliga verk och myndigheter</t>
        </is>
      </c>
      <c r="G365" t="n">
        <v>0.8</v>
      </c>
      <c r="H365" t="n">
        <v>0</v>
      </c>
      <c r="I365" t="n">
        <v>0</v>
      </c>
      <c r="J365" t="n">
        <v>0</v>
      </c>
      <c r="K365" t="n">
        <v>0</v>
      </c>
      <c r="L365" t="n">
        <v>0</v>
      </c>
      <c r="M365" t="n">
        <v>0</v>
      </c>
      <c r="N365" t="n">
        <v>0</v>
      </c>
      <c r="O365" t="n">
        <v>0</v>
      </c>
      <c r="P365" t="n">
        <v>0</v>
      </c>
      <c r="Q365" t="n">
        <v>0</v>
      </c>
      <c r="R365" s="2" t="inlineStr"/>
    </row>
    <row r="366" ht="15" customHeight="1">
      <c r="A366" t="inlineStr">
        <is>
          <t>A 45112-2025</t>
        </is>
      </c>
      <c r="B366" s="1" t="n">
        <v>45919</v>
      </c>
      <c r="C366" s="1" t="n">
        <v>46119</v>
      </c>
      <c r="D366" t="inlineStr">
        <is>
          <t>ÖSTERGÖTLANDS LÄN</t>
        </is>
      </c>
      <c r="E366" t="inlineStr">
        <is>
          <t>LINKÖPING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1260-2023</t>
        </is>
      </c>
      <c r="B367" s="1" t="n">
        <v>44936</v>
      </c>
      <c r="C367" s="1" t="n">
        <v>46119</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1355-2023</t>
        </is>
      </c>
      <c r="B368" s="1" t="n">
        <v>44931</v>
      </c>
      <c r="C368" s="1" t="n">
        <v>46119</v>
      </c>
      <c r="D368" t="inlineStr">
        <is>
          <t>ÖSTERGÖTLANDS LÄN</t>
        </is>
      </c>
      <c r="E368" t="inlineStr">
        <is>
          <t>LINKÖPING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45634-2025</t>
        </is>
      </c>
      <c r="B369" s="1" t="n">
        <v>45922.85089120371</v>
      </c>
      <c r="C369" s="1" t="n">
        <v>46119</v>
      </c>
      <c r="D369" t="inlineStr">
        <is>
          <t>ÖSTERGÖTLANDS LÄN</t>
        </is>
      </c>
      <c r="E369" t="inlineStr">
        <is>
          <t>LINKÖPING</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3007-2025</t>
        </is>
      </c>
      <c r="B370" s="1" t="n">
        <v>45678.56328703704</v>
      </c>
      <c r="C370" s="1" t="n">
        <v>46119</v>
      </c>
      <c r="D370" t="inlineStr">
        <is>
          <t>ÖSTERGÖTLANDS LÄN</t>
        </is>
      </c>
      <c r="E370" t="inlineStr">
        <is>
          <t>LINKÖPING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10492-2022</t>
        </is>
      </c>
      <c r="B371" s="1" t="n">
        <v>44623.6377199074</v>
      </c>
      <c r="C371" s="1" t="n">
        <v>46119</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46119</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45792-2025</t>
        </is>
      </c>
      <c r="B373" s="1" t="n">
        <v>45923.56998842592</v>
      </c>
      <c r="C373" s="1" t="n">
        <v>46119</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39021-2021</t>
        </is>
      </c>
      <c r="B374" s="1" t="n">
        <v>44412</v>
      </c>
      <c r="C374" s="1" t="n">
        <v>46119</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46119</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62353-2022</t>
        </is>
      </c>
      <c r="B376" s="1" t="n">
        <v>44923</v>
      </c>
      <c r="C376" s="1" t="n">
        <v>46119</v>
      </c>
      <c r="D376" t="inlineStr">
        <is>
          <t>ÖSTERGÖTLANDS LÄN</t>
        </is>
      </c>
      <c r="E376" t="inlineStr">
        <is>
          <t>LINKÖPING</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46426-2025</t>
        </is>
      </c>
      <c r="B377" s="1" t="n">
        <v>45925.6012962963</v>
      </c>
      <c r="C377" s="1" t="n">
        <v>46119</v>
      </c>
      <c r="D377" t="inlineStr">
        <is>
          <t>ÖSTERGÖTLANDS LÄN</t>
        </is>
      </c>
      <c r="E377" t="inlineStr">
        <is>
          <t>LINKÖPING</t>
        </is>
      </c>
      <c r="G377" t="n">
        <v>4.4</v>
      </c>
      <c r="H377" t="n">
        <v>0</v>
      </c>
      <c r="I377" t="n">
        <v>0</v>
      </c>
      <c r="J377" t="n">
        <v>0</v>
      </c>
      <c r="K377" t="n">
        <v>0</v>
      </c>
      <c r="L377" t="n">
        <v>0</v>
      </c>
      <c r="M377" t="n">
        <v>0</v>
      </c>
      <c r="N377" t="n">
        <v>0</v>
      </c>
      <c r="O377" t="n">
        <v>0</v>
      </c>
      <c r="P377" t="n">
        <v>0</v>
      </c>
      <c r="Q377" t="n">
        <v>0</v>
      </c>
      <c r="R377" s="2" t="inlineStr"/>
    </row>
    <row r="378" ht="15" customHeight="1">
      <c r="A378" t="inlineStr">
        <is>
          <t>A 30111-2024</t>
        </is>
      </c>
      <c r="B378" s="1" t="n">
        <v>45489.46947916667</v>
      </c>
      <c r="C378" s="1" t="n">
        <v>46119</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30119-2024</t>
        </is>
      </c>
      <c r="B379" s="1" t="n">
        <v>45489</v>
      </c>
      <c r="C379" s="1" t="n">
        <v>46119</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29411-2023</t>
        </is>
      </c>
      <c r="B380" s="1" t="n">
        <v>45106.46225694445</v>
      </c>
      <c r="C380" s="1" t="n">
        <v>46119</v>
      </c>
      <c r="D380" t="inlineStr">
        <is>
          <t>ÖSTERGÖTLANDS LÄN</t>
        </is>
      </c>
      <c r="E380" t="inlineStr">
        <is>
          <t>LINKÖPING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29412-2023</t>
        </is>
      </c>
      <c r="B381" s="1" t="n">
        <v>45106.46359953703</v>
      </c>
      <c r="C381" s="1" t="n">
        <v>46119</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46119</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46119</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421-2024</t>
        </is>
      </c>
      <c r="B384" s="1" t="n">
        <v>45296.51877314815</v>
      </c>
      <c r="C384" s="1" t="n">
        <v>46119</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46377-2025</t>
        </is>
      </c>
      <c r="B385" s="1" t="n">
        <v>45925.51773148148</v>
      </c>
      <c r="C385" s="1" t="n">
        <v>46119</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45069.39050925926</v>
      </c>
      <c r="C386" s="1" t="n">
        <v>46119</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46119</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14028-2024</t>
        </is>
      </c>
      <c r="B388" s="1" t="n">
        <v>45392</v>
      </c>
      <c r="C388" s="1" t="n">
        <v>46119</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40431-2024</t>
        </is>
      </c>
      <c r="B389" s="1" t="n">
        <v>45555.47070601852</v>
      </c>
      <c r="C389" s="1" t="n">
        <v>46119</v>
      </c>
      <c r="D389" t="inlineStr">
        <is>
          <t>ÖSTERGÖTLANDS LÄN</t>
        </is>
      </c>
      <c r="E389" t="inlineStr">
        <is>
          <t>LINKÖPING</t>
        </is>
      </c>
      <c r="F389" t="inlineStr">
        <is>
          <t>Allmännings- och besparingsskogar</t>
        </is>
      </c>
      <c r="G389" t="n">
        <v>2.9</v>
      </c>
      <c r="H389" t="n">
        <v>0</v>
      </c>
      <c r="I389" t="n">
        <v>0</v>
      </c>
      <c r="J389" t="n">
        <v>0</v>
      </c>
      <c r="K389" t="n">
        <v>0</v>
      </c>
      <c r="L389" t="n">
        <v>0</v>
      </c>
      <c r="M389" t="n">
        <v>0</v>
      </c>
      <c r="N389" t="n">
        <v>0</v>
      </c>
      <c r="O389" t="n">
        <v>0</v>
      </c>
      <c r="P389" t="n">
        <v>0</v>
      </c>
      <c r="Q389" t="n">
        <v>0</v>
      </c>
      <c r="R389" s="2" t="inlineStr"/>
    </row>
    <row r="390" ht="15" customHeight="1">
      <c r="A390" t="inlineStr">
        <is>
          <t>A 60860-2024</t>
        </is>
      </c>
      <c r="B390" s="1" t="n">
        <v>45644.6893287037</v>
      </c>
      <c r="C390" s="1" t="n">
        <v>46119</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46119</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2697-2023</t>
        </is>
      </c>
      <c r="B392" s="1" t="n">
        <v>44944</v>
      </c>
      <c r="C392" s="1" t="n">
        <v>46119</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47233-2025</t>
        </is>
      </c>
      <c r="B393" s="1" t="n">
        <v>45930.40612268518</v>
      </c>
      <c r="C393" s="1" t="n">
        <v>46119</v>
      </c>
      <c r="D393" t="inlineStr">
        <is>
          <t>ÖSTERGÖTLANDS LÄN</t>
        </is>
      </c>
      <c r="E393" t="inlineStr">
        <is>
          <t>LINKÖPING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47606-2025</t>
        </is>
      </c>
      <c r="B394" s="1" t="n">
        <v>45931.46402777778</v>
      </c>
      <c r="C394" s="1" t="n">
        <v>46119</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45806-2024</t>
        </is>
      </c>
      <c r="B395" s="1" t="n">
        <v>45579.69619212963</v>
      </c>
      <c r="C395" s="1" t="n">
        <v>46119</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47304-2025</t>
        </is>
      </c>
      <c r="B396" s="1" t="n">
        <v>45930.52037037037</v>
      </c>
      <c r="C396" s="1" t="n">
        <v>46119</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56756-2023</t>
        </is>
      </c>
      <c r="B397" s="1" t="n">
        <v>45244</v>
      </c>
      <c r="C397" s="1" t="n">
        <v>46119</v>
      </c>
      <c r="D397" t="inlineStr">
        <is>
          <t>ÖSTERGÖTLANDS LÄN</t>
        </is>
      </c>
      <c r="E397" t="inlineStr">
        <is>
          <t>LINKÖPING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60985-2023</t>
        </is>
      </c>
      <c r="B398" s="1" t="n">
        <v>45261.48429398148</v>
      </c>
      <c r="C398" s="1" t="n">
        <v>46119</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48343-2025</t>
        </is>
      </c>
      <c r="B399" s="1" t="n">
        <v>45932</v>
      </c>
      <c r="C399" s="1" t="n">
        <v>46119</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48266-2025</t>
        </is>
      </c>
      <c r="B400" s="1" t="n">
        <v>45932</v>
      </c>
      <c r="C400" s="1" t="n">
        <v>46119</v>
      </c>
      <c r="D400" t="inlineStr">
        <is>
          <t>ÖSTERGÖTLANDS LÄN</t>
        </is>
      </c>
      <c r="E400" t="inlineStr">
        <is>
          <t>LINKÖPING</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24904-2024</t>
        </is>
      </c>
      <c r="B401" s="1" t="n">
        <v>45461</v>
      </c>
      <c r="C401" s="1" t="n">
        <v>46119</v>
      </c>
      <c r="D401" t="inlineStr">
        <is>
          <t>ÖSTERGÖTLANDS LÄN</t>
        </is>
      </c>
      <c r="E401" t="inlineStr">
        <is>
          <t>LINKÖPING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55009-2023</t>
        </is>
      </c>
      <c r="B402" s="1" t="n">
        <v>45237</v>
      </c>
      <c r="C402" s="1" t="n">
        <v>46119</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34872-2023</t>
        </is>
      </c>
      <c r="B403" s="1" t="n">
        <v>45140</v>
      </c>
      <c r="C403" s="1" t="n">
        <v>46119</v>
      </c>
      <c r="D403" t="inlineStr">
        <is>
          <t>ÖSTERGÖTLANDS LÄN</t>
        </is>
      </c>
      <c r="E403" t="inlineStr">
        <is>
          <t>LINKÖPING</t>
        </is>
      </c>
      <c r="G403" t="n">
        <v>4.8</v>
      </c>
      <c r="H403" t="n">
        <v>0</v>
      </c>
      <c r="I403" t="n">
        <v>0</v>
      </c>
      <c r="J403" t="n">
        <v>0</v>
      </c>
      <c r="K403" t="n">
        <v>0</v>
      </c>
      <c r="L403" t="n">
        <v>0</v>
      </c>
      <c r="M403" t="n">
        <v>0</v>
      </c>
      <c r="N403" t="n">
        <v>0</v>
      </c>
      <c r="O403" t="n">
        <v>0</v>
      </c>
      <c r="P403" t="n">
        <v>0</v>
      </c>
      <c r="Q403" t="n">
        <v>0</v>
      </c>
      <c r="R403" s="2" t="inlineStr"/>
    </row>
    <row r="404" ht="15" customHeight="1">
      <c r="A404" t="inlineStr">
        <is>
          <t>A 48254-2025</t>
        </is>
      </c>
      <c r="B404" s="1" t="n">
        <v>45932</v>
      </c>
      <c r="C404" s="1" t="n">
        <v>46119</v>
      </c>
      <c r="D404" t="inlineStr">
        <is>
          <t>ÖSTERGÖTLANDS LÄN</t>
        </is>
      </c>
      <c r="E404" t="inlineStr">
        <is>
          <t>LINKÖPING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36336-2022</t>
        </is>
      </c>
      <c r="B405" s="1" t="n">
        <v>44803</v>
      </c>
      <c r="C405" s="1" t="n">
        <v>46119</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25097-2023</t>
        </is>
      </c>
      <c r="B406" s="1" t="n">
        <v>45086</v>
      </c>
      <c r="C406" s="1" t="n">
        <v>46119</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10461-2023</t>
        </is>
      </c>
      <c r="B407" s="1" t="n">
        <v>44987.5969212963</v>
      </c>
      <c r="C407" s="1" t="n">
        <v>46119</v>
      </c>
      <c r="D407" t="inlineStr">
        <is>
          <t>ÖSTERGÖTLANDS LÄN</t>
        </is>
      </c>
      <c r="E407" t="inlineStr">
        <is>
          <t>LINKÖPING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49455-2025</t>
        </is>
      </c>
      <c r="B408" s="1" t="n">
        <v>45938</v>
      </c>
      <c r="C408" s="1" t="n">
        <v>46119</v>
      </c>
      <c r="D408" t="inlineStr">
        <is>
          <t>ÖSTERGÖTLANDS LÄN</t>
        </is>
      </c>
      <c r="E408" t="inlineStr">
        <is>
          <t>LINKÖPING</t>
        </is>
      </c>
      <c r="F408" t="inlineStr">
        <is>
          <t>Övriga Aktiebolag</t>
        </is>
      </c>
      <c r="G408" t="n">
        <v>5.9</v>
      </c>
      <c r="H408" t="n">
        <v>0</v>
      </c>
      <c r="I408" t="n">
        <v>0</v>
      </c>
      <c r="J408" t="n">
        <v>0</v>
      </c>
      <c r="K408" t="n">
        <v>0</v>
      </c>
      <c r="L408" t="n">
        <v>0</v>
      </c>
      <c r="M408" t="n">
        <v>0</v>
      </c>
      <c r="N408" t="n">
        <v>0</v>
      </c>
      <c r="O408" t="n">
        <v>0</v>
      </c>
      <c r="P408" t="n">
        <v>0</v>
      </c>
      <c r="Q408" t="n">
        <v>0</v>
      </c>
      <c r="R408" s="2" t="inlineStr"/>
    </row>
    <row r="409" ht="15" customHeight="1">
      <c r="A409" t="inlineStr">
        <is>
          <t>A 50386-2021</t>
        </is>
      </c>
      <c r="B409" s="1" t="n">
        <v>44459</v>
      </c>
      <c r="C409" s="1" t="n">
        <v>46119</v>
      </c>
      <c r="D409" t="inlineStr">
        <is>
          <t>ÖSTERGÖTLANDS LÄN</t>
        </is>
      </c>
      <c r="E409" t="inlineStr">
        <is>
          <t>LINKÖPING</t>
        </is>
      </c>
      <c r="G409" t="n">
        <v>2.3</v>
      </c>
      <c r="H409" t="n">
        <v>0</v>
      </c>
      <c r="I409" t="n">
        <v>0</v>
      </c>
      <c r="J409" t="n">
        <v>0</v>
      </c>
      <c r="K409" t="n">
        <v>0</v>
      </c>
      <c r="L409" t="n">
        <v>0</v>
      </c>
      <c r="M409" t="n">
        <v>0</v>
      </c>
      <c r="N409" t="n">
        <v>0</v>
      </c>
      <c r="O409" t="n">
        <v>0</v>
      </c>
      <c r="P409" t="n">
        <v>0</v>
      </c>
      <c r="Q409" t="n">
        <v>0</v>
      </c>
      <c r="R409" s="2" t="inlineStr"/>
    </row>
    <row r="410" ht="15" customHeight="1">
      <c r="A410" t="inlineStr">
        <is>
          <t>A 49605-2025</t>
        </is>
      </c>
      <c r="B410" s="1" t="n">
        <v>45938</v>
      </c>
      <c r="C410" s="1" t="n">
        <v>46119</v>
      </c>
      <c r="D410" t="inlineStr">
        <is>
          <t>ÖSTERGÖTLANDS LÄN</t>
        </is>
      </c>
      <c r="E410" t="inlineStr">
        <is>
          <t>LINKÖPING</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49663-2025</t>
        </is>
      </c>
      <c r="B411" s="1" t="n">
        <v>45938</v>
      </c>
      <c r="C411" s="1" t="n">
        <v>46119</v>
      </c>
      <c r="D411" t="inlineStr">
        <is>
          <t>ÖSTERGÖTLANDS LÄN</t>
        </is>
      </c>
      <c r="E411" t="inlineStr">
        <is>
          <t>LINKÖPING</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46119</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49647-2025</t>
        </is>
      </c>
      <c r="B413" s="1" t="n">
        <v>45938</v>
      </c>
      <c r="C413" s="1" t="n">
        <v>46119</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49652-2025</t>
        </is>
      </c>
      <c r="B414" s="1" t="n">
        <v>45938</v>
      </c>
      <c r="C414" s="1" t="n">
        <v>46119</v>
      </c>
      <c r="D414" t="inlineStr">
        <is>
          <t>ÖSTERGÖTLANDS LÄN</t>
        </is>
      </c>
      <c r="E414" t="inlineStr">
        <is>
          <t>LINKÖPING</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49654-2025</t>
        </is>
      </c>
      <c r="B415" s="1" t="n">
        <v>45938</v>
      </c>
      <c r="C415" s="1" t="n">
        <v>46119</v>
      </c>
      <c r="D415" t="inlineStr">
        <is>
          <t>ÖSTERGÖTLANDS LÄN</t>
        </is>
      </c>
      <c r="E415" t="inlineStr">
        <is>
          <t>LINKÖPING</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350-2022</t>
        </is>
      </c>
      <c r="B416" s="1" t="n">
        <v>44565</v>
      </c>
      <c r="C416" s="1" t="n">
        <v>46119</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49615-2025</t>
        </is>
      </c>
      <c r="B417" s="1" t="n">
        <v>45938</v>
      </c>
      <c r="C417" s="1" t="n">
        <v>46119</v>
      </c>
      <c r="D417" t="inlineStr">
        <is>
          <t>ÖSTERGÖTLANDS LÄN</t>
        </is>
      </c>
      <c r="E417" t="inlineStr">
        <is>
          <t>LINKÖPING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49619-2025</t>
        </is>
      </c>
      <c r="B418" s="1" t="n">
        <v>45938</v>
      </c>
      <c r="C418" s="1" t="n">
        <v>46119</v>
      </c>
      <c r="D418" t="inlineStr">
        <is>
          <t>ÖSTERGÖTLANDS LÄN</t>
        </is>
      </c>
      <c r="E418" t="inlineStr">
        <is>
          <t>LINKÖPING</t>
        </is>
      </c>
      <c r="F418" t="inlineStr">
        <is>
          <t>Övriga Aktiebolag</t>
        </is>
      </c>
      <c r="G418" t="n">
        <v>2.3</v>
      </c>
      <c r="H418" t="n">
        <v>0</v>
      </c>
      <c r="I418" t="n">
        <v>0</v>
      </c>
      <c r="J418" t="n">
        <v>0</v>
      </c>
      <c r="K418" t="n">
        <v>0</v>
      </c>
      <c r="L418" t="n">
        <v>0</v>
      </c>
      <c r="M418" t="n">
        <v>0</v>
      </c>
      <c r="N418" t="n">
        <v>0</v>
      </c>
      <c r="O418" t="n">
        <v>0</v>
      </c>
      <c r="P418" t="n">
        <v>0</v>
      </c>
      <c r="Q418" t="n">
        <v>0</v>
      </c>
      <c r="R418" s="2" t="inlineStr"/>
    </row>
    <row r="419" ht="15" customHeight="1">
      <c r="A419" t="inlineStr">
        <is>
          <t>A 49629-2025</t>
        </is>
      </c>
      <c r="B419" s="1" t="n">
        <v>45938</v>
      </c>
      <c r="C419" s="1" t="n">
        <v>46119</v>
      </c>
      <c r="D419" t="inlineStr">
        <is>
          <t>ÖSTERGÖTLANDS LÄN</t>
        </is>
      </c>
      <c r="E419" t="inlineStr">
        <is>
          <t>LINKÖPING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49650-2025</t>
        </is>
      </c>
      <c r="B420" s="1" t="n">
        <v>45938</v>
      </c>
      <c r="C420" s="1" t="n">
        <v>46119</v>
      </c>
      <c r="D420" t="inlineStr">
        <is>
          <t>ÖSTERGÖTLANDS LÄN</t>
        </is>
      </c>
      <c r="E420" t="inlineStr">
        <is>
          <t>LINKÖPING</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49633-2025</t>
        </is>
      </c>
      <c r="B421" s="1" t="n">
        <v>45938</v>
      </c>
      <c r="C421" s="1" t="n">
        <v>46119</v>
      </c>
      <c r="D421" t="inlineStr">
        <is>
          <t>ÖSTERGÖTLANDS LÄN</t>
        </is>
      </c>
      <c r="E421" t="inlineStr">
        <is>
          <t>LINKÖPING</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18891-2022</t>
        </is>
      </c>
      <c r="B422" s="1" t="n">
        <v>44690</v>
      </c>
      <c r="C422" s="1" t="n">
        <v>46119</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30976-2022</t>
        </is>
      </c>
      <c r="B423" s="1" t="n">
        <v>44768</v>
      </c>
      <c r="C423" s="1" t="n">
        <v>46119</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46119</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46119</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55736-2022</t>
        </is>
      </c>
      <c r="B426" s="1" t="n">
        <v>44888</v>
      </c>
      <c r="C426" s="1" t="n">
        <v>46119</v>
      </c>
      <c r="D426" t="inlineStr">
        <is>
          <t>ÖSTERGÖTLANDS LÄN</t>
        </is>
      </c>
      <c r="E426" t="inlineStr">
        <is>
          <t>LINKÖPING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46119</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10194-2023</t>
        </is>
      </c>
      <c r="B428" s="1" t="n">
        <v>44986.52277777778</v>
      </c>
      <c r="C428" s="1" t="n">
        <v>46119</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7702-2023</t>
        </is>
      </c>
      <c r="B429" s="1" t="n">
        <v>44967</v>
      </c>
      <c r="C429" s="1" t="n">
        <v>46119</v>
      </c>
      <c r="D429" t="inlineStr">
        <is>
          <t>ÖSTERGÖTLANDS LÄN</t>
        </is>
      </c>
      <c r="E429" t="inlineStr">
        <is>
          <t>LINKÖPING</t>
        </is>
      </c>
      <c r="F429" t="inlineStr">
        <is>
          <t>Övriga statliga verk och myndigheter</t>
        </is>
      </c>
      <c r="G429" t="n">
        <v>8</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46119</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42000-2023</t>
        </is>
      </c>
      <c r="B431" s="1" t="n">
        <v>45177</v>
      </c>
      <c r="C431" s="1" t="n">
        <v>46119</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31534-2023</t>
        </is>
      </c>
      <c r="B432" s="1" t="n">
        <v>45116</v>
      </c>
      <c r="C432" s="1" t="n">
        <v>46119</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35427-2023</t>
        </is>
      </c>
      <c r="B433" s="1" t="n">
        <v>45146</v>
      </c>
      <c r="C433" s="1" t="n">
        <v>46119</v>
      </c>
      <c r="D433" t="inlineStr">
        <is>
          <t>ÖSTERGÖTLANDS LÄN</t>
        </is>
      </c>
      <c r="E433" t="inlineStr">
        <is>
          <t>LINKÖPING</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36725-2023</t>
        </is>
      </c>
      <c r="B434" s="1" t="n">
        <v>45153.68471064815</v>
      </c>
      <c r="C434" s="1" t="n">
        <v>46119</v>
      </c>
      <c r="D434" t="inlineStr">
        <is>
          <t>ÖSTERGÖTLANDS LÄN</t>
        </is>
      </c>
      <c r="E434" t="inlineStr">
        <is>
          <t>LINKÖPING</t>
        </is>
      </c>
      <c r="F434" t="inlineStr">
        <is>
          <t>Allmännings- och besparingsskogar</t>
        </is>
      </c>
      <c r="G434" t="n">
        <v>2.6</v>
      </c>
      <c r="H434" t="n">
        <v>0</v>
      </c>
      <c r="I434" t="n">
        <v>0</v>
      </c>
      <c r="J434" t="n">
        <v>0</v>
      </c>
      <c r="K434" t="n">
        <v>0</v>
      </c>
      <c r="L434" t="n">
        <v>0</v>
      </c>
      <c r="M434" t="n">
        <v>0</v>
      </c>
      <c r="N434" t="n">
        <v>0</v>
      </c>
      <c r="O434" t="n">
        <v>0</v>
      </c>
      <c r="P434" t="n">
        <v>0</v>
      </c>
      <c r="Q434" t="n">
        <v>0</v>
      </c>
      <c r="R434" s="2" t="inlineStr"/>
    </row>
    <row r="435" ht="15" customHeight="1">
      <c r="A435" t="inlineStr">
        <is>
          <t>A 52111-2025</t>
        </is>
      </c>
      <c r="B435" s="1" t="n">
        <v>45952.69527777778</v>
      </c>
      <c r="C435" s="1" t="n">
        <v>46119</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53639-2023</t>
        </is>
      </c>
      <c r="B436" s="1" t="n">
        <v>45230.59686342593</v>
      </c>
      <c r="C436" s="1" t="n">
        <v>46119</v>
      </c>
      <c r="D436" t="inlineStr">
        <is>
          <t>ÖSTERGÖTLANDS LÄN</t>
        </is>
      </c>
      <c r="E436" t="inlineStr">
        <is>
          <t>LINKÖPING</t>
        </is>
      </c>
      <c r="G436" t="n">
        <v>2.3</v>
      </c>
      <c r="H436" t="n">
        <v>0</v>
      </c>
      <c r="I436" t="n">
        <v>0</v>
      </c>
      <c r="J436" t="n">
        <v>0</v>
      </c>
      <c r="K436" t="n">
        <v>0</v>
      </c>
      <c r="L436" t="n">
        <v>0</v>
      </c>
      <c r="M436" t="n">
        <v>0</v>
      </c>
      <c r="N436" t="n">
        <v>0</v>
      </c>
      <c r="O436" t="n">
        <v>0</v>
      </c>
      <c r="P436" t="n">
        <v>0</v>
      </c>
      <c r="Q436" t="n">
        <v>0</v>
      </c>
      <c r="R436" s="2" t="inlineStr"/>
    </row>
    <row r="437" ht="15" customHeight="1">
      <c r="A437" t="inlineStr">
        <is>
          <t>A 1657-2024</t>
        </is>
      </c>
      <c r="B437" s="1" t="n">
        <v>45306.82501157407</v>
      </c>
      <c r="C437" s="1" t="n">
        <v>46119</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50784-2022</t>
        </is>
      </c>
      <c r="B438" s="1" t="n">
        <v>44862</v>
      </c>
      <c r="C438" s="1" t="n">
        <v>46119</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52740-2025</t>
        </is>
      </c>
      <c r="B439" s="1" t="n">
        <v>45957.37747685185</v>
      </c>
      <c r="C439" s="1" t="n">
        <v>46119</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46119</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19187-2021</t>
        </is>
      </c>
      <c r="B441" s="1" t="n">
        <v>44308</v>
      </c>
      <c r="C441" s="1" t="n">
        <v>46119</v>
      </c>
      <c r="D441" t="inlineStr">
        <is>
          <t>ÖSTERGÖTLANDS LÄN</t>
        </is>
      </c>
      <c r="E441" t="inlineStr">
        <is>
          <t>LINKÖPING</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52800-2025</t>
        </is>
      </c>
      <c r="B442" s="1" t="n">
        <v>45957.44152777778</v>
      </c>
      <c r="C442" s="1" t="n">
        <v>46119</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52802-2025</t>
        </is>
      </c>
      <c r="B443" s="1" t="n">
        <v>45957.44295138889</v>
      </c>
      <c r="C443" s="1" t="n">
        <v>46119</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52743-2025</t>
        </is>
      </c>
      <c r="B444" s="1" t="n">
        <v>45957.38039351852</v>
      </c>
      <c r="C444" s="1" t="n">
        <v>46119</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52807-2025</t>
        </is>
      </c>
      <c r="B445" s="1" t="n">
        <v>45957.44837962963</v>
      </c>
      <c r="C445" s="1" t="n">
        <v>46119</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60472-2022</t>
        </is>
      </c>
      <c r="B446" s="1" t="n">
        <v>44911.41037037037</v>
      </c>
      <c r="C446" s="1" t="n">
        <v>46119</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43934-2023</t>
        </is>
      </c>
      <c r="B447" s="1" t="n">
        <v>45187</v>
      </c>
      <c r="C447" s="1" t="n">
        <v>46119</v>
      </c>
      <c r="D447" t="inlineStr">
        <is>
          <t>ÖSTERGÖTLANDS LÄN</t>
        </is>
      </c>
      <c r="E447" t="inlineStr">
        <is>
          <t>LINKÖPING</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22774-2024</t>
        </is>
      </c>
      <c r="B448" s="1" t="n">
        <v>45448.46924768519</v>
      </c>
      <c r="C448" s="1" t="n">
        <v>46119</v>
      </c>
      <c r="D448" t="inlineStr">
        <is>
          <t>ÖSTERGÖTLANDS LÄN</t>
        </is>
      </c>
      <c r="E448" t="inlineStr">
        <is>
          <t>LINKÖPING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22778-2024</t>
        </is>
      </c>
      <c r="B449" s="1" t="n">
        <v>45448.47233796296</v>
      </c>
      <c r="C449" s="1" t="n">
        <v>46119</v>
      </c>
      <c r="D449" t="inlineStr">
        <is>
          <t>ÖSTERGÖTLANDS LÄN</t>
        </is>
      </c>
      <c r="E449" t="inlineStr">
        <is>
          <t>LINKÖPING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1209-2023</t>
        </is>
      </c>
      <c r="B450" s="1" t="n">
        <v>44930</v>
      </c>
      <c r="C450" s="1" t="n">
        <v>46119</v>
      </c>
      <c r="D450" t="inlineStr">
        <is>
          <t>ÖSTERGÖTLANDS LÄN</t>
        </is>
      </c>
      <c r="E450" t="inlineStr">
        <is>
          <t>LINKÖPING</t>
        </is>
      </c>
      <c r="F450" t="inlineStr">
        <is>
          <t>Övriga statliga verk och myndigheter</t>
        </is>
      </c>
      <c r="G450" t="n">
        <v>25.8</v>
      </c>
      <c r="H450" t="n">
        <v>0</v>
      </c>
      <c r="I450" t="n">
        <v>0</v>
      </c>
      <c r="J450" t="n">
        <v>0</v>
      </c>
      <c r="K450" t="n">
        <v>0</v>
      </c>
      <c r="L450" t="n">
        <v>0</v>
      </c>
      <c r="M450" t="n">
        <v>0</v>
      </c>
      <c r="N450" t="n">
        <v>0</v>
      </c>
      <c r="O450" t="n">
        <v>0</v>
      </c>
      <c r="P450" t="n">
        <v>0</v>
      </c>
      <c r="Q450" t="n">
        <v>0</v>
      </c>
      <c r="R450" s="2" t="inlineStr"/>
    </row>
    <row r="451" ht="15" customHeight="1">
      <c r="A451" t="inlineStr">
        <is>
          <t>A 10407-2025</t>
        </is>
      </c>
      <c r="B451" s="1" t="n">
        <v>45720.62863425926</v>
      </c>
      <c r="C451" s="1" t="n">
        <v>46119</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11590-2023</t>
        </is>
      </c>
      <c r="B452" s="1" t="n">
        <v>44994.36689814815</v>
      </c>
      <c r="C452" s="1" t="n">
        <v>46119</v>
      </c>
      <c r="D452" t="inlineStr">
        <is>
          <t>ÖSTERGÖTLANDS LÄN</t>
        </is>
      </c>
      <c r="E452" t="inlineStr">
        <is>
          <t>LINKÖPING</t>
        </is>
      </c>
      <c r="G452" t="n">
        <v>3.1</v>
      </c>
      <c r="H452" t="n">
        <v>0</v>
      </c>
      <c r="I452" t="n">
        <v>0</v>
      </c>
      <c r="J452" t="n">
        <v>0</v>
      </c>
      <c r="K452" t="n">
        <v>0</v>
      </c>
      <c r="L452" t="n">
        <v>0</v>
      </c>
      <c r="M452" t="n">
        <v>0</v>
      </c>
      <c r="N452" t="n">
        <v>0</v>
      </c>
      <c r="O452" t="n">
        <v>0</v>
      </c>
      <c r="P452" t="n">
        <v>0</v>
      </c>
      <c r="Q452" t="n">
        <v>0</v>
      </c>
      <c r="R452" s="2" t="inlineStr"/>
    </row>
    <row r="453" ht="15" customHeight="1">
      <c r="A453" t="inlineStr">
        <is>
          <t>A 19169-2023</t>
        </is>
      </c>
      <c r="B453" s="1" t="n">
        <v>45044</v>
      </c>
      <c r="C453" s="1" t="n">
        <v>46119</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672-2024</t>
        </is>
      </c>
      <c r="B454" s="1" t="n">
        <v>45300</v>
      </c>
      <c r="C454" s="1" t="n">
        <v>46119</v>
      </c>
      <c r="D454" t="inlineStr">
        <is>
          <t>ÖSTERGÖTLANDS LÄN</t>
        </is>
      </c>
      <c r="E454" t="inlineStr">
        <is>
          <t>LINKÖPING</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55493-2021</t>
        </is>
      </c>
      <c r="B455" s="1" t="n">
        <v>44475.61988425926</v>
      </c>
      <c r="C455" s="1" t="n">
        <v>46119</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54332-2025</t>
        </is>
      </c>
      <c r="B456" s="1" t="n">
        <v>45965.34915509259</v>
      </c>
      <c r="C456" s="1" t="n">
        <v>46119</v>
      </c>
      <c r="D456" t="inlineStr">
        <is>
          <t>ÖSTERGÖTLANDS LÄN</t>
        </is>
      </c>
      <c r="E456" t="inlineStr">
        <is>
          <t>LINKÖPING</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54329-2025</t>
        </is>
      </c>
      <c r="B457" s="1" t="n">
        <v>45965.34706018519</v>
      </c>
      <c r="C457" s="1" t="n">
        <v>46119</v>
      </c>
      <c r="D457" t="inlineStr">
        <is>
          <t>ÖSTERGÖTLANDS LÄN</t>
        </is>
      </c>
      <c r="E457" t="inlineStr">
        <is>
          <t>LINKÖPING</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14093-2024</t>
        </is>
      </c>
      <c r="B458" s="1" t="n">
        <v>45392.60278935185</v>
      </c>
      <c r="C458" s="1" t="n">
        <v>46119</v>
      </c>
      <c r="D458" t="inlineStr">
        <is>
          <t>ÖSTERGÖTLANDS LÄN</t>
        </is>
      </c>
      <c r="E458" t="inlineStr">
        <is>
          <t>LINKÖPING</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62019-2024</t>
        </is>
      </c>
      <c r="B459" s="1" t="n">
        <v>45655.82</v>
      </c>
      <c r="C459" s="1" t="n">
        <v>46119</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25119-2023</t>
        </is>
      </c>
      <c r="B460" s="1" t="n">
        <v>45086.42326388889</v>
      </c>
      <c r="C460" s="1" t="n">
        <v>46119</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54333-2025</t>
        </is>
      </c>
      <c r="B461" s="1" t="n">
        <v>45965.35090277778</v>
      </c>
      <c r="C461" s="1" t="n">
        <v>46119</v>
      </c>
      <c r="D461" t="inlineStr">
        <is>
          <t>ÖSTERGÖTLANDS LÄN</t>
        </is>
      </c>
      <c r="E461" t="inlineStr">
        <is>
          <t>LINKÖPING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57396-2021</t>
        </is>
      </c>
      <c r="B462" s="1" t="n">
        <v>44483.56151620371</v>
      </c>
      <c r="C462" s="1" t="n">
        <v>46119</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51571-2024</t>
        </is>
      </c>
      <c r="B463" s="1" t="n">
        <v>45604</v>
      </c>
      <c r="C463" s="1" t="n">
        <v>46119</v>
      </c>
      <c r="D463" t="inlineStr">
        <is>
          <t>ÖSTERGÖTLANDS LÄN</t>
        </is>
      </c>
      <c r="E463" t="inlineStr">
        <is>
          <t>LINKÖPING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45755.92731481481</v>
      </c>
      <c r="C464" s="1" t="n">
        <v>46119</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17124-2025</t>
        </is>
      </c>
      <c r="B465" s="1" t="n">
        <v>45755.69678240741</v>
      </c>
      <c r="C465" s="1" t="n">
        <v>46119</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17126-2025</t>
        </is>
      </c>
      <c r="B466" s="1" t="n">
        <v>45755.70814814815</v>
      </c>
      <c r="C466" s="1" t="n">
        <v>46119</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55102-2025</t>
        </is>
      </c>
      <c r="B467" s="1" t="n">
        <v>45968.35410879629</v>
      </c>
      <c r="C467" s="1" t="n">
        <v>46119</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55132-2025</t>
        </is>
      </c>
      <c r="B468" s="1" t="n">
        <v>45968.41912037037</v>
      </c>
      <c r="C468" s="1" t="n">
        <v>46119</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46119</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55109-2025</t>
        </is>
      </c>
      <c r="B470" s="1" t="n">
        <v>45968.37731481482</v>
      </c>
      <c r="C470" s="1" t="n">
        <v>46119</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55165-2025</t>
        </is>
      </c>
      <c r="B471" s="1" t="n">
        <v>45968.48194444444</v>
      </c>
      <c r="C471" s="1" t="n">
        <v>46119</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11790-2024</t>
        </is>
      </c>
      <c r="B472" s="1" t="n">
        <v>45374</v>
      </c>
      <c r="C472" s="1" t="n">
        <v>46119</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61281-2021</t>
        </is>
      </c>
      <c r="B473" s="1" t="n">
        <v>44498.60736111111</v>
      </c>
      <c r="C473" s="1" t="n">
        <v>46119</v>
      </c>
      <c r="D473" t="inlineStr">
        <is>
          <t>ÖSTERGÖTLANDS LÄN</t>
        </is>
      </c>
      <c r="E473" t="inlineStr">
        <is>
          <t>LINKÖPING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56113-2025</t>
        </is>
      </c>
      <c r="B474" s="1" t="n">
        <v>45973.73924768518</v>
      </c>
      <c r="C474" s="1" t="n">
        <v>46119</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56105-2025</t>
        </is>
      </c>
      <c r="B475" s="1" t="n">
        <v>45973.72855324074</v>
      </c>
      <c r="C475" s="1" t="n">
        <v>46119</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6206-2024</t>
        </is>
      </c>
      <c r="B476" s="1" t="n">
        <v>45337.5977662037</v>
      </c>
      <c r="C476" s="1" t="n">
        <v>46119</v>
      </c>
      <c r="D476" t="inlineStr">
        <is>
          <t>ÖSTERGÖTLANDS LÄN</t>
        </is>
      </c>
      <c r="E476" t="inlineStr">
        <is>
          <t>LINKÖPING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56403-2025</t>
        </is>
      </c>
      <c r="B477" s="1" t="n">
        <v>45974</v>
      </c>
      <c r="C477" s="1" t="n">
        <v>46119</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168-2024</t>
        </is>
      </c>
      <c r="B478" s="1" t="n">
        <v>45294</v>
      </c>
      <c r="C478" s="1" t="n">
        <v>46119</v>
      </c>
      <c r="D478" t="inlineStr">
        <is>
          <t>ÖSTERGÖTLANDS LÄN</t>
        </is>
      </c>
      <c r="E478" t="inlineStr">
        <is>
          <t>LINKÖPING</t>
        </is>
      </c>
      <c r="F478" t="inlineStr">
        <is>
          <t>Allmännings- och besparingsskogar</t>
        </is>
      </c>
      <c r="G478" t="n">
        <v>8.9</v>
      </c>
      <c r="H478" t="n">
        <v>0</v>
      </c>
      <c r="I478" t="n">
        <v>0</v>
      </c>
      <c r="J478" t="n">
        <v>0</v>
      </c>
      <c r="K478" t="n">
        <v>0</v>
      </c>
      <c r="L478" t="n">
        <v>0</v>
      </c>
      <c r="M478" t="n">
        <v>0</v>
      </c>
      <c r="N478" t="n">
        <v>0</v>
      </c>
      <c r="O478" t="n">
        <v>0</v>
      </c>
      <c r="P478" t="n">
        <v>0</v>
      </c>
      <c r="Q478" t="n">
        <v>0</v>
      </c>
      <c r="R478" s="2" t="inlineStr"/>
    </row>
    <row r="479" ht="15" customHeight="1">
      <c r="A479" t="inlineStr">
        <is>
          <t>A 51919-2024</t>
        </is>
      </c>
      <c r="B479" s="1" t="n">
        <v>45607.60791666667</v>
      </c>
      <c r="C479" s="1" t="n">
        <v>46119</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46119</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44993.24648148148</v>
      </c>
      <c r="C481" s="1" t="n">
        <v>46119</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44508.4396412037</v>
      </c>
      <c r="C482" s="1" t="n">
        <v>46119</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56704-2025</t>
        </is>
      </c>
      <c r="B483" s="1" t="n">
        <v>45977.50608796296</v>
      </c>
      <c r="C483" s="1" t="n">
        <v>46119</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14528-2025</t>
        </is>
      </c>
      <c r="B484" s="1" t="n">
        <v>45741</v>
      </c>
      <c r="C484" s="1" t="n">
        <v>46119</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3530-2024</t>
        </is>
      </c>
      <c r="B485" s="1" t="n">
        <v>45320.54717592592</v>
      </c>
      <c r="C485" s="1" t="n">
        <v>46119</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62073-2023</t>
        </is>
      </c>
      <c r="B486" s="1" t="n">
        <v>45266.73844907407</v>
      </c>
      <c r="C486" s="1" t="n">
        <v>46119</v>
      </c>
      <c r="D486" t="inlineStr">
        <is>
          <t>ÖSTERGÖTLANDS LÄN</t>
        </is>
      </c>
      <c r="E486" t="inlineStr">
        <is>
          <t>LINKÖPING</t>
        </is>
      </c>
      <c r="F486" t="inlineStr">
        <is>
          <t>Allmännings- och besparingsskogar</t>
        </is>
      </c>
      <c r="G486" t="n">
        <v>1.8</v>
      </c>
      <c r="H486" t="n">
        <v>0</v>
      </c>
      <c r="I486" t="n">
        <v>0</v>
      </c>
      <c r="J486" t="n">
        <v>0</v>
      </c>
      <c r="K486" t="n">
        <v>0</v>
      </c>
      <c r="L486" t="n">
        <v>0</v>
      </c>
      <c r="M486" t="n">
        <v>0</v>
      </c>
      <c r="N486" t="n">
        <v>0</v>
      </c>
      <c r="O486" t="n">
        <v>0</v>
      </c>
      <c r="P486" t="n">
        <v>0</v>
      </c>
      <c r="Q486" t="n">
        <v>0</v>
      </c>
      <c r="R486" s="2" t="inlineStr"/>
    </row>
    <row r="487" ht="15" customHeight="1">
      <c r="A487" t="inlineStr">
        <is>
          <t>A 5872-2025</t>
        </is>
      </c>
      <c r="B487" s="1" t="n">
        <v>45695.36659722222</v>
      </c>
      <c r="C487" s="1" t="n">
        <v>46119</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46119</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3432-2023</t>
        </is>
      </c>
      <c r="B489" s="1" t="n">
        <v>44949</v>
      </c>
      <c r="C489" s="1" t="n">
        <v>46119</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54425-2022</t>
        </is>
      </c>
      <c r="B490" s="1" t="n">
        <v>44882.57453703704</v>
      </c>
      <c r="C490" s="1" t="n">
        <v>46119</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54428-2022</t>
        </is>
      </c>
      <c r="B491" s="1" t="n">
        <v>44882.57643518518</v>
      </c>
      <c r="C491" s="1" t="n">
        <v>46119</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660-2023</t>
        </is>
      </c>
      <c r="B492" s="1" t="n">
        <v>44930</v>
      </c>
      <c r="C492" s="1" t="n">
        <v>46119</v>
      </c>
      <c r="D492" t="inlineStr">
        <is>
          <t>ÖSTERGÖTLANDS LÄN</t>
        </is>
      </c>
      <c r="E492" t="inlineStr">
        <is>
          <t>LINKÖPING</t>
        </is>
      </c>
      <c r="F492" t="inlineStr">
        <is>
          <t>Kyrkan</t>
        </is>
      </c>
      <c r="G492" t="n">
        <v>1.6</v>
      </c>
      <c r="H492" t="n">
        <v>0</v>
      </c>
      <c r="I492" t="n">
        <v>0</v>
      </c>
      <c r="J492" t="n">
        <v>0</v>
      </c>
      <c r="K492" t="n">
        <v>0</v>
      </c>
      <c r="L492" t="n">
        <v>0</v>
      </c>
      <c r="M492" t="n">
        <v>0</v>
      </c>
      <c r="N492" t="n">
        <v>0</v>
      </c>
      <c r="O492" t="n">
        <v>0</v>
      </c>
      <c r="P492" t="n">
        <v>0</v>
      </c>
      <c r="Q492" t="n">
        <v>0</v>
      </c>
      <c r="R492" s="2" t="inlineStr"/>
    </row>
    <row r="493" ht="15" customHeight="1">
      <c r="A493" t="inlineStr">
        <is>
          <t>A 62501-2023</t>
        </is>
      </c>
      <c r="B493" s="1" t="n">
        <v>45268</v>
      </c>
      <c r="C493" s="1" t="n">
        <v>46119</v>
      </c>
      <c r="D493" t="inlineStr">
        <is>
          <t>ÖSTERGÖTLANDS LÄN</t>
        </is>
      </c>
      <c r="E493" t="inlineStr">
        <is>
          <t>LINKÖPING</t>
        </is>
      </c>
      <c r="G493" t="n">
        <v>7.4</v>
      </c>
      <c r="H493" t="n">
        <v>0</v>
      </c>
      <c r="I493" t="n">
        <v>0</v>
      </c>
      <c r="J493" t="n">
        <v>0</v>
      </c>
      <c r="K493" t="n">
        <v>0</v>
      </c>
      <c r="L493" t="n">
        <v>0</v>
      </c>
      <c r="M493" t="n">
        <v>0</v>
      </c>
      <c r="N493" t="n">
        <v>0</v>
      </c>
      <c r="O493" t="n">
        <v>0</v>
      </c>
      <c r="P493" t="n">
        <v>0</v>
      </c>
      <c r="Q493" t="n">
        <v>0</v>
      </c>
      <c r="R493" s="2" t="inlineStr"/>
    </row>
    <row r="494" ht="15" customHeight="1">
      <c r="A494" t="inlineStr">
        <is>
          <t>A 13413-2023</t>
        </is>
      </c>
      <c r="B494" s="1" t="n">
        <v>45005.58341435185</v>
      </c>
      <c r="C494" s="1" t="n">
        <v>46119</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26620-2023</t>
        </is>
      </c>
      <c r="B495" s="1" t="n">
        <v>45092.70390046296</v>
      </c>
      <c r="C495" s="1" t="n">
        <v>46119</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58802-2025</t>
        </is>
      </c>
      <c r="B496" s="1" t="n">
        <v>45986.8768287037</v>
      </c>
      <c r="C496" s="1" t="n">
        <v>46119</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46119</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16462-2021</t>
        </is>
      </c>
      <c r="B498" s="1" t="n">
        <v>44293</v>
      </c>
      <c r="C498" s="1" t="n">
        <v>46119</v>
      </c>
      <c r="D498" t="inlineStr">
        <is>
          <t>ÖSTERGÖTLANDS LÄN</t>
        </is>
      </c>
      <c r="E498" t="inlineStr">
        <is>
          <t>LINKÖPING</t>
        </is>
      </c>
      <c r="F498" t="inlineStr">
        <is>
          <t>Allmännings- och besparingsskogar</t>
        </is>
      </c>
      <c r="G498" t="n">
        <v>24.7</v>
      </c>
      <c r="H498" t="n">
        <v>0</v>
      </c>
      <c r="I498" t="n">
        <v>0</v>
      </c>
      <c r="J498" t="n">
        <v>0</v>
      </c>
      <c r="K498" t="n">
        <v>0</v>
      </c>
      <c r="L498" t="n">
        <v>0</v>
      </c>
      <c r="M498" t="n">
        <v>0</v>
      </c>
      <c r="N498" t="n">
        <v>0</v>
      </c>
      <c r="O498" t="n">
        <v>0</v>
      </c>
      <c r="P498" t="n">
        <v>0</v>
      </c>
      <c r="Q498" t="n">
        <v>0</v>
      </c>
      <c r="R498" s="2" t="inlineStr"/>
    </row>
    <row r="499" ht="15" customHeight="1">
      <c r="A499" t="inlineStr">
        <is>
          <t>A 59205-2025</t>
        </is>
      </c>
      <c r="B499" s="1" t="n">
        <v>45988.60721064815</v>
      </c>
      <c r="C499" s="1" t="n">
        <v>46119</v>
      </c>
      <c r="D499" t="inlineStr">
        <is>
          <t>ÖSTERGÖTLANDS LÄN</t>
        </is>
      </c>
      <c r="E499" t="inlineStr">
        <is>
          <t>LINKÖPING</t>
        </is>
      </c>
      <c r="F499" t="inlineStr">
        <is>
          <t>Sveaskog</t>
        </is>
      </c>
      <c r="G499" t="n">
        <v>11.3</v>
      </c>
      <c r="H499" t="n">
        <v>0</v>
      </c>
      <c r="I499" t="n">
        <v>0</v>
      </c>
      <c r="J499" t="n">
        <v>0</v>
      </c>
      <c r="K499" t="n">
        <v>0</v>
      </c>
      <c r="L499" t="n">
        <v>0</v>
      </c>
      <c r="M499" t="n">
        <v>0</v>
      </c>
      <c r="N499" t="n">
        <v>0</v>
      </c>
      <c r="O499" t="n">
        <v>0</v>
      </c>
      <c r="P499" t="n">
        <v>0</v>
      </c>
      <c r="Q499" t="n">
        <v>0</v>
      </c>
      <c r="R499" s="2" t="inlineStr"/>
    </row>
    <row r="500" ht="15" customHeight="1">
      <c r="A500" t="inlineStr">
        <is>
          <t>A 59472-2025</t>
        </is>
      </c>
      <c r="B500" s="1" t="n">
        <v>45989.58321759259</v>
      </c>
      <c r="C500" s="1" t="n">
        <v>46119</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46119</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63554-2023</t>
        </is>
      </c>
      <c r="B502" s="1" t="n">
        <v>45275</v>
      </c>
      <c r="C502" s="1" t="n">
        <v>46119</v>
      </c>
      <c r="D502" t="inlineStr">
        <is>
          <t>ÖSTERGÖTLANDS LÄN</t>
        </is>
      </c>
      <c r="E502" t="inlineStr">
        <is>
          <t>LINKÖPING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63638-2023</t>
        </is>
      </c>
      <c r="B503" s="1" t="n">
        <v>45275</v>
      </c>
      <c r="C503" s="1" t="n">
        <v>46119</v>
      </c>
      <c r="D503" t="inlineStr">
        <is>
          <t>ÖSTERGÖTLANDS LÄN</t>
        </is>
      </c>
      <c r="E503" t="inlineStr">
        <is>
          <t>LINKÖPING</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63658-2023</t>
        </is>
      </c>
      <c r="B504" s="1" t="n">
        <v>45275</v>
      </c>
      <c r="C504" s="1" t="n">
        <v>46119</v>
      </c>
      <c r="D504" t="inlineStr">
        <is>
          <t>ÖSTERGÖTLANDS LÄN</t>
        </is>
      </c>
      <c r="E504" t="inlineStr">
        <is>
          <t>LINKÖPING</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60306-2025</t>
        </is>
      </c>
      <c r="B505" s="1" t="n">
        <v>45994.68326388889</v>
      </c>
      <c r="C505" s="1" t="n">
        <v>46119</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60284-2025</t>
        </is>
      </c>
      <c r="B506" s="1" t="n">
        <v>45994.64373842593</v>
      </c>
      <c r="C506" s="1" t="n">
        <v>46119</v>
      </c>
      <c r="D506" t="inlineStr">
        <is>
          <t>ÖSTERGÖTLANDS LÄN</t>
        </is>
      </c>
      <c r="E506" t="inlineStr">
        <is>
          <t>LINKÖPING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16820-2024</t>
        </is>
      </c>
      <c r="B507" s="1" t="n">
        <v>45411.46809027778</v>
      </c>
      <c r="C507" s="1" t="n">
        <v>46119</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4456-2024</t>
        </is>
      </c>
      <c r="B508" s="1" t="n">
        <v>45327.52847222222</v>
      </c>
      <c r="C508" s="1" t="n">
        <v>46119</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20298-2025</t>
        </is>
      </c>
      <c r="B509" s="1" t="n">
        <v>45774.75024305555</v>
      </c>
      <c r="C509" s="1" t="n">
        <v>46119</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15121-2022</t>
        </is>
      </c>
      <c r="B510" s="1" t="n">
        <v>44658</v>
      </c>
      <c r="C510" s="1" t="n">
        <v>46119</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50743-2023</t>
        </is>
      </c>
      <c r="B511" s="1" t="n">
        <v>45217</v>
      </c>
      <c r="C511" s="1" t="n">
        <v>46119</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60703-2025</t>
        </is>
      </c>
      <c r="B512" s="1" t="n">
        <v>45996.6052662037</v>
      </c>
      <c r="C512" s="1" t="n">
        <v>46119</v>
      </c>
      <c r="D512" t="inlineStr">
        <is>
          <t>ÖSTERGÖTLANDS LÄN</t>
        </is>
      </c>
      <c r="E512" t="inlineStr">
        <is>
          <t>LINKÖPING</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60866-2025</t>
        </is>
      </c>
      <c r="B513" s="1" t="n">
        <v>45999</v>
      </c>
      <c r="C513" s="1" t="n">
        <v>46119</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13687-2025</t>
        </is>
      </c>
      <c r="B514" s="1" t="n">
        <v>45737.31425925926</v>
      </c>
      <c r="C514" s="1" t="n">
        <v>46119</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13695-2025</t>
        </is>
      </c>
      <c r="B515" s="1" t="n">
        <v>45737.32219907407</v>
      </c>
      <c r="C515" s="1" t="n">
        <v>46119</v>
      </c>
      <c r="D515" t="inlineStr">
        <is>
          <t>ÖSTERGÖTLANDS LÄN</t>
        </is>
      </c>
      <c r="E515" t="inlineStr">
        <is>
          <t>LINKÖPING</t>
        </is>
      </c>
      <c r="G515" t="n">
        <v>5.3</v>
      </c>
      <c r="H515" t="n">
        <v>0</v>
      </c>
      <c r="I515" t="n">
        <v>0</v>
      </c>
      <c r="J515" t="n">
        <v>0</v>
      </c>
      <c r="K515" t="n">
        <v>0</v>
      </c>
      <c r="L515" t="n">
        <v>0</v>
      </c>
      <c r="M515" t="n">
        <v>0</v>
      </c>
      <c r="N515" t="n">
        <v>0</v>
      </c>
      <c r="O515" t="n">
        <v>0</v>
      </c>
      <c r="P515" t="n">
        <v>0</v>
      </c>
      <c r="Q515" t="n">
        <v>0</v>
      </c>
      <c r="R515" s="2" t="inlineStr"/>
    </row>
    <row r="516" ht="15" customHeight="1">
      <c r="A516" t="inlineStr">
        <is>
          <t>A 20294-2025</t>
        </is>
      </c>
      <c r="B516" s="1" t="n">
        <v>45774.74667824074</v>
      </c>
      <c r="C516" s="1" t="n">
        <v>46119</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61230-2025</t>
        </is>
      </c>
      <c r="B517" s="1" t="n">
        <v>46000.63111111111</v>
      </c>
      <c r="C517" s="1" t="n">
        <v>46119</v>
      </c>
      <c r="D517" t="inlineStr">
        <is>
          <t>ÖSTERGÖTLANDS LÄN</t>
        </is>
      </c>
      <c r="E517" t="inlineStr">
        <is>
          <t>LINKÖPING</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17128-2025</t>
        </is>
      </c>
      <c r="B518" s="1" t="n">
        <v>45755.72622685185</v>
      </c>
      <c r="C518" s="1" t="n">
        <v>46119</v>
      </c>
      <c r="D518" t="inlineStr">
        <is>
          <t>ÖSTERGÖTLANDS LÄN</t>
        </is>
      </c>
      <c r="E518" t="inlineStr">
        <is>
          <t>LINKÖPING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52125-2022</t>
        </is>
      </c>
      <c r="B519" s="1" t="n">
        <v>44873</v>
      </c>
      <c r="C519" s="1" t="n">
        <v>46119</v>
      </c>
      <c r="D519" t="inlineStr">
        <is>
          <t>ÖSTERGÖTLANDS LÄN</t>
        </is>
      </c>
      <c r="E519" t="inlineStr">
        <is>
          <t>LINKÖPING</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46119</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27343-2023</t>
        </is>
      </c>
      <c r="B521" s="1" t="n">
        <v>45096</v>
      </c>
      <c r="C521" s="1" t="n">
        <v>46119</v>
      </c>
      <c r="D521" t="inlineStr">
        <is>
          <t>ÖSTERGÖTLANDS LÄN</t>
        </is>
      </c>
      <c r="E521" t="inlineStr">
        <is>
          <t>LINKÖPING</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61899-2025</t>
        </is>
      </c>
      <c r="B522" s="1" t="n">
        <v>46003.46635416667</v>
      </c>
      <c r="C522" s="1" t="n">
        <v>46119</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22842-2023</t>
        </is>
      </c>
      <c r="B523" s="1" t="n">
        <v>45071</v>
      </c>
      <c r="C523" s="1" t="n">
        <v>46119</v>
      </c>
      <c r="D523" t="inlineStr">
        <is>
          <t>ÖSTERGÖTLANDS LÄN</t>
        </is>
      </c>
      <c r="E523" t="inlineStr">
        <is>
          <t>LINKÖPING</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61643-2025</t>
        </is>
      </c>
      <c r="B524" s="1" t="n">
        <v>46002.43575231481</v>
      </c>
      <c r="C524" s="1" t="n">
        <v>46119</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61645-2025</t>
        </is>
      </c>
      <c r="B525" s="1" t="n">
        <v>46002.43697916667</v>
      </c>
      <c r="C525" s="1" t="n">
        <v>46119</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14520-2025</t>
        </is>
      </c>
      <c r="B526" s="1" t="n">
        <v>45741</v>
      </c>
      <c r="C526" s="1" t="n">
        <v>46119</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31548-2022</t>
        </is>
      </c>
      <c r="B527" s="1" t="n">
        <v>44775.39832175926</v>
      </c>
      <c r="C527" s="1" t="n">
        <v>46119</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62017-2024</t>
        </is>
      </c>
      <c r="B528" s="1" t="n">
        <v>45655.81140046296</v>
      </c>
      <c r="C528" s="1" t="n">
        <v>46119</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17785-2023</t>
        </is>
      </c>
      <c r="B529" s="1" t="n">
        <v>45037.55094907407</v>
      </c>
      <c r="C529" s="1" t="n">
        <v>46119</v>
      </c>
      <c r="D529" t="inlineStr">
        <is>
          <t>ÖSTERGÖTLANDS LÄN</t>
        </is>
      </c>
      <c r="E529" t="inlineStr">
        <is>
          <t>LINKÖPING</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62515-2025</t>
        </is>
      </c>
      <c r="B530" s="1" t="n">
        <v>46007.60548611111</v>
      </c>
      <c r="C530" s="1" t="n">
        <v>46119</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62686-2023</t>
        </is>
      </c>
      <c r="B531" s="1" t="n">
        <v>45271</v>
      </c>
      <c r="C531" s="1" t="n">
        <v>46119</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42044-2023</t>
        </is>
      </c>
      <c r="B532" s="1" t="n">
        <v>45177</v>
      </c>
      <c r="C532" s="1" t="n">
        <v>46119</v>
      </c>
      <c r="D532" t="inlineStr">
        <is>
          <t>ÖSTERGÖTLANDS LÄN</t>
        </is>
      </c>
      <c r="E532" t="inlineStr">
        <is>
          <t>LINKÖPING</t>
        </is>
      </c>
      <c r="G532" t="n">
        <v>3.9</v>
      </c>
      <c r="H532" t="n">
        <v>0</v>
      </c>
      <c r="I532" t="n">
        <v>0</v>
      </c>
      <c r="J532" t="n">
        <v>0</v>
      </c>
      <c r="K532" t="n">
        <v>0</v>
      </c>
      <c r="L532" t="n">
        <v>0</v>
      </c>
      <c r="M532" t="n">
        <v>0</v>
      </c>
      <c r="N532" t="n">
        <v>0</v>
      </c>
      <c r="O532" t="n">
        <v>0</v>
      </c>
      <c r="P532" t="n">
        <v>0</v>
      </c>
      <c r="Q532" t="n">
        <v>0</v>
      </c>
      <c r="R532" s="2" t="inlineStr"/>
    </row>
    <row r="533" ht="15" customHeight="1">
      <c r="A533" t="inlineStr">
        <is>
          <t>A 62791-2025</t>
        </is>
      </c>
      <c r="B533" s="1" t="n">
        <v>46008.63266203704</v>
      </c>
      <c r="C533" s="1" t="n">
        <v>46119</v>
      </c>
      <c r="D533" t="inlineStr">
        <is>
          <t>ÖSTERGÖTLANDS LÄN</t>
        </is>
      </c>
      <c r="E533" t="inlineStr">
        <is>
          <t>LINKÖPING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62686-2025</t>
        </is>
      </c>
      <c r="B534" s="1" t="n">
        <v>46008.46769675926</v>
      </c>
      <c r="C534" s="1" t="n">
        <v>46119</v>
      </c>
      <c r="D534" t="inlineStr">
        <is>
          <t>ÖSTERGÖTLANDS LÄN</t>
        </is>
      </c>
      <c r="E534" t="inlineStr">
        <is>
          <t>LINKÖPING</t>
        </is>
      </c>
      <c r="G534" t="n">
        <v>7.6</v>
      </c>
      <c r="H534" t="n">
        <v>0</v>
      </c>
      <c r="I534" t="n">
        <v>0</v>
      </c>
      <c r="J534" t="n">
        <v>0</v>
      </c>
      <c r="K534" t="n">
        <v>0</v>
      </c>
      <c r="L534" t="n">
        <v>0</v>
      </c>
      <c r="M534" t="n">
        <v>0</v>
      </c>
      <c r="N534" t="n">
        <v>0</v>
      </c>
      <c r="O534" t="n">
        <v>0</v>
      </c>
      <c r="P534" t="n">
        <v>0</v>
      </c>
      <c r="Q534" t="n">
        <v>0</v>
      </c>
      <c r="R534" s="2" t="inlineStr"/>
    </row>
    <row r="535" ht="15" customHeight="1">
      <c r="A535" t="inlineStr">
        <is>
          <t>A 49656-2021</t>
        </is>
      </c>
      <c r="B535" s="1" t="n">
        <v>44454</v>
      </c>
      <c r="C535" s="1" t="n">
        <v>46119</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63147-2025</t>
        </is>
      </c>
      <c r="B536" s="1" t="n">
        <v>46010.35003472222</v>
      </c>
      <c r="C536" s="1" t="n">
        <v>46119</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38230-2023</t>
        </is>
      </c>
      <c r="B537" s="1" t="n">
        <v>45161.55373842592</v>
      </c>
      <c r="C537" s="1" t="n">
        <v>46119</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45442-2024</t>
        </is>
      </c>
      <c r="B538" s="1" t="n">
        <v>45576.64189814815</v>
      </c>
      <c r="C538" s="1" t="n">
        <v>46119</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4908-2023</t>
        </is>
      </c>
      <c r="B539" s="1" t="n">
        <v>44958</v>
      </c>
      <c r="C539" s="1" t="n">
        <v>46119</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1265-2023</t>
        </is>
      </c>
      <c r="B540" s="1" t="n">
        <v>44936</v>
      </c>
      <c r="C540" s="1" t="n">
        <v>46119</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63144-2025</t>
        </is>
      </c>
      <c r="B541" s="1" t="n">
        <v>46010.34716435185</v>
      </c>
      <c r="C541" s="1" t="n">
        <v>46119</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46119</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23491-2024</t>
        </is>
      </c>
      <c r="B543" s="1" t="n">
        <v>45453</v>
      </c>
      <c r="C543" s="1" t="n">
        <v>46119</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70-2024</t>
        </is>
      </c>
      <c r="B544" s="1" t="n">
        <v>45293</v>
      </c>
      <c r="C544" s="1" t="n">
        <v>46119</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6054-2022</t>
        </is>
      </c>
      <c r="B545" s="1" t="n">
        <v>44599.53623842593</v>
      </c>
      <c r="C545" s="1" t="n">
        <v>46119</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31725-2022</t>
        </is>
      </c>
      <c r="B546" s="1" t="n">
        <v>44776.48541666667</v>
      </c>
      <c r="C546" s="1" t="n">
        <v>46119</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1223-2026</t>
        </is>
      </c>
      <c r="B547" s="1" t="n">
        <v>46031.40233796297</v>
      </c>
      <c r="C547" s="1" t="n">
        <v>46119</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858-2026</t>
        </is>
      </c>
      <c r="B548" s="1" t="n">
        <v>46030.41200231481</v>
      </c>
      <c r="C548" s="1" t="n">
        <v>46119</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873-2026</t>
        </is>
      </c>
      <c r="B549" s="1" t="n">
        <v>46030.43818287037</v>
      </c>
      <c r="C549" s="1" t="n">
        <v>46119</v>
      </c>
      <c r="D549" t="inlineStr">
        <is>
          <t>ÖSTERGÖTLANDS LÄN</t>
        </is>
      </c>
      <c r="E549" t="inlineStr">
        <is>
          <t>LINKÖPING</t>
        </is>
      </c>
      <c r="G549" t="n">
        <v>4.1</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46119</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57391-2023</t>
        </is>
      </c>
      <c r="B551" s="1" t="n">
        <v>45245</v>
      </c>
      <c r="C551" s="1" t="n">
        <v>46119</v>
      </c>
      <c r="D551" t="inlineStr">
        <is>
          <t>ÖSTERGÖTLANDS LÄN</t>
        </is>
      </c>
      <c r="E551" t="inlineStr">
        <is>
          <t>LINKÖPING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860-2026</t>
        </is>
      </c>
      <c r="B552" s="1" t="n">
        <v>46030.41974537037</v>
      </c>
      <c r="C552" s="1" t="n">
        <v>46119</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7992-2023</t>
        </is>
      </c>
      <c r="B553" s="1" t="n">
        <v>44970</v>
      </c>
      <c r="C553" s="1" t="n">
        <v>46119</v>
      </c>
      <c r="D553" t="inlineStr">
        <is>
          <t>ÖSTERGÖTLANDS LÄN</t>
        </is>
      </c>
      <c r="E553" t="inlineStr">
        <is>
          <t>LINKÖPING</t>
        </is>
      </c>
      <c r="F553" t="inlineStr">
        <is>
          <t>Kommuner</t>
        </is>
      </c>
      <c r="G553" t="n">
        <v>1</v>
      </c>
      <c r="H553" t="n">
        <v>0</v>
      </c>
      <c r="I553" t="n">
        <v>0</v>
      </c>
      <c r="J553" t="n">
        <v>0</v>
      </c>
      <c r="K553" t="n">
        <v>0</v>
      </c>
      <c r="L553" t="n">
        <v>0</v>
      </c>
      <c r="M553" t="n">
        <v>0</v>
      </c>
      <c r="N553" t="n">
        <v>0</v>
      </c>
      <c r="O553" t="n">
        <v>0</v>
      </c>
      <c r="P553" t="n">
        <v>0</v>
      </c>
      <c r="Q553" t="n">
        <v>0</v>
      </c>
      <c r="R553" s="2" t="inlineStr"/>
    </row>
    <row r="554" ht="15" customHeight="1">
      <c r="A554" t="inlineStr">
        <is>
          <t>A 940-2026</t>
        </is>
      </c>
      <c r="B554" s="1" t="n">
        <v>46030.53052083333</v>
      </c>
      <c r="C554" s="1" t="n">
        <v>46119</v>
      </c>
      <c r="D554" t="inlineStr">
        <is>
          <t>ÖSTERGÖTLANDS LÄN</t>
        </is>
      </c>
      <c r="E554" t="inlineStr">
        <is>
          <t>LINKÖPING</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944-2026</t>
        </is>
      </c>
      <c r="B555" s="1" t="n">
        <v>46030.53461805556</v>
      </c>
      <c r="C555" s="1" t="n">
        <v>46119</v>
      </c>
      <c r="D555" t="inlineStr">
        <is>
          <t>ÖSTERGÖTLANDS LÄN</t>
        </is>
      </c>
      <c r="E555" t="inlineStr">
        <is>
          <t>LINKÖPING</t>
        </is>
      </c>
      <c r="F555" t="inlineStr">
        <is>
          <t>Allmännings- och besparingsskogar</t>
        </is>
      </c>
      <c r="G555" t="n">
        <v>0.9</v>
      </c>
      <c r="H555" t="n">
        <v>0</v>
      </c>
      <c r="I555" t="n">
        <v>0</v>
      </c>
      <c r="J555" t="n">
        <v>0</v>
      </c>
      <c r="K555" t="n">
        <v>0</v>
      </c>
      <c r="L555" t="n">
        <v>0</v>
      </c>
      <c r="M555" t="n">
        <v>0</v>
      </c>
      <c r="N555" t="n">
        <v>0</v>
      </c>
      <c r="O555" t="n">
        <v>0</v>
      </c>
      <c r="P555" t="n">
        <v>0</v>
      </c>
      <c r="Q555" t="n">
        <v>0</v>
      </c>
      <c r="R555" s="2" t="inlineStr"/>
    </row>
    <row r="556" ht="15" customHeight="1">
      <c r="A556" t="inlineStr">
        <is>
          <t>A 927-2026</t>
        </is>
      </c>
      <c r="B556" s="1" t="n">
        <v>46030.50560185185</v>
      </c>
      <c r="C556" s="1" t="n">
        <v>46119</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13689-2025</t>
        </is>
      </c>
      <c r="B557" s="1" t="n">
        <v>45737.31590277778</v>
      </c>
      <c r="C557" s="1" t="n">
        <v>46119</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13696-2025</t>
        </is>
      </c>
      <c r="B558" s="1" t="n">
        <v>45737.32273148148</v>
      </c>
      <c r="C558" s="1" t="n">
        <v>46119</v>
      </c>
      <c r="D558" t="inlineStr">
        <is>
          <t>ÖSTERGÖTLANDS LÄN</t>
        </is>
      </c>
      <c r="E558" t="inlineStr">
        <is>
          <t>LINKÖPING</t>
        </is>
      </c>
      <c r="G558" t="n">
        <v>3.5</v>
      </c>
      <c r="H558" t="n">
        <v>0</v>
      </c>
      <c r="I558" t="n">
        <v>0</v>
      </c>
      <c r="J558" t="n">
        <v>0</v>
      </c>
      <c r="K558" t="n">
        <v>0</v>
      </c>
      <c r="L558" t="n">
        <v>0</v>
      </c>
      <c r="M558" t="n">
        <v>0</v>
      </c>
      <c r="N558" t="n">
        <v>0</v>
      </c>
      <c r="O558" t="n">
        <v>0</v>
      </c>
      <c r="P558" t="n">
        <v>0</v>
      </c>
      <c r="Q558" t="n">
        <v>0</v>
      </c>
      <c r="R558" s="2" t="inlineStr"/>
    </row>
    <row r="559" ht="15" customHeight="1">
      <c r="A559" t="inlineStr">
        <is>
          <t>A 859-2026</t>
        </is>
      </c>
      <c r="B559" s="1" t="n">
        <v>46030.41450231482</v>
      </c>
      <c r="C559" s="1" t="n">
        <v>46119</v>
      </c>
      <c r="D559" t="inlineStr">
        <is>
          <t>ÖSTERGÖTLANDS LÄN</t>
        </is>
      </c>
      <c r="E559" t="inlineStr">
        <is>
          <t>LINKÖPING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1924-2024</t>
        </is>
      </c>
      <c r="B560" s="1" t="n">
        <v>45308</v>
      </c>
      <c r="C560" s="1" t="n">
        <v>46119</v>
      </c>
      <c r="D560" t="inlineStr">
        <is>
          <t>ÖSTERGÖTLANDS LÄN</t>
        </is>
      </c>
      <c r="E560" t="inlineStr">
        <is>
          <t>LINKÖPING</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2030-2026</t>
        </is>
      </c>
      <c r="B561" s="1" t="n">
        <v>46035.73590277778</v>
      </c>
      <c r="C561" s="1" t="n">
        <v>46119</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32346-2023</t>
        </is>
      </c>
      <c r="B562" s="1" t="n">
        <v>45120</v>
      </c>
      <c r="C562" s="1" t="n">
        <v>46119</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50508-2024</t>
        </is>
      </c>
      <c r="B563" s="1" t="n">
        <v>45601.53907407408</v>
      </c>
      <c r="C563" s="1" t="n">
        <v>46119</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46119</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7808-2022</t>
        </is>
      </c>
      <c r="B565" s="1" t="n">
        <v>44608</v>
      </c>
      <c r="C565" s="1" t="n">
        <v>46119</v>
      </c>
      <c r="D565" t="inlineStr">
        <is>
          <t>ÖSTERGÖTLANDS LÄN</t>
        </is>
      </c>
      <c r="E565" t="inlineStr">
        <is>
          <t>LINKÖPING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27844-2024</t>
        </is>
      </c>
      <c r="B566" s="1" t="n">
        <v>45475.63047453704</v>
      </c>
      <c r="C566" s="1" t="n">
        <v>46119</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40810-2022</t>
        </is>
      </c>
      <c r="B567" s="1" t="n">
        <v>44824</v>
      </c>
      <c r="C567" s="1" t="n">
        <v>46119</v>
      </c>
      <c r="D567" t="inlineStr">
        <is>
          <t>ÖSTERGÖTLANDS LÄN</t>
        </is>
      </c>
      <c r="E567" t="inlineStr">
        <is>
          <t>LINKÖPING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46119</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11033-2026</t>
        </is>
      </c>
      <c r="B569" s="1" t="n">
        <v>46079.57361111111</v>
      </c>
      <c r="C569" s="1" t="n">
        <v>46119</v>
      </c>
      <c r="D569" t="inlineStr">
        <is>
          <t>ÖSTERGÖTLANDS LÄN</t>
        </is>
      </c>
      <c r="E569" t="inlineStr">
        <is>
          <t>LINKÖPING</t>
        </is>
      </c>
      <c r="G569" t="n">
        <v>7.9</v>
      </c>
      <c r="H569" t="n">
        <v>0</v>
      </c>
      <c r="I569" t="n">
        <v>0</v>
      </c>
      <c r="J569" t="n">
        <v>0</v>
      </c>
      <c r="K569" t="n">
        <v>0</v>
      </c>
      <c r="L569" t="n">
        <v>0</v>
      </c>
      <c r="M569" t="n">
        <v>0</v>
      </c>
      <c r="N569" t="n">
        <v>0</v>
      </c>
      <c r="O569" t="n">
        <v>0</v>
      </c>
      <c r="P569" t="n">
        <v>0</v>
      </c>
      <c r="Q569" t="n">
        <v>0</v>
      </c>
      <c r="R569" s="2" t="inlineStr"/>
    </row>
    <row r="570" ht="15" customHeight="1">
      <c r="A570" t="inlineStr">
        <is>
          <t>A 51559-2024</t>
        </is>
      </c>
      <c r="B570" s="1" t="n">
        <v>45604.61431712963</v>
      </c>
      <c r="C570" s="1" t="n">
        <v>46119</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49979-2022</t>
        </is>
      </c>
      <c r="B571" s="1" t="n">
        <v>44865</v>
      </c>
      <c r="C571" s="1" t="n">
        <v>46119</v>
      </c>
      <c r="D571" t="inlineStr">
        <is>
          <t>ÖSTERGÖTLANDS LÄN</t>
        </is>
      </c>
      <c r="E571" t="inlineStr">
        <is>
          <t>LINKÖPING</t>
        </is>
      </c>
      <c r="F571" t="inlineStr">
        <is>
          <t>Övriga Aktiebolag</t>
        </is>
      </c>
      <c r="G571" t="n">
        <v>11.4</v>
      </c>
      <c r="H571" t="n">
        <v>0</v>
      </c>
      <c r="I571" t="n">
        <v>0</v>
      </c>
      <c r="J571" t="n">
        <v>0</v>
      </c>
      <c r="K571" t="n">
        <v>0</v>
      </c>
      <c r="L571" t="n">
        <v>0</v>
      </c>
      <c r="M571" t="n">
        <v>0</v>
      </c>
      <c r="N571" t="n">
        <v>0</v>
      </c>
      <c r="O571" t="n">
        <v>0</v>
      </c>
      <c r="P571" t="n">
        <v>0</v>
      </c>
      <c r="Q571" t="n">
        <v>0</v>
      </c>
      <c r="R571" s="2" t="inlineStr"/>
    </row>
    <row r="572" ht="15" customHeight="1">
      <c r="A572" t="inlineStr">
        <is>
          <t>A 39219-2021</t>
        </is>
      </c>
      <c r="B572" s="1" t="n">
        <v>44413</v>
      </c>
      <c r="C572" s="1" t="n">
        <v>46119</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39224-2021</t>
        </is>
      </c>
      <c r="B573" s="1" t="n">
        <v>44413</v>
      </c>
      <c r="C573" s="1" t="n">
        <v>46119</v>
      </c>
      <c r="D573" t="inlineStr">
        <is>
          <t>ÖSTERGÖTLANDS LÄN</t>
        </is>
      </c>
      <c r="E573" t="inlineStr">
        <is>
          <t>LINKÖPING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62495-2023</t>
        </is>
      </c>
      <c r="B574" s="1" t="n">
        <v>45268.59717592593</v>
      </c>
      <c r="C574" s="1" t="n">
        <v>46119</v>
      </c>
      <c r="D574" t="inlineStr">
        <is>
          <t>ÖSTERGÖTLANDS LÄN</t>
        </is>
      </c>
      <c r="E574" t="inlineStr">
        <is>
          <t>LINKÖPING</t>
        </is>
      </c>
      <c r="G574" t="n">
        <v>4.1</v>
      </c>
      <c r="H574" t="n">
        <v>0</v>
      </c>
      <c r="I574" t="n">
        <v>0</v>
      </c>
      <c r="J574" t="n">
        <v>0</v>
      </c>
      <c r="K574" t="n">
        <v>0</v>
      </c>
      <c r="L574" t="n">
        <v>0</v>
      </c>
      <c r="M574" t="n">
        <v>0</v>
      </c>
      <c r="N574" t="n">
        <v>0</v>
      </c>
      <c r="O574" t="n">
        <v>0</v>
      </c>
      <c r="P574" t="n">
        <v>0</v>
      </c>
      <c r="Q574" t="n">
        <v>0</v>
      </c>
      <c r="R574" s="2" t="inlineStr"/>
    </row>
    <row r="575" ht="15" customHeight="1">
      <c r="A575" t="inlineStr">
        <is>
          <t>A 10756-2026</t>
        </is>
      </c>
      <c r="B575" s="1" t="n">
        <v>46078.55412037037</v>
      </c>
      <c r="C575" s="1" t="n">
        <v>46119</v>
      </c>
      <c r="D575" t="inlineStr">
        <is>
          <t>ÖSTERGÖTLANDS LÄN</t>
        </is>
      </c>
      <c r="E575" t="inlineStr">
        <is>
          <t>LINKÖPING</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29413-2023</t>
        </is>
      </c>
      <c r="B576" s="1" t="n">
        <v>45106.46465277778</v>
      </c>
      <c r="C576" s="1" t="n">
        <v>46119</v>
      </c>
      <c r="D576" t="inlineStr">
        <is>
          <t>ÖSTERGÖTLANDS LÄN</t>
        </is>
      </c>
      <c r="E576" t="inlineStr">
        <is>
          <t>LINKÖPING</t>
        </is>
      </c>
      <c r="G576" t="n">
        <v>8</v>
      </c>
      <c r="H576" t="n">
        <v>0</v>
      </c>
      <c r="I576" t="n">
        <v>0</v>
      </c>
      <c r="J576" t="n">
        <v>0</v>
      </c>
      <c r="K576" t="n">
        <v>0</v>
      </c>
      <c r="L576" t="n">
        <v>0</v>
      </c>
      <c r="M576" t="n">
        <v>0</v>
      </c>
      <c r="N576" t="n">
        <v>0</v>
      </c>
      <c r="O576" t="n">
        <v>0</v>
      </c>
      <c r="P576" t="n">
        <v>0</v>
      </c>
      <c r="Q576" t="n">
        <v>0</v>
      </c>
      <c r="R576" s="2" t="inlineStr"/>
    </row>
    <row r="577" ht="15" customHeight="1">
      <c r="A577" t="inlineStr">
        <is>
          <t>A 11057-2026</t>
        </is>
      </c>
      <c r="B577" s="1" t="n">
        <v>46079.59515046296</v>
      </c>
      <c r="C577" s="1" t="n">
        <v>46119</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25948-2023</t>
        </is>
      </c>
      <c r="B578" s="1" t="n">
        <v>45090</v>
      </c>
      <c r="C578" s="1" t="n">
        <v>46119</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1627-2023</t>
        </is>
      </c>
      <c r="B579" s="1" t="n">
        <v>44937</v>
      </c>
      <c r="C579" s="1" t="n">
        <v>46119</v>
      </c>
      <c r="D579" t="inlineStr">
        <is>
          <t>ÖSTERGÖTLANDS LÄN</t>
        </is>
      </c>
      <c r="E579" t="inlineStr">
        <is>
          <t>LINKÖPING</t>
        </is>
      </c>
      <c r="G579" t="n">
        <v>10.8</v>
      </c>
      <c r="H579" t="n">
        <v>0</v>
      </c>
      <c r="I579" t="n">
        <v>0</v>
      </c>
      <c r="J579" t="n">
        <v>0</v>
      </c>
      <c r="K579" t="n">
        <v>0</v>
      </c>
      <c r="L579" t="n">
        <v>0</v>
      </c>
      <c r="M579" t="n">
        <v>0</v>
      </c>
      <c r="N579" t="n">
        <v>0</v>
      </c>
      <c r="O579" t="n">
        <v>0</v>
      </c>
      <c r="P579" t="n">
        <v>0</v>
      </c>
      <c r="Q579" t="n">
        <v>0</v>
      </c>
      <c r="R579" s="2" t="inlineStr"/>
    </row>
    <row r="580" ht="15" customHeight="1">
      <c r="A580" t="inlineStr">
        <is>
          <t>A 30481-2023</t>
        </is>
      </c>
      <c r="B580" s="1" t="n">
        <v>45111</v>
      </c>
      <c r="C580" s="1" t="n">
        <v>46119</v>
      </c>
      <c r="D580" t="inlineStr">
        <is>
          <t>ÖSTERGÖTLANDS LÄN</t>
        </is>
      </c>
      <c r="E580" t="inlineStr">
        <is>
          <t>LINKÖPING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21782-2024</t>
        </is>
      </c>
      <c r="B581" s="1" t="n">
        <v>45442.63368055555</v>
      </c>
      <c r="C581" s="1" t="n">
        <v>46119</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11036-2026</t>
        </is>
      </c>
      <c r="B582" s="1" t="n">
        <v>46079.57836805555</v>
      </c>
      <c r="C582" s="1" t="n">
        <v>46119</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11671-2023</t>
        </is>
      </c>
      <c r="B583" s="1" t="n">
        <v>44994.48125</v>
      </c>
      <c r="C583" s="1" t="n">
        <v>46119</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3045-2026</t>
        </is>
      </c>
      <c r="B584" s="1" t="n">
        <v>46038.74047453704</v>
      </c>
      <c r="C584" s="1" t="n">
        <v>46119</v>
      </c>
      <c r="D584" t="inlineStr">
        <is>
          <t>ÖSTERGÖTLANDS LÄN</t>
        </is>
      </c>
      <c r="E584" t="inlineStr">
        <is>
          <t>LINKÖPING</t>
        </is>
      </c>
      <c r="G584" t="n">
        <v>2</v>
      </c>
      <c r="H584" t="n">
        <v>0</v>
      </c>
      <c r="I584" t="n">
        <v>0</v>
      </c>
      <c r="J584" t="n">
        <v>0</v>
      </c>
      <c r="K584" t="n">
        <v>0</v>
      </c>
      <c r="L584" t="n">
        <v>0</v>
      </c>
      <c r="M584" t="n">
        <v>0</v>
      </c>
      <c r="N584" t="n">
        <v>0</v>
      </c>
      <c r="O584" t="n">
        <v>0</v>
      </c>
      <c r="P584" t="n">
        <v>0</v>
      </c>
      <c r="Q584" t="n">
        <v>0</v>
      </c>
      <c r="R584" s="2" t="inlineStr"/>
    </row>
    <row r="585" ht="15" customHeight="1">
      <c r="A585" t="inlineStr">
        <is>
          <t>A 11169-2026</t>
        </is>
      </c>
      <c r="B585" s="1" t="n">
        <v>46080.37020833333</v>
      </c>
      <c r="C585" s="1" t="n">
        <v>46119</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3013-2023</t>
        </is>
      </c>
      <c r="B586" s="1" t="n">
        <v>44945.8092824074</v>
      </c>
      <c r="C586" s="1" t="n">
        <v>46119</v>
      </c>
      <c r="D586" t="inlineStr">
        <is>
          <t>ÖSTERGÖTLANDS LÄN</t>
        </is>
      </c>
      <c r="E586" t="inlineStr">
        <is>
          <t>LINKÖPING</t>
        </is>
      </c>
      <c r="G586" t="n">
        <v>5.2</v>
      </c>
      <c r="H586" t="n">
        <v>0</v>
      </c>
      <c r="I586" t="n">
        <v>0</v>
      </c>
      <c r="J586" t="n">
        <v>0</v>
      </c>
      <c r="K586" t="n">
        <v>0</v>
      </c>
      <c r="L586" t="n">
        <v>0</v>
      </c>
      <c r="M586" t="n">
        <v>0</v>
      </c>
      <c r="N586" t="n">
        <v>0</v>
      </c>
      <c r="O586" t="n">
        <v>0</v>
      </c>
      <c r="P586" t="n">
        <v>0</v>
      </c>
      <c r="Q586" t="n">
        <v>0</v>
      </c>
      <c r="R586" s="2" t="inlineStr"/>
    </row>
    <row r="587" ht="15" customHeight="1">
      <c r="A587" t="inlineStr">
        <is>
          <t>A 49747-2024</t>
        </is>
      </c>
      <c r="B587" s="1" t="n">
        <v>45596</v>
      </c>
      <c r="C587" s="1" t="n">
        <v>46119</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42997-2021</t>
        </is>
      </c>
      <c r="B588" s="1" t="n">
        <v>44431.45556712963</v>
      </c>
      <c r="C588" s="1" t="n">
        <v>46119</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3043-2026</t>
        </is>
      </c>
      <c r="B589" s="1" t="n">
        <v>46038.73675925926</v>
      </c>
      <c r="C589" s="1" t="n">
        <v>46119</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3044-2026</t>
        </is>
      </c>
      <c r="B590" s="1" t="n">
        <v>46038.73855324074</v>
      </c>
      <c r="C590" s="1" t="n">
        <v>46119</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3011-2023</t>
        </is>
      </c>
      <c r="B591" s="1" t="n">
        <v>44945</v>
      </c>
      <c r="C591" s="1" t="n">
        <v>46119</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10764-2026</t>
        </is>
      </c>
      <c r="B592" s="1" t="n">
        <v>46078</v>
      </c>
      <c r="C592" s="1" t="n">
        <v>46119</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23735-2023</t>
        </is>
      </c>
      <c r="B593" s="1" t="n">
        <v>45077</v>
      </c>
      <c r="C593" s="1" t="n">
        <v>46119</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3046-2026</t>
        </is>
      </c>
      <c r="B594" s="1" t="n">
        <v>46038.74182870371</v>
      </c>
      <c r="C594" s="1" t="n">
        <v>46119</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45821-2024</t>
        </is>
      </c>
      <c r="B595" s="1" t="n">
        <v>45579.75803240741</v>
      </c>
      <c r="C595" s="1" t="n">
        <v>46119</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11888-2026</t>
        </is>
      </c>
      <c r="B596" s="1" t="n">
        <v>46085.51813657407</v>
      </c>
      <c r="C596" s="1" t="n">
        <v>46119</v>
      </c>
      <c r="D596" t="inlineStr">
        <is>
          <t>ÖSTERGÖTLANDS LÄN</t>
        </is>
      </c>
      <c r="E596" t="inlineStr">
        <is>
          <t>LINKÖPING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53647-2021</t>
        </is>
      </c>
      <c r="B597" s="1" t="n">
        <v>44469</v>
      </c>
      <c r="C597" s="1" t="n">
        <v>46119</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11891-2026</t>
        </is>
      </c>
      <c r="B598" s="1" t="n">
        <v>46085.5197800926</v>
      </c>
      <c r="C598" s="1" t="n">
        <v>46119</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46119</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12251-2026</t>
        </is>
      </c>
      <c r="B600" s="1" t="n">
        <v>46087.45278935185</v>
      </c>
      <c r="C600" s="1" t="n">
        <v>46119</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12254-2026</t>
        </is>
      </c>
      <c r="B601" s="1" t="n">
        <v>46087.46196759259</v>
      </c>
      <c r="C601" s="1" t="n">
        <v>46119</v>
      </c>
      <c r="D601" t="inlineStr">
        <is>
          <t>ÖSTERGÖTLANDS LÄN</t>
        </is>
      </c>
      <c r="E601" t="inlineStr">
        <is>
          <t>LINKÖPING</t>
        </is>
      </c>
      <c r="G601" t="n">
        <v>10.4</v>
      </c>
      <c r="H601" t="n">
        <v>0</v>
      </c>
      <c r="I601" t="n">
        <v>0</v>
      </c>
      <c r="J601" t="n">
        <v>0</v>
      </c>
      <c r="K601" t="n">
        <v>0</v>
      </c>
      <c r="L601" t="n">
        <v>0</v>
      </c>
      <c r="M601" t="n">
        <v>0</v>
      </c>
      <c r="N601" t="n">
        <v>0</v>
      </c>
      <c r="O601" t="n">
        <v>0</v>
      </c>
      <c r="P601" t="n">
        <v>0</v>
      </c>
      <c r="Q601" t="n">
        <v>0</v>
      </c>
      <c r="R601" s="2" t="inlineStr"/>
    </row>
    <row r="602" ht="15" customHeight="1">
      <c r="A602" t="inlineStr">
        <is>
          <t>A 4469-2026</t>
        </is>
      </c>
      <c r="B602" s="1" t="n">
        <v>46045.65662037037</v>
      </c>
      <c r="C602" s="1" t="n">
        <v>46119</v>
      </c>
      <c r="D602" t="inlineStr">
        <is>
          <t>ÖSTERGÖTLANDS LÄN</t>
        </is>
      </c>
      <c r="E602" t="inlineStr">
        <is>
          <t>LINKÖPING</t>
        </is>
      </c>
      <c r="F602" t="inlineStr">
        <is>
          <t>Övriga Aktiebolag</t>
        </is>
      </c>
      <c r="G602" t="n">
        <v>3.8</v>
      </c>
      <c r="H602" t="n">
        <v>0</v>
      </c>
      <c r="I602" t="n">
        <v>0</v>
      </c>
      <c r="J602" t="n">
        <v>0</v>
      </c>
      <c r="K602" t="n">
        <v>0</v>
      </c>
      <c r="L602" t="n">
        <v>0</v>
      </c>
      <c r="M602" t="n">
        <v>0</v>
      </c>
      <c r="N602" t="n">
        <v>0</v>
      </c>
      <c r="O602" t="n">
        <v>0</v>
      </c>
      <c r="P602" t="n">
        <v>0</v>
      </c>
      <c r="Q602" t="n">
        <v>0</v>
      </c>
      <c r="R602" s="2" t="inlineStr"/>
    </row>
    <row r="603" ht="15" customHeight="1">
      <c r="A603" t="inlineStr">
        <is>
          <t>A 35735-2023</t>
        </is>
      </c>
      <c r="B603" s="1" t="n">
        <v>45147</v>
      </c>
      <c r="C603" s="1" t="n">
        <v>46119</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12247-2026</t>
        </is>
      </c>
      <c r="B604" s="1" t="n">
        <v>46087.44436342592</v>
      </c>
      <c r="C604" s="1" t="n">
        <v>46119</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12255-2026</t>
        </is>
      </c>
      <c r="B605" s="1" t="n">
        <v>46087.46630787037</v>
      </c>
      <c r="C605" s="1" t="n">
        <v>46119</v>
      </c>
      <c r="D605" t="inlineStr">
        <is>
          <t>ÖSTERGÖTLANDS LÄN</t>
        </is>
      </c>
      <c r="E605" t="inlineStr">
        <is>
          <t>LINKÖPING</t>
        </is>
      </c>
      <c r="F605" t="inlineStr">
        <is>
          <t>Övriga Aktiebolag</t>
        </is>
      </c>
      <c r="G605" t="n">
        <v>3.2</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46119</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17157-2024</t>
        </is>
      </c>
      <c r="B607" s="1" t="n">
        <v>45412.70567129629</v>
      </c>
      <c r="C607" s="1" t="n">
        <v>46119</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38886-2024</t>
        </is>
      </c>
      <c r="B608" s="1" t="n">
        <v>45547.66443287037</v>
      </c>
      <c r="C608" s="1" t="n">
        <v>46119</v>
      </c>
      <c r="D608" t="inlineStr">
        <is>
          <t>ÖSTERGÖTLANDS LÄN</t>
        </is>
      </c>
      <c r="E608" t="inlineStr">
        <is>
          <t>LINKÖPING</t>
        </is>
      </c>
      <c r="G608" t="n">
        <v>5.3</v>
      </c>
      <c r="H608" t="n">
        <v>0</v>
      </c>
      <c r="I608" t="n">
        <v>0</v>
      </c>
      <c r="J608" t="n">
        <v>0</v>
      </c>
      <c r="K608" t="n">
        <v>0</v>
      </c>
      <c r="L608" t="n">
        <v>0</v>
      </c>
      <c r="M608" t="n">
        <v>0</v>
      </c>
      <c r="N608" t="n">
        <v>0</v>
      </c>
      <c r="O608" t="n">
        <v>0</v>
      </c>
      <c r="P608" t="n">
        <v>0</v>
      </c>
      <c r="Q608" t="n">
        <v>0</v>
      </c>
      <c r="R608" s="2" t="inlineStr"/>
    </row>
    <row r="609" ht="15" customHeight="1">
      <c r="A609" t="inlineStr">
        <is>
          <t>A 12486-2026</t>
        </is>
      </c>
      <c r="B609" s="1" t="n">
        <v>46090.56501157407</v>
      </c>
      <c r="C609" s="1" t="n">
        <v>46119</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37154-2023</t>
        </is>
      </c>
      <c r="B610" s="1" t="n">
        <v>45155</v>
      </c>
      <c r="C610" s="1" t="n">
        <v>46119</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10477-2026</t>
        </is>
      </c>
      <c r="B611" s="1" t="n">
        <v>46077.4871875</v>
      </c>
      <c r="C611" s="1" t="n">
        <v>46119</v>
      </c>
      <c r="D611" t="inlineStr">
        <is>
          <t>ÖSTERGÖTLANDS LÄN</t>
        </is>
      </c>
      <c r="E611" t="inlineStr">
        <is>
          <t>LINKÖPING</t>
        </is>
      </c>
      <c r="G611" t="n">
        <v>9.6</v>
      </c>
      <c r="H611" t="n">
        <v>0</v>
      </c>
      <c r="I611" t="n">
        <v>0</v>
      </c>
      <c r="J611" t="n">
        <v>0</v>
      </c>
      <c r="K611" t="n">
        <v>0</v>
      </c>
      <c r="L611" t="n">
        <v>0</v>
      </c>
      <c r="M611" t="n">
        <v>0</v>
      </c>
      <c r="N611" t="n">
        <v>0</v>
      </c>
      <c r="O611" t="n">
        <v>0</v>
      </c>
      <c r="P611" t="n">
        <v>0</v>
      </c>
      <c r="Q611" t="n">
        <v>0</v>
      </c>
      <c r="R611" s="2" t="inlineStr"/>
    </row>
    <row r="612" ht="15" customHeight="1">
      <c r="A612" t="inlineStr">
        <is>
          <t>A 53812-2023</t>
        </is>
      </c>
      <c r="B612" s="1" t="n">
        <v>45231.39583333334</v>
      </c>
      <c r="C612" s="1" t="n">
        <v>46119</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53830-2023</t>
        </is>
      </c>
      <c r="B613" s="1" t="n">
        <v>45230</v>
      </c>
      <c r="C613" s="1" t="n">
        <v>46119</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56841-2023</t>
        </is>
      </c>
      <c r="B614" s="1" t="n">
        <v>45244</v>
      </c>
      <c r="C614" s="1" t="n">
        <v>46119</v>
      </c>
      <c r="D614" t="inlineStr">
        <is>
          <t>ÖSTERGÖTLANDS LÄN</t>
        </is>
      </c>
      <c r="E614" t="inlineStr">
        <is>
          <t>LINKÖPING</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56741-2023</t>
        </is>
      </c>
      <c r="B615" s="1" t="n">
        <v>45244</v>
      </c>
      <c r="C615" s="1" t="n">
        <v>46119</v>
      </c>
      <c r="D615" t="inlineStr">
        <is>
          <t>ÖSTERGÖTLANDS LÄN</t>
        </is>
      </c>
      <c r="E615" t="inlineStr">
        <is>
          <t>LINKÖPING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53816-2023</t>
        </is>
      </c>
      <c r="B616" s="1" t="n">
        <v>45231.40012731482</v>
      </c>
      <c r="C616" s="1" t="n">
        <v>46119</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63935-2021</t>
        </is>
      </c>
      <c r="B617" s="1" t="n">
        <v>44509</v>
      </c>
      <c r="C617" s="1" t="n">
        <v>46119</v>
      </c>
      <c r="D617" t="inlineStr">
        <is>
          <t>ÖSTERGÖTLANDS LÄN</t>
        </is>
      </c>
      <c r="E617" t="inlineStr">
        <is>
          <t>LINKÖPING</t>
        </is>
      </c>
      <c r="F617" t="inlineStr">
        <is>
          <t>Övriga statliga verk och myndigheter</t>
        </is>
      </c>
      <c r="G617" t="n">
        <v>2.8</v>
      </c>
      <c r="H617" t="n">
        <v>0</v>
      </c>
      <c r="I617" t="n">
        <v>0</v>
      </c>
      <c r="J617" t="n">
        <v>0</v>
      </c>
      <c r="K617" t="n">
        <v>0</v>
      </c>
      <c r="L617" t="n">
        <v>0</v>
      </c>
      <c r="M617" t="n">
        <v>0</v>
      </c>
      <c r="N617" t="n">
        <v>0</v>
      </c>
      <c r="O617" t="n">
        <v>0</v>
      </c>
      <c r="P617" t="n">
        <v>0</v>
      </c>
      <c r="Q617" t="n">
        <v>0</v>
      </c>
      <c r="R617" s="2" t="inlineStr"/>
    </row>
    <row r="618" ht="15" customHeight="1">
      <c r="A618" t="inlineStr">
        <is>
          <t>A 5099-2026</t>
        </is>
      </c>
      <c r="B618" s="1" t="n">
        <v>46049.56158564815</v>
      </c>
      <c r="C618" s="1" t="n">
        <v>46119</v>
      </c>
      <c r="D618" t="inlineStr">
        <is>
          <t>ÖSTERGÖTLANDS LÄN</t>
        </is>
      </c>
      <c r="E618" t="inlineStr">
        <is>
          <t>LINKÖPING</t>
        </is>
      </c>
      <c r="G618" t="n">
        <v>5</v>
      </c>
      <c r="H618" t="n">
        <v>0</v>
      </c>
      <c r="I618" t="n">
        <v>0</v>
      </c>
      <c r="J618" t="n">
        <v>0</v>
      </c>
      <c r="K618" t="n">
        <v>0</v>
      </c>
      <c r="L618" t="n">
        <v>0</v>
      </c>
      <c r="M618" t="n">
        <v>0</v>
      </c>
      <c r="N618" t="n">
        <v>0</v>
      </c>
      <c r="O618" t="n">
        <v>0</v>
      </c>
      <c r="P618" t="n">
        <v>0</v>
      </c>
      <c r="Q618" t="n">
        <v>0</v>
      </c>
      <c r="R618" s="2" t="inlineStr"/>
    </row>
    <row r="619" ht="15" customHeight="1">
      <c r="A619" t="inlineStr">
        <is>
          <t>A 12482-2026</t>
        </is>
      </c>
      <c r="B619" s="1" t="n">
        <v>46090.56292824074</v>
      </c>
      <c r="C619" s="1" t="n">
        <v>46119</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6726-2024</t>
        </is>
      </c>
      <c r="B620" s="1" t="n">
        <v>45341</v>
      </c>
      <c r="C620" s="1" t="n">
        <v>46119</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3007-2023</t>
        </is>
      </c>
      <c r="B621" s="1" t="n">
        <v>44945</v>
      </c>
      <c r="C621" s="1" t="n">
        <v>46119</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18145-2021</t>
        </is>
      </c>
      <c r="B622" s="1" t="n">
        <v>44302</v>
      </c>
      <c r="C622" s="1" t="n">
        <v>46119</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29309-2024</t>
        </is>
      </c>
      <c r="B623" s="1" t="n">
        <v>45483</v>
      </c>
      <c r="C623" s="1" t="n">
        <v>46119</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5545-2026</t>
        </is>
      </c>
      <c r="B624" s="1" t="n">
        <v>46050.70089120371</v>
      </c>
      <c r="C624" s="1" t="n">
        <v>46119</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53411-2023</t>
        </is>
      </c>
      <c r="B625" s="1" t="n">
        <v>45229.81049768518</v>
      </c>
      <c r="C625" s="1" t="n">
        <v>46119</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26788-2022</t>
        </is>
      </c>
      <c r="B626" s="1" t="n">
        <v>44740</v>
      </c>
      <c r="C626" s="1" t="n">
        <v>46119</v>
      </c>
      <c r="D626" t="inlineStr">
        <is>
          <t>ÖSTERGÖTLANDS LÄN</t>
        </is>
      </c>
      <c r="E626" t="inlineStr">
        <is>
          <t>LINKÖPING</t>
        </is>
      </c>
      <c r="G626" t="n">
        <v>3.2</v>
      </c>
      <c r="H626" t="n">
        <v>0</v>
      </c>
      <c r="I626" t="n">
        <v>0</v>
      </c>
      <c r="J626" t="n">
        <v>0</v>
      </c>
      <c r="K626" t="n">
        <v>0</v>
      </c>
      <c r="L626" t="n">
        <v>0</v>
      </c>
      <c r="M626" t="n">
        <v>0</v>
      </c>
      <c r="N626" t="n">
        <v>0</v>
      </c>
      <c r="O626" t="n">
        <v>0</v>
      </c>
      <c r="P626" t="n">
        <v>0</v>
      </c>
      <c r="Q626" t="n">
        <v>0</v>
      </c>
      <c r="R626" s="2" t="inlineStr"/>
    </row>
    <row r="627" ht="15" customHeight="1">
      <c r="A627" t="inlineStr">
        <is>
          <t>A 24462-2023</t>
        </is>
      </c>
      <c r="B627" s="1" t="n">
        <v>45082</v>
      </c>
      <c r="C627" s="1" t="n">
        <v>46119</v>
      </c>
      <c r="D627" t="inlineStr">
        <is>
          <t>ÖSTERGÖTLANDS LÄN</t>
        </is>
      </c>
      <c r="E627" t="inlineStr">
        <is>
          <t>LINKÖPING</t>
        </is>
      </c>
      <c r="G627" t="n">
        <v>3.5</v>
      </c>
      <c r="H627" t="n">
        <v>0</v>
      </c>
      <c r="I627" t="n">
        <v>0</v>
      </c>
      <c r="J627" t="n">
        <v>0</v>
      </c>
      <c r="K627" t="n">
        <v>0</v>
      </c>
      <c r="L627" t="n">
        <v>0</v>
      </c>
      <c r="M627" t="n">
        <v>0</v>
      </c>
      <c r="N627" t="n">
        <v>0</v>
      </c>
      <c r="O627" t="n">
        <v>0</v>
      </c>
      <c r="P627" t="n">
        <v>0</v>
      </c>
      <c r="Q627" t="n">
        <v>0</v>
      </c>
      <c r="R627" s="2" t="inlineStr"/>
    </row>
    <row r="628" ht="15" customHeight="1">
      <c r="A628" t="inlineStr">
        <is>
          <t>A 62015-2024</t>
        </is>
      </c>
      <c r="B628" s="1" t="n">
        <v>45655.80457175926</v>
      </c>
      <c r="C628" s="1" t="n">
        <v>46119</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10741-2023</t>
        </is>
      </c>
      <c r="B629" s="1" t="n">
        <v>44988.70084490741</v>
      </c>
      <c r="C629" s="1" t="n">
        <v>46119</v>
      </c>
      <c r="D629" t="inlineStr">
        <is>
          <t>ÖSTERGÖTLANDS LÄN</t>
        </is>
      </c>
      <c r="E629" t="inlineStr">
        <is>
          <t>LINKÖPING</t>
        </is>
      </c>
      <c r="F629" t="inlineStr">
        <is>
          <t>Allmännings- och besparingsskogar</t>
        </is>
      </c>
      <c r="G629" t="n">
        <v>11.2</v>
      </c>
      <c r="H629" t="n">
        <v>0</v>
      </c>
      <c r="I629" t="n">
        <v>0</v>
      </c>
      <c r="J629" t="n">
        <v>0</v>
      </c>
      <c r="K629" t="n">
        <v>0</v>
      </c>
      <c r="L629" t="n">
        <v>0</v>
      </c>
      <c r="M629" t="n">
        <v>0</v>
      </c>
      <c r="N629" t="n">
        <v>0</v>
      </c>
      <c r="O629" t="n">
        <v>0</v>
      </c>
      <c r="P629" t="n">
        <v>0</v>
      </c>
      <c r="Q629" t="n">
        <v>0</v>
      </c>
      <c r="R629" s="2" t="inlineStr"/>
    </row>
    <row r="630" ht="15" customHeight="1">
      <c r="A630" t="inlineStr">
        <is>
          <t>A 13565-2026</t>
        </is>
      </c>
      <c r="B630" s="1" t="n">
        <v>46094.80006944444</v>
      </c>
      <c r="C630" s="1" t="n">
        <v>46119</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6384-2026</t>
        </is>
      </c>
      <c r="B631" s="1" t="n">
        <v>46055.63732638889</v>
      </c>
      <c r="C631" s="1" t="n">
        <v>46119</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43473-2024</t>
        </is>
      </c>
      <c r="B632" s="1" t="n">
        <v>45568</v>
      </c>
      <c r="C632" s="1" t="n">
        <v>46119</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43475-2024</t>
        </is>
      </c>
      <c r="B633" s="1" t="n">
        <v>45568</v>
      </c>
      <c r="C633" s="1" t="n">
        <v>46119</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1207-2023</t>
        </is>
      </c>
      <c r="B634" s="1" t="n">
        <v>44930</v>
      </c>
      <c r="C634" s="1" t="n">
        <v>46119</v>
      </c>
      <c r="D634" t="inlineStr">
        <is>
          <t>ÖSTERGÖTLANDS LÄN</t>
        </is>
      </c>
      <c r="E634" t="inlineStr">
        <is>
          <t>LINKÖPING</t>
        </is>
      </c>
      <c r="F634" t="inlineStr">
        <is>
          <t>Övriga statliga verk och myndigheter</t>
        </is>
      </c>
      <c r="G634" t="n">
        <v>32.8</v>
      </c>
      <c r="H634" t="n">
        <v>0</v>
      </c>
      <c r="I634" t="n">
        <v>0</v>
      </c>
      <c r="J634" t="n">
        <v>0</v>
      </c>
      <c r="K634" t="n">
        <v>0</v>
      </c>
      <c r="L634" t="n">
        <v>0</v>
      </c>
      <c r="M634" t="n">
        <v>0</v>
      </c>
      <c r="N634" t="n">
        <v>0</v>
      </c>
      <c r="O634" t="n">
        <v>0</v>
      </c>
      <c r="P634" t="n">
        <v>0</v>
      </c>
      <c r="Q634" t="n">
        <v>0</v>
      </c>
      <c r="R634" s="2" t="inlineStr"/>
    </row>
    <row r="635" ht="15" customHeight="1">
      <c r="A635" t="inlineStr">
        <is>
          <t>A 29859-2024</t>
        </is>
      </c>
      <c r="B635" s="1" t="n">
        <v>45485.6846412037</v>
      </c>
      <c r="C635" s="1" t="n">
        <v>46119</v>
      </c>
      <c r="D635" t="inlineStr">
        <is>
          <t>ÖSTERGÖTLANDS LÄN</t>
        </is>
      </c>
      <c r="E635" t="inlineStr">
        <is>
          <t>LINKÖPING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6164-2026</t>
        </is>
      </c>
      <c r="B636" s="1" t="n">
        <v>46055.32596064815</v>
      </c>
      <c r="C636" s="1" t="n">
        <v>46119</v>
      </c>
      <c r="D636" t="inlineStr">
        <is>
          <t>ÖSTERGÖTLANDS LÄN</t>
        </is>
      </c>
      <c r="E636" t="inlineStr">
        <is>
          <t>LINKÖPING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45819-2024</t>
        </is>
      </c>
      <c r="B637" s="1" t="n">
        <v>45579.7454050926</v>
      </c>
      <c r="C637" s="1" t="n">
        <v>46119</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15748-2025</t>
        </is>
      </c>
      <c r="B638" s="1" t="n">
        <v>45748.55282407408</v>
      </c>
      <c r="C638" s="1" t="n">
        <v>46119</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15754-2025</t>
        </is>
      </c>
      <c r="B639" s="1" t="n">
        <v>45748.56105324074</v>
      </c>
      <c r="C639" s="1" t="n">
        <v>46119</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30518-2024</t>
        </is>
      </c>
      <c r="B640" s="1" t="n">
        <v>45492</v>
      </c>
      <c r="C640" s="1" t="n">
        <v>46119</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53797-2023</t>
        </is>
      </c>
      <c r="B641" s="1" t="n">
        <v>45230</v>
      </c>
      <c r="C641" s="1" t="n">
        <v>46119</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55345-2021</t>
        </is>
      </c>
      <c r="B642" s="1" t="n">
        <v>44475</v>
      </c>
      <c r="C642" s="1" t="n">
        <v>46119</v>
      </c>
      <c r="D642" t="inlineStr">
        <is>
          <t>ÖSTERGÖTLANDS LÄN</t>
        </is>
      </c>
      <c r="E642" t="inlineStr">
        <is>
          <t>LINKÖPING</t>
        </is>
      </c>
      <c r="G642" t="n">
        <v>5.7</v>
      </c>
      <c r="H642" t="n">
        <v>0</v>
      </c>
      <c r="I642" t="n">
        <v>0</v>
      </c>
      <c r="J642" t="n">
        <v>0</v>
      </c>
      <c r="K642" t="n">
        <v>0</v>
      </c>
      <c r="L642" t="n">
        <v>0</v>
      </c>
      <c r="M642" t="n">
        <v>0</v>
      </c>
      <c r="N642" t="n">
        <v>0</v>
      </c>
      <c r="O642" t="n">
        <v>0</v>
      </c>
      <c r="P642" t="n">
        <v>0</v>
      </c>
      <c r="Q642" t="n">
        <v>0</v>
      </c>
      <c r="R642" s="2" t="inlineStr"/>
    </row>
    <row r="643" ht="15" customHeight="1">
      <c r="A643" t="inlineStr">
        <is>
          <t>A 10198-2023</t>
        </is>
      </c>
      <c r="B643" s="1" t="n">
        <v>44986.54665509259</v>
      </c>
      <c r="C643" s="1" t="n">
        <v>46119</v>
      </c>
      <c r="D643" t="inlineStr">
        <is>
          <t>ÖSTERGÖTLANDS LÄN</t>
        </is>
      </c>
      <c r="E643" t="inlineStr">
        <is>
          <t>LINKÖPING</t>
        </is>
      </c>
      <c r="G643" t="n">
        <v>4.6</v>
      </c>
      <c r="H643" t="n">
        <v>0</v>
      </c>
      <c r="I643" t="n">
        <v>0</v>
      </c>
      <c r="J643" t="n">
        <v>0</v>
      </c>
      <c r="K643" t="n">
        <v>0</v>
      </c>
      <c r="L643" t="n">
        <v>0</v>
      </c>
      <c r="M643" t="n">
        <v>0</v>
      </c>
      <c r="N643" t="n">
        <v>0</v>
      </c>
      <c r="O643" t="n">
        <v>0</v>
      </c>
      <c r="P643" t="n">
        <v>0</v>
      </c>
      <c r="Q643" t="n">
        <v>0</v>
      </c>
      <c r="R643" s="2" t="inlineStr"/>
    </row>
    <row r="644" ht="15" customHeight="1">
      <c r="A644" t="inlineStr">
        <is>
          <t>A 13927-2026</t>
        </is>
      </c>
      <c r="B644" s="1" t="n">
        <v>46098</v>
      </c>
      <c r="C644" s="1" t="n">
        <v>46119</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14157-2026</t>
        </is>
      </c>
      <c r="B645" s="1" t="n">
        <v>46099.46829861111</v>
      </c>
      <c r="C645" s="1" t="n">
        <v>46119</v>
      </c>
      <c r="D645" t="inlineStr">
        <is>
          <t>ÖSTERGÖTLANDS LÄN</t>
        </is>
      </c>
      <c r="E645" t="inlineStr">
        <is>
          <t>LINKÖPING</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4298-2023</t>
        </is>
      </c>
      <c r="B646" s="1" t="n">
        <v>44953</v>
      </c>
      <c r="C646" s="1" t="n">
        <v>46119</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7133-2026</t>
        </is>
      </c>
      <c r="B647" s="1" t="n">
        <v>46057</v>
      </c>
      <c r="C647" s="1" t="n">
        <v>46119</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46119</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46119</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46119</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46119</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46119</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46119</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46119</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46119</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46119</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46119</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46119</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46119</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46119</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46119</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18916-2024</t>
        </is>
      </c>
      <c r="B662" s="1" t="n">
        <v>45427.39541666667</v>
      </c>
      <c r="C662" s="1" t="n">
        <v>46119</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11084-2022</t>
        </is>
      </c>
      <c r="B663" s="1" t="n">
        <v>44628</v>
      </c>
      <c r="C663" s="1" t="n">
        <v>46119</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10203-2023</t>
        </is>
      </c>
      <c r="B664" s="1" t="n">
        <v>44986.55711805556</v>
      </c>
      <c r="C664" s="1" t="n">
        <v>46119</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46119</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46119</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46119</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46119</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46119</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46119</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46119</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46119</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46119</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46119</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46119</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46119</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46119</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46119</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46119</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46119</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46119</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46119</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46119</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46119</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46119</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46119</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46119</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16967-2026</t>
        </is>
      </c>
      <c r="B688" s="1" t="n">
        <v>46114.36207175926</v>
      </c>
      <c r="C688" s="1" t="n">
        <v>46119</v>
      </c>
      <c r="D688" t="inlineStr">
        <is>
          <t>ÖSTERGÖTLANDS LÄN</t>
        </is>
      </c>
      <c r="E688" t="inlineStr">
        <is>
          <t>LINKÖPING</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223-2024</t>
        </is>
      </c>
      <c r="B689" s="1" t="n">
        <v>45294.72739583333</v>
      </c>
      <c r="C689" s="1" t="n">
        <v>46119</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19464-2024</t>
        </is>
      </c>
      <c r="B690" s="1" t="n">
        <v>45429</v>
      </c>
      <c r="C690" s="1" t="n">
        <v>46119</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46119</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30433-2024</t>
        </is>
      </c>
      <c r="B692" s="1" t="n">
        <v>45491.69741898148</v>
      </c>
      <c r="C692" s="1" t="n">
        <v>46119</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63528-2023</t>
        </is>
      </c>
      <c r="B693" s="1" t="n">
        <v>45274.94810185185</v>
      </c>
      <c r="C693" s="1" t="n">
        <v>46119</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61936-2023</t>
        </is>
      </c>
      <c r="B694" s="1" t="n">
        <v>45266.54534722222</v>
      </c>
      <c r="C694" s="1" t="n">
        <v>46119</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62492-2023</t>
        </is>
      </c>
      <c r="B695" s="1" t="n">
        <v>45268.58987268519</v>
      </c>
      <c r="C695" s="1" t="n">
        <v>46119</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674-2024</t>
        </is>
      </c>
      <c r="B696" s="1" t="n">
        <v>45300.34408564815</v>
      </c>
      <c r="C696" s="1" t="n">
        <v>46119</v>
      </c>
      <c r="D696" t="inlineStr">
        <is>
          <t>ÖSTERGÖTLANDS LÄN</t>
        </is>
      </c>
      <c r="E696" t="inlineStr">
        <is>
          <t>LINKÖPING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6782-2024</t>
        </is>
      </c>
      <c r="B697" s="1" t="n">
        <v>45342</v>
      </c>
      <c r="C697" s="1" t="n">
        <v>46119</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46119</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63684-2023</t>
        </is>
      </c>
      <c r="B699" s="1" t="n">
        <v>45275</v>
      </c>
      <c r="C699" s="1" t="n">
        <v>46119</v>
      </c>
      <c r="D699" t="inlineStr">
        <is>
          <t>ÖSTERGÖTLANDS LÄN</t>
        </is>
      </c>
      <c r="E699" t="inlineStr">
        <is>
          <t>LINKÖPING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63688-2023</t>
        </is>
      </c>
      <c r="B700" s="1" t="n">
        <v>45275</v>
      </c>
      <c r="C700" s="1" t="n">
        <v>46119</v>
      </c>
      <c r="D700" t="inlineStr">
        <is>
          <t>ÖSTERGÖTLANDS LÄN</t>
        </is>
      </c>
      <c r="E700" t="inlineStr">
        <is>
          <t>LINKÖPING</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63691-2023</t>
        </is>
      </c>
      <c r="B701" s="1" t="n">
        <v>45275</v>
      </c>
      <c r="C701" s="1" t="n">
        <v>46119</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36657-2023</t>
        </is>
      </c>
      <c r="B702" s="1" t="n">
        <v>45153.5702662037</v>
      </c>
      <c r="C702" s="1" t="n">
        <v>46119</v>
      </c>
      <c r="D702" t="inlineStr">
        <is>
          <t>ÖSTERGÖTLANDS LÄN</t>
        </is>
      </c>
      <c r="E702" t="inlineStr">
        <is>
          <t>LINKÖPING</t>
        </is>
      </c>
      <c r="F702" t="inlineStr">
        <is>
          <t>Allmännings- och besparingsskogar</t>
        </is>
      </c>
      <c r="G702" t="n">
        <v>2</v>
      </c>
      <c r="H702" t="n">
        <v>0</v>
      </c>
      <c r="I702" t="n">
        <v>0</v>
      </c>
      <c r="J702" t="n">
        <v>0</v>
      </c>
      <c r="K702" t="n">
        <v>0</v>
      </c>
      <c r="L702" t="n">
        <v>0</v>
      </c>
      <c r="M702" t="n">
        <v>0</v>
      </c>
      <c r="N702" t="n">
        <v>0</v>
      </c>
      <c r="O702" t="n">
        <v>0</v>
      </c>
      <c r="P702" t="n">
        <v>0</v>
      </c>
      <c r="Q702" t="n">
        <v>0</v>
      </c>
      <c r="R702" s="2" t="inlineStr"/>
    </row>
    <row r="703" ht="15" customHeight="1">
      <c r="A703" t="inlineStr">
        <is>
          <t>A 14667-2024</t>
        </is>
      </c>
      <c r="B703" s="1" t="n">
        <v>45397.42005787037</v>
      </c>
      <c r="C703" s="1" t="n">
        <v>46119</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15714-2024</t>
        </is>
      </c>
      <c r="B704" s="1" t="n">
        <v>45404.48288194444</v>
      </c>
      <c r="C704" s="1" t="n">
        <v>46119</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37715-2022</t>
        </is>
      </c>
      <c r="B705" s="1" t="n">
        <v>44810</v>
      </c>
      <c r="C705" s="1" t="n">
        <v>46119</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30429-2024</t>
        </is>
      </c>
      <c r="B706" s="1" t="n">
        <v>45491.68972222223</v>
      </c>
      <c r="C706" s="1" t="n">
        <v>46119</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30435-2024</t>
        </is>
      </c>
      <c r="B707" s="1" t="n">
        <v>45491.69962962963</v>
      </c>
      <c r="C707" s="1" t="n">
        <v>46119</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46119</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46119</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46119</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46119</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46119</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46119</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46119</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46119</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46119</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46119</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46119</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46119</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46119</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46119</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46119</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46119</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46119</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46119</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46119</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46119</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46119</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46119</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46119</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46119</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57752-2023</t>
        </is>
      </c>
      <c r="B732" s="1" t="n">
        <v>45246.78474537037</v>
      </c>
      <c r="C732" s="1" t="n">
        <v>46119</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29312-2024</t>
        </is>
      </c>
      <c r="B733" s="1" t="n">
        <v>45483</v>
      </c>
      <c r="C733" s="1" t="n">
        <v>46119</v>
      </c>
      <c r="D733" t="inlineStr">
        <is>
          <t>ÖSTERGÖTLANDS LÄN</t>
        </is>
      </c>
      <c r="E733" t="inlineStr">
        <is>
          <t>LINKÖPING</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23120-2025</t>
        </is>
      </c>
      <c r="B734" s="1" t="n">
        <v>45791.37481481482</v>
      </c>
      <c r="C734" s="1" t="n">
        <v>46119</v>
      </c>
      <c r="D734" t="inlineStr">
        <is>
          <t>ÖSTERGÖTLANDS LÄN</t>
        </is>
      </c>
      <c r="E734" t="inlineStr">
        <is>
          <t>LINKÖPING</t>
        </is>
      </c>
      <c r="G734" t="n">
        <v>2.9</v>
      </c>
      <c r="H734" t="n">
        <v>0</v>
      </c>
      <c r="I734" t="n">
        <v>0</v>
      </c>
      <c r="J734" t="n">
        <v>0</v>
      </c>
      <c r="K734" t="n">
        <v>0</v>
      </c>
      <c r="L734" t="n">
        <v>0</v>
      </c>
      <c r="M734" t="n">
        <v>0</v>
      </c>
      <c r="N734" t="n">
        <v>0</v>
      </c>
      <c r="O734" t="n">
        <v>0</v>
      </c>
      <c r="P734" t="n">
        <v>0</v>
      </c>
      <c r="Q734" t="n">
        <v>0</v>
      </c>
      <c r="R734" s="2" t="inlineStr"/>
    </row>
    <row r="735" ht="15" customHeight="1">
      <c r="A735" t="inlineStr">
        <is>
          <t>A 23768-2025</t>
        </is>
      </c>
      <c r="B735" s="1" t="n">
        <v>45793.47493055555</v>
      </c>
      <c r="C735" s="1" t="n">
        <v>46119</v>
      </c>
      <c r="D735" t="inlineStr">
        <is>
          <t>ÖSTERGÖTLANDS LÄN</t>
        </is>
      </c>
      <c r="E735" t="inlineStr">
        <is>
          <t>LINKÖPING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48699-2024</t>
        </is>
      </c>
      <c r="B736" s="1" t="n">
        <v>45593.52091435185</v>
      </c>
      <c r="C736" s="1" t="n">
        <v>46119</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13911-2025</t>
        </is>
      </c>
      <c r="B737" s="1" t="n">
        <v>45737.64784722222</v>
      </c>
      <c r="C737" s="1" t="n">
        <v>46119</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44280-2024</t>
        </is>
      </c>
      <c r="B738" s="1" t="n">
        <v>45573.49461805556</v>
      </c>
      <c r="C738" s="1" t="n">
        <v>46119</v>
      </c>
      <c r="D738" t="inlineStr">
        <is>
          <t>ÖSTERGÖTLANDS LÄN</t>
        </is>
      </c>
      <c r="E738" t="inlineStr">
        <is>
          <t>LINKÖPING</t>
        </is>
      </c>
      <c r="G738" t="n">
        <v>5.3</v>
      </c>
      <c r="H738" t="n">
        <v>0</v>
      </c>
      <c r="I738" t="n">
        <v>0</v>
      </c>
      <c r="J738" t="n">
        <v>0</v>
      </c>
      <c r="K738" t="n">
        <v>0</v>
      </c>
      <c r="L738" t="n">
        <v>0</v>
      </c>
      <c r="M738" t="n">
        <v>0</v>
      </c>
      <c r="N738" t="n">
        <v>0</v>
      </c>
      <c r="O738" t="n">
        <v>0</v>
      </c>
      <c r="P738" t="n">
        <v>0</v>
      </c>
      <c r="Q738" t="n">
        <v>0</v>
      </c>
      <c r="R738" s="2" t="inlineStr"/>
    </row>
    <row r="739" ht="15" customHeight="1">
      <c r="A739" t="inlineStr">
        <is>
          <t>A 26002-2025</t>
        </is>
      </c>
      <c r="B739" s="1" t="n">
        <v>45804.66534722222</v>
      </c>
      <c r="C739" s="1" t="n">
        <v>46119</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25996-2025</t>
        </is>
      </c>
      <c r="B740" s="1" t="n">
        <v>45804.65851851852</v>
      </c>
      <c r="C740" s="1" t="n">
        <v>46119</v>
      </c>
      <c r="D740" t="inlineStr">
        <is>
          <t>ÖSTERGÖTLANDS LÄN</t>
        </is>
      </c>
      <c r="E740" t="inlineStr">
        <is>
          <t>LINKÖPING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27950-2025</t>
        </is>
      </c>
      <c r="B741" s="1" t="n">
        <v>45817.52960648148</v>
      </c>
      <c r="C741" s="1" t="n">
        <v>46119</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27797-2025</t>
        </is>
      </c>
      <c r="B742" s="1" t="n">
        <v>45816.80521990741</v>
      </c>
      <c r="C742" s="1" t="n">
        <v>46119</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27798-2025</t>
        </is>
      </c>
      <c r="B743" s="1" t="n">
        <v>45816.81532407407</v>
      </c>
      <c r="C743" s="1" t="n">
        <v>46119</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28200-2025</t>
        </is>
      </c>
      <c r="B744" s="1" t="n">
        <v>45818.4428125</v>
      </c>
      <c r="C744" s="1" t="n">
        <v>46119</v>
      </c>
      <c r="D744" t="inlineStr">
        <is>
          <t>ÖSTERGÖTLANDS LÄN</t>
        </is>
      </c>
      <c r="E744" t="inlineStr">
        <is>
          <t>LINKÖPING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28204-2025</t>
        </is>
      </c>
      <c r="B745" s="1" t="n">
        <v>45818.4477662037</v>
      </c>
      <c r="C745" s="1" t="n">
        <v>46119</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28416-2025</t>
        </is>
      </c>
      <c r="B746" s="1" t="n">
        <v>45819.35346064815</v>
      </c>
      <c r="C746" s="1" t="n">
        <v>46119</v>
      </c>
      <c r="D746" t="inlineStr">
        <is>
          <t>ÖSTERGÖTLANDS LÄN</t>
        </is>
      </c>
      <c r="E746" t="inlineStr">
        <is>
          <t>LINKÖPING</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28398-2025</t>
        </is>
      </c>
      <c r="B747" s="1" t="n">
        <v>45819.34208333334</v>
      </c>
      <c r="C747" s="1" t="n">
        <v>46119</v>
      </c>
      <c r="D747" t="inlineStr">
        <is>
          <t>ÖSTERGÖTLANDS LÄN</t>
        </is>
      </c>
      <c r="E747" t="inlineStr">
        <is>
          <t>LINKÖPING</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28209-2025</t>
        </is>
      </c>
      <c r="B748" s="1" t="n">
        <v>45818.45112268518</v>
      </c>
      <c r="C748" s="1" t="n">
        <v>46119</v>
      </c>
      <c r="D748" t="inlineStr">
        <is>
          <t>ÖSTERGÖTLANDS LÄN</t>
        </is>
      </c>
      <c r="E748" t="inlineStr">
        <is>
          <t>LINKÖPING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29027-2025</t>
        </is>
      </c>
      <c r="B749" s="1" t="n">
        <v>45821.4375462963</v>
      </c>
      <c r="C749" s="1" t="n">
        <v>46119</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29411-2025</t>
        </is>
      </c>
      <c r="B750" s="1" t="n">
        <v>45824.6219212963</v>
      </c>
      <c r="C750" s="1" t="n">
        <v>46119</v>
      </c>
      <c r="D750" t="inlineStr">
        <is>
          <t>ÖSTERGÖTLANDS LÄN</t>
        </is>
      </c>
      <c r="E750" t="inlineStr">
        <is>
          <t>LINKÖPING</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29599-2025</t>
        </is>
      </c>
      <c r="B751" s="1" t="n">
        <v>45825.41101851852</v>
      </c>
      <c r="C751" s="1" t="n">
        <v>46119</v>
      </c>
      <c r="D751" t="inlineStr">
        <is>
          <t>ÖSTERGÖTLANDS LÄN</t>
        </is>
      </c>
      <c r="E751" t="inlineStr">
        <is>
          <t>LINKÖPING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30355-2025</t>
        </is>
      </c>
      <c r="B752" s="1" t="n">
        <v>45827</v>
      </c>
      <c r="C752" s="1" t="n">
        <v>46119</v>
      </c>
      <c r="D752" t="inlineStr">
        <is>
          <t>ÖSTERGÖTLANDS LÄN</t>
        </is>
      </c>
      <c r="E752" t="inlineStr">
        <is>
          <t>LINKÖPING</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30353-2025</t>
        </is>
      </c>
      <c r="B753" s="1" t="n">
        <v>45827</v>
      </c>
      <c r="C753" s="1" t="n">
        <v>46119</v>
      </c>
      <c r="D753" t="inlineStr">
        <is>
          <t>ÖSTERGÖTLANDS LÄN</t>
        </is>
      </c>
      <c r="E753" t="inlineStr">
        <is>
          <t>LINKÖPING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31581-2025</t>
        </is>
      </c>
      <c r="B754" s="1" t="n">
        <v>45833.6840162037</v>
      </c>
      <c r="C754" s="1" t="n">
        <v>46119</v>
      </c>
      <c r="D754" t="inlineStr">
        <is>
          <t>ÖSTERGÖTLANDS LÄN</t>
        </is>
      </c>
      <c r="E754" t="inlineStr">
        <is>
          <t>LINKÖPING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31585-2025</t>
        </is>
      </c>
      <c r="B755" s="1" t="n">
        <v>45833.68815972222</v>
      </c>
      <c r="C755" s="1" t="n">
        <v>46119</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32723-2025</t>
        </is>
      </c>
      <c r="B756" s="1" t="n">
        <v>45838</v>
      </c>
      <c r="C756" s="1" t="n">
        <v>46119</v>
      </c>
      <c r="D756" t="inlineStr">
        <is>
          <t>ÖSTERGÖTLANDS LÄN</t>
        </is>
      </c>
      <c r="E756" t="inlineStr">
        <is>
          <t>LINKÖPING</t>
        </is>
      </c>
      <c r="G756" t="n">
        <v>2.1</v>
      </c>
      <c r="H756" t="n">
        <v>0</v>
      </c>
      <c r="I756" t="n">
        <v>0</v>
      </c>
      <c r="J756" t="n">
        <v>0</v>
      </c>
      <c r="K756" t="n">
        <v>0</v>
      </c>
      <c r="L756" t="n">
        <v>0</v>
      </c>
      <c r="M756" t="n">
        <v>0</v>
      </c>
      <c r="N756" t="n">
        <v>0</v>
      </c>
      <c r="O756" t="n">
        <v>0</v>
      </c>
      <c r="P756" t="n">
        <v>0</v>
      </c>
      <c r="Q756" t="n">
        <v>0</v>
      </c>
      <c r="R756" s="2" t="inlineStr"/>
    </row>
    <row r="757" ht="15" customHeight="1">
      <c r="A757" t="inlineStr">
        <is>
          <t>A 33947-2025</t>
        </is>
      </c>
      <c r="B757" s="1" t="n">
        <v>45842.65444444444</v>
      </c>
      <c r="C757" s="1" t="n">
        <v>46119</v>
      </c>
      <c r="D757" t="inlineStr">
        <is>
          <t>ÖSTERGÖTLANDS LÄN</t>
        </is>
      </c>
      <c r="E757" t="inlineStr">
        <is>
          <t>LINKÖPING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53529-2024</t>
        </is>
      </c>
      <c r="B758" s="1" t="n">
        <v>45614</v>
      </c>
      <c r="C758" s="1" t="n">
        <v>46119</v>
      </c>
      <c r="D758" t="inlineStr">
        <is>
          <t>ÖSTERGÖTLANDS LÄN</t>
        </is>
      </c>
      <c r="E758" t="inlineStr">
        <is>
          <t>LINKÖPING</t>
        </is>
      </c>
      <c r="G758" t="n">
        <v>6.7</v>
      </c>
      <c r="H758" t="n">
        <v>0</v>
      </c>
      <c r="I758" t="n">
        <v>0</v>
      </c>
      <c r="J758" t="n">
        <v>0</v>
      </c>
      <c r="K758" t="n">
        <v>0</v>
      </c>
      <c r="L758" t="n">
        <v>0</v>
      </c>
      <c r="M758" t="n">
        <v>0</v>
      </c>
      <c r="N758" t="n">
        <v>0</v>
      </c>
      <c r="O758" t="n">
        <v>0</v>
      </c>
      <c r="P758" t="n">
        <v>0</v>
      </c>
      <c r="Q758" t="n">
        <v>0</v>
      </c>
      <c r="R758" s="2" t="inlineStr"/>
    </row>
    <row r="759" ht="15" customHeight="1">
      <c r="A759" t="inlineStr">
        <is>
          <t>A 62012-2024</t>
        </is>
      </c>
      <c r="B759" s="1" t="n">
        <v>45655.79679398148</v>
      </c>
      <c r="C759" s="1" t="n">
        <v>46119</v>
      </c>
      <c r="D759" t="inlineStr">
        <is>
          <t>ÖSTERGÖTLANDS LÄN</t>
        </is>
      </c>
      <c r="E759" t="inlineStr">
        <is>
          <t>LINKÖPING</t>
        </is>
      </c>
      <c r="G759" t="n">
        <v>1.5</v>
      </c>
      <c r="H759" t="n">
        <v>0</v>
      </c>
      <c r="I759" t="n">
        <v>0</v>
      </c>
      <c r="J759" t="n">
        <v>0</v>
      </c>
      <c r="K759" t="n">
        <v>0</v>
      </c>
      <c r="L759" t="n">
        <v>0</v>
      </c>
      <c r="M759" t="n">
        <v>0</v>
      </c>
      <c r="N759" t="n">
        <v>0</v>
      </c>
      <c r="O759" t="n">
        <v>0</v>
      </c>
      <c r="P759" t="n">
        <v>0</v>
      </c>
      <c r="Q759" t="n">
        <v>0</v>
      </c>
      <c r="R759" s="2" t="inlineStr"/>
    </row>
    <row r="760">
      <c r="A760" t="inlineStr">
        <is>
          <t>A 20469-2025</t>
        </is>
      </c>
      <c r="B760" s="1" t="n">
        <v>45775</v>
      </c>
      <c r="C760" s="1" t="n">
        <v>46119</v>
      </c>
      <c r="D760" t="inlineStr">
        <is>
          <t>ÖSTERGÖTLANDS LÄN</t>
        </is>
      </c>
      <c r="E760" t="inlineStr">
        <is>
          <t>LINKÖPING</t>
        </is>
      </c>
      <c r="F760" t="inlineStr">
        <is>
          <t>Kyrkan</t>
        </is>
      </c>
      <c r="G760" t="n">
        <v>6.1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2026-04-07T10:43:58Z</dcterms:created>
  <dcterms:modified xmlns:dcterms="http://purl.org/dc/terms/" xmlns:xsi="http://www.w3.org/2001/XMLSchema-instance" xsi:type="dcterms:W3CDTF">2026-04-07T10:43:59Z</dcterms:modified>
</cp:coreProperties>
</file>