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46001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46001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46001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46001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46001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46001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46001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46001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46001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46001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46001</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15475-2021</t>
        </is>
      </c>
      <c r="B14" s="1" t="n">
        <v>44285</v>
      </c>
      <c r="C14" s="1" t="n">
        <v>46001</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46001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46001</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17275-2025</t>
        </is>
      </c>
      <c r="B17" s="1" t="n">
        <v>45756.55734953703</v>
      </c>
      <c r="C17" s="1" t="n">
        <v>46001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46001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46001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46001</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46001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46001</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46001</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46001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46001</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58068-2021</t>
        </is>
      </c>
      <c r="B26" s="1" t="n">
        <v>44487</v>
      </c>
      <c r="C26" s="1" t="n">
        <v>46001</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46001</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46001</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25985-2025</t>
        </is>
      </c>
      <c r="B29" s="1" t="n">
        <v>45804.64479166667</v>
      </c>
      <c r="C29" s="1" t="n">
        <v>46001</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50048-2025</t>
        </is>
      </c>
      <c r="B30" s="1" t="n">
        <v>45941</v>
      </c>
      <c r="C30" s="1" t="n">
        <v>46001</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38913-2023</t>
        </is>
      </c>
      <c r="B31" s="1" t="n">
        <v>45163</v>
      </c>
      <c r="C31" s="1" t="n">
        <v>46001</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46001</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46001</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46001</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46001</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46001</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46001</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46001</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46001</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46001</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46001</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46001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46001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46001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46001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46001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46001</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46001</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46001</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46001</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46001</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46001</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27403-2025</t>
        </is>
      </c>
      <c r="B53" s="1" t="n">
        <v>45812.72518518518</v>
      </c>
      <c r="C53" s="1" t="n">
        <v>46001</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1213-2023</t>
        </is>
      </c>
      <c r="B54" s="1" t="n">
        <v>44930</v>
      </c>
      <c r="C54" s="1" t="n">
        <v>46001</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46001</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44760-2025</t>
        </is>
      </c>
      <c r="B56" s="1" t="n">
        <v>45917.71873842592</v>
      </c>
      <c r="C56" s="1" t="n">
        <v>46001</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50471-2024</t>
        </is>
      </c>
      <c r="B57" s="1" t="n">
        <v>45601.47166666666</v>
      </c>
      <c r="C57" s="1" t="n">
        <v>46001</v>
      </c>
      <c r="D57" t="inlineStr">
        <is>
          <t>ÖSTERGÖTLANDS LÄN</t>
        </is>
      </c>
      <c r="E57" t="inlineStr">
        <is>
          <t>LINKÖPING</t>
        </is>
      </c>
      <c r="F57" t="inlineStr">
        <is>
          <t>Övriga Aktiebolag</t>
        </is>
      </c>
      <c r="G57" t="n">
        <v>2</v>
      </c>
      <c r="H57" t="n">
        <v>0</v>
      </c>
      <c r="I57" t="n">
        <v>1</v>
      </c>
      <c r="J57" t="n">
        <v>0</v>
      </c>
      <c r="K57" t="n">
        <v>0</v>
      </c>
      <c r="L57" t="n">
        <v>0</v>
      </c>
      <c r="M57" t="n">
        <v>0</v>
      </c>
      <c r="N57" t="n">
        <v>0</v>
      </c>
      <c r="O57" t="n">
        <v>0</v>
      </c>
      <c r="P57" t="n">
        <v>0</v>
      </c>
      <c r="Q57" t="n">
        <v>1</v>
      </c>
      <c r="R57" s="2" t="inlineStr">
        <is>
          <t>Västlig hakmossa</t>
        </is>
      </c>
      <c r="S57">
        <f>HYPERLINK("https://klasma.github.io/Logging_0580/artfynd/A 50471-2024 artfynd.xlsx", "A 50471-2024")</f>
        <v/>
      </c>
      <c r="T57">
        <f>HYPERLINK("https://klasma.github.io/Logging_0580/kartor/A 50471-2024 karta.png", "A 50471-2024")</f>
        <v/>
      </c>
      <c r="V57">
        <f>HYPERLINK("https://klasma.github.io/Logging_0580/klagomål/A 50471-2024 FSC-klagomål.docx", "A 50471-2024")</f>
        <v/>
      </c>
      <c r="W57">
        <f>HYPERLINK("https://klasma.github.io/Logging_0580/klagomålsmail/A 50471-2024 FSC-klagomål mail.docx", "A 50471-2024")</f>
        <v/>
      </c>
      <c r="X57">
        <f>HYPERLINK("https://klasma.github.io/Logging_0580/tillsyn/A 50471-2024 tillsynsbegäran.docx", "A 50471-2024")</f>
        <v/>
      </c>
      <c r="Y57">
        <f>HYPERLINK("https://klasma.github.io/Logging_0580/tillsynsmail/A 50471-2024 tillsynsbegäran mail.docx", "A 50471-2024")</f>
        <v/>
      </c>
    </row>
    <row r="58" ht="15" customHeight="1">
      <c r="A58" t="inlineStr">
        <is>
          <t>A 50806-2023</t>
        </is>
      </c>
      <c r="B58" s="1" t="n">
        <v>45217</v>
      </c>
      <c r="C58" s="1" t="n">
        <v>46001</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36723-2023</t>
        </is>
      </c>
      <c r="B59" s="1" t="n">
        <v>45153</v>
      </c>
      <c r="C59" s="1" t="n">
        <v>46001</v>
      </c>
      <c r="D59" t="inlineStr">
        <is>
          <t>ÖSTERGÖTLANDS LÄN</t>
        </is>
      </c>
      <c r="E59" t="inlineStr">
        <is>
          <t>LINKÖPING</t>
        </is>
      </c>
      <c r="F59" t="inlineStr">
        <is>
          <t>Allmännings- och besparingsskogar</t>
        </is>
      </c>
      <c r="G59" t="n">
        <v>9.9</v>
      </c>
      <c r="H59" t="n">
        <v>0</v>
      </c>
      <c r="I59" t="n">
        <v>0</v>
      </c>
      <c r="J59" t="n">
        <v>0</v>
      </c>
      <c r="K59" t="n">
        <v>1</v>
      </c>
      <c r="L59" t="n">
        <v>0</v>
      </c>
      <c r="M59" t="n">
        <v>0</v>
      </c>
      <c r="N59" t="n">
        <v>0</v>
      </c>
      <c r="O59" t="n">
        <v>1</v>
      </c>
      <c r="P59" t="n">
        <v>1</v>
      </c>
      <c r="Q59" t="n">
        <v>1</v>
      </c>
      <c r="R59" s="2" t="inlineStr">
        <is>
          <t>Bitter taggsvamp</t>
        </is>
      </c>
      <c r="S59">
        <f>HYPERLINK("https://klasma.github.io/Logging_0580/artfynd/A 36723-2023 artfynd.xlsx", "A 36723-2023")</f>
        <v/>
      </c>
      <c r="T59">
        <f>HYPERLINK("https://klasma.github.io/Logging_0580/kartor/A 36723-2023 karta.png", "A 36723-2023")</f>
        <v/>
      </c>
      <c r="V59">
        <f>HYPERLINK("https://klasma.github.io/Logging_0580/klagomål/A 36723-2023 FSC-klagomål.docx", "A 36723-2023")</f>
        <v/>
      </c>
      <c r="W59">
        <f>HYPERLINK("https://klasma.github.io/Logging_0580/klagomålsmail/A 36723-2023 FSC-klagomål mail.docx", "A 36723-2023")</f>
        <v/>
      </c>
      <c r="X59">
        <f>HYPERLINK("https://klasma.github.io/Logging_0580/tillsyn/A 36723-2023 tillsynsbegäran.docx", "A 36723-2023")</f>
        <v/>
      </c>
      <c r="Y59">
        <f>HYPERLINK("https://klasma.github.io/Logging_0580/tillsynsmail/A 36723-2023 tillsynsbegäran mail.docx", "A 36723-2023")</f>
        <v/>
      </c>
    </row>
    <row r="60" ht="15" customHeight="1">
      <c r="A60" t="inlineStr">
        <is>
          <t>A 48273-2025</t>
        </is>
      </c>
      <c r="B60" s="1" t="n">
        <v>45932</v>
      </c>
      <c r="C60" s="1" t="n">
        <v>46001</v>
      </c>
      <c r="D60" t="inlineStr">
        <is>
          <t>ÖSTERGÖTLANDS LÄN</t>
        </is>
      </c>
      <c r="E60" t="inlineStr">
        <is>
          <t>LINKÖPING</t>
        </is>
      </c>
      <c r="F60" t="inlineStr">
        <is>
          <t>Övriga Aktiebolag</t>
        </is>
      </c>
      <c r="G60" t="n">
        <v>4.6</v>
      </c>
      <c r="H60" t="n">
        <v>0</v>
      </c>
      <c r="I60" t="n">
        <v>0</v>
      </c>
      <c r="J60" t="n">
        <v>1</v>
      </c>
      <c r="K60" t="n">
        <v>0</v>
      </c>
      <c r="L60" t="n">
        <v>0</v>
      </c>
      <c r="M60" t="n">
        <v>0</v>
      </c>
      <c r="N60" t="n">
        <v>0</v>
      </c>
      <c r="O60" t="n">
        <v>1</v>
      </c>
      <c r="P60" t="n">
        <v>0</v>
      </c>
      <c r="Q60" t="n">
        <v>1</v>
      </c>
      <c r="R60" s="2" t="inlineStr">
        <is>
          <t>Barrviolspindling</t>
        </is>
      </c>
      <c r="S60">
        <f>HYPERLINK("https://klasma.github.io/Logging_0580/artfynd/A 48273-2025 artfynd.xlsx", "A 48273-2025")</f>
        <v/>
      </c>
      <c r="T60">
        <f>HYPERLINK("https://klasma.github.io/Logging_0580/kartor/A 48273-2025 karta.png", "A 48273-2025")</f>
        <v/>
      </c>
      <c r="V60">
        <f>HYPERLINK("https://klasma.github.io/Logging_0580/klagomål/A 48273-2025 FSC-klagomål.docx", "A 48273-2025")</f>
        <v/>
      </c>
      <c r="W60">
        <f>HYPERLINK("https://klasma.github.io/Logging_0580/klagomålsmail/A 48273-2025 FSC-klagomål mail.docx", "A 48273-2025")</f>
        <v/>
      </c>
      <c r="X60">
        <f>HYPERLINK("https://klasma.github.io/Logging_0580/tillsyn/A 48273-2025 tillsynsbegäran.docx", "A 48273-2025")</f>
        <v/>
      </c>
      <c r="Y60">
        <f>HYPERLINK("https://klasma.github.io/Logging_0580/tillsynsmail/A 48273-2025 tillsynsbegäran mail.docx", "A 48273-2025")</f>
        <v/>
      </c>
    </row>
    <row r="61" ht="15" customHeight="1">
      <c r="A61" t="inlineStr">
        <is>
          <t>A 48298-2025</t>
        </is>
      </c>
      <c r="B61" s="1" t="n">
        <v>45932</v>
      </c>
      <c r="C61" s="1" t="n">
        <v>46001</v>
      </c>
      <c r="D61" t="inlineStr">
        <is>
          <t>ÖSTERGÖTLANDS LÄN</t>
        </is>
      </c>
      <c r="E61" t="inlineStr">
        <is>
          <t>LINKÖPING</t>
        </is>
      </c>
      <c r="F61" t="inlineStr">
        <is>
          <t>Övriga Aktiebolag</t>
        </is>
      </c>
      <c r="G61" t="n">
        <v>1.7</v>
      </c>
      <c r="H61" t="n">
        <v>0</v>
      </c>
      <c r="I61" t="n">
        <v>1</v>
      </c>
      <c r="J61" t="n">
        <v>0</v>
      </c>
      <c r="K61" t="n">
        <v>0</v>
      </c>
      <c r="L61" t="n">
        <v>0</v>
      </c>
      <c r="M61" t="n">
        <v>0</v>
      </c>
      <c r="N61" t="n">
        <v>0</v>
      </c>
      <c r="O61" t="n">
        <v>0</v>
      </c>
      <c r="P61" t="n">
        <v>0</v>
      </c>
      <c r="Q61" t="n">
        <v>1</v>
      </c>
      <c r="R61" s="2" t="inlineStr">
        <is>
          <t>Västlig hakmossa</t>
        </is>
      </c>
      <c r="S61">
        <f>HYPERLINK("https://klasma.github.io/Logging_0580/artfynd/A 48298-2025 artfynd.xlsx", "A 48298-2025")</f>
        <v/>
      </c>
      <c r="T61">
        <f>HYPERLINK("https://klasma.github.io/Logging_0580/kartor/A 48298-2025 karta.png", "A 48298-2025")</f>
        <v/>
      </c>
      <c r="V61">
        <f>HYPERLINK("https://klasma.github.io/Logging_0580/klagomål/A 48298-2025 FSC-klagomål.docx", "A 48298-2025")</f>
        <v/>
      </c>
      <c r="W61">
        <f>HYPERLINK("https://klasma.github.io/Logging_0580/klagomålsmail/A 48298-2025 FSC-klagomål mail.docx", "A 48298-2025")</f>
        <v/>
      </c>
      <c r="X61">
        <f>HYPERLINK("https://klasma.github.io/Logging_0580/tillsyn/A 48298-2025 tillsynsbegäran.docx", "A 48298-2025")</f>
        <v/>
      </c>
      <c r="Y61">
        <f>HYPERLINK("https://klasma.github.io/Logging_0580/tillsynsmail/A 48298-2025 tillsynsbegäran mail.docx", "A 48298-2025")</f>
        <v/>
      </c>
    </row>
    <row r="62" ht="15" customHeight="1">
      <c r="A62" t="inlineStr">
        <is>
          <t>A 48353-2025</t>
        </is>
      </c>
      <c r="B62" s="1" t="n">
        <v>45932</v>
      </c>
      <c r="C62" s="1" t="n">
        <v>46001</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56112-2025</t>
        </is>
      </c>
      <c r="B63" s="1" t="n">
        <v>45973.73625</v>
      </c>
      <c r="C63" s="1" t="n">
        <v>46001</v>
      </c>
      <c r="D63" t="inlineStr">
        <is>
          <t>ÖSTERGÖTLANDS LÄN</t>
        </is>
      </c>
      <c r="E63" t="inlineStr">
        <is>
          <t>LINKÖPING</t>
        </is>
      </c>
      <c r="G63" t="n">
        <v>0.6</v>
      </c>
      <c r="H63" t="n">
        <v>0</v>
      </c>
      <c r="I63" t="n">
        <v>0</v>
      </c>
      <c r="J63" t="n">
        <v>1</v>
      </c>
      <c r="K63" t="n">
        <v>0</v>
      </c>
      <c r="L63" t="n">
        <v>0</v>
      </c>
      <c r="M63" t="n">
        <v>0</v>
      </c>
      <c r="N63" t="n">
        <v>0</v>
      </c>
      <c r="O63" t="n">
        <v>1</v>
      </c>
      <c r="P63" t="n">
        <v>0</v>
      </c>
      <c r="Q63" t="n">
        <v>1</v>
      </c>
      <c r="R63" s="2" t="inlineStr">
        <is>
          <t>Solvända</t>
        </is>
      </c>
      <c r="S63">
        <f>HYPERLINK("https://klasma.github.io/Logging_0580/artfynd/A 56112-2025 artfynd.xlsx", "A 56112-2025")</f>
        <v/>
      </c>
      <c r="T63">
        <f>HYPERLINK("https://klasma.github.io/Logging_0580/kartor/A 56112-2025 karta.png", "A 56112-2025")</f>
        <v/>
      </c>
      <c r="V63">
        <f>HYPERLINK("https://klasma.github.io/Logging_0580/klagomål/A 56112-2025 FSC-klagomål.docx", "A 56112-2025")</f>
        <v/>
      </c>
      <c r="W63">
        <f>HYPERLINK("https://klasma.github.io/Logging_0580/klagomålsmail/A 56112-2025 FSC-klagomål mail.docx", "A 56112-2025")</f>
        <v/>
      </c>
      <c r="X63">
        <f>HYPERLINK("https://klasma.github.io/Logging_0580/tillsyn/A 56112-2025 tillsynsbegäran.docx", "A 56112-2025")</f>
        <v/>
      </c>
      <c r="Y63">
        <f>HYPERLINK("https://klasma.github.io/Logging_0580/tillsynsmail/A 56112-2025 tillsynsbegäran mail.docx", "A 56112-2025")</f>
        <v/>
      </c>
    </row>
    <row r="64" ht="15" customHeight="1">
      <c r="A64" t="inlineStr">
        <is>
          <t>A 48347-2025</t>
        </is>
      </c>
      <c r="B64" s="1" t="n">
        <v>45932</v>
      </c>
      <c r="C64" s="1" t="n">
        <v>46001</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60573-2021</t>
        </is>
      </c>
      <c r="B65" s="1" t="n">
        <v>44496</v>
      </c>
      <c r="C65" s="1" t="n">
        <v>46001</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50034-2025</t>
        </is>
      </c>
      <c r="B66" s="1" t="n">
        <v>45941</v>
      </c>
      <c r="C66" s="1" t="n">
        <v>46001</v>
      </c>
      <c r="D66" t="inlineStr">
        <is>
          <t>ÖSTERGÖTLANDS LÄN</t>
        </is>
      </c>
      <c r="E66" t="inlineStr">
        <is>
          <t>LINKÖPING</t>
        </is>
      </c>
      <c r="G66" t="n">
        <v>6.2</v>
      </c>
      <c r="H66" t="n">
        <v>0</v>
      </c>
      <c r="I66" t="n">
        <v>0</v>
      </c>
      <c r="J66" t="n">
        <v>0</v>
      </c>
      <c r="K66" t="n">
        <v>0</v>
      </c>
      <c r="L66" t="n">
        <v>0</v>
      </c>
      <c r="M66" t="n">
        <v>1</v>
      </c>
      <c r="N66" t="n">
        <v>0</v>
      </c>
      <c r="O66" t="n">
        <v>1</v>
      </c>
      <c r="P66" t="n">
        <v>1</v>
      </c>
      <c r="Q66" t="n">
        <v>1</v>
      </c>
      <c r="R66" s="2" t="inlineStr">
        <is>
          <t>Skogsalm</t>
        </is>
      </c>
      <c r="S66">
        <f>HYPERLINK("https://klasma.github.io/Logging_0580/artfynd/A 50034-2025 artfynd.xlsx", "A 50034-2025")</f>
        <v/>
      </c>
      <c r="T66">
        <f>HYPERLINK("https://klasma.github.io/Logging_0580/kartor/A 50034-2025 karta.png", "A 50034-2025")</f>
        <v/>
      </c>
      <c r="V66">
        <f>HYPERLINK("https://klasma.github.io/Logging_0580/klagomål/A 50034-2025 FSC-klagomål.docx", "A 50034-2025")</f>
        <v/>
      </c>
      <c r="W66">
        <f>HYPERLINK("https://klasma.github.io/Logging_0580/klagomålsmail/A 50034-2025 FSC-klagomål mail.docx", "A 50034-2025")</f>
        <v/>
      </c>
      <c r="X66">
        <f>HYPERLINK("https://klasma.github.io/Logging_0580/tillsyn/A 50034-2025 tillsynsbegäran.docx", "A 50034-2025")</f>
        <v/>
      </c>
      <c r="Y66">
        <f>HYPERLINK("https://klasma.github.io/Logging_0580/tillsynsmail/A 50034-2025 tillsynsbegäran mail.docx", "A 50034-2025")</f>
        <v/>
      </c>
    </row>
    <row r="67" ht="15" customHeight="1">
      <c r="A67" t="inlineStr">
        <is>
          <t>A 59474-2025</t>
        </is>
      </c>
      <c r="B67" s="1" t="n">
        <v>45989.58512731481</v>
      </c>
      <c r="C67" s="1" t="n">
        <v>46001</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60311-2025</t>
        </is>
      </c>
      <c r="B68" s="1" t="n">
        <v>45994.69293981481</v>
      </c>
      <c r="C68" s="1" t="n">
        <v>46001</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Gammelekslav</t>
        </is>
      </c>
      <c r="S68">
        <f>HYPERLINK("https://klasma.github.io/Logging_0580/artfynd/A 60311-2025 artfynd.xlsx", "A 60311-2025")</f>
        <v/>
      </c>
      <c r="T68">
        <f>HYPERLINK("https://klasma.github.io/Logging_0580/kartor/A 60311-2025 karta.png", "A 60311-2025")</f>
        <v/>
      </c>
      <c r="V68">
        <f>HYPERLINK("https://klasma.github.io/Logging_0580/klagomål/A 60311-2025 FSC-klagomål.docx", "A 60311-2025")</f>
        <v/>
      </c>
      <c r="W68">
        <f>HYPERLINK("https://klasma.github.io/Logging_0580/klagomålsmail/A 60311-2025 FSC-klagomål mail.docx", "A 60311-2025")</f>
        <v/>
      </c>
      <c r="X68">
        <f>HYPERLINK("https://klasma.github.io/Logging_0580/tillsyn/A 60311-2025 tillsynsbegäran.docx", "A 60311-2025")</f>
        <v/>
      </c>
      <c r="Y68">
        <f>HYPERLINK("https://klasma.github.io/Logging_0580/tillsynsmail/A 60311-2025 tillsynsbegäran mail.docx", "A 60311-2025")</f>
        <v/>
      </c>
    </row>
    <row r="69" ht="15" customHeight="1">
      <c r="A69" t="inlineStr">
        <is>
          <t>A 5911-2022</t>
        </is>
      </c>
      <c r="B69" s="1" t="n">
        <v>44597</v>
      </c>
      <c r="C69" s="1" t="n">
        <v>46001</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56128-2022</t>
        </is>
      </c>
      <c r="B70" s="1" t="n">
        <v>44889</v>
      </c>
      <c r="C70" s="1" t="n">
        <v>46001</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54835-2023</t>
        </is>
      </c>
      <c r="B71" s="1" t="n">
        <v>45236</v>
      </c>
      <c r="C71" s="1" t="n">
        <v>46001</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34881-2023</t>
        </is>
      </c>
      <c r="B72" s="1" t="n">
        <v>45140</v>
      </c>
      <c r="C72" s="1" t="n">
        <v>46001</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19103-2021</t>
        </is>
      </c>
      <c r="B73" s="1" t="n">
        <v>44308</v>
      </c>
      <c r="C73" s="1" t="n">
        <v>46001</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46001</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46001</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46001</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46001</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46001</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46001</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46001</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46001</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46001</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46001</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46001</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46001</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46001</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46001</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46001</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46001</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46001</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38881-2021</t>
        </is>
      </c>
      <c r="B91" s="1" t="n">
        <v>44411.46893518518</v>
      </c>
      <c r="C91" s="1" t="n">
        <v>46001</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46001</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46001</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46001</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46001</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46001</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46001</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398-2021</t>
        </is>
      </c>
      <c r="B98" s="1" t="n">
        <v>44201</v>
      </c>
      <c r="C98" s="1" t="n">
        <v>46001</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46001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46001</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46001</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46001</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46001</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46001</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46001</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46001</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46001</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46001</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46001</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46001</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46001</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46001</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46001</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46001</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46001</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46001</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46001</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46001</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46001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46001</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46001</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44054-2021</t>
        </is>
      </c>
      <c r="B122" s="1" t="n">
        <v>44434</v>
      </c>
      <c r="C122" s="1" t="n">
        <v>46001</v>
      </c>
      <c r="D122" t="inlineStr">
        <is>
          <t>ÖSTERGÖTLANDS LÄN</t>
        </is>
      </c>
      <c r="E122" t="inlineStr">
        <is>
          <t>LINKÖPING</t>
        </is>
      </c>
      <c r="F122" t="inlineStr">
        <is>
          <t>Övriga Aktiebolag</t>
        </is>
      </c>
      <c r="G122" t="n">
        <v>2.3</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46001</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46001</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46001</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46001</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46001</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46001</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46001</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46001</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37012-2021</t>
        </is>
      </c>
      <c r="B131" s="1" t="n">
        <v>44393</v>
      </c>
      <c r="C131" s="1" t="n">
        <v>46001</v>
      </c>
      <c r="D131" t="inlineStr">
        <is>
          <t>ÖSTERGÖTLANDS LÄN</t>
        </is>
      </c>
      <c r="E131" t="inlineStr">
        <is>
          <t>LINKÖPING</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27185-2021</t>
        </is>
      </c>
      <c r="B132" s="1" t="n">
        <v>44350</v>
      </c>
      <c r="C132" s="1" t="n">
        <v>46001</v>
      </c>
      <c r="D132" t="inlineStr">
        <is>
          <t>ÖSTERGÖTLANDS LÄN</t>
        </is>
      </c>
      <c r="E132" t="inlineStr">
        <is>
          <t>LINKÖPING</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46001</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46001</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26197-2021</t>
        </is>
      </c>
      <c r="B135" s="1" t="n">
        <v>44347.39319444444</v>
      </c>
      <c r="C135" s="1" t="n">
        <v>46001</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46001</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16469-2021</t>
        </is>
      </c>
      <c r="B137" s="1" t="n">
        <v>44293.54331018519</v>
      </c>
      <c r="C137" s="1" t="n">
        <v>46001</v>
      </c>
      <c r="D137" t="inlineStr">
        <is>
          <t>ÖSTERGÖTLANDS LÄN</t>
        </is>
      </c>
      <c r="E137" t="inlineStr">
        <is>
          <t>LINKÖPING</t>
        </is>
      </c>
      <c r="F137" t="inlineStr">
        <is>
          <t>Allmännings- och besparingsskogar</t>
        </is>
      </c>
      <c r="G137" t="n">
        <v>33.5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46001</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64195-2021</t>
        </is>
      </c>
      <c r="B139" s="1" t="n">
        <v>44510</v>
      </c>
      <c r="C139" s="1" t="n">
        <v>46001</v>
      </c>
      <c r="D139" t="inlineStr">
        <is>
          <t>ÖSTERGÖTLANDS LÄN</t>
        </is>
      </c>
      <c r="E139" t="inlineStr">
        <is>
          <t>LINKÖPING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4382-2021</t>
        </is>
      </c>
      <c r="B140" s="1" t="n">
        <v>44223</v>
      </c>
      <c r="C140" s="1" t="n">
        <v>46001</v>
      </c>
      <c r="D140" t="inlineStr">
        <is>
          <t>ÖSTERGÖTLANDS LÄN</t>
        </is>
      </c>
      <c r="E140" t="inlineStr">
        <is>
          <t>LINKÖPING</t>
        </is>
      </c>
      <c r="G140" t="n">
        <v>4.2</v>
      </c>
      <c r="H140" t="n">
        <v>0</v>
      </c>
      <c r="I140" t="n">
        <v>0</v>
      </c>
      <c r="J140" t="n">
        <v>0</v>
      </c>
      <c r="K140" t="n">
        <v>0</v>
      </c>
      <c r="L140" t="n">
        <v>0</v>
      </c>
      <c r="M140" t="n">
        <v>0</v>
      </c>
      <c r="N140" t="n">
        <v>0</v>
      </c>
      <c r="O140" t="n">
        <v>0</v>
      </c>
      <c r="P140" t="n">
        <v>0</v>
      </c>
      <c r="Q140" t="n">
        <v>0</v>
      </c>
      <c r="R140" s="2" t="inlineStr"/>
    </row>
    <row r="141" ht="15" customHeight="1">
      <c r="A141" t="inlineStr">
        <is>
          <t>A 46416-2021</t>
        </is>
      </c>
      <c r="B141" s="1" t="n">
        <v>44442</v>
      </c>
      <c r="C141" s="1" t="n">
        <v>46001</v>
      </c>
      <c r="D141" t="inlineStr">
        <is>
          <t>ÖSTERGÖTLANDS LÄN</t>
        </is>
      </c>
      <c r="E141" t="inlineStr">
        <is>
          <t>LINKÖPING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58258-2021</t>
        </is>
      </c>
      <c r="B142" s="1" t="n">
        <v>44487</v>
      </c>
      <c r="C142" s="1" t="n">
        <v>46001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58287-2021</t>
        </is>
      </c>
      <c r="B143" s="1" t="n">
        <v>44487</v>
      </c>
      <c r="C143" s="1" t="n">
        <v>46001</v>
      </c>
      <c r="D143" t="inlineStr">
        <is>
          <t>ÖSTERGÖTLANDS LÄN</t>
        </is>
      </c>
      <c r="E143" t="inlineStr">
        <is>
          <t>LINKÖPING</t>
        </is>
      </c>
      <c r="F143" t="inlineStr">
        <is>
          <t>Övriga Aktiebolag</t>
        </is>
      </c>
      <c r="G143" t="n">
        <v>1.5</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46001</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52966-2021</t>
        </is>
      </c>
      <c r="B145" s="1" t="n">
        <v>44467</v>
      </c>
      <c r="C145" s="1" t="n">
        <v>46001</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46001</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384-2021</t>
        </is>
      </c>
      <c r="B147" s="1" t="n">
        <v>44201.57689814815</v>
      </c>
      <c r="C147" s="1" t="n">
        <v>46001</v>
      </c>
      <c r="D147" t="inlineStr">
        <is>
          <t>ÖSTERGÖTLANDS LÄN</t>
        </is>
      </c>
      <c r="E147" t="inlineStr">
        <is>
          <t>LINKÖPING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46001</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40527-2022</t>
        </is>
      </c>
      <c r="B149" s="1" t="n">
        <v>44823</v>
      </c>
      <c r="C149" s="1" t="n">
        <v>46001</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46001</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65395-2021</t>
        </is>
      </c>
      <c r="B151" s="1" t="n">
        <v>44515</v>
      </c>
      <c r="C151" s="1" t="n">
        <v>46001</v>
      </c>
      <c r="D151" t="inlineStr">
        <is>
          <t>ÖSTERGÖTLANDS LÄN</t>
        </is>
      </c>
      <c r="E151" t="inlineStr">
        <is>
          <t>LINKÖPING</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46001</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46001</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46001</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46001</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46001</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46001</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9935-2021</t>
        </is>
      </c>
      <c r="B158" s="1" t="n">
        <v>44253</v>
      </c>
      <c r="C158" s="1" t="n">
        <v>46001</v>
      </c>
      <c r="D158" t="inlineStr">
        <is>
          <t>ÖSTERGÖTLANDS LÄN</t>
        </is>
      </c>
      <c r="E158" t="inlineStr">
        <is>
          <t>LINKÖPING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46001</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46001</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36341-2022</t>
        </is>
      </c>
      <c r="B161" s="1" t="n">
        <v>44803</v>
      </c>
      <c r="C161" s="1" t="n">
        <v>46001</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46001</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46891-2021</t>
        </is>
      </c>
      <c r="B163" s="1" t="n">
        <v>44446.44587962963</v>
      </c>
      <c r="C163" s="1" t="n">
        <v>46001</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46001</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46001</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46001</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46001</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46001</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37014-2021</t>
        </is>
      </c>
      <c r="B169" s="1" t="n">
        <v>44393</v>
      </c>
      <c r="C169" s="1" t="n">
        <v>46001</v>
      </c>
      <c r="D169" t="inlineStr">
        <is>
          <t>ÖSTERGÖTLANDS LÄN</t>
        </is>
      </c>
      <c r="E169" t="inlineStr">
        <is>
          <t>LINKÖPING</t>
        </is>
      </c>
      <c r="F169" t="inlineStr">
        <is>
          <t>Allmännings- och besparingsskogar</t>
        </is>
      </c>
      <c r="G169" t="n">
        <v>7.7</v>
      </c>
      <c r="H169" t="n">
        <v>0</v>
      </c>
      <c r="I169" t="n">
        <v>0</v>
      </c>
      <c r="J169" t="n">
        <v>0</v>
      </c>
      <c r="K169" t="n">
        <v>0</v>
      </c>
      <c r="L169" t="n">
        <v>0</v>
      </c>
      <c r="M169" t="n">
        <v>0</v>
      </c>
      <c r="N169" t="n">
        <v>0</v>
      </c>
      <c r="O169" t="n">
        <v>0</v>
      </c>
      <c r="P169" t="n">
        <v>0</v>
      </c>
      <c r="Q169" t="n">
        <v>0</v>
      </c>
      <c r="R169" s="2" t="inlineStr"/>
    </row>
    <row r="170" ht="15" customHeight="1">
      <c r="A170" t="inlineStr">
        <is>
          <t>A 38134-2021</t>
        </is>
      </c>
      <c r="B170" s="1" t="n">
        <v>44405.3794212963</v>
      </c>
      <c r="C170" s="1" t="n">
        <v>46001</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44849-2022</t>
        </is>
      </c>
      <c r="B171" s="1" t="n">
        <v>44841</v>
      </c>
      <c r="C171" s="1" t="n">
        <v>46001</v>
      </c>
      <c r="D171" t="inlineStr">
        <is>
          <t>ÖSTERGÖTLANDS LÄN</t>
        </is>
      </c>
      <c r="E171" t="inlineStr">
        <is>
          <t>LINKÖPING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70835-2021</t>
        </is>
      </c>
      <c r="B172" s="1" t="n">
        <v>44537</v>
      </c>
      <c r="C172" s="1" t="n">
        <v>46001</v>
      </c>
      <c r="D172" t="inlineStr">
        <is>
          <t>ÖSTERGÖTLANDS LÄN</t>
        </is>
      </c>
      <c r="E172" t="inlineStr">
        <is>
          <t>LINKÖPING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37934-2022</t>
        </is>
      </c>
      <c r="B173" s="1" t="n">
        <v>44809</v>
      </c>
      <c r="C173" s="1" t="n">
        <v>46001</v>
      </c>
      <c r="D173" t="inlineStr">
        <is>
          <t>ÖSTERGÖTLANDS LÄN</t>
        </is>
      </c>
      <c r="E173" t="inlineStr">
        <is>
          <t>LINKÖPING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54854-2022</t>
        </is>
      </c>
      <c r="B174" s="1" t="n">
        <v>44884</v>
      </c>
      <c r="C174" s="1" t="n">
        <v>46001</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54855-2022</t>
        </is>
      </c>
      <c r="B175" s="1" t="n">
        <v>44884.59502314815</v>
      </c>
      <c r="C175" s="1" t="n">
        <v>46001</v>
      </c>
      <c r="D175" t="inlineStr">
        <is>
          <t>ÖSTERGÖTLANDS LÄN</t>
        </is>
      </c>
      <c r="E175" t="inlineStr">
        <is>
          <t>LINKÖPING</t>
        </is>
      </c>
      <c r="G175" t="n">
        <v>2.9</v>
      </c>
      <c r="H175" t="n">
        <v>0</v>
      </c>
      <c r="I175" t="n">
        <v>0</v>
      </c>
      <c r="J175" t="n">
        <v>0</v>
      </c>
      <c r="K175" t="n">
        <v>0</v>
      </c>
      <c r="L175" t="n">
        <v>0</v>
      </c>
      <c r="M175" t="n">
        <v>0</v>
      </c>
      <c r="N175" t="n">
        <v>0</v>
      </c>
      <c r="O175" t="n">
        <v>0</v>
      </c>
      <c r="P175" t="n">
        <v>0</v>
      </c>
      <c r="Q175" t="n">
        <v>0</v>
      </c>
      <c r="R175" s="2" t="inlineStr"/>
    </row>
    <row r="176" ht="15" customHeight="1">
      <c r="A176" t="inlineStr">
        <is>
          <t>A 11079-2022</t>
        </is>
      </c>
      <c r="B176" s="1" t="n">
        <v>44628</v>
      </c>
      <c r="C176" s="1" t="n">
        <v>46001</v>
      </c>
      <c r="D176" t="inlineStr">
        <is>
          <t>ÖSTERGÖTLANDS LÄN</t>
        </is>
      </c>
      <c r="E176" t="inlineStr">
        <is>
          <t>LINKÖPING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20901-2021</t>
        </is>
      </c>
      <c r="B177" s="1" t="n">
        <v>44319</v>
      </c>
      <c r="C177" s="1" t="n">
        <v>46001</v>
      </c>
      <c r="D177" t="inlineStr">
        <is>
          <t>ÖSTERGÖTLANDS LÄN</t>
        </is>
      </c>
      <c r="E177" t="inlineStr">
        <is>
          <t>LINKÖPING</t>
        </is>
      </c>
      <c r="G177" t="n">
        <v>1.4</v>
      </c>
      <c r="H177" t="n">
        <v>0</v>
      </c>
      <c r="I177" t="n">
        <v>0</v>
      </c>
      <c r="J177" t="n">
        <v>0</v>
      </c>
      <c r="K177" t="n">
        <v>0</v>
      </c>
      <c r="L177" t="n">
        <v>0</v>
      </c>
      <c r="M177" t="n">
        <v>0</v>
      </c>
      <c r="N177" t="n">
        <v>0</v>
      </c>
      <c r="O177" t="n">
        <v>0</v>
      </c>
      <c r="P177" t="n">
        <v>0</v>
      </c>
      <c r="Q177" t="n">
        <v>0</v>
      </c>
      <c r="R177" s="2" t="inlineStr"/>
    </row>
    <row r="178" ht="15" customHeight="1">
      <c r="A178" t="inlineStr">
        <is>
          <t>A 65398-2021</t>
        </is>
      </c>
      <c r="B178" s="1" t="n">
        <v>44515</v>
      </c>
      <c r="C178" s="1" t="n">
        <v>46001</v>
      </c>
      <c r="D178" t="inlineStr">
        <is>
          <t>ÖSTERGÖTLANDS LÄN</t>
        </is>
      </c>
      <c r="E178" t="inlineStr">
        <is>
          <t>LINKÖPING</t>
        </is>
      </c>
      <c r="F178" t="inlineStr">
        <is>
          <t>Övriga statliga verk och myndigheter</t>
        </is>
      </c>
      <c r="G178" t="n">
        <v>2.4</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46001</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46001</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46001</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33134-2022</t>
        </is>
      </c>
      <c r="B182" s="1" t="n">
        <v>44785</v>
      </c>
      <c r="C182" s="1" t="n">
        <v>46001</v>
      </c>
      <c r="D182" t="inlineStr">
        <is>
          <t>ÖSTERGÖTLANDS LÄN</t>
        </is>
      </c>
      <c r="E182" t="inlineStr">
        <is>
          <t>LINKÖPING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13075-2022</t>
        </is>
      </c>
      <c r="B183" s="1" t="n">
        <v>44643</v>
      </c>
      <c r="C183" s="1" t="n">
        <v>46001</v>
      </c>
      <c r="D183" t="inlineStr">
        <is>
          <t>ÖSTERGÖTLANDS LÄN</t>
        </is>
      </c>
      <c r="E183" t="inlineStr">
        <is>
          <t>LINKÖPING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23416-2022</t>
        </is>
      </c>
      <c r="B184" s="1" t="n">
        <v>44720.78243055556</v>
      </c>
      <c r="C184" s="1" t="n">
        <v>46001</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46001</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5605-2022</t>
        </is>
      </c>
      <c r="B186" s="1" t="n">
        <v>44595</v>
      </c>
      <c r="C186" s="1" t="n">
        <v>46001</v>
      </c>
      <c r="D186" t="inlineStr">
        <is>
          <t>ÖSTERGÖTLANDS LÄN</t>
        </is>
      </c>
      <c r="E186" t="inlineStr">
        <is>
          <t>LINKÖPING</t>
        </is>
      </c>
      <c r="F186" t="inlineStr">
        <is>
          <t>Övriga statliga verk och myndigheter</t>
        </is>
      </c>
      <c r="G186" t="n">
        <v>3</v>
      </c>
      <c r="H186" t="n">
        <v>0</v>
      </c>
      <c r="I186" t="n">
        <v>0</v>
      </c>
      <c r="J186" t="n">
        <v>0</v>
      </c>
      <c r="K186" t="n">
        <v>0</v>
      </c>
      <c r="L186" t="n">
        <v>0</v>
      </c>
      <c r="M186" t="n">
        <v>0</v>
      </c>
      <c r="N186" t="n">
        <v>0</v>
      </c>
      <c r="O186" t="n">
        <v>0</v>
      </c>
      <c r="P186" t="n">
        <v>0</v>
      </c>
      <c r="Q186" t="n">
        <v>0</v>
      </c>
      <c r="R186" s="2" t="inlineStr"/>
    </row>
    <row r="187" ht="15" customHeight="1">
      <c r="A187" t="inlineStr">
        <is>
          <t>A 27769-2022</t>
        </is>
      </c>
      <c r="B187" s="1" t="n">
        <v>44743.53200231482</v>
      </c>
      <c r="C187" s="1" t="n">
        <v>46001</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4929-2021</t>
        </is>
      </c>
      <c r="B188" s="1" t="n">
        <v>44227.57533564815</v>
      </c>
      <c r="C188" s="1" t="n">
        <v>46001</v>
      </c>
      <c r="D188" t="inlineStr">
        <is>
          <t>ÖSTERGÖTLANDS LÄN</t>
        </is>
      </c>
      <c r="E188" t="inlineStr">
        <is>
          <t>LINKÖPING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33891-2021</t>
        </is>
      </c>
      <c r="B189" s="1" t="n">
        <v>44378</v>
      </c>
      <c r="C189" s="1" t="n">
        <v>46001</v>
      </c>
      <c r="D189" t="inlineStr">
        <is>
          <t>ÖSTERGÖTLANDS LÄN</t>
        </is>
      </c>
      <c r="E189" t="inlineStr">
        <is>
          <t>LINKÖPING</t>
        </is>
      </c>
      <c r="G189" t="n">
        <v>5.1</v>
      </c>
      <c r="H189" t="n">
        <v>0</v>
      </c>
      <c r="I189" t="n">
        <v>0</v>
      </c>
      <c r="J189" t="n">
        <v>0</v>
      </c>
      <c r="K189" t="n">
        <v>0</v>
      </c>
      <c r="L189" t="n">
        <v>0</v>
      </c>
      <c r="M189" t="n">
        <v>0</v>
      </c>
      <c r="N189" t="n">
        <v>0</v>
      </c>
      <c r="O189" t="n">
        <v>0</v>
      </c>
      <c r="P189" t="n">
        <v>0</v>
      </c>
      <c r="Q189" t="n">
        <v>0</v>
      </c>
      <c r="R189" s="2" t="inlineStr"/>
    </row>
    <row r="190" ht="15" customHeight="1">
      <c r="A190" t="inlineStr">
        <is>
          <t>A 19254-2021</t>
        </is>
      </c>
      <c r="B190" s="1" t="n">
        <v>44309.38962962963</v>
      </c>
      <c r="C190" s="1" t="n">
        <v>46001</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46001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61153-2021</t>
        </is>
      </c>
      <c r="B192" s="1" t="n">
        <v>44497</v>
      </c>
      <c r="C192" s="1" t="n">
        <v>46001</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46001</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46001</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46001</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34486-2021</t>
        </is>
      </c>
      <c r="B196" s="1" t="n">
        <v>44382.29295138889</v>
      </c>
      <c r="C196" s="1" t="n">
        <v>46001</v>
      </c>
      <c r="D196" t="inlineStr">
        <is>
          <t>ÖSTERGÖTLANDS LÄN</t>
        </is>
      </c>
      <c r="E196" t="inlineStr">
        <is>
          <t>LINKÖPING</t>
        </is>
      </c>
      <c r="G196" t="n">
        <v>4.4</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46001</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61302-2021</t>
        </is>
      </c>
      <c r="B198" s="1" t="n">
        <v>44498.63189814815</v>
      </c>
      <c r="C198" s="1" t="n">
        <v>46001</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41426-2022</t>
        </is>
      </c>
      <c r="B199" s="1" t="n">
        <v>44826</v>
      </c>
      <c r="C199" s="1" t="n">
        <v>46001</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34162-2022</t>
        </is>
      </c>
      <c r="B200" s="1" t="n">
        <v>44791</v>
      </c>
      <c r="C200" s="1" t="n">
        <v>46001</v>
      </c>
      <c r="D200" t="inlineStr">
        <is>
          <t>ÖSTERGÖTLANDS LÄN</t>
        </is>
      </c>
      <c r="E200" t="inlineStr">
        <is>
          <t>LINKÖPING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61298-2021</t>
        </is>
      </c>
      <c r="B201" s="1" t="n">
        <v>44498.62533564815</v>
      </c>
      <c r="C201" s="1" t="n">
        <v>46001</v>
      </c>
      <c r="D201" t="inlineStr">
        <is>
          <t>ÖSTERGÖTLANDS LÄN</t>
        </is>
      </c>
      <c r="E201" t="inlineStr">
        <is>
          <t>LINKÖPING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61333-2021</t>
        </is>
      </c>
      <c r="B202" s="1" t="n">
        <v>44498.6764699074</v>
      </c>
      <c r="C202" s="1" t="n">
        <v>46001</v>
      </c>
      <c r="D202" t="inlineStr">
        <is>
          <t>ÖSTERGÖTLANDS LÄN</t>
        </is>
      </c>
      <c r="E202" t="inlineStr">
        <is>
          <t>LINKÖPING</t>
        </is>
      </c>
      <c r="G202" t="n">
        <v>7.5</v>
      </c>
      <c r="H202" t="n">
        <v>0</v>
      </c>
      <c r="I202" t="n">
        <v>0</v>
      </c>
      <c r="J202" t="n">
        <v>0</v>
      </c>
      <c r="K202" t="n">
        <v>0</v>
      </c>
      <c r="L202" t="n">
        <v>0</v>
      </c>
      <c r="M202" t="n">
        <v>0</v>
      </c>
      <c r="N202" t="n">
        <v>0</v>
      </c>
      <c r="O202" t="n">
        <v>0</v>
      </c>
      <c r="P202" t="n">
        <v>0</v>
      </c>
      <c r="Q202" t="n">
        <v>0</v>
      </c>
      <c r="R202" s="2" t="inlineStr"/>
    </row>
    <row r="203" ht="15" customHeight="1">
      <c r="A203" t="inlineStr">
        <is>
          <t>A 12412-2022</t>
        </is>
      </c>
      <c r="B203" s="1" t="n">
        <v>44638</v>
      </c>
      <c r="C203" s="1" t="n">
        <v>46001</v>
      </c>
      <c r="D203" t="inlineStr">
        <is>
          <t>ÖSTERGÖTLANDS LÄN</t>
        </is>
      </c>
      <c r="E203" t="inlineStr">
        <is>
          <t>LINKÖPING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32255-2021</t>
        </is>
      </c>
      <c r="B204" s="1" t="n">
        <v>44371.45949074074</v>
      </c>
      <c r="C204" s="1" t="n">
        <v>46001</v>
      </c>
      <c r="D204" t="inlineStr">
        <is>
          <t>ÖSTERGÖTLANDS LÄN</t>
        </is>
      </c>
      <c r="E204" t="inlineStr">
        <is>
          <t>LINKÖPING</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46001</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34880-2022</t>
        </is>
      </c>
      <c r="B206" s="1" t="n">
        <v>44796</v>
      </c>
      <c r="C206" s="1" t="n">
        <v>46001</v>
      </c>
      <c r="D206" t="inlineStr">
        <is>
          <t>ÖSTERGÖTLANDS LÄN</t>
        </is>
      </c>
      <c r="E206" t="inlineStr">
        <is>
          <t>LINKÖPING</t>
        </is>
      </c>
      <c r="F206" t="inlineStr">
        <is>
          <t>Övriga statliga verk och myndigheter</t>
        </is>
      </c>
      <c r="G206" t="n">
        <v>4</v>
      </c>
      <c r="H206" t="n">
        <v>0</v>
      </c>
      <c r="I206" t="n">
        <v>0</v>
      </c>
      <c r="J206" t="n">
        <v>0</v>
      </c>
      <c r="K206" t="n">
        <v>0</v>
      </c>
      <c r="L206" t="n">
        <v>0</v>
      </c>
      <c r="M206" t="n">
        <v>0</v>
      </c>
      <c r="N206" t="n">
        <v>0</v>
      </c>
      <c r="O206" t="n">
        <v>0</v>
      </c>
      <c r="P206" t="n">
        <v>0</v>
      </c>
      <c r="Q206" t="n">
        <v>0</v>
      </c>
      <c r="R206" s="2" t="inlineStr"/>
    </row>
    <row r="207" ht="15" customHeight="1">
      <c r="A207" t="inlineStr">
        <is>
          <t>A 48042-2022</t>
        </is>
      </c>
      <c r="B207" s="1" t="n">
        <v>44855</v>
      </c>
      <c r="C207" s="1" t="n">
        <v>46001</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46001</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10407-2025</t>
        </is>
      </c>
      <c r="B209" s="1" t="n">
        <v>45720.62863425926</v>
      </c>
      <c r="C209" s="1" t="n">
        <v>46001</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51484-2023</t>
        </is>
      </c>
      <c r="B210" s="1" t="n">
        <v>45222</v>
      </c>
      <c r="C210" s="1" t="n">
        <v>46001</v>
      </c>
      <c r="D210" t="inlineStr">
        <is>
          <t>ÖSTERGÖTLANDS LÄN</t>
        </is>
      </c>
      <c r="E210" t="inlineStr">
        <is>
          <t>LINKÖPING</t>
        </is>
      </c>
      <c r="F210" t="inlineStr">
        <is>
          <t>Övriga Aktiebolag</t>
        </is>
      </c>
      <c r="G210" t="n">
        <v>7.7</v>
      </c>
      <c r="H210" t="n">
        <v>0</v>
      </c>
      <c r="I210" t="n">
        <v>0</v>
      </c>
      <c r="J210" t="n">
        <v>0</v>
      </c>
      <c r="K210" t="n">
        <v>0</v>
      </c>
      <c r="L210" t="n">
        <v>0</v>
      </c>
      <c r="M210" t="n">
        <v>0</v>
      </c>
      <c r="N210" t="n">
        <v>0</v>
      </c>
      <c r="O210" t="n">
        <v>0</v>
      </c>
      <c r="P210" t="n">
        <v>0</v>
      </c>
      <c r="Q210" t="n">
        <v>0</v>
      </c>
      <c r="R210" s="2" t="inlineStr"/>
    </row>
    <row r="211" ht="15" customHeight="1">
      <c r="A211" t="inlineStr">
        <is>
          <t>A 63678-2023</t>
        </is>
      </c>
      <c r="B211" s="1" t="n">
        <v>45275.64769675926</v>
      </c>
      <c r="C211" s="1" t="n">
        <v>46001</v>
      </c>
      <c r="D211" t="inlineStr">
        <is>
          <t>ÖSTERGÖTLANDS LÄN</t>
        </is>
      </c>
      <c r="E211" t="inlineStr">
        <is>
          <t>LINKÖPING</t>
        </is>
      </c>
      <c r="F211" t="inlineStr">
        <is>
          <t>Övriga Aktiebolag</t>
        </is>
      </c>
      <c r="G211" t="n">
        <v>0.4</v>
      </c>
      <c r="H211" t="n">
        <v>0</v>
      </c>
      <c r="I211" t="n">
        <v>0</v>
      </c>
      <c r="J211" t="n">
        <v>0</v>
      </c>
      <c r="K211" t="n">
        <v>0</v>
      </c>
      <c r="L211" t="n">
        <v>0</v>
      </c>
      <c r="M211" t="n">
        <v>0</v>
      </c>
      <c r="N211" t="n">
        <v>0</v>
      </c>
      <c r="O211" t="n">
        <v>0</v>
      </c>
      <c r="P211" t="n">
        <v>0</v>
      </c>
      <c r="Q211" t="n">
        <v>0</v>
      </c>
      <c r="R211" s="2" t="inlineStr"/>
    </row>
    <row r="212" ht="15" customHeight="1">
      <c r="A212" t="inlineStr">
        <is>
          <t>A 63688-2023</t>
        </is>
      </c>
      <c r="B212" s="1" t="n">
        <v>45275</v>
      </c>
      <c r="C212" s="1" t="n">
        <v>46001</v>
      </c>
      <c r="D212" t="inlineStr">
        <is>
          <t>ÖSTERGÖTLANDS LÄN</t>
        </is>
      </c>
      <c r="E212" t="inlineStr">
        <is>
          <t>LINKÖPING</t>
        </is>
      </c>
      <c r="F212" t="inlineStr">
        <is>
          <t>Övriga Aktiebolag</t>
        </is>
      </c>
      <c r="G212" t="n">
        <v>2.4</v>
      </c>
      <c r="H212" t="n">
        <v>0</v>
      </c>
      <c r="I212" t="n">
        <v>0</v>
      </c>
      <c r="J212" t="n">
        <v>0</v>
      </c>
      <c r="K212" t="n">
        <v>0</v>
      </c>
      <c r="L212" t="n">
        <v>0</v>
      </c>
      <c r="M212" t="n">
        <v>0</v>
      </c>
      <c r="N212" t="n">
        <v>0</v>
      </c>
      <c r="O212" t="n">
        <v>0</v>
      </c>
      <c r="P212" t="n">
        <v>0</v>
      </c>
      <c r="Q212" t="n">
        <v>0</v>
      </c>
      <c r="R212" s="2" t="inlineStr"/>
    </row>
    <row r="213" ht="15" customHeight="1">
      <c r="A213" t="inlineStr">
        <is>
          <t>A 63691-2023</t>
        </is>
      </c>
      <c r="B213" s="1" t="n">
        <v>45275</v>
      </c>
      <c r="C213" s="1" t="n">
        <v>46001</v>
      </c>
      <c r="D213" t="inlineStr">
        <is>
          <t>ÖSTERGÖTLANDS LÄN</t>
        </is>
      </c>
      <c r="E213" t="inlineStr">
        <is>
          <t>LINKÖPING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34557-2022</t>
        </is>
      </c>
      <c r="B214" s="1" t="n">
        <v>44794.57074074074</v>
      </c>
      <c r="C214" s="1" t="n">
        <v>46001</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39021-2021</t>
        </is>
      </c>
      <c r="B215" s="1" t="n">
        <v>44412</v>
      </c>
      <c r="C215" s="1" t="n">
        <v>46001</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9434-2024</t>
        </is>
      </c>
      <c r="B216" s="1" t="n">
        <v>45359</v>
      </c>
      <c r="C216" s="1" t="n">
        <v>46001</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17157-2024</t>
        </is>
      </c>
      <c r="B217" s="1" t="n">
        <v>45412.70567129629</v>
      </c>
      <c r="C217" s="1" t="n">
        <v>46001</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46001</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13689-2025</t>
        </is>
      </c>
      <c r="B219" s="1" t="n">
        <v>45737.31590277778</v>
      </c>
      <c r="C219" s="1" t="n">
        <v>46001</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13696-2025</t>
        </is>
      </c>
      <c r="B220" s="1" t="n">
        <v>45737.32273148148</v>
      </c>
      <c r="C220" s="1" t="n">
        <v>46001</v>
      </c>
      <c r="D220" t="inlineStr">
        <is>
          <t>ÖSTERGÖTLANDS LÄN</t>
        </is>
      </c>
      <c r="E220" t="inlineStr">
        <is>
          <t>LINKÖPING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46225-2021</t>
        </is>
      </c>
      <c r="B221" s="1" t="n">
        <v>44442</v>
      </c>
      <c r="C221" s="1" t="n">
        <v>46001</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46001</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48962-2022</t>
        </is>
      </c>
      <c r="B223" s="1" t="n">
        <v>44860.31635416667</v>
      </c>
      <c r="C223" s="1" t="n">
        <v>46001</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53647-2021</t>
        </is>
      </c>
      <c r="B224" s="1" t="n">
        <v>44469</v>
      </c>
      <c r="C224" s="1" t="n">
        <v>46001</v>
      </c>
      <c r="D224" t="inlineStr">
        <is>
          <t>ÖSTERGÖTLANDS LÄN</t>
        </is>
      </c>
      <c r="E224" t="inlineStr">
        <is>
          <t>LINKÖPING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22772-2024</t>
        </is>
      </c>
      <c r="B225" s="1" t="n">
        <v>45448.46712962963</v>
      </c>
      <c r="C225" s="1" t="n">
        <v>46001</v>
      </c>
      <c r="D225" t="inlineStr">
        <is>
          <t>ÖSTERGÖTLANDS LÄN</t>
        </is>
      </c>
      <c r="E225" t="inlineStr">
        <is>
          <t>LINKÖPING</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18916-2024</t>
        </is>
      </c>
      <c r="B226" s="1" t="n">
        <v>45427.39541666667</v>
      </c>
      <c r="C226" s="1" t="n">
        <v>46001</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11790-2024</t>
        </is>
      </c>
      <c r="B227" s="1" t="n">
        <v>45374</v>
      </c>
      <c r="C227" s="1" t="n">
        <v>46001</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24586-2024</t>
        </is>
      </c>
      <c r="B228" s="1" t="n">
        <v>45460.46664351852</v>
      </c>
      <c r="C228" s="1" t="n">
        <v>46001</v>
      </c>
      <c r="D228" t="inlineStr">
        <is>
          <t>ÖSTERGÖTLANDS LÄN</t>
        </is>
      </c>
      <c r="E228" t="inlineStr">
        <is>
          <t>LINKÖPING</t>
        </is>
      </c>
      <c r="G228" t="n">
        <v>4</v>
      </c>
      <c r="H228" t="n">
        <v>0</v>
      </c>
      <c r="I228" t="n">
        <v>0</v>
      </c>
      <c r="J228" t="n">
        <v>0</v>
      </c>
      <c r="K228" t="n">
        <v>0</v>
      </c>
      <c r="L228" t="n">
        <v>0</v>
      </c>
      <c r="M228" t="n">
        <v>0</v>
      </c>
      <c r="N228" t="n">
        <v>0</v>
      </c>
      <c r="O228" t="n">
        <v>0</v>
      </c>
      <c r="P228" t="n">
        <v>0</v>
      </c>
      <c r="Q228" t="n">
        <v>0</v>
      </c>
      <c r="R228" s="2" t="inlineStr"/>
    </row>
    <row r="229" ht="15" customHeight="1">
      <c r="A229" t="inlineStr">
        <is>
          <t>A 17124-2025</t>
        </is>
      </c>
      <c r="B229" s="1" t="n">
        <v>45755.69678240741</v>
      </c>
      <c r="C229" s="1" t="n">
        <v>46001</v>
      </c>
      <c r="D229" t="inlineStr">
        <is>
          <t>ÖSTERGÖTLANDS LÄN</t>
        </is>
      </c>
      <c r="E229" t="inlineStr">
        <is>
          <t>LINKÖPING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17126-2025</t>
        </is>
      </c>
      <c r="B230" s="1" t="n">
        <v>45755.70814814815</v>
      </c>
      <c r="C230" s="1" t="n">
        <v>46001</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17143-2025</t>
        </is>
      </c>
      <c r="B231" s="1" t="n">
        <v>45755.92731481481</v>
      </c>
      <c r="C231" s="1" t="n">
        <v>46001</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39017-2021</t>
        </is>
      </c>
      <c r="B232" s="1" t="n">
        <v>44412</v>
      </c>
      <c r="C232" s="1" t="n">
        <v>46001</v>
      </c>
      <c r="D232" t="inlineStr">
        <is>
          <t>ÖSTERGÖTLANDS LÄN</t>
        </is>
      </c>
      <c r="E232" t="inlineStr">
        <is>
          <t>LINKÖPING</t>
        </is>
      </c>
      <c r="F232" t="inlineStr">
        <is>
          <t>Övriga statliga verk och myndigheter</t>
        </is>
      </c>
      <c r="G232" t="n">
        <v>0.8</v>
      </c>
      <c r="H232" t="n">
        <v>0</v>
      </c>
      <c r="I232" t="n">
        <v>0</v>
      </c>
      <c r="J232" t="n">
        <v>0</v>
      </c>
      <c r="K232" t="n">
        <v>0</v>
      </c>
      <c r="L232" t="n">
        <v>0</v>
      </c>
      <c r="M232" t="n">
        <v>0</v>
      </c>
      <c r="N232" t="n">
        <v>0</v>
      </c>
      <c r="O232" t="n">
        <v>0</v>
      </c>
      <c r="P232" t="n">
        <v>0</v>
      </c>
      <c r="Q232" t="n">
        <v>0</v>
      </c>
      <c r="R232" s="2" t="inlineStr"/>
    </row>
    <row r="233" ht="15" customHeight="1">
      <c r="A233" t="inlineStr">
        <is>
          <t>A 16820-2024</t>
        </is>
      </c>
      <c r="B233" s="1" t="n">
        <v>45411.46809027778</v>
      </c>
      <c r="C233" s="1" t="n">
        <v>46001</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3008-2023</t>
        </is>
      </c>
      <c r="B234" s="1" t="n">
        <v>44945.79784722222</v>
      </c>
      <c r="C234" s="1" t="n">
        <v>46001</v>
      </c>
      <c r="D234" t="inlineStr">
        <is>
          <t>ÖSTERGÖTLANDS LÄN</t>
        </is>
      </c>
      <c r="E234" t="inlineStr">
        <is>
          <t>LINKÖPING</t>
        </is>
      </c>
      <c r="G234" t="n">
        <v>19.3</v>
      </c>
      <c r="H234" t="n">
        <v>0</v>
      </c>
      <c r="I234" t="n">
        <v>0</v>
      </c>
      <c r="J234" t="n">
        <v>0</v>
      </c>
      <c r="K234" t="n">
        <v>0</v>
      </c>
      <c r="L234" t="n">
        <v>0</v>
      </c>
      <c r="M234" t="n">
        <v>0</v>
      </c>
      <c r="N234" t="n">
        <v>0</v>
      </c>
      <c r="O234" t="n">
        <v>0</v>
      </c>
      <c r="P234" t="n">
        <v>0</v>
      </c>
      <c r="Q234" t="n">
        <v>0</v>
      </c>
      <c r="R234" s="2" t="inlineStr"/>
    </row>
    <row r="235" ht="15" customHeight="1">
      <c r="A235" t="inlineStr">
        <is>
          <t>A 6859-2024</t>
        </is>
      </c>
      <c r="B235" s="1" t="n">
        <v>45342</v>
      </c>
      <c r="C235" s="1" t="n">
        <v>46001</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30980-2022</t>
        </is>
      </c>
      <c r="B236" s="1" t="n">
        <v>44768</v>
      </c>
      <c r="C236" s="1" t="n">
        <v>46001</v>
      </c>
      <c r="D236" t="inlineStr">
        <is>
          <t>ÖSTERGÖTLANDS LÄN</t>
        </is>
      </c>
      <c r="E236" t="inlineStr">
        <is>
          <t>LINKÖPING</t>
        </is>
      </c>
      <c r="G236" t="n">
        <v>0.9</v>
      </c>
      <c r="H236" t="n">
        <v>0</v>
      </c>
      <c r="I236" t="n">
        <v>0</v>
      </c>
      <c r="J236" t="n">
        <v>0</v>
      </c>
      <c r="K236" t="n">
        <v>0</v>
      </c>
      <c r="L236" t="n">
        <v>0</v>
      </c>
      <c r="M236" t="n">
        <v>0</v>
      </c>
      <c r="N236" t="n">
        <v>0</v>
      </c>
      <c r="O236" t="n">
        <v>0</v>
      </c>
      <c r="P236" t="n">
        <v>0</v>
      </c>
      <c r="Q236" t="n">
        <v>0</v>
      </c>
      <c r="R236" s="2" t="inlineStr"/>
    </row>
    <row r="237" ht="15" customHeight="1">
      <c r="A237" t="inlineStr">
        <is>
          <t>A 38580-2024</t>
        </is>
      </c>
      <c r="B237" s="1" t="n">
        <v>45546.64825231482</v>
      </c>
      <c r="C237" s="1" t="n">
        <v>46001</v>
      </c>
      <c r="D237" t="inlineStr">
        <is>
          <t>ÖSTERGÖTLANDS LÄN</t>
        </is>
      </c>
      <c r="E237" t="inlineStr">
        <is>
          <t>LINKÖPING</t>
        </is>
      </c>
      <c r="G237" t="n">
        <v>4.8</v>
      </c>
      <c r="H237" t="n">
        <v>0</v>
      </c>
      <c r="I237" t="n">
        <v>0</v>
      </c>
      <c r="J237" t="n">
        <v>0</v>
      </c>
      <c r="K237" t="n">
        <v>0</v>
      </c>
      <c r="L237" t="n">
        <v>0</v>
      </c>
      <c r="M237" t="n">
        <v>0</v>
      </c>
      <c r="N237" t="n">
        <v>0</v>
      </c>
      <c r="O237" t="n">
        <v>0</v>
      </c>
      <c r="P237" t="n">
        <v>0</v>
      </c>
      <c r="Q237" t="n">
        <v>0</v>
      </c>
      <c r="R237" s="2" t="inlineStr"/>
    </row>
    <row r="238" ht="15" customHeight="1">
      <c r="A238" t="inlineStr">
        <is>
          <t>A 572-2025</t>
        </is>
      </c>
      <c r="B238" s="1" t="n">
        <v>45664.56349537037</v>
      </c>
      <c r="C238" s="1" t="n">
        <v>46001</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22364-2025</t>
        </is>
      </c>
      <c r="B239" s="1" t="n">
        <v>45786.46930555555</v>
      </c>
      <c r="C239" s="1" t="n">
        <v>46001</v>
      </c>
      <c r="D239" t="inlineStr">
        <is>
          <t>ÖSTERGÖTLANDS LÄN</t>
        </is>
      </c>
      <c r="E239" t="inlineStr">
        <is>
          <t>LINKÖPING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55345-2021</t>
        </is>
      </c>
      <c r="B240" s="1" t="n">
        <v>44475</v>
      </c>
      <c r="C240" s="1" t="n">
        <v>46001</v>
      </c>
      <c r="D240" t="inlineStr">
        <is>
          <t>ÖSTERGÖTLANDS LÄN</t>
        </is>
      </c>
      <c r="E240" t="inlineStr">
        <is>
          <t>LINKÖPING</t>
        </is>
      </c>
      <c r="G240" t="n">
        <v>5.7</v>
      </c>
      <c r="H240" t="n">
        <v>0</v>
      </c>
      <c r="I240" t="n">
        <v>0</v>
      </c>
      <c r="J240" t="n">
        <v>0</v>
      </c>
      <c r="K240" t="n">
        <v>0</v>
      </c>
      <c r="L240" t="n">
        <v>0</v>
      </c>
      <c r="M240" t="n">
        <v>0</v>
      </c>
      <c r="N240" t="n">
        <v>0</v>
      </c>
      <c r="O240" t="n">
        <v>0</v>
      </c>
      <c r="P240" t="n">
        <v>0</v>
      </c>
      <c r="Q240" t="n">
        <v>0</v>
      </c>
      <c r="R240" s="2" t="inlineStr"/>
    </row>
    <row r="241" ht="15" customHeight="1">
      <c r="A241" t="inlineStr">
        <is>
          <t>A 44287-2024</t>
        </is>
      </c>
      <c r="B241" s="1" t="n">
        <v>45573.50582175926</v>
      </c>
      <c r="C241" s="1" t="n">
        <v>46001</v>
      </c>
      <c r="D241" t="inlineStr">
        <is>
          <t>ÖSTERGÖTLANDS LÄN</t>
        </is>
      </c>
      <c r="E241" t="inlineStr">
        <is>
          <t>LINKÖPING</t>
        </is>
      </c>
      <c r="G241" t="n">
        <v>12.7</v>
      </c>
      <c r="H241" t="n">
        <v>0</v>
      </c>
      <c r="I241" t="n">
        <v>0</v>
      </c>
      <c r="J241" t="n">
        <v>0</v>
      </c>
      <c r="K241" t="n">
        <v>0</v>
      </c>
      <c r="L241" t="n">
        <v>0</v>
      </c>
      <c r="M241" t="n">
        <v>0</v>
      </c>
      <c r="N241" t="n">
        <v>0</v>
      </c>
      <c r="O241" t="n">
        <v>0</v>
      </c>
      <c r="P241" t="n">
        <v>0</v>
      </c>
      <c r="Q241" t="n">
        <v>0</v>
      </c>
      <c r="R241" s="2" t="inlineStr"/>
    </row>
    <row r="242" ht="15" customHeight="1">
      <c r="A242" t="inlineStr">
        <is>
          <t>A 29312-2024</t>
        </is>
      </c>
      <c r="B242" s="1" t="n">
        <v>45483</v>
      </c>
      <c r="C242" s="1" t="n">
        <v>46001</v>
      </c>
      <c r="D242" t="inlineStr">
        <is>
          <t>ÖSTERGÖTLANDS LÄN</t>
        </is>
      </c>
      <c r="E242" t="inlineStr">
        <is>
          <t>LINKÖPING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24351-2024</t>
        </is>
      </c>
      <c r="B243" s="1" t="n">
        <v>45457.59011574074</v>
      </c>
      <c r="C243" s="1" t="n">
        <v>46001</v>
      </c>
      <c r="D243" t="inlineStr">
        <is>
          <t>ÖSTERGÖTLANDS LÄN</t>
        </is>
      </c>
      <c r="E243" t="inlineStr">
        <is>
          <t>LINKÖPING</t>
        </is>
      </c>
      <c r="G243" t="n">
        <v>11.9</v>
      </c>
      <c r="H243" t="n">
        <v>0</v>
      </c>
      <c r="I243" t="n">
        <v>0</v>
      </c>
      <c r="J243" t="n">
        <v>0</v>
      </c>
      <c r="K243" t="n">
        <v>0</v>
      </c>
      <c r="L243" t="n">
        <v>0</v>
      </c>
      <c r="M243" t="n">
        <v>0</v>
      </c>
      <c r="N243" t="n">
        <v>0</v>
      </c>
      <c r="O243" t="n">
        <v>0</v>
      </c>
      <c r="P243" t="n">
        <v>0</v>
      </c>
      <c r="Q243" t="n">
        <v>0</v>
      </c>
      <c r="R243" s="2" t="inlineStr"/>
    </row>
    <row r="244" ht="15" customHeight="1">
      <c r="A244" t="inlineStr">
        <is>
          <t>A 62501-2023</t>
        </is>
      </c>
      <c r="B244" s="1" t="n">
        <v>45268</v>
      </c>
      <c r="C244" s="1" t="n">
        <v>46001</v>
      </c>
      <c r="D244" t="inlineStr">
        <is>
          <t>ÖSTERGÖTLANDS LÄN</t>
        </is>
      </c>
      <c r="E244" t="inlineStr">
        <is>
          <t>LINKÖPING</t>
        </is>
      </c>
      <c r="G244" t="n">
        <v>7.4</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44903.64769675926</v>
      </c>
      <c r="C245" s="1" t="n">
        <v>46001</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49979-2022</t>
        </is>
      </c>
      <c r="B246" s="1" t="n">
        <v>44865</v>
      </c>
      <c r="C246" s="1" t="n">
        <v>46001</v>
      </c>
      <c r="D246" t="inlineStr">
        <is>
          <t>ÖSTERGÖTLANDS LÄN</t>
        </is>
      </c>
      <c r="E246" t="inlineStr">
        <is>
          <t>LINKÖPING</t>
        </is>
      </c>
      <c r="F246" t="inlineStr">
        <is>
          <t>Övriga Aktiebolag</t>
        </is>
      </c>
      <c r="G246" t="n">
        <v>11.4</v>
      </c>
      <c r="H246" t="n">
        <v>0</v>
      </c>
      <c r="I246" t="n">
        <v>0</v>
      </c>
      <c r="J246" t="n">
        <v>0</v>
      </c>
      <c r="K246" t="n">
        <v>0</v>
      </c>
      <c r="L246" t="n">
        <v>0</v>
      </c>
      <c r="M246" t="n">
        <v>0</v>
      </c>
      <c r="N246" t="n">
        <v>0</v>
      </c>
      <c r="O246" t="n">
        <v>0</v>
      </c>
      <c r="P246" t="n">
        <v>0</v>
      </c>
      <c r="Q246" t="n">
        <v>0</v>
      </c>
      <c r="R246" s="2" t="inlineStr"/>
    </row>
    <row r="247" ht="15" customHeight="1">
      <c r="A247" t="inlineStr">
        <is>
          <t>A 61281-2021</t>
        </is>
      </c>
      <c r="B247" s="1" t="n">
        <v>44498.60736111111</v>
      </c>
      <c r="C247" s="1" t="n">
        <v>46001</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63935-2021</t>
        </is>
      </c>
      <c r="B248" s="1" t="n">
        <v>44509</v>
      </c>
      <c r="C248" s="1" t="n">
        <v>46001</v>
      </c>
      <c r="D248" t="inlineStr">
        <is>
          <t>ÖSTERGÖTLANDS LÄN</t>
        </is>
      </c>
      <c r="E248" t="inlineStr">
        <is>
          <t>LINKÖPING</t>
        </is>
      </c>
      <c r="F248" t="inlineStr">
        <is>
          <t>Övriga statliga verk och myndigheter</t>
        </is>
      </c>
      <c r="G248" t="n">
        <v>2.8</v>
      </c>
      <c r="H248" t="n">
        <v>0</v>
      </c>
      <c r="I248" t="n">
        <v>0</v>
      </c>
      <c r="J248" t="n">
        <v>0</v>
      </c>
      <c r="K248" t="n">
        <v>0</v>
      </c>
      <c r="L248" t="n">
        <v>0</v>
      </c>
      <c r="M248" t="n">
        <v>0</v>
      </c>
      <c r="N248" t="n">
        <v>0</v>
      </c>
      <c r="O248" t="n">
        <v>0</v>
      </c>
      <c r="P248" t="n">
        <v>0</v>
      </c>
      <c r="Q248" t="n">
        <v>0</v>
      </c>
      <c r="R248" s="2" t="inlineStr"/>
    </row>
    <row r="249" ht="15" customHeight="1">
      <c r="A249" t="inlineStr">
        <is>
          <t>A 53827-2023</t>
        </is>
      </c>
      <c r="B249" s="1" t="n">
        <v>45230</v>
      </c>
      <c r="C249" s="1" t="n">
        <v>46001</v>
      </c>
      <c r="D249" t="inlineStr">
        <is>
          <t>ÖSTERGÖTLANDS LÄN</t>
        </is>
      </c>
      <c r="E249" t="inlineStr">
        <is>
          <t>LINKÖPING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25292-2021</t>
        </is>
      </c>
      <c r="B250" s="1" t="n">
        <v>44342</v>
      </c>
      <c r="C250" s="1" t="n">
        <v>46001</v>
      </c>
      <c r="D250" t="inlineStr">
        <is>
          <t>ÖSTERGÖTLANDS LÄN</t>
        </is>
      </c>
      <c r="E250" t="inlineStr">
        <is>
          <t>LINKÖPING</t>
        </is>
      </c>
      <c r="F250" t="inlineStr">
        <is>
          <t>Övriga Aktiebolag</t>
        </is>
      </c>
      <c r="G250" t="n">
        <v>12.8</v>
      </c>
      <c r="H250" t="n">
        <v>0</v>
      </c>
      <c r="I250" t="n">
        <v>0</v>
      </c>
      <c r="J250" t="n">
        <v>0</v>
      </c>
      <c r="K250" t="n">
        <v>0</v>
      </c>
      <c r="L250" t="n">
        <v>0</v>
      </c>
      <c r="M250" t="n">
        <v>0</v>
      </c>
      <c r="N250" t="n">
        <v>0</v>
      </c>
      <c r="O250" t="n">
        <v>0</v>
      </c>
      <c r="P250" t="n">
        <v>0</v>
      </c>
      <c r="Q250" t="n">
        <v>0</v>
      </c>
      <c r="R250" s="2" t="inlineStr"/>
    </row>
    <row r="251" ht="15" customHeight="1">
      <c r="A251" t="inlineStr">
        <is>
          <t>A 23120-2025</t>
        </is>
      </c>
      <c r="B251" s="1" t="n">
        <v>45791.37481481482</v>
      </c>
      <c r="C251" s="1" t="n">
        <v>46001</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940-2023</t>
        </is>
      </c>
      <c r="B252" s="1" t="n">
        <v>44933</v>
      </c>
      <c r="C252" s="1" t="n">
        <v>46001</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7992-2023</t>
        </is>
      </c>
      <c r="B253" s="1" t="n">
        <v>44970</v>
      </c>
      <c r="C253" s="1" t="n">
        <v>46001</v>
      </c>
      <c r="D253" t="inlineStr">
        <is>
          <t>ÖSTERGÖTLANDS LÄN</t>
        </is>
      </c>
      <c r="E253" t="inlineStr">
        <is>
          <t>LINKÖPING</t>
        </is>
      </c>
      <c r="F253" t="inlineStr">
        <is>
          <t>Kommuner</t>
        </is>
      </c>
      <c r="G253" t="n">
        <v>1</v>
      </c>
      <c r="H253" t="n">
        <v>0</v>
      </c>
      <c r="I253" t="n">
        <v>0</v>
      </c>
      <c r="J253" t="n">
        <v>0</v>
      </c>
      <c r="K253" t="n">
        <v>0</v>
      </c>
      <c r="L253" t="n">
        <v>0</v>
      </c>
      <c r="M253" t="n">
        <v>0</v>
      </c>
      <c r="N253" t="n">
        <v>0</v>
      </c>
      <c r="O253" t="n">
        <v>0</v>
      </c>
      <c r="P253" t="n">
        <v>0</v>
      </c>
      <c r="Q253" t="n">
        <v>0</v>
      </c>
      <c r="R253" s="2" t="inlineStr"/>
    </row>
    <row r="254" ht="15" customHeight="1">
      <c r="A254" t="inlineStr">
        <is>
          <t>A 45819-2024</t>
        </is>
      </c>
      <c r="B254" s="1" t="n">
        <v>45579.7454050926</v>
      </c>
      <c r="C254" s="1" t="n">
        <v>46001</v>
      </c>
      <c r="D254" t="inlineStr">
        <is>
          <t>ÖSTERGÖTLANDS LÄN</t>
        </is>
      </c>
      <c r="E254" t="inlineStr">
        <is>
          <t>LINKÖPING</t>
        </is>
      </c>
      <c r="G254" t="n">
        <v>5</v>
      </c>
      <c r="H254" t="n">
        <v>0</v>
      </c>
      <c r="I254" t="n">
        <v>0</v>
      </c>
      <c r="J254" t="n">
        <v>0</v>
      </c>
      <c r="K254" t="n">
        <v>0</v>
      </c>
      <c r="L254" t="n">
        <v>0</v>
      </c>
      <c r="M254" t="n">
        <v>0</v>
      </c>
      <c r="N254" t="n">
        <v>0</v>
      </c>
      <c r="O254" t="n">
        <v>0</v>
      </c>
      <c r="P254" t="n">
        <v>0</v>
      </c>
      <c r="Q254" t="n">
        <v>0</v>
      </c>
      <c r="R254" s="2" t="inlineStr"/>
    </row>
    <row r="255" ht="15" customHeight="1">
      <c r="A255" t="inlineStr">
        <is>
          <t>A 48699-2024</t>
        </is>
      </c>
      <c r="B255" s="1" t="n">
        <v>45593.52091435185</v>
      </c>
      <c r="C255" s="1" t="n">
        <v>46001</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46001</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3530-2024</t>
        </is>
      </c>
      <c r="B257" s="1" t="n">
        <v>45320.54717592592</v>
      </c>
      <c r="C257" s="1" t="n">
        <v>46001</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39074-2025</t>
        </is>
      </c>
      <c r="B258" s="1" t="n">
        <v>45888</v>
      </c>
      <c r="C258" s="1" t="n">
        <v>46001</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13911-2025</t>
        </is>
      </c>
      <c r="B259" s="1" t="n">
        <v>45737.64784722222</v>
      </c>
      <c r="C259" s="1" t="n">
        <v>46001</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23768-2025</t>
        </is>
      </c>
      <c r="B260" s="1" t="n">
        <v>45793.47493055555</v>
      </c>
      <c r="C260" s="1" t="n">
        <v>46001</v>
      </c>
      <c r="D260" t="inlineStr">
        <is>
          <t>ÖSTERGÖTLANDS LÄN</t>
        </is>
      </c>
      <c r="E260" t="inlineStr">
        <is>
          <t>LINKÖPING</t>
        </is>
      </c>
      <c r="G260" t="n">
        <v>3.4</v>
      </c>
      <c r="H260" t="n">
        <v>0</v>
      </c>
      <c r="I260" t="n">
        <v>0</v>
      </c>
      <c r="J260" t="n">
        <v>0</v>
      </c>
      <c r="K260" t="n">
        <v>0</v>
      </c>
      <c r="L260" t="n">
        <v>0</v>
      </c>
      <c r="M260" t="n">
        <v>0</v>
      </c>
      <c r="N260" t="n">
        <v>0</v>
      </c>
      <c r="O260" t="n">
        <v>0</v>
      </c>
      <c r="P260" t="n">
        <v>0</v>
      </c>
      <c r="Q260" t="n">
        <v>0</v>
      </c>
      <c r="R260" s="2" t="inlineStr"/>
    </row>
    <row r="261" ht="15" customHeight="1">
      <c r="A261" t="inlineStr">
        <is>
          <t>A 62686-2023</t>
        </is>
      </c>
      <c r="B261" s="1" t="n">
        <v>45271</v>
      </c>
      <c r="C261" s="1" t="n">
        <v>46001</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38971-2025</t>
        </is>
      </c>
      <c r="B262" s="1" t="n">
        <v>45887.71827546296</v>
      </c>
      <c r="C262" s="1" t="n">
        <v>46001</v>
      </c>
      <c r="D262" t="inlineStr">
        <is>
          <t>ÖSTERGÖTLANDS LÄN</t>
        </is>
      </c>
      <c r="E262" t="inlineStr">
        <is>
          <t>LINKÖPING</t>
        </is>
      </c>
      <c r="G262" t="n">
        <v>3.9</v>
      </c>
      <c r="H262" t="n">
        <v>0</v>
      </c>
      <c r="I262" t="n">
        <v>0</v>
      </c>
      <c r="J262" t="n">
        <v>0</v>
      </c>
      <c r="K262" t="n">
        <v>0</v>
      </c>
      <c r="L262" t="n">
        <v>0</v>
      </c>
      <c r="M262" t="n">
        <v>0</v>
      </c>
      <c r="N262" t="n">
        <v>0</v>
      </c>
      <c r="O262" t="n">
        <v>0</v>
      </c>
      <c r="P262" t="n">
        <v>0</v>
      </c>
      <c r="Q262" t="n">
        <v>0</v>
      </c>
      <c r="R262" s="2" t="inlineStr"/>
    </row>
    <row r="263" ht="15" customHeight="1">
      <c r="A263" t="inlineStr">
        <is>
          <t>A 55345-2021</t>
        </is>
      </c>
      <c r="B263" s="1" t="n">
        <v>44475</v>
      </c>
      <c r="C263" s="1" t="n">
        <v>46001</v>
      </c>
      <c r="D263" t="inlineStr">
        <is>
          <t>ÖSTERGÖTLANDS LÄN</t>
        </is>
      </c>
      <c r="E263" t="inlineStr">
        <is>
          <t>LINKÖPING</t>
        </is>
      </c>
      <c r="G263" t="n">
        <v>5.7</v>
      </c>
      <c r="H263" t="n">
        <v>0</v>
      </c>
      <c r="I263" t="n">
        <v>0</v>
      </c>
      <c r="J263" t="n">
        <v>0</v>
      </c>
      <c r="K263" t="n">
        <v>0</v>
      </c>
      <c r="L263" t="n">
        <v>0</v>
      </c>
      <c r="M263" t="n">
        <v>0</v>
      </c>
      <c r="N263" t="n">
        <v>0</v>
      </c>
      <c r="O263" t="n">
        <v>0</v>
      </c>
      <c r="P263" t="n">
        <v>0</v>
      </c>
      <c r="Q263" t="n">
        <v>0</v>
      </c>
      <c r="R263" s="2" t="inlineStr"/>
    </row>
    <row r="264" ht="15" customHeight="1">
      <c r="A264" t="inlineStr">
        <is>
          <t>A 72567-2021</t>
        </is>
      </c>
      <c r="B264" s="1" t="n">
        <v>44546.45023148148</v>
      </c>
      <c r="C264" s="1" t="n">
        <v>46001</v>
      </c>
      <c r="D264" t="inlineStr">
        <is>
          <t>ÖSTERGÖTLANDS LÄN</t>
        </is>
      </c>
      <c r="E264" t="inlineStr">
        <is>
          <t>LINKÖPING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63489-2023</t>
        </is>
      </c>
      <c r="B265" s="1" t="n">
        <v>45274.66761574074</v>
      </c>
      <c r="C265" s="1" t="n">
        <v>46001</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70-2024</t>
        </is>
      </c>
      <c r="B266" s="1" t="n">
        <v>45293</v>
      </c>
      <c r="C266" s="1" t="n">
        <v>46001</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6782-2024</t>
        </is>
      </c>
      <c r="B267" s="1" t="n">
        <v>45342</v>
      </c>
      <c r="C267" s="1" t="n">
        <v>46001</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27264-2025</t>
        </is>
      </c>
      <c r="B268" s="1" t="n">
        <v>45812.4794212963</v>
      </c>
      <c r="C268" s="1" t="n">
        <v>46001</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617-2024</t>
        </is>
      </c>
      <c r="B269" s="1" t="n">
        <v>45299.66028935185</v>
      </c>
      <c r="C269" s="1" t="n">
        <v>46001</v>
      </c>
      <c r="D269" t="inlineStr">
        <is>
          <t>ÖSTERGÖTLANDS LÄN</t>
        </is>
      </c>
      <c r="E269" t="inlineStr">
        <is>
          <t>LINKÖPING</t>
        </is>
      </c>
      <c r="G269" t="n">
        <v>1.4</v>
      </c>
      <c r="H269" t="n">
        <v>0</v>
      </c>
      <c r="I269" t="n">
        <v>0</v>
      </c>
      <c r="J269" t="n">
        <v>0</v>
      </c>
      <c r="K269" t="n">
        <v>0</v>
      </c>
      <c r="L269" t="n">
        <v>0</v>
      </c>
      <c r="M269" t="n">
        <v>0</v>
      </c>
      <c r="N269" t="n">
        <v>0</v>
      </c>
      <c r="O269" t="n">
        <v>0</v>
      </c>
      <c r="P269" t="n">
        <v>0</v>
      </c>
      <c r="Q269" t="n">
        <v>0</v>
      </c>
      <c r="R269" s="2" t="inlineStr"/>
    </row>
    <row r="270" ht="15" customHeight="1">
      <c r="A270" t="inlineStr">
        <is>
          <t>A 670-2024</t>
        </is>
      </c>
      <c r="B270" s="1" t="n">
        <v>45300.3408912037</v>
      </c>
      <c r="C270" s="1" t="n">
        <v>46001</v>
      </c>
      <c r="D270" t="inlineStr">
        <is>
          <t>ÖSTERGÖTLANDS LÄN</t>
        </is>
      </c>
      <c r="E270" t="inlineStr">
        <is>
          <t>LINKÖPING</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52125-2022</t>
        </is>
      </c>
      <c r="B271" s="1" t="n">
        <v>44873</v>
      </c>
      <c r="C271" s="1" t="n">
        <v>46001</v>
      </c>
      <c r="D271" t="inlineStr">
        <is>
          <t>ÖSTERGÖTLANDS LÄN</t>
        </is>
      </c>
      <c r="E271" t="inlineStr">
        <is>
          <t>LINKÖPING</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39438-2025</t>
        </is>
      </c>
      <c r="B272" s="1" t="n">
        <v>45889.68641203704</v>
      </c>
      <c r="C272" s="1" t="n">
        <v>46001</v>
      </c>
      <c r="D272" t="inlineStr">
        <is>
          <t>ÖSTERGÖTLANDS LÄN</t>
        </is>
      </c>
      <c r="E272" t="inlineStr">
        <is>
          <t>LINKÖPING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1084-2023</t>
        </is>
      </c>
      <c r="B273" s="1" t="n">
        <v>44929</v>
      </c>
      <c r="C273" s="1" t="n">
        <v>46001</v>
      </c>
      <c r="D273" t="inlineStr">
        <is>
          <t>ÖSTERGÖTLANDS LÄN</t>
        </is>
      </c>
      <c r="E273" t="inlineStr">
        <is>
          <t>LINKÖPING</t>
        </is>
      </c>
      <c r="G273" t="n">
        <v>10.4</v>
      </c>
      <c r="H273" t="n">
        <v>0</v>
      </c>
      <c r="I273" t="n">
        <v>0</v>
      </c>
      <c r="J273" t="n">
        <v>0</v>
      </c>
      <c r="K273" t="n">
        <v>0</v>
      </c>
      <c r="L273" t="n">
        <v>0</v>
      </c>
      <c r="M273" t="n">
        <v>0</v>
      </c>
      <c r="N273" t="n">
        <v>0</v>
      </c>
      <c r="O273" t="n">
        <v>0</v>
      </c>
      <c r="P273" t="n">
        <v>0</v>
      </c>
      <c r="Q273" t="n">
        <v>0</v>
      </c>
      <c r="R273" s="2" t="inlineStr"/>
    </row>
    <row r="274" ht="15" customHeight="1">
      <c r="A274" t="inlineStr">
        <is>
          <t>A 44280-2024</t>
        </is>
      </c>
      <c r="B274" s="1" t="n">
        <v>45573.49461805556</v>
      </c>
      <c r="C274" s="1" t="n">
        <v>46001</v>
      </c>
      <c r="D274" t="inlineStr">
        <is>
          <t>ÖSTERGÖTLANDS LÄN</t>
        </is>
      </c>
      <c r="E274" t="inlineStr">
        <is>
          <t>LINKÖPING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40169-2025</t>
        </is>
      </c>
      <c r="B275" s="1" t="n">
        <v>45894.62824074074</v>
      </c>
      <c r="C275" s="1" t="n">
        <v>46001</v>
      </c>
      <c r="D275" t="inlineStr">
        <is>
          <t>ÖSTERGÖTLANDS LÄN</t>
        </is>
      </c>
      <c r="E275" t="inlineStr">
        <is>
          <t>LINKÖPING</t>
        </is>
      </c>
      <c r="G275" t="n">
        <v>2.8</v>
      </c>
      <c r="H275" t="n">
        <v>0</v>
      </c>
      <c r="I275" t="n">
        <v>0</v>
      </c>
      <c r="J275" t="n">
        <v>0</v>
      </c>
      <c r="K275" t="n">
        <v>0</v>
      </c>
      <c r="L275" t="n">
        <v>0</v>
      </c>
      <c r="M275" t="n">
        <v>0</v>
      </c>
      <c r="N275" t="n">
        <v>0</v>
      </c>
      <c r="O275" t="n">
        <v>0</v>
      </c>
      <c r="P275" t="n">
        <v>0</v>
      </c>
      <c r="Q275" t="n">
        <v>0</v>
      </c>
      <c r="R275" s="2" t="inlineStr"/>
    </row>
    <row r="276" ht="15" customHeight="1">
      <c r="A276" t="inlineStr">
        <is>
          <t>A 29859-2024</t>
        </is>
      </c>
      <c r="B276" s="1" t="n">
        <v>45485.6846412037</v>
      </c>
      <c r="C276" s="1" t="n">
        <v>46001</v>
      </c>
      <c r="D276" t="inlineStr">
        <is>
          <t>ÖSTERGÖTLANDS LÄN</t>
        </is>
      </c>
      <c r="E276" t="inlineStr">
        <is>
          <t>LINKÖPING</t>
        </is>
      </c>
      <c r="G276" t="n">
        <v>0.4</v>
      </c>
      <c r="H276" t="n">
        <v>0</v>
      </c>
      <c r="I276" t="n">
        <v>0</v>
      </c>
      <c r="J276" t="n">
        <v>0</v>
      </c>
      <c r="K276" t="n">
        <v>0</v>
      </c>
      <c r="L276" t="n">
        <v>0</v>
      </c>
      <c r="M276" t="n">
        <v>0</v>
      </c>
      <c r="N276" t="n">
        <v>0</v>
      </c>
      <c r="O276" t="n">
        <v>0</v>
      </c>
      <c r="P276" t="n">
        <v>0</v>
      </c>
      <c r="Q276" t="n">
        <v>0</v>
      </c>
      <c r="R276" s="2" t="inlineStr"/>
    </row>
    <row r="277" ht="15" customHeight="1">
      <c r="A277" t="inlineStr">
        <is>
          <t>A 51571-2024</t>
        </is>
      </c>
      <c r="B277" s="1" t="n">
        <v>45604</v>
      </c>
      <c r="C277" s="1" t="n">
        <v>46001</v>
      </c>
      <c r="D277" t="inlineStr">
        <is>
          <t>ÖSTERGÖTLANDS LÄN</t>
        </is>
      </c>
      <c r="E277" t="inlineStr">
        <is>
          <t>LINKÖPING</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223-2024</t>
        </is>
      </c>
      <c r="B278" s="1" t="n">
        <v>45294.72739583333</v>
      </c>
      <c r="C278" s="1" t="n">
        <v>46001</v>
      </c>
      <c r="D278" t="inlineStr">
        <is>
          <t>ÖSTERGÖTLANDS LÄN</t>
        </is>
      </c>
      <c r="E278" t="inlineStr">
        <is>
          <t>LINKÖPING</t>
        </is>
      </c>
      <c r="G278" t="n">
        <v>2.2</v>
      </c>
      <c r="H278" t="n">
        <v>0</v>
      </c>
      <c r="I278" t="n">
        <v>0</v>
      </c>
      <c r="J278" t="n">
        <v>0</v>
      </c>
      <c r="K278" t="n">
        <v>0</v>
      </c>
      <c r="L278" t="n">
        <v>0</v>
      </c>
      <c r="M278" t="n">
        <v>0</v>
      </c>
      <c r="N278" t="n">
        <v>0</v>
      </c>
      <c r="O278" t="n">
        <v>0</v>
      </c>
      <c r="P278" t="n">
        <v>0</v>
      </c>
      <c r="Q278" t="n">
        <v>0</v>
      </c>
      <c r="R278" s="2" t="inlineStr"/>
    </row>
    <row r="279" ht="15" customHeight="1">
      <c r="A279" t="inlineStr">
        <is>
          <t>A 227-2024</t>
        </is>
      </c>
      <c r="B279" s="1" t="n">
        <v>45294.73603009259</v>
      </c>
      <c r="C279" s="1" t="n">
        <v>46001</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56917-2022</t>
        </is>
      </c>
      <c r="B280" s="1" t="n">
        <v>44894</v>
      </c>
      <c r="C280" s="1" t="n">
        <v>46001</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25996-2025</t>
        </is>
      </c>
      <c r="B281" s="1" t="n">
        <v>45804.65851851852</v>
      </c>
      <c r="C281" s="1" t="n">
        <v>46001</v>
      </c>
      <c r="D281" t="inlineStr">
        <is>
          <t>ÖSTERGÖTLANDS LÄN</t>
        </is>
      </c>
      <c r="E281" t="inlineStr">
        <is>
          <t>LINKÖPING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1265-2023</t>
        </is>
      </c>
      <c r="B282" s="1" t="n">
        <v>44936</v>
      </c>
      <c r="C282" s="1" t="n">
        <v>46001</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1362-2023</t>
        </is>
      </c>
      <c r="B283" s="1" t="n">
        <v>44931</v>
      </c>
      <c r="C283" s="1" t="n">
        <v>46001</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54034-2022</t>
        </is>
      </c>
      <c r="B284" s="1" t="n">
        <v>44881</v>
      </c>
      <c r="C284" s="1" t="n">
        <v>46001</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26002-2025</t>
        </is>
      </c>
      <c r="B285" s="1" t="n">
        <v>45804.66534722222</v>
      </c>
      <c r="C285" s="1" t="n">
        <v>46001</v>
      </c>
      <c r="D285" t="inlineStr">
        <is>
          <t>ÖSTERGÖTLANDS LÄN</t>
        </is>
      </c>
      <c r="E285" t="inlineStr">
        <is>
          <t>LINKÖPING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55493-2021</t>
        </is>
      </c>
      <c r="B286" s="1" t="n">
        <v>44475.61988425926</v>
      </c>
      <c r="C286" s="1" t="n">
        <v>46001</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6054-2022</t>
        </is>
      </c>
      <c r="B287" s="1" t="n">
        <v>44599.53623842593</v>
      </c>
      <c r="C287" s="1" t="n">
        <v>46001</v>
      </c>
      <c r="D287" t="inlineStr">
        <is>
          <t>ÖSTERGÖTLANDS LÄN</t>
        </is>
      </c>
      <c r="E287" t="inlineStr">
        <is>
          <t>LINKÖPING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25119-2023</t>
        </is>
      </c>
      <c r="B288" s="1" t="n">
        <v>45086.42326388889</v>
      </c>
      <c r="C288" s="1" t="n">
        <v>46001</v>
      </c>
      <c r="D288" t="inlineStr">
        <is>
          <t>ÖSTERGÖTLANDS LÄN</t>
        </is>
      </c>
      <c r="E288" t="inlineStr">
        <is>
          <t>LINKÖPING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4456-2024</t>
        </is>
      </c>
      <c r="B289" s="1" t="n">
        <v>45327.52847222222</v>
      </c>
      <c r="C289" s="1" t="n">
        <v>46001</v>
      </c>
      <c r="D289" t="inlineStr">
        <is>
          <t>ÖSTERGÖTLANDS LÄN</t>
        </is>
      </c>
      <c r="E289" t="inlineStr">
        <is>
          <t>LINKÖPING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58114-2021</t>
        </is>
      </c>
      <c r="B290" s="1" t="n">
        <v>44487</v>
      </c>
      <c r="C290" s="1" t="n">
        <v>46001</v>
      </c>
      <c r="D290" t="inlineStr">
        <is>
          <t>ÖSTERGÖTLANDS LÄN</t>
        </is>
      </c>
      <c r="E290" t="inlineStr">
        <is>
          <t>LINKÖPING</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41706-2025</t>
        </is>
      </c>
      <c r="B291" s="1" t="n">
        <v>45902.42209490741</v>
      </c>
      <c r="C291" s="1" t="n">
        <v>46001</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52892-2024</t>
        </is>
      </c>
      <c r="B292" s="1" t="n">
        <v>45610</v>
      </c>
      <c r="C292" s="1" t="n">
        <v>46001</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41511-2025</t>
        </is>
      </c>
      <c r="B293" s="1" t="n">
        <v>45901.53839120371</v>
      </c>
      <c r="C293" s="1" t="n">
        <v>46001</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46001</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3008-2023</t>
        </is>
      </c>
      <c r="B295" s="1" t="n">
        <v>44945.79784722222</v>
      </c>
      <c r="C295" s="1" t="n">
        <v>46001</v>
      </c>
      <c r="D295" t="inlineStr">
        <is>
          <t>ÖSTERGÖTLANDS LÄN</t>
        </is>
      </c>
      <c r="E295" t="inlineStr">
        <is>
          <t>LINKÖPING</t>
        </is>
      </c>
      <c r="G295" t="n">
        <v>19.3</v>
      </c>
      <c r="H295" t="n">
        <v>0</v>
      </c>
      <c r="I295" t="n">
        <v>0</v>
      </c>
      <c r="J295" t="n">
        <v>0</v>
      </c>
      <c r="K295" t="n">
        <v>0</v>
      </c>
      <c r="L295" t="n">
        <v>0</v>
      </c>
      <c r="M295" t="n">
        <v>0</v>
      </c>
      <c r="N295" t="n">
        <v>0</v>
      </c>
      <c r="O295" t="n">
        <v>0</v>
      </c>
      <c r="P295" t="n">
        <v>0</v>
      </c>
      <c r="Q295" t="n">
        <v>0</v>
      </c>
      <c r="R295" s="2" t="inlineStr"/>
    </row>
    <row r="296" ht="15" customHeight="1">
      <c r="A296" t="inlineStr">
        <is>
          <t>A 29293-2025</t>
        </is>
      </c>
      <c r="B296" s="1" t="n">
        <v>45824</v>
      </c>
      <c r="C296" s="1" t="n">
        <v>46001</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55736-2022</t>
        </is>
      </c>
      <c r="B297" s="1" t="n">
        <v>44888</v>
      </c>
      <c r="C297" s="1" t="n">
        <v>46001</v>
      </c>
      <c r="D297" t="inlineStr">
        <is>
          <t>ÖSTERGÖTLANDS LÄN</t>
        </is>
      </c>
      <c r="E297" t="inlineStr">
        <is>
          <t>LINKÖPING</t>
        </is>
      </c>
      <c r="G297" t="n">
        <v>5.5</v>
      </c>
      <c r="H297" t="n">
        <v>0</v>
      </c>
      <c r="I297" t="n">
        <v>0</v>
      </c>
      <c r="J297" t="n">
        <v>0</v>
      </c>
      <c r="K297" t="n">
        <v>0</v>
      </c>
      <c r="L297" t="n">
        <v>0</v>
      </c>
      <c r="M297" t="n">
        <v>0</v>
      </c>
      <c r="N297" t="n">
        <v>0</v>
      </c>
      <c r="O297" t="n">
        <v>0</v>
      </c>
      <c r="P297" t="n">
        <v>0</v>
      </c>
      <c r="Q297" t="n">
        <v>0</v>
      </c>
      <c r="R297" s="2" t="inlineStr"/>
    </row>
    <row r="298" ht="15" customHeight="1">
      <c r="A298" t="inlineStr">
        <is>
          <t>A 42623-2025</t>
        </is>
      </c>
      <c r="B298" s="1" t="n">
        <v>45905</v>
      </c>
      <c r="C298" s="1" t="n">
        <v>46001</v>
      </c>
      <c r="D298" t="inlineStr">
        <is>
          <t>ÖSTERGÖTLANDS LÄN</t>
        </is>
      </c>
      <c r="E298" t="inlineStr">
        <is>
          <t>LINKÖPING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30434-2024</t>
        </is>
      </c>
      <c r="B299" s="1" t="n">
        <v>45491.69811342593</v>
      </c>
      <c r="C299" s="1" t="n">
        <v>46001</v>
      </c>
      <c r="D299" t="inlineStr">
        <is>
          <t>ÖSTERGÖTLANDS LÄN</t>
        </is>
      </c>
      <c r="E299" t="inlineStr">
        <is>
          <t>LINKÖPING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46001</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46001</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28200-2025</t>
        </is>
      </c>
      <c r="B302" s="1" t="n">
        <v>45818.4428125</v>
      </c>
      <c r="C302" s="1" t="n">
        <v>46001</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11084-2022</t>
        </is>
      </c>
      <c r="B303" s="1" t="n">
        <v>44628</v>
      </c>
      <c r="C303" s="1" t="n">
        <v>46001</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27950-2025</t>
        </is>
      </c>
      <c r="B304" s="1" t="n">
        <v>45817.52960648148</v>
      </c>
      <c r="C304" s="1" t="n">
        <v>46001</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57745-2022</t>
        </is>
      </c>
      <c r="B305" s="1" t="n">
        <v>44897.58119212963</v>
      </c>
      <c r="C305" s="1" t="n">
        <v>46001</v>
      </c>
      <c r="D305" t="inlineStr">
        <is>
          <t>ÖSTERGÖTLANDS LÄN</t>
        </is>
      </c>
      <c r="E305" t="inlineStr">
        <is>
          <t>LINKÖPING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27797-2025</t>
        </is>
      </c>
      <c r="B306" s="1" t="n">
        <v>45816.80521990741</v>
      </c>
      <c r="C306" s="1" t="n">
        <v>46001</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27798-2025</t>
        </is>
      </c>
      <c r="B307" s="1" t="n">
        <v>45816.81532407407</v>
      </c>
      <c r="C307" s="1" t="n">
        <v>46001</v>
      </c>
      <c r="D307" t="inlineStr">
        <is>
          <t>ÖSTERGÖTLANDS LÄN</t>
        </is>
      </c>
      <c r="E307" t="inlineStr">
        <is>
          <t>LINKÖPING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14520-2025</t>
        </is>
      </c>
      <c r="B308" s="1" t="n">
        <v>45741</v>
      </c>
      <c r="C308" s="1" t="n">
        <v>46001</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28209-2025</t>
        </is>
      </c>
      <c r="B309" s="1" t="n">
        <v>45818.45112268518</v>
      </c>
      <c r="C309" s="1" t="n">
        <v>46001</v>
      </c>
      <c r="D309" t="inlineStr">
        <is>
          <t>ÖSTERGÖTLANDS LÄN</t>
        </is>
      </c>
      <c r="E309" t="inlineStr">
        <is>
          <t>LINKÖPING</t>
        </is>
      </c>
      <c r="G309" t="n">
        <v>4.2</v>
      </c>
      <c r="H309" t="n">
        <v>0</v>
      </c>
      <c r="I309" t="n">
        <v>0</v>
      </c>
      <c r="J309" t="n">
        <v>0</v>
      </c>
      <c r="K309" t="n">
        <v>0</v>
      </c>
      <c r="L309" t="n">
        <v>0</v>
      </c>
      <c r="M309" t="n">
        <v>0</v>
      </c>
      <c r="N309" t="n">
        <v>0</v>
      </c>
      <c r="O309" t="n">
        <v>0</v>
      </c>
      <c r="P309" t="n">
        <v>0</v>
      </c>
      <c r="Q309" t="n">
        <v>0</v>
      </c>
      <c r="R309" s="2" t="inlineStr"/>
    </row>
    <row r="310" ht="15" customHeight="1">
      <c r="A310" t="inlineStr">
        <is>
          <t>A 28204-2025</t>
        </is>
      </c>
      <c r="B310" s="1" t="n">
        <v>45818.4477662037</v>
      </c>
      <c r="C310" s="1" t="n">
        <v>46001</v>
      </c>
      <c r="D310" t="inlineStr">
        <is>
          <t>ÖSTERGÖTLANDS LÄN</t>
        </is>
      </c>
      <c r="E310" t="inlineStr">
        <is>
          <t>LINKÖPING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28398-2025</t>
        </is>
      </c>
      <c r="B311" s="1" t="n">
        <v>45819.34208333334</v>
      </c>
      <c r="C311" s="1" t="n">
        <v>46001</v>
      </c>
      <c r="D311" t="inlineStr">
        <is>
          <t>ÖSTERGÖTLANDS LÄN</t>
        </is>
      </c>
      <c r="E311" t="inlineStr">
        <is>
          <t>LINKÖPING</t>
        </is>
      </c>
      <c r="F311" t="inlineStr">
        <is>
          <t>Sveaskog</t>
        </is>
      </c>
      <c r="G311" t="n">
        <v>7.9</v>
      </c>
      <c r="H311" t="n">
        <v>0</v>
      </c>
      <c r="I311" t="n">
        <v>0</v>
      </c>
      <c r="J311" t="n">
        <v>0</v>
      </c>
      <c r="K311" t="n">
        <v>0</v>
      </c>
      <c r="L311" t="n">
        <v>0</v>
      </c>
      <c r="M311" t="n">
        <v>0</v>
      </c>
      <c r="N311" t="n">
        <v>0</v>
      </c>
      <c r="O311" t="n">
        <v>0</v>
      </c>
      <c r="P311" t="n">
        <v>0</v>
      </c>
      <c r="Q311" t="n">
        <v>0</v>
      </c>
      <c r="R311" s="2" t="inlineStr"/>
    </row>
    <row r="312" ht="15" customHeight="1">
      <c r="A312" t="inlineStr">
        <is>
          <t>A 56064-2022</t>
        </is>
      </c>
      <c r="B312" s="1" t="n">
        <v>44889.59107638889</v>
      </c>
      <c r="C312" s="1" t="n">
        <v>46001</v>
      </c>
      <c r="D312" t="inlineStr">
        <is>
          <t>ÖSTERGÖTLANDS LÄN</t>
        </is>
      </c>
      <c r="E312" t="inlineStr">
        <is>
          <t>LINKÖPING</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40502-2024</t>
        </is>
      </c>
      <c r="B313" s="1" t="n">
        <v>45555.57263888889</v>
      </c>
      <c r="C313" s="1" t="n">
        <v>46001</v>
      </c>
      <c r="D313" t="inlineStr">
        <is>
          <t>ÖSTERGÖTLANDS LÄN</t>
        </is>
      </c>
      <c r="E313" t="inlineStr">
        <is>
          <t>LINKÖPING</t>
        </is>
      </c>
      <c r="F313" t="inlineStr">
        <is>
          <t>Allmännings- och besparingsskogar</t>
        </is>
      </c>
      <c r="G313" t="n">
        <v>17.5</v>
      </c>
      <c r="H313" t="n">
        <v>0</v>
      </c>
      <c r="I313" t="n">
        <v>0</v>
      </c>
      <c r="J313" t="n">
        <v>0</v>
      </c>
      <c r="K313" t="n">
        <v>0</v>
      </c>
      <c r="L313" t="n">
        <v>0</v>
      </c>
      <c r="M313" t="n">
        <v>0</v>
      </c>
      <c r="N313" t="n">
        <v>0</v>
      </c>
      <c r="O313" t="n">
        <v>0</v>
      </c>
      <c r="P313" t="n">
        <v>0</v>
      </c>
      <c r="Q313" t="n">
        <v>0</v>
      </c>
      <c r="R313" s="2" t="inlineStr"/>
    </row>
    <row r="314" ht="15" customHeight="1">
      <c r="A314" t="inlineStr">
        <is>
          <t>A 28416-2025</t>
        </is>
      </c>
      <c r="B314" s="1" t="n">
        <v>45819.35346064815</v>
      </c>
      <c r="C314" s="1" t="n">
        <v>46001</v>
      </c>
      <c r="D314" t="inlineStr">
        <is>
          <t>ÖSTERGÖTLANDS LÄN</t>
        </is>
      </c>
      <c r="E314" t="inlineStr">
        <is>
          <t>LINKÖPING</t>
        </is>
      </c>
      <c r="F314" t="inlineStr">
        <is>
          <t>Sveaskog</t>
        </is>
      </c>
      <c r="G314" t="n">
        <v>3.7</v>
      </c>
      <c r="H314" t="n">
        <v>0</v>
      </c>
      <c r="I314" t="n">
        <v>0</v>
      </c>
      <c r="J314" t="n">
        <v>0</v>
      </c>
      <c r="K314" t="n">
        <v>0</v>
      </c>
      <c r="L314" t="n">
        <v>0</v>
      </c>
      <c r="M314" t="n">
        <v>0</v>
      </c>
      <c r="N314" t="n">
        <v>0</v>
      </c>
      <c r="O314" t="n">
        <v>0</v>
      </c>
      <c r="P314" t="n">
        <v>0</v>
      </c>
      <c r="Q314" t="n">
        <v>0</v>
      </c>
      <c r="R314" s="2" t="inlineStr"/>
    </row>
    <row r="315" ht="15" customHeight="1">
      <c r="A315" t="inlineStr">
        <is>
          <t>A 43755-2025</t>
        </is>
      </c>
      <c r="B315" s="1" t="n">
        <v>45912.47329861111</v>
      </c>
      <c r="C315" s="1" t="n">
        <v>46001</v>
      </c>
      <c r="D315" t="inlineStr">
        <is>
          <t>ÖSTERGÖTLANDS LÄN</t>
        </is>
      </c>
      <c r="E315" t="inlineStr">
        <is>
          <t>LINKÖPING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29027-2025</t>
        </is>
      </c>
      <c r="B316" s="1" t="n">
        <v>45821.4375462963</v>
      </c>
      <c r="C316" s="1" t="n">
        <v>46001</v>
      </c>
      <c r="D316" t="inlineStr">
        <is>
          <t>ÖSTERGÖTLANDS LÄN</t>
        </is>
      </c>
      <c r="E316" t="inlineStr">
        <is>
          <t>LINKÖPING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46001</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46001</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29393-2025</t>
        </is>
      </c>
      <c r="B319" s="1" t="n">
        <v>45824.6057175926</v>
      </c>
      <c r="C319" s="1" t="n">
        <v>46001</v>
      </c>
      <c r="D319" t="inlineStr">
        <is>
          <t>ÖSTERGÖTLANDS LÄN</t>
        </is>
      </c>
      <c r="E319" t="inlineStr">
        <is>
          <t>LINKÖPING</t>
        </is>
      </c>
      <c r="F319" t="inlineStr">
        <is>
          <t>Sveaskog</t>
        </is>
      </c>
      <c r="G319" t="n">
        <v>24.6</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46001</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29411-2025</t>
        </is>
      </c>
      <c r="B321" s="1" t="n">
        <v>45824.6219212963</v>
      </c>
      <c r="C321" s="1" t="n">
        <v>46001</v>
      </c>
      <c r="D321" t="inlineStr">
        <is>
          <t>ÖSTERGÖTLANDS LÄN</t>
        </is>
      </c>
      <c r="E321" t="inlineStr">
        <is>
          <t>LINKÖPING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44155-2024</t>
        </is>
      </c>
      <c r="B322" s="1" t="n">
        <v>45572.68226851852</v>
      </c>
      <c r="C322" s="1" t="n">
        <v>46001</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29599-2025</t>
        </is>
      </c>
      <c r="B323" s="1" t="n">
        <v>45825.41101851852</v>
      </c>
      <c r="C323" s="1" t="n">
        <v>46001</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42997-2021</t>
        </is>
      </c>
      <c r="B324" s="1" t="n">
        <v>44431.45556712963</v>
      </c>
      <c r="C324" s="1" t="n">
        <v>46001</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44759-2025</t>
        </is>
      </c>
      <c r="B325" s="1" t="n">
        <v>45917.7152662037</v>
      </c>
      <c r="C325" s="1" t="n">
        <v>46001</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44764-2025</t>
        </is>
      </c>
      <c r="B326" s="1" t="n">
        <v>45917.72821759259</v>
      </c>
      <c r="C326" s="1" t="n">
        <v>46001</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30355-2025</t>
        </is>
      </c>
      <c r="B327" s="1" t="n">
        <v>45827</v>
      </c>
      <c r="C327" s="1" t="n">
        <v>46001</v>
      </c>
      <c r="D327" t="inlineStr">
        <is>
          <t>ÖSTERGÖTLANDS LÄN</t>
        </is>
      </c>
      <c r="E327" t="inlineStr">
        <is>
          <t>LINKÖPING</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30353-2025</t>
        </is>
      </c>
      <c r="B328" s="1" t="n">
        <v>45827</v>
      </c>
      <c r="C328" s="1" t="n">
        <v>46001</v>
      </c>
      <c r="D328" t="inlineStr">
        <is>
          <t>ÖSTERGÖTLANDS LÄN</t>
        </is>
      </c>
      <c r="E328" t="inlineStr">
        <is>
          <t>LINKÖPING</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14028-2024</t>
        </is>
      </c>
      <c r="B329" s="1" t="n">
        <v>45392</v>
      </c>
      <c r="C329" s="1" t="n">
        <v>46001</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31581-2025</t>
        </is>
      </c>
      <c r="B330" s="1" t="n">
        <v>45833.6840162037</v>
      </c>
      <c r="C330" s="1" t="n">
        <v>46001</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31585-2025</t>
        </is>
      </c>
      <c r="B331" s="1" t="n">
        <v>45833.68815972222</v>
      </c>
      <c r="C331" s="1" t="n">
        <v>46001</v>
      </c>
      <c r="D331" t="inlineStr">
        <is>
          <t>ÖSTERGÖTLANDS LÄN</t>
        </is>
      </c>
      <c r="E331" t="inlineStr">
        <is>
          <t>LINKÖPING</t>
        </is>
      </c>
      <c r="G331" t="n">
        <v>1.6</v>
      </c>
      <c r="H331" t="n">
        <v>0</v>
      </c>
      <c r="I331" t="n">
        <v>0</v>
      </c>
      <c r="J331" t="n">
        <v>0</v>
      </c>
      <c r="K331" t="n">
        <v>0</v>
      </c>
      <c r="L331" t="n">
        <v>0</v>
      </c>
      <c r="M331" t="n">
        <v>0</v>
      </c>
      <c r="N331" t="n">
        <v>0</v>
      </c>
      <c r="O331" t="n">
        <v>0</v>
      </c>
      <c r="P331" t="n">
        <v>0</v>
      </c>
      <c r="Q331" t="n">
        <v>0</v>
      </c>
      <c r="R331" s="2" t="inlineStr"/>
    </row>
    <row r="332" ht="15" customHeight="1">
      <c r="A332" t="inlineStr">
        <is>
          <t>A 45112-2025</t>
        </is>
      </c>
      <c r="B332" s="1" t="n">
        <v>45919</v>
      </c>
      <c r="C332" s="1" t="n">
        <v>46001</v>
      </c>
      <c r="D332" t="inlineStr">
        <is>
          <t>ÖSTERGÖTLANDS LÄN</t>
        </is>
      </c>
      <c r="E332" t="inlineStr">
        <is>
          <t>LINKÖPING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32723-2025</t>
        </is>
      </c>
      <c r="B333" s="1" t="n">
        <v>45838</v>
      </c>
      <c r="C333" s="1" t="n">
        <v>46001</v>
      </c>
      <c r="D333" t="inlineStr">
        <is>
          <t>ÖSTERGÖTLANDS LÄN</t>
        </is>
      </c>
      <c r="E333" t="inlineStr">
        <is>
          <t>LINKÖPING</t>
        </is>
      </c>
      <c r="G333" t="n">
        <v>2.1</v>
      </c>
      <c r="H333" t="n">
        <v>0</v>
      </c>
      <c r="I333" t="n">
        <v>0</v>
      </c>
      <c r="J333" t="n">
        <v>0</v>
      </c>
      <c r="K333" t="n">
        <v>0</v>
      </c>
      <c r="L333" t="n">
        <v>0</v>
      </c>
      <c r="M333" t="n">
        <v>0</v>
      </c>
      <c r="N333" t="n">
        <v>0</v>
      </c>
      <c r="O333" t="n">
        <v>0</v>
      </c>
      <c r="P333" t="n">
        <v>0</v>
      </c>
      <c r="Q333" t="n">
        <v>0</v>
      </c>
      <c r="R333" s="2" t="inlineStr"/>
    </row>
    <row r="334" ht="15" customHeight="1">
      <c r="A334" t="inlineStr">
        <is>
          <t>A 14667-2024</t>
        </is>
      </c>
      <c r="B334" s="1" t="n">
        <v>45397.42005787037</v>
      </c>
      <c r="C334" s="1" t="n">
        <v>46001</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2697-2023</t>
        </is>
      </c>
      <c r="B335" s="1" t="n">
        <v>44944</v>
      </c>
      <c r="C335" s="1" t="n">
        <v>46001</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46001</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46001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53411-2023</t>
        </is>
      </c>
      <c r="B338" s="1" t="n">
        <v>45229.81049768518</v>
      </c>
      <c r="C338" s="1" t="n">
        <v>46001</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56741-2023</t>
        </is>
      </c>
      <c r="B339" s="1" t="n">
        <v>45244</v>
      </c>
      <c r="C339" s="1" t="n">
        <v>46001</v>
      </c>
      <c r="D339" t="inlineStr">
        <is>
          <t>ÖSTERGÖTLANDS LÄN</t>
        </is>
      </c>
      <c r="E339" t="inlineStr">
        <is>
          <t>LINKÖPING</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56792-2023</t>
        </is>
      </c>
      <c r="B340" s="1" t="n">
        <v>45244</v>
      </c>
      <c r="C340" s="1" t="n">
        <v>46001</v>
      </c>
      <c r="D340" t="inlineStr">
        <is>
          <t>ÖSTERGÖTLANDS LÄN</t>
        </is>
      </c>
      <c r="E340" t="inlineStr">
        <is>
          <t>LINKÖPING</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54333-2025</t>
        </is>
      </c>
      <c r="B341" s="1" t="n">
        <v>45965.35090277778</v>
      </c>
      <c r="C341" s="1" t="n">
        <v>46001</v>
      </c>
      <c r="D341" t="inlineStr">
        <is>
          <t>ÖSTERGÖTLANDS LÄN</t>
        </is>
      </c>
      <c r="E341" t="inlineStr">
        <is>
          <t>LINKÖPING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45634-2025</t>
        </is>
      </c>
      <c r="B342" s="1" t="n">
        <v>45922.85089120371</v>
      </c>
      <c r="C342" s="1" t="n">
        <v>46001</v>
      </c>
      <c r="D342" t="inlineStr">
        <is>
          <t>ÖSTERGÖTLANDS LÄN</t>
        </is>
      </c>
      <c r="E342" t="inlineStr">
        <is>
          <t>LINKÖPING</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45792-2025</t>
        </is>
      </c>
      <c r="B343" s="1" t="n">
        <v>45923.56998842592</v>
      </c>
      <c r="C343" s="1" t="n">
        <v>46001</v>
      </c>
      <c r="D343" t="inlineStr">
        <is>
          <t>ÖSTERGÖTLANDS LÄN</t>
        </is>
      </c>
      <c r="E343" t="inlineStr">
        <is>
          <t>LINKÖPING</t>
        </is>
      </c>
      <c r="G343" t="n">
        <v>2.6</v>
      </c>
      <c r="H343" t="n">
        <v>0</v>
      </c>
      <c r="I343" t="n">
        <v>0</v>
      </c>
      <c r="J343" t="n">
        <v>0</v>
      </c>
      <c r="K343" t="n">
        <v>0</v>
      </c>
      <c r="L343" t="n">
        <v>0</v>
      </c>
      <c r="M343" t="n">
        <v>0</v>
      </c>
      <c r="N343" t="n">
        <v>0</v>
      </c>
      <c r="O343" t="n">
        <v>0</v>
      </c>
      <c r="P343" t="n">
        <v>0</v>
      </c>
      <c r="Q343" t="n">
        <v>0</v>
      </c>
      <c r="R343" s="2" t="inlineStr"/>
    </row>
    <row r="344" ht="15" customHeight="1">
      <c r="A344" t="inlineStr">
        <is>
          <t>A 3007-2023</t>
        </is>
      </c>
      <c r="B344" s="1" t="n">
        <v>44945</v>
      </c>
      <c r="C344" s="1" t="n">
        <v>46001</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40338-2024</t>
        </is>
      </c>
      <c r="B345" s="1" t="n">
        <v>45555.32940972222</v>
      </c>
      <c r="C345" s="1" t="n">
        <v>46001</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3013-2023</t>
        </is>
      </c>
      <c r="B346" s="1" t="n">
        <v>44945.8092824074</v>
      </c>
      <c r="C346" s="1" t="n">
        <v>46001</v>
      </c>
      <c r="D346" t="inlineStr">
        <is>
          <t>ÖSTERGÖTLANDS LÄN</t>
        </is>
      </c>
      <c r="E346" t="inlineStr">
        <is>
          <t>LINKÖPING</t>
        </is>
      </c>
      <c r="G346" t="n">
        <v>5.2</v>
      </c>
      <c r="H346" t="n">
        <v>0</v>
      </c>
      <c r="I346" t="n">
        <v>0</v>
      </c>
      <c r="J346" t="n">
        <v>0</v>
      </c>
      <c r="K346" t="n">
        <v>0</v>
      </c>
      <c r="L346" t="n">
        <v>0</v>
      </c>
      <c r="M346" t="n">
        <v>0</v>
      </c>
      <c r="N346" t="n">
        <v>0</v>
      </c>
      <c r="O346" t="n">
        <v>0</v>
      </c>
      <c r="P346" t="n">
        <v>0</v>
      </c>
      <c r="Q346" t="n">
        <v>0</v>
      </c>
      <c r="R346" s="2" t="inlineStr"/>
    </row>
    <row r="347" ht="15" customHeight="1">
      <c r="A347" t="inlineStr">
        <is>
          <t>A 55945-2024</t>
        </is>
      </c>
      <c r="B347" s="1" t="n">
        <v>45623.61754629629</v>
      </c>
      <c r="C347" s="1" t="n">
        <v>46001</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45804-2025</t>
        </is>
      </c>
      <c r="B348" s="1" t="n">
        <v>45923.5819675926</v>
      </c>
      <c r="C348" s="1" t="n">
        <v>46001</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1993-2023</t>
        </is>
      </c>
      <c r="B349" s="1" t="n">
        <v>44939</v>
      </c>
      <c r="C349" s="1" t="n">
        <v>46001</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2618-2023</t>
        </is>
      </c>
      <c r="B350" s="1" t="n">
        <v>44944.35847222222</v>
      </c>
      <c r="C350" s="1" t="n">
        <v>46001</v>
      </c>
      <c r="D350" t="inlineStr">
        <is>
          <t>ÖSTERGÖTLANDS LÄN</t>
        </is>
      </c>
      <c r="E350" t="inlineStr">
        <is>
          <t>LINKÖPING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10203-2023</t>
        </is>
      </c>
      <c r="B351" s="1" t="n">
        <v>44986.55711805556</v>
      </c>
      <c r="C351" s="1" t="n">
        <v>46001</v>
      </c>
      <c r="D351" t="inlineStr">
        <is>
          <t>ÖSTERGÖTLANDS LÄN</t>
        </is>
      </c>
      <c r="E351" t="inlineStr">
        <is>
          <t>LINKÖPING</t>
        </is>
      </c>
      <c r="G351" t="n">
        <v>3.3</v>
      </c>
      <c r="H351" t="n">
        <v>0</v>
      </c>
      <c r="I351" t="n">
        <v>0</v>
      </c>
      <c r="J351" t="n">
        <v>0</v>
      </c>
      <c r="K351" t="n">
        <v>0</v>
      </c>
      <c r="L351" t="n">
        <v>0</v>
      </c>
      <c r="M351" t="n">
        <v>0</v>
      </c>
      <c r="N351" t="n">
        <v>0</v>
      </c>
      <c r="O351" t="n">
        <v>0</v>
      </c>
      <c r="P351" t="n">
        <v>0</v>
      </c>
      <c r="Q351" t="n">
        <v>0</v>
      </c>
      <c r="R351" s="2" t="inlineStr"/>
    </row>
    <row r="352" ht="15" customHeight="1">
      <c r="A352" t="inlineStr">
        <is>
          <t>A 34889-2023</t>
        </is>
      </c>
      <c r="B352" s="1" t="n">
        <v>45140</v>
      </c>
      <c r="C352" s="1" t="n">
        <v>46001</v>
      </c>
      <c r="D352" t="inlineStr">
        <is>
          <t>ÖSTERGÖTLANDS LÄN</t>
        </is>
      </c>
      <c r="E352" t="inlineStr">
        <is>
          <t>LINKÖPING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34928-2023</t>
        </is>
      </c>
      <c r="B353" s="1" t="n">
        <v>45142</v>
      </c>
      <c r="C353" s="1" t="n">
        <v>46001</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55132-2025</t>
        </is>
      </c>
      <c r="B354" s="1" t="n">
        <v>45968.41912037037</v>
      </c>
      <c r="C354" s="1" t="n">
        <v>46001</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33947-2025</t>
        </is>
      </c>
      <c r="B355" s="1" t="n">
        <v>45842.65444444444</v>
      </c>
      <c r="C355" s="1" t="n">
        <v>46001</v>
      </c>
      <c r="D355" t="inlineStr">
        <is>
          <t>ÖSTERGÖTLANDS LÄN</t>
        </is>
      </c>
      <c r="E355" t="inlineStr">
        <is>
          <t>LINKÖPING</t>
        </is>
      </c>
      <c r="F355" t="inlineStr">
        <is>
          <t>Sveaskog</t>
        </is>
      </c>
      <c r="G355" t="n">
        <v>0.6</v>
      </c>
      <c r="H355" t="n">
        <v>0</v>
      </c>
      <c r="I355" t="n">
        <v>0</v>
      </c>
      <c r="J355" t="n">
        <v>0</v>
      </c>
      <c r="K355" t="n">
        <v>0</v>
      </c>
      <c r="L355" t="n">
        <v>0</v>
      </c>
      <c r="M355" t="n">
        <v>0</v>
      </c>
      <c r="N355" t="n">
        <v>0</v>
      </c>
      <c r="O355" t="n">
        <v>0</v>
      </c>
      <c r="P355" t="n">
        <v>0</v>
      </c>
      <c r="Q355" t="n">
        <v>0</v>
      </c>
      <c r="R355" s="2" t="inlineStr"/>
    </row>
    <row r="356" ht="15" customHeight="1">
      <c r="A356" t="inlineStr">
        <is>
          <t>A 1268-2023</t>
        </is>
      </c>
      <c r="B356" s="1" t="n">
        <v>44936</v>
      </c>
      <c r="C356" s="1" t="n">
        <v>46001</v>
      </c>
      <c r="D356" t="inlineStr">
        <is>
          <t>ÖSTERGÖTLANDS LÄN</t>
        </is>
      </c>
      <c r="E356" t="inlineStr">
        <is>
          <t>LINKÖPING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5314-2021</t>
        </is>
      </c>
      <c r="B357" s="1" t="n">
        <v>44229</v>
      </c>
      <c r="C357" s="1" t="n">
        <v>46001</v>
      </c>
      <c r="D357" t="inlineStr">
        <is>
          <t>ÖSTERGÖTLANDS LÄN</t>
        </is>
      </c>
      <c r="E357" t="inlineStr">
        <is>
          <t>LINKÖPING</t>
        </is>
      </c>
      <c r="G357" t="n">
        <v>6.2</v>
      </c>
      <c r="H357" t="n">
        <v>0</v>
      </c>
      <c r="I357" t="n">
        <v>0</v>
      </c>
      <c r="J357" t="n">
        <v>0</v>
      </c>
      <c r="K357" t="n">
        <v>0</v>
      </c>
      <c r="L357" t="n">
        <v>0</v>
      </c>
      <c r="M357" t="n">
        <v>0</v>
      </c>
      <c r="N357" t="n">
        <v>0</v>
      </c>
      <c r="O357" t="n">
        <v>0</v>
      </c>
      <c r="P357" t="n">
        <v>0</v>
      </c>
      <c r="Q357" t="n">
        <v>0</v>
      </c>
      <c r="R357" s="2" t="inlineStr"/>
    </row>
    <row r="358" ht="15" customHeight="1">
      <c r="A358" t="inlineStr">
        <is>
          <t>A 46428-2025</t>
        </is>
      </c>
      <c r="B358" s="1" t="n">
        <v>45925.60758101852</v>
      </c>
      <c r="C358" s="1" t="n">
        <v>46001</v>
      </c>
      <c r="D358" t="inlineStr">
        <is>
          <t>ÖSTERGÖTLANDS LÄN</t>
        </is>
      </c>
      <c r="E358" t="inlineStr">
        <is>
          <t>LINKÖPING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46426-2025</t>
        </is>
      </c>
      <c r="B359" s="1" t="n">
        <v>45925.6012962963</v>
      </c>
      <c r="C359" s="1" t="n">
        <v>46001</v>
      </c>
      <c r="D359" t="inlineStr">
        <is>
          <t>ÖSTERGÖTLANDS LÄN</t>
        </is>
      </c>
      <c r="E359" t="inlineStr">
        <is>
          <t>LINKÖPING</t>
        </is>
      </c>
      <c r="G359" t="n">
        <v>4.4</v>
      </c>
      <c r="H359" t="n">
        <v>0</v>
      </c>
      <c r="I359" t="n">
        <v>0</v>
      </c>
      <c r="J359" t="n">
        <v>0</v>
      </c>
      <c r="K359" t="n">
        <v>0</v>
      </c>
      <c r="L359" t="n">
        <v>0</v>
      </c>
      <c r="M359" t="n">
        <v>0</v>
      </c>
      <c r="N359" t="n">
        <v>0</v>
      </c>
      <c r="O359" t="n">
        <v>0</v>
      </c>
      <c r="P359" t="n">
        <v>0</v>
      </c>
      <c r="Q359" t="n">
        <v>0</v>
      </c>
      <c r="R359" s="2" t="inlineStr"/>
    </row>
    <row r="360" ht="15" customHeight="1">
      <c r="A360" t="inlineStr">
        <is>
          <t>A 62012-2024</t>
        </is>
      </c>
      <c r="B360" s="1" t="n">
        <v>45655.79679398148</v>
      </c>
      <c r="C360" s="1" t="n">
        <v>46001</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55102-2025</t>
        </is>
      </c>
      <c r="B361" s="1" t="n">
        <v>45968.35410879629</v>
      </c>
      <c r="C361" s="1" t="n">
        <v>46001</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55109-2025</t>
        </is>
      </c>
      <c r="B362" s="1" t="n">
        <v>45968.37731481482</v>
      </c>
      <c r="C362" s="1" t="n">
        <v>46001</v>
      </c>
      <c r="D362" t="inlineStr">
        <is>
          <t>ÖSTERGÖTLANDS LÄN</t>
        </is>
      </c>
      <c r="E362" t="inlineStr">
        <is>
          <t>LINKÖPING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46377-2025</t>
        </is>
      </c>
      <c r="B363" s="1" t="n">
        <v>45925.51773148148</v>
      </c>
      <c r="C363" s="1" t="n">
        <v>46001</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49747-2024</t>
        </is>
      </c>
      <c r="B364" s="1" t="n">
        <v>45596</v>
      </c>
      <c r="C364" s="1" t="n">
        <v>46001</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55165-2025</t>
        </is>
      </c>
      <c r="B365" s="1" t="n">
        <v>45968.48194444444</v>
      </c>
      <c r="C365" s="1" t="n">
        <v>46001</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53529-2024</t>
        </is>
      </c>
      <c r="B366" s="1" t="n">
        <v>45614</v>
      </c>
      <c r="C366" s="1" t="n">
        <v>46001</v>
      </c>
      <c r="D366" t="inlineStr">
        <is>
          <t>ÖSTERGÖTLANDS LÄN</t>
        </is>
      </c>
      <c r="E366" t="inlineStr">
        <is>
          <t>LINKÖPING</t>
        </is>
      </c>
      <c r="G366" t="n">
        <v>6.7</v>
      </c>
      <c r="H366" t="n">
        <v>0</v>
      </c>
      <c r="I366" t="n">
        <v>0</v>
      </c>
      <c r="J366" t="n">
        <v>0</v>
      </c>
      <c r="K366" t="n">
        <v>0</v>
      </c>
      <c r="L366" t="n">
        <v>0</v>
      </c>
      <c r="M366" t="n">
        <v>0</v>
      </c>
      <c r="N366" t="n">
        <v>0</v>
      </c>
      <c r="O366" t="n">
        <v>0</v>
      </c>
      <c r="P366" t="n">
        <v>0</v>
      </c>
      <c r="Q366" t="n">
        <v>0</v>
      </c>
      <c r="R366" s="2" t="inlineStr"/>
    </row>
    <row r="367" ht="15" customHeight="1">
      <c r="A367" t="inlineStr">
        <is>
          <t>A 31725-2022</t>
        </is>
      </c>
      <c r="B367" s="1" t="n">
        <v>44776.48541666667</v>
      </c>
      <c r="C367" s="1" t="n">
        <v>46001</v>
      </c>
      <c r="D367" t="inlineStr">
        <is>
          <t>ÖSTERGÖTLANDS LÄN</t>
        </is>
      </c>
      <c r="E367" t="inlineStr">
        <is>
          <t>LINKÖPING</t>
        </is>
      </c>
      <c r="G367" t="n">
        <v>2.6</v>
      </c>
      <c r="H367" t="n">
        <v>0</v>
      </c>
      <c r="I367" t="n">
        <v>0</v>
      </c>
      <c r="J367" t="n">
        <v>0</v>
      </c>
      <c r="K367" t="n">
        <v>0</v>
      </c>
      <c r="L367" t="n">
        <v>0</v>
      </c>
      <c r="M367" t="n">
        <v>0</v>
      </c>
      <c r="N367" t="n">
        <v>0</v>
      </c>
      <c r="O367" t="n">
        <v>0</v>
      </c>
      <c r="P367" t="n">
        <v>0</v>
      </c>
      <c r="Q367" t="n">
        <v>0</v>
      </c>
      <c r="R367" s="2" t="inlineStr"/>
    </row>
    <row r="368" ht="15" customHeight="1">
      <c r="A368" t="inlineStr">
        <is>
          <t>A 20469-2025</t>
        </is>
      </c>
      <c r="B368" s="1" t="n">
        <v>45775</v>
      </c>
      <c r="C368" s="1" t="n">
        <v>46001</v>
      </c>
      <c r="D368" t="inlineStr">
        <is>
          <t>ÖSTERGÖTLANDS LÄN</t>
        </is>
      </c>
      <c r="E368" t="inlineStr">
        <is>
          <t>LINKÖPING</t>
        </is>
      </c>
      <c r="F368" t="inlineStr">
        <is>
          <t>Kyrkan</t>
        </is>
      </c>
      <c r="G368" t="n">
        <v>6.1</v>
      </c>
      <c r="H368" t="n">
        <v>0</v>
      </c>
      <c r="I368" t="n">
        <v>0</v>
      </c>
      <c r="J368" t="n">
        <v>0</v>
      </c>
      <c r="K368" t="n">
        <v>0</v>
      </c>
      <c r="L368" t="n">
        <v>0</v>
      </c>
      <c r="M368" t="n">
        <v>0</v>
      </c>
      <c r="N368" t="n">
        <v>0</v>
      </c>
      <c r="O368" t="n">
        <v>0</v>
      </c>
      <c r="P368" t="n">
        <v>0</v>
      </c>
      <c r="Q368" t="n">
        <v>0</v>
      </c>
      <c r="R368" s="2" t="inlineStr"/>
    </row>
    <row r="369" ht="15" customHeight="1">
      <c r="A369" t="inlineStr">
        <is>
          <t>A 47304-2025</t>
        </is>
      </c>
      <c r="B369" s="1" t="n">
        <v>45930.52037037037</v>
      </c>
      <c r="C369" s="1" t="n">
        <v>46001</v>
      </c>
      <c r="D369" t="inlineStr">
        <is>
          <t>ÖSTERGÖTLANDS LÄN</t>
        </is>
      </c>
      <c r="E369" t="inlineStr">
        <is>
          <t>LINKÖPING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47233-2025</t>
        </is>
      </c>
      <c r="B370" s="1" t="n">
        <v>45930.40612268518</v>
      </c>
      <c r="C370" s="1" t="n">
        <v>46001</v>
      </c>
      <c r="D370" t="inlineStr">
        <is>
          <t>ÖSTERGÖTLANDS LÄN</t>
        </is>
      </c>
      <c r="E370" t="inlineStr">
        <is>
          <t>LINKÖPING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2389-2023</t>
        </is>
      </c>
      <c r="B371" s="1" t="n">
        <v>44942</v>
      </c>
      <c r="C371" s="1" t="n">
        <v>46001</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55683-2025</t>
        </is>
      </c>
      <c r="B372" s="1" t="n">
        <v>45972.4255324074</v>
      </c>
      <c r="C372" s="1" t="n">
        <v>46001</v>
      </c>
      <c r="D372" t="inlineStr">
        <is>
          <t>ÖSTERGÖTLANDS LÄN</t>
        </is>
      </c>
      <c r="E372" t="inlineStr">
        <is>
          <t>LINKÖPING</t>
        </is>
      </c>
      <c r="G372" t="n">
        <v>3.3</v>
      </c>
      <c r="H372" t="n">
        <v>0</v>
      </c>
      <c r="I372" t="n">
        <v>0</v>
      </c>
      <c r="J372" t="n">
        <v>0</v>
      </c>
      <c r="K372" t="n">
        <v>0</v>
      </c>
      <c r="L372" t="n">
        <v>0</v>
      </c>
      <c r="M372" t="n">
        <v>0</v>
      </c>
      <c r="N372" t="n">
        <v>0</v>
      </c>
      <c r="O372" t="n">
        <v>0</v>
      </c>
      <c r="P372" t="n">
        <v>0</v>
      </c>
      <c r="Q372" t="n">
        <v>0</v>
      </c>
      <c r="R372" s="2" t="inlineStr"/>
    </row>
    <row r="373" ht="15" customHeight="1">
      <c r="A373" t="inlineStr">
        <is>
          <t>A 33800-2023</t>
        </is>
      </c>
      <c r="B373" s="1" t="n">
        <v>45121</v>
      </c>
      <c r="C373" s="1" t="n">
        <v>46001</v>
      </c>
      <c r="D373" t="inlineStr">
        <is>
          <t>ÖSTERGÖTLANDS LÄN</t>
        </is>
      </c>
      <c r="E373" t="inlineStr">
        <is>
          <t>LINKÖPING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47991-2023</t>
        </is>
      </c>
      <c r="B374" s="1" t="n">
        <v>45204.62655092592</v>
      </c>
      <c r="C374" s="1" t="n">
        <v>46001</v>
      </c>
      <c r="D374" t="inlineStr">
        <is>
          <t>ÖSTERGÖTLANDS LÄN</t>
        </is>
      </c>
      <c r="E374" t="inlineStr">
        <is>
          <t>LINKÖPING</t>
        </is>
      </c>
      <c r="F374" t="inlineStr">
        <is>
          <t>Allmännings- och besparingsskogar</t>
        </is>
      </c>
      <c r="G374" t="n">
        <v>7.3</v>
      </c>
      <c r="H374" t="n">
        <v>0</v>
      </c>
      <c r="I374" t="n">
        <v>0</v>
      </c>
      <c r="J374" t="n">
        <v>0</v>
      </c>
      <c r="K374" t="n">
        <v>0</v>
      </c>
      <c r="L374" t="n">
        <v>0</v>
      </c>
      <c r="M374" t="n">
        <v>0</v>
      </c>
      <c r="N374" t="n">
        <v>0</v>
      </c>
      <c r="O374" t="n">
        <v>0</v>
      </c>
      <c r="P374" t="n">
        <v>0</v>
      </c>
      <c r="Q374" t="n">
        <v>0</v>
      </c>
      <c r="R374" s="2" t="inlineStr"/>
    </row>
    <row r="375" ht="15" customHeight="1">
      <c r="A375" t="inlineStr">
        <is>
          <t>A 3627-2023</t>
        </is>
      </c>
      <c r="B375" s="1" t="n">
        <v>44950.64782407408</v>
      </c>
      <c r="C375" s="1" t="n">
        <v>46001</v>
      </c>
      <c r="D375" t="inlineStr">
        <is>
          <t>ÖSTERGÖTLANDS LÄN</t>
        </is>
      </c>
      <c r="E375" t="inlineStr">
        <is>
          <t>LINKÖPING</t>
        </is>
      </c>
      <c r="G375" t="n">
        <v>3.1</v>
      </c>
      <c r="H375" t="n">
        <v>0</v>
      </c>
      <c r="I375" t="n">
        <v>0</v>
      </c>
      <c r="J375" t="n">
        <v>0</v>
      </c>
      <c r="K375" t="n">
        <v>0</v>
      </c>
      <c r="L375" t="n">
        <v>0</v>
      </c>
      <c r="M375" t="n">
        <v>0</v>
      </c>
      <c r="N375" t="n">
        <v>0</v>
      </c>
      <c r="O375" t="n">
        <v>0</v>
      </c>
      <c r="P375" t="n">
        <v>0</v>
      </c>
      <c r="Q375" t="n">
        <v>0</v>
      </c>
      <c r="R375" s="2" t="inlineStr"/>
    </row>
    <row r="376" ht="15" customHeight="1">
      <c r="A376" t="inlineStr">
        <is>
          <t>A 62687-2023</t>
        </is>
      </c>
      <c r="B376" s="1" t="n">
        <v>45271</v>
      </c>
      <c r="C376" s="1" t="n">
        <v>46001</v>
      </c>
      <c r="D376" t="inlineStr">
        <is>
          <t>ÖSTERGÖTLANDS LÄN</t>
        </is>
      </c>
      <c r="E376" t="inlineStr">
        <is>
          <t>LINKÖPING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46847-2025</t>
        </is>
      </c>
      <c r="B377" s="1" t="n">
        <v>45928.69971064815</v>
      </c>
      <c r="C377" s="1" t="n">
        <v>46001</v>
      </c>
      <c r="D377" t="inlineStr">
        <is>
          <t>ÖSTERGÖTLANDS LÄN</t>
        </is>
      </c>
      <c r="E377" t="inlineStr">
        <is>
          <t>LINKÖPING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35178-2025</t>
        </is>
      </c>
      <c r="B378" s="1" t="n">
        <v>45852.91939814815</v>
      </c>
      <c r="C378" s="1" t="n">
        <v>46001</v>
      </c>
      <c r="D378" t="inlineStr">
        <is>
          <t>ÖSTERGÖTLANDS LÄN</t>
        </is>
      </c>
      <c r="E378" t="inlineStr">
        <is>
          <t>LINKÖPING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35174-2025</t>
        </is>
      </c>
      <c r="B379" s="1" t="n">
        <v>45852.90648148148</v>
      </c>
      <c r="C379" s="1" t="n">
        <v>46001</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18891-2022</t>
        </is>
      </c>
      <c r="B380" s="1" t="n">
        <v>44690</v>
      </c>
      <c r="C380" s="1" t="n">
        <v>46001</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26007-2025</t>
        </is>
      </c>
      <c r="B381" s="1" t="n">
        <v>45804.67081018518</v>
      </c>
      <c r="C381" s="1" t="n">
        <v>46001</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56113-2025</t>
        </is>
      </c>
      <c r="B382" s="1" t="n">
        <v>45973.73924768518</v>
      </c>
      <c r="C382" s="1" t="n">
        <v>46001</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35179-2025</t>
        </is>
      </c>
      <c r="B383" s="1" t="n">
        <v>45852.93737268518</v>
      </c>
      <c r="C383" s="1" t="n">
        <v>46001</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35180-2025</t>
        </is>
      </c>
      <c r="B384" s="1" t="n">
        <v>45852.9413425926</v>
      </c>
      <c r="C384" s="1" t="n">
        <v>46001</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48343-2025</t>
        </is>
      </c>
      <c r="B385" s="1" t="n">
        <v>45932</v>
      </c>
      <c r="C385" s="1" t="n">
        <v>46001</v>
      </c>
      <c r="D385" t="inlineStr">
        <is>
          <t>ÖSTERGÖTLANDS LÄN</t>
        </is>
      </c>
      <c r="E385" t="inlineStr">
        <is>
          <t>LINKÖPING</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26620-2023</t>
        </is>
      </c>
      <c r="B386" s="1" t="n">
        <v>45092.70390046296</v>
      </c>
      <c r="C386" s="1" t="n">
        <v>46001</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47606-2025</t>
        </is>
      </c>
      <c r="B387" s="1" t="n">
        <v>45931.46402777778</v>
      </c>
      <c r="C387" s="1" t="n">
        <v>46001</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35747-2025</t>
        </is>
      </c>
      <c r="B388" s="1" t="n">
        <v>45860.56385416666</v>
      </c>
      <c r="C388" s="1" t="n">
        <v>46001</v>
      </c>
      <c r="D388" t="inlineStr">
        <is>
          <t>ÖSTERGÖTLANDS LÄN</t>
        </is>
      </c>
      <c r="E388" t="inlineStr">
        <is>
          <t>LINKÖPING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56180-2024</t>
        </is>
      </c>
      <c r="B389" s="1" t="n">
        <v>45624.56611111111</v>
      </c>
      <c r="C389" s="1" t="n">
        <v>46001</v>
      </c>
      <c r="D389" t="inlineStr">
        <is>
          <t>ÖSTERGÖTLANDS LÄN</t>
        </is>
      </c>
      <c r="E389" t="inlineStr">
        <is>
          <t>LINKÖPING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35745-2025</t>
        </is>
      </c>
      <c r="B390" s="1" t="n">
        <v>45860.54739583333</v>
      </c>
      <c r="C390" s="1" t="n">
        <v>46001</v>
      </c>
      <c r="D390" t="inlineStr">
        <is>
          <t>ÖSTERGÖTLANDS LÄN</t>
        </is>
      </c>
      <c r="E390" t="inlineStr">
        <is>
          <t>LINKÖPING</t>
        </is>
      </c>
      <c r="G390" t="n">
        <v>4.4</v>
      </c>
      <c r="H390" t="n">
        <v>0</v>
      </c>
      <c r="I390" t="n">
        <v>0</v>
      </c>
      <c r="J390" t="n">
        <v>0</v>
      </c>
      <c r="K390" t="n">
        <v>0</v>
      </c>
      <c r="L390" t="n">
        <v>0</v>
      </c>
      <c r="M390" t="n">
        <v>0</v>
      </c>
      <c r="N390" t="n">
        <v>0</v>
      </c>
      <c r="O390" t="n">
        <v>0</v>
      </c>
      <c r="P390" t="n">
        <v>0</v>
      </c>
      <c r="Q390" t="n">
        <v>0</v>
      </c>
      <c r="R390" s="2" t="inlineStr"/>
    </row>
    <row r="391" ht="15" customHeight="1">
      <c r="A391" t="inlineStr">
        <is>
          <t>A 48254-2025</t>
        </is>
      </c>
      <c r="B391" s="1" t="n">
        <v>45932</v>
      </c>
      <c r="C391" s="1" t="n">
        <v>46001</v>
      </c>
      <c r="D391" t="inlineStr">
        <is>
          <t>ÖSTERGÖTLANDS LÄN</t>
        </is>
      </c>
      <c r="E391" t="inlineStr">
        <is>
          <t>LINKÖPING</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48266-2025</t>
        </is>
      </c>
      <c r="B392" s="1" t="n">
        <v>45932</v>
      </c>
      <c r="C392" s="1" t="n">
        <v>46001</v>
      </c>
      <c r="D392" t="inlineStr">
        <is>
          <t>ÖSTERGÖTLANDS LÄN</t>
        </is>
      </c>
      <c r="E392" t="inlineStr">
        <is>
          <t>LINKÖPING</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35757-2025</t>
        </is>
      </c>
      <c r="B393" s="1" t="n">
        <v>45860.59876157407</v>
      </c>
      <c r="C393" s="1" t="n">
        <v>46001</v>
      </c>
      <c r="D393" t="inlineStr">
        <is>
          <t>ÖSTERGÖTLANDS LÄN</t>
        </is>
      </c>
      <c r="E393" t="inlineStr">
        <is>
          <t>LINKÖPING</t>
        </is>
      </c>
      <c r="G393" t="n">
        <v>5.7</v>
      </c>
      <c r="H393" t="n">
        <v>0</v>
      </c>
      <c r="I393" t="n">
        <v>0</v>
      </c>
      <c r="J393" t="n">
        <v>0</v>
      </c>
      <c r="K393" t="n">
        <v>0</v>
      </c>
      <c r="L393" t="n">
        <v>0</v>
      </c>
      <c r="M393" t="n">
        <v>0</v>
      </c>
      <c r="N393" t="n">
        <v>0</v>
      </c>
      <c r="O393" t="n">
        <v>0</v>
      </c>
      <c r="P393" t="n">
        <v>0</v>
      </c>
      <c r="Q393" t="n">
        <v>0</v>
      </c>
      <c r="R393" s="2" t="inlineStr"/>
    </row>
    <row r="394" ht="15" customHeight="1">
      <c r="A394" t="inlineStr">
        <is>
          <t>A 938-2023</t>
        </is>
      </c>
      <c r="B394" s="1" t="n">
        <v>44933</v>
      </c>
      <c r="C394" s="1" t="n">
        <v>46001</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35759-2025</t>
        </is>
      </c>
      <c r="B395" s="1" t="n">
        <v>45860</v>
      </c>
      <c r="C395" s="1" t="n">
        <v>46001</v>
      </c>
      <c r="D395" t="inlineStr">
        <is>
          <t>ÖSTERGÖTLANDS LÄN</t>
        </is>
      </c>
      <c r="E395" t="inlineStr">
        <is>
          <t>LINKÖPING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25418-2023</t>
        </is>
      </c>
      <c r="B396" s="1" t="n">
        <v>45089</v>
      </c>
      <c r="C396" s="1" t="n">
        <v>46001</v>
      </c>
      <c r="D396" t="inlineStr">
        <is>
          <t>ÖSTERGÖTLANDS LÄN</t>
        </is>
      </c>
      <c r="E396" t="inlineStr">
        <is>
          <t>LINKÖPING</t>
        </is>
      </c>
      <c r="F396" t="inlineStr">
        <is>
          <t>Övriga Aktiebolag</t>
        </is>
      </c>
      <c r="G396" t="n">
        <v>2.4</v>
      </c>
      <c r="H396" t="n">
        <v>0</v>
      </c>
      <c r="I396" t="n">
        <v>0</v>
      </c>
      <c r="J396" t="n">
        <v>0</v>
      </c>
      <c r="K396" t="n">
        <v>0</v>
      </c>
      <c r="L396" t="n">
        <v>0</v>
      </c>
      <c r="M396" t="n">
        <v>0</v>
      </c>
      <c r="N396" t="n">
        <v>0</v>
      </c>
      <c r="O396" t="n">
        <v>0</v>
      </c>
      <c r="P396" t="n">
        <v>0</v>
      </c>
      <c r="Q396" t="n">
        <v>0</v>
      </c>
      <c r="R396" s="2" t="inlineStr"/>
    </row>
    <row r="397" ht="15" customHeight="1">
      <c r="A397" t="inlineStr">
        <is>
          <t>A 60007-2022</t>
        </is>
      </c>
      <c r="B397" s="1" t="n">
        <v>44909.47282407407</v>
      </c>
      <c r="C397" s="1" t="n">
        <v>46001</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56105-2025</t>
        </is>
      </c>
      <c r="B398" s="1" t="n">
        <v>45973.72855324074</v>
      </c>
      <c r="C398" s="1" t="n">
        <v>46001</v>
      </c>
      <c r="D398" t="inlineStr">
        <is>
          <t>ÖSTERGÖTLANDS LÄN</t>
        </is>
      </c>
      <c r="E398" t="inlineStr">
        <is>
          <t>LINKÖPING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11601-2023</t>
        </is>
      </c>
      <c r="B399" s="1" t="n">
        <v>44994</v>
      </c>
      <c r="C399" s="1" t="n">
        <v>46001</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54329-2025</t>
        </is>
      </c>
      <c r="B400" s="1" t="n">
        <v>45965.34706018519</v>
      </c>
      <c r="C400" s="1" t="n">
        <v>46001</v>
      </c>
      <c r="D400" t="inlineStr">
        <is>
          <t>ÖSTERGÖTLANDS LÄN</t>
        </is>
      </c>
      <c r="E400" t="inlineStr">
        <is>
          <t>LINKÖPING</t>
        </is>
      </c>
      <c r="F400" t="inlineStr">
        <is>
          <t>Sveaskog</t>
        </is>
      </c>
      <c r="G400" t="n">
        <v>5.1</v>
      </c>
      <c r="H400" t="n">
        <v>0</v>
      </c>
      <c r="I400" t="n">
        <v>0</v>
      </c>
      <c r="J400" t="n">
        <v>0</v>
      </c>
      <c r="K400" t="n">
        <v>0</v>
      </c>
      <c r="L400" t="n">
        <v>0</v>
      </c>
      <c r="M400" t="n">
        <v>0</v>
      </c>
      <c r="N400" t="n">
        <v>0</v>
      </c>
      <c r="O400" t="n">
        <v>0</v>
      </c>
      <c r="P400" t="n">
        <v>0</v>
      </c>
      <c r="Q400" t="n">
        <v>0</v>
      </c>
      <c r="R400" s="2" t="inlineStr"/>
    </row>
    <row r="401" ht="15" customHeight="1">
      <c r="A401" t="inlineStr">
        <is>
          <t>A 56704-2025</t>
        </is>
      </c>
      <c r="B401" s="1" t="n">
        <v>45977.50608796296</v>
      </c>
      <c r="C401" s="1" t="n">
        <v>46001</v>
      </c>
      <c r="D401" t="inlineStr">
        <is>
          <t>ÖSTERGÖTLANDS LÄN</t>
        </is>
      </c>
      <c r="E401" t="inlineStr">
        <is>
          <t>LINKÖPING</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1260-2023</t>
        </is>
      </c>
      <c r="B402" s="1" t="n">
        <v>44936</v>
      </c>
      <c r="C402" s="1" t="n">
        <v>46001</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7702-2023</t>
        </is>
      </c>
      <c r="B403" s="1" t="n">
        <v>44967</v>
      </c>
      <c r="C403" s="1" t="n">
        <v>46001</v>
      </c>
      <c r="D403" t="inlineStr">
        <is>
          <t>ÖSTERGÖTLANDS LÄN</t>
        </is>
      </c>
      <c r="E403" t="inlineStr">
        <is>
          <t>LINKÖPING</t>
        </is>
      </c>
      <c r="F403" t="inlineStr">
        <is>
          <t>Övriga statliga verk och myndigheter</t>
        </is>
      </c>
      <c r="G403" t="n">
        <v>8</v>
      </c>
      <c r="H403" t="n">
        <v>0</v>
      </c>
      <c r="I403" t="n">
        <v>0</v>
      </c>
      <c r="J403" t="n">
        <v>0</v>
      </c>
      <c r="K403" t="n">
        <v>0</v>
      </c>
      <c r="L403" t="n">
        <v>0</v>
      </c>
      <c r="M403" t="n">
        <v>0</v>
      </c>
      <c r="N403" t="n">
        <v>0</v>
      </c>
      <c r="O403" t="n">
        <v>0</v>
      </c>
      <c r="P403" t="n">
        <v>0</v>
      </c>
      <c r="Q403" t="n">
        <v>0</v>
      </c>
      <c r="R403" s="2" t="inlineStr"/>
    </row>
    <row r="404" ht="15" customHeight="1">
      <c r="A404" t="inlineStr">
        <is>
          <t>A 54332-2025</t>
        </is>
      </c>
      <c r="B404" s="1" t="n">
        <v>45965.34915509259</v>
      </c>
      <c r="C404" s="1" t="n">
        <v>46001</v>
      </c>
      <c r="D404" t="inlineStr">
        <is>
          <t>ÖSTERGÖTLANDS LÄN</t>
        </is>
      </c>
      <c r="E404" t="inlineStr">
        <is>
          <t>LINKÖPING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674-2024</t>
        </is>
      </c>
      <c r="B405" s="1" t="n">
        <v>45300.34408564815</v>
      </c>
      <c r="C405" s="1" t="n">
        <v>46001</v>
      </c>
      <c r="D405" t="inlineStr">
        <is>
          <t>ÖSTERGÖTLANDS LÄN</t>
        </is>
      </c>
      <c r="E405" t="inlineStr">
        <is>
          <t>LINKÖPING</t>
        </is>
      </c>
      <c r="F405" t="inlineStr">
        <is>
          <t>Sveaskog</t>
        </is>
      </c>
      <c r="G405" t="n">
        <v>2.9</v>
      </c>
      <c r="H405" t="n">
        <v>0</v>
      </c>
      <c r="I405" t="n">
        <v>0</v>
      </c>
      <c r="J405" t="n">
        <v>0</v>
      </c>
      <c r="K405" t="n">
        <v>0</v>
      </c>
      <c r="L405" t="n">
        <v>0</v>
      </c>
      <c r="M405" t="n">
        <v>0</v>
      </c>
      <c r="N405" t="n">
        <v>0</v>
      </c>
      <c r="O405" t="n">
        <v>0</v>
      </c>
      <c r="P405" t="n">
        <v>0</v>
      </c>
      <c r="Q405" t="n">
        <v>0</v>
      </c>
      <c r="R405" s="2" t="inlineStr"/>
    </row>
    <row r="406" ht="15" customHeight="1">
      <c r="A406" t="inlineStr">
        <is>
          <t>A 63684-2023</t>
        </is>
      </c>
      <c r="B406" s="1" t="n">
        <v>45275</v>
      </c>
      <c r="C406" s="1" t="n">
        <v>46001</v>
      </c>
      <c r="D406" t="inlineStr">
        <is>
          <t>ÖSTERGÖTLANDS LÄN</t>
        </is>
      </c>
      <c r="E406" t="inlineStr">
        <is>
          <t>LINKÖPING</t>
        </is>
      </c>
      <c r="G406" t="n">
        <v>0.4</v>
      </c>
      <c r="H406" t="n">
        <v>0</v>
      </c>
      <c r="I406" t="n">
        <v>0</v>
      </c>
      <c r="J406" t="n">
        <v>0</v>
      </c>
      <c r="K406" t="n">
        <v>0</v>
      </c>
      <c r="L406" t="n">
        <v>0</v>
      </c>
      <c r="M406" t="n">
        <v>0</v>
      </c>
      <c r="N406" t="n">
        <v>0</v>
      </c>
      <c r="O406" t="n">
        <v>0</v>
      </c>
      <c r="P406" t="n">
        <v>0</v>
      </c>
      <c r="Q406" t="n">
        <v>0</v>
      </c>
      <c r="R406" s="2" t="inlineStr"/>
    </row>
    <row r="407" ht="15" customHeight="1">
      <c r="A407" t="inlineStr">
        <is>
          <t>A 167-2024</t>
        </is>
      </c>
      <c r="B407" s="1" t="n">
        <v>45294</v>
      </c>
      <c r="C407" s="1" t="n">
        <v>46001</v>
      </c>
      <c r="D407" t="inlineStr">
        <is>
          <t>ÖSTERGÖTLANDS LÄN</t>
        </is>
      </c>
      <c r="E407" t="inlineStr">
        <is>
          <t>LINKÖPING</t>
        </is>
      </c>
      <c r="F407" t="inlineStr">
        <is>
          <t>Allmännings- och besparingsskogar</t>
        </is>
      </c>
      <c r="G407" t="n">
        <v>11.6</v>
      </c>
      <c r="H407" t="n">
        <v>0</v>
      </c>
      <c r="I407" t="n">
        <v>0</v>
      </c>
      <c r="J407" t="n">
        <v>0</v>
      </c>
      <c r="K407" t="n">
        <v>0</v>
      </c>
      <c r="L407" t="n">
        <v>0</v>
      </c>
      <c r="M407" t="n">
        <v>0</v>
      </c>
      <c r="N407" t="n">
        <v>0</v>
      </c>
      <c r="O407" t="n">
        <v>0</v>
      </c>
      <c r="P407" t="n">
        <v>0</v>
      </c>
      <c r="Q407" t="n">
        <v>0</v>
      </c>
      <c r="R407" s="2" t="inlineStr"/>
    </row>
    <row r="408" ht="15" customHeight="1">
      <c r="A408" t="inlineStr">
        <is>
          <t>A 36725-2023</t>
        </is>
      </c>
      <c r="B408" s="1" t="n">
        <v>45153.68471064815</v>
      </c>
      <c r="C408" s="1" t="n">
        <v>46001</v>
      </c>
      <c r="D408" t="inlineStr">
        <is>
          <t>ÖSTERGÖTLANDS LÄN</t>
        </is>
      </c>
      <c r="E408" t="inlineStr">
        <is>
          <t>LINKÖPING</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27343-2023</t>
        </is>
      </c>
      <c r="B409" s="1" t="n">
        <v>45096</v>
      </c>
      <c r="C409" s="1" t="n">
        <v>46001</v>
      </c>
      <c r="D409" t="inlineStr">
        <is>
          <t>ÖSTERGÖTLANDS LÄN</t>
        </is>
      </c>
      <c r="E409" t="inlineStr">
        <is>
          <t>LINKÖPING</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56403-2025</t>
        </is>
      </c>
      <c r="B410" s="1" t="n">
        <v>45974</v>
      </c>
      <c r="C410" s="1" t="n">
        <v>46001</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49605-2025</t>
        </is>
      </c>
      <c r="B411" s="1" t="n">
        <v>45938</v>
      </c>
      <c r="C411" s="1" t="n">
        <v>46001</v>
      </c>
      <c r="D411" t="inlineStr">
        <is>
          <t>ÖSTERGÖTLANDS LÄN</t>
        </is>
      </c>
      <c r="E411" t="inlineStr">
        <is>
          <t>LINKÖPING</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22774-2024</t>
        </is>
      </c>
      <c r="B412" s="1" t="n">
        <v>45448.46924768519</v>
      </c>
      <c r="C412" s="1" t="n">
        <v>46001</v>
      </c>
      <c r="D412" t="inlineStr">
        <is>
          <t>ÖSTERGÖTLANDS LÄN</t>
        </is>
      </c>
      <c r="E412" t="inlineStr">
        <is>
          <t>LINKÖPING</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22778-2024</t>
        </is>
      </c>
      <c r="B413" s="1" t="n">
        <v>45448.47233796296</v>
      </c>
      <c r="C413" s="1" t="n">
        <v>46001</v>
      </c>
      <c r="D413" t="inlineStr">
        <is>
          <t>ÖSTERGÖTLANDS LÄN</t>
        </is>
      </c>
      <c r="E413" t="inlineStr">
        <is>
          <t>LINKÖPING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49647-2025</t>
        </is>
      </c>
      <c r="B414" s="1" t="n">
        <v>45938</v>
      </c>
      <c r="C414" s="1" t="n">
        <v>46001</v>
      </c>
      <c r="D414" t="inlineStr">
        <is>
          <t>ÖSTERGÖTLANDS LÄN</t>
        </is>
      </c>
      <c r="E414" t="inlineStr">
        <is>
          <t>LINKÖPING</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34864-2023</t>
        </is>
      </c>
      <c r="B415" s="1" t="n">
        <v>45141</v>
      </c>
      <c r="C415" s="1" t="n">
        <v>46001</v>
      </c>
      <c r="D415" t="inlineStr">
        <is>
          <t>ÖSTERGÖTLANDS LÄN</t>
        </is>
      </c>
      <c r="E415" t="inlineStr">
        <is>
          <t>LINKÖPING</t>
        </is>
      </c>
      <c r="G415" t="n">
        <v>3.3</v>
      </c>
      <c r="H415" t="n">
        <v>0</v>
      </c>
      <c r="I415" t="n">
        <v>0</v>
      </c>
      <c r="J415" t="n">
        <v>0</v>
      </c>
      <c r="K415" t="n">
        <v>0</v>
      </c>
      <c r="L415" t="n">
        <v>0</v>
      </c>
      <c r="M415" t="n">
        <v>0</v>
      </c>
      <c r="N415" t="n">
        <v>0</v>
      </c>
      <c r="O415" t="n">
        <v>0</v>
      </c>
      <c r="P415" t="n">
        <v>0</v>
      </c>
      <c r="Q415" t="n">
        <v>0</v>
      </c>
      <c r="R415" s="2" t="inlineStr"/>
    </row>
    <row r="416" ht="15" customHeight="1">
      <c r="A416" t="inlineStr">
        <is>
          <t>A 37057-2025</t>
        </is>
      </c>
      <c r="B416" s="1" t="n">
        <v>45875.37489583333</v>
      </c>
      <c r="C416" s="1" t="n">
        <v>46001</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52531-2023</t>
        </is>
      </c>
      <c r="B417" s="1" t="n">
        <v>45225</v>
      </c>
      <c r="C417" s="1" t="n">
        <v>46001</v>
      </c>
      <c r="D417" t="inlineStr">
        <is>
          <t>ÖSTERGÖTLANDS LÄN</t>
        </is>
      </c>
      <c r="E417" t="inlineStr">
        <is>
          <t>LINKÖPING</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34930-2023</t>
        </is>
      </c>
      <c r="B418" s="1" t="n">
        <v>45142</v>
      </c>
      <c r="C418" s="1" t="n">
        <v>46001</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49633-2025</t>
        </is>
      </c>
      <c r="B419" s="1" t="n">
        <v>45938</v>
      </c>
      <c r="C419" s="1" t="n">
        <v>46001</v>
      </c>
      <c r="D419" t="inlineStr">
        <is>
          <t>ÖSTERGÖTLANDS LÄN</t>
        </is>
      </c>
      <c r="E419" t="inlineStr">
        <is>
          <t>LINKÖPING</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49663-2025</t>
        </is>
      </c>
      <c r="B420" s="1" t="n">
        <v>45938</v>
      </c>
      <c r="C420" s="1" t="n">
        <v>46001</v>
      </c>
      <c r="D420" t="inlineStr">
        <is>
          <t>ÖSTERGÖTLANDS LÄN</t>
        </is>
      </c>
      <c r="E420" t="inlineStr">
        <is>
          <t>LINKÖPING</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49455-2025</t>
        </is>
      </c>
      <c r="B421" s="1" t="n">
        <v>45938</v>
      </c>
      <c r="C421" s="1" t="n">
        <v>46001</v>
      </c>
      <c r="D421" t="inlineStr">
        <is>
          <t>ÖSTERGÖTLANDS LÄN</t>
        </is>
      </c>
      <c r="E421" t="inlineStr">
        <is>
          <t>LINKÖPING</t>
        </is>
      </c>
      <c r="F421" t="inlineStr">
        <is>
          <t>Övriga Aktiebolag</t>
        </is>
      </c>
      <c r="G421" t="n">
        <v>5.9</v>
      </c>
      <c r="H421" t="n">
        <v>0</v>
      </c>
      <c r="I421" t="n">
        <v>0</v>
      </c>
      <c r="J421" t="n">
        <v>0</v>
      </c>
      <c r="K421" t="n">
        <v>0</v>
      </c>
      <c r="L421" t="n">
        <v>0</v>
      </c>
      <c r="M421" t="n">
        <v>0</v>
      </c>
      <c r="N421" t="n">
        <v>0</v>
      </c>
      <c r="O421" t="n">
        <v>0</v>
      </c>
      <c r="P421" t="n">
        <v>0</v>
      </c>
      <c r="Q421" t="n">
        <v>0</v>
      </c>
      <c r="R421" s="2" t="inlineStr"/>
    </row>
    <row r="422" ht="15" customHeight="1">
      <c r="A422" t="inlineStr">
        <is>
          <t>A 30985-2022</t>
        </is>
      </c>
      <c r="B422" s="1" t="n">
        <v>44768</v>
      </c>
      <c r="C422" s="1" t="n">
        <v>46001</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49652-2025</t>
        </is>
      </c>
      <c r="B423" s="1" t="n">
        <v>45938</v>
      </c>
      <c r="C423" s="1" t="n">
        <v>46001</v>
      </c>
      <c r="D423" t="inlineStr">
        <is>
          <t>ÖSTERGÖTLANDS LÄN</t>
        </is>
      </c>
      <c r="E423" t="inlineStr">
        <is>
          <t>LINKÖPING</t>
        </is>
      </c>
      <c r="F423" t="inlineStr">
        <is>
          <t>Övriga Aktiebolag</t>
        </is>
      </c>
      <c r="G423" t="n">
        <v>1.8</v>
      </c>
      <c r="H423" t="n">
        <v>0</v>
      </c>
      <c r="I423" t="n">
        <v>0</v>
      </c>
      <c r="J423" t="n">
        <v>0</v>
      </c>
      <c r="K423" t="n">
        <v>0</v>
      </c>
      <c r="L423" t="n">
        <v>0</v>
      </c>
      <c r="M423" t="n">
        <v>0</v>
      </c>
      <c r="N423" t="n">
        <v>0</v>
      </c>
      <c r="O423" t="n">
        <v>0</v>
      </c>
      <c r="P423" t="n">
        <v>0</v>
      </c>
      <c r="Q423" t="n">
        <v>0</v>
      </c>
      <c r="R423" s="2" t="inlineStr"/>
    </row>
    <row r="424" ht="15" customHeight="1">
      <c r="A424" t="inlineStr">
        <is>
          <t>A 49654-2025</t>
        </is>
      </c>
      <c r="B424" s="1" t="n">
        <v>45938</v>
      </c>
      <c r="C424" s="1" t="n">
        <v>46001</v>
      </c>
      <c r="D424" t="inlineStr">
        <is>
          <t>ÖSTERGÖTLANDS LÄN</t>
        </is>
      </c>
      <c r="E424" t="inlineStr">
        <is>
          <t>LINKÖPING</t>
        </is>
      </c>
      <c r="F424" t="inlineStr">
        <is>
          <t>Övriga Aktiebolag</t>
        </is>
      </c>
      <c r="G424" t="n">
        <v>3.1</v>
      </c>
      <c r="H424" t="n">
        <v>0</v>
      </c>
      <c r="I424" t="n">
        <v>0</v>
      </c>
      <c r="J424" t="n">
        <v>0</v>
      </c>
      <c r="K424" t="n">
        <v>0</v>
      </c>
      <c r="L424" t="n">
        <v>0</v>
      </c>
      <c r="M424" t="n">
        <v>0</v>
      </c>
      <c r="N424" t="n">
        <v>0</v>
      </c>
      <c r="O424" t="n">
        <v>0</v>
      </c>
      <c r="P424" t="n">
        <v>0</v>
      </c>
      <c r="Q424" t="n">
        <v>0</v>
      </c>
      <c r="R424" s="2" t="inlineStr"/>
    </row>
    <row r="425" ht="15" customHeight="1">
      <c r="A425" t="inlineStr">
        <is>
          <t>A 49619-2025</t>
        </is>
      </c>
      <c r="B425" s="1" t="n">
        <v>45938</v>
      </c>
      <c r="C425" s="1" t="n">
        <v>46001</v>
      </c>
      <c r="D425" t="inlineStr">
        <is>
          <t>ÖSTERGÖTLANDS LÄN</t>
        </is>
      </c>
      <c r="E425" t="inlineStr">
        <is>
          <t>LINKÖPING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49629-2025</t>
        </is>
      </c>
      <c r="B426" s="1" t="n">
        <v>45938</v>
      </c>
      <c r="C426" s="1" t="n">
        <v>46001</v>
      </c>
      <c r="D426" t="inlineStr">
        <is>
          <t>ÖSTERGÖTLANDS LÄN</t>
        </is>
      </c>
      <c r="E426" t="inlineStr">
        <is>
          <t>LINKÖPING</t>
        </is>
      </c>
      <c r="F426" t="inlineStr">
        <is>
          <t>Övriga Aktiebolag</t>
        </is>
      </c>
      <c r="G426" t="n">
        <v>4.5</v>
      </c>
      <c r="H426" t="n">
        <v>0</v>
      </c>
      <c r="I426" t="n">
        <v>0</v>
      </c>
      <c r="J426" t="n">
        <v>0</v>
      </c>
      <c r="K426" t="n">
        <v>0</v>
      </c>
      <c r="L426" t="n">
        <v>0</v>
      </c>
      <c r="M426" t="n">
        <v>0</v>
      </c>
      <c r="N426" t="n">
        <v>0</v>
      </c>
      <c r="O426" t="n">
        <v>0</v>
      </c>
      <c r="P426" t="n">
        <v>0</v>
      </c>
      <c r="Q426" t="n">
        <v>0</v>
      </c>
      <c r="R426" s="2" t="inlineStr"/>
    </row>
    <row r="427" ht="15" customHeight="1">
      <c r="A427" t="inlineStr">
        <is>
          <t>A 49650-2025</t>
        </is>
      </c>
      <c r="B427" s="1" t="n">
        <v>45938</v>
      </c>
      <c r="C427" s="1" t="n">
        <v>46001</v>
      </c>
      <c r="D427" t="inlineStr">
        <is>
          <t>ÖSTERGÖTLANDS LÄN</t>
        </is>
      </c>
      <c r="E427" t="inlineStr">
        <is>
          <t>LINKÖPING</t>
        </is>
      </c>
      <c r="F427" t="inlineStr">
        <is>
          <t>Övriga Aktiebolag</t>
        </is>
      </c>
      <c r="G427" t="n">
        <v>1.5</v>
      </c>
      <c r="H427" t="n">
        <v>0</v>
      </c>
      <c r="I427" t="n">
        <v>0</v>
      </c>
      <c r="J427" t="n">
        <v>0</v>
      </c>
      <c r="K427" t="n">
        <v>0</v>
      </c>
      <c r="L427" t="n">
        <v>0</v>
      </c>
      <c r="M427" t="n">
        <v>0</v>
      </c>
      <c r="N427" t="n">
        <v>0</v>
      </c>
      <c r="O427" t="n">
        <v>0</v>
      </c>
      <c r="P427" t="n">
        <v>0</v>
      </c>
      <c r="Q427" t="n">
        <v>0</v>
      </c>
      <c r="R427" s="2" t="inlineStr"/>
    </row>
    <row r="428" ht="15" customHeight="1">
      <c r="A428" t="inlineStr">
        <is>
          <t>A 49632-2025</t>
        </is>
      </c>
      <c r="B428" s="1" t="n">
        <v>45938</v>
      </c>
      <c r="C428" s="1" t="n">
        <v>46001</v>
      </c>
      <c r="D428" t="inlineStr">
        <is>
          <t>ÖSTERGÖTLANDS LÄN</t>
        </is>
      </c>
      <c r="E428" t="inlineStr">
        <is>
          <t>LINKÖPING</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49615-2025</t>
        </is>
      </c>
      <c r="B429" s="1" t="n">
        <v>45938</v>
      </c>
      <c r="C429" s="1" t="n">
        <v>46001</v>
      </c>
      <c r="D429" t="inlineStr">
        <is>
          <t>ÖSTERGÖTLANDS LÄN</t>
        </is>
      </c>
      <c r="E429" t="inlineStr">
        <is>
          <t>LINKÖPING</t>
        </is>
      </c>
      <c r="F429" t="inlineStr">
        <is>
          <t>Övriga Aktiebolag</t>
        </is>
      </c>
      <c r="G429" t="n">
        <v>1.6</v>
      </c>
      <c r="H429" t="n">
        <v>0</v>
      </c>
      <c r="I429" t="n">
        <v>0</v>
      </c>
      <c r="J429" t="n">
        <v>0</v>
      </c>
      <c r="K429" t="n">
        <v>0</v>
      </c>
      <c r="L429" t="n">
        <v>0</v>
      </c>
      <c r="M429" t="n">
        <v>0</v>
      </c>
      <c r="N429" t="n">
        <v>0</v>
      </c>
      <c r="O429" t="n">
        <v>0</v>
      </c>
      <c r="P429" t="n">
        <v>0</v>
      </c>
      <c r="Q429" t="n">
        <v>0</v>
      </c>
      <c r="R429" s="2" t="inlineStr"/>
    </row>
    <row r="430" ht="15" customHeight="1">
      <c r="A430" t="inlineStr">
        <is>
          <t>A 25829-2025</t>
        </is>
      </c>
      <c r="B430" s="1" t="n">
        <v>45804.44505787037</v>
      </c>
      <c r="C430" s="1" t="n">
        <v>46001</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59642-2024</t>
        </is>
      </c>
      <c r="B431" s="1" t="n">
        <v>45639.31511574074</v>
      </c>
      <c r="C431" s="1" t="n">
        <v>46001</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15748-2025</t>
        </is>
      </c>
      <c r="B432" s="1" t="n">
        <v>45748.55282407408</v>
      </c>
      <c r="C432" s="1" t="n">
        <v>46001</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31792-2021</t>
        </is>
      </c>
      <c r="B433" s="1" t="n">
        <v>44369</v>
      </c>
      <c r="C433" s="1" t="n">
        <v>46001</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25097-2023</t>
        </is>
      </c>
      <c r="B434" s="1" t="n">
        <v>45086</v>
      </c>
      <c r="C434" s="1" t="n">
        <v>46001</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35735-2023</t>
        </is>
      </c>
      <c r="B435" s="1" t="n">
        <v>45147</v>
      </c>
      <c r="C435" s="1" t="n">
        <v>46001</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16462-2021</t>
        </is>
      </c>
      <c r="B436" s="1" t="n">
        <v>44293</v>
      </c>
      <c r="C436" s="1" t="n">
        <v>46001</v>
      </c>
      <c r="D436" t="inlineStr">
        <is>
          <t>ÖSTERGÖTLANDS LÄN</t>
        </is>
      </c>
      <c r="E436" t="inlineStr">
        <is>
          <t>LINKÖPING</t>
        </is>
      </c>
      <c r="F436" t="inlineStr">
        <is>
          <t>Allmännings- och besparingsskogar</t>
        </is>
      </c>
      <c r="G436" t="n">
        <v>24.7</v>
      </c>
      <c r="H436" t="n">
        <v>0</v>
      </c>
      <c r="I436" t="n">
        <v>0</v>
      </c>
      <c r="J436" t="n">
        <v>0</v>
      </c>
      <c r="K436" t="n">
        <v>0</v>
      </c>
      <c r="L436" t="n">
        <v>0</v>
      </c>
      <c r="M436" t="n">
        <v>0</v>
      </c>
      <c r="N436" t="n">
        <v>0</v>
      </c>
      <c r="O436" t="n">
        <v>0</v>
      </c>
      <c r="P436" t="n">
        <v>0</v>
      </c>
      <c r="Q436" t="n">
        <v>0</v>
      </c>
      <c r="R436" s="2" t="inlineStr"/>
    </row>
    <row r="437" ht="15" customHeight="1">
      <c r="A437" t="inlineStr">
        <is>
          <t>A 25776-2021</t>
        </is>
      </c>
      <c r="B437" s="1" t="n">
        <v>44343</v>
      </c>
      <c r="C437" s="1" t="n">
        <v>46001</v>
      </c>
      <c r="D437" t="inlineStr">
        <is>
          <t>ÖSTERGÖTLANDS LÄN</t>
        </is>
      </c>
      <c r="E437" t="inlineStr">
        <is>
          <t>LINKÖPING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30856-2022</t>
        </is>
      </c>
      <c r="B438" s="1" t="n">
        <v>44767</v>
      </c>
      <c r="C438" s="1" t="n">
        <v>46001</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19187-2021</t>
        </is>
      </c>
      <c r="B439" s="1" t="n">
        <v>44308</v>
      </c>
      <c r="C439" s="1" t="n">
        <v>46001</v>
      </c>
      <c r="D439" t="inlineStr">
        <is>
          <t>ÖSTERGÖTLANDS LÄN</t>
        </is>
      </c>
      <c r="E439" t="inlineStr">
        <is>
          <t>LINKÖPING</t>
        </is>
      </c>
      <c r="F439" t="inlineStr">
        <is>
          <t>Allmännings- och besparingsskogar</t>
        </is>
      </c>
      <c r="G439" t="n">
        <v>20</v>
      </c>
      <c r="H439" t="n">
        <v>0</v>
      </c>
      <c r="I439" t="n">
        <v>0</v>
      </c>
      <c r="J439" t="n">
        <v>0</v>
      </c>
      <c r="K439" t="n">
        <v>0</v>
      </c>
      <c r="L439" t="n">
        <v>0</v>
      </c>
      <c r="M439" t="n">
        <v>0</v>
      </c>
      <c r="N439" t="n">
        <v>0</v>
      </c>
      <c r="O439" t="n">
        <v>0</v>
      </c>
      <c r="P439" t="n">
        <v>0</v>
      </c>
      <c r="Q439" t="n">
        <v>0</v>
      </c>
      <c r="R439" s="2" t="inlineStr"/>
    </row>
    <row r="440" ht="15" customHeight="1">
      <c r="A440" t="inlineStr">
        <is>
          <t>A 39219-2021</t>
        </is>
      </c>
      <c r="B440" s="1" t="n">
        <v>44413</v>
      </c>
      <c r="C440" s="1" t="n">
        <v>46001</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39224-2021</t>
        </is>
      </c>
      <c r="B441" s="1" t="n">
        <v>44413</v>
      </c>
      <c r="C441" s="1" t="n">
        <v>46001</v>
      </c>
      <c r="D441" t="inlineStr">
        <is>
          <t>ÖSTERGÖTLANDS LÄN</t>
        </is>
      </c>
      <c r="E441" t="inlineStr">
        <is>
          <t>LINKÖPING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40983-2025</t>
        </is>
      </c>
      <c r="B442" s="1" t="n">
        <v>45898</v>
      </c>
      <c r="C442" s="1" t="n">
        <v>46001</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38046-2025</t>
        </is>
      </c>
      <c r="B443" s="1" t="n">
        <v>45882.39939814815</v>
      </c>
      <c r="C443" s="1" t="n">
        <v>46001</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43934-2023</t>
        </is>
      </c>
      <c r="B444" s="1" t="n">
        <v>45187</v>
      </c>
      <c r="C444" s="1" t="n">
        <v>46001</v>
      </c>
      <c r="D444" t="inlineStr">
        <is>
          <t>ÖSTERGÖTLANDS LÄN</t>
        </is>
      </c>
      <c r="E444" t="inlineStr">
        <is>
          <t>LINKÖPING</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50056-2025</t>
        </is>
      </c>
      <c r="B445" s="1" t="n">
        <v>45941</v>
      </c>
      <c r="C445" s="1" t="n">
        <v>46001</v>
      </c>
      <c r="D445" t="inlineStr">
        <is>
          <t>ÖSTERGÖTLANDS LÄN</t>
        </is>
      </c>
      <c r="E445" t="inlineStr">
        <is>
          <t>LINKÖPING</t>
        </is>
      </c>
      <c r="G445" t="n">
        <v>0.3</v>
      </c>
      <c r="H445" t="n">
        <v>0</v>
      </c>
      <c r="I445" t="n">
        <v>0</v>
      </c>
      <c r="J445" t="n">
        <v>0</v>
      </c>
      <c r="K445" t="n">
        <v>0</v>
      </c>
      <c r="L445" t="n">
        <v>0</v>
      </c>
      <c r="M445" t="n">
        <v>0</v>
      </c>
      <c r="N445" t="n">
        <v>0</v>
      </c>
      <c r="O445" t="n">
        <v>0</v>
      </c>
      <c r="P445" t="n">
        <v>0</v>
      </c>
      <c r="Q445" t="n">
        <v>0</v>
      </c>
      <c r="R445" s="2" t="inlineStr"/>
    </row>
    <row r="446" ht="15" customHeight="1">
      <c r="A446" t="inlineStr">
        <is>
          <t>A 55004-2025</t>
        </is>
      </c>
      <c r="B446" s="1" t="n">
        <v>45967</v>
      </c>
      <c r="C446" s="1" t="n">
        <v>46001</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59205-2025</t>
        </is>
      </c>
      <c r="B447" s="1" t="n">
        <v>45988.60721064815</v>
      </c>
      <c r="C447" s="1" t="n">
        <v>46001</v>
      </c>
      <c r="D447" t="inlineStr">
        <is>
          <t>ÖSTERGÖTLANDS LÄN</t>
        </is>
      </c>
      <c r="E447" t="inlineStr">
        <is>
          <t>LINKÖPING</t>
        </is>
      </c>
      <c r="F447" t="inlineStr">
        <is>
          <t>Sveaskog</t>
        </is>
      </c>
      <c r="G447" t="n">
        <v>11.3</v>
      </c>
      <c r="H447" t="n">
        <v>0</v>
      </c>
      <c r="I447" t="n">
        <v>0</v>
      </c>
      <c r="J447" t="n">
        <v>0</v>
      </c>
      <c r="K447" t="n">
        <v>0</v>
      </c>
      <c r="L447" t="n">
        <v>0</v>
      </c>
      <c r="M447" t="n">
        <v>0</v>
      </c>
      <c r="N447" t="n">
        <v>0</v>
      </c>
      <c r="O447" t="n">
        <v>0</v>
      </c>
      <c r="P447" t="n">
        <v>0</v>
      </c>
      <c r="Q447" t="n">
        <v>0</v>
      </c>
      <c r="R447" s="2" t="inlineStr"/>
    </row>
    <row r="448" ht="15" customHeight="1">
      <c r="A448" t="inlineStr">
        <is>
          <t>A 58802-2025</t>
        </is>
      </c>
      <c r="B448" s="1" t="n">
        <v>45986.8768287037</v>
      </c>
      <c r="C448" s="1" t="n">
        <v>46001</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50667-2025</t>
        </is>
      </c>
      <c r="B449" s="1" t="n">
        <v>45945</v>
      </c>
      <c r="C449" s="1" t="n">
        <v>46001</v>
      </c>
      <c r="D449" t="inlineStr">
        <is>
          <t>ÖSTERGÖTLANDS LÄN</t>
        </is>
      </c>
      <c r="E449" t="inlineStr">
        <is>
          <t>LINKÖPING</t>
        </is>
      </c>
      <c r="G449" t="n">
        <v>3.3</v>
      </c>
      <c r="H449" t="n">
        <v>0</v>
      </c>
      <c r="I449" t="n">
        <v>0</v>
      </c>
      <c r="J449" t="n">
        <v>0</v>
      </c>
      <c r="K449" t="n">
        <v>0</v>
      </c>
      <c r="L449" t="n">
        <v>0</v>
      </c>
      <c r="M449" t="n">
        <v>0</v>
      </c>
      <c r="N449" t="n">
        <v>0</v>
      </c>
      <c r="O449" t="n">
        <v>0</v>
      </c>
      <c r="P449" t="n">
        <v>0</v>
      </c>
      <c r="Q449" t="n">
        <v>0</v>
      </c>
      <c r="R449" s="2" t="inlineStr"/>
    </row>
    <row r="450" ht="15" customHeight="1">
      <c r="A450" t="inlineStr">
        <is>
          <t>A 7354-2025</t>
        </is>
      </c>
      <c r="B450" s="1" t="n">
        <v>45704.41174768518</v>
      </c>
      <c r="C450" s="1" t="n">
        <v>46001</v>
      </c>
      <c r="D450" t="inlineStr">
        <is>
          <t>ÖSTERGÖTLANDS LÄN</t>
        </is>
      </c>
      <c r="E450" t="inlineStr">
        <is>
          <t>LINKÖPING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63935-2021</t>
        </is>
      </c>
      <c r="B451" s="1" t="n">
        <v>44509</v>
      </c>
      <c r="C451" s="1" t="n">
        <v>46001</v>
      </c>
      <c r="D451" t="inlineStr">
        <is>
          <t>ÖSTERGÖTLANDS LÄN</t>
        </is>
      </c>
      <c r="E451" t="inlineStr">
        <is>
          <t>LINKÖPING</t>
        </is>
      </c>
      <c r="F451" t="inlineStr">
        <is>
          <t>Övriga statliga verk och myndigheter</t>
        </is>
      </c>
      <c r="G451" t="n">
        <v>2.8</v>
      </c>
      <c r="H451" t="n">
        <v>0</v>
      </c>
      <c r="I451" t="n">
        <v>0</v>
      </c>
      <c r="J451" t="n">
        <v>0</v>
      </c>
      <c r="K451" t="n">
        <v>0</v>
      </c>
      <c r="L451" t="n">
        <v>0</v>
      </c>
      <c r="M451" t="n">
        <v>0</v>
      </c>
      <c r="N451" t="n">
        <v>0</v>
      </c>
      <c r="O451" t="n">
        <v>0</v>
      </c>
      <c r="P451" t="n">
        <v>0</v>
      </c>
      <c r="Q451" t="n">
        <v>0</v>
      </c>
      <c r="R451" s="2" t="inlineStr"/>
    </row>
    <row r="452" ht="15" customHeight="1">
      <c r="A452" t="inlineStr">
        <is>
          <t>A 40810-2022</t>
        </is>
      </c>
      <c r="B452" s="1" t="n">
        <v>44824</v>
      </c>
      <c r="C452" s="1" t="n">
        <v>46001</v>
      </c>
      <c r="D452" t="inlineStr">
        <is>
          <t>ÖSTERGÖTLANDS LÄN</t>
        </is>
      </c>
      <c r="E452" t="inlineStr">
        <is>
          <t>LINKÖPING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59472-2025</t>
        </is>
      </c>
      <c r="B453" s="1" t="n">
        <v>45989.58321759259</v>
      </c>
      <c r="C453" s="1" t="n">
        <v>46001</v>
      </c>
      <c r="D453" t="inlineStr">
        <is>
          <t>ÖSTERGÖTLANDS LÄN</t>
        </is>
      </c>
      <c r="E453" t="inlineStr">
        <is>
          <t>LINKÖPING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20298-2025</t>
        </is>
      </c>
      <c r="B454" s="1" t="n">
        <v>45774.75024305555</v>
      </c>
      <c r="C454" s="1" t="n">
        <v>46001</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51802-2025</t>
        </is>
      </c>
      <c r="B455" s="1" t="n">
        <v>45950</v>
      </c>
      <c r="C455" s="1" t="n">
        <v>46001</v>
      </c>
      <c r="D455" t="inlineStr">
        <is>
          <t>ÖSTERGÖTLANDS LÄN</t>
        </is>
      </c>
      <c r="E455" t="inlineStr">
        <is>
          <t>LINKÖPING</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14576-2023</t>
        </is>
      </c>
      <c r="B456" s="1" t="n">
        <v>45013</v>
      </c>
      <c r="C456" s="1" t="n">
        <v>46001</v>
      </c>
      <c r="D456" t="inlineStr">
        <is>
          <t>ÖSTERGÖTLANDS LÄN</t>
        </is>
      </c>
      <c r="E456" t="inlineStr">
        <is>
          <t>LINKÖPING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10253-2022</t>
        </is>
      </c>
      <c r="B457" s="1" t="n">
        <v>44622</v>
      </c>
      <c r="C457" s="1" t="n">
        <v>46001</v>
      </c>
      <c r="D457" t="inlineStr">
        <is>
          <t>ÖSTERGÖTLANDS LÄN</t>
        </is>
      </c>
      <c r="E457" t="inlineStr">
        <is>
          <t>LINKÖPING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12089-2025</t>
        </is>
      </c>
      <c r="B458" s="1" t="n">
        <v>45729</v>
      </c>
      <c r="C458" s="1" t="n">
        <v>46001</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60087-2025</t>
        </is>
      </c>
      <c r="B459" s="1" t="n">
        <v>45993.71726851852</v>
      </c>
      <c r="C459" s="1" t="n">
        <v>46001</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62321-2022</t>
        </is>
      </c>
      <c r="B460" s="1" t="n">
        <v>44916</v>
      </c>
      <c r="C460" s="1" t="n">
        <v>46001</v>
      </c>
      <c r="D460" t="inlineStr">
        <is>
          <t>ÖSTERGÖTLANDS LÄN</t>
        </is>
      </c>
      <c r="E460" t="inlineStr">
        <is>
          <t>LINKÖPING</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60284-2025</t>
        </is>
      </c>
      <c r="B461" s="1" t="n">
        <v>45994.64373842593</v>
      </c>
      <c r="C461" s="1" t="n">
        <v>46001</v>
      </c>
      <c r="D461" t="inlineStr">
        <is>
          <t>ÖSTERGÖTLANDS LÄN</t>
        </is>
      </c>
      <c r="E461" t="inlineStr">
        <is>
          <t>LINKÖPING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60306-2025</t>
        </is>
      </c>
      <c r="B462" s="1" t="n">
        <v>45994.68326388889</v>
      </c>
      <c r="C462" s="1" t="n">
        <v>46001</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52111-2025</t>
        </is>
      </c>
      <c r="B463" s="1" t="n">
        <v>45952.69527777778</v>
      </c>
      <c r="C463" s="1" t="n">
        <v>46001</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43475-2024</t>
        </is>
      </c>
      <c r="B464" s="1" t="n">
        <v>45568</v>
      </c>
      <c r="C464" s="1" t="n">
        <v>46001</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17103-2025</t>
        </is>
      </c>
      <c r="B465" s="1" t="n">
        <v>45755.66143518518</v>
      </c>
      <c r="C465" s="1" t="n">
        <v>46001</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30551-2023</t>
        </is>
      </c>
      <c r="B466" s="1" t="n">
        <v>45111</v>
      </c>
      <c r="C466" s="1" t="n">
        <v>46001</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46001</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46001</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49656-2021</t>
        </is>
      </c>
      <c r="B469" s="1" t="n">
        <v>44454</v>
      </c>
      <c r="C469" s="1" t="n">
        <v>46001</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46001</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30521-2024</t>
        </is>
      </c>
      <c r="B471" s="1" t="n">
        <v>45492</v>
      </c>
      <c r="C471" s="1" t="n">
        <v>46001</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40618-2021</t>
        </is>
      </c>
      <c r="B472" s="1" t="n">
        <v>44420.49575231481</v>
      </c>
      <c r="C472" s="1" t="n">
        <v>46001</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60703-2025</t>
        </is>
      </c>
      <c r="B473" s="1" t="n">
        <v>45996.6052662037</v>
      </c>
      <c r="C473" s="1" t="n">
        <v>46001</v>
      </c>
      <c r="D473" t="inlineStr">
        <is>
          <t>ÖSTERGÖTLANDS LÄN</t>
        </is>
      </c>
      <c r="E473" t="inlineStr">
        <is>
          <t>LINKÖPING</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23735-2023</t>
        </is>
      </c>
      <c r="B474" s="1" t="n">
        <v>45077</v>
      </c>
      <c r="C474" s="1" t="n">
        <v>46001</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350-2022</t>
        </is>
      </c>
      <c r="B475" s="1" t="n">
        <v>44565</v>
      </c>
      <c r="C475" s="1" t="n">
        <v>46001</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4256-2022</t>
        </is>
      </c>
      <c r="B476" s="1" t="n">
        <v>44588</v>
      </c>
      <c r="C476" s="1" t="n">
        <v>46001</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25948-2023</t>
        </is>
      </c>
      <c r="B477" s="1" t="n">
        <v>45090</v>
      </c>
      <c r="C477" s="1" t="n">
        <v>46001</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33867-2023</t>
        </is>
      </c>
      <c r="B478" s="1" t="n">
        <v>45133.94640046296</v>
      </c>
      <c r="C478" s="1" t="n">
        <v>46001</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52800-2025</t>
        </is>
      </c>
      <c r="B479" s="1" t="n">
        <v>45957.44152777778</v>
      </c>
      <c r="C479" s="1" t="n">
        <v>46001</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52802-2025</t>
        </is>
      </c>
      <c r="B480" s="1" t="n">
        <v>45957.44295138889</v>
      </c>
      <c r="C480" s="1" t="n">
        <v>46001</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60866-2025</t>
        </is>
      </c>
      <c r="B481" s="1" t="n">
        <v>45999.53953703704</v>
      </c>
      <c r="C481" s="1" t="n">
        <v>46001</v>
      </c>
      <c r="D481" t="inlineStr">
        <is>
          <t>ÖSTERGÖTLANDS LÄN</t>
        </is>
      </c>
      <c r="E481" t="inlineStr">
        <is>
          <t>LINKÖPING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61230-2025</t>
        </is>
      </c>
      <c r="B482" s="1" t="n">
        <v>46000.63111111111</v>
      </c>
      <c r="C482" s="1" t="n">
        <v>46001</v>
      </c>
      <c r="D482" t="inlineStr">
        <is>
          <t>ÖSTERGÖTLANDS LÄN</t>
        </is>
      </c>
      <c r="E482" t="inlineStr">
        <is>
          <t>LINKÖPING</t>
        </is>
      </c>
      <c r="F482" t="inlineStr">
        <is>
          <t>Kyrkan</t>
        </is>
      </c>
      <c r="G482" t="n">
        <v>2.1</v>
      </c>
      <c r="H482" t="n">
        <v>0</v>
      </c>
      <c r="I482" t="n">
        <v>0</v>
      </c>
      <c r="J482" t="n">
        <v>0</v>
      </c>
      <c r="K482" t="n">
        <v>0</v>
      </c>
      <c r="L482" t="n">
        <v>0</v>
      </c>
      <c r="M482" t="n">
        <v>0</v>
      </c>
      <c r="N482" t="n">
        <v>0</v>
      </c>
      <c r="O482" t="n">
        <v>0</v>
      </c>
      <c r="P482" t="n">
        <v>0</v>
      </c>
      <c r="Q482" t="n">
        <v>0</v>
      </c>
      <c r="R482" s="2" t="inlineStr"/>
    </row>
    <row r="483" ht="15" customHeight="1">
      <c r="A483" t="inlineStr">
        <is>
          <t>A 24462-2023</t>
        </is>
      </c>
      <c r="B483" s="1" t="n">
        <v>45082</v>
      </c>
      <c r="C483" s="1" t="n">
        <v>46001</v>
      </c>
      <c r="D483" t="inlineStr">
        <is>
          <t>ÖSTERGÖTLANDS LÄN</t>
        </is>
      </c>
      <c r="E483" t="inlineStr">
        <is>
          <t>LINKÖPING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48829-2023</t>
        </is>
      </c>
      <c r="B484" s="1" t="n">
        <v>45209.38177083333</v>
      </c>
      <c r="C484" s="1" t="n">
        <v>46001</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38231-2022</t>
        </is>
      </c>
      <c r="B485" s="1" t="n">
        <v>44812</v>
      </c>
      <c r="C485" s="1" t="n">
        <v>46001</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50799-2022</t>
        </is>
      </c>
      <c r="B486" s="1" t="n">
        <v>44862</v>
      </c>
      <c r="C486" s="1" t="n">
        <v>46001</v>
      </c>
      <c r="D486" t="inlineStr">
        <is>
          <t>ÖSTERGÖTLANDS LÄN</t>
        </is>
      </c>
      <c r="E486" t="inlineStr">
        <is>
          <t>LINKÖPING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52740-2025</t>
        </is>
      </c>
      <c r="B487" s="1" t="n">
        <v>45957.37747685185</v>
      </c>
      <c r="C487" s="1" t="n">
        <v>46001</v>
      </c>
      <c r="D487" t="inlineStr">
        <is>
          <t>ÖSTERGÖTLANDS LÄN</t>
        </is>
      </c>
      <c r="E487" t="inlineStr">
        <is>
          <t>LINKÖPING</t>
        </is>
      </c>
      <c r="G487" t="n">
        <v>3.7</v>
      </c>
      <c r="H487" t="n">
        <v>0</v>
      </c>
      <c r="I487" t="n">
        <v>0</v>
      </c>
      <c r="J487" t="n">
        <v>0</v>
      </c>
      <c r="K487" t="n">
        <v>0</v>
      </c>
      <c r="L487" t="n">
        <v>0</v>
      </c>
      <c r="M487" t="n">
        <v>0</v>
      </c>
      <c r="N487" t="n">
        <v>0</v>
      </c>
      <c r="O487" t="n">
        <v>0</v>
      </c>
      <c r="P487" t="n">
        <v>0</v>
      </c>
      <c r="Q487" t="n">
        <v>0</v>
      </c>
      <c r="R487" s="2" t="inlineStr"/>
    </row>
    <row r="488" ht="15" customHeight="1">
      <c r="A488" t="inlineStr">
        <is>
          <t>A 52743-2025</t>
        </is>
      </c>
      <c r="B488" s="1" t="n">
        <v>45957.38039351852</v>
      </c>
      <c r="C488" s="1" t="n">
        <v>46001</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40431-2024</t>
        </is>
      </c>
      <c r="B489" s="1" t="n">
        <v>45555.47070601852</v>
      </c>
      <c r="C489" s="1" t="n">
        <v>46001</v>
      </c>
      <c r="D489" t="inlineStr">
        <is>
          <t>ÖSTERGÖTLANDS LÄN</t>
        </is>
      </c>
      <c r="E489" t="inlineStr">
        <is>
          <t>LINKÖPING</t>
        </is>
      </c>
      <c r="F489" t="inlineStr">
        <is>
          <t>Allmännings- och besparingsskogar</t>
        </is>
      </c>
      <c r="G489" t="n">
        <v>2.9</v>
      </c>
      <c r="H489" t="n">
        <v>0</v>
      </c>
      <c r="I489" t="n">
        <v>0</v>
      </c>
      <c r="J489" t="n">
        <v>0</v>
      </c>
      <c r="K489" t="n">
        <v>0</v>
      </c>
      <c r="L489" t="n">
        <v>0</v>
      </c>
      <c r="M489" t="n">
        <v>0</v>
      </c>
      <c r="N489" t="n">
        <v>0</v>
      </c>
      <c r="O489" t="n">
        <v>0</v>
      </c>
      <c r="P489" t="n">
        <v>0</v>
      </c>
      <c r="Q489" t="n">
        <v>0</v>
      </c>
      <c r="R489" s="2" t="inlineStr"/>
    </row>
    <row r="490" ht="15" customHeight="1">
      <c r="A490" t="inlineStr">
        <is>
          <t>A 52807-2025</t>
        </is>
      </c>
      <c r="B490" s="1" t="n">
        <v>45957.44837962963</v>
      </c>
      <c r="C490" s="1" t="n">
        <v>46001</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267-2023</t>
        </is>
      </c>
      <c r="B491" s="1" t="n">
        <v>44928.80907407407</v>
      </c>
      <c r="C491" s="1" t="n">
        <v>46001</v>
      </c>
      <c r="D491" t="inlineStr">
        <is>
          <t>ÖSTERGÖTLANDS LÄN</t>
        </is>
      </c>
      <c r="E491" t="inlineStr">
        <is>
          <t>LINKÖPING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26618-2023</t>
        </is>
      </c>
      <c r="B492" s="1" t="n">
        <v>45092.70306712963</v>
      </c>
      <c r="C492" s="1" t="n">
        <v>46001</v>
      </c>
      <c r="D492" t="inlineStr">
        <is>
          <t>ÖSTERGÖTLANDS LÄN</t>
        </is>
      </c>
      <c r="E492" t="inlineStr">
        <is>
          <t>LINKÖPING</t>
        </is>
      </c>
      <c r="G492" t="n">
        <v>6.9</v>
      </c>
      <c r="H492" t="n">
        <v>0</v>
      </c>
      <c r="I492" t="n">
        <v>0</v>
      </c>
      <c r="J492" t="n">
        <v>0</v>
      </c>
      <c r="K492" t="n">
        <v>0</v>
      </c>
      <c r="L492" t="n">
        <v>0</v>
      </c>
      <c r="M492" t="n">
        <v>0</v>
      </c>
      <c r="N492" t="n">
        <v>0</v>
      </c>
      <c r="O492" t="n">
        <v>0</v>
      </c>
      <c r="P492" t="n">
        <v>0</v>
      </c>
      <c r="Q492" t="n">
        <v>0</v>
      </c>
      <c r="R492" s="2" t="inlineStr"/>
    </row>
    <row r="493" ht="15" customHeight="1">
      <c r="A493" t="inlineStr">
        <is>
          <t>A 63665-2023</t>
        </is>
      </c>
      <c r="B493" s="1" t="n">
        <v>45275</v>
      </c>
      <c r="C493" s="1" t="n">
        <v>46001</v>
      </c>
      <c r="D493" t="inlineStr">
        <is>
          <t>ÖSTERGÖTLANDS LÄN</t>
        </is>
      </c>
      <c r="E493" t="inlineStr">
        <is>
          <t>LINKÖPING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67123-2020</t>
        </is>
      </c>
      <c r="B494" s="1" t="n">
        <v>44180</v>
      </c>
      <c r="C494" s="1" t="n">
        <v>46001</v>
      </c>
      <c r="D494" t="inlineStr">
        <is>
          <t>ÖSTERGÖTLANDS LÄN</t>
        </is>
      </c>
      <c r="E494" t="inlineStr">
        <is>
          <t>LINKÖPING</t>
        </is>
      </c>
      <c r="F494" t="inlineStr">
        <is>
          <t>Övriga statliga verk och myndigheter</t>
        </is>
      </c>
      <c r="G494" t="n">
        <v>1.3</v>
      </c>
      <c r="H494" t="n">
        <v>0</v>
      </c>
      <c r="I494" t="n">
        <v>0</v>
      </c>
      <c r="J494" t="n">
        <v>0</v>
      </c>
      <c r="K494" t="n">
        <v>0</v>
      </c>
      <c r="L494" t="n">
        <v>0</v>
      </c>
      <c r="M494" t="n">
        <v>0</v>
      </c>
      <c r="N494" t="n">
        <v>0</v>
      </c>
      <c r="O494" t="n">
        <v>0</v>
      </c>
      <c r="P494" t="n">
        <v>0</v>
      </c>
      <c r="Q494" t="n">
        <v>0</v>
      </c>
      <c r="R494" s="2" t="inlineStr"/>
    </row>
    <row r="495" ht="15" customHeight="1">
      <c r="A495" t="inlineStr">
        <is>
          <t>A 30429-2024</t>
        </is>
      </c>
      <c r="B495" s="1" t="n">
        <v>45491.68972222223</v>
      </c>
      <c r="C495" s="1" t="n">
        <v>46001</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30435-2024</t>
        </is>
      </c>
      <c r="B496" s="1" t="n">
        <v>45491.69962962963</v>
      </c>
      <c r="C496" s="1" t="n">
        <v>46001</v>
      </c>
      <c r="D496" t="inlineStr">
        <is>
          <t>ÖSTERGÖTLANDS LÄN</t>
        </is>
      </c>
      <c r="E496" t="inlineStr">
        <is>
          <t>LINKÖPING</t>
        </is>
      </c>
      <c r="G496" t="n">
        <v>1.9</v>
      </c>
      <c r="H496" t="n">
        <v>0</v>
      </c>
      <c r="I496" t="n">
        <v>0</v>
      </c>
      <c r="J496" t="n">
        <v>0</v>
      </c>
      <c r="K496" t="n">
        <v>0</v>
      </c>
      <c r="L496" t="n">
        <v>0</v>
      </c>
      <c r="M496" t="n">
        <v>0</v>
      </c>
      <c r="N496" t="n">
        <v>0</v>
      </c>
      <c r="O496" t="n">
        <v>0</v>
      </c>
      <c r="P496" t="n">
        <v>0</v>
      </c>
      <c r="Q496" t="n">
        <v>0</v>
      </c>
      <c r="R496" s="2" t="inlineStr"/>
    </row>
    <row r="497" ht="15" customHeight="1">
      <c r="A497" t="inlineStr">
        <is>
          <t>A 53816-2023</t>
        </is>
      </c>
      <c r="B497" s="1" t="n">
        <v>45231.40012731482</v>
      </c>
      <c r="C497" s="1" t="n">
        <v>46001</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36557-2023</t>
        </is>
      </c>
      <c r="B498" s="1" t="n">
        <v>45153</v>
      </c>
      <c r="C498" s="1" t="n">
        <v>46001</v>
      </c>
      <c r="D498" t="inlineStr">
        <is>
          <t>ÖSTERGÖTLANDS LÄN</t>
        </is>
      </c>
      <c r="E498" t="inlineStr">
        <is>
          <t>LINKÖPING</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6599-2023</t>
        </is>
      </c>
      <c r="B499" s="1" t="n">
        <v>44966.52603009259</v>
      </c>
      <c r="C499" s="1" t="n">
        <v>46001</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43473-2024</t>
        </is>
      </c>
      <c r="B500" s="1" t="n">
        <v>45568</v>
      </c>
      <c r="C500" s="1" t="n">
        <v>46001</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61532-2021</t>
        </is>
      </c>
      <c r="B501" s="1" t="n">
        <v>44501</v>
      </c>
      <c r="C501" s="1" t="n">
        <v>46001</v>
      </c>
      <c r="D501" t="inlineStr">
        <is>
          <t>ÖSTERGÖTLANDS LÄN</t>
        </is>
      </c>
      <c r="E501" t="inlineStr">
        <is>
          <t>LINKÖPING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3374-2023</t>
        </is>
      </c>
      <c r="B502" s="1" t="n">
        <v>44949</v>
      </c>
      <c r="C502" s="1" t="n">
        <v>46001</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224-2024</t>
        </is>
      </c>
      <c r="B503" s="1" t="n">
        <v>45294</v>
      </c>
      <c r="C503" s="1" t="n">
        <v>46001</v>
      </c>
      <c r="D503" t="inlineStr">
        <is>
          <t>ÖSTERGÖTLANDS LÄN</t>
        </is>
      </c>
      <c r="E503" t="inlineStr">
        <is>
          <t>LINKÖPING</t>
        </is>
      </c>
      <c r="G503" t="n">
        <v>2.8</v>
      </c>
      <c r="H503" t="n">
        <v>0</v>
      </c>
      <c r="I503" t="n">
        <v>0</v>
      </c>
      <c r="J503" t="n">
        <v>0</v>
      </c>
      <c r="K503" t="n">
        <v>0</v>
      </c>
      <c r="L503" t="n">
        <v>0</v>
      </c>
      <c r="M503" t="n">
        <v>0</v>
      </c>
      <c r="N503" t="n">
        <v>0</v>
      </c>
      <c r="O503" t="n">
        <v>0</v>
      </c>
      <c r="P503" t="n">
        <v>0</v>
      </c>
      <c r="Q503" t="n">
        <v>0</v>
      </c>
      <c r="R503" s="2" t="inlineStr"/>
    </row>
    <row r="504" ht="15" customHeight="1">
      <c r="A504" t="inlineStr">
        <is>
          <t>A 6726-2024</t>
        </is>
      </c>
      <c r="B504" s="1" t="n">
        <v>45341</v>
      </c>
      <c r="C504" s="1" t="n">
        <v>46001</v>
      </c>
      <c r="D504" t="inlineStr">
        <is>
          <t>ÖSTERGÖTLANDS LÄN</t>
        </is>
      </c>
      <c r="E504" t="inlineStr">
        <is>
          <t>LINKÖPING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53814-2023</t>
        </is>
      </c>
      <c r="B505" s="1" t="n">
        <v>45231</v>
      </c>
      <c r="C505" s="1" t="n">
        <v>46001</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60004-2022</t>
        </is>
      </c>
      <c r="B506" s="1" t="n">
        <v>44909.47206018519</v>
      </c>
      <c r="C506" s="1" t="n">
        <v>46001</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52796-2023</t>
        </is>
      </c>
      <c r="B507" s="1" t="n">
        <v>45219</v>
      </c>
      <c r="C507" s="1" t="n">
        <v>46001</v>
      </c>
      <c r="D507" t="inlineStr">
        <is>
          <t>ÖSTERGÖTLANDS LÄN</t>
        </is>
      </c>
      <c r="E507" t="inlineStr">
        <is>
          <t>LINKÖPING</t>
        </is>
      </c>
      <c r="F507" t="inlineStr">
        <is>
          <t>Övriga statliga verk och myndigheter</t>
        </is>
      </c>
      <c r="G507" t="n">
        <v>3.9</v>
      </c>
      <c r="H507" t="n">
        <v>0</v>
      </c>
      <c r="I507" t="n">
        <v>0</v>
      </c>
      <c r="J507" t="n">
        <v>0</v>
      </c>
      <c r="K507" t="n">
        <v>0</v>
      </c>
      <c r="L507" t="n">
        <v>0</v>
      </c>
      <c r="M507" t="n">
        <v>0</v>
      </c>
      <c r="N507" t="n">
        <v>0</v>
      </c>
      <c r="O507" t="n">
        <v>0</v>
      </c>
      <c r="P507" t="n">
        <v>0</v>
      </c>
      <c r="Q507" t="n">
        <v>0</v>
      </c>
      <c r="R507" s="2" t="inlineStr"/>
    </row>
    <row r="508" ht="15" customHeight="1">
      <c r="A508" t="inlineStr">
        <is>
          <t>A 50743-2023</t>
        </is>
      </c>
      <c r="B508" s="1" t="n">
        <v>45217</v>
      </c>
      <c r="C508" s="1" t="n">
        <v>46001</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45771-2023</t>
        </is>
      </c>
      <c r="B509" s="1" t="n">
        <v>45195.4384375</v>
      </c>
      <c r="C509" s="1" t="n">
        <v>46001</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63554-2023</t>
        </is>
      </c>
      <c r="B510" s="1" t="n">
        <v>45275</v>
      </c>
      <c r="C510" s="1" t="n">
        <v>46001</v>
      </c>
      <c r="D510" t="inlineStr">
        <is>
          <t>ÖSTERGÖTLANDS LÄN</t>
        </is>
      </c>
      <c r="E510" t="inlineStr">
        <is>
          <t>LINKÖPING</t>
        </is>
      </c>
      <c r="G510" t="n">
        <v>4.3</v>
      </c>
      <c r="H510" t="n">
        <v>0</v>
      </c>
      <c r="I510" t="n">
        <v>0</v>
      </c>
      <c r="J510" t="n">
        <v>0</v>
      </c>
      <c r="K510" t="n">
        <v>0</v>
      </c>
      <c r="L510" t="n">
        <v>0</v>
      </c>
      <c r="M510" t="n">
        <v>0</v>
      </c>
      <c r="N510" t="n">
        <v>0</v>
      </c>
      <c r="O510" t="n">
        <v>0</v>
      </c>
      <c r="P510" t="n">
        <v>0</v>
      </c>
      <c r="Q510" t="n">
        <v>0</v>
      </c>
      <c r="R510" s="2" t="inlineStr"/>
    </row>
    <row r="511" ht="15" customHeight="1">
      <c r="A511" t="inlineStr">
        <is>
          <t>A 30111-2024</t>
        </is>
      </c>
      <c r="B511" s="1" t="n">
        <v>45489.46947916667</v>
      </c>
      <c r="C511" s="1" t="n">
        <v>46001</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30119-2024</t>
        </is>
      </c>
      <c r="B512" s="1" t="n">
        <v>45489</v>
      </c>
      <c r="C512" s="1" t="n">
        <v>46001</v>
      </c>
      <c r="D512" t="inlineStr">
        <is>
          <t>ÖSTERGÖTLANDS LÄN</t>
        </is>
      </c>
      <c r="E512" t="inlineStr">
        <is>
          <t>LINKÖPING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6206-2024</t>
        </is>
      </c>
      <c r="B513" s="1" t="n">
        <v>45337.5977662037</v>
      </c>
      <c r="C513" s="1" t="n">
        <v>46001</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15714-2024</t>
        </is>
      </c>
      <c r="B514" s="1" t="n">
        <v>45404.48288194444</v>
      </c>
      <c r="C514" s="1" t="n">
        <v>46001</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30481-2023</t>
        </is>
      </c>
      <c r="B515" s="1" t="n">
        <v>45111</v>
      </c>
      <c r="C515" s="1" t="n">
        <v>46001</v>
      </c>
      <c r="D515" t="inlineStr">
        <is>
          <t>ÖSTERGÖTLANDS LÄN</t>
        </is>
      </c>
      <c r="E515" t="inlineStr">
        <is>
          <t>LINKÖPING</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74160-2021</t>
        </is>
      </c>
      <c r="B516" s="1" t="n">
        <v>44558</v>
      </c>
      <c r="C516" s="1" t="n">
        <v>46001</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63559-2023</t>
        </is>
      </c>
      <c r="B517" s="1" t="n">
        <v>45275.35924768518</v>
      </c>
      <c r="C517" s="1" t="n">
        <v>46001</v>
      </c>
      <c r="D517" t="inlineStr">
        <is>
          <t>ÖSTERGÖTLANDS LÄN</t>
        </is>
      </c>
      <c r="E517" t="inlineStr">
        <is>
          <t>LINKÖPING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23491-2024</t>
        </is>
      </c>
      <c r="B518" s="1" t="n">
        <v>45453</v>
      </c>
      <c r="C518" s="1" t="n">
        <v>46001</v>
      </c>
      <c r="D518" t="inlineStr">
        <is>
          <t>ÖSTERGÖTLANDS LÄN</t>
        </is>
      </c>
      <c r="E518" t="inlineStr">
        <is>
          <t>LINKÖPING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29309-2024</t>
        </is>
      </c>
      <c r="B519" s="1" t="n">
        <v>45483</v>
      </c>
      <c r="C519" s="1" t="n">
        <v>46001</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29411-2023</t>
        </is>
      </c>
      <c r="B520" s="1" t="n">
        <v>45106.46225694445</v>
      </c>
      <c r="C520" s="1" t="n">
        <v>46001</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29412-2023</t>
        </is>
      </c>
      <c r="B521" s="1" t="n">
        <v>45106.46359953703</v>
      </c>
      <c r="C521" s="1" t="n">
        <v>46001</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29413-2023</t>
        </is>
      </c>
      <c r="B522" s="1" t="n">
        <v>45106.46465277778</v>
      </c>
      <c r="C522" s="1" t="n">
        <v>46001</v>
      </c>
      <c r="D522" t="inlineStr">
        <is>
          <t>ÖSTERGÖTLANDS LÄN</t>
        </is>
      </c>
      <c r="E522" t="inlineStr">
        <is>
          <t>LINKÖPING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24151-2024</t>
        </is>
      </c>
      <c r="B523" s="1" t="n">
        <v>45456.67717592593</v>
      </c>
      <c r="C523" s="1" t="n">
        <v>46001</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63845-2021</t>
        </is>
      </c>
      <c r="B524" s="1" t="n">
        <v>44509</v>
      </c>
      <c r="C524" s="1" t="n">
        <v>46001</v>
      </c>
      <c r="D524" t="inlineStr">
        <is>
          <t>ÖSTERGÖTLANDS LÄN</t>
        </is>
      </c>
      <c r="E524" t="inlineStr">
        <is>
          <t>LINKÖPING</t>
        </is>
      </c>
      <c r="G524" t="n">
        <v>5</v>
      </c>
      <c r="H524" t="n">
        <v>0</v>
      </c>
      <c r="I524" t="n">
        <v>0</v>
      </c>
      <c r="J524" t="n">
        <v>0</v>
      </c>
      <c r="K524" t="n">
        <v>0</v>
      </c>
      <c r="L524" t="n">
        <v>0</v>
      </c>
      <c r="M524" t="n">
        <v>0</v>
      </c>
      <c r="N524" t="n">
        <v>0</v>
      </c>
      <c r="O524" t="n">
        <v>0</v>
      </c>
      <c r="P524" t="n">
        <v>0</v>
      </c>
      <c r="Q524" t="n">
        <v>0</v>
      </c>
      <c r="R524" s="2" t="inlineStr"/>
    </row>
    <row r="525" ht="15" customHeight="1">
      <c r="A525" t="inlineStr">
        <is>
          <t>A 17785-2023</t>
        </is>
      </c>
      <c r="B525" s="1" t="n">
        <v>45037.55094907407</v>
      </c>
      <c r="C525" s="1" t="n">
        <v>46001</v>
      </c>
      <c r="D525" t="inlineStr">
        <is>
          <t>ÖSTERGÖTLANDS LÄN</t>
        </is>
      </c>
      <c r="E525" t="inlineStr">
        <is>
          <t>LINKÖPING</t>
        </is>
      </c>
      <c r="F525" t="inlineStr">
        <is>
          <t>Allmännings- och besparingsskogar</t>
        </is>
      </c>
      <c r="G525" t="n">
        <v>3.1</v>
      </c>
      <c r="H525" t="n">
        <v>0</v>
      </c>
      <c r="I525" t="n">
        <v>0</v>
      </c>
      <c r="J525" t="n">
        <v>0</v>
      </c>
      <c r="K525" t="n">
        <v>0</v>
      </c>
      <c r="L525" t="n">
        <v>0</v>
      </c>
      <c r="M525" t="n">
        <v>0</v>
      </c>
      <c r="N525" t="n">
        <v>0</v>
      </c>
      <c r="O525" t="n">
        <v>0</v>
      </c>
      <c r="P525" t="n">
        <v>0</v>
      </c>
      <c r="Q525" t="n">
        <v>0</v>
      </c>
      <c r="R525" s="2" t="inlineStr"/>
    </row>
    <row r="526" ht="15" customHeight="1">
      <c r="A526" t="inlineStr">
        <is>
          <t>A 32346-2023</t>
        </is>
      </c>
      <c r="B526" s="1" t="n">
        <v>45120</v>
      </c>
      <c r="C526" s="1" t="n">
        <v>46001</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1627-2023</t>
        </is>
      </c>
      <c r="B527" s="1" t="n">
        <v>44937</v>
      </c>
      <c r="C527" s="1" t="n">
        <v>46001</v>
      </c>
      <c r="D527" t="inlineStr">
        <is>
          <t>ÖSTERGÖTLANDS LÄN</t>
        </is>
      </c>
      <c r="E527" t="inlineStr">
        <is>
          <t>LINKÖPING</t>
        </is>
      </c>
      <c r="G527" t="n">
        <v>10.8</v>
      </c>
      <c r="H527" t="n">
        <v>0</v>
      </c>
      <c r="I527" t="n">
        <v>0</v>
      </c>
      <c r="J527" t="n">
        <v>0</v>
      </c>
      <c r="K527" t="n">
        <v>0</v>
      </c>
      <c r="L527" t="n">
        <v>0</v>
      </c>
      <c r="M527" t="n">
        <v>0</v>
      </c>
      <c r="N527" t="n">
        <v>0</v>
      </c>
      <c r="O527" t="n">
        <v>0</v>
      </c>
      <c r="P527" t="n">
        <v>0</v>
      </c>
      <c r="Q527" t="n">
        <v>0</v>
      </c>
      <c r="R527" s="2" t="inlineStr"/>
    </row>
    <row r="528" ht="15" customHeight="1">
      <c r="A528" t="inlineStr">
        <is>
          <t>A 16665-2023</t>
        </is>
      </c>
      <c r="B528" s="1" t="n">
        <v>45030.5583912037</v>
      </c>
      <c r="C528" s="1" t="n">
        <v>46001</v>
      </c>
      <c r="D528" t="inlineStr">
        <is>
          <t>ÖSTERGÖTLANDS LÄN</t>
        </is>
      </c>
      <c r="E528" t="inlineStr">
        <is>
          <t>LINKÖPING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60860-2024</t>
        </is>
      </c>
      <c r="B529" s="1" t="n">
        <v>45644.6893287037</v>
      </c>
      <c r="C529" s="1" t="n">
        <v>46001</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31640-2023</t>
        </is>
      </c>
      <c r="B530" s="1" t="n">
        <v>45117</v>
      </c>
      <c r="C530" s="1" t="n">
        <v>46001</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16213-2025</t>
        </is>
      </c>
      <c r="B531" s="1" t="n">
        <v>45750.62740740741</v>
      </c>
      <c r="C531" s="1" t="n">
        <v>46001</v>
      </c>
      <c r="D531" t="inlineStr">
        <is>
          <t>ÖSTERGÖTLANDS LÄN</t>
        </is>
      </c>
      <c r="E531" t="inlineStr">
        <is>
          <t>LINKÖPING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34872-2023</t>
        </is>
      </c>
      <c r="B532" s="1" t="n">
        <v>45140</v>
      </c>
      <c r="C532" s="1" t="n">
        <v>46001</v>
      </c>
      <c r="D532" t="inlineStr">
        <is>
          <t>ÖSTERGÖTLANDS LÄN</t>
        </is>
      </c>
      <c r="E532" t="inlineStr">
        <is>
          <t>LINKÖPING</t>
        </is>
      </c>
      <c r="G532" t="n">
        <v>4.8</v>
      </c>
      <c r="H532" t="n">
        <v>0</v>
      </c>
      <c r="I532" t="n">
        <v>0</v>
      </c>
      <c r="J532" t="n">
        <v>0</v>
      </c>
      <c r="K532" t="n">
        <v>0</v>
      </c>
      <c r="L532" t="n">
        <v>0</v>
      </c>
      <c r="M532" t="n">
        <v>0</v>
      </c>
      <c r="N532" t="n">
        <v>0</v>
      </c>
      <c r="O532" t="n">
        <v>0</v>
      </c>
      <c r="P532" t="n">
        <v>0</v>
      </c>
      <c r="Q532" t="n">
        <v>0</v>
      </c>
      <c r="R532" s="2" t="inlineStr"/>
    </row>
    <row r="533" ht="15" customHeight="1">
      <c r="A533" t="inlineStr">
        <is>
          <t>A 33000-2023</t>
        </is>
      </c>
      <c r="B533" s="1" t="n">
        <v>45125</v>
      </c>
      <c r="C533" s="1" t="n">
        <v>46001</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2997-2025</t>
        </is>
      </c>
      <c r="B534" s="1" t="n">
        <v>45678.54631944445</v>
      </c>
      <c r="C534" s="1" t="n">
        <v>46001</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31534-2023</t>
        </is>
      </c>
      <c r="B535" s="1" t="n">
        <v>45116</v>
      </c>
      <c r="C535" s="1" t="n">
        <v>46001</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26803-2024</t>
        </is>
      </c>
      <c r="B536" s="1" t="n">
        <v>45470</v>
      </c>
      <c r="C536" s="1" t="n">
        <v>46001</v>
      </c>
      <c r="D536" t="inlineStr">
        <is>
          <t>ÖSTERGÖTLANDS LÄN</t>
        </is>
      </c>
      <c r="E536" t="inlineStr">
        <is>
          <t>LINKÖPING</t>
        </is>
      </c>
      <c r="F536" t="inlineStr">
        <is>
          <t>Allmännings- och besparingsskogar</t>
        </is>
      </c>
      <c r="G536" t="n">
        <v>4.5</v>
      </c>
      <c r="H536" t="n">
        <v>0</v>
      </c>
      <c r="I536" t="n">
        <v>0</v>
      </c>
      <c r="J536" t="n">
        <v>0</v>
      </c>
      <c r="K536" t="n">
        <v>0</v>
      </c>
      <c r="L536" t="n">
        <v>0</v>
      </c>
      <c r="M536" t="n">
        <v>0</v>
      </c>
      <c r="N536" t="n">
        <v>0</v>
      </c>
      <c r="O536" t="n">
        <v>0</v>
      </c>
      <c r="P536" t="n">
        <v>0</v>
      </c>
      <c r="Q536" t="n">
        <v>0</v>
      </c>
      <c r="R536" s="2" t="inlineStr"/>
    </row>
    <row r="537" ht="15" customHeight="1">
      <c r="A537" t="inlineStr">
        <is>
          <t>A 45806-2024</t>
        </is>
      </c>
      <c r="B537" s="1" t="n">
        <v>45579.69619212963</v>
      </c>
      <c r="C537" s="1" t="n">
        <v>46001</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37154-2023</t>
        </is>
      </c>
      <c r="B538" s="1" t="n">
        <v>45155</v>
      </c>
      <c r="C538" s="1" t="n">
        <v>46001</v>
      </c>
      <c r="D538" t="inlineStr">
        <is>
          <t>ÖSTERGÖTLANDS LÄN</t>
        </is>
      </c>
      <c r="E538" t="inlineStr">
        <is>
          <t>LINKÖPING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11330-2023</t>
        </is>
      </c>
      <c r="B539" s="1" t="n">
        <v>44993.24648148148</v>
      </c>
      <c r="C539" s="1" t="n">
        <v>46001</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42000-2023</t>
        </is>
      </c>
      <c r="B540" s="1" t="n">
        <v>45177</v>
      </c>
      <c r="C540" s="1" t="n">
        <v>46001</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32602-2022</t>
        </is>
      </c>
      <c r="B541" s="1" t="n">
        <v>44783.43192129629</v>
      </c>
      <c r="C541" s="1" t="n">
        <v>46001</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13413-2023</t>
        </is>
      </c>
      <c r="B542" s="1" t="n">
        <v>45005.58341435185</v>
      </c>
      <c r="C542" s="1" t="n">
        <v>46001</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63528-2023</t>
        </is>
      </c>
      <c r="B543" s="1" t="n">
        <v>45274.94810185185</v>
      </c>
      <c r="C543" s="1" t="n">
        <v>46001</v>
      </c>
      <c r="D543" t="inlineStr">
        <is>
          <t>ÖSTERGÖTLANDS LÄN</t>
        </is>
      </c>
      <c r="E543" t="inlineStr">
        <is>
          <t>LINKÖPING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63638-2023</t>
        </is>
      </c>
      <c r="B544" s="1" t="n">
        <v>45275</v>
      </c>
      <c r="C544" s="1" t="n">
        <v>46001</v>
      </c>
      <c r="D544" t="inlineStr">
        <is>
          <t>ÖSTERGÖTLANDS LÄN</t>
        </is>
      </c>
      <c r="E544" t="inlineStr">
        <is>
          <t>LINKÖPING</t>
        </is>
      </c>
      <c r="F544" t="inlineStr">
        <is>
          <t>Övriga Aktiebolag</t>
        </is>
      </c>
      <c r="G544" t="n">
        <v>2.4</v>
      </c>
      <c r="H544" t="n">
        <v>0</v>
      </c>
      <c r="I544" t="n">
        <v>0</v>
      </c>
      <c r="J544" t="n">
        <v>0</v>
      </c>
      <c r="K544" t="n">
        <v>0</v>
      </c>
      <c r="L544" t="n">
        <v>0</v>
      </c>
      <c r="M544" t="n">
        <v>0</v>
      </c>
      <c r="N544" t="n">
        <v>0</v>
      </c>
      <c r="O544" t="n">
        <v>0</v>
      </c>
      <c r="P544" t="n">
        <v>0</v>
      </c>
      <c r="Q544" t="n">
        <v>0</v>
      </c>
      <c r="R544" s="2" t="inlineStr"/>
    </row>
    <row r="545" ht="15" customHeight="1">
      <c r="A545" t="inlineStr">
        <is>
          <t>A 63658-2023</t>
        </is>
      </c>
      <c r="B545" s="1" t="n">
        <v>45275</v>
      </c>
      <c r="C545" s="1" t="n">
        <v>46001</v>
      </c>
      <c r="D545" t="inlineStr">
        <is>
          <t>ÖSTERGÖTLANDS LÄN</t>
        </is>
      </c>
      <c r="E545" t="inlineStr">
        <is>
          <t>LINKÖPING</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7808-2022</t>
        </is>
      </c>
      <c r="B546" s="1" t="n">
        <v>44608</v>
      </c>
      <c r="C546" s="1" t="n">
        <v>46001</v>
      </c>
      <c r="D546" t="inlineStr">
        <is>
          <t>ÖSTERGÖTLANDS LÄN</t>
        </is>
      </c>
      <c r="E546" t="inlineStr">
        <is>
          <t>LINKÖPING</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36336-2023</t>
        </is>
      </c>
      <c r="B547" s="1" t="n">
        <v>45152.45078703704</v>
      </c>
      <c r="C547" s="1" t="n">
        <v>46001</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56623-2024</t>
        </is>
      </c>
      <c r="B548" s="1" t="n">
        <v>45625</v>
      </c>
      <c r="C548" s="1" t="n">
        <v>46001</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13011-2022</t>
        </is>
      </c>
      <c r="B549" s="1" t="n">
        <v>44643</v>
      </c>
      <c r="C549" s="1" t="n">
        <v>46001</v>
      </c>
      <c r="D549" t="inlineStr">
        <is>
          <t>ÖSTERGÖTLANDS LÄN</t>
        </is>
      </c>
      <c r="E549" t="inlineStr">
        <is>
          <t>LINKÖPING</t>
        </is>
      </c>
      <c r="G549" t="n">
        <v>3.7</v>
      </c>
      <c r="H549" t="n">
        <v>0</v>
      </c>
      <c r="I549" t="n">
        <v>0</v>
      </c>
      <c r="J549" t="n">
        <v>0</v>
      </c>
      <c r="K549" t="n">
        <v>0</v>
      </c>
      <c r="L549" t="n">
        <v>0</v>
      </c>
      <c r="M549" t="n">
        <v>0</v>
      </c>
      <c r="N549" t="n">
        <v>0</v>
      </c>
      <c r="O549" t="n">
        <v>0</v>
      </c>
      <c r="P549" t="n">
        <v>0</v>
      </c>
      <c r="Q549" t="n">
        <v>0</v>
      </c>
      <c r="R549" s="2" t="inlineStr"/>
    </row>
    <row r="550" ht="15" customHeight="1">
      <c r="A550" t="inlineStr">
        <is>
          <t>A 11595-2025</t>
        </is>
      </c>
      <c r="B550" s="1" t="n">
        <v>45727.41893518518</v>
      </c>
      <c r="C550" s="1" t="n">
        <v>46001</v>
      </c>
      <c r="D550" t="inlineStr">
        <is>
          <t>ÖSTERGÖTLANDS LÄN</t>
        </is>
      </c>
      <c r="E550" t="inlineStr">
        <is>
          <t>LINKÖPING</t>
        </is>
      </c>
      <c r="G550" t="n">
        <v>6.6</v>
      </c>
      <c r="H550" t="n">
        <v>0</v>
      </c>
      <c r="I550" t="n">
        <v>0</v>
      </c>
      <c r="J550" t="n">
        <v>0</v>
      </c>
      <c r="K550" t="n">
        <v>0</v>
      </c>
      <c r="L550" t="n">
        <v>0</v>
      </c>
      <c r="M550" t="n">
        <v>0</v>
      </c>
      <c r="N550" t="n">
        <v>0</v>
      </c>
      <c r="O550" t="n">
        <v>0</v>
      </c>
      <c r="P550" t="n">
        <v>0</v>
      </c>
      <c r="Q550" t="n">
        <v>0</v>
      </c>
      <c r="R550" s="2" t="inlineStr"/>
    </row>
    <row r="551" ht="15" customHeight="1">
      <c r="A551" t="inlineStr">
        <is>
          <t>A 50508-2024</t>
        </is>
      </c>
      <c r="B551" s="1" t="n">
        <v>45601.53907407408</v>
      </c>
      <c r="C551" s="1" t="n">
        <v>46001</v>
      </c>
      <c r="D551" t="inlineStr">
        <is>
          <t>ÖSTERGÖTLANDS LÄN</t>
        </is>
      </c>
      <c r="E551" t="inlineStr">
        <is>
          <t>LINKÖPING</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36336-2022</t>
        </is>
      </c>
      <c r="B552" s="1" t="n">
        <v>44803</v>
      </c>
      <c r="C552" s="1" t="n">
        <v>46001</v>
      </c>
      <c r="D552" t="inlineStr">
        <is>
          <t>ÖSTERGÖTLANDS LÄN</t>
        </is>
      </c>
      <c r="E552" t="inlineStr">
        <is>
          <t>LINKÖPING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48839-2022</t>
        </is>
      </c>
      <c r="B553" s="1" t="n">
        <v>44859</v>
      </c>
      <c r="C553" s="1" t="n">
        <v>46001</v>
      </c>
      <c r="D553" t="inlineStr">
        <is>
          <t>ÖSTERGÖTLANDS LÄN</t>
        </is>
      </c>
      <c r="E553" t="inlineStr">
        <is>
          <t>LINKÖPING</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6387-2022</t>
        </is>
      </c>
      <c r="B554" s="1" t="n">
        <v>44600</v>
      </c>
      <c r="C554" s="1" t="n">
        <v>46001</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34641-2022</t>
        </is>
      </c>
      <c r="B555" s="1" t="n">
        <v>44795</v>
      </c>
      <c r="C555" s="1" t="n">
        <v>46001</v>
      </c>
      <c r="D555" t="inlineStr">
        <is>
          <t>ÖSTERGÖTLANDS LÄN</t>
        </is>
      </c>
      <c r="E555" t="inlineStr">
        <is>
          <t>LINKÖPING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13687-2025</t>
        </is>
      </c>
      <c r="B556" s="1" t="n">
        <v>45737.31425925926</v>
      </c>
      <c r="C556" s="1" t="n">
        <v>46001</v>
      </c>
      <c r="D556" t="inlineStr">
        <is>
          <t>ÖSTERGÖTLANDS LÄN</t>
        </is>
      </c>
      <c r="E556" t="inlineStr">
        <is>
          <t>LINKÖPING</t>
        </is>
      </c>
      <c r="G556" t="n">
        <v>2.7</v>
      </c>
      <c r="H556" t="n">
        <v>0</v>
      </c>
      <c r="I556" t="n">
        <v>0</v>
      </c>
      <c r="J556" t="n">
        <v>0</v>
      </c>
      <c r="K556" t="n">
        <v>0</v>
      </c>
      <c r="L556" t="n">
        <v>0</v>
      </c>
      <c r="M556" t="n">
        <v>0</v>
      </c>
      <c r="N556" t="n">
        <v>0</v>
      </c>
      <c r="O556" t="n">
        <v>0</v>
      </c>
      <c r="P556" t="n">
        <v>0</v>
      </c>
      <c r="Q556" t="n">
        <v>0</v>
      </c>
      <c r="R556" s="2" t="inlineStr"/>
    </row>
    <row r="557" ht="15" customHeight="1">
      <c r="A557" t="inlineStr">
        <is>
          <t>A 13695-2025</t>
        </is>
      </c>
      <c r="B557" s="1" t="n">
        <v>45737.32219907407</v>
      </c>
      <c r="C557" s="1" t="n">
        <v>46001</v>
      </c>
      <c r="D557" t="inlineStr">
        <is>
          <t>ÖSTERGÖTLANDS LÄN</t>
        </is>
      </c>
      <c r="E557" t="inlineStr">
        <is>
          <t>LINKÖPING</t>
        </is>
      </c>
      <c r="G557" t="n">
        <v>5.3</v>
      </c>
      <c r="H557" t="n">
        <v>0</v>
      </c>
      <c r="I557" t="n">
        <v>0</v>
      </c>
      <c r="J557" t="n">
        <v>0</v>
      </c>
      <c r="K557" t="n">
        <v>0</v>
      </c>
      <c r="L557" t="n">
        <v>0</v>
      </c>
      <c r="M557" t="n">
        <v>0</v>
      </c>
      <c r="N557" t="n">
        <v>0</v>
      </c>
      <c r="O557" t="n">
        <v>0</v>
      </c>
      <c r="P557" t="n">
        <v>0</v>
      </c>
      <c r="Q557" t="n">
        <v>0</v>
      </c>
      <c r="R557" s="2" t="inlineStr"/>
    </row>
    <row r="558" ht="15" customHeight="1">
      <c r="A558" t="inlineStr">
        <is>
          <t>A 52413-2023</t>
        </is>
      </c>
      <c r="B558" s="1" t="n">
        <v>45225.27950231481</v>
      </c>
      <c r="C558" s="1" t="n">
        <v>46001</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42054-2022</t>
        </is>
      </c>
      <c r="B559" s="1" t="n">
        <v>44830</v>
      </c>
      <c r="C559" s="1" t="n">
        <v>46001</v>
      </c>
      <c r="D559" t="inlineStr">
        <is>
          <t>ÖSTERGÖTLANDS LÄN</t>
        </is>
      </c>
      <c r="E559" t="inlineStr">
        <is>
          <t>LINKÖPING</t>
        </is>
      </c>
      <c r="G559" t="n">
        <v>1.7</v>
      </c>
      <c r="H559" t="n">
        <v>0</v>
      </c>
      <c r="I559" t="n">
        <v>0</v>
      </c>
      <c r="J559" t="n">
        <v>0</v>
      </c>
      <c r="K559" t="n">
        <v>0</v>
      </c>
      <c r="L559" t="n">
        <v>0</v>
      </c>
      <c r="M559" t="n">
        <v>0</v>
      </c>
      <c r="N559" t="n">
        <v>0</v>
      </c>
      <c r="O559" t="n">
        <v>0</v>
      </c>
      <c r="P559" t="n">
        <v>0</v>
      </c>
      <c r="Q559" t="n">
        <v>0</v>
      </c>
      <c r="R559" s="2" t="inlineStr"/>
    </row>
    <row r="560" ht="15" customHeight="1">
      <c r="A560" t="inlineStr">
        <is>
          <t>A 53797-2023</t>
        </is>
      </c>
      <c r="B560" s="1" t="n">
        <v>45230</v>
      </c>
      <c r="C560" s="1" t="n">
        <v>46001</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22833-2023</t>
        </is>
      </c>
      <c r="B561" s="1" t="n">
        <v>45071</v>
      </c>
      <c r="C561" s="1" t="n">
        <v>46001</v>
      </c>
      <c r="D561" t="inlineStr">
        <is>
          <t>ÖSTERGÖTLANDS LÄN</t>
        </is>
      </c>
      <c r="E561" t="inlineStr">
        <is>
          <t>LINKÖPING</t>
        </is>
      </c>
      <c r="F561" t="inlineStr">
        <is>
          <t>Kommuner</t>
        </is>
      </c>
      <c r="G561" t="n">
        <v>1</v>
      </c>
      <c r="H561" t="n">
        <v>0</v>
      </c>
      <c r="I561" t="n">
        <v>0</v>
      </c>
      <c r="J561" t="n">
        <v>0</v>
      </c>
      <c r="K561" t="n">
        <v>0</v>
      </c>
      <c r="L561" t="n">
        <v>0</v>
      </c>
      <c r="M561" t="n">
        <v>0</v>
      </c>
      <c r="N561" t="n">
        <v>0</v>
      </c>
      <c r="O561" t="n">
        <v>0</v>
      </c>
      <c r="P561" t="n">
        <v>0</v>
      </c>
      <c r="Q561" t="n">
        <v>0</v>
      </c>
      <c r="R561" s="2" t="inlineStr"/>
    </row>
    <row r="562" ht="15" customHeight="1">
      <c r="A562" t="inlineStr">
        <is>
          <t>A 17898-2022</t>
        </is>
      </c>
      <c r="B562" s="1" t="n">
        <v>44683</v>
      </c>
      <c r="C562" s="1" t="n">
        <v>46001</v>
      </c>
      <c r="D562" t="inlineStr">
        <is>
          <t>ÖSTERGÖTLANDS LÄN</t>
        </is>
      </c>
      <c r="E562" t="inlineStr">
        <is>
          <t>LINKÖPING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62017-2024</t>
        </is>
      </c>
      <c r="B563" s="1" t="n">
        <v>45655.81140046296</v>
      </c>
      <c r="C563" s="1" t="n">
        <v>46001</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12411-2022</t>
        </is>
      </c>
      <c r="B564" s="1" t="n">
        <v>44638.21601851852</v>
      </c>
      <c r="C564" s="1" t="n">
        <v>46001</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10492-2022</t>
        </is>
      </c>
      <c r="B565" s="1" t="n">
        <v>44623.6377199074</v>
      </c>
      <c r="C565" s="1" t="n">
        <v>46001</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7343-2025</t>
        </is>
      </c>
      <c r="B566" s="1" t="n">
        <v>45703.67853009259</v>
      </c>
      <c r="C566" s="1" t="n">
        <v>46001</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8967-2025</t>
        </is>
      </c>
      <c r="B567" s="1" t="n">
        <v>45712</v>
      </c>
      <c r="C567" s="1" t="n">
        <v>46001</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35427-2023</t>
        </is>
      </c>
      <c r="B568" s="1" t="n">
        <v>45146</v>
      </c>
      <c r="C568" s="1" t="n">
        <v>46001</v>
      </c>
      <c r="D568" t="inlineStr">
        <is>
          <t>ÖSTERGÖTLANDS LÄN</t>
        </is>
      </c>
      <c r="E568" t="inlineStr">
        <is>
          <t>LINKÖPING</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30468-2023</t>
        </is>
      </c>
      <c r="B569" s="1" t="n">
        <v>45111.58732638889</v>
      </c>
      <c r="C569" s="1" t="n">
        <v>46001</v>
      </c>
      <c r="D569" t="inlineStr">
        <is>
          <t>ÖSTERGÖTLANDS LÄN</t>
        </is>
      </c>
      <c r="E569" t="inlineStr">
        <is>
          <t>LINKÖPING</t>
        </is>
      </c>
      <c r="G569" t="n">
        <v>10.1</v>
      </c>
      <c r="H569" t="n">
        <v>0</v>
      </c>
      <c r="I569" t="n">
        <v>0</v>
      </c>
      <c r="J569" t="n">
        <v>0</v>
      </c>
      <c r="K569" t="n">
        <v>0</v>
      </c>
      <c r="L569" t="n">
        <v>0</v>
      </c>
      <c r="M569" t="n">
        <v>0</v>
      </c>
      <c r="N569" t="n">
        <v>0</v>
      </c>
      <c r="O569" t="n">
        <v>0</v>
      </c>
      <c r="P569" t="n">
        <v>0</v>
      </c>
      <c r="Q569" t="n">
        <v>0</v>
      </c>
      <c r="R569" s="2" t="inlineStr"/>
    </row>
    <row r="570" ht="15" customHeight="1">
      <c r="A570" t="inlineStr">
        <is>
          <t>A 20296-2025</t>
        </is>
      </c>
      <c r="B570" s="1" t="n">
        <v>45774.74922453704</v>
      </c>
      <c r="C570" s="1" t="n">
        <v>46001</v>
      </c>
      <c r="D570" t="inlineStr">
        <is>
          <t>ÖSTERGÖTLANDS LÄN</t>
        </is>
      </c>
      <c r="E570" t="inlineStr">
        <is>
          <t>LINKÖPING</t>
        </is>
      </c>
      <c r="G570" t="n">
        <v>2.2</v>
      </c>
      <c r="H570" t="n">
        <v>0</v>
      </c>
      <c r="I570" t="n">
        <v>0</v>
      </c>
      <c r="J570" t="n">
        <v>0</v>
      </c>
      <c r="K570" t="n">
        <v>0</v>
      </c>
      <c r="L570" t="n">
        <v>0</v>
      </c>
      <c r="M570" t="n">
        <v>0</v>
      </c>
      <c r="N570" t="n">
        <v>0</v>
      </c>
      <c r="O570" t="n">
        <v>0</v>
      </c>
      <c r="P570" t="n">
        <v>0</v>
      </c>
      <c r="Q570" t="n">
        <v>0</v>
      </c>
      <c r="R570" s="2" t="inlineStr"/>
    </row>
    <row r="571" ht="15" customHeight="1">
      <c r="A571" t="inlineStr">
        <is>
          <t>A 56841-2023</t>
        </is>
      </c>
      <c r="B571" s="1" t="n">
        <v>45244</v>
      </c>
      <c r="C571" s="1" t="n">
        <v>46001</v>
      </c>
      <c r="D571" t="inlineStr">
        <is>
          <t>ÖSTERGÖTLANDS LÄN</t>
        </is>
      </c>
      <c r="E571" t="inlineStr">
        <is>
          <t>LINKÖPING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53812-2023</t>
        </is>
      </c>
      <c r="B572" s="1" t="n">
        <v>45231.39583333334</v>
      </c>
      <c r="C572" s="1" t="n">
        <v>46001</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53830-2023</t>
        </is>
      </c>
      <c r="B573" s="1" t="n">
        <v>45230</v>
      </c>
      <c r="C573" s="1" t="n">
        <v>46001</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38715-2023</t>
        </is>
      </c>
      <c r="B574" s="1" t="n">
        <v>45160</v>
      </c>
      <c r="C574" s="1" t="n">
        <v>46001</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27766-2022</t>
        </is>
      </c>
      <c r="B575" s="1" t="n">
        <v>44743.53112268518</v>
      </c>
      <c r="C575" s="1" t="n">
        <v>46001</v>
      </c>
      <c r="D575" t="inlineStr">
        <is>
          <t>ÖSTERGÖTLANDS LÄN</t>
        </is>
      </c>
      <c r="E575" t="inlineStr">
        <is>
          <t>LINKÖPING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48271-2023</t>
        </is>
      </c>
      <c r="B576" s="1" t="n">
        <v>45205</v>
      </c>
      <c r="C576" s="1" t="n">
        <v>46001</v>
      </c>
      <c r="D576" t="inlineStr">
        <is>
          <t>ÖSTERGÖTLANDS LÄN</t>
        </is>
      </c>
      <c r="E576" t="inlineStr">
        <is>
          <t>LINKÖPING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13266-2025</t>
        </is>
      </c>
      <c r="B577" s="1" t="n">
        <v>45735.53318287037</v>
      </c>
      <c r="C577" s="1" t="n">
        <v>46001</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60001-2022</t>
        </is>
      </c>
      <c r="B578" s="1" t="n">
        <v>44909.47087962963</v>
      </c>
      <c r="C578" s="1" t="n">
        <v>46001</v>
      </c>
      <c r="D578" t="inlineStr">
        <is>
          <t>ÖSTERGÖTLANDS LÄN</t>
        </is>
      </c>
      <c r="E578" t="inlineStr">
        <is>
          <t>LINKÖPING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1657-2024</t>
        </is>
      </c>
      <c r="B579" s="1" t="n">
        <v>45306.82501157407</v>
      </c>
      <c r="C579" s="1" t="n">
        <v>46001</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30976-2022</t>
        </is>
      </c>
      <c r="B580" s="1" t="n">
        <v>44768</v>
      </c>
      <c r="C580" s="1" t="n">
        <v>46001</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30860-2022</t>
        </is>
      </c>
      <c r="B581" s="1" t="n">
        <v>44767</v>
      </c>
      <c r="C581" s="1" t="n">
        <v>46001</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48186-2022</t>
        </is>
      </c>
      <c r="B582" s="1" t="n">
        <v>44858</v>
      </c>
      <c r="C582" s="1" t="n">
        <v>46001</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28266-2024</t>
        </is>
      </c>
      <c r="B583" s="1" t="n">
        <v>45477.43600694444</v>
      </c>
      <c r="C583" s="1" t="n">
        <v>46001</v>
      </c>
      <c r="D583" t="inlineStr">
        <is>
          <t>ÖSTERGÖTLANDS LÄN</t>
        </is>
      </c>
      <c r="E583" t="inlineStr">
        <is>
          <t>LINKÖPING</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31548-2022</t>
        </is>
      </c>
      <c r="B584" s="1" t="n">
        <v>44775.39832175926</v>
      </c>
      <c r="C584" s="1" t="n">
        <v>46001</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1211-2023</t>
        </is>
      </c>
      <c r="B585" s="1" t="n">
        <v>44930</v>
      </c>
      <c r="C585" s="1" t="n">
        <v>46001</v>
      </c>
      <c r="D585" t="inlineStr">
        <is>
          <t>ÖSTERGÖTLANDS LÄN</t>
        </is>
      </c>
      <c r="E585" t="inlineStr">
        <is>
          <t>LINKÖPING</t>
        </is>
      </c>
      <c r="F585" t="inlineStr">
        <is>
          <t>Övriga statliga verk och myndigheter</t>
        </is>
      </c>
      <c r="G585" t="n">
        <v>7.9</v>
      </c>
      <c r="H585" t="n">
        <v>0</v>
      </c>
      <c r="I585" t="n">
        <v>0</v>
      </c>
      <c r="J585" t="n">
        <v>0</v>
      </c>
      <c r="K585" t="n">
        <v>0</v>
      </c>
      <c r="L585" t="n">
        <v>0</v>
      </c>
      <c r="M585" t="n">
        <v>0</v>
      </c>
      <c r="N585" t="n">
        <v>0</v>
      </c>
      <c r="O585" t="n">
        <v>0</v>
      </c>
      <c r="P585" t="n">
        <v>0</v>
      </c>
      <c r="Q585" t="n">
        <v>0</v>
      </c>
      <c r="R585" s="2" t="inlineStr"/>
    </row>
    <row r="586" ht="15" customHeight="1">
      <c r="A586" t="inlineStr">
        <is>
          <t>A 51191-2022</t>
        </is>
      </c>
      <c r="B586" s="1" t="n">
        <v>44865</v>
      </c>
      <c r="C586" s="1" t="n">
        <v>46001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55632-2022</t>
        </is>
      </c>
      <c r="B587" s="1" t="n">
        <v>44888</v>
      </c>
      <c r="C587" s="1" t="n">
        <v>46001</v>
      </c>
      <c r="D587" t="inlineStr">
        <is>
          <t>ÖSTERGÖTLANDS LÄN</t>
        </is>
      </c>
      <c r="E587" t="inlineStr">
        <is>
          <t>LINKÖPING</t>
        </is>
      </c>
      <c r="G587" t="n">
        <v>1.8</v>
      </c>
      <c r="H587" t="n">
        <v>0</v>
      </c>
      <c r="I587" t="n">
        <v>0</v>
      </c>
      <c r="J587" t="n">
        <v>0</v>
      </c>
      <c r="K587" t="n">
        <v>0</v>
      </c>
      <c r="L587" t="n">
        <v>0</v>
      </c>
      <c r="M587" t="n">
        <v>0</v>
      </c>
      <c r="N587" t="n">
        <v>0</v>
      </c>
      <c r="O587" t="n">
        <v>0</v>
      </c>
      <c r="P587" t="n">
        <v>0</v>
      </c>
      <c r="Q587" t="n">
        <v>0</v>
      </c>
      <c r="R587" s="2" t="inlineStr"/>
    </row>
    <row r="588" ht="15" customHeight="1">
      <c r="A588" t="inlineStr">
        <is>
          <t>A 63669-2023</t>
        </is>
      </c>
      <c r="B588" s="1" t="n">
        <v>45275</v>
      </c>
      <c r="C588" s="1" t="n">
        <v>46001</v>
      </c>
      <c r="D588" t="inlineStr">
        <is>
          <t>ÖSTERGÖTLANDS LÄN</t>
        </is>
      </c>
      <c r="E588" t="inlineStr">
        <is>
          <t>LINKÖPING</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12289-2025</t>
        </is>
      </c>
      <c r="B589" s="1" t="n">
        <v>45729</v>
      </c>
      <c r="C589" s="1" t="n">
        <v>46001</v>
      </c>
      <c r="D589" t="inlineStr">
        <is>
          <t>ÖSTERGÖTLANDS LÄN</t>
        </is>
      </c>
      <c r="E589" t="inlineStr">
        <is>
          <t>LINKÖPING</t>
        </is>
      </c>
      <c r="F589" t="inlineStr">
        <is>
          <t>Övriga statliga verk och myndigheter</t>
        </is>
      </c>
      <c r="G589" t="n">
        <v>6.5</v>
      </c>
      <c r="H589" t="n">
        <v>0</v>
      </c>
      <c r="I589" t="n">
        <v>0</v>
      </c>
      <c r="J589" t="n">
        <v>0</v>
      </c>
      <c r="K589" t="n">
        <v>0</v>
      </c>
      <c r="L589" t="n">
        <v>0</v>
      </c>
      <c r="M589" t="n">
        <v>0</v>
      </c>
      <c r="N589" t="n">
        <v>0</v>
      </c>
      <c r="O589" t="n">
        <v>0</v>
      </c>
      <c r="P589" t="n">
        <v>0</v>
      </c>
      <c r="Q589" t="n">
        <v>0</v>
      </c>
      <c r="R589" s="2" t="inlineStr"/>
    </row>
    <row r="590" ht="15" customHeight="1">
      <c r="A590" t="inlineStr">
        <is>
          <t>A 36657-2023</t>
        </is>
      </c>
      <c r="B590" s="1" t="n">
        <v>45153.5702662037</v>
      </c>
      <c r="C590" s="1" t="n">
        <v>46001</v>
      </c>
      <c r="D590" t="inlineStr">
        <is>
          <t>ÖSTERGÖTLANDS LÄN</t>
        </is>
      </c>
      <c r="E590" t="inlineStr">
        <is>
          <t>LINKÖPING</t>
        </is>
      </c>
      <c r="F590" t="inlineStr">
        <is>
          <t>Allmännings- och besparingsskogar</t>
        </is>
      </c>
      <c r="G590" t="n">
        <v>2</v>
      </c>
      <c r="H590" t="n">
        <v>0</v>
      </c>
      <c r="I590" t="n">
        <v>0</v>
      </c>
      <c r="J590" t="n">
        <v>0</v>
      </c>
      <c r="K590" t="n">
        <v>0</v>
      </c>
      <c r="L590" t="n">
        <v>0</v>
      </c>
      <c r="M590" t="n">
        <v>0</v>
      </c>
      <c r="N590" t="n">
        <v>0</v>
      </c>
      <c r="O590" t="n">
        <v>0</v>
      </c>
      <c r="P590" t="n">
        <v>0</v>
      </c>
      <c r="Q590" t="n">
        <v>0</v>
      </c>
      <c r="R590" s="2" t="inlineStr"/>
    </row>
    <row r="591" ht="15" customHeight="1">
      <c r="A591" t="inlineStr">
        <is>
          <t>A 19169-2023</t>
        </is>
      </c>
      <c r="B591" s="1" t="n">
        <v>45044</v>
      </c>
      <c r="C591" s="1" t="n">
        <v>46001</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1209-2023</t>
        </is>
      </c>
      <c r="B592" s="1" t="n">
        <v>44930</v>
      </c>
      <c r="C592" s="1" t="n">
        <v>46001</v>
      </c>
      <c r="D592" t="inlineStr">
        <is>
          <t>ÖSTERGÖTLANDS LÄN</t>
        </is>
      </c>
      <c r="E592" t="inlineStr">
        <is>
          <t>LINKÖPING</t>
        </is>
      </c>
      <c r="F592" t="inlineStr">
        <is>
          <t>Övriga statliga verk och myndigheter</t>
        </is>
      </c>
      <c r="G592" t="n">
        <v>25.8</v>
      </c>
      <c r="H592" t="n">
        <v>0</v>
      </c>
      <c r="I592" t="n">
        <v>0</v>
      </c>
      <c r="J592" t="n">
        <v>0</v>
      </c>
      <c r="K592" t="n">
        <v>0</v>
      </c>
      <c r="L592" t="n">
        <v>0</v>
      </c>
      <c r="M592" t="n">
        <v>0</v>
      </c>
      <c r="N592" t="n">
        <v>0</v>
      </c>
      <c r="O592" t="n">
        <v>0</v>
      </c>
      <c r="P592" t="n">
        <v>0</v>
      </c>
      <c r="Q592" t="n">
        <v>0</v>
      </c>
      <c r="R592" s="2" t="inlineStr"/>
    </row>
    <row r="593" ht="15" customHeight="1">
      <c r="A593" t="inlineStr">
        <is>
          <t>A 2085-2024</t>
        </is>
      </c>
      <c r="B593" s="1" t="n">
        <v>45309</v>
      </c>
      <c r="C593" s="1" t="n">
        <v>46001</v>
      </c>
      <c r="D593" t="inlineStr">
        <is>
          <t>ÖSTERGÖTLANDS LÄN</t>
        </is>
      </c>
      <c r="E593" t="inlineStr">
        <is>
          <t>LINKÖPING</t>
        </is>
      </c>
      <c r="G593" t="n">
        <v>4.5</v>
      </c>
      <c r="H593" t="n">
        <v>0</v>
      </c>
      <c r="I593" t="n">
        <v>0</v>
      </c>
      <c r="J593" t="n">
        <v>0</v>
      </c>
      <c r="K593" t="n">
        <v>0</v>
      </c>
      <c r="L593" t="n">
        <v>0</v>
      </c>
      <c r="M593" t="n">
        <v>0</v>
      </c>
      <c r="N593" t="n">
        <v>0</v>
      </c>
      <c r="O593" t="n">
        <v>0</v>
      </c>
      <c r="P593" t="n">
        <v>0</v>
      </c>
      <c r="Q593" t="n">
        <v>0</v>
      </c>
      <c r="R593" s="2" t="inlineStr"/>
    </row>
    <row r="594" ht="15" customHeight="1">
      <c r="A594" t="inlineStr">
        <is>
          <t>A 48-2024</t>
        </is>
      </c>
      <c r="B594" s="1" t="n">
        <v>45293</v>
      </c>
      <c r="C594" s="1" t="n">
        <v>46001</v>
      </c>
      <c r="D594" t="inlineStr">
        <is>
          <t>ÖSTERGÖTLANDS LÄN</t>
        </is>
      </c>
      <c r="E594" t="inlineStr">
        <is>
          <t>LINKÖPING</t>
        </is>
      </c>
      <c r="G594" t="n">
        <v>4.6</v>
      </c>
      <c r="H594" t="n">
        <v>0</v>
      </c>
      <c r="I594" t="n">
        <v>0</v>
      </c>
      <c r="J594" t="n">
        <v>0</v>
      </c>
      <c r="K594" t="n">
        <v>0</v>
      </c>
      <c r="L594" t="n">
        <v>0</v>
      </c>
      <c r="M594" t="n">
        <v>0</v>
      </c>
      <c r="N594" t="n">
        <v>0</v>
      </c>
      <c r="O594" t="n">
        <v>0</v>
      </c>
      <c r="P594" t="n">
        <v>0</v>
      </c>
      <c r="Q594" t="n">
        <v>0</v>
      </c>
      <c r="R594" s="2" t="inlineStr"/>
    </row>
    <row r="595" ht="15" customHeight="1">
      <c r="A595" t="inlineStr">
        <is>
          <t>A 56560-2023</t>
        </is>
      </c>
      <c r="B595" s="1" t="n">
        <v>45238</v>
      </c>
      <c r="C595" s="1" t="n">
        <v>46001</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19132-2023</t>
        </is>
      </c>
      <c r="B596" s="1" t="n">
        <v>45048.54754629629</v>
      </c>
      <c r="C596" s="1" t="n">
        <v>46001</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52412-2023</t>
        </is>
      </c>
      <c r="B597" s="1" t="n">
        <v>45225.27888888889</v>
      </c>
      <c r="C597" s="1" t="n">
        <v>46001</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62492-2023</t>
        </is>
      </c>
      <c r="B598" s="1" t="n">
        <v>45268.58987268519</v>
      </c>
      <c r="C598" s="1" t="n">
        <v>46001</v>
      </c>
      <c r="D598" t="inlineStr">
        <is>
          <t>ÖSTERGÖTLANDS LÄN</t>
        </is>
      </c>
      <c r="E598" t="inlineStr">
        <is>
          <t>LINKÖPING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38230-2023</t>
        </is>
      </c>
      <c r="B599" s="1" t="n">
        <v>45161.55373842592</v>
      </c>
      <c r="C599" s="1" t="n">
        <v>46001</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56756-2023</t>
        </is>
      </c>
      <c r="B600" s="1" t="n">
        <v>45244</v>
      </c>
      <c r="C600" s="1" t="n">
        <v>46001</v>
      </c>
      <c r="D600" t="inlineStr">
        <is>
          <t>ÖSTERGÖTLANDS LÄN</t>
        </is>
      </c>
      <c r="E600" t="inlineStr">
        <is>
          <t>LINKÖPING</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38886-2024</t>
        </is>
      </c>
      <c r="B601" s="1" t="n">
        <v>45547.66443287037</v>
      </c>
      <c r="C601" s="1" t="n">
        <v>46001</v>
      </c>
      <c r="D601" t="inlineStr">
        <is>
          <t>ÖSTERGÖTLANDS LÄN</t>
        </is>
      </c>
      <c r="E601" t="inlineStr">
        <is>
          <t>LINKÖPING</t>
        </is>
      </c>
      <c r="G601" t="n">
        <v>5.3</v>
      </c>
      <c r="H601" t="n">
        <v>0</v>
      </c>
      <c r="I601" t="n">
        <v>0</v>
      </c>
      <c r="J601" t="n">
        <v>0</v>
      </c>
      <c r="K601" t="n">
        <v>0</v>
      </c>
      <c r="L601" t="n">
        <v>0</v>
      </c>
      <c r="M601" t="n">
        <v>0</v>
      </c>
      <c r="N601" t="n">
        <v>0</v>
      </c>
      <c r="O601" t="n">
        <v>0</v>
      </c>
      <c r="P601" t="n">
        <v>0</v>
      </c>
      <c r="Q601" t="n">
        <v>0</v>
      </c>
      <c r="R601" s="2" t="inlineStr"/>
    </row>
    <row r="602" ht="15" customHeight="1">
      <c r="A602" t="inlineStr">
        <is>
          <t>A 11590-2023</t>
        </is>
      </c>
      <c r="B602" s="1" t="n">
        <v>44994.36689814815</v>
      </c>
      <c r="C602" s="1" t="n">
        <v>46001</v>
      </c>
      <c r="D602" t="inlineStr">
        <is>
          <t>ÖSTERGÖTLANDS LÄN</t>
        </is>
      </c>
      <c r="E602" t="inlineStr">
        <is>
          <t>LINKÖPING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10461-2023</t>
        </is>
      </c>
      <c r="B603" s="1" t="n">
        <v>44987.5969212963</v>
      </c>
      <c r="C603" s="1" t="n">
        <v>46001</v>
      </c>
      <c r="D603" t="inlineStr">
        <is>
          <t>ÖSTERGÖTLANDS LÄN</t>
        </is>
      </c>
      <c r="E603" t="inlineStr">
        <is>
          <t>LINKÖPING</t>
        </is>
      </c>
      <c r="G603" t="n">
        <v>7.8</v>
      </c>
      <c r="H603" t="n">
        <v>0</v>
      </c>
      <c r="I603" t="n">
        <v>0</v>
      </c>
      <c r="J603" t="n">
        <v>0</v>
      </c>
      <c r="K603" t="n">
        <v>0</v>
      </c>
      <c r="L603" t="n">
        <v>0</v>
      </c>
      <c r="M603" t="n">
        <v>0</v>
      </c>
      <c r="N603" t="n">
        <v>0</v>
      </c>
      <c r="O603" t="n">
        <v>0</v>
      </c>
      <c r="P603" t="n">
        <v>0</v>
      </c>
      <c r="Q603" t="n">
        <v>0</v>
      </c>
      <c r="R603" s="2" t="inlineStr"/>
    </row>
    <row r="604" ht="15" customHeight="1">
      <c r="A604" t="inlineStr">
        <is>
          <t>A 41345-2021</t>
        </is>
      </c>
      <c r="B604" s="1" t="n">
        <v>44424.61851851852</v>
      </c>
      <c r="C604" s="1" t="n">
        <v>46001</v>
      </c>
      <c r="D604" t="inlineStr">
        <is>
          <t>ÖSTERGÖTLANDS LÄN</t>
        </is>
      </c>
      <c r="E604" t="inlineStr">
        <is>
          <t>LINKÖPING</t>
        </is>
      </c>
      <c r="F604" t="inlineStr">
        <is>
          <t>Sveaskog</t>
        </is>
      </c>
      <c r="G604" t="n">
        <v>6.3</v>
      </c>
      <c r="H604" t="n">
        <v>0</v>
      </c>
      <c r="I604" t="n">
        <v>0</v>
      </c>
      <c r="J604" t="n">
        <v>0</v>
      </c>
      <c r="K604" t="n">
        <v>0</v>
      </c>
      <c r="L604" t="n">
        <v>0</v>
      </c>
      <c r="M604" t="n">
        <v>0</v>
      </c>
      <c r="N604" t="n">
        <v>0</v>
      </c>
      <c r="O604" t="n">
        <v>0</v>
      </c>
      <c r="P604" t="n">
        <v>0</v>
      </c>
      <c r="Q604" t="n">
        <v>0</v>
      </c>
      <c r="R604" s="2" t="inlineStr"/>
    </row>
    <row r="605" ht="15" customHeight="1">
      <c r="A605" t="inlineStr">
        <is>
          <t>A 67129-2020</t>
        </is>
      </c>
      <c r="B605" s="1" t="n">
        <v>44180</v>
      </c>
      <c r="C605" s="1" t="n">
        <v>46001</v>
      </c>
      <c r="D605" t="inlineStr">
        <is>
          <t>ÖSTERGÖTLANDS LÄN</t>
        </is>
      </c>
      <c r="E605" t="inlineStr">
        <is>
          <t>LINKÖPING</t>
        </is>
      </c>
      <c r="F605" t="inlineStr">
        <is>
          <t>Övriga statliga verk och myndigheter</t>
        </is>
      </c>
      <c r="G605" t="n">
        <v>2.7</v>
      </c>
      <c r="H605" t="n">
        <v>0</v>
      </c>
      <c r="I605" t="n">
        <v>0</v>
      </c>
      <c r="J605" t="n">
        <v>0</v>
      </c>
      <c r="K605" t="n">
        <v>0</v>
      </c>
      <c r="L605" t="n">
        <v>0</v>
      </c>
      <c r="M605" t="n">
        <v>0</v>
      </c>
      <c r="N605" t="n">
        <v>0</v>
      </c>
      <c r="O605" t="n">
        <v>0</v>
      </c>
      <c r="P605" t="n">
        <v>0</v>
      </c>
      <c r="Q605" t="n">
        <v>0</v>
      </c>
      <c r="R605" s="2" t="inlineStr"/>
    </row>
    <row r="606" ht="15" customHeight="1">
      <c r="A606" t="inlineStr">
        <is>
          <t>A 61307-2021</t>
        </is>
      </c>
      <c r="B606" s="1" t="n">
        <v>44498.63928240741</v>
      </c>
      <c r="C606" s="1" t="n">
        <v>46001</v>
      </c>
      <c r="D606" t="inlineStr">
        <is>
          <t>ÖSTERGÖTLANDS LÄN</t>
        </is>
      </c>
      <c r="E606" t="inlineStr">
        <is>
          <t>LINKÖPING</t>
        </is>
      </c>
      <c r="G606" t="n">
        <v>1.8</v>
      </c>
      <c r="H606" t="n">
        <v>0</v>
      </c>
      <c r="I606" t="n">
        <v>0</v>
      </c>
      <c r="J606" t="n">
        <v>0</v>
      </c>
      <c r="K606" t="n">
        <v>0</v>
      </c>
      <c r="L606" t="n">
        <v>0</v>
      </c>
      <c r="M606" t="n">
        <v>0</v>
      </c>
      <c r="N606" t="n">
        <v>0</v>
      </c>
      <c r="O606" t="n">
        <v>0</v>
      </c>
      <c r="P606" t="n">
        <v>0</v>
      </c>
      <c r="Q606" t="n">
        <v>0</v>
      </c>
      <c r="R606" s="2" t="inlineStr"/>
    </row>
    <row r="607" ht="15" customHeight="1">
      <c r="A607" t="inlineStr">
        <is>
          <t>A 61325-2021</t>
        </is>
      </c>
      <c r="B607" s="1" t="n">
        <v>44498.66814814815</v>
      </c>
      <c r="C607" s="1" t="n">
        <v>46001</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60010-2022</t>
        </is>
      </c>
      <c r="B608" s="1" t="n">
        <v>44909.4740625</v>
      </c>
      <c r="C608" s="1" t="n">
        <v>46001</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30518-2024</t>
        </is>
      </c>
      <c r="B609" s="1" t="n">
        <v>45492</v>
      </c>
      <c r="C609" s="1" t="n">
        <v>46001</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46001</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37715-2022</t>
        </is>
      </c>
      <c r="B611" s="1" t="n">
        <v>44810</v>
      </c>
      <c r="C611" s="1" t="n">
        <v>46001</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3742-2021</t>
        </is>
      </c>
      <c r="B612" s="1" t="n">
        <v>44221</v>
      </c>
      <c r="C612" s="1" t="n">
        <v>46001</v>
      </c>
      <c r="D612" t="inlineStr">
        <is>
          <t>ÖSTERGÖTLANDS LÄN</t>
        </is>
      </c>
      <c r="E612" t="inlineStr">
        <is>
          <t>LINKÖPING</t>
        </is>
      </c>
      <c r="G612" t="n">
        <v>5.5</v>
      </c>
      <c r="H612" t="n">
        <v>0</v>
      </c>
      <c r="I612" t="n">
        <v>0</v>
      </c>
      <c r="J612" t="n">
        <v>0</v>
      </c>
      <c r="K612" t="n">
        <v>0</v>
      </c>
      <c r="L612" t="n">
        <v>0</v>
      </c>
      <c r="M612" t="n">
        <v>0</v>
      </c>
      <c r="N612" t="n">
        <v>0</v>
      </c>
      <c r="O612" t="n">
        <v>0</v>
      </c>
      <c r="P612" t="n">
        <v>0</v>
      </c>
      <c r="Q612" t="n">
        <v>0</v>
      </c>
      <c r="R612" s="2" t="inlineStr"/>
    </row>
    <row r="613" ht="15" customHeight="1">
      <c r="A613" t="inlineStr">
        <is>
          <t>A 3011-2023</t>
        </is>
      </c>
      <c r="B613" s="1" t="n">
        <v>44945</v>
      </c>
      <c r="C613" s="1" t="n">
        <v>46001</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45442-2024</t>
        </is>
      </c>
      <c r="B614" s="1" t="n">
        <v>45576.64189814815</v>
      </c>
      <c r="C614" s="1" t="n">
        <v>46001</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3432-2023</t>
        </is>
      </c>
      <c r="B615" s="1" t="n">
        <v>44949</v>
      </c>
      <c r="C615" s="1" t="n">
        <v>46001</v>
      </c>
      <c r="D615" t="inlineStr">
        <is>
          <t>ÖSTERGÖTLANDS LÄN</t>
        </is>
      </c>
      <c r="E615" t="inlineStr">
        <is>
          <t>LINKÖPING</t>
        </is>
      </c>
      <c r="G615" t="n">
        <v>1.9</v>
      </c>
      <c r="H615" t="n">
        <v>0</v>
      </c>
      <c r="I615" t="n">
        <v>0</v>
      </c>
      <c r="J615" t="n">
        <v>0</v>
      </c>
      <c r="K615" t="n">
        <v>0</v>
      </c>
      <c r="L615" t="n">
        <v>0</v>
      </c>
      <c r="M615" t="n">
        <v>0</v>
      </c>
      <c r="N615" t="n">
        <v>0</v>
      </c>
      <c r="O615" t="n">
        <v>0</v>
      </c>
      <c r="P615" t="n">
        <v>0</v>
      </c>
      <c r="Q615" t="n">
        <v>0</v>
      </c>
      <c r="R615" s="2" t="inlineStr"/>
    </row>
    <row r="616" ht="15" customHeight="1">
      <c r="A616" t="inlineStr">
        <is>
          <t>A 1440-2021</t>
        </is>
      </c>
      <c r="B616" s="1" t="n">
        <v>44208</v>
      </c>
      <c r="C616" s="1" t="n">
        <v>46001</v>
      </c>
      <c r="D616" t="inlineStr">
        <is>
          <t>ÖSTERGÖTLANDS LÄN</t>
        </is>
      </c>
      <c r="E616" t="inlineStr">
        <is>
          <t>LINKÖPING</t>
        </is>
      </c>
      <c r="G616" t="n">
        <v>8.4</v>
      </c>
      <c r="H616" t="n">
        <v>0</v>
      </c>
      <c r="I616" t="n">
        <v>0</v>
      </c>
      <c r="J616" t="n">
        <v>0</v>
      </c>
      <c r="K616" t="n">
        <v>0</v>
      </c>
      <c r="L616" t="n">
        <v>0</v>
      </c>
      <c r="M616" t="n">
        <v>0</v>
      </c>
      <c r="N616" t="n">
        <v>0</v>
      </c>
      <c r="O616" t="n">
        <v>0</v>
      </c>
      <c r="P616" t="n">
        <v>0</v>
      </c>
      <c r="Q616" t="n">
        <v>0</v>
      </c>
      <c r="R616" s="2" t="inlineStr"/>
    </row>
    <row r="617" ht="15" customHeight="1">
      <c r="A617" t="inlineStr">
        <is>
          <t>A 60472-2022</t>
        </is>
      </c>
      <c r="B617" s="1" t="n">
        <v>44911.41037037037</v>
      </c>
      <c r="C617" s="1" t="n">
        <v>46001</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12720-2022</t>
        </is>
      </c>
      <c r="B618" s="1" t="n">
        <v>44641</v>
      </c>
      <c r="C618" s="1" t="n">
        <v>46001</v>
      </c>
      <c r="D618" t="inlineStr">
        <is>
          <t>ÖSTERGÖTLANDS LÄN</t>
        </is>
      </c>
      <c r="E618" t="inlineStr">
        <is>
          <t>LINKÖPING</t>
        </is>
      </c>
      <c r="F618" t="inlineStr">
        <is>
          <t>Övriga Aktiebolag</t>
        </is>
      </c>
      <c r="G618" t="n">
        <v>2</v>
      </c>
      <c r="H618" t="n">
        <v>0</v>
      </c>
      <c r="I618" t="n">
        <v>0</v>
      </c>
      <c r="J618" t="n">
        <v>0</v>
      </c>
      <c r="K618" t="n">
        <v>0</v>
      </c>
      <c r="L618" t="n">
        <v>0</v>
      </c>
      <c r="M618" t="n">
        <v>0</v>
      </c>
      <c r="N618" t="n">
        <v>0</v>
      </c>
      <c r="O618" t="n">
        <v>0</v>
      </c>
      <c r="P618" t="n">
        <v>0</v>
      </c>
      <c r="Q618" t="n">
        <v>0</v>
      </c>
      <c r="R618" s="2" t="inlineStr"/>
    </row>
    <row r="619" ht="15" customHeight="1">
      <c r="A619" t="inlineStr">
        <is>
          <t>A 45831-2024</t>
        </is>
      </c>
      <c r="B619" s="1" t="n">
        <v>45579.90508101852</v>
      </c>
      <c r="C619" s="1" t="n">
        <v>46001</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57396-2021</t>
        </is>
      </c>
      <c r="B620" s="1" t="n">
        <v>44483.56151620371</v>
      </c>
      <c r="C620" s="1" t="n">
        <v>46001</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22842-2023</t>
        </is>
      </c>
      <c r="B621" s="1" t="n">
        <v>45071</v>
      </c>
      <c r="C621" s="1" t="n">
        <v>46001</v>
      </c>
      <c r="D621" t="inlineStr">
        <is>
          <t>ÖSTERGÖTLANDS LÄN</t>
        </is>
      </c>
      <c r="E621" t="inlineStr">
        <is>
          <t>LINKÖPING</t>
        </is>
      </c>
      <c r="F621" t="inlineStr">
        <is>
          <t>Kommuner</t>
        </is>
      </c>
      <c r="G621" t="n">
        <v>1.3</v>
      </c>
      <c r="H621" t="n">
        <v>0</v>
      </c>
      <c r="I621" t="n">
        <v>0</v>
      </c>
      <c r="J621" t="n">
        <v>0</v>
      </c>
      <c r="K621" t="n">
        <v>0</v>
      </c>
      <c r="L621" t="n">
        <v>0</v>
      </c>
      <c r="M621" t="n">
        <v>0</v>
      </c>
      <c r="N621" t="n">
        <v>0</v>
      </c>
      <c r="O621" t="n">
        <v>0</v>
      </c>
      <c r="P621" t="n">
        <v>0</v>
      </c>
      <c r="Q621" t="n">
        <v>0</v>
      </c>
      <c r="R621" s="2" t="inlineStr"/>
    </row>
    <row r="622" ht="15" customHeight="1">
      <c r="A622" t="inlineStr">
        <is>
          <t>A 50386-2021</t>
        </is>
      </c>
      <c r="B622" s="1" t="n">
        <v>44459</v>
      </c>
      <c r="C622" s="1" t="n">
        <v>46001</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35781-2023</t>
        </is>
      </c>
      <c r="B623" s="1" t="n">
        <v>45147</v>
      </c>
      <c r="C623" s="1" t="n">
        <v>46001</v>
      </c>
      <c r="D623" t="inlineStr">
        <is>
          <t>ÖSTERGÖTLANDS LÄN</t>
        </is>
      </c>
      <c r="E623" t="inlineStr">
        <is>
          <t>LINKÖPING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22770-2024</t>
        </is>
      </c>
      <c r="B624" s="1" t="n">
        <v>45448.4634375</v>
      </c>
      <c r="C624" s="1" t="n">
        <v>46001</v>
      </c>
      <c r="D624" t="inlineStr">
        <is>
          <t>ÖSTERGÖTLANDS LÄN</t>
        </is>
      </c>
      <c r="E624" t="inlineStr">
        <is>
          <t>LINKÖPING</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11671-2023</t>
        </is>
      </c>
      <c r="B625" s="1" t="n">
        <v>44994.48125</v>
      </c>
      <c r="C625" s="1" t="n">
        <v>46001</v>
      </c>
      <c r="D625" t="inlineStr">
        <is>
          <t>ÖSTERGÖTLANDS LÄN</t>
        </is>
      </c>
      <c r="E625" t="inlineStr">
        <is>
          <t>LINKÖPING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54425-2022</t>
        </is>
      </c>
      <c r="B626" s="1" t="n">
        <v>44882.57453703704</v>
      </c>
      <c r="C626" s="1" t="n">
        <v>46001</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4927-2021</t>
        </is>
      </c>
      <c r="B627" s="1" t="n">
        <v>44227.57215277778</v>
      </c>
      <c r="C627" s="1" t="n">
        <v>46001</v>
      </c>
      <c r="D627" t="inlineStr">
        <is>
          <t>ÖSTERGÖTLANDS LÄN</t>
        </is>
      </c>
      <c r="E627" t="inlineStr">
        <is>
          <t>LINKÖPING</t>
        </is>
      </c>
      <c r="G627" t="n">
        <v>0.3</v>
      </c>
      <c r="H627" t="n">
        <v>0</v>
      </c>
      <c r="I627" t="n">
        <v>0</v>
      </c>
      <c r="J627" t="n">
        <v>0</v>
      </c>
      <c r="K627" t="n">
        <v>0</v>
      </c>
      <c r="L627" t="n">
        <v>0</v>
      </c>
      <c r="M627" t="n">
        <v>0</v>
      </c>
      <c r="N627" t="n">
        <v>0</v>
      </c>
      <c r="O627" t="n">
        <v>0</v>
      </c>
      <c r="P627" t="n">
        <v>0</v>
      </c>
      <c r="Q627" t="n">
        <v>0</v>
      </c>
      <c r="R627" s="2" t="inlineStr"/>
    </row>
    <row r="628" ht="15" customHeight="1">
      <c r="A628" t="inlineStr">
        <is>
          <t>A 30547-2023</t>
        </is>
      </c>
      <c r="B628" s="1" t="n">
        <v>45111.75905092592</v>
      </c>
      <c r="C628" s="1" t="n">
        <v>46001</v>
      </c>
      <c r="D628" t="inlineStr">
        <is>
          <t>ÖSTERGÖTLANDS LÄN</t>
        </is>
      </c>
      <c r="E628" t="inlineStr">
        <is>
          <t>LINKÖPING</t>
        </is>
      </c>
      <c r="G628" t="n">
        <v>0.9</v>
      </c>
      <c r="H628" t="n">
        <v>0</v>
      </c>
      <c r="I628" t="n">
        <v>0</v>
      </c>
      <c r="J628" t="n">
        <v>0</v>
      </c>
      <c r="K628" t="n">
        <v>0</v>
      </c>
      <c r="L628" t="n">
        <v>0</v>
      </c>
      <c r="M628" t="n">
        <v>0</v>
      </c>
      <c r="N628" t="n">
        <v>0</v>
      </c>
      <c r="O628" t="n">
        <v>0</v>
      </c>
      <c r="P628" t="n">
        <v>0</v>
      </c>
      <c r="Q628" t="n">
        <v>0</v>
      </c>
      <c r="R628" s="2" t="inlineStr"/>
    </row>
    <row r="629" ht="15" customHeight="1">
      <c r="A629" t="inlineStr">
        <is>
          <t>A 24904-2024</t>
        </is>
      </c>
      <c r="B629" s="1" t="n">
        <v>45461</v>
      </c>
      <c r="C629" s="1" t="n">
        <v>46001</v>
      </c>
      <c r="D629" t="inlineStr">
        <is>
          <t>ÖSTERGÖTLANDS LÄN</t>
        </is>
      </c>
      <c r="E629" t="inlineStr">
        <is>
          <t>LINKÖPING</t>
        </is>
      </c>
      <c r="G629" t="n">
        <v>3.8</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46001</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15121-2022</t>
        </is>
      </c>
      <c r="B631" s="1" t="n">
        <v>44658</v>
      </c>
      <c r="C631" s="1" t="n">
        <v>46001</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51919-2024</t>
        </is>
      </c>
      <c r="B632" s="1" t="n">
        <v>45607.60791666667</v>
      </c>
      <c r="C632" s="1" t="n">
        <v>46001</v>
      </c>
      <c r="D632" t="inlineStr">
        <is>
          <t>ÖSTERGÖTLANDS LÄN</t>
        </is>
      </c>
      <c r="E632" t="inlineStr">
        <is>
          <t>LINKÖPING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55009-2023</t>
        </is>
      </c>
      <c r="B633" s="1" t="n">
        <v>45237</v>
      </c>
      <c r="C633" s="1" t="n">
        <v>46001</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20291-2025</t>
        </is>
      </c>
      <c r="B634" s="1" t="n">
        <v>45774.74288194445</v>
      </c>
      <c r="C634" s="1" t="n">
        <v>46001</v>
      </c>
      <c r="D634" t="inlineStr">
        <is>
          <t>ÖSTERGÖTLANDS LÄN</t>
        </is>
      </c>
      <c r="E634" t="inlineStr">
        <is>
          <t>LINKÖPING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20293-2025</t>
        </is>
      </c>
      <c r="B635" s="1" t="n">
        <v>45774.74611111111</v>
      </c>
      <c r="C635" s="1" t="n">
        <v>46001</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660-2023</t>
        </is>
      </c>
      <c r="B636" s="1" t="n">
        <v>44930</v>
      </c>
      <c r="C636" s="1" t="n">
        <v>46001</v>
      </c>
      <c r="D636" t="inlineStr">
        <is>
          <t>ÖSTERGÖTLANDS LÄN</t>
        </is>
      </c>
      <c r="E636" t="inlineStr">
        <is>
          <t>LINKÖPING</t>
        </is>
      </c>
      <c r="F636" t="inlineStr">
        <is>
          <t>Kyrkan</t>
        </is>
      </c>
      <c r="G636" t="n">
        <v>1.6</v>
      </c>
      <c r="H636" t="n">
        <v>0</v>
      </c>
      <c r="I636" t="n">
        <v>0</v>
      </c>
      <c r="J636" t="n">
        <v>0</v>
      </c>
      <c r="K636" t="n">
        <v>0</v>
      </c>
      <c r="L636" t="n">
        <v>0</v>
      </c>
      <c r="M636" t="n">
        <v>0</v>
      </c>
      <c r="N636" t="n">
        <v>0</v>
      </c>
      <c r="O636" t="n">
        <v>0</v>
      </c>
      <c r="P636" t="n">
        <v>0</v>
      </c>
      <c r="Q636" t="n">
        <v>0</v>
      </c>
      <c r="R636" s="2" t="inlineStr"/>
    </row>
    <row r="637" ht="15" customHeight="1">
      <c r="A637" t="inlineStr">
        <is>
          <t>A 64694-2023</t>
        </is>
      </c>
      <c r="B637" s="1" t="n">
        <v>45281</v>
      </c>
      <c r="C637" s="1" t="n">
        <v>46001</v>
      </c>
      <c r="D637" t="inlineStr">
        <is>
          <t>ÖSTERGÖTLANDS LÄN</t>
        </is>
      </c>
      <c r="E637" t="inlineStr">
        <is>
          <t>LINKÖPING</t>
        </is>
      </c>
      <c r="F637" t="inlineStr">
        <is>
          <t>Övriga statliga verk och myndigheter</t>
        </is>
      </c>
      <c r="G637" t="n">
        <v>4.9</v>
      </c>
      <c r="H637" t="n">
        <v>0</v>
      </c>
      <c r="I637" t="n">
        <v>0</v>
      </c>
      <c r="J637" t="n">
        <v>0</v>
      </c>
      <c r="K637" t="n">
        <v>0</v>
      </c>
      <c r="L637" t="n">
        <v>0</v>
      </c>
      <c r="M637" t="n">
        <v>0</v>
      </c>
      <c r="N637" t="n">
        <v>0</v>
      </c>
      <c r="O637" t="n">
        <v>0</v>
      </c>
      <c r="P637" t="n">
        <v>0</v>
      </c>
      <c r="Q637" t="n">
        <v>0</v>
      </c>
      <c r="R637" s="2" t="inlineStr"/>
    </row>
    <row r="638" ht="15" customHeight="1">
      <c r="A638" t="inlineStr">
        <is>
          <t>A 63487-2023</t>
        </is>
      </c>
      <c r="B638" s="1" t="n">
        <v>45274.66712962963</v>
      </c>
      <c r="C638" s="1" t="n">
        <v>46001</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20455-2024</t>
        </is>
      </c>
      <c r="B639" s="1" t="n">
        <v>45435.65314814815</v>
      </c>
      <c r="C639" s="1" t="n">
        <v>46001</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30471-2023</t>
        </is>
      </c>
      <c r="B640" s="1" t="n">
        <v>45111.58931712963</v>
      </c>
      <c r="C640" s="1" t="n">
        <v>46001</v>
      </c>
      <c r="D640" t="inlineStr">
        <is>
          <t>ÖSTERGÖTLANDS LÄN</t>
        </is>
      </c>
      <c r="E640" t="inlineStr">
        <is>
          <t>LINKÖPING</t>
        </is>
      </c>
      <c r="G640" t="n">
        <v>2.9</v>
      </c>
      <c r="H640" t="n">
        <v>0</v>
      </c>
      <c r="I640" t="n">
        <v>0</v>
      </c>
      <c r="J640" t="n">
        <v>0</v>
      </c>
      <c r="K640" t="n">
        <v>0</v>
      </c>
      <c r="L640" t="n">
        <v>0</v>
      </c>
      <c r="M640" t="n">
        <v>0</v>
      </c>
      <c r="N640" t="n">
        <v>0</v>
      </c>
      <c r="O640" t="n">
        <v>0</v>
      </c>
      <c r="P640" t="n">
        <v>0</v>
      </c>
      <c r="Q640" t="n">
        <v>0</v>
      </c>
      <c r="R640" s="2" t="inlineStr"/>
    </row>
    <row r="641" ht="15" customHeight="1">
      <c r="A641" t="inlineStr">
        <is>
          <t>A 14093-2024</t>
        </is>
      </c>
      <c r="B641" s="1" t="n">
        <v>45392.60278935185</v>
      </c>
      <c r="C641" s="1" t="n">
        <v>46001</v>
      </c>
      <c r="D641" t="inlineStr">
        <is>
          <t>ÖSTERGÖTLANDS LÄN</t>
        </is>
      </c>
      <c r="E641" t="inlineStr">
        <is>
          <t>LINKÖPING</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63304-2021</t>
        </is>
      </c>
      <c r="B642" s="1" t="n">
        <v>44508.4396412037</v>
      </c>
      <c r="C642" s="1" t="n">
        <v>46001</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19362-2023</t>
        </is>
      </c>
      <c r="B643" s="1" t="n">
        <v>45049</v>
      </c>
      <c r="C643" s="1" t="n">
        <v>46001</v>
      </c>
      <c r="D643" t="inlineStr">
        <is>
          <t>ÖSTERGÖTLANDS LÄN</t>
        </is>
      </c>
      <c r="E643" t="inlineStr">
        <is>
          <t>LINKÖPING</t>
        </is>
      </c>
      <c r="G643" t="n">
        <v>0.1</v>
      </c>
      <c r="H643" t="n">
        <v>0</v>
      </c>
      <c r="I643" t="n">
        <v>0</v>
      </c>
      <c r="J643" t="n">
        <v>0</v>
      </c>
      <c r="K643" t="n">
        <v>0</v>
      </c>
      <c r="L643" t="n">
        <v>0</v>
      </c>
      <c r="M643" t="n">
        <v>0</v>
      </c>
      <c r="N643" t="n">
        <v>0</v>
      </c>
      <c r="O643" t="n">
        <v>0</v>
      </c>
      <c r="P643" t="n">
        <v>0</v>
      </c>
      <c r="Q643" t="n">
        <v>0</v>
      </c>
      <c r="R643" s="2" t="inlineStr"/>
    </row>
    <row r="644" ht="15" customHeight="1">
      <c r="A644" t="inlineStr">
        <is>
          <t>A 35463-2023</t>
        </is>
      </c>
      <c r="B644" s="1" t="n">
        <v>45146</v>
      </c>
      <c r="C644" s="1" t="n">
        <v>46001</v>
      </c>
      <c r="D644" t="inlineStr">
        <is>
          <t>ÖSTERGÖTLANDS LÄN</t>
        </is>
      </c>
      <c r="E644" t="inlineStr">
        <is>
          <t>LINKÖPING</t>
        </is>
      </c>
      <c r="F644" t="inlineStr">
        <is>
          <t>Övriga Aktiebolag</t>
        </is>
      </c>
      <c r="G644" t="n">
        <v>1.8</v>
      </c>
      <c r="H644" t="n">
        <v>0</v>
      </c>
      <c r="I644" t="n">
        <v>0</v>
      </c>
      <c r="J644" t="n">
        <v>0</v>
      </c>
      <c r="K644" t="n">
        <v>0</v>
      </c>
      <c r="L644" t="n">
        <v>0</v>
      </c>
      <c r="M644" t="n">
        <v>0</v>
      </c>
      <c r="N644" t="n">
        <v>0</v>
      </c>
      <c r="O644" t="n">
        <v>0</v>
      </c>
      <c r="P644" t="n">
        <v>0</v>
      </c>
      <c r="Q644" t="n">
        <v>0</v>
      </c>
      <c r="R644" s="2" t="inlineStr"/>
    </row>
    <row r="645" ht="15" customHeight="1">
      <c r="A645" t="inlineStr">
        <is>
          <t>A 16111-2022</t>
        </is>
      </c>
      <c r="B645" s="1" t="n">
        <v>44665</v>
      </c>
      <c r="C645" s="1" t="n">
        <v>46001</v>
      </c>
      <c r="D645" t="inlineStr">
        <is>
          <t>ÖSTERGÖTLANDS LÄN</t>
        </is>
      </c>
      <c r="E645" t="inlineStr">
        <is>
          <t>LINKÖPING</t>
        </is>
      </c>
      <c r="F645" t="inlineStr">
        <is>
          <t>Övriga Aktiebolag</t>
        </is>
      </c>
      <c r="G645" t="n">
        <v>2.9</v>
      </c>
      <c r="H645" t="n">
        <v>0</v>
      </c>
      <c r="I645" t="n">
        <v>0</v>
      </c>
      <c r="J645" t="n">
        <v>0</v>
      </c>
      <c r="K645" t="n">
        <v>0</v>
      </c>
      <c r="L645" t="n">
        <v>0</v>
      </c>
      <c r="M645" t="n">
        <v>0</v>
      </c>
      <c r="N645" t="n">
        <v>0</v>
      </c>
      <c r="O645" t="n">
        <v>0</v>
      </c>
      <c r="P645" t="n">
        <v>0</v>
      </c>
      <c r="Q645" t="n">
        <v>0</v>
      </c>
      <c r="R645" s="2" t="inlineStr"/>
    </row>
    <row r="646" ht="15" customHeight="1">
      <c r="A646" t="inlineStr">
        <is>
          <t>A 31635-2023</t>
        </is>
      </c>
      <c r="B646" s="1" t="n">
        <v>45105</v>
      </c>
      <c r="C646" s="1" t="n">
        <v>46001</v>
      </c>
      <c r="D646" t="inlineStr">
        <is>
          <t>ÖSTERGÖTLANDS LÄN</t>
        </is>
      </c>
      <c r="E646" t="inlineStr">
        <is>
          <t>LINKÖPING</t>
        </is>
      </c>
      <c r="F646" t="inlineStr">
        <is>
          <t>Övriga statliga verk och myndigheter</t>
        </is>
      </c>
      <c r="G646" t="n">
        <v>4.6</v>
      </c>
      <c r="H646" t="n">
        <v>0</v>
      </c>
      <c r="I646" t="n">
        <v>0</v>
      </c>
      <c r="J646" t="n">
        <v>0</v>
      </c>
      <c r="K646" t="n">
        <v>0</v>
      </c>
      <c r="L646" t="n">
        <v>0</v>
      </c>
      <c r="M646" t="n">
        <v>0</v>
      </c>
      <c r="N646" t="n">
        <v>0</v>
      </c>
      <c r="O646" t="n">
        <v>0</v>
      </c>
      <c r="P646" t="n">
        <v>0</v>
      </c>
      <c r="Q646" t="n">
        <v>0</v>
      </c>
      <c r="R646" s="2" t="inlineStr"/>
    </row>
    <row r="647" ht="15" customHeight="1">
      <c r="A647" t="inlineStr">
        <is>
          <t>A 49928-2024</t>
        </is>
      </c>
      <c r="B647" s="1" t="n">
        <v>45597.57811342592</v>
      </c>
      <c r="C647" s="1" t="n">
        <v>46001</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54845-2023</t>
        </is>
      </c>
      <c r="B648" s="1" t="n">
        <v>45236</v>
      </c>
      <c r="C648" s="1" t="n">
        <v>46001</v>
      </c>
      <c r="D648" t="inlineStr">
        <is>
          <t>ÖSTERGÖTLANDS LÄN</t>
        </is>
      </c>
      <c r="E648" t="inlineStr">
        <is>
          <t>LINKÖPING</t>
        </is>
      </c>
      <c r="F648" t="inlineStr">
        <is>
          <t>Övriga Aktiebolag</t>
        </is>
      </c>
      <c r="G648" t="n">
        <v>5.7</v>
      </c>
      <c r="H648" t="n">
        <v>0</v>
      </c>
      <c r="I648" t="n">
        <v>0</v>
      </c>
      <c r="J648" t="n">
        <v>0</v>
      </c>
      <c r="K648" t="n">
        <v>0</v>
      </c>
      <c r="L648" t="n">
        <v>0</v>
      </c>
      <c r="M648" t="n">
        <v>0</v>
      </c>
      <c r="N648" t="n">
        <v>0</v>
      </c>
      <c r="O648" t="n">
        <v>0</v>
      </c>
      <c r="P648" t="n">
        <v>0</v>
      </c>
      <c r="Q648" t="n">
        <v>0</v>
      </c>
      <c r="R648" s="2" t="inlineStr"/>
    </row>
    <row r="649" ht="15" customHeight="1">
      <c r="A649" t="inlineStr">
        <is>
          <t>A 46687-2021</t>
        </is>
      </c>
      <c r="B649" s="1" t="n">
        <v>44445</v>
      </c>
      <c r="C649" s="1" t="n">
        <v>46001</v>
      </c>
      <c r="D649" t="inlineStr">
        <is>
          <t>ÖSTERGÖTLANDS LÄN</t>
        </is>
      </c>
      <c r="E649" t="inlineStr">
        <is>
          <t>LINKÖPING</t>
        </is>
      </c>
      <c r="F649" t="inlineStr">
        <is>
          <t>Övriga statliga verk och myndigheter</t>
        </is>
      </c>
      <c r="G649" t="n">
        <v>2.3</v>
      </c>
      <c r="H649" t="n">
        <v>0</v>
      </c>
      <c r="I649" t="n">
        <v>0</v>
      </c>
      <c r="J649" t="n">
        <v>0</v>
      </c>
      <c r="K649" t="n">
        <v>0</v>
      </c>
      <c r="L649" t="n">
        <v>0</v>
      </c>
      <c r="M649" t="n">
        <v>0</v>
      </c>
      <c r="N649" t="n">
        <v>0</v>
      </c>
      <c r="O649" t="n">
        <v>0</v>
      </c>
      <c r="P649" t="n">
        <v>0</v>
      </c>
      <c r="Q649" t="n">
        <v>0</v>
      </c>
      <c r="R649" s="2" t="inlineStr"/>
    </row>
    <row r="650" ht="15" customHeight="1">
      <c r="A650" t="inlineStr">
        <is>
          <t>A 30855-2022</t>
        </is>
      </c>
      <c r="B650" s="1" t="n">
        <v>44767</v>
      </c>
      <c r="C650" s="1" t="n">
        <v>46001</v>
      </c>
      <c r="D650" t="inlineStr">
        <is>
          <t>ÖSTERGÖTLANDS LÄN</t>
        </is>
      </c>
      <c r="E650" t="inlineStr">
        <is>
          <t>LINKÖPING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1355-2023</t>
        </is>
      </c>
      <c r="B651" s="1" t="n">
        <v>44931</v>
      </c>
      <c r="C651" s="1" t="n">
        <v>46001</v>
      </c>
      <c r="D651" t="inlineStr">
        <is>
          <t>ÖSTERGÖTLANDS LÄN</t>
        </is>
      </c>
      <c r="E651" t="inlineStr">
        <is>
          <t>LINKÖPING</t>
        </is>
      </c>
      <c r="G651" t="n">
        <v>4</v>
      </c>
      <c r="H651" t="n">
        <v>0</v>
      </c>
      <c r="I651" t="n">
        <v>0</v>
      </c>
      <c r="J651" t="n">
        <v>0</v>
      </c>
      <c r="K651" t="n">
        <v>0</v>
      </c>
      <c r="L651" t="n">
        <v>0</v>
      </c>
      <c r="M651" t="n">
        <v>0</v>
      </c>
      <c r="N651" t="n">
        <v>0</v>
      </c>
      <c r="O651" t="n">
        <v>0</v>
      </c>
      <c r="P651" t="n">
        <v>0</v>
      </c>
      <c r="Q651" t="n">
        <v>0</v>
      </c>
      <c r="R651" s="2" t="inlineStr"/>
    </row>
    <row r="652" ht="15" customHeight="1">
      <c r="A652" t="inlineStr">
        <is>
          <t>A 27844-2024</t>
        </is>
      </c>
      <c r="B652" s="1" t="n">
        <v>45475.63047453704</v>
      </c>
      <c r="C652" s="1" t="n">
        <v>46001</v>
      </c>
      <c r="D652" t="inlineStr">
        <is>
          <t>ÖSTERGÖTLANDS LÄN</t>
        </is>
      </c>
      <c r="E652" t="inlineStr">
        <is>
          <t>LINKÖPING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10741-2023</t>
        </is>
      </c>
      <c r="B653" s="1" t="n">
        <v>44988.70084490741</v>
      </c>
      <c r="C653" s="1" t="n">
        <v>46001</v>
      </c>
      <c r="D653" t="inlineStr">
        <is>
          <t>ÖSTERGÖTLANDS LÄN</t>
        </is>
      </c>
      <c r="E653" t="inlineStr">
        <is>
          <t>LINKÖPING</t>
        </is>
      </c>
      <c r="F653" t="inlineStr">
        <is>
          <t>Allmännings- och besparingsskogar</t>
        </is>
      </c>
      <c r="G653" t="n">
        <v>11.2</v>
      </c>
      <c r="H653" t="n">
        <v>0</v>
      </c>
      <c r="I653" t="n">
        <v>0</v>
      </c>
      <c r="J653" t="n">
        <v>0</v>
      </c>
      <c r="K653" t="n">
        <v>0</v>
      </c>
      <c r="L653" t="n">
        <v>0</v>
      </c>
      <c r="M653" t="n">
        <v>0</v>
      </c>
      <c r="N653" t="n">
        <v>0</v>
      </c>
      <c r="O653" t="n">
        <v>0</v>
      </c>
      <c r="P653" t="n">
        <v>0</v>
      </c>
      <c r="Q653" t="n">
        <v>0</v>
      </c>
      <c r="R653" s="2" t="inlineStr"/>
    </row>
    <row r="654" ht="15" customHeight="1">
      <c r="A654" t="inlineStr">
        <is>
          <t>A 50963-2021</t>
        </is>
      </c>
      <c r="B654" s="1" t="n">
        <v>44460</v>
      </c>
      <c r="C654" s="1" t="n">
        <v>46001</v>
      </c>
      <c r="D654" t="inlineStr">
        <is>
          <t>ÖSTERGÖTLANDS LÄN</t>
        </is>
      </c>
      <c r="E654" t="inlineStr">
        <is>
          <t>LINKÖPING</t>
        </is>
      </c>
      <c r="G654" t="n">
        <v>4.4</v>
      </c>
      <c r="H654" t="n">
        <v>0</v>
      </c>
      <c r="I654" t="n">
        <v>0</v>
      </c>
      <c r="J654" t="n">
        <v>0</v>
      </c>
      <c r="K654" t="n">
        <v>0</v>
      </c>
      <c r="L654" t="n">
        <v>0</v>
      </c>
      <c r="M654" t="n">
        <v>0</v>
      </c>
      <c r="N654" t="n">
        <v>0</v>
      </c>
      <c r="O654" t="n">
        <v>0</v>
      </c>
      <c r="P654" t="n">
        <v>0</v>
      </c>
      <c r="Q654" t="n">
        <v>0</v>
      </c>
      <c r="R654" s="2" t="inlineStr"/>
    </row>
    <row r="655" ht="15" customHeight="1">
      <c r="A655" t="inlineStr">
        <is>
          <t>A 45821-2024</t>
        </is>
      </c>
      <c r="B655" s="1" t="n">
        <v>45579.75803240741</v>
      </c>
      <c r="C655" s="1" t="n">
        <v>46001</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61936-2023</t>
        </is>
      </c>
      <c r="B656" s="1" t="n">
        <v>45266.54534722222</v>
      </c>
      <c r="C656" s="1" t="n">
        <v>46001</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1263-2024</t>
        </is>
      </c>
      <c r="B657" s="1" t="n">
        <v>45302</v>
      </c>
      <c r="C657" s="1" t="n">
        <v>46001</v>
      </c>
      <c r="D657" t="inlineStr">
        <is>
          <t>ÖSTERGÖTLANDS LÄN</t>
        </is>
      </c>
      <c r="E657" t="inlineStr">
        <is>
          <t>LINKÖPING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24464-2023</t>
        </is>
      </c>
      <c r="B658" s="1" t="n">
        <v>45082.58068287037</v>
      </c>
      <c r="C658" s="1" t="n">
        <v>46001</v>
      </c>
      <c r="D658" t="inlineStr">
        <is>
          <t>ÖSTERGÖTLANDS LÄN</t>
        </is>
      </c>
      <c r="E658" t="inlineStr">
        <is>
          <t>LINKÖPING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48389-2024</t>
        </is>
      </c>
      <c r="B659" s="1" t="n">
        <v>45590.59991898148</v>
      </c>
      <c r="C659" s="1" t="n">
        <v>46001</v>
      </c>
      <c r="D659" t="inlineStr">
        <is>
          <t>ÖSTERGÖTLANDS LÄN</t>
        </is>
      </c>
      <c r="E659" t="inlineStr">
        <is>
          <t>LINKÖPING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61281-2021</t>
        </is>
      </c>
      <c r="B660" s="1" t="n">
        <v>44498.60736111111</v>
      </c>
      <c r="C660" s="1" t="n">
        <v>46001</v>
      </c>
      <c r="D660" t="inlineStr">
        <is>
          <t>ÖSTERGÖTLANDS LÄN</t>
        </is>
      </c>
      <c r="E660" t="inlineStr">
        <is>
          <t>LINKÖPING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6369-2023</t>
        </is>
      </c>
      <c r="B661" s="1" t="n">
        <v>44965.61106481482</v>
      </c>
      <c r="C661" s="1" t="n">
        <v>46001</v>
      </c>
      <c r="D661" t="inlineStr">
        <is>
          <t>ÖSTERGÖTLANDS LÄN</t>
        </is>
      </c>
      <c r="E661" t="inlineStr">
        <is>
          <t>LINKÖPING</t>
        </is>
      </c>
      <c r="G661" t="n">
        <v>4</v>
      </c>
      <c r="H661" t="n">
        <v>0</v>
      </c>
      <c r="I661" t="n">
        <v>0</v>
      </c>
      <c r="J661" t="n">
        <v>0</v>
      </c>
      <c r="K661" t="n">
        <v>0</v>
      </c>
      <c r="L661" t="n">
        <v>0</v>
      </c>
      <c r="M661" t="n">
        <v>0</v>
      </c>
      <c r="N661" t="n">
        <v>0</v>
      </c>
      <c r="O661" t="n">
        <v>0</v>
      </c>
      <c r="P661" t="n">
        <v>0</v>
      </c>
      <c r="Q661" t="n">
        <v>0</v>
      </c>
      <c r="R661" s="2" t="inlineStr"/>
    </row>
    <row r="662" ht="15" customHeight="1">
      <c r="A662" t="inlineStr">
        <is>
          <t>A 10094-2024</t>
        </is>
      </c>
      <c r="B662" s="1" t="n">
        <v>45364</v>
      </c>
      <c r="C662" s="1" t="n">
        <v>46001</v>
      </c>
      <c r="D662" t="inlineStr">
        <is>
          <t>ÖSTERGÖTLANDS LÄN</t>
        </is>
      </c>
      <c r="E662" t="inlineStr">
        <is>
          <t>LINKÖPING</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1207-2023</t>
        </is>
      </c>
      <c r="B663" s="1" t="n">
        <v>44930</v>
      </c>
      <c r="C663" s="1" t="n">
        <v>46001</v>
      </c>
      <c r="D663" t="inlineStr">
        <is>
          <t>ÖSTERGÖTLANDS LÄN</t>
        </is>
      </c>
      <c r="E663" t="inlineStr">
        <is>
          <t>LINKÖPING</t>
        </is>
      </c>
      <c r="F663" t="inlineStr">
        <is>
          <t>Övriga statliga verk och myndigheter</t>
        </is>
      </c>
      <c r="G663" t="n">
        <v>32.8</v>
      </c>
      <c r="H663" t="n">
        <v>0</v>
      </c>
      <c r="I663" t="n">
        <v>0</v>
      </c>
      <c r="J663" t="n">
        <v>0</v>
      </c>
      <c r="K663" t="n">
        <v>0</v>
      </c>
      <c r="L663" t="n">
        <v>0</v>
      </c>
      <c r="M663" t="n">
        <v>0</v>
      </c>
      <c r="N663" t="n">
        <v>0</v>
      </c>
      <c r="O663" t="n">
        <v>0</v>
      </c>
      <c r="P663" t="n">
        <v>0</v>
      </c>
      <c r="Q663" t="n">
        <v>0</v>
      </c>
      <c r="R663" s="2" t="inlineStr"/>
    </row>
    <row r="664" ht="15" customHeight="1">
      <c r="A664" t="inlineStr">
        <is>
          <t>A 62015-2024</t>
        </is>
      </c>
      <c r="B664" s="1" t="n">
        <v>45655.80457175926</v>
      </c>
      <c r="C664" s="1" t="n">
        <v>46001</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62020-2024</t>
        </is>
      </c>
      <c r="B665" s="1" t="n">
        <v>45655.83563657408</v>
      </c>
      <c r="C665" s="1" t="n">
        <v>46001</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62021-2024</t>
        </is>
      </c>
      <c r="B666" s="1" t="n">
        <v>45655.84232638889</v>
      </c>
      <c r="C666" s="1" t="n">
        <v>46001</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27891-2021</t>
        </is>
      </c>
      <c r="B667" s="1" t="n">
        <v>44354.65108796296</v>
      </c>
      <c r="C667" s="1" t="n">
        <v>46001</v>
      </c>
      <c r="D667" t="inlineStr">
        <is>
          <t>ÖSTERGÖTLANDS LÄN</t>
        </is>
      </c>
      <c r="E667" t="inlineStr">
        <is>
          <t>LINKÖPING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57391-2023</t>
        </is>
      </c>
      <c r="B668" s="1" t="n">
        <v>45245</v>
      </c>
      <c r="C668" s="1" t="n">
        <v>46001</v>
      </c>
      <c r="D668" t="inlineStr">
        <is>
          <t>ÖSTERGÖTLANDS LÄN</t>
        </is>
      </c>
      <c r="E668" t="inlineStr">
        <is>
          <t>LINKÖPING</t>
        </is>
      </c>
      <c r="F668" t="inlineStr">
        <is>
          <t>Övriga Aktiebolag</t>
        </is>
      </c>
      <c r="G668" t="n">
        <v>1.7</v>
      </c>
      <c r="H668" t="n">
        <v>0</v>
      </c>
      <c r="I668" t="n">
        <v>0</v>
      </c>
      <c r="J668" t="n">
        <v>0</v>
      </c>
      <c r="K668" t="n">
        <v>0</v>
      </c>
      <c r="L668" t="n">
        <v>0</v>
      </c>
      <c r="M668" t="n">
        <v>0</v>
      </c>
      <c r="N668" t="n">
        <v>0</v>
      </c>
      <c r="O668" t="n">
        <v>0</v>
      </c>
      <c r="P668" t="n">
        <v>0</v>
      </c>
      <c r="Q668" t="n">
        <v>0</v>
      </c>
      <c r="R668" s="2" t="inlineStr"/>
    </row>
    <row r="669" ht="15" customHeight="1">
      <c r="A669" t="inlineStr">
        <is>
          <t>A 20294-2025</t>
        </is>
      </c>
      <c r="B669" s="1" t="n">
        <v>45774.74667824074</v>
      </c>
      <c r="C669" s="1" t="n">
        <v>46001</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60013-2022</t>
        </is>
      </c>
      <c r="B670" s="1" t="n">
        <v>44909.47482638889</v>
      </c>
      <c r="C670" s="1" t="n">
        <v>46001</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3007-2025</t>
        </is>
      </c>
      <c r="B671" s="1" t="n">
        <v>45678.56328703704</v>
      </c>
      <c r="C671" s="1" t="n">
        <v>46001</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34877-2023</t>
        </is>
      </c>
      <c r="B672" s="1" t="n">
        <v>45140</v>
      </c>
      <c r="C672" s="1" t="n">
        <v>46001</v>
      </c>
      <c r="D672" t="inlineStr">
        <is>
          <t>ÖSTERGÖTLANDS LÄN</t>
        </is>
      </c>
      <c r="E672" t="inlineStr">
        <is>
          <t>LINKÖPING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1924-2024</t>
        </is>
      </c>
      <c r="B673" s="1" t="n">
        <v>45308</v>
      </c>
      <c r="C673" s="1" t="n">
        <v>46001</v>
      </c>
      <c r="D673" t="inlineStr">
        <is>
          <t>ÖSTERGÖTLANDS LÄN</t>
        </is>
      </c>
      <c r="E673" t="inlineStr">
        <is>
          <t>LINKÖPING</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34558-2022</t>
        </is>
      </c>
      <c r="B674" s="1" t="n">
        <v>44794.57594907407</v>
      </c>
      <c r="C674" s="1" t="n">
        <v>46001</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168-2024</t>
        </is>
      </c>
      <c r="B675" s="1" t="n">
        <v>45294</v>
      </c>
      <c r="C675" s="1" t="n">
        <v>46001</v>
      </c>
      <c r="D675" t="inlineStr">
        <is>
          <t>ÖSTERGÖTLANDS LÄN</t>
        </is>
      </c>
      <c r="E675" t="inlineStr">
        <is>
          <t>LINKÖPING</t>
        </is>
      </c>
      <c r="F675" t="inlineStr">
        <is>
          <t>Allmännings- och besparingsskogar</t>
        </is>
      </c>
      <c r="G675" t="n">
        <v>8.9</v>
      </c>
      <c r="H675" t="n">
        <v>0</v>
      </c>
      <c r="I675" t="n">
        <v>0</v>
      </c>
      <c r="J675" t="n">
        <v>0</v>
      </c>
      <c r="K675" t="n">
        <v>0</v>
      </c>
      <c r="L675" t="n">
        <v>0</v>
      </c>
      <c r="M675" t="n">
        <v>0</v>
      </c>
      <c r="N675" t="n">
        <v>0</v>
      </c>
      <c r="O675" t="n">
        <v>0</v>
      </c>
      <c r="P675" t="n">
        <v>0</v>
      </c>
      <c r="Q675" t="n">
        <v>0</v>
      </c>
      <c r="R675" s="2" t="inlineStr"/>
    </row>
    <row r="676" ht="15" customHeight="1">
      <c r="A676" t="inlineStr">
        <is>
          <t>A 15658-2023</t>
        </is>
      </c>
      <c r="B676" s="1" t="n">
        <v>45021.41194444444</v>
      </c>
      <c r="C676" s="1" t="n">
        <v>46001</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30433-2024</t>
        </is>
      </c>
      <c r="B677" s="1" t="n">
        <v>45491.69741898148</v>
      </c>
      <c r="C677" s="1" t="n">
        <v>46001</v>
      </c>
      <c r="D677" t="inlineStr">
        <is>
          <t>ÖSTERGÖTLANDS LÄN</t>
        </is>
      </c>
      <c r="E677" t="inlineStr">
        <is>
          <t>LINKÖPING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52220-2023</t>
        </is>
      </c>
      <c r="B678" s="1" t="n">
        <v>45217</v>
      </c>
      <c r="C678" s="1" t="n">
        <v>46001</v>
      </c>
      <c r="D678" t="inlineStr">
        <is>
          <t>ÖSTERGÖTLANDS LÄN</t>
        </is>
      </c>
      <c r="E678" t="inlineStr">
        <is>
          <t>LINKÖPING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52225-2023</t>
        </is>
      </c>
      <c r="B679" s="1" t="n">
        <v>45217</v>
      </c>
      <c r="C679" s="1" t="n">
        <v>46001</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19464-2024</t>
        </is>
      </c>
      <c r="B680" s="1" t="n">
        <v>45429</v>
      </c>
      <c r="C680" s="1" t="n">
        <v>46001</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42044-2023</t>
        </is>
      </c>
      <c r="B681" s="1" t="n">
        <v>45177</v>
      </c>
      <c r="C681" s="1" t="n">
        <v>46001</v>
      </c>
      <c r="D681" t="inlineStr">
        <is>
          <t>ÖSTERGÖTLANDS LÄN</t>
        </is>
      </c>
      <c r="E681" t="inlineStr">
        <is>
          <t>LINKÖPING</t>
        </is>
      </c>
      <c r="G681" t="n">
        <v>3.9</v>
      </c>
      <c r="H681" t="n">
        <v>0</v>
      </c>
      <c r="I681" t="n">
        <v>0</v>
      </c>
      <c r="J681" t="n">
        <v>0</v>
      </c>
      <c r="K681" t="n">
        <v>0</v>
      </c>
      <c r="L681" t="n">
        <v>0</v>
      </c>
      <c r="M681" t="n">
        <v>0</v>
      </c>
      <c r="N681" t="n">
        <v>0</v>
      </c>
      <c r="O681" t="n">
        <v>0</v>
      </c>
      <c r="P681" t="n">
        <v>0</v>
      </c>
      <c r="Q681" t="n">
        <v>0</v>
      </c>
      <c r="R681" s="2" t="inlineStr"/>
    </row>
    <row r="682" ht="15" customHeight="1">
      <c r="A682" t="inlineStr">
        <is>
          <t>A 630-2024</t>
        </is>
      </c>
      <c r="B682" s="1" t="n">
        <v>45299.67736111111</v>
      </c>
      <c r="C682" s="1" t="n">
        <v>46001</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21782-2024</t>
        </is>
      </c>
      <c r="B683" s="1" t="n">
        <v>45442.63368055555</v>
      </c>
      <c r="C683" s="1" t="n">
        <v>46001</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57766-2023</t>
        </is>
      </c>
      <c r="B684" s="1" t="n">
        <v>45246</v>
      </c>
      <c r="C684" s="1" t="n">
        <v>46001</v>
      </c>
      <c r="D684" t="inlineStr">
        <is>
          <t>ÖSTERGÖTLANDS LÄN</t>
        </is>
      </c>
      <c r="E684" t="inlineStr">
        <is>
          <t>LINKÖPING</t>
        </is>
      </c>
      <c r="F684" t="inlineStr">
        <is>
          <t>Allmännings- och besparingsskogar</t>
        </is>
      </c>
      <c r="G684" t="n">
        <v>12.8</v>
      </c>
      <c r="H684" t="n">
        <v>0</v>
      </c>
      <c r="I684" t="n">
        <v>0</v>
      </c>
      <c r="J684" t="n">
        <v>0</v>
      </c>
      <c r="K684" t="n">
        <v>0</v>
      </c>
      <c r="L684" t="n">
        <v>0</v>
      </c>
      <c r="M684" t="n">
        <v>0</v>
      </c>
      <c r="N684" t="n">
        <v>0</v>
      </c>
      <c r="O684" t="n">
        <v>0</v>
      </c>
      <c r="P684" t="n">
        <v>0</v>
      </c>
      <c r="Q684" t="n">
        <v>0</v>
      </c>
      <c r="R684" s="2" t="inlineStr"/>
    </row>
    <row r="685" ht="15" customHeight="1">
      <c r="A685" t="inlineStr">
        <is>
          <t>A 27186-2021</t>
        </is>
      </c>
      <c r="B685" s="1" t="n">
        <v>44350.67715277777</v>
      </c>
      <c r="C685" s="1" t="n">
        <v>46001</v>
      </c>
      <c r="D685" t="inlineStr">
        <is>
          <t>ÖSTERGÖTLANDS LÄN</t>
        </is>
      </c>
      <c r="E685" t="inlineStr">
        <is>
          <t>LINKÖPING</t>
        </is>
      </c>
      <c r="F685" t="inlineStr">
        <is>
          <t>Allmännings- och besparingsskogar</t>
        </is>
      </c>
      <c r="G685" t="n">
        <v>1.4</v>
      </c>
      <c r="H685" t="n">
        <v>0</v>
      </c>
      <c r="I685" t="n">
        <v>0</v>
      </c>
      <c r="J685" t="n">
        <v>0</v>
      </c>
      <c r="K685" t="n">
        <v>0</v>
      </c>
      <c r="L685" t="n">
        <v>0</v>
      </c>
      <c r="M685" t="n">
        <v>0</v>
      </c>
      <c r="N685" t="n">
        <v>0</v>
      </c>
      <c r="O685" t="n">
        <v>0</v>
      </c>
      <c r="P685" t="n">
        <v>0</v>
      </c>
      <c r="Q685" t="n">
        <v>0</v>
      </c>
      <c r="R685" s="2" t="inlineStr"/>
    </row>
    <row r="686" ht="15" customHeight="1">
      <c r="A686" t="inlineStr">
        <is>
          <t>A 10194-2023</t>
        </is>
      </c>
      <c r="B686" s="1" t="n">
        <v>44986.52277777778</v>
      </c>
      <c r="C686" s="1" t="n">
        <v>46001</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55944-2024</t>
        </is>
      </c>
      <c r="B687" s="1" t="n">
        <v>45623.61640046296</v>
      </c>
      <c r="C687" s="1" t="n">
        <v>46001</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55947-2024</t>
        </is>
      </c>
      <c r="B688" s="1" t="n">
        <v>45623</v>
      </c>
      <c r="C688" s="1" t="n">
        <v>46001</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47703-2023</t>
        </is>
      </c>
      <c r="B689" s="1" t="n">
        <v>45203</v>
      </c>
      <c r="C689" s="1" t="n">
        <v>46001</v>
      </c>
      <c r="D689" t="inlineStr">
        <is>
          <t>ÖSTERGÖTLANDS LÄN</t>
        </is>
      </c>
      <c r="E689" t="inlineStr">
        <is>
          <t>LINKÖPING</t>
        </is>
      </c>
      <c r="G689" t="n">
        <v>4.1</v>
      </c>
      <c r="H689" t="n">
        <v>0</v>
      </c>
      <c r="I689" t="n">
        <v>0</v>
      </c>
      <c r="J689" t="n">
        <v>0</v>
      </c>
      <c r="K689" t="n">
        <v>0</v>
      </c>
      <c r="L689" t="n">
        <v>0</v>
      </c>
      <c r="M689" t="n">
        <v>0</v>
      </c>
      <c r="N689" t="n">
        <v>0</v>
      </c>
      <c r="O689" t="n">
        <v>0</v>
      </c>
      <c r="P689" t="n">
        <v>0</v>
      </c>
      <c r="Q689" t="n">
        <v>0</v>
      </c>
      <c r="R689" s="2" t="inlineStr"/>
    </row>
    <row r="690" ht="15" customHeight="1">
      <c r="A690" t="inlineStr">
        <is>
          <t>A 51559-2024</t>
        </is>
      </c>
      <c r="B690" s="1" t="n">
        <v>45604.61431712963</v>
      </c>
      <c r="C690" s="1" t="n">
        <v>46001</v>
      </c>
      <c r="D690" t="inlineStr">
        <is>
          <t>ÖSTERGÖTLANDS LÄN</t>
        </is>
      </c>
      <c r="E690" t="inlineStr">
        <is>
          <t>LINKÖPING</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62353-2022</t>
        </is>
      </c>
      <c r="B691" s="1" t="n">
        <v>44923</v>
      </c>
      <c r="C691" s="1" t="n">
        <v>46001</v>
      </c>
      <c r="D691" t="inlineStr">
        <is>
          <t>ÖSTERGÖTLANDS LÄN</t>
        </is>
      </c>
      <c r="E691" t="inlineStr">
        <is>
          <t>LINKÖPING</t>
        </is>
      </c>
      <c r="F691" t="inlineStr">
        <is>
          <t>Allmännings- och besparingsskogar</t>
        </is>
      </c>
      <c r="G691" t="n">
        <v>1.7</v>
      </c>
      <c r="H691" t="n">
        <v>0</v>
      </c>
      <c r="I691" t="n">
        <v>0</v>
      </c>
      <c r="J691" t="n">
        <v>0</v>
      </c>
      <c r="K691" t="n">
        <v>0</v>
      </c>
      <c r="L691" t="n">
        <v>0</v>
      </c>
      <c r="M691" t="n">
        <v>0</v>
      </c>
      <c r="N691" t="n">
        <v>0</v>
      </c>
      <c r="O691" t="n">
        <v>0</v>
      </c>
      <c r="P691" t="n">
        <v>0</v>
      </c>
      <c r="Q691" t="n">
        <v>0</v>
      </c>
      <c r="R691" s="2" t="inlineStr"/>
    </row>
    <row r="692" ht="15" customHeight="1">
      <c r="A692" t="inlineStr">
        <is>
          <t>A 15754-2025</t>
        </is>
      </c>
      <c r="B692" s="1" t="n">
        <v>45748.56105324074</v>
      </c>
      <c r="C692" s="1" t="n">
        <v>46001</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4298-2023</t>
        </is>
      </c>
      <c r="B693" s="1" t="n">
        <v>44953</v>
      </c>
      <c r="C693" s="1" t="n">
        <v>46001</v>
      </c>
      <c r="D693" t="inlineStr">
        <is>
          <t>ÖSTERGÖTLANDS LÄN</t>
        </is>
      </c>
      <c r="E693" t="inlineStr">
        <is>
          <t>LINKÖPING</t>
        </is>
      </c>
      <c r="G693" t="n">
        <v>2.8</v>
      </c>
      <c r="H693" t="n">
        <v>0</v>
      </c>
      <c r="I693" t="n">
        <v>0</v>
      </c>
      <c r="J693" t="n">
        <v>0</v>
      </c>
      <c r="K693" t="n">
        <v>0</v>
      </c>
      <c r="L693" t="n">
        <v>0</v>
      </c>
      <c r="M693" t="n">
        <v>0</v>
      </c>
      <c r="N693" t="n">
        <v>0</v>
      </c>
      <c r="O693" t="n">
        <v>0</v>
      </c>
      <c r="P693" t="n">
        <v>0</v>
      </c>
      <c r="Q693" t="n">
        <v>0</v>
      </c>
      <c r="R693" s="2" t="inlineStr"/>
    </row>
    <row r="694" ht="15" customHeight="1">
      <c r="A694" t="inlineStr">
        <is>
          <t>A 18145-2021</t>
        </is>
      </c>
      <c r="B694" s="1" t="n">
        <v>44302</v>
      </c>
      <c r="C694" s="1" t="n">
        <v>46001</v>
      </c>
      <c r="D694" t="inlineStr">
        <is>
          <t>ÖSTERGÖTLANDS LÄN</t>
        </is>
      </c>
      <c r="E694" t="inlineStr">
        <is>
          <t>LINKÖPING</t>
        </is>
      </c>
      <c r="G694" t="n">
        <v>2.4</v>
      </c>
      <c r="H694" t="n">
        <v>0</v>
      </c>
      <c r="I694" t="n">
        <v>0</v>
      </c>
      <c r="J694" t="n">
        <v>0</v>
      </c>
      <c r="K694" t="n">
        <v>0</v>
      </c>
      <c r="L694" t="n">
        <v>0</v>
      </c>
      <c r="M694" t="n">
        <v>0</v>
      </c>
      <c r="N694" t="n">
        <v>0</v>
      </c>
      <c r="O694" t="n">
        <v>0</v>
      </c>
      <c r="P694" t="n">
        <v>0</v>
      </c>
      <c r="Q694" t="n">
        <v>0</v>
      </c>
      <c r="R694" s="2" t="inlineStr"/>
    </row>
    <row r="695" ht="15" customHeight="1">
      <c r="A695" t="inlineStr">
        <is>
          <t>A 25568-2024</t>
        </is>
      </c>
      <c r="B695" s="1" t="n">
        <v>45463.58699074074</v>
      </c>
      <c r="C695" s="1" t="n">
        <v>46001</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38136-2023</t>
        </is>
      </c>
      <c r="B696" s="1" t="n">
        <v>45161.37310185185</v>
      </c>
      <c r="C696" s="1" t="n">
        <v>46001</v>
      </c>
      <c r="D696" t="inlineStr">
        <is>
          <t>ÖSTERGÖTLANDS LÄN</t>
        </is>
      </c>
      <c r="E696" t="inlineStr">
        <is>
          <t>LINKÖPING</t>
        </is>
      </c>
      <c r="G696" t="n">
        <v>5.6</v>
      </c>
      <c r="H696" t="n">
        <v>0</v>
      </c>
      <c r="I696" t="n">
        <v>0</v>
      </c>
      <c r="J696" t="n">
        <v>0</v>
      </c>
      <c r="K696" t="n">
        <v>0</v>
      </c>
      <c r="L696" t="n">
        <v>0</v>
      </c>
      <c r="M696" t="n">
        <v>0</v>
      </c>
      <c r="N696" t="n">
        <v>0</v>
      </c>
      <c r="O696" t="n">
        <v>0</v>
      </c>
      <c r="P696" t="n">
        <v>0</v>
      </c>
      <c r="Q696" t="n">
        <v>0</v>
      </c>
      <c r="R696" s="2" t="inlineStr"/>
    </row>
    <row r="697" ht="15" customHeight="1">
      <c r="A697" t="inlineStr">
        <is>
          <t>A 12317-2025</t>
        </is>
      </c>
      <c r="B697" s="1" t="n">
        <v>45729.8487037037</v>
      </c>
      <c r="C697" s="1" t="n">
        <v>46001</v>
      </c>
      <c r="D697" t="inlineStr">
        <is>
          <t>ÖSTERGÖTLANDS LÄN</t>
        </is>
      </c>
      <c r="E697" t="inlineStr">
        <is>
          <t>LINKÖPING</t>
        </is>
      </c>
      <c r="G697" t="n">
        <v>8</v>
      </c>
      <c r="H697" t="n">
        <v>0</v>
      </c>
      <c r="I697" t="n">
        <v>0</v>
      </c>
      <c r="J697" t="n">
        <v>0</v>
      </c>
      <c r="K697" t="n">
        <v>0</v>
      </c>
      <c r="L697" t="n">
        <v>0</v>
      </c>
      <c r="M697" t="n">
        <v>0</v>
      </c>
      <c r="N697" t="n">
        <v>0</v>
      </c>
      <c r="O697" t="n">
        <v>0</v>
      </c>
      <c r="P697" t="n">
        <v>0</v>
      </c>
      <c r="Q697" t="n">
        <v>0</v>
      </c>
      <c r="R697" s="2" t="inlineStr"/>
    </row>
    <row r="698" ht="15" customHeight="1">
      <c r="A698" t="inlineStr">
        <is>
          <t>A 14528-2025</t>
        </is>
      </c>
      <c r="B698" s="1" t="n">
        <v>45741</v>
      </c>
      <c r="C698" s="1" t="n">
        <v>46001</v>
      </c>
      <c r="D698" t="inlineStr">
        <is>
          <t>ÖSTERGÖTLANDS LÄN</t>
        </is>
      </c>
      <c r="E698" t="inlineStr">
        <is>
          <t>LINKÖPING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61649-2023</t>
        </is>
      </c>
      <c r="B699" s="1" t="n">
        <v>45265</v>
      </c>
      <c r="C699" s="1" t="n">
        <v>46001</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60985-2023</t>
        </is>
      </c>
      <c r="B700" s="1" t="n">
        <v>45261.48429398148</v>
      </c>
      <c r="C700" s="1" t="n">
        <v>46001</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421-2024</t>
        </is>
      </c>
      <c r="B701" s="1" t="n">
        <v>45296.51877314815</v>
      </c>
      <c r="C701" s="1" t="n">
        <v>46001</v>
      </c>
      <c r="D701" t="inlineStr">
        <is>
          <t>ÖSTERGÖTLANDS LÄN</t>
        </is>
      </c>
      <c r="E701" t="inlineStr">
        <is>
          <t>LINKÖPING</t>
        </is>
      </c>
      <c r="G701" t="n">
        <v>3.7</v>
      </c>
      <c r="H701" t="n">
        <v>0</v>
      </c>
      <c r="I701" t="n">
        <v>0</v>
      </c>
      <c r="J701" t="n">
        <v>0</v>
      </c>
      <c r="K701" t="n">
        <v>0</v>
      </c>
      <c r="L701" t="n">
        <v>0</v>
      </c>
      <c r="M701" t="n">
        <v>0</v>
      </c>
      <c r="N701" t="n">
        <v>0</v>
      </c>
      <c r="O701" t="n">
        <v>0</v>
      </c>
      <c r="P701" t="n">
        <v>0</v>
      </c>
      <c r="Q701" t="n">
        <v>0</v>
      </c>
      <c r="R701" s="2" t="inlineStr"/>
    </row>
    <row r="702" ht="15" customHeight="1">
      <c r="A702" t="inlineStr">
        <is>
          <t>A 51405-2023</t>
        </is>
      </c>
      <c r="B702" s="1" t="n">
        <v>45219</v>
      </c>
      <c r="C702" s="1" t="n">
        <v>46001</v>
      </c>
      <c r="D702" t="inlineStr">
        <is>
          <t>ÖSTERGÖTLANDS LÄN</t>
        </is>
      </c>
      <c r="E702" t="inlineStr">
        <is>
          <t>LINKÖPING</t>
        </is>
      </c>
      <c r="F702" t="inlineStr">
        <is>
          <t>Övriga Aktiebolag</t>
        </is>
      </c>
      <c r="G702" t="n">
        <v>3</v>
      </c>
      <c r="H702" t="n">
        <v>0</v>
      </c>
      <c r="I702" t="n">
        <v>0</v>
      </c>
      <c r="J702" t="n">
        <v>0</v>
      </c>
      <c r="K702" t="n">
        <v>0</v>
      </c>
      <c r="L702" t="n">
        <v>0</v>
      </c>
      <c r="M702" t="n">
        <v>0</v>
      </c>
      <c r="N702" t="n">
        <v>0</v>
      </c>
      <c r="O702" t="n">
        <v>0</v>
      </c>
      <c r="P702" t="n">
        <v>0</v>
      </c>
      <c r="Q702" t="n">
        <v>0</v>
      </c>
      <c r="R702" s="2" t="inlineStr"/>
    </row>
    <row r="703" ht="15" customHeight="1">
      <c r="A703" t="inlineStr">
        <is>
          <t>A 53639-2023</t>
        </is>
      </c>
      <c r="B703" s="1" t="n">
        <v>45230.59686342593</v>
      </c>
      <c r="C703" s="1" t="n">
        <v>46001</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24467-2023</t>
        </is>
      </c>
      <c r="B704" s="1" t="n">
        <v>45082</v>
      </c>
      <c r="C704" s="1" t="n">
        <v>46001</v>
      </c>
      <c r="D704" t="inlineStr">
        <is>
          <t>ÖSTERGÖTLANDS LÄN</t>
        </is>
      </c>
      <c r="E704" t="inlineStr">
        <is>
          <t>LINKÖPING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62488-2023</t>
        </is>
      </c>
      <c r="B705" s="1" t="n">
        <v>45268.5847337963</v>
      </c>
      <c r="C705" s="1" t="n">
        <v>46001</v>
      </c>
      <c r="D705" t="inlineStr">
        <is>
          <t>ÖSTERGÖTLANDS LÄN</t>
        </is>
      </c>
      <c r="E705" t="inlineStr">
        <is>
          <t>LINKÖPING</t>
        </is>
      </c>
      <c r="G705" t="n">
        <v>4.1</v>
      </c>
      <c r="H705" t="n">
        <v>0</v>
      </c>
      <c r="I705" t="n">
        <v>0</v>
      </c>
      <c r="J705" t="n">
        <v>0</v>
      </c>
      <c r="K705" t="n">
        <v>0</v>
      </c>
      <c r="L705" t="n">
        <v>0</v>
      </c>
      <c r="M705" t="n">
        <v>0</v>
      </c>
      <c r="N705" t="n">
        <v>0</v>
      </c>
      <c r="O705" t="n">
        <v>0</v>
      </c>
      <c r="P705" t="n">
        <v>0</v>
      </c>
      <c r="Q705" t="n">
        <v>0</v>
      </c>
      <c r="R705" s="2" t="inlineStr"/>
    </row>
    <row r="706" ht="15" customHeight="1">
      <c r="A706" t="inlineStr">
        <is>
          <t>A 62495-2023</t>
        </is>
      </c>
      <c r="B706" s="1" t="n">
        <v>45268.59717592593</v>
      </c>
      <c r="C706" s="1" t="n">
        <v>46001</v>
      </c>
      <c r="D706" t="inlineStr">
        <is>
          <t>ÖSTERGÖTLANDS LÄN</t>
        </is>
      </c>
      <c r="E706" t="inlineStr">
        <is>
          <t>LINKÖPING</t>
        </is>
      </c>
      <c r="G706" t="n">
        <v>4.1</v>
      </c>
      <c r="H706" t="n">
        <v>0</v>
      </c>
      <c r="I706" t="n">
        <v>0</v>
      </c>
      <c r="J706" t="n">
        <v>0</v>
      </c>
      <c r="K706" t="n">
        <v>0</v>
      </c>
      <c r="L706" t="n">
        <v>0</v>
      </c>
      <c r="M706" t="n">
        <v>0</v>
      </c>
      <c r="N706" t="n">
        <v>0</v>
      </c>
      <c r="O706" t="n">
        <v>0</v>
      </c>
      <c r="P706" t="n">
        <v>0</v>
      </c>
      <c r="Q706" t="n">
        <v>0</v>
      </c>
      <c r="R706" s="2" t="inlineStr"/>
    </row>
    <row r="707" ht="15" customHeight="1">
      <c r="A707" t="inlineStr">
        <is>
          <t>A 10198-2023</t>
        </is>
      </c>
      <c r="B707" s="1" t="n">
        <v>44986.54665509259</v>
      </c>
      <c r="C707" s="1" t="n">
        <v>46001</v>
      </c>
      <c r="D707" t="inlineStr">
        <is>
          <t>ÖSTERGÖTLANDS LÄN</t>
        </is>
      </c>
      <c r="E707" t="inlineStr">
        <is>
          <t>LINKÖPING</t>
        </is>
      </c>
      <c r="G707" t="n">
        <v>4.6</v>
      </c>
      <c r="H707" t="n">
        <v>0</v>
      </c>
      <c r="I707" t="n">
        <v>0</v>
      </c>
      <c r="J707" t="n">
        <v>0</v>
      </c>
      <c r="K707" t="n">
        <v>0</v>
      </c>
      <c r="L707" t="n">
        <v>0</v>
      </c>
      <c r="M707" t="n">
        <v>0</v>
      </c>
      <c r="N707" t="n">
        <v>0</v>
      </c>
      <c r="O707" t="n">
        <v>0</v>
      </c>
      <c r="P707" t="n">
        <v>0</v>
      </c>
      <c r="Q707" t="n">
        <v>0</v>
      </c>
      <c r="R707" s="2" t="inlineStr"/>
    </row>
    <row r="708" ht="15" customHeight="1">
      <c r="A708" t="inlineStr">
        <is>
          <t>A 22771-2024</t>
        </is>
      </c>
      <c r="B708" s="1" t="n">
        <v>45448.46574074074</v>
      </c>
      <c r="C708" s="1" t="n">
        <v>46001</v>
      </c>
      <c r="D708" t="inlineStr">
        <is>
          <t>ÖSTERGÖTLANDS LÄN</t>
        </is>
      </c>
      <c r="E708" t="inlineStr">
        <is>
          <t>LINKÖPING</t>
        </is>
      </c>
      <c r="F708" t="inlineStr">
        <is>
          <t>Sveaskog</t>
        </is>
      </c>
      <c r="G708" t="n">
        <v>2.7</v>
      </c>
      <c r="H708" t="n">
        <v>0</v>
      </c>
      <c r="I708" t="n">
        <v>0</v>
      </c>
      <c r="J708" t="n">
        <v>0</v>
      </c>
      <c r="K708" t="n">
        <v>0</v>
      </c>
      <c r="L708" t="n">
        <v>0</v>
      </c>
      <c r="M708" t="n">
        <v>0</v>
      </c>
      <c r="N708" t="n">
        <v>0</v>
      </c>
      <c r="O708" t="n">
        <v>0</v>
      </c>
      <c r="P708" t="n">
        <v>0</v>
      </c>
      <c r="Q708" t="n">
        <v>0</v>
      </c>
      <c r="R708" s="2" t="inlineStr"/>
    </row>
    <row r="709" ht="15" customHeight="1">
      <c r="A709" t="inlineStr">
        <is>
          <t>A 17128-2025</t>
        </is>
      </c>
      <c r="B709" s="1" t="n">
        <v>45755.72622685185</v>
      </c>
      <c r="C709" s="1" t="n">
        <v>46001</v>
      </c>
      <c r="D709" t="inlineStr">
        <is>
          <t>ÖSTERGÖTLANDS LÄN</t>
        </is>
      </c>
      <c r="E709" t="inlineStr">
        <is>
          <t>LINKÖPING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62018-2024</t>
        </is>
      </c>
      <c r="B710" s="1" t="n">
        <v>45655.81387731482</v>
      </c>
      <c r="C710" s="1" t="n">
        <v>46001</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62073-2023</t>
        </is>
      </c>
      <c r="B711" s="1" t="n">
        <v>45266.73844907407</v>
      </c>
      <c r="C711" s="1" t="n">
        <v>46001</v>
      </c>
      <c r="D711" t="inlineStr">
        <is>
          <t>ÖSTERGÖTLANDS LÄN</t>
        </is>
      </c>
      <c r="E711" t="inlineStr">
        <is>
          <t>LINKÖPING</t>
        </is>
      </c>
      <c r="F711" t="inlineStr">
        <is>
          <t>Allmännings- och besparingsskogar</t>
        </is>
      </c>
      <c r="G711" t="n">
        <v>1.8</v>
      </c>
      <c r="H711" t="n">
        <v>0</v>
      </c>
      <c r="I711" t="n">
        <v>0</v>
      </c>
      <c r="J711" t="n">
        <v>0</v>
      </c>
      <c r="K711" t="n">
        <v>0</v>
      </c>
      <c r="L711" t="n">
        <v>0</v>
      </c>
      <c r="M711" t="n">
        <v>0</v>
      </c>
      <c r="N711" t="n">
        <v>0</v>
      </c>
      <c r="O711" t="n">
        <v>0</v>
      </c>
      <c r="P711" t="n">
        <v>0</v>
      </c>
      <c r="Q711" t="n">
        <v>0</v>
      </c>
      <c r="R711" s="2" t="inlineStr"/>
    </row>
    <row r="712" ht="15" customHeight="1">
      <c r="A712" t="inlineStr">
        <is>
          <t>A 672-2024</t>
        </is>
      </c>
      <c r="B712" s="1" t="n">
        <v>45300</v>
      </c>
      <c r="C712" s="1" t="n">
        <v>46001</v>
      </c>
      <c r="D712" t="inlineStr">
        <is>
          <t>ÖSTERGÖTLANDS LÄN</t>
        </is>
      </c>
      <c r="E712" t="inlineStr">
        <is>
          <t>LINKÖPING</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42832-2023</t>
        </is>
      </c>
      <c r="B713" s="1" t="n">
        <v>45182.38091435185</v>
      </c>
      <c r="C713" s="1" t="n">
        <v>46001</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5872-2025</t>
        </is>
      </c>
      <c r="B714" s="1" t="n">
        <v>45695.36659722222</v>
      </c>
      <c r="C714" s="1" t="n">
        <v>46001</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59674-2024</t>
        </is>
      </c>
      <c r="B715" s="1" t="n">
        <v>45639</v>
      </c>
      <c r="C715" s="1" t="n">
        <v>46001</v>
      </c>
      <c r="D715" t="inlineStr">
        <is>
          <t>ÖSTERGÖTLANDS LÄN</t>
        </is>
      </c>
      <c r="E715" t="inlineStr">
        <is>
          <t>LINKÖPING</t>
        </is>
      </c>
      <c r="G715" t="n">
        <v>6.3</v>
      </c>
      <c r="H715" t="n">
        <v>0</v>
      </c>
      <c r="I715" t="n">
        <v>0</v>
      </c>
      <c r="J715" t="n">
        <v>0</v>
      </c>
      <c r="K715" t="n">
        <v>0</v>
      </c>
      <c r="L715" t="n">
        <v>0</v>
      </c>
      <c r="M715" t="n">
        <v>0</v>
      </c>
      <c r="N715" t="n">
        <v>0</v>
      </c>
      <c r="O715" t="n">
        <v>0</v>
      </c>
      <c r="P715" t="n">
        <v>0</v>
      </c>
      <c r="Q715" t="n">
        <v>0</v>
      </c>
      <c r="R715" s="2" t="inlineStr"/>
    </row>
    <row r="716" ht="15" customHeight="1">
      <c r="A716" t="inlineStr">
        <is>
          <t>A 59576-2024</t>
        </is>
      </c>
      <c r="B716" s="1" t="n">
        <v>45638.66378472222</v>
      </c>
      <c r="C716" s="1" t="n">
        <v>46001</v>
      </c>
      <c r="D716" t="inlineStr">
        <is>
          <t>ÖSTERGÖTLANDS LÄN</t>
        </is>
      </c>
      <c r="E716" t="inlineStr">
        <is>
          <t>LINKÖPING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51583-2024</t>
        </is>
      </c>
      <c r="B717" s="1" t="n">
        <v>45604.6397337963</v>
      </c>
      <c r="C717" s="1" t="n">
        <v>46001</v>
      </c>
      <c r="D717" t="inlineStr">
        <is>
          <t>ÖSTERGÖTLANDS LÄN</t>
        </is>
      </c>
      <c r="E717" t="inlineStr">
        <is>
          <t>LINKÖPING</t>
        </is>
      </c>
      <c r="F717" t="inlineStr">
        <is>
          <t>Övriga Aktiebolag</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62019-2024</t>
        </is>
      </c>
      <c r="B718" s="1" t="n">
        <v>45655.82</v>
      </c>
      <c r="C718" s="1" t="n">
        <v>46001</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38317-2024</t>
        </is>
      </c>
      <c r="B719" s="1" t="n">
        <v>45545.65766203704</v>
      </c>
      <c r="C719" s="1" t="n">
        <v>46001</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50182-2023</t>
        </is>
      </c>
      <c r="B720" s="1" t="n">
        <v>45208</v>
      </c>
      <c r="C720" s="1" t="n">
        <v>46001</v>
      </c>
      <c r="D720" t="inlineStr">
        <is>
          <t>ÖSTERGÖTLANDS LÄN</t>
        </is>
      </c>
      <c r="E720" t="inlineStr">
        <is>
          <t>LINKÖPING</t>
        </is>
      </c>
      <c r="G720" t="n">
        <v>2.5</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46001</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21155-2025</t>
        </is>
      </c>
      <c r="B722" s="1" t="n">
        <v>45779.37586805555</v>
      </c>
      <c r="C722" s="1" t="n">
        <v>46001</v>
      </c>
      <c r="D722" t="inlineStr">
        <is>
          <t>ÖSTERGÖTLANDS LÄN</t>
        </is>
      </c>
      <c r="E722" t="inlineStr">
        <is>
          <t>LINKÖPING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21165-2025</t>
        </is>
      </c>
      <c r="B723" s="1" t="n">
        <v>45779.39417824074</v>
      </c>
      <c r="C723" s="1" t="n">
        <v>46001</v>
      </c>
      <c r="D723" t="inlineStr">
        <is>
          <t>ÖSTERGÖTLANDS LÄN</t>
        </is>
      </c>
      <c r="E723" t="inlineStr">
        <is>
          <t>LINKÖPING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57752-2023</t>
        </is>
      </c>
      <c r="B724" s="1" t="n">
        <v>45246.78474537037</v>
      </c>
      <c r="C724" s="1" t="n">
        <v>46001</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46001</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10797-2024</t>
        </is>
      </c>
      <c r="B726" s="1" t="n">
        <v>45369.6190162037</v>
      </c>
      <c r="C726" s="1" t="n">
        <v>46001</v>
      </c>
      <c r="D726" t="inlineStr">
        <is>
          <t>ÖSTERGÖTLANDS LÄN</t>
        </is>
      </c>
      <c r="E726" t="inlineStr">
        <is>
          <t>LINKÖPING</t>
        </is>
      </c>
      <c r="G726" t="n">
        <v>1.5</v>
      </c>
      <c r="H726" t="n">
        <v>0</v>
      </c>
      <c r="I726" t="n">
        <v>0</v>
      </c>
      <c r="J726" t="n">
        <v>0</v>
      </c>
      <c r="K726" t="n">
        <v>0</v>
      </c>
      <c r="L726" t="n">
        <v>0</v>
      </c>
      <c r="M726" t="n">
        <v>0</v>
      </c>
      <c r="N726" t="n">
        <v>0</v>
      </c>
      <c r="O726" t="n">
        <v>0</v>
      </c>
      <c r="P726" t="n">
        <v>0</v>
      </c>
      <c r="Q726" t="n">
        <v>0</v>
      </c>
      <c r="R726" s="2" t="inlineStr"/>
    </row>
    <row r="727">
      <c r="A727" t="inlineStr">
        <is>
          <t>A 22264-2025</t>
        </is>
      </c>
      <c r="B727" s="1" t="n">
        <v>45785</v>
      </c>
      <c r="C727" s="1" t="n">
        <v>46001</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2025-12-10T10:24:26Z</dcterms:created>
  <dcterms:modified xmlns:dcterms="http://purl.org/dc/terms/" xmlns:xsi="http://www.w3.org/2001/XMLSchema-instance" xsi:type="dcterms:W3CDTF">2025-12-10T10:24:27Z</dcterms:modified>
</cp:coreProperties>
</file>