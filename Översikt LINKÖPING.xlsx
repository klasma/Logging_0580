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45695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45695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45695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45695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45695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45695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45695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45695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45695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45695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45695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45695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45695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45695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45695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45695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45695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45695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45695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45695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45695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45695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45695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45695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45695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45695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45695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49188-2024</t>
        </is>
      </c>
      <c r="B44" s="1" t="n">
        <v>45595</v>
      </c>
      <c r="C44" s="1" t="n">
        <v>45695</v>
      </c>
      <c r="D44" t="inlineStr">
        <is>
          <t>ÖSTERGÖTLANDS LÄN</t>
        </is>
      </c>
      <c r="E44" t="inlineStr">
        <is>
          <t>LINKÖPING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Skogsalm
Ask</t>
        </is>
      </c>
      <c r="S44">
        <f>HYPERLINK("https://klasma.github.io/Logging_0580/artfynd/A 49188-2024 artfynd.xlsx", "A 49188-2024")</f>
        <v/>
      </c>
      <c r="T44">
        <f>HYPERLINK("https://klasma.github.io/Logging_0580/kartor/A 49188-2024 karta.png", "A 49188-2024")</f>
        <v/>
      </c>
      <c r="V44">
        <f>HYPERLINK("https://klasma.github.io/Logging_0580/klagomål/A 49188-2024 FSC-klagomål.docx", "A 49188-2024")</f>
        <v/>
      </c>
      <c r="W44">
        <f>HYPERLINK("https://klasma.github.io/Logging_0580/klagomålsmail/A 49188-2024 FSC-klagomål mail.docx", "A 49188-2024")</f>
        <v/>
      </c>
      <c r="X44">
        <f>HYPERLINK("https://klasma.github.io/Logging_0580/tillsyn/A 49188-2024 tillsynsbegäran.docx", "A 49188-2024")</f>
        <v/>
      </c>
      <c r="Y44">
        <f>HYPERLINK("https://klasma.github.io/Logging_0580/tillsynsmail/A 49188-2024 tillsynsbegäran mail.docx", "A 49188-2024")</f>
        <v/>
      </c>
    </row>
    <row r="45" ht="15" customHeight="1">
      <c r="A45" t="inlineStr">
        <is>
          <t>A 55344-2024</t>
        </is>
      </c>
      <c r="B45" s="1" t="n">
        <v>45621</v>
      </c>
      <c r="C45" s="1" t="n">
        <v>45695</v>
      </c>
      <c r="D45" t="inlineStr">
        <is>
          <t>ÖSTERGÖTLANDS LÄN</t>
        </is>
      </c>
      <c r="E45" t="inlineStr">
        <is>
          <t>LINKÖPING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Kandelabersvamp
Stjärnnästing</t>
        </is>
      </c>
      <c r="S45">
        <f>HYPERLINK("https://klasma.github.io/Logging_0580/artfynd/A 55344-2024 artfynd.xlsx", "A 55344-2024")</f>
        <v/>
      </c>
      <c r="T45">
        <f>HYPERLINK("https://klasma.github.io/Logging_0580/kartor/A 55344-2024 karta.png", "A 55344-2024")</f>
        <v/>
      </c>
      <c r="V45">
        <f>HYPERLINK("https://klasma.github.io/Logging_0580/klagomål/A 55344-2024 FSC-klagomål.docx", "A 55344-2024")</f>
        <v/>
      </c>
      <c r="W45">
        <f>HYPERLINK("https://klasma.github.io/Logging_0580/klagomålsmail/A 55344-2024 FSC-klagomål mail.docx", "A 55344-2024")</f>
        <v/>
      </c>
      <c r="X45">
        <f>HYPERLINK("https://klasma.github.io/Logging_0580/tillsyn/A 55344-2024 tillsynsbegäran.docx", "A 55344-2024")</f>
        <v/>
      </c>
      <c r="Y45">
        <f>HYPERLINK("https://klasma.github.io/Logging_0580/tillsynsmail/A 55344-2024 tillsynsbegäran mail.docx", "A 55344-2024")</f>
        <v/>
      </c>
    </row>
    <row r="46" ht="15" customHeight="1">
      <c r="A46" t="inlineStr">
        <is>
          <t>A 594-2025</t>
        </is>
      </c>
      <c r="B46" s="1" t="n">
        <v>45664</v>
      </c>
      <c r="C46" s="1" t="n">
        <v>45695</v>
      </c>
      <c r="D46" t="inlineStr">
        <is>
          <t>ÖSTERGÖTLANDS LÄN</t>
        </is>
      </c>
      <c r="E46" t="inlineStr">
        <is>
          <t>LINKÖPING</t>
        </is>
      </c>
      <c r="G46" t="n">
        <v>11.7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Blekticka
Veckticka</t>
        </is>
      </c>
      <c r="S46">
        <f>HYPERLINK("https://klasma.github.io/Logging_0580/artfynd/A 594-2025 artfynd.xlsx", "A 594-2025")</f>
        <v/>
      </c>
      <c r="T46">
        <f>HYPERLINK("https://klasma.github.io/Logging_0580/kartor/A 594-2025 karta.png", "A 594-2025")</f>
        <v/>
      </c>
      <c r="V46">
        <f>HYPERLINK("https://klasma.github.io/Logging_0580/klagomål/A 594-2025 FSC-klagomål.docx", "A 594-2025")</f>
        <v/>
      </c>
      <c r="W46">
        <f>HYPERLINK("https://klasma.github.io/Logging_0580/klagomålsmail/A 594-2025 FSC-klagomål mail.docx", "A 594-2025")</f>
        <v/>
      </c>
      <c r="X46">
        <f>HYPERLINK("https://klasma.github.io/Logging_0580/tillsyn/A 594-2025 tillsynsbegäran.docx", "A 594-2025")</f>
        <v/>
      </c>
      <c r="Y46">
        <f>HYPERLINK("https://klasma.github.io/Logging_0580/tillsynsmail/A 594-2025 tillsynsbegäran mail.docx", "A 594-2025")</f>
        <v/>
      </c>
    </row>
    <row r="47" ht="15" customHeight="1">
      <c r="A47" t="inlineStr">
        <is>
          <t>A 43518-2019</t>
        </is>
      </c>
      <c r="B47" s="1" t="n">
        <v>43706</v>
      </c>
      <c r="C47" s="1" t="n">
        <v>45695</v>
      </c>
      <c r="D47" t="inlineStr">
        <is>
          <t>ÖSTERGÖTLANDS LÄN</t>
        </is>
      </c>
      <c r="E47" t="inlineStr">
        <is>
          <t>LINKÖPING</t>
        </is>
      </c>
      <c r="G47" t="n">
        <v>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HYPERLINK("https://klasma.github.io/Logging_0580/artfynd/A 43518-2019 artfynd.xlsx", "A 43518-2019")</f>
        <v/>
      </c>
      <c r="T47">
        <f>HYPERLINK("https://klasma.github.io/Logging_0580/kartor/A 43518-2019 karta.png", "A 43518-2019")</f>
        <v/>
      </c>
      <c r="V47">
        <f>HYPERLINK("https://klasma.github.io/Logging_0580/klagomål/A 43518-2019 FSC-klagomål.docx", "A 43518-2019")</f>
        <v/>
      </c>
      <c r="W47">
        <f>HYPERLINK("https://klasma.github.io/Logging_0580/klagomålsmail/A 43518-2019 FSC-klagomål mail.docx", "A 43518-2019")</f>
        <v/>
      </c>
      <c r="X47">
        <f>HYPERLINK("https://klasma.github.io/Logging_0580/tillsyn/A 43518-2019 tillsynsbegäran.docx", "A 43518-2019")</f>
        <v/>
      </c>
      <c r="Y47">
        <f>HYPERLINK("https://klasma.github.io/Logging_0580/tillsynsmail/A 43518-2019 tillsynsbegäran mail.docx", "A 43518-2019")</f>
        <v/>
      </c>
    </row>
    <row r="48" ht="15" customHeight="1">
      <c r="A48" t="inlineStr">
        <is>
          <t>A 44773-2019</t>
        </is>
      </c>
      <c r="B48" s="1" t="n">
        <v>43712</v>
      </c>
      <c r="C48" s="1" t="n">
        <v>45695</v>
      </c>
      <c r="D48" t="inlineStr">
        <is>
          <t>ÖSTERGÖTLANDS LÄN</t>
        </is>
      </c>
      <c r="E48" t="inlineStr">
        <is>
          <t>LINKÖPING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HYPERLINK("https://klasma.github.io/Logging_0580/artfynd/A 44773-2019 artfynd.xlsx", "A 44773-2019")</f>
        <v/>
      </c>
      <c r="T48">
        <f>HYPERLINK("https://klasma.github.io/Logging_0580/kartor/A 44773-2019 karta.png", "A 44773-2019")</f>
        <v/>
      </c>
      <c r="V48">
        <f>HYPERLINK("https://klasma.github.io/Logging_0580/klagomål/A 44773-2019 FSC-klagomål.docx", "A 44773-2019")</f>
        <v/>
      </c>
      <c r="W48">
        <f>HYPERLINK("https://klasma.github.io/Logging_0580/klagomålsmail/A 44773-2019 FSC-klagomål mail.docx", "A 44773-2019")</f>
        <v/>
      </c>
      <c r="X48">
        <f>HYPERLINK("https://klasma.github.io/Logging_0580/tillsyn/A 44773-2019 tillsynsbegäran.docx", "A 44773-2019")</f>
        <v/>
      </c>
      <c r="Y48">
        <f>HYPERLINK("https://klasma.github.io/Logging_0580/tillsynsmail/A 44773-2019 tillsynsbegäran mail.docx", "A 44773-2019")</f>
        <v/>
      </c>
      <c r="Z48">
        <f>HYPERLINK("https://klasma.github.io/Logging_0580/fåglar/A 44773-2019 prioriterade fågelarter.docx", "A 44773-2019")</f>
        <v/>
      </c>
    </row>
    <row r="49" ht="15" customHeight="1">
      <c r="A49" t="inlineStr">
        <is>
          <t>A 49148-2019</t>
        </is>
      </c>
      <c r="B49" s="1" t="n">
        <v>43731</v>
      </c>
      <c r="C49" s="1" t="n">
        <v>45695</v>
      </c>
      <c r="D49" t="inlineStr">
        <is>
          <t>ÖSTERGÖTLANDS LÄN</t>
        </is>
      </c>
      <c r="E49" t="inlineStr">
        <is>
          <t>LINKÖPING</t>
        </is>
      </c>
      <c r="G49" t="n">
        <v>11.6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49148-2019 artfynd.xlsx", "A 49148-2019")</f>
        <v/>
      </c>
      <c r="T49">
        <f>HYPERLINK("https://klasma.github.io/Logging_0580/kartor/A 49148-2019 karta.png", "A 49148-2019")</f>
        <v/>
      </c>
      <c r="V49">
        <f>HYPERLINK("https://klasma.github.io/Logging_0580/klagomål/A 49148-2019 FSC-klagomål.docx", "A 49148-2019")</f>
        <v/>
      </c>
      <c r="W49">
        <f>HYPERLINK("https://klasma.github.io/Logging_0580/klagomålsmail/A 49148-2019 FSC-klagomål mail.docx", "A 49148-2019")</f>
        <v/>
      </c>
      <c r="X49">
        <f>HYPERLINK("https://klasma.github.io/Logging_0580/tillsyn/A 49148-2019 tillsynsbegäran.docx", "A 49148-2019")</f>
        <v/>
      </c>
      <c r="Y49">
        <f>HYPERLINK("https://klasma.github.io/Logging_0580/tillsynsmail/A 49148-2019 tillsynsbegäran mail.docx", "A 49148-2019")</f>
        <v/>
      </c>
    </row>
    <row r="50" ht="15" customHeight="1">
      <c r="A50" t="inlineStr">
        <is>
          <t>A 49556-2019</t>
        </is>
      </c>
      <c r="B50" s="1" t="n">
        <v>43732</v>
      </c>
      <c r="C50" s="1" t="n">
        <v>45695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HYPERLINK("https://klasma.github.io/Logging_0580/artfynd/A 49556-2019 artfynd.xlsx", "A 49556-2019")</f>
        <v/>
      </c>
      <c r="T50">
        <f>HYPERLINK("https://klasma.github.io/Logging_0580/kartor/A 49556-2019 karta.png", "A 49556-2019")</f>
        <v/>
      </c>
      <c r="V50">
        <f>HYPERLINK("https://klasma.github.io/Logging_0580/klagomål/A 49556-2019 FSC-klagomål.docx", "A 49556-2019")</f>
        <v/>
      </c>
      <c r="W50">
        <f>HYPERLINK("https://klasma.github.io/Logging_0580/klagomålsmail/A 49556-2019 FSC-klagomål mail.docx", "A 49556-2019")</f>
        <v/>
      </c>
      <c r="X50">
        <f>HYPERLINK("https://klasma.github.io/Logging_0580/tillsyn/A 49556-2019 tillsynsbegäran.docx", "A 49556-2019")</f>
        <v/>
      </c>
      <c r="Y50">
        <f>HYPERLINK("https://klasma.github.io/Logging_0580/tillsynsmail/A 49556-2019 tillsynsbegäran mail.docx", "A 49556-2019")</f>
        <v/>
      </c>
    </row>
    <row r="51" ht="15" customHeight="1">
      <c r="A51" t="inlineStr">
        <is>
          <t>A 54164-2019</t>
        </is>
      </c>
      <c r="B51" s="1" t="n">
        <v>43752</v>
      </c>
      <c r="C51" s="1" t="n">
        <v>45695</v>
      </c>
      <c r="D51" t="inlineStr">
        <is>
          <t>ÖSTERGÖTLANDS LÄN</t>
        </is>
      </c>
      <c r="E51" t="inlineStr">
        <is>
          <t>LINKÖPING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HYPERLINK("https://klasma.github.io/Logging_0580/artfynd/A 54164-2019 artfynd.xlsx", "A 54164-2019")</f>
        <v/>
      </c>
      <c r="T51">
        <f>HYPERLINK("https://klasma.github.io/Logging_0580/kartor/A 54164-2019 karta.png", "A 54164-2019")</f>
        <v/>
      </c>
      <c r="V51">
        <f>HYPERLINK("https://klasma.github.io/Logging_0580/klagomål/A 54164-2019 FSC-klagomål.docx", "A 54164-2019")</f>
        <v/>
      </c>
      <c r="W51">
        <f>HYPERLINK("https://klasma.github.io/Logging_0580/klagomålsmail/A 54164-2019 FSC-klagomål mail.docx", "A 54164-2019")</f>
        <v/>
      </c>
      <c r="X51">
        <f>HYPERLINK("https://klasma.github.io/Logging_0580/tillsyn/A 54164-2019 tillsynsbegäran.docx", "A 54164-2019")</f>
        <v/>
      </c>
      <c r="Y51">
        <f>HYPERLINK("https://klasma.github.io/Logging_0580/tillsynsmail/A 54164-2019 tillsynsbegäran mail.docx", "A 54164-2019")</f>
        <v/>
      </c>
    </row>
    <row r="52" ht="15" customHeight="1">
      <c r="A52" t="inlineStr">
        <is>
          <t>A 61702-2019</t>
        </is>
      </c>
      <c r="B52" s="1" t="n">
        <v>43784</v>
      </c>
      <c r="C52" s="1" t="n">
        <v>45695</v>
      </c>
      <c r="D52" t="inlineStr">
        <is>
          <t>ÖSTERGÖTLANDS LÄN</t>
        </is>
      </c>
      <c r="E52" t="inlineStr">
        <is>
          <t>LINKÖPING</t>
        </is>
      </c>
      <c r="G52" t="n">
        <v>15.2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HYPERLINK("https://klasma.github.io/Logging_0580/artfynd/A 61702-2019 artfynd.xlsx", "A 61702-2019")</f>
        <v/>
      </c>
      <c r="T52">
        <f>HYPERLINK("https://klasma.github.io/Logging_0580/kartor/A 61702-2019 karta.png", "A 61702-2019")</f>
        <v/>
      </c>
      <c r="V52">
        <f>HYPERLINK("https://klasma.github.io/Logging_0580/klagomål/A 61702-2019 FSC-klagomål.docx", "A 61702-2019")</f>
        <v/>
      </c>
      <c r="W52">
        <f>HYPERLINK("https://klasma.github.io/Logging_0580/klagomålsmail/A 61702-2019 FSC-klagomål mail.docx", "A 61702-2019")</f>
        <v/>
      </c>
      <c r="X52">
        <f>HYPERLINK("https://klasma.github.io/Logging_0580/tillsyn/A 61702-2019 tillsynsbegäran.docx", "A 61702-2019")</f>
        <v/>
      </c>
      <c r="Y52">
        <f>HYPERLINK("https://klasma.github.io/Logging_0580/tillsynsmail/A 61702-2019 tillsynsbegäran mail.docx", "A 61702-2019")</f>
        <v/>
      </c>
    </row>
    <row r="53" ht="15" customHeight="1">
      <c r="A53" t="inlineStr">
        <is>
          <t>A 9820-2020</t>
        </is>
      </c>
      <c r="B53" s="1" t="n">
        <v>43881</v>
      </c>
      <c r="C53" s="1" t="n">
        <v>45695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24.8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HYPERLINK("https://klasma.github.io/Logging_0580/artfynd/A 9820-2020 artfynd.xlsx", "A 9820-2020")</f>
        <v/>
      </c>
      <c r="T53">
        <f>HYPERLINK("https://klasma.github.io/Logging_0580/kartor/A 9820-2020 karta.png", "A 9820-2020")</f>
        <v/>
      </c>
      <c r="V53">
        <f>HYPERLINK("https://klasma.github.io/Logging_0580/klagomål/A 9820-2020 FSC-klagomål.docx", "A 9820-2020")</f>
        <v/>
      </c>
      <c r="W53">
        <f>HYPERLINK("https://klasma.github.io/Logging_0580/klagomålsmail/A 9820-2020 FSC-klagomål mail.docx", "A 9820-2020")</f>
        <v/>
      </c>
      <c r="X53">
        <f>HYPERLINK("https://klasma.github.io/Logging_0580/tillsyn/A 9820-2020 tillsynsbegäran.docx", "A 9820-2020")</f>
        <v/>
      </c>
      <c r="Y53">
        <f>HYPERLINK("https://klasma.github.io/Logging_0580/tillsynsmail/A 9820-2020 tillsynsbegäran mail.docx", "A 9820-2020")</f>
        <v/>
      </c>
    </row>
    <row r="54" ht="15" customHeight="1">
      <c r="A54" t="inlineStr">
        <is>
          <t>A 15742-2020</t>
        </is>
      </c>
      <c r="B54" s="1" t="n">
        <v>43915</v>
      </c>
      <c r="C54" s="1" t="n">
        <v>45695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HYPERLINK("https://klasma.github.io/Logging_0580/artfynd/A 15742-2020 artfynd.xlsx", "A 15742-2020")</f>
        <v/>
      </c>
      <c r="T54">
        <f>HYPERLINK("https://klasma.github.io/Logging_0580/kartor/A 15742-2020 karta.png", "A 15742-2020")</f>
        <v/>
      </c>
      <c r="V54">
        <f>HYPERLINK("https://klasma.github.io/Logging_0580/klagomål/A 15742-2020 FSC-klagomål.docx", "A 15742-2020")</f>
        <v/>
      </c>
      <c r="W54">
        <f>HYPERLINK("https://klasma.github.io/Logging_0580/klagomålsmail/A 15742-2020 FSC-klagomål mail.docx", "A 15742-2020")</f>
        <v/>
      </c>
      <c r="X54">
        <f>HYPERLINK("https://klasma.github.io/Logging_0580/tillsyn/A 15742-2020 tillsynsbegäran.docx", "A 15742-2020")</f>
        <v/>
      </c>
      <c r="Y54">
        <f>HYPERLINK("https://klasma.github.io/Logging_0580/tillsynsmail/A 15742-2020 tillsynsbegäran mail.docx", "A 15742-2020")</f>
        <v/>
      </c>
    </row>
    <row r="55" ht="15" customHeight="1">
      <c r="A55" t="inlineStr">
        <is>
          <t>A 42665-2020</t>
        </is>
      </c>
      <c r="B55" s="1" t="n">
        <v>44077</v>
      </c>
      <c r="C55" s="1" t="n">
        <v>45695</v>
      </c>
      <c r="D55" t="inlineStr">
        <is>
          <t>ÖSTERGÖTLANDS LÄN</t>
        </is>
      </c>
      <c r="E55" t="inlineStr">
        <is>
          <t>LINKÖPING</t>
        </is>
      </c>
      <c r="G55" t="n">
        <v>15.6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42665-2020 artfynd.xlsx", "A 42665-2020")</f>
        <v/>
      </c>
      <c r="T55">
        <f>HYPERLINK("https://klasma.github.io/Logging_0580/kartor/A 42665-2020 karta.png", "A 42665-2020")</f>
        <v/>
      </c>
      <c r="V55">
        <f>HYPERLINK("https://klasma.github.io/Logging_0580/klagomål/A 42665-2020 FSC-klagomål.docx", "A 42665-2020")</f>
        <v/>
      </c>
      <c r="W55">
        <f>HYPERLINK("https://klasma.github.io/Logging_0580/klagomålsmail/A 42665-2020 FSC-klagomål mail.docx", "A 42665-2020")</f>
        <v/>
      </c>
      <c r="X55">
        <f>HYPERLINK("https://klasma.github.io/Logging_0580/tillsyn/A 42665-2020 tillsynsbegäran.docx", "A 42665-2020")</f>
        <v/>
      </c>
      <c r="Y55">
        <f>HYPERLINK("https://klasma.github.io/Logging_0580/tillsynsmail/A 42665-2020 tillsynsbegäran mail.docx", "A 42665-2020")</f>
        <v/>
      </c>
    </row>
    <row r="56" ht="15" customHeight="1">
      <c r="A56" t="inlineStr">
        <is>
          <t>A 44930-2020</t>
        </is>
      </c>
      <c r="B56" s="1" t="n">
        <v>44088</v>
      </c>
      <c r="C56" s="1" t="n">
        <v>45695</v>
      </c>
      <c r="D56" t="inlineStr">
        <is>
          <t>ÖSTERGÖTLANDS LÄN</t>
        </is>
      </c>
      <c r="E56" t="inlineStr">
        <is>
          <t>LINKÖPING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HYPERLINK("https://klasma.github.io/Logging_0580/artfynd/A 44930-2020 artfynd.xlsx", "A 44930-2020")</f>
        <v/>
      </c>
      <c r="T56">
        <f>HYPERLINK("https://klasma.github.io/Logging_0580/kartor/A 44930-2020 karta.png", "A 44930-2020")</f>
        <v/>
      </c>
      <c r="U56">
        <f>HYPERLINK("https://klasma.github.io/Logging_0580/knärot/A 44930-2020 karta knärot.png", "A 44930-2020")</f>
        <v/>
      </c>
      <c r="V56">
        <f>HYPERLINK("https://klasma.github.io/Logging_0580/klagomål/A 44930-2020 FSC-klagomål.docx", "A 44930-2020")</f>
        <v/>
      </c>
      <c r="W56">
        <f>HYPERLINK("https://klasma.github.io/Logging_0580/klagomålsmail/A 44930-2020 FSC-klagomål mail.docx", "A 44930-2020")</f>
        <v/>
      </c>
      <c r="X56">
        <f>HYPERLINK("https://klasma.github.io/Logging_0580/tillsyn/A 44930-2020 tillsynsbegäran.docx", "A 44930-2020")</f>
        <v/>
      </c>
      <c r="Y56">
        <f>HYPERLINK("https://klasma.github.io/Logging_0580/tillsynsmail/A 44930-2020 tillsynsbegäran mail.docx", "A 44930-2020")</f>
        <v/>
      </c>
    </row>
    <row r="57" ht="15" customHeight="1">
      <c r="A57" t="inlineStr">
        <is>
          <t>A 47346-2020</t>
        </is>
      </c>
      <c r="B57" s="1" t="n">
        <v>44095</v>
      </c>
      <c r="C57" s="1" t="n">
        <v>45695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HYPERLINK("https://klasma.github.io/Logging_0580/artfynd/A 47346-2020 artfynd.xlsx", "A 47346-2020")</f>
        <v/>
      </c>
      <c r="T57">
        <f>HYPERLINK("https://klasma.github.io/Logging_0580/kartor/A 47346-2020 karta.png", "A 47346-2020")</f>
        <v/>
      </c>
      <c r="V57">
        <f>HYPERLINK("https://klasma.github.io/Logging_0580/klagomål/A 47346-2020 FSC-klagomål.docx", "A 47346-2020")</f>
        <v/>
      </c>
      <c r="W57">
        <f>HYPERLINK("https://klasma.github.io/Logging_0580/klagomålsmail/A 47346-2020 FSC-klagomål mail.docx", "A 47346-2020")</f>
        <v/>
      </c>
      <c r="X57">
        <f>HYPERLINK("https://klasma.github.io/Logging_0580/tillsyn/A 47346-2020 tillsynsbegäran.docx", "A 47346-2020")</f>
        <v/>
      </c>
      <c r="Y57">
        <f>HYPERLINK("https://klasma.github.io/Logging_0580/tillsynsmail/A 47346-2020 tillsynsbegäran mail.docx", "A 47346-2020")</f>
        <v/>
      </c>
    </row>
    <row r="58" ht="15" customHeight="1">
      <c r="A58" t="inlineStr">
        <is>
          <t>A 48984-2020</t>
        </is>
      </c>
      <c r="B58" s="1" t="n">
        <v>44104</v>
      </c>
      <c r="C58" s="1" t="n">
        <v>45695</v>
      </c>
      <c r="D58" t="inlineStr">
        <is>
          <t>ÖSTERGÖTLANDS LÄN</t>
        </is>
      </c>
      <c r="E58" t="inlineStr">
        <is>
          <t>LINKÖPING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HYPERLINK("https://klasma.github.io/Logging_0580/artfynd/A 48984-2020 artfynd.xlsx", "A 48984-2020")</f>
        <v/>
      </c>
      <c r="T58">
        <f>HYPERLINK("https://klasma.github.io/Logging_0580/kartor/A 48984-2020 karta.png", "A 48984-2020")</f>
        <v/>
      </c>
      <c r="V58">
        <f>HYPERLINK("https://klasma.github.io/Logging_0580/klagomål/A 48984-2020 FSC-klagomål.docx", "A 48984-2020")</f>
        <v/>
      </c>
      <c r="W58">
        <f>HYPERLINK("https://klasma.github.io/Logging_0580/klagomålsmail/A 48984-2020 FSC-klagomål mail.docx", "A 48984-2020")</f>
        <v/>
      </c>
      <c r="X58">
        <f>HYPERLINK("https://klasma.github.io/Logging_0580/tillsyn/A 48984-2020 tillsynsbegäran.docx", "A 48984-2020")</f>
        <v/>
      </c>
      <c r="Y58">
        <f>HYPERLINK("https://klasma.github.io/Logging_0580/tillsynsmail/A 48984-2020 tillsynsbegäran mail.docx", "A 48984-2020")</f>
        <v/>
      </c>
    </row>
    <row r="59" ht="15" customHeight="1">
      <c r="A59" t="inlineStr">
        <is>
          <t>A 67164-2020</t>
        </is>
      </c>
      <c r="B59" s="1" t="n">
        <v>44180</v>
      </c>
      <c r="C59" s="1" t="n">
        <v>45695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8.6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HYPERLINK("https://klasma.github.io/Logging_0580/artfynd/A 67164-2020 artfynd.xlsx", "A 67164-2020")</f>
        <v/>
      </c>
      <c r="T59">
        <f>HYPERLINK("https://klasma.github.io/Logging_0580/kartor/A 67164-2020 karta.png", "A 67164-2020")</f>
        <v/>
      </c>
      <c r="V59">
        <f>HYPERLINK("https://klasma.github.io/Logging_0580/klagomål/A 67164-2020 FSC-klagomål.docx", "A 67164-2020")</f>
        <v/>
      </c>
      <c r="W59">
        <f>HYPERLINK("https://klasma.github.io/Logging_0580/klagomålsmail/A 67164-2020 FSC-klagomål mail.docx", "A 67164-2020")</f>
        <v/>
      </c>
      <c r="X59">
        <f>HYPERLINK("https://klasma.github.io/Logging_0580/tillsyn/A 67164-2020 tillsynsbegäran.docx", "A 67164-2020")</f>
        <v/>
      </c>
      <c r="Y59">
        <f>HYPERLINK("https://klasma.github.io/Logging_0580/tillsynsmail/A 67164-2020 tillsynsbegäran mail.docx", "A 67164-2020")</f>
        <v/>
      </c>
      <c r="Z59">
        <f>HYPERLINK("https://klasma.github.io/Logging_0580/fåglar/A 67164-2020 prioriterade fågelarter.docx", "A 67164-2020")</f>
        <v/>
      </c>
    </row>
    <row r="60" ht="15" customHeight="1">
      <c r="A60" t="inlineStr">
        <is>
          <t>A 14096-2021</t>
        </is>
      </c>
      <c r="B60" s="1" t="n">
        <v>44278</v>
      </c>
      <c r="C60" s="1" t="n">
        <v>45695</v>
      </c>
      <c r="D60" t="inlineStr">
        <is>
          <t>ÖSTERGÖTLANDS LÄN</t>
        </is>
      </c>
      <c r="E60" t="inlineStr">
        <is>
          <t>LINKÖPING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HYPERLINK("https://klasma.github.io/Logging_0580/artfynd/A 14096-2021 artfynd.xlsx", "A 14096-2021")</f>
        <v/>
      </c>
      <c r="T60">
        <f>HYPERLINK("https://klasma.github.io/Logging_0580/kartor/A 14096-2021 karta.png", "A 14096-2021")</f>
        <v/>
      </c>
      <c r="V60">
        <f>HYPERLINK("https://klasma.github.io/Logging_0580/klagomål/A 14096-2021 FSC-klagomål.docx", "A 14096-2021")</f>
        <v/>
      </c>
      <c r="W60">
        <f>HYPERLINK("https://klasma.github.io/Logging_0580/klagomålsmail/A 14096-2021 FSC-klagomål mail.docx", "A 14096-2021")</f>
        <v/>
      </c>
      <c r="X60">
        <f>HYPERLINK("https://klasma.github.io/Logging_0580/tillsyn/A 14096-2021 tillsynsbegäran.docx", "A 14096-2021")</f>
        <v/>
      </c>
      <c r="Y60">
        <f>HYPERLINK("https://klasma.github.io/Logging_0580/tillsynsmail/A 14096-2021 tillsynsbegäran mail.docx", "A 14096-2021")</f>
        <v/>
      </c>
    </row>
    <row r="61" ht="15" customHeight="1">
      <c r="A61" t="inlineStr">
        <is>
          <t>A 17389-2021</t>
        </is>
      </c>
      <c r="B61" s="1" t="n">
        <v>44299</v>
      </c>
      <c r="C61" s="1" t="n">
        <v>45695</v>
      </c>
      <c r="D61" t="inlineStr">
        <is>
          <t>ÖSTERGÖTLANDS LÄN</t>
        </is>
      </c>
      <c r="E61" t="inlineStr">
        <is>
          <t>LINKÖPING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HYPERLINK("https://klasma.github.io/Logging_0580/artfynd/A 17389-2021 artfynd.xlsx", "A 17389-2021")</f>
        <v/>
      </c>
      <c r="T61">
        <f>HYPERLINK("https://klasma.github.io/Logging_0580/kartor/A 17389-2021 karta.png", "A 17389-2021")</f>
        <v/>
      </c>
      <c r="V61">
        <f>HYPERLINK("https://klasma.github.io/Logging_0580/klagomål/A 17389-2021 FSC-klagomål.docx", "A 17389-2021")</f>
        <v/>
      </c>
      <c r="W61">
        <f>HYPERLINK("https://klasma.github.io/Logging_0580/klagomålsmail/A 17389-2021 FSC-klagomål mail.docx", "A 17389-2021")</f>
        <v/>
      </c>
      <c r="X61">
        <f>HYPERLINK("https://klasma.github.io/Logging_0580/tillsyn/A 17389-2021 tillsynsbegäran.docx", "A 17389-2021")</f>
        <v/>
      </c>
      <c r="Y61">
        <f>HYPERLINK("https://klasma.github.io/Logging_0580/tillsynsmail/A 17389-2021 tillsynsbegäran mail.docx", "A 17389-2021")</f>
        <v/>
      </c>
    </row>
    <row r="62" ht="15" customHeight="1">
      <c r="A62" t="inlineStr">
        <is>
          <t>A 19103-2021</t>
        </is>
      </c>
      <c r="B62" s="1" t="n">
        <v>44308</v>
      </c>
      <c r="C62" s="1" t="n">
        <v>45695</v>
      </c>
      <c r="D62" t="inlineStr">
        <is>
          <t>ÖSTERGÖTLANDS LÄN</t>
        </is>
      </c>
      <c r="E62" t="inlineStr">
        <is>
          <t>LINKÖPING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19103-2021 artfynd.xlsx", "A 19103-2021")</f>
        <v/>
      </c>
      <c r="T62">
        <f>HYPERLINK("https://klasma.github.io/Logging_0580/kartor/A 19103-2021 karta.png", "A 19103-2021")</f>
        <v/>
      </c>
      <c r="V62">
        <f>HYPERLINK("https://klasma.github.io/Logging_0580/klagomål/A 19103-2021 FSC-klagomål.docx", "A 19103-2021")</f>
        <v/>
      </c>
      <c r="W62">
        <f>HYPERLINK("https://klasma.github.io/Logging_0580/klagomålsmail/A 19103-2021 FSC-klagomål mail.docx", "A 19103-2021")</f>
        <v/>
      </c>
      <c r="X62">
        <f>HYPERLINK("https://klasma.github.io/Logging_0580/tillsyn/A 19103-2021 tillsynsbegäran.docx", "A 19103-2021")</f>
        <v/>
      </c>
      <c r="Y62">
        <f>HYPERLINK("https://klasma.github.io/Logging_0580/tillsynsmail/A 19103-2021 tillsynsbegäran mail.docx", "A 19103-2021")</f>
        <v/>
      </c>
    </row>
    <row r="63" ht="15" customHeight="1">
      <c r="A63" t="inlineStr">
        <is>
          <t>A 38129-2021</t>
        </is>
      </c>
      <c r="B63" s="1" t="n">
        <v>44405</v>
      </c>
      <c r="C63" s="1" t="n">
        <v>45695</v>
      </c>
      <c r="D63" t="inlineStr">
        <is>
          <t>ÖSTERGÖTLANDS LÄN</t>
        </is>
      </c>
      <c r="E63" t="inlineStr">
        <is>
          <t>LINKÖPING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HYPERLINK("https://klasma.github.io/Logging_0580/artfynd/A 38129-2021 artfynd.xlsx", "A 38129-2021")</f>
        <v/>
      </c>
      <c r="T63">
        <f>HYPERLINK("https://klasma.github.io/Logging_0580/kartor/A 38129-2021 karta.png", "A 38129-2021")</f>
        <v/>
      </c>
      <c r="V63">
        <f>HYPERLINK("https://klasma.github.io/Logging_0580/klagomål/A 38129-2021 FSC-klagomål.docx", "A 38129-2021")</f>
        <v/>
      </c>
      <c r="W63">
        <f>HYPERLINK("https://klasma.github.io/Logging_0580/klagomålsmail/A 38129-2021 FSC-klagomål mail.docx", "A 38129-2021")</f>
        <v/>
      </c>
      <c r="X63">
        <f>HYPERLINK("https://klasma.github.io/Logging_0580/tillsyn/A 38129-2021 tillsynsbegäran.docx", "A 38129-2021")</f>
        <v/>
      </c>
      <c r="Y63">
        <f>HYPERLINK("https://klasma.github.io/Logging_0580/tillsynsmail/A 38129-2021 tillsynsbegäran mail.docx", "A 38129-2021")</f>
        <v/>
      </c>
      <c r="Z63">
        <f>HYPERLINK("https://klasma.github.io/Logging_0580/fåglar/A 38129-2021 prioriterade fågelarter.docx", "A 38129-2021")</f>
        <v/>
      </c>
    </row>
    <row r="64" ht="15" customHeight="1">
      <c r="A64" t="inlineStr">
        <is>
          <t>A 43017-2021</t>
        </is>
      </c>
      <c r="B64" s="1" t="n">
        <v>44431</v>
      </c>
      <c r="C64" s="1" t="n">
        <v>45695</v>
      </c>
      <c r="D64" t="inlineStr">
        <is>
          <t>ÖSTERGÖTLANDS LÄN</t>
        </is>
      </c>
      <c r="E64" t="inlineStr">
        <is>
          <t>LINKÖPING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HYPERLINK("https://klasma.github.io/Logging_0580/artfynd/A 43017-2021 artfynd.xlsx", "A 43017-2021")</f>
        <v/>
      </c>
      <c r="T64">
        <f>HYPERLINK("https://klasma.github.io/Logging_0580/kartor/A 43017-2021 karta.png", "A 43017-2021")</f>
        <v/>
      </c>
      <c r="V64">
        <f>HYPERLINK("https://klasma.github.io/Logging_0580/klagomål/A 43017-2021 FSC-klagomål.docx", "A 43017-2021")</f>
        <v/>
      </c>
      <c r="W64">
        <f>HYPERLINK("https://klasma.github.io/Logging_0580/klagomålsmail/A 43017-2021 FSC-klagomål mail.docx", "A 43017-2021")</f>
        <v/>
      </c>
      <c r="X64">
        <f>HYPERLINK("https://klasma.github.io/Logging_0580/tillsyn/A 43017-2021 tillsynsbegäran.docx", "A 43017-2021")</f>
        <v/>
      </c>
      <c r="Y64">
        <f>HYPERLINK("https://klasma.github.io/Logging_0580/tillsynsmail/A 43017-2021 tillsynsbegäran mail.docx", "A 43017-2021")</f>
        <v/>
      </c>
    </row>
    <row r="65" ht="15" customHeight="1">
      <c r="A65" t="inlineStr">
        <is>
          <t>A 56250-2021</t>
        </is>
      </c>
      <c r="B65" s="1" t="n">
        <v>44479</v>
      </c>
      <c r="C65" s="1" t="n">
        <v>45695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HYPERLINK("https://klasma.github.io/Logging_0580/artfynd/A 56250-2021 artfynd.xlsx", "A 56250-2021")</f>
        <v/>
      </c>
      <c r="T65">
        <f>HYPERLINK("https://klasma.github.io/Logging_0580/kartor/A 56250-2021 karta.png", "A 56250-2021")</f>
        <v/>
      </c>
      <c r="V65">
        <f>HYPERLINK("https://klasma.github.io/Logging_0580/klagomål/A 56250-2021 FSC-klagomål.docx", "A 56250-2021")</f>
        <v/>
      </c>
      <c r="W65">
        <f>HYPERLINK("https://klasma.github.io/Logging_0580/klagomålsmail/A 56250-2021 FSC-klagomål mail.docx", "A 56250-2021")</f>
        <v/>
      </c>
      <c r="X65">
        <f>HYPERLINK("https://klasma.github.io/Logging_0580/tillsyn/A 56250-2021 tillsynsbegäran.docx", "A 56250-2021")</f>
        <v/>
      </c>
      <c r="Y65">
        <f>HYPERLINK("https://klasma.github.io/Logging_0580/tillsynsmail/A 56250-2021 tillsynsbegäran mail.docx", "A 56250-2021")</f>
        <v/>
      </c>
    </row>
    <row r="66" ht="15" customHeight="1">
      <c r="A66" t="inlineStr">
        <is>
          <t>A 60573-2021</t>
        </is>
      </c>
      <c r="B66" s="1" t="n">
        <v>44496</v>
      </c>
      <c r="C66" s="1" t="n">
        <v>45695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HYPERLINK("https://klasma.github.io/Logging_0580/artfynd/A 60573-2021 artfynd.xlsx", "A 60573-2021")</f>
        <v/>
      </c>
      <c r="T66">
        <f>HYPERLINK("https://klasma.github.io/Logging_0580/kartor/A 60573-2021 karta.png", "A 60573-2021")</f>
        <v/>
      </c>
      <c r="V66">
        <f>HYPERLINK("https://klasma.github.io/Logging_0580/klagomål/A 60573-2021 FSC-klagomål.docx", "A 60573-2021")</f>
        <v/>
      </c>
      <c r="W66">
        <f>HYPERLINK("https://klasma.github.io/Logging_0580/klagomålsmail/A 60573-2021 FSC-klagomål mail.docx", "A 60573-2021")</f>
        <v/>
      </c>
      <c r="X66">
        <f>HYPERLINK("https://klasma.github.io/Logging_0580/tillsyn/A 60573-2021 tillsynsbegäran.docx", "A 60573-2021")</f>
        <v/>
      </c>
      <c r="Y66">
        <f>HYPERLINK("https://klasma.github.io/Logging_0580/tillsynsmail/A 60573-2021 tillsynsbegäran mail.docx", "A 60573-2021")</f>
        <v/>
      </c>
    </row>
    <row r="67" ht="15" customHeight="1">
      <c r="A67" t="inlineStr">
        <is>
          <t>A 69211-2021</t>
        </is>
      </c>
      <c r="B67" s="1" t="n">
        <v>44531</v>
      </c>
      <c r="C67" s="1" t="n">
        <v>45695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69211-2021 artfynd.xlsx", "A 69211-2021")</f>
        <v/>
      </c>
      <c r="T67">
        <f>HYPERLINK("https://klasma.github.io/Logging_0580/kartor/A 69211-2021 karta.png", "A 69211-2021")</f>
        <v/>
      </c>
      <c r="V67">
        <f>HYPERLINK("https://klasma.github.io/Logging_0580/klagomål/A 69211-2021 FSC-klagomål.docx", "A 69211-2021")</f>
        <v/>
      </c>
      <c r="W67">
        <f>HYPERLINK("https://klasma.github.io/Logging_0580/klagomålsmail/A 69211-2021 FSC-klagomål mail.docx", "A 69211-2021")</f>
        <v/>
      </c>
      <c r="X67">
        <f>HYPERLINK("https://klasma.github.io/Logging_0580/tillsyn/A 69211-2021 tillsynsbegäran.docx", "A 69211-2021")</f>
        <v/>
      </c>
      <c r="Y67">
        <f>HYPERLINK("https://klasma.github.io/Logging_0580/tillsynsmail/A 69211-2021 tillsynsbegäran mail.docx", "A 69211-2021")</f>
        <v/>
      </c>
    </row>
    <row r="68" ht="15" customHeight="1">
      <c r="A68" t="inlineStr">
        <is>
          <t>A 71127-2021</t>
        </is>
      </c>
      <c r="B68" s="1" t="n">
        <v>44537</v>
      </c>
      <c r="C68" s="1" t="n">
        <v>45695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7.2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71127-2021 artfynd.xlsx", "A 71127-2021")</f>
        <v/>
      </c>
      <c r="T68">
        <f>HYPERLINK("https://klasma.github.io/Logging_0580/kartor/A 71127-2021 karta.png", "A 71127-2021")</f>
        <v/>
      </c>
      <c r="V68">
        <f>HYPERLINK("https://klasma.github.io/Logging_0580/klagomål/A 71127-2021 FSC-klagomål.docx", "A 71127-2021")</f>
        <v/>
      </c>
      <c r="W68">
        <f>HYPERLINK("https://klasma.github.io/Logging_0580/klagomålsmail/A 71127-2021 FSC-klagomål mail.docx", "A 71127-2021")</f>
        <v/>
      </c>
      <c r="X68">
        <f>HYPERLINK("https://klasma.github.io/Logging_0580/tillsyn/A 71127-2021 tillsynsbegäran.docx", "A 71127-2021")</f>
        <v/>
      </c>
      <c r="Y68">
        <f>HYPERLINK("https://klasma.github.io/Logging_0580/tillsynsmail/A 71127-2021 tillsynsbegäran mail.docx", "A 71127-2021")</f>
        <v/>
      </c>
    </row>
    <row r="69" ht="15" customHeight="1">
      <c r="A69" t="inlineStr">
        <is>
          <t>A 2628-2022</t>
        </is>
      </c>
      <c r="B69" s="1" t="n">
        <v>44579</v>
      </c>
      <c r="C69" s="1" t="n">
        <v>45695</v>
      </c>
      <c r="D69" t="inlineStr">
        <is>
          <t>ÖSTERGÖTLANDS LÄN</t>
        </is>
      </c>
      <c r="E69" t="inlineStr">
        <is>
          <t>LINKÖPING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Dårgräsfjäril</t>
        </is>
      </c>
      <c r="S69">
        <f>HYPERLINK("https://klasma.github.io/Logging_0580/artfynd/A 2628-2022 artfynd.xlsx", "A 2628-2022")</f>
        <v/>
      </c>
      <c r="T69">
        <f>HYPERLINK("https://klasma.github.io/Logging_0580/kartor/A 2628-2022 karta.png", "A 2628-2022")</f>
        <v/>
      </c>
      <c r="V69">
        <f>HYPERLINK("https://klasma.github.io/Logging_0580/klagomål/A 2628-2022 FSC-klagomål.docx", "A 2628-2022")</f>
        <v/>
      </c>
      <c r="W69">
        <f>HYPERLINK("https://klasma.github.io/Logging_0580/klagomålsmail/A 2628-2022 FSC-klagomål mail.docx", "A 2628-2022")</f>
        <v/>
      </c>
      <c r="X69">
        <f>HYPERLINK("https://klasma.github.io/Logging_0580/tillsyn/A 2628-2022 tillsynsbegäran.docx", "A 2628-2022")</f>
        <v/>
      </c>
      <c r="Y69">
        <f>HYPERLINK("https://klasma.github.io/Logging_0580/tillsynsmail/A 2628-2022 tillsynsbegäran mail.docx", "A 2628-2022")</f>
        <v/>
      </c>
    </row>
    <row r="70" ht="15" customHeight="1">
      <c r="A70" t="inlineStr">
        <is>
          <t>A 5911-2022</t>
        </is>
      </c>
      <c r="B70" s="1" t="n">
        <v>44597</v>
      </c>
      <c r="C70" s="1" t="n">
        <v>45695</v>
      </c>
      <c r="D70" t="inlineStr">
        <is>
          <t>ÖSTERGÖTLANDS LÄN</t>
        </is>
      </c>
      <c r="E70" t="inlineStr">
        <is>
          <t>LINKÖPING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HYPERLINK("https://klasma.github.io/Logging_0580/artfynd/A 5911-2022 artfynd.xlsx", "A 5911-2022")</f>
        <v/>
      </c>
      <c r="T70">
        <f>HYPERLINK("https://klasma.github.io/Logging_0580/kartor/A 5911-2022 karta.png", "A 5911-2022")</f>
        <v/>
      </c>
      <c r="V70">
        <f>HYPERLINK("https://klasma.github.io/Logging_0580/klagomål/A 5911-2022 FSC-klagomål.docx", "A 5911-2022")</f>
        <v/>
      </c>
      <c r="W70">
        <f>HYPERLINK("https://klasma.github.io/Logging_0580/klagomålsmail/A 5911-2022 FSC-klagomål mail.docx", "A 5911-2022")</f>
        <v/>
      </c>
      <c r="X70">
        <f>HYPERLINK("https://klasma.github.io/Logging_0580/tillsyn/A 5911-2022 tillsynsbegäran.docx", "A 5911-2022")</f>
        <v/>
      </c>
      <c r="Y70">
        <f>HYPERLINK("https://klasma.github.io/Logging_0580/tillsynsmail/A 5911-2022 tillsynsbegäran mail.docx", "A 5911-2022")</f>
        <v/>
      </c>
    </row>
    <row r="71" ht="15" customHeight="1">
      <c r="A71" t="inlineStr">
        <is>
          <t>A 11985-2022</t>
        </is>
      </c>
      <c r="B71" s="1" t="n">
        <v>44635</v>
      </c>
      <c r="C71" s="1" t="n">
        <v>45695</v>
      </c>
      <c r="D71" t="inlineStr">
        <is>
          <t>ÖSTERGÖTLANDS LÄN</t>
        </is>
      </c>
      <c r="E71" t="inlineStr">
        <is>
          <t>LINKÖPING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HYPERLINK("https://klasma.github.io/Logging_0580/artfynd/A 11985-2022 artfynd.xlsx", "A 11985-2022")</f>
        <v/>
      </c>
      <c r="T71">
        <f>HYPERLINK("https://klasma.github.io/Logging_0580/kartor/A 11985-2022 karta.png", "A 11985-2022")</f>
        <v/>
      </c>
      <c r="V71">
        <f>HYPERLINK("https://klasma.github.io/Logging_0580/klagomål/A 11985-2022 FSC-klagomål.docx", "A 11985-2022")</f>
        <v/>
      </c>
      <c r="W71">
        <f>HYPERLINK("https://klasma.github.io/Logging_0580/klagomålsmail/A 11985-2022 FSC-klagomål mail.docx", "A 11985-2022")</f>
        <v/>
      </c>
      <c r="X71">
        <f>HYPERLINK("https://klasma.github.io/Logging_0580/tillsyn/A 11985-2022 tillsynsbegäran.docx", "A 11985-2022")</f>
        <v/>
      </c>
      <c r="Y71">
        <f>HYPERLINK("https://klasma.github.io/Logging_0580/tillsynsmail/A 11985-2022 tillsynsbegäran mail.docx", "A 11985-2022")</f>
        <v/>
      </c>
      <c r="Z71">
        <f>HYPERLINK("https://klasma.github.io/Logging_0580/fåglar/A 11985-2022 prioriterade fågelarter.docx", "A 11985-2022")</f>
        <v/>
      </c>
    </row>
    <row r="72" ht="15" customHeight="1">
      <c r="A72" t="inlineStr">
        <is>
          <t>A 17513-2022</t>
        </is>
      </c>
      <c r="B72" s="1" t="n">
        <v>44679</v>
      </c>
      <c r="C72" s="1" t="n">
        <v>45695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bastardsvärmare</t>
        </is>
      </c>
      <c r="S72">
        <f>HYPERLINK("https://klasma.github.io/Logging_0580/artfynd/A 17513-2022 artfynd.xlsx", "A 17513-2022")</f>
        <v/>
      </c>
      <c r="T72">
        <f>HYPERLINK("https://klasma.github.io/Logging_0580/kartor/A 17513-2022 karta.png", "A 17513-2022")</f>
        <v/>
      </c>
      <c r="V72">
        <f>HYPERLINK("https://klasma.github.io/Logging_0580/klagomål/A 17513-2022 FSC-klagomål.docx", "A 17513-2022")</f>
        <v/>
      </c>
      <c r="W72">
        <f>HYPERLINK("https://klasma.github.io/Logging_0580/klagomålsmail/A 17513-2022 FSC-klagomål mail.docx", "A 17513-2022")</f>
        <v/>
      </c>
      <c r="X72">
        <f>HYPERLINK("https://klasma.github.io/Logging_0580/tillsyn/A 17513-2022 tillsynsbegäran.docx", "A 17513-2022")</f>
        <v/>
      </c>
      <c r="Y72">
        <f>HYPERLINK("https://klasma.github.io/Logging_0580/tillsynsmail/A 17513-2022 tillsynsbegäran mail.docx", "A 17513-2022")</f>
        <v/>
      </c>
    </row>
    <row r="73" ht="15" customHeight="1">
      <c r="A73" t="inlineStr">
        <is>
          <t>A 27984-2022</t>
        </is>
      </c>
      <c r="B73" s="1" t="n">
        <v>44745</v>
      </c>
      <c r="C73" s="1" t="n">
        <v>45695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HYPERLINK("https://klasma.github.io/Logging_0580/artfynd/A 27984-2022 artfynd.xlsx", "A 27984-2022")</f>
        <v/>
      </c>
      <c r="T73">
        <f>HYPERLINK("https://klasma.github.io/Logging_0580/kartor/A 27984-2022 karta.png", "A 27984-2022")</f>
        <v/>
      </c>
      <c r="V73">
        <f>HYPERLINK("https://klasma.github.io/Logging_0580/klagomål/A 27984-2022 FSC-klagomål.docx", "A 27984-2022")</f>
        <v/>
      </c>
      <c r="W73">
        <f>HYPERLINK("https://klasma.github.io/Logging_0580/klagomålsmail/A 27984-2022 FSC-klagomål mail.docx", "A 27984-2022")</f>
        <v/>
      </c>
      <c r="X73">
        <f>HYPERLINK("https://klasma.github.io/Logging_0580/tillsyn/A 27984-2022 tillsynsbegäran.docx", "A 27984-2022")</f>
        <v/>
      </c>
      <c r="Y73">
        <f>HYPERLINK("https://klasma.github.io/Logging_0580/tillsynsmail/A 27984-2022 tillsynsbegäran mail.docx", "A 27984-2022")</f>
        <v/>
      </c>
    </row>
    <row r="74" ht="15" customHeight="1">
      <c r="A74" t="inlineStr">
        <is>
          <t>A 28123-2022</t>
        </is>
      </c>
      <c r="B74" s="1" t="n">
        <v>44746</v>
      </c>
      <c r="C74" s="1" t="n">
        <v>45695</v>
      </c>
      <c r="D74" t="inlineStr">
        <is>
          <t>ÖSTERGÖTLANDS LÄN</t>
        </is>
      </c>
      <c r="E74" t="inlineStr">
        <is>
          <t>LINKÖPING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HYPERLINK("https://klasma.github.io/Logging_0580/artfynd/A 28123-2022 artfynd.xlsx", "A 28123-2022")</f>
        <v/>
      </c>
      <c r="T74">
        <f>HYPERLINK("https://klasma.github.io/Logging_0580/kartor/A 28123-2022 karta.png", "A 28123-2022")</f>
        <v/>
      </c>
      <c r="V74">
        <f>HYPERLINK("https://klasma.github.io/Logging_0580/klagomål/A 28123-2022 FSC-klagomål.docx", "A 28123-2022")</f>
        <v/>
      </c>
      <c r="W74">
        <f>HYPERLINK("https://klasma.github.io/Logging_0580/klagomålsmail/A 28123-2022 FSC-klagomål mail.docx", "A 28123-2022")</f>
        <v/>
      </c>
      <c r="X74">
        <f>HYPERLINK("https://klasma.github.io/Logging_0580/tillsyn/A 28123-2022 tillsynsbegäran.docx", "A 28123-2022")</f>
        <v/>
      </c>
      <c r="Y74">
        <f>HYPERLINK("https://klasma.github.io/Logging_0580/tillsynsmail/A 28123-2022 tillsynsbegäran mail.docx", "A 28123-2022")</f>
        <v/>
      </c>
    </row>
    <row r="75" ht="15" customHeight="1">
      <c r="A75" t="inlineStr">
        <is>
          <t>A 43041-2022</t>
        </is>
      </c>
      <c r="B75" s="1" t="n">
        <v>44833</v>
      </c>
      <c r="C75" s="1" t="n">
        <v>45695</v>
      </c>
      <c r="D75" t="inlineStr">
        <is>
          <t>ÖSTERGÖTLANDS LÄN</t>
        </is>
      </c>
      <c r="E75" t="inlineStr">
        <is>
          <t>LINKÖPING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HYPERLINK("https://klasma.github.io/Logging_0580/artfynd/A 43041-2022 artfynd.xlsx", "A 43041-2022")</f>
        <v/>
      </c>
      <c r="T75">
        <f>HYPERLINK("https://klasma.github.io/Logging_0580/kartor/A 43041-2022 karta.png", "A 43041-2022")</f>
        <v/>
      </c>
      <c r="V75">
        <f>HYPERLINK("https://klasma.github.io/Logging_0580/klagomål/A 43041-2022 FSC-klagomål.docx", "A 43041-2022")</f>
        <v/>
      </c>
      <c r="W75">
        <f>HYPERLINK("https://klasma.github.io/Logging_0580/klagomålsmail/A 43041-2022 FSC-klagomål mail.docx", "A 43041-2022")</f>
        <v/>
      </c>
      <c r="X75">
        <f>HYPERLINK("https://klasma.github.io/Logging_0580/tillsyn/A 43041-2022 tillsynsbegäran.docx", "A 43041-2022")</f>
        <v/>
      </c>
      <c r="Y75">
        <f>HYPERLINK("https://klasma.github.io/Logging_0580/tillsynsmail/A 43041-2022 tillsynsbegäran mail.docx", "A 43041-2022")</f>
        <v/>
      </c>
    </row>
    <row r="76" ht="15" customHeight="1">
      <c r="A76" t="inlineStr">
        <is>
          <t>A 46496-2022</t>
        </is>
      </c>
      <c r="B76" s="1" t="n">
        <v>44848</v>
      </c>
      <c r="C76" s="1" t="n">
        <v>45695</v>
      </c>
      <c r="D76" t="inlineStr">
        <is>
          <t>ÖSTERGÖTLANDS LÄN</t>
        </is>
      </c>
      <c r="E76" t="inlineStr">
        <is>
          <t>LINKÖPING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Bredbrämad bastardsvärmare</t>
        </is>
      </c>
      <c r="S76">
        <f>HYPERLINK("https://klasma.github.io/Logging_0580/artfynd/A 46496-2022 artfynd.xlsx", "A 46496-2022")</f>
        <v/>
      </c>
      <c r="T76">
        <f>HYPERLINK("https://klasma.github.io/Logging_0580/kartor/A 46496-2022 karta.png", "A 46496-2022")</f>
        <v/>
      </c>
      <c r="V76">
        <f>HYPERLINK("https://klasma.github.io/Logging_0580/klagomål/A 46496-2022 FSC-klagomål.docx", "A 46496-2022")</f>
        <v/>
      </c>
      <c r="W76">
        <f>HYPERLINK("https://klasma.github.io/Logging_0580/klagomålsmail/A 46496-2022 FSC-klagomål mail.docx", "A 46496-2022")</f>
        <v/>
      </c>
      <c r="X76">
        <f>HYPERLINK("https://klasma.github.io/Logging_0580/tillsyn/A 46496-2022 tillsynsbegäran.docx", "A 46496-2022")</f>
        <v/>
      </c>
      <c r="Y76">
        <f>HYPERLINK("https://klasma.github.io/Logging_0580/tillsynsmail/A 46496-2022 tillsynsbegäran mail.docx", "A 46496-2022")</f>
        <v/>
      </c>
    </row>
    <row r="77" ht="15" customHeight="1">
      <c r="A77" t="inlineStr">
        <is>
          <t>A 56128-2022</t>
        </is>
      </c>
      <c r="B77" s="1" t="n">
        <v>44889</v>
      </c>
      <c r="C77" s="1" t="n">
        <v>45695</v>
      </c>
      <c r="D77" t="inlineStr">
        <is>
          <t>ÖSTERGÖTLANDS LÄN</t>
        </is>
      </c>
      <c r="E77" t="inlineStr">
        <is>
          <t>LINKÖPING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HYPERLINK("https://klasma.github.io/Logging_0580/artfynd/A 56128-2022 artfynd.xlsx", "A 56128-2022")</f>
        <v/>
      </c>
      <c r="T77">
        <f>HYPERLINK("https://klasma.github.io/Logging_0580/kartor/A 56128-2022 karta.png", "A 56128-2022")</f>
        <v/>
      </c>
      <c r="V77">
        <f>HYPERLINK("https://klasma.github.io/Logging_0580/klagomål/A 56128-2022 FSC-klagomål.docx", "A 56128-2022")</f>
        <v/>
      </c>
      <c r="W77">
        <f>HYPERLINK("https://klasma.github.io/Logging_0580/klagomålsmail/A 56128-2022 FSC-klagomål mail.docx", "A 56128-2022")</f>
        <v/>
      </c>
      <c r="X77">
        <f>HYPERLINK("https://klasma.github.io/Logging_0580/tillsyn/A 56128-2022 tillsynsbegäran.docx", "A 56128-2022")</f>
        <v/>
      </c>
      <c r="Y77">
        <f>HYPERLINK("https://klasma.github.io/Logging_0580/tillsynsmail/A 56128-2022 tillsynsbegäran mail.docx", "A 56128-2022")</f>
        <v/>
      </c>
    </row>
    <row r="78" ht="15" customHeight="1">
      <c r="A78" t="inlineStr">
        <is>
          <t>A 1213-2023</t>
        </is>
      </c>
      <c r="B78" s="1" t="n">
        <v>44930</v>
      </c>
      <c r="C78" s="1" t="n">
        <v>45695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Stubbspretmossa</t>
        </is>
      </c>
      <c r="S78">
        <f>HYPERLINK("https://klasma.github.io/Logging_0580/artfynd/A 1213-2023 artfynd.xlsx", "A 1213-2023")</f>
        <v/>
      </c>
      <c r="T78">
        <f>HYPERLINK("https://klasma.github.io/Logging_0580/kartor/A 1213-2023 karta.png", "A 1213-2023")</f>
        <v/>
      </c>
      <c r="V78">
        <f>HYPERLINK("https://klasma.github.io/Logging_0580/klagomål/A 1213-2023 FSC-klagomål.docx", "A 1213-2023")</f>
        <v/>
      </c>
      <c r="W78">
        <f>HYPERLINK("https://klasma.github.io/Logging_0580/klagomålsmail/A 1213-2023 FSC-klagomål mail.docx", "A 1213-2023")</f>
        <v/>
      </c>
      <c r="X78">
        <f>HYPERLINK("https://klasma.github.io/Logging_0580/tillsyn/A 1213-2023 tillsynsbegäran.docx", "A 1213-2023")</f>
        <v/>
      </c>
      <c r="Y78">
        <f>HYPERLINK("https://klasma.github.io/Logging_0580/tillsynsmail/A 1213-2023 tillsynsbegäran mail.docx", "A 1213-2023")</f>
        <v/>
      </c>
    </row>
    <row r="79" ht="15" customHeight="1">
      <c r="A79" t="inlineStr">
        <is>
          <t>A 1716-2023</t>
        </is>
      </c>
      <c r="B79" s="1" t="n">
        <v>44938</v>
      </c>
      <c r="C79" s="1" t="n">
        <v>45695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1716-2023 artfynd.xlsx", "A 1716-2023")</f>
        <v/>
      </c>
      <c r="T79">
        <f>HYPERLINK("https://klasma.github.io/Logging_0580/kartor/A 1716-2023 karta.png", "A 1716-2023")</f>
        <v/>
      </c>
      <c r="V79">
        <f>HYPERLINK("https://klasma.github.io/Logging_0580/klagomål/A 1716-2023 FSC-klagomål.docx", "A 1716-2023")</f>
        <v/>
      </c>
      <c r="W79">
        <f>HYPERLINK("https://klasma.github.io/Logging_0580/klagomålsmail/A 1716-2023 FSC-klagomål mail.docx", "A 1716-2023")</f>
        <v/>
      </c>
      <c r="X79">
        <f>HYPERLINK("https://klasma.github.io/Logging_0580/tillsyn/A 1716-2023 tillsynsbegäran.docx", "A 1716-2023")</f>
        <v/>
      </c>
      <c r="Y79">
        <f>HYPERLINK("https://klasma.github.io/Logging_0580/tillsynsmail/A 1716-2023 tillsynsbegäran mail.docx", "A 1716-2023")</f>
        <v/>
      </c>
    </row>
    <row r="80" ht="15" customHeight="1">
      <c r="A80" t="inlineStr">
        <is>
          <t>A 3397-2023</t>
        </is>
      </c>
      <c r="B80" s="1" t="n">
        <v>44949</v>
      </c>
      <c r="C80" s="1" t="n">
        <v>45695</v>
      </c>
      <c r="D80" t="inlineStr">
        <is>
          <t>ÖSTERGÖTLANDS LÄN</t>
        </is>
      </c>
      <c r="E80" t="inlineStr">
        <is>
          <t>LINKÖPING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3397-2023 artfynd.xlsx", "A 3397-2023")</f>
        <v/>
      </c>
      <c r="T80">
        <f>HYPERLINK("https://klasma.github.io/Logging_0580/kartor/A 3397-2023 karta.png", "A 3397-2023")</f>
        <v/>
      </c>
      <c r="V80">
        <f>HYPERLINK("https://klasma.github.io/Logging_0580/klagomål/A 3397-2023 FSC-klagomål.docx", "A 3397-2023")</f>
        <v/>
      </c>
      <c r="W80">
        <f>HYPERLINK("https://klasma.github.io/Logging_0580/klagomålsmail/A 3397-2023 FSC-klagomål mail.docx", "A 3397-2023")</f>
        <v/>
      </c>
      <c r="X80">
        <f>HYPERLINK("https://klasma.github.io/Logging_0580/tillsyn/A 3397-2023 tillsynsbegäran.docx", "A 3397-2023")</f>
        <v/>
      </c>
      <c r="Y80">
        <f>HYPERLINK("https://klasma.github.io/Logging_0580/tillsynsmail/A 3397-2023 tillsynsbegäran mail.docx", "A 3397-2023")</f>
        <v/>
      </c>
    </row>
    <row r="81" ht="15" customHeight="1">
      <c r="A81" t="inlineStr">
        <is>
          <t>A 4764-2023</t>
        </is>
      </c>
      <c r="B81" s="1" t="n">
        <v>44957</v>
      </c>
      <c r="C81" s="1" t="n">
        <v>45695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HYPERLINK("https://klasma.github.io/Logging_0580/artfynd/A 4764-2023 artfynd.xlsx", "A 4764-2023")</f>
        <v/>
      </c>
      <c r="T81">
        <f>HYPERLINK("https://klasma.github.io/Logging_0580/kartor/A 4764-2023 karta.png", "A 4764-2023")</f>
        <v/>
      </c>
      <c r="V81">
        <f>HYPERLINK("https://klasma.github.io/Logging_0580/klagomål/A 4764-2023 FSC-klagomål.docx", "A 4764-2023")</f>
        <v/>
      </c>
      <c r="W81">
        <f>HYPERLINK("https://klasma.github.io/Logging_0580/klagomålsmail/A 4764-2023 FSC-klagomål mail.docx", "A 4764-2023")</f>
        <v/>
      </c>
      <c r="X81">
        <f>HYPERLINK("https://klasma.github.io/Logging_0580/tillsyn/A 4764-2023 tillsynsbegäran.docx", "A 4764-2023")</f>
        <v/>
      </c>
      <c r="Y81">
        <f>HYPERLINK("https://klasma.github.io/Logging_0580/tillsynsmail/A 4764-2023 tillsynsbegäran mail.docx", "A 4764-2023")</f>
        <v/>
      </c>
    </row>
    <row r="82" ht="15" customHeight="1">
      <c r="A82" t="inlineStr">
        <is>
          <t>A 4929-2023</t>
        </is>
      </c>
      <c r="B82" s="1" t="n">
        <v>44958</v>
      </c>
      <c r="C82" s="1" t="n">
        <v>45695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Sågfibbla</t>
        </is>
      </c>
      <c r="S82">
        <f>HYPERLINK("https://klasma.github.io/Logging_0580/artfynd/A 4929-2023 artfynd.xlsx", "A 4929-2023")</f>
        <v/>
      </c>
      <c r="T82">
        <f>HYPERLINK("https://klasma.github.io/Logging_0580/kartor/A 4929-2023 karta.png", "A 4929-2023")</f>
        <v/>
      </c>
      <c r="V82">
        <f>HYPERLINK("https://klasma.github.io/Logging_0580/klagomål/A 4929-2023 FSC-klagomål.docx", "A 4929-2023")</f>
        <v/>
      </c>
      <c r="W82">
        <f>HYPERLINK("https://klasma.github.io/Logging_0580/klagomålsmail/A 4929-2023 FSC-klagomål mail.docx", "A 4929-2023")</f>
        <v/>
      </c>
      <c r="X82">
        <f>HYPERLINK("https://klasma.github.io/Logging_0580/tillsyn/A 4929-2023 tillsynsbegäran.docx", "A 4929-2023")</f>
        <v/>
      </c>
      <c r="Y82">
        <f>HYPERLINK("https://klasma.github.io/Logging_0580/tillsynsmail/A 4929-2023 tillsynsbegäran mail.docx", "A 4929-2023")</f>
        <v/>
      </c>
    </row>
    <row r="83" ht="15" customHeight="1">
      <c r="A83" t="inlineStr">
        <is>
          <t>A 8719-2023</t>
        </is>
      </c>
      <c r="B83" s="1" t="n">
        <v>44973</v>
      </c>
      <c r="C83" s="1" t="n">
        <v>45695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HYPERLINK("https://klasma.github.io/Logging_0580/artfynd/A 8719-2023 artfynd.xlsx", "A 8719-2023")</f>
        <v/>
      </c>
      <c r="T83">
        <f>HYPERLINK("https://klasma.github.io/Logging_0580/kartor/A 8719-2023 karta.png", "A 8719-2023")</f>
        <v/>
      </c>
      <c r="V83">
        <f>HYPERLINK("https://klasma.github.io/Logging_0580/klagomål/A 8719-2023 FSC-klagomål.docx", "A 8719-2023")</f>
        <v/>
      </c>
      <c r="W83">
        <f>HYPERLINK("https://klasma.github.io/Logging_0580/klagomålsmail/A 8719-2023 FSC-klagomål mail.docx", "A 8719-2023")</f>
        <v/>
      </c>
      <c r="X83">
        <f>HYPERLINK("https://klasma.github.io/Logging_0580/tillsyn/A 8719-2023 tillsynsbegäran.docx", "A 8719-2023")</f>
        <v/>
      </c>
      <c r="Y83">
        <f>HYPERLINK("https://klasma.github.io/Logging_0580/tillsynsmail/A 8719-2023 tillsynsbegäran mail.docx", "A 8719-2023")</f>
        <v/>
      </c>
      <c r="Z83">
        <f>HYPERLINK("https://klasma.github.io/Logging_0580/fåglar/A 8719-2023 prioriterade fågelarter.docx", "A 8719-2023")</f>
        <v/>
      </c>
    </row>
    <row r="84" ht="15" customHeight="1">
      <c r="A84" t="inlineStr">
        <is>
          <t>A 22040-2023</t>
        </is>
      </c>
      <c r="B84" s="1" t="n">
        <v>45068</v>
      </c>
      <c r="C84" s="1" t="n">
        <v>45695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HYPERLINK("https://klasma.github.io/Logging_0580/artfynd/A 22040-2023 artfynd.xlsx", "A 22040-2023")</f>
        <v/>
      </c>
      <c r="T84">
        <f>HYPERLINK("https://klasma.github.io/Logging_0580/kartor/A 22040-2023 karta.png", "A 22040-2023")</f>
        <v/>
      </c>
      <c r="V84">
        <f>HYPERLINK("https://klasma.github.io/Logging_0580/klagomål/A 22040-2023 FSC-klagomål.docx", "A 22040-2023")</f>
        <v/>
      </c>
      <c r="W84">
        <f>HYPERLINK("https://klasma.github.io/Logging_0580/klagomålsmail/A 22040-2023 FSC-klagomål mail.docx", "A 22040-2023")</f>
        <v/>
      </c>
      <c r="X84">
        <f>HYPERLINK("https://klasma.github.io/Logging_0580/tillsyn/A 22040-2023 tillsynsbegäran.docx", "A 22040-2023")</f>
        <v/>
      </c>
      <c r="Y84">
        <f>HYPERLINK("https://klasma.github.io/Logging_0580/tillsynsmail/A 22040-2023 tillsynsbegäran mail.docx", "A 22040-2023")</f>
        <v/>
      </c>
    </row>
    <row r="85" ht="15" customHeight="1">
      <c r="A85" t="inlineStr">
        <is>
          <t>A 22137-2023</t>
        </is>
      </c>
      <c r="B85" s="1" t="n">
        <v>45069</v>
      </c>
      <c r="C85" s="1" t="n">
        <v>45695</v>
      </c>
      <c r="D85" t="inlineStr">
        <is>
          <t>ÖSTERGÖTLANDS LÄN</t>
        </is>
      </c>
      <c r="E85" t="inlineStr">
        <is>
          <t>LINKÖPING</t>
        </is>
      </c>
      <c r="G85" t="n">
        <v>10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Granbarkgnagare</t>
        </is>
      </c>
      <c r="S85">
        <f>HYPERLINK("https://klasma.github.io/Logging_0580/artfynd/A 22137-2023 artfynd.xlsx", "A 22137-2023")</f>
        <v/>
      </c>
      <c r="T85">
        <f>HYPERLINK("https://klasma.github.io/Logging_0580/kartor/A 22137-2023 karta.png", "A 22137-2023")</f>
        <v/>
      </c>
      <c r="V85">
        <f>HYPERLINK("https://klasma.github.io/Logging_0580/klagomål/A 22137-2023 FSC-klagomål.docx", "A 22137-2023")</f>
        <v/>
      </c>
      <c r="W85">
        <f>HYPERLINK("https://klasma.github.io/Logging_0580/klagomålsmail/A 22137-2023 FSC-klagomål mail.docx", "A 22137-2023")</f>
        <v/>
      </c>
      <c r="X85">
        <f>HYPERLINK("https://klasma.github.io/Logging_0580/tillsyn/A 22137-2023 tillsynsbegäran.docx", "A 22137-2023")</f>
        <v/>
      </c>
      <c r="Y85">
        <f>HYPERLINK("https://klasma.github.io/Logging_0580/tillsynsmail/A 22137-2023 tillsynsbegäran mail.docx", "A 22137-2023")</f>
        <v/>
      </c>
    </row>
    <row r="86" ht="15" customHeight="1">
      <c r="A86" t="inlineStr">
        <is>
          <t>A 23864-2023</t>
        </is>
      </c>
      <c r="B86" s="1" t="n">
        <v>45078</v>
      </c>
      <c r="C86" s="1" t="n">
        <v>45695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23864-2023 artfynd.xlsx", "A 23864-2023")</f>
        <v/>
      </c>
      <c r="T86">
        <f>HYPERLINK("https://klasma.github.io/Logging_0580/kartor/A 23864-2023 karta.png", "A 23864-2023")</f>
        <v/>
      </c>
      <c r="V86">
        <f>HYPERLINK("https://klasma.github.io/Logging_0580/klagomål/A 23864-2023 FSC-klagomål.docx", "A 23864-2023")</f>
        <v/>
      </c>
      <c r="W86">
        <f>HYPERLINK("https://klasma.github.io/Logging_0580/klagomålsmail/A 23864-2023 FSC-klagomål mail.docx", "A 23864-2023")</f>
        <v/>
      </c>
      <c r="X86">
        <f>HYPERLINK("https://klasma.github.io/Logging_0580/tillsyn/A 23864-2023 tillsynsbegäran.docx", "A 23864-2023")</f>
        <v/>
      </c>
      <c r="Y86">
        <f>HYPERLINK("https://klasma.github.io/Logging_0580/tillsynsmail/A 23864-2023 tillsynsbegäran mail.docx", "A 23864-2023")</f>
        <v/>
      </c>
    </row>
    <row r="87" ht="15" customHeight="1">
      <c r="A87" t="inlineStr">
        <is>
          <t>A 33573-2023</t>
        </is>
      </c>
      <c r="B87" s="1" t="n">
        <v>45131</v>
      </c>
      <c r="C87" s="1" t="n">
        <v>45695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33573-2023 artfynd.xlsx", "A 33573-2023")</f>
        <v/>
      </c>
      <c r="T87">
        <f>HYPERLINK("https://klasma.github.io/Logging_0580/kartor/A 33573-2023 karta.png", "A 33573-2023")</f>
        <v/>
      </c>
      <c r="V87">
        <f>HYPERLINK("https://klasma.github.io/Logging_0580/klagomål/A 33573-2023 FSC-klagomål.docx", "A 33573-2023")</f>
        <v/>
      </c>
      <c r="W87">
        <f>HYPERLINK("https://klasma.github.io/Logging_0580/klagomålsmail/A 33573-2023 FSC-klagomål mail.docx", "A 33573-2023")</f>
        <v/>
      </c>
      <c r="X87">
        <f>HYPERLINK("https://klasma.github.io/Logging_0580/tillsyn/A 33573-2023 tillsynsbegäran.docx", "A 33573-2023")</f>
        <v/>
      </c>
      <c r="Y87">
        <f>HYPERLINK("https://klasma.github.io/Logging_0580/tillsynsmail/A 33573-2023 tillsynsbegäran mail.docx", "A 33573-2023")</f>
        <v/>
      </c>
    </row>
    <row r="88" ht="15" customHeight="1">
      <c r="A88" t="inlineStr">
        <is>
          <t>A 35948-2023</t>
        </is>
      </c>
      <c r="B88" s="1" t="n">
        <v>45148</v>
      </c>
      <c r="C88" s="1" t="n">
        <v>45695</v>
      </c>
      <c r="D88" t="inlineStr">
        <is>
          <t>ÖSTERGÖTLANDS LÄN</t>
        </is>
      </c>
      <c r="E88" t="inlineStr">
        <is>
          <t>LINKÖPING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HYPERLINK("https://klasma.github.io/Logging_0580/artfynd/A 35948-2023 artfynd.xlsx", "A 35948-2023")</f>
        <v/>
      </c>
      <c r="T88">
        <f>HYPERLINK("https://klasma.github.io/Logging_0580/kartor/A 35948-2023 karta.png", "A 35948-2023")</f>
        <v/>
      </c>
      <c r="V88">
        <f>HYPERLINK("https://klasma.github.io/Logging_0580/klagomål/A 35948-2023 FSC-klagomål.docx", "A 35948-2023")</f>
        <v/>
      </c>
      <c r="W88">
        <f>HYPERLINK("https://klasma.github.io/Logging_0580/klagomålsmail/A 35948-2023 FSC-klagomål mail.docx", "A 35948-2023")</f>
        <v/>
      </c>
      <c r="X88">
        <f>HYPERLINK("https://klasma.github.io/Logging_0580/tillsyn/A 35948-2023 tillsynsbegäran.docx", "A 35948-2023")</f>
        <v/>
      </c>
      <c r="Y88">
        <f>HYPERLINK("https://klasma.github.io/Logging_0580/tillsynsmail/A 35948-2023 tillsynsbegäran mail.docx", "A 35948-2023")</f>
        <v/>
      </c>
    </row>
    <row r="89" ht="15" customHeight="1">
      <c r="A89" t="inlineStr">
        <is>
          <t>A 36723-2023</t>
        </is>
      </c>
      <c r="B89" s="1" t="n">
        <v>45153</v>
      </c>
      <c r="C89" s="1" t="n">
        <v>45695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Bitter taggsvamp</t>
        </is>
      </c>
      <c r="S89">
        <f>HYPERLINK("https://klasma.github.io/Logging_0580/artfynd/A 36723-2023 artfynd.xlsx", "A 36723-2023")</f>
        <v/>
      </c>
      <c r="T89">
        <f>HYPERLINK("https://klasma.github.io/Logging_0580/kartor/A 36723-2023 karta.png", "A 36723-2023")</f>
        <v/>
      </c>
      <c r="V89">
        <f>HYPERLINK("https://klasma.github.io/Logging_0580/klagomål/A 36723-2023 FSC-klagomål.docx", "A 36723-2023")</f>
        <v/>
      </c>
      <c r="W89">
        <f>HYPERLINK("https://klasma.github.io/Logging_0580/klagomålsmail/A 36723-2023 FSC-klagomål mail.docx", "A 36723-2023")</f>
        <v/>
      </c>
      <c r="X89">
        <f>HYPERLINK("https://klasma.github.io/Logging_0580/tillsyn/A 36723-2023 tillsynsbegäran.docx", "A 36723-2023")</f>
        <v/>
      </c>
      <c r="Y89">
        <f>HYPERLINK("https://klasma.github.io/Logging_0580/tillsynsmail/A 36723-2023 tillsynsbegäran mail.docx", "A 36723-2023")</f>
        <v/>
      </c>
    </row>
    <row r="90" ht="15" customHeight="1">
      <c r="A90" t="inlineStr">
        <is>
          <t>A 38229-2023</t>
        </is>
      </c>
      <c r="B90" s="1" t="n">
        <v>45161</v>
      </c>
      <c r="C90" s="1" t="n">
        <v>45695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38229-2023 artfynd.xlsx", "A 38229-2023")</f>
        <v/>
      </c>
      <c r="T90">
        <f>HYPERLINK("https://klasma.github.io/Logging_0580/kartor/A 38229-2023 karta.png", "A 38229-2023")</f>
        <v/>
      </c>
      <c r="V90">
        <f>HYPERLINK("https://klasma.github.io/Logging_0580/klagomål/A 38229-2023 FSC-klagomål.docx", "A 38229-2023")</f>
        <v/>
      </c>
      <c r="W90">
        <f>HYPERLINK("https://klasma.github.io/Logging_0580/klagomålsmail/A 38229-2023 FSC-klagomål mail.docx", "A 38229-2023")</f>
        <v/>
      </c>
      <c r="X90">
        <f>HYPERLINK("https://klasma.github.io/Logging_0580/tillsyn/A 38229-2023 tillsynsbegäran.docx", "A 38229-2023")</f>
        <v/>
      </c>
      <c r="Y90">
        <f>HYPERLINK("https://klasma.github.io/Logging_0580/tillsynsmail/A 38229-2023 tillsynsbegäran mail.docx", "A 38229-2023")</f>
        <v/>
      </c>
    </row>
    <row r="91" ht="15" customHeight="1">
      <c r="A91" t="inlineStr">
        <is>
          <t>A 41749-2023</t>
        </is>
      </c>
      <c r="B91" s="1" t="n">
        <v>45176</v>
      </c>
      <c r="C91" s="1" t="n">
        <v>45695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41749-2023 artfynd.xlsx", "A 41749-2023")</f>
        <v/>
      </c>
      <c r="T91">
        <f>HYPERLINK("https://klasma.github.io/Logging_0580/kartor/A 41749-2023 karta.png", "A 41749-2023")</f>
        <v/>
      </c>
      <c r="V91">
        <f>HYPERLINK("https://klasma.github.io/Logging_0580/klagomål/A 41749-2023 FSC-klagomål.docx", "A 41749-2023")</f>
        <v/>
      </c>
      <c r="W91">
        <f>HYPERLINK("https://klasma.github.io/Logging_0580/klagomålsmail/A 41749-2023 FSC-klagomål mail.docx", "A 41749-2023")</f>
        <v/>
      </c>
      <c r="X91">
        <f>HYPERLINK("https://klasma.github.io/Logging_0580/tillsyn/A 41749-2023 tillsynsbegäran.docx", "A 41749-2023")</f>
        <v/>
      </c>
      <c r="Y91">
        <f>HYPERLINK("https://klasma.github.io/Logging_0580/tillsynsmail/A 41749-2023 tillsynsbegäran mail.docx", "A 41749-2023")</f>
        <v/>
      </c>
    </row>
    <row r="92" ht="15" customHeight="1">
      <c r="A92" t="inlineStr">
        <is>
          <t>A 45317-2023</t>
        </is>
      </c>
      <c r="B92" s="1" t="n">
        <v>45191</v>
      </c>
      <c r="C92" s="1" t="n">
        <v>45695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29.3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45317-2023 artfynd.xlsx", "A 45317-2023")</f>
        <v/>
      </c>
      <c r="T92">
        <f>HYPERLINK("https://klasma.github.io/Logging_0580/kartor/A 45317-2023 karta.png", "A 45317-2023")</f>
        <v/>
      </c>
      <c r="V92">
        <f>HYPERLINK("https://klasma.github.io/Logging_0580/klagomål/A 45317-2023 FSC-klagomål.docx", "A 45317-2023")</f>
        <v/>
      </c>
      <c r="W92">
        <f>HYPERLINK("https://klasma.github.io/Logging_0580/klagomålsmail/A 45317-2023 FSC-klagomål mail.docx", "A 45317-2023")</f>
        <v/>
      </c>
      <c r="X92">
        <f>HYPERLINK("https://klasma.github.io/Logging_0580/tillsyn/A 45317-2023 tillsynsbegäran.docx", "A 45317-2023")</f>
        <v/>
      </c>
      <c r="Y92">
        <f>HYPERLINK("https://klasma.github.io/Logging_0580/tillsynsmail/A 45317-2023 tillsynsbegäran mail.docx", "A 45317-2023")</f>
        <v/>
      </c>
    </row>
    <row r="93" ht="15" customHeight="1">
      <c r="A93" t="inlineStr">
        <is>
          <t>A 45754-2023</t>
        </is>
      </c>
      <c r="B93" s="1" t="n">
        <v>45195</v>
      </c>
      <c r="C93" s="1" t="n">
        <v>45695</v>
      </c>
      <c r="D93" t="inlineStr">
        <is>
          <t>ÖSTERGÖTLANDS LÄN</t>
        </is>
      </c>
      <c r="E93" t="inlineStr">
        <is>
          <t>LINKÖPING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HYPERLINK("https://klasma.github.io/Logging_0580/artfynd/A 45754-2023 artfynd.xlsx", "A 45754-2023")</f>
        <v/>
      </c>
      <c r="T93">
        <f>HYPERLINK("https://klasma.github.io/Logging_0580/kartor/A 45754-2023 karta.png", "A 45754-2023")</f>
        <v/>
      </c>
      <c r="V93">
        <f>HYPERLINK("https://klasma.github.io/Logging_0580/klagomål/A 45754-2023 FSC-klagomål.docx", "A 45754-2023")</f>
        <v/>
      </c>
      <c r="W93">
        <f>HYPERLINK("https://klasma.github.io/Logging_0580/klagomålsmail/A 45754-2023 FSC-klagomål mail.docx", "A 45754-2023")</f>
        <v/>
      </c>
      <c r="X93">
        <f>HYPERLINK("https://klasma.github.io/Logging_0580/tillsyn/A 45754-2023 tillsynsbegäran.docx", "A 45754-2023")</f>
        <v/>
      </c>
      <c r="Y93">
        <f>HYPERLINK("https://klasma.github.io/Logging_0580/tillsynsmail/A 45754-2023 tillsynsbegäran mail.docx", "A 45754-2023")</f>
        <v/>
      </c>
    </row>
    <row r="94" ht="15" customHeight="1">
      <c r="A94" t="inlineStr">
        <is>
          <t>A 50806-2023</t>
        </is>
      </c>
      <c r="B94" s="1" t="n">
        <v>45217</v>
      </c>
      <c r="C94" s="1" t="n">
        <v>45695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HYPERLINK("https://klasma.github.io/Logging_0580/artfynd/A 50806-2023 artfynd.xlsx", "A 50806-2023")</f>
        <v/>
      </c>
      <c r="T94">
        <f>HYPERLINK("https://klasma.github.io/Logging_0580/kartor/A 50806-2023 karta.png", "A 50806-2023")</f>
        <v/>
      </c>
      <c r="V94">
        <f>HYPERLINK("https://klasma.github.io/Logging_0580/klagomål/A 50806-2023 FSC-klagomål.docx", "A 50806-2023")</f>
        <v/>
      </c>
      <c r="W94">
        <f>HYPERLINK("https://klasma.github.io/Logging_0580/klagomålsmail/A 50806-2023 FSC-klagomål mail.docx", "A 50806-2023")</f>
        <v/>
      </c>
      <c r="X94">
        <f>HYPERLINK("https://klasma.github.io/Logging_0580/tillsyn/A 50806-2023 tillsynsbegäran.docx", "A 50806-2023")</f>
        <v/>
      </c>
      <c r="Y94">
        <f>HYPERLINK("https://klasma.github.io/Logging_0580/tillsynsmail/A 50806-2023 tillsynsbegäran mail.docx", "A 50806-2023")</f>
        <v/>
      </c>
    </row>
    <row r="95" ht="15" customHeight="1">
      <c r="A95" t="inlineStr">
        <is>
          <t>A 51591-2023</t>
        </is>
      </c>
      <c r="B95" s="1" t="n">
        <v>45222</v>
      </c>
      <c r="C95" s="1" t="n">
        <v>45695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Äkta lopplummer</t>
        </is>
      </c>
      <c r="S95">
        <f>HYPERLINK("https://klasma.github.io/Logging_0580/artfynd/A 51591-2023 artfynd.xlsx", "A 51591-2023")</f>
        <v/>
      </c>
      <c r="T95">
        <f>HYPERLINK("https://klasma.github.io/Logging_0580/kartor/A 51591-2023 karta.png", "A 51591-2023")</f>
        <v/>
      </c>
      <c r="V95">
        <f>HYPERLINK("https://klasma.github.io/Logging_0580/klagomål/A 51591-2023 FSC-klagomål.docx", "A 51591-2023")</f>
        <v/>
      </c>
      <c r="W95">
        <f>HYPERLINK("https://klasma.github.io/Logging_0580/klagomålsmail/A 51591-2023 FSC-klagomål mail.docx", "A 51591-2023")</f>
        <v/>
      </c>
      <c r="X95">
        <f>HYPERLINK("https://klasma.github.io/Logging_0580/tillsyn/A 51591-2023 tillsynsbegäran.docx", "A 51591-2023")</f>
        <v/>
      </c>
      <c r="Y95">
        <f>HYPERLINK("https://klasma.github.io/Logging_0580/tillsynsmail/A 51591-2023 tillsynsbegäran mail.docx", "A 51591-2023")</f>
        <v/>
      </c>
    </row>
    <row r="96" ht="15" customHeight="1">
      <c r="A96" t="inlineStr">
        <is>
          <t>A 54835-2023</t>
        </is>
      </c>
      <c r="B96" s="1" t="n">
        <v>45236</v>
      </c>
      <c r="C96" s="1" t="n">
        <v>45695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HYPERLINK("https://klasma.github.io/Logging_0580/artfynd/A 54835-2023 artfynd.xlsx", "A 54835-2023")</f>
        <v/>
      </c>
      <c r="T96">
        <f>HYPERLINK("https://klasma.github.io/Logging_0580/kartor/A 54835-2023 karta.png", "A 54835-2023")</f>
        <v/>
      </c>
      <c r="V96">
        <f>HYPERLINK("https://klasma.github.io/Logging_0580/klagomål/A 54835-2023 FSC-klagomål.docx", "A 54835-2023")</f>
        <v/>
      </c>
      <c r="W96">
        <f>HYPERLINK("https://klasma.github.io/Logging_0580/klagomålsmail/A 54835-2023 FSC-klagomål mail.docx", "A 54835-2023")</f>
        <v/>
      </c>
      <c r="X96">
        <f>HYPERLINK("https://klasma.github.io/Logging_0580/tillsyn/A 54835-2023 tillsynsbegäran.docx", "A 54835-2023")</f>
        <v/>
      </c>
      <c r="Y96">
        <f>HYPERLINK("https://klasma.github.io/Logging_0580/tillsynsmail/A 54835-2023 tillsynsbegäran mail.docx", "A 54835-2023")</f>
        <v/>
      </c>
      <c r="Z96">
        <f>HYPERLINK("https://klasma.github.io/Logging_0580/fåglar/A 54835-2023 prioriterade fågelarter.docx", "A 54835-2023")</f>
        <v/>
      </c>
    </row>
    <row r="97" ht="15" customHeight="1">
      <c r="A97" t="inlineStr">
        <is>
          <t>A 56651-2023</t>
        </is>
      </c>
      <c r="B97" s="1" t="n">
        <v>45243</v>
      </c>
      <c r="C97" s="1" t="n">
        <v>45695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 dropplav</t>
        </is>
      </c>
      <c r="S97">
        <f>HYPERLINK("https://klasma.github.io/Logging_0580/artfynd/A 56651-2023 artfynd.xlsx", "A 56651-2023")</f>
        <v/>
      </c>
      <c r="T97">
        <f>HYPERLINK("https://klasma.github.io/Logging_0580/kartor/A 56651-2023 karta.png", "A 56651-2023")</f>
        <v/>
      </c>
      <c r="V97">
        <f>HYPERLINK("https://klasma.github.io/Logging_0580/klagomål/A 56651-2023 FSC-klagomål.docx", "A 56651-2023")</f>
        <v/>
      </c>
      <c r="W97">
        <f>HYPERLINK("https://klasma.github.io/Logging_0580/klagomålsmail/A 56651-2023 FSC-klagomål mail.docx", "A 56651-2023")</f>
        <v/>
      </c>
      <c r="X97">
        <f>HYPERLINK("https://klasma.github.io/Logging_0580/tillsyn/A 56651-2023 tillsynsbegäran.docx", "A 56651-2023")</f>
        <v/>
      </c>
      <c r="Y97">
        <f>HYPERLINK("https://klasma.github.io/Logging_0580/tillsynsmail/A 56651-2023 tillsynsbegäran mail.docx", "A 56651-2023")</f>
        <v/>
      </c>
    </row>
    <row r="98" ht="15" customHeight="1">
      <c r="A98" t="inlineStr">
        <is>
          <t>A 62071-2023</t>
        </is>
      </c>
      <c r="B98" s="1" t="n">
        <v>45266</v>
      </c>
      <c r="C98" s="1" t="n">
        <v>45695</v>
      </c>
      <c r="D98" t="inlineStr">
        <is>
          <t>ÖSTERGÖTLANDS LÄN</t>
        </is>
      </c>
      <c r="E98" t="inlineStr">
        <is>
          <t>LINKÖPING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62071-2023 artfynd.xlsx", "A 62071-2023")</f>
        <v/>
      </c>
      <c r="T98">
        <f>HYPERLINK("https://klasma.github.io/Logging_0580/kartor/A 62071-2023 karta.png", "A 62071-2023")</f>
        <v/>
      </c>
      <c r="V98">
        <f>HYPERLINK("https://klasma.github.io/Logging_0580/klagomål/A 62071-2023 FSC-klagomål.docx", "A 62071-2023")</f>
        <v/>
      </c>
      <c r="W98">
        <f>HYPERLINK("https://klasma.github.io/Logging_0580/klagomålsmail/A 62071-2023 FSC-klagomål mail.docx", "A 62071-2023")</f>
        <v/>
      </c>
      <c r="X98">
        <f>HYPERLINK("https://klasma.github.io/Logging_0580/tillsyn/A 62071-2023 tillsynsbegäran.docx", "A 62071-2023")</f>
        <v/>
      </c>
      <c r="Y98">
        <f>HYPERLINK("https://klasma.github.io/Logging_0580/tillsynsmail/A 62071-2023 tillsynsbegäran mail.docx", "A 62071-2023")</f>
        <v/>
      </c>
    </row>
    <row r="99" ht="15" customHeight="1">
      <c r="A99" t="inlineStr">
        <is>
          <t>A 63325-2023</t>
        </is>
      </c>
      <c r="B99" s="1" t="n">
        <v>45274</v>
      </c>
      <c r="C99" s="1" t="n">
        <v>45695</v>
      </c>
      <c r="D99" t="inlineStr">
        <is>
          <t>ÖSTERGÖTLANDS LÄN</t>
        </is>
      </c>
      <c r="E99" t="inlineStr">
        <is>
          <t>LINKÖPING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63325-2023 artfynd.xlsx", "A 63325-2023")</f>
        <v/>
      </c>
      <c r="T99">
        <f>HYPERLINK("https://klasma.github.io/Logging_0580/kartor/A 63325-2023 karta.png", "A 63325-2023")</f>
        <v/>
      </c>
      <c r="V99">
        <f>HYPERLINK("https://klasma.github.io/Logging_0580/klagomål/A 63325-2023 FSC-klagomål.docx", "A 63325-2023")</f>
        <v/>
      </c>
      <c r="W99">
        <f>HYPERLINK("https://klasma.github.io/Logging_0580/klagomålsmail/A 63325-2023 FSC-klagomål mail.docx", "A 63325-2023")</f>
        <v/>
      </c>
      <c r="X99">
        <f>HYPERLINK("https://klasma.github.io/Logging_0580/tillsyn/A 63325-2023 tillsynsbegäran.docx", "A 63325-2023")</f>
        <v/>
      </c>
      <c r="Y99">
        <f>HYPERLINK("https://klasma.github.io/Logging_0580/tillsynsmail/A 63325-2023 tillsynsbegäran mail.docx", "A 63325-2023")</f>
        <v/>
      </c>
    </row>
    <row r="100" ht="15" customHeight="1">
      <c r="A100" t="inlineStr">
        <is>
          <t>A 63558-2023</t>
        </is>
      </c>
      <c r="B100" s="1" t="n">
        <v>45275</v>
      </c>
      <c r="C100" s="1" t="n">
        <v>45695</v>
      </c>
      <c r="D100" t="inlineStr">
        <is>
          <t>ÖSTERGÖTLANDS LÄN</t>
        </is>
      </c>
      <c r="E100" t="inlineStr">
        <is>
          <t>LINKÖPING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HYPERLINK("https://klasma.github.io/Logging_0580/artfynd/A 63558-2023 artfynd.xlsx", "A 63558-2023")</f>
        <v/>
      </c>
      <c r="T100">
        <f>HYPERLINK("https://klasma.github.io/Logging_0580/kartor/A 63558-2023 karta.png", "A 63558-2023")</f>
        <v/>
      </c>
      <c r="V100">
        <f>HYPERLINK("https://klasma.github.io/Logging_0580/klagomål/A 63558-2023 FSC-klagomål.docx", "A 63558-2023")</f>
        <v/>
      </c>
      <c r="W100">
        <f>HYPERLINK("https://klasma.github.io/Logging_0580/klagomålsmail/A 63558-2023 FSC-klagomål mail.docx", "A 63558-2023")</f>
        <v/>
      </c>
      <c r="X100">
        <f>HYPERLINK("https://klasma.github.io/Logging_0580/tillsyn/A 63558-2023 tillsynsbegäran.docx", "A 63558-2023")</f>
        <v/>
      </c>
      <c r="Y100">
        <f>HYPERLINK("https://klasma.github.io/Logging_0580/tillsynsmail/A 63558-2023 tillsynsbegäran mail.docx", "A 63558-2023")</f>
        <v/>
      </c>
    </row>
    <row r="101" ht="15" customHeight="1">
      <c r="A101" t="inlineStr">
        <is>
          <t>A 90-2024</t>
        </is>
      </c>
      <c r="B101" s="1" t="n">
        <v>45293</v>
      </c>
      <c r="C101" s="1" t="n">
        <v>45695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 fjädermossa</t>
        </is>
      </c>
      <c r="S101">
        <f>HYPERLINK("https://klasma.github.io/Logging_0580/artfynd/A 90-2024 artfynd.xlsx", "A 90-2024")</f>
        <v/>
      </c>
      <c r="T101">
        <f>HYPERLINK("https://klasma.github.io/Logging_0580/kartor/A 90-2024 karta.png", "A 90-2024")</f>
        <v/>
      </c>
      <c r="V101">
        <f>HYPERLINK("https://klasma.github.io/Logging_0580/klagomål/A 90-2024 FSC-klagomål.docx", "A 90-2024")</f>
        <v/>
      </c>
      <c r="W101">
        <f>HYPERLINK("https://klasma.github.io/Logging_0580/klagomålsmail/A 90-2024 FSC-klagomål mail.docx", "A 90-2024")</f>
        <v/>
      </c>
      <c r="X101">
        <f>HYPERLINK("https://klasma.github.io/Logging_0580/tillsyn/A 90-2024 tillsynsbegäran.docx", "A 90-2024")</f>
        <v/>
      </c>
      <c r="Y101">
        <f>HYPERLINK("https://klasma.github.io/Logging_0580/tillsynsmail/A 90-2024 tillsynsbegäran mail.docx", "A 90-2024")</f>
        <v/>
      </c>
    </row>
    <row r="102" ht="15" customHeight="1">
      <c r="A102" t="inlineStr">
        <is>
          <t>A 126-2024</t>
        </is>
      </c>
      <c r="B102" s="1" t="n">
        <v>45294</v>
      </c>
      <c r="C102" s="1" t="n">
        <v>45695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126-2024 artfynd.xlsx", "A 126-2024")</f>
        <v/>
      </c>
      <c r="T102">
        <f>HYPERLINK("https://klasma.github.io/Logging_0580/kartor/A 126-2024 karta.png", "A 126-2024")</f>
        <v/>
      </c>
      <c r="V102">
        <f>HYPERLINK("https://klasma.github.io/Logging_0580/klagomål/A 126-2024 FSC-klagomål.docx", "A 126-2024")</f>
        <v/>
      </c>
      <c r="W102">
        <f>HYPERLINK("https://klasma.github.io/Logging_0580/klagomålsmail/A 126-2024 FSC-klagomål mail.docx", "A 126-2024")</f>
        <v/>
      </c>
      <c r="X102">
        <f>HYPERLINK("https://klasma.github.io/Logging_0580/tillsyn/A 126-2024 tillsynsbegäran.docx", "A 126-2024")</f>
        <v/>
      </c>
      <c r="Y102">
        <f>HYPERLINK("https://klasma.github.io/Logging_0580/tillsynsmail/A 126-2024 tillsynsbegäran mail.docx", "A 126-2024")</f>
        <v/>
      </c>
    </row>
    <row r="103" ht="15" customHeight="1">
      <c r="A103" t="inlineStr">
        <is>
          <t>A 3537-2024</t>
        </is>
      </c>
      <c r="B103" s="1" t="n">
        <v>45320</v>
      </c>
      <c r="C103" s="1" t="n">
        <v>45695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HYPERLINK("https://klasma.github.io/Logging_0580/artfynd/A 3537-2024 artfynd.xlsx", "A 3537-2024")</f>
        <v/>
      </c>
      <c r="T103">
        <f>HYPERLINK("https://klasma.github.io/Logging_0580/kartor/A 3537-2024 karta.png", "A 3537-2024")</f>
        <v/>
      </c>
      <c r="V103">
        <f>HYPERLINK("https://klasma.github.io/Logging_0580/klagomål/A 3537-2024 FSC-klagomål.docx", "A 3537-2024")</f>
        <v/>
      </c>
      <c r="W103">
        <f>HYPERLINK("https://klasma.github.io/Logging_0580/klagomålsmail/A 3537-2024 FSC-klagomål mail.docx", "A 3537-2024")</f>
        <v/>
      </c>
      <c r="X103">
        <f>HYPERLINK("https://klasma.github.io/Logging_0580/tillsyn/A 3537-2024 tillsynsbegäran.docx", "A 3537-2024")</f>
        <v/>
      </c>
      <c r="Y103">
        <f>HYPERLINK("https://klasma.github.io/Logging_0580/tillsynsmail/A 3537-2024 tillsynsbegäran mail.docx", "A 3537-2024")</f>
        <v/>
      </c>
    </row>
    <row r="104" ht="15" customHeight="1">
      <c r="A104" t="inlineStr">
        <is>
          <t>A 5873-2024</t>
        </is>
      </c>
      <c r="B104" s="1" t="n">
        <v>45335</v>
      </c>
      <c r="C104" s="1" t="n">
        <v>45695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HYPERLINK("https://klasma.github.io/Logging_0580/artfynd/A 5873-2024 artfynd.xlsx", "A 5873-2024")</f>
        <v/>
      </c>
      <c r="T104">
        <f>HYPERLINK("https://klasma.github.io/Logging_0580/kartor/A 5873-2024 karta.png", "A 5873-2024")</f>
        <v/>
      </c>
      <c r="V104">
        <f>HYPERLINK("https://klasma.github.io/Logging_0580/klagomål/A 5873-2024 FSC-klagomål.docx", "A 5873-2024")</f>
        <v/>
      </c>
      <c r="W104">
        <f>HYPERLINK("https://klasma.github.io/Logging_0580/klagomålsmail/A 5873-2024 FSC-klagomål mail.docx", "A 5873-2024")</f>
        <v/>
      </c>
      <c r="X104">
        <f>HYPERLINK("https://klasma.github.io/Logging_0580/tillsyn/A 5873-2024 tillsynsbegäran.docx", "A 5873-2024")</f>
        <v/>
      </c>
      <c r="Y104">
        <f>HYPERLINK("https://klasma.github.io/Logging_0580/tillsynsmail/A 5873-2024 tillsynsbegäran mail.docx", "A 5873-2024")</f>
        <v/>
      </c>
    </row>
    <row r="105" ht="15" customHeight="1">
      <c r="A105" t="inlineStr">
        <is>
          <t>A 8093-2024</t>
        </is>
      </c>
      <c r="B105" s="1" t="n">
        <v>45351</v>
      </c>
      <c r="C105" s="1" t="n">
        <v>45695</v>
      </c>
      <c r="D105" t="inlineStr">
        <is>
          <t>ÖSTERGÖTLANDS LÄN</t>
        </is>
      </c>
      <c r="E105" t="inlineStr">
        <is>
          <t>LINKÖPING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8093-2024 artfynd.xlsx", "A 8093-2024")</f>
        <v/>
      </c>
      <c r="T105">
        <f>HYPERLINK("https://klasma.github.io/Logging_0580/kartor/A 8093-2024 karta.png", "A 8093-2024")</f>
        <v/>
      </c>
      <c r="V105">
        <f>HYPERLINK("https://klasma.github.io/Logging_0580/klagomål/A 8093-2024 FSC-klagomål.docx", "A 8093-2024")</f>
        <v/>
      </c>
      <c r="W105">
        <f>HYPERLINK("https://klasma.github.io/Logging_0580/klagomålsmail/A 8093-2024 FSC-klagomål mail.docx", "A 8093-2024")</f>
        <v/>
      </c>
      <c r="X105">
        <f>HYPERLINK("https://klasma.github.io/Logging_0580/tillsyn/A 8093-2024 tillsynsbegäran.docx", "A 8093-2024")</f>
        <v/>
      </c>
      <c r="Y105">
        <f>HYPERLINK("https://klasma.github.io/Logging_0580/tillsynsmail/A 8093-2024 tillsynsbegäran mail.docx", "A 8093-2024")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45695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45695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45695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45695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45695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45695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45695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45695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45695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45695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45695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45695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45695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45695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45695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45695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45695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45695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45695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45695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45695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45695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45695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45695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45695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45695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45695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45695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45695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45695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45695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45695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45695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45695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45695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45695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45695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45695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45695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45695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45695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45695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45695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45695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45695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45695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45695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45695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45695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45695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45695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45695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45695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45695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45695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45695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45695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45695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45695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45695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45695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45695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45695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45695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45695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45695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45695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45695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45695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45695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45695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45695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45695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45695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45695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45695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45695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45695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45695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45695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45695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45695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45695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45695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45695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45695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45695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45695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45695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45695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45695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45695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45695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45695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45695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45695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45695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45695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45695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45695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45695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45695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45695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45695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45695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45695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45695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45695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45695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45695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45695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45695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45695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45695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45695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45695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45695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45695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45695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45695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45695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45695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45695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45695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45695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45695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45695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45695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45695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45695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45695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45695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45695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45695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45695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45695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45695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45695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45695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45695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45695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45695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45695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45695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45695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45695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45695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45695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45695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45695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45695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45695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45695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45695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45695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45695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45695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45695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45695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45695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45695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45695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45695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45695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45695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45695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45695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45695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45695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45695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45695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45695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45695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45695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45695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45695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45695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45695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45695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45695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45695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45695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45695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45695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45695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45695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45695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45695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45695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45695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45695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45695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45695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45695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45695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45695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45695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45695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45695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45695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45695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45695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45695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45695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45695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45695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45695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45695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45695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45695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45695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45695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45695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45695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45695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45695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45695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45695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45695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45695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45695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45695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45695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45695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45695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45695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45695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45695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45695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45695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45695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45695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45695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45695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45695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45695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45695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45695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45695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45695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45695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45695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45695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45695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45695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45695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45695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45695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45695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45695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45695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45695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45695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45695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45695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45695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45695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45695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45695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45695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45695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45695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45695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45695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45695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45695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45695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45695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45695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45695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45695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45695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45695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45695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45695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45695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45695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45695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45695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45695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45695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45695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45695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45695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45695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45695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45695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45695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45695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45695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45695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45695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45695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45695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45695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45695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45695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45695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45695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45695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45695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45695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45695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45695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45695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45695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45695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45695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45695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45695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45695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45695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45695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45695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45695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45695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45695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45695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45695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45695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45695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45695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45695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45695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45695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45695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45695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45695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45695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45695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45695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45695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45695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45695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45695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45695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45695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45695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45695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45695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45695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45695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45695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45695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45695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45695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45695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45695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45695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45695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45695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45695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45695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45695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45695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45695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45695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45695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45695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45695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45695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45695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45695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45695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45695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45695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45695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45695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45695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45695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45695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45695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45695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45695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45695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45695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45695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45695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45695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45695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45695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45695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45695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45695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45695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45695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45695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45695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45695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45695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45695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45695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45695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45695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45695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45695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45695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45695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45695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45695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45695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45695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45695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45695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45695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45695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45695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45695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45695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45695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45695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45695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45695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45695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45695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45695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45695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45695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45695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45695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45695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45695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45695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45695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45695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45695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45695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45695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45695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45695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45695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45695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45695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45695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45695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45695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45695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45695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45695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45695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45695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45695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45695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45695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45695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45695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45695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45695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45695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45695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45695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45695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45695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45695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45695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45695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45695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45695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45695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45695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45695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45695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45695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45695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45695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45695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45695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45695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45695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45695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45695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45695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45695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45695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45695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45695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45695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45695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45695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45695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45695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45695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45695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45695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45695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45695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45695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45695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45695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45695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45695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45695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45695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45695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45695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45695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45695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45695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45695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45695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45695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45695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45695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45695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45695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45695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45695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45695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45695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45695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45695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45695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45695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45695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45695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45695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45695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45695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45695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45695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45695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45695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45695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45695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45695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45695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45695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45695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45695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45695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45695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45695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45695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45695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45695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45695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45695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45695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45695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45695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45695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45695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45695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45695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45695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45695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45695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45695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45695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45695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45695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45695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45695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45695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45695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45695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45695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45695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45695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45695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45695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45695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45695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45695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45695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45695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45695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45695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45695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45695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45695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45695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45695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45695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45695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45695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45695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45695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45695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45695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45695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45695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45695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45695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45695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45695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45695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45695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45695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45695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45695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45695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45695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45695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45695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45695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45695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45695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45695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45695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45695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45695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45695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45695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45695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45695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45695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45695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45695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45695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45695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45695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45695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45695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45695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45695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45695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45695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45695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45695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45695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45695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45695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45695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45695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45695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45695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45695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45695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45695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45695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45695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45695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45695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45695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45695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45695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45695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45695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45695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45695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45695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45695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45695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45695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45695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45695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45695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45695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45695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45695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45695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45695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45695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45695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45695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45695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45695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45695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45695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45695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45695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45695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45695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45695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45695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45695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45695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45695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45695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45695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45695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45695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45695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45695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45695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45695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45695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45695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45695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45695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45695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45695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45695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45695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45695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45695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45695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45695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45695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45695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45695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45695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45695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45695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45695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45695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45695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45695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45695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45695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45695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45695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45695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45695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45695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45695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45695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45695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45695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45695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45695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45695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45695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45695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45695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45695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45695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45695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45695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45695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45695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45695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45695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45695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45695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45695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45695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45695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45695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45695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45695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45695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45695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45695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45695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45695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45695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45695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45695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45695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45695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45695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45695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45695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45695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45695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45695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45695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45695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45695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45695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45695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45695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45695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45695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45695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45695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45695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45695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45695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45695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45695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45695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45695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45695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45695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45695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45695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45695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45695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45695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45695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45695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45695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45695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45695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45695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45695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45695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45695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45695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45695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45695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45695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45695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45695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45695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45695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45695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45695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45695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45695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45695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45695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45695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45695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45695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45695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45695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45695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45695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45695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45695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45695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45695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45695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45695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45695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45695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45695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45695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45695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45695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45695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45695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45695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45695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45695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45695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45695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45695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45695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45695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45695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45695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45695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45695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45695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45695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45695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45695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45695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45695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45695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45695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45695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45695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45695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45695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45695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45695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45695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45695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45695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45695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45695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45695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45695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45695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45695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45695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45695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45695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45695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45695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45695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45695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45695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45695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45695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45695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45695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45695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45695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45695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45695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45695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45695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45695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45695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45695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45695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45695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45695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45695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45695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45695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45695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45695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45695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45695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45695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45695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45695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45695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45695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45695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45695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45695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45695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45695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45695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45695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45695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45695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45695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45695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45695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45695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45695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45695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45695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45695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45695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45695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45695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45695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45695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45695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45695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45695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45695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45695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45695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45695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45695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45695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45695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45695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45695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45695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45695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45695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45695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45695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45695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45695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45695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45695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45695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45695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45695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45695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45695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45695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45695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45695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45695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45695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45695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45695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45695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45695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45695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45695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45695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45695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45695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45695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45695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45695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45695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45695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45695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45695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45695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45695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45695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45695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45695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45695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45695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45695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45695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45695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45695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45695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45695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45695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45695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45695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45695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45695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45695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45695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45695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45695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45695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45695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45695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45695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45695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45695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45695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45695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45695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45695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45695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45695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45695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45695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45695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45695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45695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45695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45695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45695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45695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45695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45695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45695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45695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45695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45695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45695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45695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45695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45695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45695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45695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45695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45695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45695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45695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45695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45695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45695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45695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45695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45695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45695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45695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45695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45695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45695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45695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45695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45695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45695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45695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45695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45695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45695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45695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45695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45695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45695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45695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45695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45695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45695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45695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45695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45695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45695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45695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45695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45695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45695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45695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45695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45695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45695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45695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45695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45695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45695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45695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45695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45695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45695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45695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45695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45695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45695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45695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45695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45695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45695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45695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45695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45695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45695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45695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45695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45695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45695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45695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45695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45695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45695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45695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45695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45695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45695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45695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45695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45695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45695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45695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45695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45695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45695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45695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45695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45695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45695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45695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45695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45695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45695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45695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45695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45695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45695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45695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45695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45695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45695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45695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45695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45695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45695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45695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45695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45695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45695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45695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45695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45695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45695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45695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45695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45695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45695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45695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45695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45695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45695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45695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45695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45695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45695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45695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45695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45695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45695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45695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45695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45695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45695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45695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45695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HYPERLINK("https://klasma.github.io/Logging_0580/knärot/A 47408-2024 karta knärot.png", "A 47408-2024")</f>
        <v/>
      </c>
      <c r="V1249">
        <f>HYPERLINK("https://klasma.github.io/Logging_0580/klagomål/A 47408-2024 FSC-klagomål.docx", "A 47408-2024")</f>
        <v/>
      </c>
      <c r="W1249">
        <f>HYPERLINK("https://klasma.github.io/Logging_0580/klagomålsmail/A 47408-2024 FSC-klagomål mail.docx", "A 47408-2024")</f>
        <v/>
      </c>
      <c r="X1249">
        <f>HYPERLINK("https://klasma.github.io/Logging_0580/tillsyn/A 47408-2024 tillsynsbegäran.docx", "A 47408-2024")</f>
        <v/>
      </c>
      <c r="Y1249">
        <f>HYPERLINK("https://klasma.github.io/Logging_0580/tillsynsmail/A 47408-2024 tillsynsbegäran mail.docx", "A 47408-2024")</f>
        <v/>
      </c>
    </row>
    <row r="1250" ht="15" customHeight="1">
      <c r="A1250" t="inlineStr">
        <is>
          <t>A 48389-2024</t>
        </is>
      </c>
      <c r="B1250" s="1" t="n">
        <v>45590</v>
      </c>
      <c r="C1250" s="1" t="n">
        <v>45695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45695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45695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45695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45695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45695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45695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45695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45695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45695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45695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45695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45695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45695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45695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45695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45695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45695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45695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45695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45695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45695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45695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45695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45695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45695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45695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45695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45695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45695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45695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45695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45695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45695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45695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45695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45695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45695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45695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45695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45695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45695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45695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45695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45695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45695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45695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45695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45695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45695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45695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45695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45695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45695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45695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45695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45695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45695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45695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45695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45695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45695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45695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45695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578-2025</t>
        </is>
      </c>
      <c r="B1314" s="1" t="n">
        <v>45664</v>
      </c>
      <c r="C1314" s="1" t="n">
        <v>45695</v>
      </c>
      <c r="D1314" t="inlineStr">
        <is>
          <t>ÖSTERGÖTLANDS LÄN</t>
        </is>
      </c>
      <c r="E1314" t="inlineStr">
        <is>
          <t>LINKÖPING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45695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567-2025</t>
        </is>
      </c>
      <c r="B1316" s="1" t="n">
        <v>45664</v>
      </c>
      <c r="C1316" s="1" t="n">
        <v>45695</v>
      </c>
      <c r="D1316" t="inlineStr">
        <is>
          <t>ÖSTERGÖTLANDS LÄN</t>
        </is>
      </c>
      <c r="E1316" t="inlineStr">
        <is>
          <t>LINKÖPING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854-2025</t>
        </is>
      </c>
      <c r="B1317" s="1" t="n">
        <v>45665</v>
      </c>
      <c r="C1317" s="1" t="n">
        <v>45695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926-2025</t>
        </is>
      </c>
      <c r="B1318" s="1" t="n">
        <v>45665</v>
      </c>
      <c r="C1318" s="1" t="n">
        <v>45695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45695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45695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45695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45695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2997-2025</t>
        </is>
      </c>
      <c r="B1323" s="1" t="n">
        <v>45678</v>
      </c>
      <c r="C1323" s="1" t="n">
        <v>45695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45695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45695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45695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45695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3567-2025</t>
        </is>
      </c>
      <c r="B1328" s="1" t="n">
        <v>45680</v>
      </c>
      <c r="C1328" s="1" t="n">
        <v>45695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4960-2025</t>
        </is>
      </c>
      <c r="B1329" s="1" t="n">
        <v>45689</v>
      </c>
      <c r="C1329" s="1" t="n">
        <v>45695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2025-02-07T16:20:35Z</dcterms:created>
  <dcterms:modified xmlns:dcterms="http://purl.org/dc/terms/" xmlns:xsi="http://www.w3.org/2001/XMLSchema-instance" xsi:type="dcterms:W3CDTF">2025-02-07T16:20:37Z</dcterms:modified>
</cp:coreProperties>
</file>