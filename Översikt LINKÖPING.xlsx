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45994</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45994</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45994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45994</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45994</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48329-2025</t>
        </is>
      </c>
      <c r="B16" s="1" t="n">
        <v>45932</v>
      </c>
      <c r="C16" s="1" t="n">
        <v>45994</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577-2025</t>
        </is>
      </c>
      <c r="B17" s="1" t="n">
        <v>45664.56525462963</v>
      </c>
      <c r="C17" s="1" t="n">
        <v>45994</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45994</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55341-2024</t>
        </is>
      </c>
      <c r="B19" s="1" t="n">
        <v>45621.71255787037</v>
      </c>
      <c r="C19" s="1" t="n">
        <v>45994</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49999-2025</t>
        </is>
      </c>
      <c r="B20" s="1" t="n">
        <v>45943.30185185185</v>
      </c>
      <c r="C20" s="1" t="n">
        <v>45994</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45994</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45994</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45994</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45994</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58068-2021</t>
        </is>
      </c>
      <c r="B25" s="1" t="n">
        <v>44487</v>
      </c>
      <c r="C25" s="1" t="n">
        <v>45994</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21326-2025</t>
        </is>
      </c>
      <c r="B26" s="1" t="n">
        <v>45782.35407407407</v>
      </c>
      <c r="C26" s="1" t="n">
        <v>45994</v>
      </c>
      <c r="D26" t="inlineStr">
        <is>
          <t>ÖSTERGÖTLANDS LÄN</t>
        </is>
      </c>
      <c r="E26" t="inlineStr">
        <is>
          <t>LINKÖPING</t>
        </is>
      </c>
      <c r="G26" t="n">
        <v>4.9</v>
      </c>
      <c r="H26" t="n">
        <v>2</v>
      </c>
      <c r="I26" t="n">
        <v>0</v>
      </c>
      <c r="J26" t="n">
        <v>0</v>
      </c>
      <c r="K26" t="n">
        <v>0</v>
      </c>
      <c r="L26" t="n">
        <v>0</v>
      </c>
      <c r="M26" t="n">
        <v>0</v>
      </c>
      <c r="N26" t="n">
        <v>0</v>
      </c>
      <c r="O26" t="n">
        <v>0</v>
      </c>
      <c r="P26" t="n">
        <v>0</v>
      </c>
      <c r="Q26" t="n">
        <v>2</v>
      </c>
      <c r="R26" s="2" t="inlineStr">
        <is>
          <t>Blåsippa
Revlummer</t>
        </is>
      </c>
      <c r="S26">
        <f>HYPERLINK("https://klasma.github.io/Logging_0580/artfynd/A 21326-2025 artfynd.xlsx", "A 21326-2025")</f>
        <v/>
      </c>
      <c r="T26">
        <f>HYPERLINK("https://klasma.github.io/Logging_0580/kartor/A 21326-2025 karta.png", "A 21326-2025")</f>
        <v/>
      </c>
      <c r="V26">
        <f>HYPERLINK("https://klasma.github.io/Logging_0580/klagomål/A 21326-2025 FSC-klagomål.docx", "A 21326-2025")</f>
        <v/>
      </c>
      <c r="W26">
        <f>HYPERLINK("https://klasma.github.io/Logging_0580/klagomålsmail/A 21326-2025 FSC-klagomål mail.docx", "A 21326-2025")</f>
        <v/>
      </c>
      <c r="X26">
        <f>HYPERLINK("https://klasma.github.io/Logging_0580/tillsyn/A 21326-2025 tillsynsbegäran.docx", "A 21326-2025")</f>
        <v/>
      </c>
      <c r="Y26">
        <f>HYPERLINK("https://klasma.github.io/Logging_0580/tillsynsmail/A 21326-2025 tillsynsbegäran mail.docx", "A 21326-2025")</f>
        <v/>
      </c>
    </row>
    <row r="27" ht="15" customHeight="1">
      <c r="A27" t="inlineStr">
        <is>
          <t>A 22040-2023</t>
        </is>
      </c>
      <c r="B27" s="1" t="n">
        <v>45068</v>
      </c>
      <c r="C27" s="1" t="n">
        <v>45994</v>
      </c>
      <c r="D27" t="inlineStr">
        <is>
          <t>ÖSTERGÖTLANDS LÄN</t>
        </is>
      </c>
      <c r="E27" t="inlineStr">
        <is>
          <t>LINKÖPING</t>
        </is>
      </c>
      <c r="F27" t="inlineStr">
        <is>
          <t>Kommuner</t>
        </is>
      </c>
      <c r="G27" t="n">
        <v>1</v>
      </c>
      <c r="H27" t="n">
        <v>1</v>
      </c>
      <c r="I27" t="n">
        <v>1</v>
      </c>
      <c r="J27" t="n">
        <v>0</v>
      </c>
      <c r="K27" t="n">
        <v>1</v>
      </c>
      <c r="L27" t="n">
        <v>0</v>
      </c>
      <c r="M27" t="n">
        <v>0</v>
      </c>
      <c r="N27" t="n">
        <v>0</v>
      </c>
      <c r="O27" t="n">
        <v>1</v>
      </c>
      <c r="P27" t="n">
        <v>1</v>
      </c>
      <c r="Q27" t="n">
        <v>2</v>
      </c>
      <c r="R27" s="2" t="inlineStr">
        <is>
          <t>Bombmurkla
Skarp dropptaggsvamp</t>
        </is>
      </c>
      <c r="S27">
        <f>HYPERLINK("https://klasma.github.io/Logging_0580/artfynd/A 22040-2023 artfynd.xlsx", "A 22040-2023")</f>
        <v/>
      </c>
      <c r="T27">
        <f>HYPERLINK("https://klasma.github.io/Logging_0580/kartor/A 22040-2023 karta.png", "A 22040-2023")</f>
        <v/>
      </c>
      <c r="V27">
        <f>HYPERLINK("https://klasma.github.io/Logging_0580/klagomål/A 22040-2023 FSC-klagomål.docx", "A 22040-2023")</f>
        <v/>
      </c>
      <c r="W27">
        <f>HYPERLINK("https://klasma.github.io/Logging_0580/klagomålsmail/A 22040-2023 FSC-klagomål mail.docx", "A 22040-2023")</f>
        <v/>
      </c>
      <c r="X27">
        <f>HYPERLINK("https://klasma.github.io/Logging_0580/tillsyn/A 22040-2023 tillsynsbegäran.docx", "A 22040-2023")</f>
        <v/>
      </c>
      <c r="Y27">
        <f>HYPERLINK("https://klasma.github.io/Logging_0580/tillsynsmail/A 22040-2023 tillsynsbegäran mail.docx", "A 22040-2023")</f>
        <v/>
      </c>
    </row>
    <row r="28" ht="15" customHeight="1">
      <c r="A28" t="inlineStr">
        <is>
          <t>A 49188-2024</t>
        </is>
      </c>
      <c r="B28" s="1" t="n">
        <v>45595</v>
      </c>
      <c r="C28" s="1" t="n">
        <v>45994</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38913-2023</t>
        </is>
      </c>
      <c r="B29" s="1" t="n">
        <v>45163</v>
      </c>
      <c r="C29" s="1" t="n">
        <v>45994</v>
      </c>
      <c r="D29" t="inlineStr">
        <is>
          <t>ÖSTERGÖTLANDS LÄN</t>
        </is>
      </c>
      <c r="E29" t="inlineStr">
        <is>
          <t>LINKÖPING</t>
        </is>
      </c>
      <c r="G29" t="n">
        <v>2.7</v>
      </c>
      <c r="H29" t="n">
        <v>1</v>
      </c>
      <c r="I29" t="n">
        <v>1</v>
      </c>
      <c r="J29" t="n">
        <v>0</v>
      </c>
      <c r="K29" t="n">
        <v>0</v>
      </c>
      <c r="L29" t="n">
        <v>0</v>
      </c>
      <c r="M29" t="n">
        <v>0</v>
      </c>
      <c r="N29" t="n">
        <v>0</v>
      </c>
      <c r="O29" t="n">
        <v>0</v>
      </c>
      <c r="P29" t="n">
        <v>0</v>
      </c>
      <c r="Q29" t="n">
        <v>2</v>
      </c>
      <c r="R29" s="2" t="inlineStr">
        <is>
          <t>Skogsbräsma
Revlummer</t>
        </is>
      </c>
      <c r="S29">
        <f>HYPERLINK("https://klasma.github.io/Logging_0580/artfynd/A 38913-2023 artfynd.xlsx", "A 38913-2023")</f>
        <v/>
      </c>
      <c r="T29">
        <f>HYPERLINK("https://klasma.github.io/Logging_0580/kartor/A 38913-2023 karta.png", "A 38913-2023")</f>
        <v/>
      </c>
      <c r="V29">
        <f>HYPERLINK("https://klasma.github.io/Logging_0580/klagomål/A 38913-2023 FSC-klagomål.docx", "A 38913-2023")</f>
        <v/>
      </c>
      <c r="W29">
        <f>HYPERLINK("https://klasma.github.io/Logging_0580/klagomålsmail/A 38913-2023 FSC-klagomål mail.docx", "A 38913-2023")</f>
        <v/>
      </c>
      <c r="X29">
        <f>HYPERLINK("https://klasma.github.io/Logging_0580/tillsyn/A 38913-2023 tillsynsbegäran.docx", "A 38913-2023")</f>
        <v/>
      </c>
      <c r="Y29">
        <f>HYPERLINK("https://klasma.github.io/Logging_0580/tillsynsmail/A 38913-2023 tillsynsbegäran mail.docx", "A 38913-2023")</f>
        <v/>
      </c>
    </row>
    <row r="30" ht="15" customHeight="1">
      <c r="A30" t="inlineStr">
        <is>
          <t>A 11613-2025</t>
        </is>
      </c>
      <c r="B30" s="1" t="n">
        <v>45727.44623842592</v>
      </c>
      <c r="C30" s="1" t="n">
        <v>45994</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14879-2024</t>
        </is>
      </c>
      <c r="B31" s="1" t="n">
        <v>45398</v>
      </c>
      <c r="C31" s="1" t="n">
        <v>45994</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45994</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41751-2023</t>
        </is>
      </c>
      <c r="B33" s="1" t="n">
        <v>45176</v>
      </c>
      <c r="C33" s="1" t="n">
        <v>45994</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58068-2021</t>
        </is>
      </c>
      <c r="B34" s="1" t="n">
        <v>44487</v>
      </c>
      <c r="C34" s="1" t="n">
        <v>45994</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42858-2023</t>
        </is>
      </c>
      <c r="B35" s="1" t="n">
        <v>45177</v>
      </c>
      <c r="C35" s="1" t="n">
        <v>45994</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20292-2025</t>
        </is>
      </c>
      <c r="B36" s="1" t="n">
        <v>45774.7449537037</v>
      </c>
      <c r="C36" s="1" t="n">
        <v>45994</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45994</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55344-2024</t>
        </is>
      </c>
      <c r="B38" s="1" t="n">
        <v>45621.7202662037</v>
      </c>
      <c r="C38" s="1" t="n">
        <v>45994</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27795-2025</t>
        </is>
      </c>
      <c r="B39" s="1" t="n">
        <v>45816.7908912037</v>
      </c>
      <c r="C39" s="1" t="n">
        <v>45994</v>
      </c>
      <c r="D39" t="inlineStr">
        <is>
          <t>ÖSTERGÖTLANDS LÄN</t>
        </is>
      </c>
      <c r="E39" t="inlineStr">
        <is>
          <t>LINKÖPING</t>
        </is>
      </c>
      <c r="G39" t="n">
        <v>5</v>
      </c>
      <c r="H39" t="n">
        <v>0</v>
      </c>
      <c r="I39" t="n">
        <v>0</v>
      </c>
      <c r="J39" t="n">
        <v>2</v>
      </c>
      <c r="K39" t="n">
        <v>0</v>
      </c>
      <c r="L39" t="n">
        <v>0</v>
      </c>
      <c r="M39" t="n">
        <v>0</v>
      </c>
      <c r="N39" t="n">
        <v>0</v>
      </c>
      <c r="O39" t="n">
        <v>2</v>
      </c>
      <c r="P39" t="n">
        <v>0</v>
      </c>
      <c r="Q39" t="n">
        <v>2</v>
      </c>
      <c r="R39" s="2" t="inlineStr">
        <is>
          <t>Svinrot
Ängsskära</t>
        </is>
      </c>
      <c r="S39">
        <f>HYPERLINK("https://klasma.github.io/Logging_0580/artfynd/A 27795-2025 artfynd.xlsx", "A 27795-2025")</f>
        <v/>
      </c>
      <c r="T39">
        <f>HYPERLINK("https://klasma.github.io/Logging_0580/kartor/A 27795-2025 karta.png", "A 27795-2025")</f>
        <v/>
      </c>
      <c r="V39">
        <f>HYPERLINK("https://klasma.github.io/Logging_0580/klagomål/A 27795-2025 FSC-klagomål.docx", "A 27795-2025")</f>
        <v/>
      </c>
      <c r="W39">
        <f>HYPERLINK("https://klasma.github.io/Logging_0580/klagomålsmail/A 27795-2025 FSC-klagomål mail.docx", "A 27795-2025")</f>
        <v/>
      </c>
      <c r="X39">
        <f>HYPERLINK("https://klasma.github.io/Logging_0580/tillsyn/A 27795-2025 tillsynsbegäran.docx", "A 27795-2025")</f>
        <v/>
      </c>
      <c r="Y39">
        <f>HYPERLINK("https://klasma.github.io/Logging_0580/tillsynsmail/A 27795-2025 tillsynsbegäran mail.docx", "A 27795-2025")</f>
        <v/>
      </c>
    </row>
    <row r="40" ht="15" customHeight="1">
      <c r="A40" t="inlineStr">
        <is>
          <t>A 25985-2025</t>
        </is>
      </c>
      <c r="B40" s="1" t="n">
        <v>45804.64479166667</v>
      </c>
      <c r="C40" s="1" t="n">
        <v>45994</v>
      </c>
      <c r="D40" t="inlineStr">
        <is>
          <t>ÖSTERGÖTLANDS LÄN</t>
        </is>
      </c>
      <c r="E40" t="inlineStr">
        <is>
          <t>LINKÖPING</t>
        </is>
      </c>
      <c r="G40" t="n">
        <v>4.5</v>
      </c>
      <c r="H40" t="n">
        <v>2</v>
      </c>
      <c r="I40" t="n">
        <v>0</v>
      </c>
      <c r="J40" t="n">
        <v>1</v>
      </c>
      <c r="K40" t="n">
        <v>0</v>
      </c>
      <c r="L40" t="n">
        <v>0</v>
      </c>
      <c r="M40" t="n">
        <v>0</v>
      </c>
      <c r="N40" t="n">
        <v>0</v>
      </c>
      <c r="O40" t="n">
        <v>1</v>
      </c>
      <c r="P40" t="n">
        <v>0</v>
      </c>
      <c r="Q40" t="n">
        <v>2</v>
      </c>
      <c r="R40" s="2" t="inlineStr">
        <is>
          <t>Spillkråka
Revlummer</t>
        </is>
      </c>
      <c r="S40">
        <f>HYPERLINK("https://klasma.github.io/Logging_0580/artfynd/A 25985-2025 artfynd.xlsx", "A 25985-2025")</f>
        <v/>
      </c>
      <c r="T40">
        <f>HYPERLINK("https://klasma.github.io/Logging_0580/kartor/A 25985-2025 karta.png", "A 25985-2025")</f>
        <v/>
      </c>
      <c r="V40">
        <f>HYPERLINK("https://klasma.github.io/Logging_0580/klagomål/A 25985-2025 FSC-klagomål.docx", "A 25985-2025")</f>
        <v/>
      </c>
      <c r="W40">
        <f>HYPERLINK("https://klasma.github.io/Logging_0580/klagomålsmail/A 25985-2025 FSC-klagomål mail.docx", "A 25985-2025")</f>
        <v/>
      </c>
      <c r="X40">
        <f>HYPERLINK("https://klasma.github.io/Logging_0580/tillsyn/A 25985-2025 tillsynsbegäran.docx", "A 25985-2025")</f>
        <v/>
      </c>
      <c r="Y40">
        <f>HYPERLINK("https://klasma.github.io/Logging_0580/tillsynsmail/A 25985-2025 tillsynsbegäran mail.docx", "A 25985-2025")</f>
        <v/>
      </c>
      <c r="Z40">
        <f>HYPERLINK("https://klasma.github.io/Logging_0580/fåglar/A 25985-2025 prioriterade fågelarter.docx", "A 25985-2025")</f>
        <v/>
      </c>
    </row>
    <row r="41" ht="15" customHeight="1">
      <c r="A41" t="inlineStr">
        <is>
          <t>A 50048-2025</t>
        </is>
      </c>
      <c r="B41" s="1" t="n">
        <v>45941</v>
      </c>
      <c r="C41" s="1" t="n">
        <v>45994</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38129-2021</t>
        </is>
      </c>
      <c r="B42" s="1" t="n">
        <v>44405.37199074074</v>
      </c>
      <c r="C42" s="1" t="n">
        <v>45994</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45994</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45994</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45994</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71127-2021</t>
        </is>
      </c>
      <c r="B46" s="1" t="n">
        <v>44537</v>
      </c>
      <c r="C46" s="1" t="n">
        <v>45994</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46496-2022</t>
        </is>
      </c>
      <c r="B47" s="1" t="n">
        <v>44848</v>
      </c>
      <c r="C47" s="1" t="n">
        <v>45994</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56250-2021</t>
        </is>
      </c>
      <c r="B48" s="1" t="n">
        <v>44479</v>
      </c>
      <c r="C48" s="1" t="n">
        <v>45994</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17444-2025</t>
        </is>
      </c>
      <c r="B49" s="1" t="n">
        <v>45757.43452546297</v>
      </c>
      <c r="C49" s="1" t="n">
        <v>45994</v>
      </c>
      <c r="D49" t="inlineStr">
        <is>
          <t>ÖSTERGÖTLANDS LÄN</t>
        </is>
      </c>
      <c r="E49" t="inlineStr">
        <is>
          <t>LINKÖPING</t>
        </is>
      </c>
      <c r="G49" t="n">
        <v>1.3</v>
      </c>
      <c r="H49" t="n">
        <v>1</v>
      </c>
      <c r="I49" t="n">
        <v>0</v>
      </c>
      <c r="J49" t="n">
        <v>1</v>
      </c>
      <c r="K49" t="n">
        <v>0</v>
      </c>
      <c r="L49" t="n">
        <v>0</v>
      </c>
      <c r="M49" t="n">
        <v>0</v>
      </c>
      <c r="N49" t="n">
        <v>0</v>
      </c>
      <c r="O49" t="n">
        <v>1</v>
      </c>
      <c r="P49" t="n">
        <v>0</v>
      </c>
      <c r="Q49" t="n">
        <v>1</v>
      </c>
      <c r="R49" s="2" t="inlineStr">
        <is>
          <t>Dårgräsfjäril</t>
        </is>
      </c>
      <c r="S49">
        <f>HYPERLINK("https://klasma.github.io/Logging_0580/artfynd/A 17444-2025 artfynd.xlsx", "A 17444-2025")</f>
        <v/>
      </c>
      <c r="T49">
        <f>HYPERLINK("https://klasma.github.io/Logging_0580/kartor/A 17444-2025 karta.png", "A 17444-2025")</f>
        <v/>
      </c>
      <c r="V49">
        <f>HYPERLINK("https://klasma.github.io/Logging_0580/klagomål/A 17444-2025 FSC-klagomål.docx", "A 17444-2025")</f>
        <v/>
      </c>
      <c r="W49">
        <f>HYPERLINK("https://klasma.github.io/Logging_0580/klagomålsmail/A 17444-2025 FSC-klagomål mail.docx", "A 17444-2025")</f>
        <v/>
      </c>
      <c r="X49">
        <f>HYPERLINK("https://klasma.github.io/Logging_0580/tillsyn/A 17444-2025 tillsynsbegäran.docx", "A 17444-2025")</f>
        <v/>
      </c>
      <c r="Y49">
        <f>HYPERLINK("https://klasma.github.io/Logging_0580/tillsynsmail/A 17444-2025 tillsynsbegäran mail.docx", "A 17444-2025")</f>
        <v/>
      </c>
    </row>
    <row r="50" ht="15" customHeight="1">
      <c r="A50" t="inlineStr">
        <is>
          <t>A 5911-2022</t>
        </is>
      </c>
      <c r="B50" s="1" t="n">
        <v>44597</v>
      </c>
      <c r="C50" s="1" t="n">
        <v>45994</v>
      </c>
      <c r="D50" t="inlineStr">
        <is>
          <t>ÖSTERGÖTLANDS LÄN</t>
        </is>
      </c>
      <c r="E50" t="inlineStr">
        <is>
          <t>LINKÖPING</t>
        </is>
      </c>
      <c r="G50" t="n">
        <v>3.5</v>
      </c>
      <c r="H50" t="n">
        <v>0</v>
      </c>
      <c r="I50" t="n">
        <v>0</v>
      </c>
      <c r="J50" t="n">
        <v>1</v>
      </c>
      <c r="K50" t="n">
        <v>0</v>
      </c>
      <c r="L50" t="n">
        <v>0</v>
      </c>
      <c r="M50" t="n">
        <v>0</v>
      </c>
      <c r="N50" t="n">
        <v>0</v>
      </c>
      <c r="O50" t="n">
        <v>1</v>
      </c>
      <c r="P50" t="n">
        <v>0</v>
      </c>
      <c r="Q50" t="n">
        <v>1</v>
      </c>
      <c r="R50" s="2" t="inlineStr">
        <is>
          <t>Spindelört</t>
        </is>
      </c>
      <c r="S50">
        <f>HYPERLINK("https://klasma.github.io/Logging_0580/artfynd/A 5911-2022 artfynd.xlsx", "A 5911-2022")</f>
        <v/>
      </c>
      <c r="T50">
        <f>HYPERLINK("https://klasma.github.io/Logging_0580/kartor/A 5911-2022 karta.png", "A 5911-2022")</f>
        <v/>
      </c>
      <c r="V50">
        <f>HYPERLINK("https://klasma.github.io/Logging_0580/klagomål/A 5911-2022 FSC-klagomål.docx", "A 5911-2022")</f>
        <v/>
      </c>
      <c r="W50">
        <f>HYPERLINK("https://klasma.github.io/Logging_0580/klagomålsmail/A 5911-2022 FSC-klagomål mail.docx", "A 5911-2022")</f>
        <v/>
      </c>
      <c r="X50">
        <f>HYPERLINK("https://klasma.github.io/Logging_0580/tillsyn/A 5911-2022 tillsynsbegäran.docx", "A 5911-2022")</f>
        <v/>
      </c>
      <c r="Y50">
        <f>HYPERLINK("https://klasma.github.io/Logging_0580/tillsynsmail/A 5911-2022 tillsynsbegäran mail.docx", "A 5911-2022")</f>
        <v/>
      </c>
    </row>
    <row r="51" ht="15" customHeight="1">
      <c r="A51" t="inlineStr">
        <is>
          <t>A 931-2025</t>
        </is>
      </c>
      <c r="B51" s="1" t="n">
        <v>45665.88498842593</v>
      </c>
      <c r="C51" s="1" t="n">
        <v>45994</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45994</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45994</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45994</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60573-2021</t>
        </is>
      </c>
      <c r="B55" s="1" t="n">
        <v>44496</v>
      </c>
      <c r="C55" s="1" t="n">
        <v>45994</v>
      </c>
      <c r="D55" t="inlineStr">
        <is>
          <t>ÖSTERGÖTLANDS LÄN</t>
        </is>
      </c>
      <c r="E55" t="inlineStr">
        <is>
          <t>LINKÖPING</t>
        </is>
      </c>
      <c r="F55" t="inlineStr">
        <is>
          <t>Övriga Aktiebolag</t>
        </is>
      </c>
      <c r="G55" t="n">
        <v>5.6</v>
      </c>
      <c r="H55" t="n">
        <v>0</v>
      </c>
      <c r="I55" t="n">
        <v>0</v>
      </c>
      <c r="J55" t="n">
        <v>1</v>
      </c>
      <c r="K55" t="n">
        <v>0</v>
      </c>
      <c r="L55" t="n">
        <v>0</v>
      </c>
      <c r="M55" t="n">
        <v>0</v>
      </c>
      <c r="N55" t="n">
        <v>0</v>
      </c>
      <c r="O55" t="n">
        <v>1</v>
      </c>
      <c r="P55" t="n">
        <v>0</v>
      </c>
      <c r="Q55" t="n">
        <v>1</v>
      </c>
      <c r="R55" s="2" t="inlineStr">
        <is>
          <t>Sommarfibbla</t>
        </is>
      </c>
      <c r="S55">
        <f>HYPERLINK("https://klasma.github.io/Logging_0580/artfynd/A 60573-2021 artfynd.xlsx", "A 60573-2021")</f>
        <v/>
      </c>
      <c r="T55">
        <f>HYPERLINK("https://klasma.github.io/Logging_0580/kartor/A 60573-2021 karta.png", "A 60573-2021")</f>
        <v/>
      </c>
      <c r="V55">
        <f>HYPERLINK("https://klasma.github.io/Logging_0580/klagomål/A 60573-2021 FSC-klagomål.docx", "A 60573-2021")</f>
        <v/>
      </c>
      <c r="W55">
        <f>HYPERLINK("https://klasma.github.io/Logging_0580/klagomålsmail/A 60573-2021 FSC-klagomål mail.docx", "A 60573-2021")</f>
        <v/>
      </c>
      <c r="X55">
        <f>HYPERLINK("https://klasma.github.io/Logging_0580/tillsyn/A 60573-2021 tillsynsbegäran.docx", "A 60573-2021")</f>
        <v/>
      </c>
      <c r="Y55">
        <f>HYPERLINK("https://klasma.github.io/Logging_0580/tillsynsmail/A 60573-2021 tillsynsbegäran mail.docx", "A 60573-2021")</f>
        <v/>
      </c>
    </row>
    <row r="56" ht="15" customHeight="1">
      <c r="A56" t="inlineStr">
        <is>
          <t>A 90-2024</t>
        </is>
      </c>
      <c r="B56" s="1" t="n">
        <v>45293</v>
      </c>
      <c r="C56" s="1" t="n">
        <v>45994</v>
      </c>
      <c r="D56" t="inlineStr">
        <is>
          <t>ÖSTERGÖTLANDS LÄN</t>
        </is>
      </c>
      <c r="E56" t="inlineStr">
        <is>
          <t>LINKÖPING</t>
        </is>
      </c>
      <c r="G56" t="n">
        <v>1.8</v>
      </c>
      <c r="H56" t="n">
        <v>0</v>
      </c>
      <c r="I56" t="n">
        <v>1</v>
      </c>
      <c r="J56" t="n">
        <v>0</v>
      </c>
      <c r="K56" t="n">
        <v>0</v>
      </c>
      <c r="L56" t="n">
        <v>0</v>
      </c>
      <c r="M56" t="n">
        <v>0</v>
      </c>
      <c r="N56" t="n">
        <v>0</v>
      </c>
      <c r="O56" t="n">
        <v>0</v>
      </c>
      <c r="P56" t="n">
        <v>0</v>
      </c>
      <c r="Q56" t="n">
        <v>1</v>
      </c>
      <c r="R56" s="2" t="inlineStr">
        <is>
          <t>Grov fjädermossa</t>
        </is>
      </c>
      <c r="S56">
        <f>HYPERLINK("https://klasma.github.io/Logging_0580/artfynd/A 90-2024 artfynd.xlsx", "A 90-2024")</f>
        <v/>
      </c>
      <c r="T56">
        <f>HYPERLINK("https://klasma.github.io/Logging_0580/kartor/A 90-2024 karta.png", "A 90-2024")</f>
        <v/>
      </c>
      <c r="V56">
        <f>HYPERLINK("https://klasma.github.io/Logging_0580/klagomål/A 90-2024 FSC-klagomål.docx", "A 90-2024")</f>
        <v/>
      </c>
      <c r="W56">
        <f>HYPERLINK("https://klasma.github.io/Logging_0580/klagomålsmail/A 90-2024 FSC-klagomål mail.docx", "A 90-2024")</f>
        <v/>
      </c>
      <c r="X56">
        <f>HYPERLINK("https://klasma.github.io/Logging_0580/tillsyn/A 90-2024 tillsynsbegäran.docx", "A 90-2024")</f>
        <v/>
      </c>
      <c r="Y56">
        <f>HYPERLINK("https://klasma.github.io/Logging_0580/tillsynsmail/A 90-2024 tillsynsbegäran mail.docx", "A 90-2024")</f>
        <v/>
      </c>
    </row>
    <row r="57" ht="15" customHeight="1">
      <c r="A57" t="inlineStr">
        <is>
          <t>A 40315-2024</t>
        </is>
      </c>
      <c r="B57" s="1" t="n">
        <v>45554.7571875</v>
      </c>
      <c r="C57" s="1" t="n">
        <v>45994</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59948-2022</t>
        </is>
      </c>
      <c r="B58" s="1" t="n">
        <v>44909</v>
      </c>
      <c r="C58" s="1" t="n">
        <v>45994</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15290-2025</t>
        </is>
      </c>
      <c r="B59" s="1" t="n">
        <v>45745.45288194445</v>
      </c>
      <c r="C59" s="1" t="n">
        <v>45994</v>
      </c>
      <c r="D59" t="inlineStr">
        <is>
          <t>ÖSTERGÖTLANDS LÄN</t>
        </is>
      </c>
      <c r="E59" t="inlineStr">
        <is>
          <t>LINKÖPING</t>
        </is>
      </c>
      <c r="G59" t="n">
        <v>18.4</v>
      </c>
      <c r="H59" t="n">
        <v>1</v>
      </c>
      <c r="I59" t="n">
        <v>0</v>
      </c>
      <c r="J59" t="n">
        <v>1</v>
      </c>
      <c r="K59" t="n">
        <v>0</v>
      </c>
      <c r="L59" t="n">
        <v>0</v>
      </c>
      <c r="M59" t="n">
        <v>0</v>
      </c>
      <c r="N59" t="n">
        <v>0</v>
      </c>
      <c r="O59" t="n">
        <v>1</v>
      </c>
      <c r="P59" t="n">
        <v>0</v>
      </c>
      <c r="Q59" t="n">
        <v>1</v>
      </c>
      <c r="R59" s="2" t="inlineStr">
        <is>
          <t>Havsörn</t>
        </is>
      </c>
      <c r="S59">
        <f>HYPERLINK("https://klasma.github.io/Logging_0580/artfynd/A 15290-2025 artfynd.xlsx", "A 15290-2025")</f>
        <v/>
      </c>
      <c r="T59">
        <f>HYPERLINK("https://klasma.github.io/Logging_0580/kartor/A 15290-2025 karta.png", "A 15290-2025")</f>
        <v/>
      </c>
      <c r="V59">
        <f>HYPERLINK("https://klasma.github.io/Logging_0580/klagomål/A 15290-2025 FSC-klagomål.docx", "A 15290-2025")</f>
        <v/>
      </c>
      <c r="W59">
        <f>HYPERLINK("https://klasma.github.io/Logging_0580/klagomålsmail/A 15290-2025 FSC-klagomål mail.docx", "A 15290-2025")</f>
        <v/>
      </c>
      <c r="X59">
        <f>HYPERLINK("https://klasma.github.io/Logging_0580/tillsyn/A 15290-2025 tillsynsbegäran.docx", "A 15290-2025")</f>
        <v/>
      </c>
      <c r="Y59">
        <f>HYPERLINK("https://klasma.github.io/Logging_0580/tillsynsmail/A 15290-2025 tillsynsbegäran mail.docx", "A 15290-2025")</f>
        <v/>
      </c>
      <c r="Z59">
        <f>HYPERLINK("https://klasma.github.io/Logging_0580/fåglar/A 15290-2025 prioriterade fågelarter.docx", "A 15290-2025")</f>
        <v/>
      </c>
    </row>
    <row r="60" ht="15" customHeight="1">
      <c r="A60" t="inlineStr">
        <is>
          <t>A 34881-2023</t>
        </is>
      </c>
      <c r="B60" s="1" t="n">
        <v>45140</v>
      </c>
      <c r="C60" s="1" t="n">
        <v>45994</v>
      </c>
      <c r="D60" t="inlineStr">
        <is>
          <t>ÖSTERGÖTLANDS LÄN</t>
        </is>
      </c>
      <c r="E60" t="inlineStr">
        <is>
          <t>LINKÖPING</t>
        </is>
      </c>
      <c r="G60" t="n">
        <v>1.9</v>
      </c>
      <c r="H60" t="n">
        <v>0</v>
      </c>
      <c r="I60" t="n">
        <v>0</v>
      </c>
      <c r="J60" t="n">
        <v>1</v>
      </c>
      <c r="K60" t="n">
        <v>0</v>
      </c>
      <c r="L60" t="n">
        <v>0</v>
      </c>
      <c r="M60" t="n">
        <v>0</v>
      </c>
      <c r="N60" t="n">
        <v>0</v>
      </c>
      <c r="O60" t="n">
        <v>1</v>
      </c>
      <c r="P60" t="n">
        <v>0</v>
      </c>
      <c r="Q60" t="n">
        <v>1</v>
      </c>
      <c r="R60" s="2" t="inlineStr">
        <is>
          <t>Tallticka</t>
        </is>
      </c>
      <c r="S60">
        <f>HYPERLINK("https://klasma.github.io/Logging_0580/artfynd/A 34881-2023 artfynd.xlsx", "A 34881-2023")</f>
        <v/>
      </c>
      <c r="T60">
        <f>HYPERLINK("https://klasma.github.io/Logging_0580/kartor/A 34881-2023 karta.png", "A 34881-2023")</f>
        <v/>
      </c>
      <c r="U60">
        <f>HYPERLINK("https://klasma.github.io/Logging_0580/knärot/A 34881-2023 karta knärot.png", "A 34881-2023")</f>
        <v/>
      </c>
      <c r="V60">
        <f>HYPERLINK("https://klasma.github.io/Logging_0580/klagomål/A 34881-2023 FSC-klagomål.docx", "A 34881-2023")</f>
        <v/>
      </c>
      <c r="W60">
        <f>HYPERLINK("https://klasma.github.io/Logging_0580/klagomålsmail/A 34881-2023 FSC-klagomål mail.docx", "A 34881-2023")</f>
        <v/>
      </c>
      <c r="X60">
        <f>HYPERLINK("https://klasma.github.io/Logging_0580/tillsyn/A 34881-2023 tillsynsbegäran.docx", "A 34881-2023")</f>
        <v/>
      </c>
      <c r="Y60">
        <f>HYPERLINK("https://klasma.github.io/Logging_0580/tillsynsmail/A 34881-2023 tillsynsbegäran mail.docx", "A 34881-2023")</f>
        <v/>
      </c>
    </row>
    <row r="61" ht="15" customHeight="1">
      <c r="A61" t="inlineStr">
        <is>
          <t>A 50471-2024</t>
        </is>
      </c>
      <c r="B61" s="1" t="n">
        <v>45601.47166666666</v>
      </c>
      <c r="C61" s="1" t="n">
        <v>45994</v>
      </c>
      <c r="D61" t="inlineStr">
        <is>
          <t>ÖSTERGÖTLANDS LÄN</t>
        </is>
      </c>
      <c r="E61" t="inlineStr">
        <is>
          <t>LINKÖPING</t>
        </is>
      </c>
      <c r="F61" t="inlineStr">
        <is>
          <t>Övriga Aktiebolag</t>
        </is>
      </c>
      <c r="G61" t="n">
        <v>2</v>
      </c>
      <c r="H61" t="n">
        <v>0</v>
      </c>
      <c r="I61" t="n">
        <v>1</v>
      </c>
      <c r="J61" t="n">
        <v>0</v>
      </c>
      <c r="K61" t="n">
        <v>0</v>
      </c>
      <c r="L61" t="n">
        <v>0</v>
      </c>
      <c r="M61" t="n">
        <v>0</v>
      </c>
      <c r="N61" t="n">
        <v>0</v>
      </c>
      <c r="O61" t="n">
        <v>0</v>
      </c>
      <c r="P61" t="n">
        <v>0</v>
      </c>
      <c r="Q61" t="n">
        <v>1</v>
      </c>
      <c r="R61" s="2" t="inlineStr">
        <is>
          <t>Västlig hakmossa</t>
        </is>
      </c>
      <c r="S61">
        <f>HYPERLINK("https://klasma.github.io/Logging_0580/artfynd/A 50471-2024 artfynd.xlsx", "A 50471-2024")</f>
        <v/>
      </c>
      <c r="T61">
        <f>HYPERLINK("https://klasma.github.io/Logging_0580/kartor/A 50471-2024 karta.png", "A 50471-2024")</f>
        <v/>
      </c>
      <c r="V61">
        <f>HYPERLINK("https://klasma.github.io/Logging_0580/klagomål/A 50471-2024 FSC-klagomål.docx", "A 50471-2024")</f>
        <v/>
      </c>
      <c r="W61">
        <f>HYPERLINK("https://klasma.github.io/Logging_0580/klagomålsmail/A 50471-2024 FSC-klagomål mail.docx", "A 50471-2024")</f>
        <v/>
      </c>
      <c r="X61">
        <f>HYPERLINK("https://klasma.github.io/Logging_0580/tillsyn/A 50471-2024 tillsynsbegäran.docx", "A 50471-2024")</f>
        <v/>
      </c>
      <c r="Y61">
        <f>HYPERLINK("https://klasma.github.io/Logging_0580/tillsynsmail/A 50471-2024 tillsynsbegäran mail.docx", "A 50471-2024")</f>
        <v/>
      </c>
    </row>
    <row r="62" ht="15" customHeight="1">
      <c r="A62" t="inlineStr">
        <is>
          <t>A 17389-2021</t>
        </is>
      </c>
      <c r="B62" s="1" t="n">
        <v>44298.96792824074</v>
      </c>
      <c r="C62" s="1" t="n">
        <v>45994</v>
      </c>
      <c r="D62" t="inlineStr">
        <is>
          <t>ÖSTERGÖTLANDS LÄN</t>
        </is>
      </c>
      <c r="E62" t="inlineStr">
        <is>
          <t>LINKÖPING</t>
        </is>
      </c>
      <c r="G62" t="n">
        <v>5.1</v>
      </c>
      <c r="H62" t="n">
        <v>0</v>
      </c>
      <c r="I62" t="n">
        <v>1</v>
      </c>
      <c r="J62" t="n">
        <v>0</v>
      </c>
      <c r="K62" t="n">
        <v>0</v>
      </c>
      <c r="L62" t="n">
        <v>0</v>
      </c>
      <c r="M62" t="n">
        <v>0</v>
      </c>
      <c r="N62" t="n">
        <v>0</v>
      </c>
      <c r="O62" t="n">
        <v>0</v>
      </c>
      <c r="P62" t="n">
        <v>0</v>
      </c>
      <c r="Q62" t="n">
        <v>1</v>
      </c>
      <c r="R62" s="2" t="inlineStr">
        <is>
          <t>Blomkålssvamp</t>
        </is>
      </c>
      <c r="S62">
        <f>HYPERLINK("https://klasma.github.io/Logging_0580/artfynd/A 17389-2021 artfynd.xlsx", "A 17389-2021")</f>
        <v/>
      </c>
      <c r="T62">
        <f>HYPERLINK("https://klasma.github.io/Logging_0580/kartor/A 17389-2021 karta.png", "A 17389-2021")</f>
        <v/>
      </c>
      <c r="V62">
        <f>HYPERLINK("https://klasma.github.io/Logging_0580/klagomål/A 17389-2021 FSC-klagomål.docx", "A 17389-2021")</f>
        <v/>
      </c>
      <c r="W62">
        <f>HYPERLINK("https://klasma.github.io/Logging_0580/klagomålsmail/A 17389-2021 FSC-klagomål mail.docx", "A 17389-2021")</f>
        <v/>
      </c>
      <c r="X62">
        <f>HYPERLINK("https://klasma.github.io/Logging_0580/tillsyn/A 17389-2021 tillsynsbegäran.docx", "A 17389-2021")</f>
        <v/>
      </c>
      <c r="Y62">
        <f>HYPERLINK("https://klasma.github.io/Logging_0580/tillsynsmail/A 17389-2021 tillsynsbegäran mail.docx", "A 17389-2021")</f>
        <v/>
      </c>
    </row>
    <row r="63" ht="15" customHeight="1">
      <c r="A63" t="inlineStr">
        <is>
          <t>A 3395-2023</t>
        </is>
      </c>
      <c r="B63" s="1" t="n">
        <v>44949</v>
      </c>
      <c r="C63" s="1" t="n">
        <v>45994</v>
      </c>
      <c r="D63" t="inlineStr">
        <is>
          <t>ÖSTERGÖTLANDS LÄN</t>
        </is>
      </c>
      <c r="E63" t="inlineStr">
        <is>
          <t>LINKÖPING</t>
        </is>
      </c>
      <c r="G63" t="n">
        <v>2</v>
      </c>
      <c r="H63" t="n">
        <v>0</v>
      </c>
      <c r="I63" t="n">
        <v>0</v>
      </c>
      <c r="J63" t="n">
        <v>1</v>
      </c>
      <c r="K63" t="n">
        <v>0</v>
      </c>
      <c r="L63" t="n">
        <v>0</v>
      </c>
      <c r="M63" t="n">
        <v>0</v>
      </c>
      <c r="N63" t="n">
        <v>0</v>
      </c>
      <c r="O63" t="n">
        <v>1</v>
      </c>
      <c r="P63" t="n">
        <v>0</v>
      </c>
      <c r="Q63" t="n">
        <v>1</v>
      </c>
      <c r="R63" s="2" t="inlineStr">
        <is>
          <t>Sommarfibbla</t>
        </is>
      </c>
      <c r="S63">
        <f>HYPERLINK("https://klasma.github.io/Logging_0580/artfynd/A 3395-2023 artfynd.xlsx", "A 3395-2023")</f>
        <v/>
      </c>
      <c r="T63">
        <f>HYPERLINK("https://klasma.github.io/Logging_0580/kartor/A 3395-2023 karta.png", "A 3395-2023")</f>
        <v/>
      </c>
      <c r="V63">
        <f>HYPERLINK("https://klasma.github.io/Logging_0580/klagomål/A 3395-2023 FSC-klagomål.docx", "A 3395-2023")</f>
        <v/>
      </c>
      <c r="W63">
        <f>HYPERLINK("https://klasma.github.io/Logging_0580/klagomålsmail/A 3395-2023 FSC-klagomål mail.docx", "A 3395-2023")</f>
        <v/>
      </c>
      <c r="X63">
        <f>HYPERLINK("https://klasma.github.io/Logging_0580/tillsyn/A 3395-2023 tillsynsbegäran.docx", "A 3395-2023")</f>
        <v/>
      </c>
      <c r="Y63">
        <f>HYPERLINK("https://klasma.github.io/Logging_0580/tillsynsmail/A 3395-2023 tillsynsbegäran mail.docx", "A 3395-2023")</f>
        <v/>
      </c>
    </row>
    <row r="64" ht="15" customHeight="1">
      <c r="A64" t="inlineStr">
        <is>
          <t>A 19103-2021</t>
        </is>
      </c>
      <c r="B64" s="1" t="n">
        <v>44308</v>
      </c>
      <c r="C64" s="1" t="n">
        <v>45994</v>
      </c>
      <c r="D64" t="inlineStr">
        <is>
          <t>ÖSTERGÖTLANDS LÄN</t>
        </is>
      </c>
      <c r="E64" t="inlineStr">
        <is>
          <t>LINKÖPING</t>
        </is>
      </c>
      <c r="G64" t="n">
        <v>4.7</v>
      </c>
      <c r="H64" t="n">
        <v>0</v>
      </c>
      <c r="I64" t="n">
        <v>0</v>
      </c>
      <c r="J64" t="n">
        <v>1</v>
      </c>
      <c r="K64" t="n">
        <v>0</v>
      </c>
      <c r="L64" t="n">
        <v>0</v>
      </c>
      <c r="M64" t="n">
        <v>0</v>
      </c>
      <c r="N64" t="n">
        <v>0</v>
      </c>
      <c r="O64" t="n">
        <v>1</v>
      </c>
      <c r="P64" t="n">
        <v>0</v>
      </c>
      <c r="Q64" t="n">
        <v>1</v>
      </c>
      <c r="R64" s="2" t="inlineStr">
        <is>
          <t>Tallticka</t>
        </is>
      </c>
      <c r="S64">
        <f>HYPERLINK("https://klasma.github.io/Logging_0580/artfynd/A 19103-2021 artfynd.xlsx", "A 19103-2021")</f>
        <v/>
      </c>
      <c r="T64">
        <f>HYPERLINK("https://klasma.github.io/Logging_0580/kartor/A 19103-2021 karta.png", "A 19103-2021")</f>
        <v/>
      </c>
      <c r="V64">
        <f>HYPERLINK("https://klasma.github.io/Logging_0580/klagomål/A 19103-2021 FSC-klagomål.docx", "A 19103-2021")</f>
        <v/>
      </c>
      <c r="W64">
        <f>HYPERLINK("https://klasma.github.io/Logging_0580/klagomålsmail/A 19103-2021 FSC-klagomål mail.docx", "A 19103-2021")</f>
        <v/>
      </c>
      <c r="X64">
        <f>HYPERLINK("https://klasma.github.io/Logging_0580/tillsyn/A 19103-2021 tillsynsbegäran.docx", "A 19103-2021")</f>
        <v/>
      </c>
      <c r="Y64">
        <f>HYPERLINK("https://klasma.github.io/Logging_0580/tillsynsmail/A 19103-2021 tillsynsbegäran mail.docx", "A 19103-2021")</f>
        <v/>
      </c>
    </row>
    <row r="65" ht="15" customHeight="1">
      <c r="A65" t="inlineStr">
        <is>
          <t>A 56128-2022</t>
        </is>
      </c>
      <c r="B65" s="1" t="n">
        <v>44889</v>
      </c>
      <c r="C65" s="1" t="n">
        <v>45994</v>
      </c>
      <c r="D65" t="inlineStr">
        <is>
          <t>ÖSTERGÖTLANDS LÄN</t>
        </is>
      </c>
      <c r="E65" t="inlineStr">
        <is>
          <t>LINKÖPING</t>
        </is>
      </c>
      <c r="G65" t="n">
        <v>2</v>
      </c>
      <c r="H65" t="n">
        <v>0</v>
      </c>
      <c r="I65" t="n">
        <v>1</v>
      </c>
      <c r="J65" t="n">
        <v>0</v>
      </c>
      <c r="K65" t="n">
        <v>0</v>
      </c>
      <c r="L65" t="n">
        <v>0</v>
      </c>
      <c r="M65" t="n">
        <v>0</v>
      </c>
      <c r="N65" t="n">
        <v>0</v>
      </c>
      <c r="O65" t="n">
        <v>0</v>
      </c>
      <c r="P65" t="n">
        <v>0</v>
      </c>
      <c r="Q65" t="n">
        <v>1</v>
      </c>
      <c r="R65" s="2" t="inlineStr">
        <is>
          <t>Tibast</t>
        </is>
      </c>
      <c r="S65">
        <f>HYPERLINK("https://klasma.github.io/Logging_0580/artfynd/A 56128-2022 artfynd.xlsx", "A 56128-2022")</f>
        <v/>
      </c>
      <c r="T65">
        <f>HYPERLINK("https://klasma.github.io/Logging_0580/kartor/A 56128-2022 karta.png", "A 56128-2022")</f>
        <v/>
      </c>
      <c r="V65">
        <f>HYPERLINK("https://klasma.github.io/Logging_0580/klagomål/A 56128-2022 FSC-klagomål.docx", "A 56128-2022")</f>
        <v/>
      </c>
      <c r="W65">
        <f>HYPERLINK("https://klasma.github.io/Logging_0580/klagomålsmail/A 56128-2022 FSC-klagomål mail.docx", "A 56128-2022")</f>
        <v/>
      </c>
      <c r="X65">
        <f>HYPERLINK("https://klasma.github.io/Logging_0580/tillsyn/A 56128-2022 tillsynsbegäran.docx", "A 56128-2022")</f>
        <v/>
      </c>
      <c r="Y65">
        <f>HYPERLINK("https://klasma.github.io/Logging_0580/tillsynsmail/A 56128-2022 tillsynsbegäran mail.docx", "A 56128-2022")</f>
        <v/>
      </c>
    </row>
    <row r="66" ht="15" customHeight="1">
      <c r="A66" t="inlineStr">
        <is>
          <t>A 40309-2024</t>
        </is>
      </c>
      <c r="B66" s="1" t="n">
        <v>45554.724375</v>
      </c>
      <c r="C66" s="1" t="n">
        <v>45994</v>
      </c>
      <c r="D66" t="inlineStr">
        <is>
          <t>ÖSTERGÖTLANDS LÄN</t>
        </is>
      </c>
      <c r="E66" t="inlineStr">
        <is>
          <t>LINKÖPING</t>
        </is>
      </c>
      <c r="F66" t="inlineStr">
        <is>
          <t>Allmännings- och besparingsskogar</t>
        </is>
      </c>
      <c r="G66" t="n">
        <v>6</v>
      </c>
      <c r="H66" t="n">
        <v>0</v>
      </c>
      <c r="I66" t="n">
        <v>0</v>
      </c>
      <c r="J66" t="n">
        <v>1</v>
      </c>
      <c r="K66" t="n">
        <v>0</v>
      </c>
      <c r="L66" t="n">
        <v>0</v>
      </c>
      <c r="M66" t="n">
        <v>0</v>
      </c>
      <c r="N66" t="n">
        <v>0</v>
      </c>
      <c r="O66" t="n">
        <v>1</v>
      </c>
      <c r="P66" t="n">
        <v>0</v>
      </c>
      <c r="Q66" t="n">
        <v>1</v>
      </c>
      <c r="R66" s="2" t="inlineStr">
        <is>
          <t>Garnlav</t>
        </is>
      </c>
      <c r="S66">
        <f>HYPERLINK("https://klasma.github.io/Logging_0580/artfynd/A 40309-2024 artfynd.xlsx", "A 40309-2024")</f>
        <v/>
      </c>
      <c r="T66">
        <f>HYPERLINK("https://klasma.github.io/Logging_0580/kartor/A 40309-2024 karta.png", "A 40309-2024")</f>
        <v/>
      </c>
      <c r="V66">
        <f>HYPERLINK("https://klasma.github.io/Logging_0580/klagomål/A 40309-2024 FSC-klagomål.docx", "A 40309-2024")</f>
        <v/>
      </c>
      <c r="W66">
        <f>HYPERLINK("https://klasma.github.io/Logging_0580/klagomålsmail/A 40309-2024 FSC-klagomål mail.docx", "A 40309-2024")</f>
        <v/>
      </c>
      <c r="X66">
        <f>HYPERLINK("https://klasma.github.io/Logging_0580/tillsyn/A 40309-2024 tillsynsbegäran.docx", "A 40309-2024")</f>
        <v/>
      </c>
      <c r="Y66">
        <f>HYPERLINK("https://klasma.github.io/Logging_0580/tillsynsmail/A 40309-2024 tillsynsbegäran mail.docx", "A 40309-2024")</f>
        <v/>
      </c>
    </row>
    <row r="67" ht="15" customHeight="1">
      <c r="A67" t="inlineStr">
        <is>
          <t>A 37683-2024</t>
        </is>
      </c>
      <c r="B67" s="1" t="n">
        <v>45541.59120370371</v>
      </c>
      <c r="C67" s="1" t="n">
        <v>45994</v>
      </c>
      <c r="D67" t="inlineStr">
        <is>
          <t>ÖSTERGÖTLANDS LÄN</t>
        </is>
      </c>
      <c r="E67" t="inlineStr">
        <is>
          <t>LINKÖPING</t>
        </is>
      </c>
      <c r="G67" t="n">
        <v>0.6</v>
      </c>
      <c r="H67" t="n">
        <v>0</v>
      </c>
      <c r="I67" t="n">
        <v>1</v>
      </c>
      <c r="J67" t="n">
        <v>0</v>
      </c>
      <c r="K67" t="n">
        <v>0</v>
      </c>
      <c r="L67" t="n">
        <v>0</v>
      </c>
      <c r="M67" t="n">
        <v>0</v>
      </c>
      <c r="N67" t="n">
        <v>0</v>
      </c>
      <c r="O67" t="n">
        <v>0</v>
      </c>
      <c r="P67" t="n">
        <v>0</v>
      </c>
      <c r="Q67" t="n">
        <v>1</v>
      </c>
      <c r="R67" s="2" t="inlineStr">
        <is>
          <t>Tibast</t>
        </is>
      </c>
      <c r="S67">
        <f>HYPERLINK("https://klasma.github.io/Logging_0580/artfynd/A 37683-2024 artfynd.xlsx", "A 37683-2024")</f>
        <v/>
      </c>
      <c r="T67">
        <f>HYPERLINK("https://klasma.github.io/Logging_0580/kartor/A 37683-2024 karta.png", "A 37683-2024")</f>
        <v/>
      </c>
      <c r="V67">
        <f>HYPERLINK("https://klasma.github.io/Logging_0580/klagomål/A 37683-2024 FSC-klagomål.docx", "A 37683-2024")</f>
        <v/>
      </c>
      <c r="W67">
        <f>HYPERLINK("https://klasma.github.io/Logging_0580/klagomålsmail/A 37683-2024 FSC-klagomål mail.docx", "A 37683-2024")</f>
        <v/>
      </c>
      <c r="X67">
        <f>HYPERLINK("https://klasma.github.io/Logging_0580/tillsyn/A 37683-2024 tillsynsbegäran.docx", "A 37683-2024")</f>
        <v/>
      </c>
      <c r="Y67">
        <f>HYPERLINK("https://klasma.github.io/Logging_0580/tillsynsmail/A 37683-2024 tillsynsbegäran mail.docx", "A 37683-2024")</f>
        <v/>
      </c>
    </row>
    <row r="68" ht="15" customHeight="1">
      <c r="A68" t="inlineStr">
        <is>
          <t>A 41749-2023</t>
        </is>
      </c>
      <c r="B68" s="1" t="n">
        <v>45176</v>
      </c>
      <c r="C68" s="1" t="n">
        <v>45994</v>
      </c>
      <c r="D68" t="inlineStr">
        <is>
          <t>ÖSTERGÖTLANDS LÄN</t>
        </is>
      </c>
      <c r="E68" t="inlineStr">
        <is>
          <t>LINKÖPING</t>
        </is>
      </c>
      <c r="G68" t="n">
        <v>3.6</v>
      </c>
      <c r="H68" t="n">
        <v>0</v>
      </c>
      <c r="I68" t="n">
        <v>0</v>
      </c>
      <c r="J68" t="n">
        <v>1</v>
      </c>
      <c r="K68" t="n">
        <v>0</v>
      </c>
      <c r="L68" t="n">
        <v>0</v>
      </c>
      <c r="M68" t="n">
        <v>0</v>
      </c>
      <c r="N68" t="n">
        <v>0</v>
      </c>
      <c r="O68" t="n">
        <v>1</v>
      </c>
      <c r="P68" t="n">
        <v>0</v>
      </c>
      <c r="Q68" t="n">
        <v>1</v>
      </c>
      <c r="R68" s="2" t="inlineStr">
        <is>
          <t>Svinrot</t>
        </is>
      </c>
      <c r="S68">
        <f>HYPERLINK("https://klasma.github.io/Logging_0580/artfynd/A 41749-2023 artfynd.xlsx", "A 41749-2023")</f>
        <v/>
      </c>
      <c r="T68">
        <f>HYPERLINK("https://klasma.github.io/Logging_0580/kartor/A 41749-2023 karta.png", "A 41749-2023")</f>
        <v/>
      </c>
      <c r="V68">
        <f>HYPERLINK("https://klasma.github.io/Logging_0580/klagomål/A 41749-2023 FSC-klagomål.docx", "A 41749-2023")</f>
        <v/>
      </c>
      <c r="W68">
        <f>HYPERLINK("https://klasma.github.io/Logging_0580/klagomålsmail/A 41749-2023 FSC-klagomål mail.docx", "A 41749-2023")</f>
        <v/>
      </c>
      <c r="X68">
        <f>HYPERLINK("https://klasma.github.io/Logging_0580/tillsyn/A 41749-2023 tillsynsbegäran.docx", "A 41749-2023")</f>
        <v/>
      </c>
      <c r="Y68">
        <f>HYPERLINK("https://klasma.github.io/Logging_0580/tillsynsmail/A 41749-2023 tillsynsbegäran mail.docx", "A 41749-2023")</f>
        <v/>
      </c>
    </row>
    <row r="69" ht="15" customHeight="1">
      <c r="A69" t="inlineStr">
        <is>
          <t>A 50806-2023</t>
        </is>
      </c>
      <c r="B69" s="1" t="n">
        <v>45217</v>
      </c>
      <c r="C69" s="1" t="n">
        <v>45994</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54835-2023</t>
        </is>
      </c>
      <c r="B70" s="1" t="n">
        <v>45236</v>
      </c>
      <c r="C70" s="1" t="n">
        <v>45994</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39457-2023</t>
        </is>
      </c>
      <c r="B71" s="1" t="n">
        <v>45166</v>
      </c>
      <c r="C71" s="1" t="n">
        <v>45994</v>
      </c>
      <c r="D71" t="inlineStr">
        <is>
          <t>ÖSTERGÖTLANDS LÄN</t>
        </is>
      </c>
      <c r="E71" t="inlineStr">
        <is>
          <t>LINKÖPING</t>
        </is>
      </c>
      <c r="G71" t="n">
        <v>2.1</v>
      </c>
      <c r="H71" t="n">
        <v>1</v>
      </c>
      <c r="I71" t="n">
        <v>0</v>
      </c>
      <c r="J71" t="n">
        <v>0</v>
      </c>
      <c r="K71" t="n">
        <v>0</v>
      </c>
      <c r="L71" t="n">
        <v>0</v>
      </c>
      <c r="M71" t="n">
        <v>0</v>
      </c>
      <c r="N71" t="n">
        <v>0</v>
      </c>
      <c r="O71" t="n">
        <v>0</v>
      </c>
      <c r="P71" t="n">
        <v>0</v>
      </c>
      <c r="Q71" t="n">
        <v>1</v>
      </c>
      <c r="R71" s="2" t="inlineStr">
        <is>
          <t>Sparvuggla</t>
        </is>
      </c>
      <c r="S71">
        <f>HYPERLINK("https://klasma.github.io/Logging_0580/artfynd/A 39457-2023 artfynd.xlsx", "A 39457-2023")</f>
        <v/>
      </c>
      <c r="T71">
        <f>HYPERLINK("https://klasma.github.io/Logging_0580/kartor/A 39457-2023 karta.png", "A 39457-2023")</f>
        <v/>
      </c>
      <c r="V71">
        <f>HYPERLINK("https://klasma.github.io/Logging_0580/klagomål/A 39457-2023 FSC-klagomål.docx", "A 39457-2023")</f>
        <v/>
      </c>
      <c r="W71">
        <f>HYPERLINK("https://klasma.github.io/Logging_0580/klagomålsmail/A 39457-2023 FSC-klagomål mail.docx", "A 39457-2023")</f>
        <v/>
      </c>
      <c r="X71">
        <f>HYPERLINK("https://klasma.github.io/Logging_0580/tillsyn/A 39457-2023 tillsynsbegäran.docx", "A 39457-2023")</f>
        <v/>
      </c>
      <c r="Y71">
        <f>HYPERLINK("https://klasma.github.io/Logging_0580/tillsynsmail/A 39457-2023 tillsynsbegäran mail.docx", "A 39457-2023")</f>
        <v/>
      </c>
      <c r="Z71">
        <f>HYPERLINK("https://klasma.github.io/Logging_0580/fåglar/A 39457-2023 prioriterade fågelarter.docx", "A 39457-2023")</f>
        <v/>
      </c>
    </row>
    <row r="72" ht="15" customHeight="1">
      <c r="A72" t="inlineStr">
        <is>
          <t>A 56651-2023</t>
        </is>
      </c>
      <c r="B72" s="1" t="n">
        <v>45243</v>
      </c>
      <c r="C72" s="1" t="n">
        <v>45994</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35948-2023</t>
        </is>
      </c>
      <c r="B73" s="1" t="n">
        <v>45148</v>
      </c>
      <c r="C73" s="1" t="n">
        <v>45994</v>
      </c>
      <c r="D73" t="inlineStr">
        <is>
          <t>ÖSTERGÖTLANDS LÄN</t>
        </is>
      </c>
      <c r="E73" t="inlineStr">
        <is>
          <t>LINKÖPING</t>
        </is>
      </c>
      <c r="G73" t="n">
        <v>1.9</v>
      </c>
      <c r="H73" t="n">
        <v>0</v>
      </c>
      <c r="I73" t="n">
        <v>1</v>
      </c>
      <c r="J73" t="n">
        <v>0</v>
      </c>
      <c r="K73" t="n">
        <v>0</v>
      </c>
      <c r="L73" t="n">
        <v>0</v>
      </c>
      <c r="M73" t="n">
        <v>0</v>
      </c>
      <c r="N73" t="n">
        <v>0</v>
      </c>
      <c r="O73" t="n">
        <v>0</v>
      </c>
      <c r="P73" t="n">
        <v>0</v>
      </c>
      <c r="Q73" t="n">
        <v>1</v>
      </c>
      <c r="R73" s="2" t="inlineStr">
        <is>
          <t>Brun nållav</t>
        </is>
      </c>
      <c r="S73">
        <f>HYPERLINK("https://klasma.github.io/Logging_0580/artfynd/A 35948-2023 artfynd.xlsx", "A 35948-2023")</f>
        <v/>
      </c>
      <c r="T73">
        <f>HYPERLINK("https://klasma.github.io/Logging_0580/kartor/A 35948-2023 karta.png", "A 35948-2023")</f>
        <v/>
      </c>
      <c r="V73">
        <f>HYPERLINK("https://klasma.github.io/Logging_0580/klagomål/A 35948-2023 FSC-klagomål.docx", "A 35948-2023")</f>
        <v/>
      </c>
      <c r="W73">
        <f>HYPERLINK("https://klasma.github.io/Logging_0580/klagomålsmail/A 35948-2023 FSC-klagomål mail.docx", "A 35948-2023")</f>
        <v/>
      </c>
      <c r="X73">
        <f>HYPERLINK("https://klasma.github.io/Logging_0580/tillsyn/A 35948-2023 tillsynsbegäran.docx", "A 35948-2023")</f>
        <v/>
      </c>
      <c r="Y73">
        <f>HYPERLINK("https://klasma.github.io/Logging_0580/tillsynsmail/A 35948-2023 tillsynsbegäran mail.docx", "A 35948-2023")</f>
        <v/>
      </c>
    </row>
    <row r="74" ht="15" customHeight="1">
      <c r="A74" t="inlineStr">
        <is>
          <t>A 62071-2023</t>
        </is>
      </c>
      <c r="B74" s="1" t="n">
        <v>45266.73542824074</v>
      </c>
      <c r="C74" s="1" t="n">
        <v>45994</v>
      </c>
      <c r="D74" t="inlineStr">
        <is>
          <t>ÖSTERGÖTLANDS LÄN</t>
        </is>
      </c>
      <c r="E74" t="inlineStr">
        <is>
          <t>LINKÖPING</t>
        </is>
      </c>
      <c r="G74" t="n">
        <v>6.5</v>
      </c>
      <c r="H74" t="n">
        <v>0</v>
      </c>
      <c r="I74" t="n">
        <v>0</v>
      </c>
      <c r="J74" t="n">
        <v>1</v>
      </c>
      <c r="K74" t="n">
        <v>0</v>
      </c>
      <c r="L74" t="n">
        <v>0</v>
      </c>
      <c r="M74" t="n">
        <v>0</v>
      </c>
      <c r="N74" t="n">
        <v>0</v>
      </c>
      <c r="O74" t="n">
        <v>1</v>
      </c>
      <c r="P74" t="n">
        <v>0</v>
      </c>
      <c r="Q74" t="n">
        <v>1</v>
      </c>
      <c r="R74" s="2" t="inlineStr">
        <is>
          <t>Svinrot</t>
        </is>
      </c>
      <c r="S74">
        <f>HYPERLINK("https://klasma.github.io/Logging_0580/artfynd/A 62071-2023 artfynd.xlsx", "A 62071-2023")</f>
        <v/>
      </c>
      <c r="T74">
        <f>HYPERLINK("https://klasma.github.io/Logging_0580/kartor/A 62071-2023 karta.png", "A 62071-2023")</f>
        <v/>
      </c>
      <c r="V74">
        <f>HYPERLINK("https://klasma.github.io/Logging_0580/klagomål/A 62071-2023 FSC-klagomål.docx", "A 62071-2023")</f>
        <v/>
      </c>
      <c r="W74">
        <f>HYPERLINK("https://klasma.github.io/Logging_0580/klagomålsmail/A 62071-2023 FSC-klagomål mail.docx", "A 62071-2023")</f>
        <v/>
      </c>
      <c r="X74">
        <f>HYPERLINK("https://klasma.github.io/Logging_0580/tillsyn/A 62071-2023 tillsynsbegäran.docx", "A 62071-2023")</f>
        <v/>
      </c>
      <c r="Y74">
        <f>HYPERLINK("https://klasma.github.io/Logging_0580/tillsynsmail/A 62071-2023 tillsynsbegäran mail.docx", "A 62071-2023")</f>
        <v/>
      </c>
    </row>
    <row r="75" ht="15" customHeight="1">
      <c r="A75" t="inlineStr">
        <is>
          <t>A 126-2024</t>
        </is>
      </c>
      <c r="B75" s="1" t="n">
        <v>45294</v>
      </c>
      <c r="C75" s="1" t="n">
        <v>45994</v>
      </c>
      <c r="D75" t="inlineStr">
        <is>
          <t>ÖSTERGÖTLANDS LÄN</t>
        </is>
      </c>
      <c r="E75" t="inlineStr">
        <is>
          <t>LINKÖPING</t>
        </is>
      </c>
      <c r="G75" t="n">
        <v>1</v>
      </c>
      <c r="H75" t="n">
        <v>0</v>
      </c>
      <c r="I75" t="n">
        <v>1</v>
      </c>
      <c r="J75" t="n">
        <v>0</v>
      </c>
      <c r="K75" t="n">
        <v>0</v>
      </c>
      <c r="L75" t="n">
        <v>0</v>
      </c>
      <c r="M75" t="n">
        <v>0</v>
      </c>
      <c r="N75" t="n">
        <v>0</v>
      </c>
      <c r="O75" t="n">
        <v>0</v>
      </c>
      <c r="P75" t="n">
        <v>0</v>
      </c>
      <c r="Q75" t="n">
        <v>1</v>
      </c>
      <c r="R75" s="2" t="inlineStr">
        <is>
          <t>Blåmossa</t>
        </is>
      </c>
      <c r="S75">
        <f>HYPERLINK("https://klasma.github.io/Logging_0580/artfynd/A 126-2024 artfynd.xlsx", "A 126-2024")</f>
        <v/>
      </c>
      <c r="T75">
        <f>HYPERLINK("https://klasma.github.io/Logging_0580/kartor/A 126-2024 karta.png", "A 126-2024")</f>
        <v/>
      </c>
      <c r="V75">
        <f>HYPERLINK("https://klasma.github.io/Logging_0580/klagomål/A 126-2024 FSC-klagomål.docx", "A 126-2024")</f>
        <v/>
      </c>
      <c r="W75">
        <f>HYPERLINK("https://klasma.github.io/Logging_0580/klagomålsmail/A 126-2024 FSC-klagomål mail.docx", "A 126-2024")</f>
        <v/>
      </c>
      <c r="X75">
        <f>HYPERLINK("https://klasma.github.io/Logging_0580/tillsyn/A 126-2024 tillsynsbegäran.docx", "A 126-2024")</f>
        <v/>
      </c>
      <c r="Y75">
        <f>HYPERLINK("https://klasma.github.io/Logging_0580/tillsynsmail/A 126-2024 tillsynsbegäran mail.docx", "A 126-2024")</f>
        <v/>
      </c>
    </row>
    <row r="76" ht="15" customHeight="1">
      <c r="A76" t="inlineStr">
        <is>
          <t>A 3397-2023</t>
        </is>
      </c>
      <c r="B76" s="1" t="n">
        <v>44949</v>
      </c>
      <c r="C76" s="1" t="n">
        <v>45994</v>
      </c>
      <c r="D76" t="inlineStr">
        <is>
          <t>ÖSTERGÖTLANDS LÄN</t>
        </is>
      </c>
      <c r="E76" t="inlineStr">
        <is>
          <t>LINKÖPING</t>
        </is>
      </c>
      <c r="G76" t="n">
        <v>4.1</v>
      </c>
      <c r="H76" t="n">
        <v>0</v>
      </c>
      <c r="I76" t="n">
        <v>0</v>
      </c>
      <c r="J76" t="n">
        <v>1</v>
      </c>
      <c r="K76" t="n">
        <v>0</v>
      </c>
      <c r="L76" t="n">
        <v>0</v>
      </c>
      <c r="M76" t="n">
        <v>0</v>
      </c>
      <c r="N76" t="n">
        <v>0</v>
      </c>
      <c r="O76" t="n">
        <v>1</v>
      </c>
      <c r="P76" t="n">
        <v>0</v>
      </c>
      <c r="Q76" t="n">
        <v>1</v>
      </c>
      <c r="R76" s="2" t="inlineStr">
        <is>
          <t>Svinrot</t>
        </is>
      </c>
      <c r="S76">
        <f>HYPERLINK("https://klasma.github.io/Logging_0580/artfynd/A 3397-2023 artfynd.xlsx", "A 3397-2023")</f>
        <v/>
      </c>
      <c r="T76">
        <f>HYPERLINK("https://klasma.github.io/Logging_0580/kartor/A 3397-2023 karta.png", "A 3397-2023")</f>
        <v/>
      </c>
      <c r="V76">
        <f>HYPERLINK("https://klasma.github.io/Logging_0580/klagomål/A 3397-2023 FSC-klagomål.docx", "A 3397-2023")</f>
        <v/>
      </c>
      <c r="W76">
        <f>HYPERLINK("https://klasma.github.io/Logging_0580/klagomålsmail/A 3397-2023 FSC-klagomål mail.docx", "A 3397-2023")</f>
        <v/>
      </c>
      <c r="X76">
        <f>HYPERLINK("https://klasma.github.io/Logging_0580/tillsyn/A 3397-2023 tillsynsbegäran.docx", "A 3397-2023")</f>
        <v/>
      </c>
      <c r="Y76">
        <f>HYPERLINK("https://klasma.github.io/Logging_0580/tillsynsmail/A 3397-2023 tillsynsbegäran mail.docx", "A 3397-2023")</f>
        <v/>
      </c>
    </row>
    <row r="77" ht="15" customHeight="1">
      <c r="A77" t="inlineStr">
        <is>
          <t>A 22526-2025</t>
        </is>
      </c>
      <c r="B77" s="1" t="n">
        <v>45786.78096064815</v>
      </c>
      <c r="C77" s="1" t="n">
        <v>45994</v>
      </c>
      <c r="D77" t="inlineStr">
        <is>
          <t>ÖSTERGÖTLANDS LÄN</t>
        </is>
      </c>
      <c r="E77" t="inlineStr">
        <is>
          <t>LINKÖPING</t>
        </is>
      </c>
      <c r="G77" t="n">
        <v>1.8</v>
      </c>
      <c r="H77" t="n">
        <v>1</v>
      </c>
      <c r="I77" t="n">
        <v>0</v>
      </c>
      <c r="J77" t="n">
        <v>1</v>
      </c>
      <c r="K77" t="n">
        <v>0</v>
      </c>
      <c r="L77" t="n">
        <v>0</v>
      </c>
      <c r="M77" t="n">
        <v>0</v>
      </c>
      <c r="N77" t="n">
        <v>0</v>
      </c>
      <c r="O77" t="n">
        <v>1</v>
      </c>
      <c r="P77" t="n">
        <v>0</v>
      </c>
      <c r="Q77" t="n">
        <v>1</v>
      </c>
      <c r="R77" s="2" t="inlineStr">
        <is>
          <t>Röd skogslilja</t>
        </is>
      </c>
      <c r="S77">
        <f>HYPERLINK("https://klasma.github.io/Logging_0580/artfynd/A 22526-2025 artfynd.xlsx", "A 22526-2025")</f>
        <v/>
      </c>
      <c r="T77">
        <f>HYPERLINK("https://klasma.github.io/Logging_0580/kartor/A 22526-2025 karta.png", "A 22526-2025")</f>
        <v/>
      </c>
      <c r="V77">
        <f>HYPERLINK("https://klasma.github.io/Logging_0580/klagomål/A 22526-2025 FSC-klagomål.docx", "A 22526-2025")</f>
        <v/>
      </c>
      <c r="W77">
        <f>HYPERLINK("https://klasma.github.io/Logging_0580/klagomålsmail/A 22526-2025 FSC-klagomål mail.docx", "A 22526-2025")</f>
        <v/>
      </c>
      <c r="X77">
        <f>HYPERLINK("https://klasma.github.io/Logging_0580/tillsyn/A 22526-2025 tillsynsbegäran.docx", "A 22526-2025")</f>
        <v/>
      </c>
      <c r="Y77">
        <f>HYPERLINK("https://klasma.github.io/Logging_0580/tillsynsmail/A 22526-2025 tillsynsbegäran mail.docx", "A 22526-2025")</f>
        <v/>
      </c>
    </row>
    <row r="78" ht="15" customHeight="1">
      <c r="A78" t="inlineStr">
        <is>
          <t>A 20295-2025</t>
        </is>
      </c>
      <c r="B78" s="1" t="n">
        <v>45774.74846064814</v>
      </c>
      <c r="C78" s="1" t="n">
        <v>45994</v>
      </c>
      <c r="D78" t="inlineStr">
        <is>
          <t>ÖSTERGÖTLANDS LÄN</t>
        </is>
      </c>
      <c r="E78" t="inlineStr">
        <is>
          <t>LINKÖPING</t>
        </is>
      </c>
      <c r="G78" t="n">
        <v>3</v>
      </c>
      <c r="H78" t="n">
        <v>0</v>
      </c>
      <c r="I78" t="n">
        <v>0</v>
      </c>
      <c r="J78" t="n">
        <v>1</v>
      </c>
      <c r="K78" t="n">
        <v>0</v>
      </c>
      <c r="L78" t="n">
        <v>0</v>
      </c>
      <c r="M78" t="n">
        <v>0</v>
      </c>
      <c r="N78" t="n">
        <v>0</v>
      </c>
      <c r="O78" t="n">
        <v>1</v>
      </c>
      <c r="P78" t="n">
        <v>0</v>
      </c>
      <c r="Q78" t="n">
        <v>1</v>
      </c>
      <c r="R78" s="2" t="inlineStr">
        <is>
          <t>Tallticka</t>
        </is>
      </c>
      <c r="S78">
        <f>HYPERLINK("https://klasma.github.io/Logging_0580/artfynd/A 20295-2025 artfynd.xlsx", "A 20295-2025")</f>
        <v/>
      </c>
      <c r="T78">
        <f>HYPERLINK("https://klasma.github.io/Logging_0580/kartor/A 20295-2025 karta.png", "A 20295-2025")</f>
        <v/>
      </c>
      <c r="V78">
        <f>HYPERLINK("https://klasma.github.io/Logging_0580/klagomål/A 20295-2025 FSC-klagomål.docx", "A 20295-2025")</f>
        <v/>
      </c>
      <c r="W78">
        <f>HYPERLINK("https://klasma.github.io/Logging_0580/klagomålsmail/A 20295-2025 FSC-klagomål mail.docx", "A 20295-2025")</f>
        <v/>
      </c>
      <c r="X78">
        <f>HYPERLINK("https://klasma.github.io/Logging_0580/tillsyn/A 20295-2025 tillsynsbegäran.docx", "A 20295-2025")</f>
        <v/>
      </c>
      <c r="Y78">
        <f>HYPERLINK("https://klasma.github.io/Logging_0580/tillsynsmail/A 20295-2025 tillsynsbegäran mail.docx", "A 20295-2025")</f>
        <v/>
      </c>
    </row>
    <row r="79" ht="15" customHeight="1">
      <c r="A79" t="inlineStr">
        <is>
          <t>A 43989-2025</t>
        </is>
      </c>
      <c r="B79" s="1" t="n">
        <v>45915.44128472222</v>
      </c>
      <c r="C79" s="1" t="n">
        <v>45994</v>
      </c>
      <c r="D79" t="inlineStr">
        <is>
          <t>ÖSTERGÖTLANDS LÄN</t>
        </is>
      </c>
      <c r="E79" t="inlineStr">
        <is>
          <t>LINKÖPING</t>
        </is>
      </c>
      <c r="F79" t="inlineStr">
        <is>
          <t>Allmännings- och besparingsskogar</t>
        </is>
      </c>
      <c r="G79" t="n">
        <v>3.5</v>
      </c>
      <c r="H79" t="n">
        <v>0</v>
      </c>
      <c r="I79" t="n">
        <v>0</v>
      </c>
      <c r="J79" t="n">
        <v>1</v>
      </c>
      <c r="K79" t="n">
        <v>0</v>
      </c>
      <c r="L79" t="n">
        <v>0</v>
      </c>
      <c r="M79" t="n">
        <v>0</v>
      </c>
      <c r="N79" t="n">
        <v>0</v>
      </c>
      <c r="O79" t="n">
        <v>1</v>
      </c>
      <c r="P79" t="n">
        <v>0</v>
      </c>
      <c r="Q79" t="n">
        <v>1</v>
      </c>
      <c r="R79" s="2" t="inlineStr">
        <is>
          <t>Kavelhirs</t>
        </is>
      </c>
      <c r="S79">
        <f>HYPERLINK("https://klasma.github.io/Logging_0580/artfynd/A 43989-2025 artfynd.xlsx", "A 43989-2025")</f>
        <v/>
      </c>
      <c r="T79">
        <f>HYPERLINK("https://klasma.github.io/Logging_0580/kartor/A 43989-2025 karta.png", "A 43989-2025")</f>
        <v/>
      </c>
      <c r="V79">
        <f>HYPERLINK("https://klasma.github.io/Logging_0580/klagomål/A 43989-2025 FSC-klagomål.docx", "A 43989-2025")</f>
        <v/>
      </c>
      <c r="W79">
        <f>HYPERLINK("https://klasma.github.io/Logging_0580/klagomålsmail/A 43989-2025 FSC-klagomål mail.docx", "A 43989-2025")</f>
        <v/>
      </c>
      <c r="X79">
        <f>HYPERLINK("https://klasma.github.io/Logging_0580/tillsyn/A 43989-2025 tillsynsbegäran.docx", "A 43989-2025")</f>
        <v/>
      </c>
      <c r="Y79">
        <f>HYPERLINK("https://klasma.github.io/Logging_0580/tillsynsmail/A 43989-2025 tillsynsbegäran mail.docx", "A 43989-2025")</f>
        <v/>
      </c>
    </row>
    <row r="80" ht="15" customHeight="1">
      <c r="A80" t="inlineStr">
        <is>
          <t>A 27403-2025</t>
        </is>
      </c>
      <c r="B80" s="1" t="n">
        <v>45812.72518518518</v>
      </c>
      <c r="C80" s="1" t="n">
        <v>45994</v>
      </c>
      <c r="D80" t="inlineStr">
        <is>
          <t>ÖSTERGÖTLANDS LÄN</t>
        </is>
      </c>
      <c r="E80" t="inlineStr">
        <is>
          <t>LINKÖPING</t>
        </is>
      </c>
      <c r="G80" t="n">
        <v>1.4</v>
      </c>
      <c r="H80" t="n">
        <v>0</v>
      </c>
      <c r="I80" t="n">
        <v>0</v>
      </c>
      <c r="J80" t="n">
        <v>1</v>
      </c>
      <c r="K80" t="n">
        <v>0</v>
      </c>
      <c r="L80" t="n">
        <v>0</v>
      </c>
      <c r="M80" t="n">
        <v>0</v>
      </c>
      <c r="N80" t="n">
        <v>0</v>
      </c>
      <c r="O80" t="n">
        <v>1</v>
      </c>
      <c r="P80" t="n">
        <v>0</v>
      </c>
      <c r="Q80" t="n">
        <v>1</v>
      </c>
      <c r="R80" s="2" t="inlineStr">
        <is>
          <t>Tallticka</t>
        </is>
      </c>
      <c r="S80">
        <f>HYPERLINK("https://klasma.github.io/Logging_0580/artfynd/A 27403-2025 artfynd.xlsx", "A 27403-2025")</f>
        <v/>
      </c>
      <c r="T80">
        <f>HYPERLINK("https://klasma.github.io/Logging_0580/kartor/A 27403-2025 karta.png", "A 27403-2025")</f>
        <v/>
      </c>
      <c r="V80">
        <f>HYPERLINK("https://klasma.github.io/Logging_0580/klagomål/A 27403-2025 FSC-klagomål.docx", "A 27403-2025")</f>
        <v/>
      </c>
      <c r="W80">
        <f>HYPERLINK("https://klasma.github.io/Logging_0580/klagomålsmail/A 27403-2025 FSC-klagomål mail.docx", "A 27403-2025")</f>
        <v/>
      </c>
      <c r="X80">
        <f>HYPERLINK("https://klasma.github.io/Logging_0580/tillsyn/A 27403-2025 tillsynsbegäran.docx", "A 27403-2025")</f>
        <v/>
      </c>
      <c r="Y80">
        <f>HYPERLINK("https://klasma.github.io/Logging_0580/tillsynsmail/A 27403-2025 tillsynsbegäran mail.docx", "A 27403-2025")</f>
        <v/>
      </c>
    </row>
    <row r="81" ht="15" customHeight="1">
      <c r="A81" t="inlineStr">
        <is>
          <t>A 44760-2025</t>
        </is>
      </c>
      <c r="B81" s="1" t="n">
        <v>45917.71873842592</v>
      </c>
      <c r="C81" s="1" t="n">
        <v>45994</v>
      </c>
      <c r="D81" t="inlineStr">
        <is>
          <t>ÖSTERGÖTLANDS LÄN</t>
        </is>
      </c>
      <c r="E81" t="inlineStr">
        <is>
          <t>LINKÖPING</t>
        </is>
      </c>
      <c r="G81" t="n">
        <v>0.9</v>
      </c>
      <c r="H81" t="n">
        <v>0</v>
      </c>
      <c r="I81" t="n">
        <v>0</v>
      </c>
      <c r="J81" t="n">
        <v>1</v>
      </c>
      <c r="K81" t="n">
        <v>0</v>
      </c>
      <c r="L81" t="n">
        <v>0</v>
      </c>
      <c r="M81" t="n">
        <v>0</v>
      </c>
      <c r="N81" t="n">
        <v>0</v>
      </c>
      <c r="O81" t="n">
        <v>1</v>
      </c>
      <c r="P81" t="n">
        <v>0</v>
      </c>
      <c r="Q81" t="n">
        <v>1</v>
      </c>
      <c r="R81" s="2" t="inlineStr">
        <is>
          <t>Tallticka</t>
        </is>
      </c>
      <c r="S81">
        <f>HYPERLINK("https://klasma.github.io/Logging_0580/artfynd/A 44760-2025 artfynd.xlsx", "A 44760-2025")</f>
        <v/>
      </c>
      <c r="T81">
        <f>HYPERLINK("https://klasma.github.io/Logging_0580/kartor/A 44760-2025 karta.png", "A 44760-2025")</f>
        <v/>
      </c>
      <c r="V81">
        <f>HYPERLINK("https://klasma.github.io/Logging_0580/klagomål/A 44760-2025 FSC-klagomål.docx", "A 44760-2025")</f>
        <v/>
      </c>
      <c r="W81">
        <f>HYPERLINK("https://klasma.github.io/Logging_0580/klagomålsmail/A 44760-2025 FSC-klagomål mail.docx", "A 44760-2025")</f>
        <v/>
      </c>
      <c r="X81">
        <f>HYPERLINK("https://klasma.github.io/Logging_0580/tillsyn/A 44760-2025 tillsynsbegäran.docx", "A 44760-2025")</f>
        <v/>
      </c>
      <c r="Y81">
        <f>HYPERLINK("https://klasma.github.io/Logging_0580/tillsynsmail/A 44760-2025 tillsynsbegäran mail.docx", "A 44760-2025")</f>
        <v/>
      </c>
    </row>
    <row r="82" ht="15" customHeight="1">
      <c r="A82" t="inlineStr">
        <is>
          <t>A 56112-2025</t>
        </is>
      </c>
      <c r="B82" s="1" t="n">
        <v>45973.73625</v>
      </c>
      <c r="C82" s="1" t="n">
        <v>45994</v>
      </c>
      <c r="D82" t="inlineStr">
        <is>
          <t>ÖSTERGÖTLANDS LÄN</t>
        </is>
      </c>
      <c r="E82" t="inlineStr">
        <is>
          <t>LINKÖPING</t>
        </is>
      </c>
      <c r="G82" t="n">
        <v>0.6</v>
      </c>
      <c r="H82" t="n">
        <v>0</v>
      </c>
      <c r="I82" t="n">
        <v>0</v>
      </c>
      <c r="J82" t="n">
        <v>1</v>
      </c>
      <c r="K82" t="n">
        <v>0</v>
      </c>
      <c r="L82" t="n">
        <v>0</v>
      </c>
      <c r="M82" t="n">
        <v>0</v>
      </c>
      <c r="N82" t="n">
        <v>0</v>
      </c>
      <c r="O82" t="n">
        <v>1</v>
      </c>
      <c r="P82" t="n">
        <v>0</v>
      </c>
      <c r="Q82" t="n">
        <v>1</v>
      </c>
      <c r="R82" s="2" t="inlineStr">
        <is>
          <t>Solvända</t>
        </is>
      </c>
      <c r="S82">
        <f>HYPERLINK("https://klasma.github.io/Logging_0580/artfynd/A 56112-2025 artfynd.xlsx", "A 56112-2025")</f>
        <v/>
      </c>
      <c r="T82">
        <f>HYPERLINK("https://klasma.github.io/Logging_0580/kartor/A 56112-2025 karta.png", "A 56112-2025")</f>
        <v/>
      </c>
      <c r="V82">
        <f>HYPERLINK("https://klasma.github.io/Logging_0580/klagomål/A 56112-2025 FSC-klagomål.docx", "A 56112-2025")</f>
        <v/>
      </c>
      <c r="W82">
        <f>HYPERLINK("https://klasma.github.io/Logging_0580/klagomålsmail/A 56112-2025 FSC-klagomål mail.docx", "A 56112-2025")</f>
        <v/>
      </c>
      <c r="X82">
        <f>HYPERLINK("https://klasma.github.io/Logging_0580/tillsyn/A 56112-2025 tillsynsbegäran.docx", "A 56112-2025")</f>
        <v/>
      </c>
      <c r="Y82">
        <f>HYPERLINK("https://klasma.github.io/Logging_0580/tillsynsmail/A 56112-2025 tillsynsbegäran mail.docx", "A 56112-2025")</f>
        <v/>
      </c>
    </row>
    <row r="83" ht="15" customHeight="1">
      <c r="A83" t="inlineStr">
        <is>
          <t>A 36723-2023</t>
        </is>
      </c>
      <c r="B83" s="1" t="n">
        <v>45153</v>
      </c>
      <c r="C83" s="1" t="n">
        <v>45994</v>
      </c>
      <c r="D83" t="inlineStr">
        <is>
          <t>ÖSTERGÖTLANDS LÄN</t>
        </is>
      </c>
      <c r="E83" t="inlineStr">
        <is>
          <t>LINKÖPING</t>
        </is>
      </c>
      <c r="F83" t="inlineStr">
        <is>
          <t>Allmännings- och besparingsskogar</t>
        </is>
      </c>
      <c r="G83" t="n">
        <v>9.9</v>
      </c>
      <c r="H83" t="n">
        <v>0</v>
      </c>
      <c r="I83" t="n">
        <v>0</v>
      </c>
      <c r="J83" t="n">
        <v>0</v>
      </c>
      <c r="K83" t="n">
        <v>1</v>
      </c>
      <c r="L83" t="n">
        <v>0</v>
      </c>
      <c r="M83" t="n">
        <v>0</v>
      </c>
      <c r="N83" t="n">
        <v>0</v>
      </c>
      <c r="O83" t="n">
        <v>1</v>
      </c>
      <c r="P83" t="n">
        <v>1</v>
      </c>
      <c r="Q83" t="n">
        <v>1</v>
      </c>
      <c r="R83" s="2" t="inlineStr">
        <is>
          <t>Bitter taggsvamp</t>
        </is>
      </c>
      <c r="S83">
        <f>HYPERLINK("https://klasma.github.io/Logging_0580/artfynd/A 36723-2023 artfynd.xlsx", "A 36723-2023")</f>
        <v/>
      </c>
      <c r="T83">
        <f>HYPERLINK("https://klasma.github.io/Logging_0580/kartor/A 36723-2023 karta.png", "A 36723-2023")</f>
        <v/>
      </c>
      <c r="V83">
        <f>HYPERLINK("https://klasma.github.io/Logging_0580/klagomål/A 36723-2023 FSC-klagomål.docx", "A 36723-2023")</f>
        <v/>
      </c>
      <c r="W83">
        <f>HYPERLINK("https://klasma.github.io/Logging_0580/klagomålsmail/A 36723-2023 FSC-klagomål mail.docx", "A 36723-2023")</f>
        <v/>
      </c>
      <c r="X83">
        <f>HYPERLINK("https://klasma.github.io/Logging_0580/tillsyn/A 36723-2023 tillsynsbegäran.docx", "A 36723-2023")</f>
        <v/>
      </c>
      <c r="Y83">
        <f>HYPERLINK("https://klasma.github.io/Logging_0580/tillsynsmail/A 36723-2023 tillsynsbegäran mail.docx", "A 36723-2023")</f>
        <v/>
      </c>
    </row>
    <row r="84" ht="15" customHeight="1">
      <c r="A84" t="inlineStr">
        <is>
          <t>A 48347-2025</t>
        </is>
      </c>
      <c r="B84" s="1" t="n">
        <v>45932</v>
      </c>
      <c r="C84" s="1" t="n">
        <v>45994</v>
      </c>
      <c r="D84" t="inlineStr">
        <is>
          <t>ÖSTERGÖTLANDS LÄN</t>
        </is>
      </c>
      <c r="E84" t="inlineStr">
        <is>
          <t>LINKÖPING</t>
        </is>
      </c>
      <c r="F84" t="inlineStr">
        <is>
          <t>Övriga Aktiebolag</t>
        </is>
      </c>
      <c r="G84" t="n">
        <v>0.9</v>
      </c>
      <c r="H84" t="n">
        <v>0</v>
      </c>
      <c r="I84" t="n">
        <v>0</v>
      </c>
      <c r="J84" t="n">
        <v>1</v>
      </c>
      <c r="K84" t="n">
        <v>0</v>
      </c>
      <c r="L84" t="n">
        <v>0</v>
      </c>
      <c r="M84" t="n">
        <v>0</v>
      </c>
      <c r="N84" t="n">
        <v>0</v>
      </c>
      <c r="O84" t="n">
        <v>1</v>
      </c>
      <c r="P84" t="n">
        <v>0</v>
      </c>
      <c r="Q84" t="n">
        <v>1</v>
      </c>
      <c r="R84" s="2" t="inlineStr">
        <is>
          <t>Igelkott</t>
        </is>
      </c>
      <c r="S84">
        <f>HYPERLINK("https://klasma.github.io/Logging_0580/artfynd/A 48347-2025 artfynd.xlsx", "A 48347-2025")</f>
        <v/>
      </c>
      <c r="T84">
        <f>HYPERLINK("https://klasma.github.io/Logging_0580/kartor/A 48347-2025 karta.png", "A 48347-2025")</f>
        <v/>
      </c>
      <c r="V84">
        <f>HYPERLINK("https://klasma.github.io/Logging_0580/klagomål/A 48347-2025 FSC-klagomål.docx", "A 48347-2025")</f>
        <v/>
      </c>
      <c r="W84">
        <f>HYPERLINK("https://klasma.github.io/Logging_0580/klagomålsmail/A 48347-2025 FSC-klagomål mail.docx", "A 48347-2025")</f>
        <v/>
      </c>
      <c r="X84">
        <f>HYPERLINK("https://klasma.github.io/Logging_0580/tillsyn/A 48347-2025 tillsynsbegäran.docx", "A 48347-2025")</f>
        <v/>
      </c>
      <c r="Y84">
        <f>HYPERLINK("https://klasma.github.io/Logging_0580/tillsynsmail/A 48347-2025 tillsynsbegäran mail.docx", "A 48347-2025")</f>
        <v/>
      </c>
    </row>
    <row r="85" ht="15" customHeight="1">
      <c r="A85" t="inlineStr">
        <is>
          <t>A 48353-2025</t>
        </is>
      </c>
      <c r="B85" s="1" t="n">
        <v>45932</v>
      </c>
      <c r="C85" s="1" t="n">
        <v>45994</v>
      </c>
      <c r="D85" t="inlineStr">
        <is>
          <t>ÖSTERGÖTLANDS LÄN</t>
        </is>
      </c>
      <c r="E85" t="inlineStr">
        <is>
          <t>LINKÖPING</t>
        </is>
      </c>
      <c r="F85" t="inlineStr">
        <is>
          <t>Övriga Aktiebolag</t>
        </is>
      </c>
      <c r="G85" t="n">
        <v>4.5</v>
      </c>
      <c r="H85" t="n">
        <v>1</v>
      </c>
      <c r="I85" t="n">
        <v>0</v>
      </c>
      <c r="J85" t="n">
        <v>1</v>
      </c>
      <c r="K85" t="n">
        <v>0</v>
      </c>
      <c r="L85" t="n">
        <v>0</v>
      </c>
      <c r="M85" t="n">
        <v>0</v>
      </c>
      <c r="N85" t="n">
        <v>0</v>
      </c>
      <c r="O85" t="n">
        <v>1</v>
      </c>
      <c r="P85" t="n">
        <v>0</v>
      </c>
      <c r="Q85" t="n">
        <v>1</v>
      </c>
      <c r="R85" s="2" t="inlineStr">
        <is>
          <t>Entita</t>
        </is>
      </c>
      <c r="S85">
        <f>HYPERLINK("https://klasma.github.io/Logging_0580/artfynd/A 48353-2025 artfynd.xlsx", "A 48353-2025")</f>
        <v/>
      </c>
      <c r="T85">
        <f>HYPERLINK("https://klasma.github.io/Logging_0580/kartor/A 48353-2025 karta.png", "A 48353-2025")</f>
        <v/>
      </c>
      <c r="V85">
        <f>HYPERLINK("https://klasma.github.io/Logging_0580/klagomål/A 48353-2025 FSC-klagomål.docx", "A 48353-2025")</f>
        <v/>
      </c>
      <c r="W85">
        <f>HYPERLINK("https://klasma.github.io/Logging_0580/klagomålsmail/A 48353-2025 FSC-klagomål mail.docx", "A 48353-2025")</f>
        <v/>
      </c>
      <c r="X85">
        <f>HYPERLINK("https://klasma.github.io/Logging_0580/tillsyn/A 48353-2025 tillsynsbegäran.docx", "A 48353-2025")</f>
        <v/>
      </c>
      <c r="Y85">
        <f>HYPERLINK("https://klasma.github.io/Logging_0580/tillsynsmail/A 48353-2025 tillsynsbegäran mail.docx", "A 48353-2025")</f>
        <v/>
      </c>
      <c r="Z85">
        <f>HYPERLINK("https://klasma.github.io/Logging_0580/fåglar/A 48353-2025 prioriterade fågelarter.docx", "A 48353-2025")</f>
        <v/>
      </c>
    </row>
    <row r="86" ht="15" customHeight="1">
      <c r="A86" t="inlineStr">
        <is>
          <t>A 48273-2025</t>
        </is>
      </c>
      <c r="B86" s="1" t="n">
        <v>45932</v>
      </c>
      <c r="C86" s="1" t="n">
        <v>45994</v>
      </c>
      <c r="D86" t="inlineStr">
        <is>
          <t>ÖSTERGÖTLANDS LÄN</t>
        </is>
      </c>
      <c r="E86" t="inlineStr">
        <is>
          <t>LINKÖPING</t>
        </is>
      </c>
      <c r="F86" t="inlineStr">
        <is>
          <t>Övriga Aktiebolag</t>
        </is>
      </c>
      <c r="G86" t="n">
        <v>4.6</v>
      </c>
      <c r="H86" t="n">
        <v>0</v>
      </c>
      <c r="I86" t="n">
        <v>0</v>
      </c>
      <c r="J86" t="n">
        <v>1</v>
      </c>
      <c r="K86" t="n">
        <v>0</v>
      </c>
      <c r="L86" t="n">
        <v>0</v>
      </c>
      <c r="M86" t="n">
        <v>0</v>
      </c>
      <c r="N86" t="n">
        <v>0</v>
      </c>
      <c r="O86" t="n">
        <v>1</v>
      </c>
      <c r="P86" t="n">
        <v>0</v>
      </c>
      <c r="Q86" t="n">
        <v>1</v>
      </c>
      <c r="R86" s="2" t="inlineStr">
        <is>
          <t>Barrviolspindling</t>
        </is>
      </c>
      <c r="S86">
        <f>HYPERLINK("https://klasma.github.io/Logging_0580/artfynd/A 48273-2025 artfynd.xlsx", "A 48273-2025")</f>
        <v/>
      </c>
      <c r="T86">
        <f>HYPERLINK("https://klasma.github.io/Logging_0580/kartor/A 48273-2025 karta.png", "A 48273-2025")</f>
        <v/>
      </c>
      <c r="V86">
        <f>HYPERLINK("https://klasma.github.io/Logging_0580/klagomål/A 48273-2025 FSC-klagomål.docx", "A 48273-2025")</f>
        <v/>
      </c>
      <c r="W86">
        <f>HYPERLINK("https://klasma.github.io/Logging_0580/klagomålsmail/A 48273-2025 FSC-klagomål mail.docx", "A 48273-2025")</f>
        <v/>
      </c>
      <c r="X86">
        <f>HYPERLINK("https://klasma.github.io/Logging_0580/tillsyn/A 48273-2025 tillsynsbegäran.docx", "A 48273-2025")</f>
        <v/>
      </c>
      <c r="Y86">
        <f>HYPERLINK("https://klasma.github.io/Logging_0580/tillsynsmail/A 48273-2025 tillsynsbegäran mail.docx", "A 48273-2025")</f>
        <v/>
      </c>
    </row>
    <row r="87" ht="15" customHeight="1">
      <c r="A87" t="inlineStr">
        <is>
          <t>A 48298-2025</t>
        </is>
      </c>
      <c r="B87" s="1" t="n">
        <v>45932</v>
      </c>
      <c r="C87" s="1" t="n">
        <v>45994</v>
      </c>
      <c r="D87" t="inlineStr">
        <is>
          <t>ÖSTERGÖTLANDS LÄN</t>
        </is>
      </c>
      <c r="E87" t="inlineStr">
        <is>
          <t>LINKÖPING</t>
        </is>
      </c>
      <c r="F87" t="inlineStr">
        <is>
          <t>Övriga Aktiebolag</t>
        </is>
      </c>
      <c r="G87" t="n">
        <v>1.7</v>
      </c>
      <c r="H87" t="n">
        <v>0</v>
      </c>
      <c r="I87" t="n">
        <v>1</v>
      </c>
      <c r="J87" t="n">
        <v>0</v>
      </c>
      <c r="K87" t="n">
        <v>0</v>
      </c>
      <c r="L87" t="n">
        <v>0</v>
      </c>
      <c r="M87" t="n">
        <v>0</v>
      </c>
      <c r="N87" t="n">
        <v>0</v>
      </c>
      <c r="O87" t="n">
        <v>0</v>
      </c>
      <c r="P87" t="n">
        <v>0</v>
      </c>
      <c r="Q87" t="n">
        <v>1</v>
      </c>
      <c r="R87" s="2" t="inlineStr">
        <is>
          <t>Västlig hakmossa</t>
        </is>
      </c>
      <c r="S87">
        <f>HYPERLINK("https://klasma.github.io/Logging_0580/artfynd/A 48298-2025 artfynd.xlsx", "A 48298-2025")</f>
        <v/>
      </c>
      <c r="T87">
        <f>HYPERLINK("https://klasma.github.io/Logging_0580/kartor/A 48298-2025 karta.png", "A 48298-2025")</f>
        <v/>
      </c>
      <c r="V87">
        <f>HYPERLINK("https://klasma.github.io/Logging_0580/klagomål/A 48298-2025 FSC-klagomål.docx", "A 48298-2025")</f>
        <v/>
      </c>
      <c r="W87">
        <f>HYPERLINK("https://klasma.github.io/Logging_0580/klagomålsmail/A 48298-2025 FSC-klagomål mail.docx", "A 48298-2025")</f>
        <v/>
      </c>
      <c r="X87">
        <f>HYPERLINK("https://klasma.github.io/Logging_0580/tillsyn/A 48298-2025 tillsynsbegäran.docx", "A 48298-2025")</f>
        <v/>
      </c>
      <c r="Y87">
        <f>HYPERLINK("https://klasma.github.io/Logging_0580/tillsynsmail/A 48298-2025 tillsynsbegäran mail.docx", "A 48298-2025")</f>
        <v/>
      </c>
    </row>
    <row r="88" ht="15" customHeight="1">
      <c r="A88" t="inlineStr">
        <is>
          <t>A 50034-2025</t>
        </is>
      </c>
      <c r="B88" s="1" t="n">
        <v>45941</v>
      </c>
      <c r="C88" s="1" t="n">
        <v>45994</v>
      </c>
      <c r="D88" t="inlineStr">
        <is>
          <t>ÖSTERGÖTLANDS LÄN</t>
        </is>
      </c>
      <c r="E88" t="inlineStr">
        <is>
          <t>LINKÖPING</t>
        </is>
      </c>
      <c r="G88" t="n">
        <v>6.2</v>
      </c>
      <c r="H88" t="n">
        <v>0</v>
      </c>
      <c r="I88" t="n">
        <v>0</v>
      </c>
      <c r="J88" t="n">
        <v>0</v>
      </c>
      <c r="K88" t="n">
        <v>0</v>
      </c>
      <c r="L88" t="n">
        <v>0</v>
      </c>
      <c r="M88" t="n">
        <v>1</v>
      </c>
      <c r="N88" t="n">
        <v>0</v>
      </c>
      <c r="O88" t="n">
        <v>1</v>
      </c>
      <c r="P88" t="n">
        <v>1</v>
      </c>
      <c r="Q88" t="n">
        <v>1</v>
      </c>
      <c r="R88" s="2" t="inlineStr">
        <is>
          <t>Skogsalm</t>
        </is>
      </c>
      <c r="S88">
        <f>HYPERLINK("https://klasma.github.io/Logging_0580/artfynd/A 50034-2025 artfynd.xlsx", "A 50034-2025")</f>
        <v/>
      </c>
      <c r="T88">
        <f>HYPERLINK("https://klasma.github.io/Logging_0580/kartor/A 50034-2025 karta.png", "A 50034-2025")</f>
        <v/>
      </c>
      <c r="V88">
        <f>HYPERLINK("https://klasma.github.io/Logging_0580/klagomål/A 50034-2025 FSC-klagomål.docx", "A 50034-2025")</f>
        <v/>
      </c>
      <c r="W88">
        <f>HYPERLINK("https://klasma.github.io/Logging_0580/klagomålsmail/A 50034-2025 FSC-klagomål mail.docx", "A 50034-2025")</f>
        <v/>
      </c>
      <c r="X88">
        <f>HYPERLINK("https://klasma.github.io/Logging_0580/tillsyn/A 50034-2025 tillsynsbegäran.docx", "A 50034-2025")</f>
        <v/>
      </c>
      <c r="Y88">
        <f>HYPERLINK("https://klasma.github.io/Logging_0580/tillsynsmail/A 50034-2025 tillsynsbegäran mail.docx", "A 50034-2025")</f>
        <v/>
      </c>
    </row>
    <row r="89" ht="15" customHeight="1">
      <c r="A89" t="inlineStr">
        <is>
          <t>A 59474-2025</t>
        </is>
      </c>
      <c r="B89" s="1" t="n">
        <v>45989.58512731481</v>
      </c>
      <c r="C89" s="1" t="n">
        <v>45994</v>
      </c>
      <c r="D89" t="inlineStr">
        <is>
          <t>ÖSTERGÖTLANDS LÄN</t>
        </is>
      </c>
      <c r="E89" t="inlineStr">
        <is>
          <t>LINKÖPING</t>
        </is>
      </c>
      <c r="G89" t="n">
        <v>8</v>
      </c>
      <c r="H89" t="n">
        <v>0</v>
      </c>
      <c r="I89" t="n">
        <v>1</v>
      </c>
      <c r="J89" t="n">
        <v>0</v>
      </c>
      <c r="K89" t="n">
        <v>0</v>
      </c>
      <c r="L89" t="n">
        <v>0</v>
      </c>
      <c r="M89" t="n">
        <v>0</v>
      </c>
      <c r="N89" t="n">
        <v>0</v>
      </c>
      <c r="O89" t="n">
        <v>0</v>
      </c>
      <c r="P89" t="n">
        <v>0</v>
      </c>
      <c r="Q89" t="n">
        <v>1</v>
      </c>
      <c r="R89" s="2" t="inlineStr">
        <is>
          <t>Fällmossa</t>
        </is>
      </c>
      <c r="S89">
        <f>HYPERLINK("https://klasma.github.io/Logging_0580/artfynd/A 59474-2025 artfynd.xlsx", "A 59474-2025")</f>
        <v/>
      </c>
      <c r="T89">
        <f>HYPERLINK("https://klasma.github.io/Logging_0580/kartor/A 59474-2025 karta.png", "A 59474-2025")</f>
        <v/>
      </c>
      <c r="V89">
        <f>HYPERLINK("https://klasma.github.io/Logging_0580/klagomål/A 59474-2025 FSC-klagomål.docx", "A 59474-2025")</f>
        <v/>
      </c>
      <c r="W89">
        <f>HYPERLINK("https://klasma.github.io/Logging_0580/klagomålsmail/A 59474-2025 FSC-klagomål mail.docx", "A 59474-2025")</f>
        <v/>
      </c>
      <c r="X89">
        <f>HYPERLINK("https://klasma.github.io/Logging_0580/tillsyn/A 59474-2025 tillsynsbegäran.docx", "A 59474-2025")</f>
        <v/>
      </c>
      <c r="Y89">
        <f>HYPERLINK("https://klasma.github.io/Logging_0580/tillsynsmail/A 59474-2025 tillsynsbegäran mail.docx", "A 59474-2025")</f>
        <v/>
      </c>
    </row>
    <row r="90" ht="15" customHeight="1">
      <c r="A90" t="inlineStr">
        <is>
          <t>A 38881-2021</t>
        </is>
      </c>
      <c r="B90" s="1" t="n">
        <v>44411.46893518518</v>
      </c>
      <c r="C90" s="1" t="n">
        <v>45994</v>
      </c>
      <c r="D90" t="inlineStr">
        <is>
          <t>ÖSTERGÖTLANDS LÄN</t>
        </is>
      </c>
      <c r="E90" t="inlineStr">
        <is>
          <t>LINKÖPING</t>
        </is>
      </c>
      <c r="G90" t="n">
        <v>2.2</v>
      </c>
      <c r="H90" t="n">
        <v>0</v>
      </c>
      <c r="I90" t="n">
        <v>0</v>
      </c>
      <c r="J90" t="n">
        <v>0</v>
      </c>
      <c r="K90" t="n">
        <v>0</v>
      </c>
      <c r="L90" t="n">
        <v>0</v>
      </c>
      <c r="M90" t="n">
        <v>0</v>
      </c>
      <c r="N90" t="n">
        <v>0</v>
      </c>
      <c r="O90" t="n">
        <v>0</v>
      </c>
      <c r="P90" t="n">
        <v>0</v>
      </c>
      <c r="Q90" t="n">
        <v>0</v>
      </c>
      <c r="R90" s="2" t="inlineStr"/>
    </row>
    <row r="91" ht="15" customHeight="1">
      <c r="A91" t="inlineStr">
        <is>
          <t>A 38887-2021</t>
        </is>
      </c>
      <c r="B91" s="1" t="n">
        <v>44411</v>
      </c>
      <c r="C91" s="1" t="n">
        <v>45994</v>
      </c>
      <c r="D91" t="inlineStr">
        <is>
          <t>ÖSTERGÖTLANDS LÄN</t>
        </is>
      </c>
      <c r="E91" t="inlineStr">
        <is>
          <t>LINKÖPING</t>
        </is>
      </c>
      <c r="G91" t="n">
        <v>1.6</v>
      </c>
      <c r="H91" t="n">
        <v>0</v>
      </c>
      <c r="I91" t="n">
        <v>0</v>
      </c>
      <c r="J91" t="n">
        <v>0</v>
      </c>
      <c r="K91" t="n">
        <v>0</v>
      </c>
      <c r="L91" t="n">
        <v>0</v>
      </c>
      <c r="M91" t="n">
        <v>0</v>
      </c>
      <c r="N91" t="n">
        <v>0</v>
      </c>
      <c r="O91" t="n">
        <v>0</v>
      </c>
      <c r="P91" t="n">
        <v>0</v>
      </c>
      <c r="Q91" t="n">
        <v>0</v>
      </c>
      <c r="R91" s="2" t="inlineStr"/>
    </row>
    <row r="92" ht="15" customHeight="1">
      <c r="A92" t="inlineStr">
        <is>
          <t>A 5008-2021</t>
        </is>
      </c>
      <c r="B92" s="1" t="n">
        <v>44228</v>
      </c>
      <c r="C92" s="1" t="n">
        <v>45994</v>
      </c>
      <c r="D92" t="inlineStr">
        <is>
          <t>ÖSTERGÖTLANDS LÄN</t>
        </is>
      </c>
      <c r="E92" t="inlineStr">
        <is>
          <t>LINKÖPING</t>
        </is>
      </c>
      <c r="F92" t="inlineStr">
        <is>
          <t>Övriga Aktiebolag</t>
        </is>
      </c>
      <c r="G92" t="n">
        <v>0.3</v>
      </c>
      <c r="H92" t="n">
        <v>0</v>
      </c>
      <c r="I92" t="n">
        <v>0</v>
      </c>
      <c r="J92" t="n">
        <v>0</v>
      </c>
      <c r="K92" t="n">
        <v>0</v>
      </c>
      <c r="L92" t="n">
        <v>0</v>
      </c>
      <c r="M92" t="n">
        <v>0</v>
      </c>
      <c r="N92" t="n">
        <v>0</v>
      </c>
      <c r="O92" t="n">
        <v>0</v>
      </c>
      <c r="P92" t="n">
        <v>0</v>
      </c>
      <c r="Q92" t="n">
        <v>0</v>
      </c>
      <c r="R92" s="2" t="inlineStr"/>
    </row>
    <row r="93" ht="15" customHeight="1">
      <c r="A93" t="inlineStr">
        <is>
          <t>A 56239-2021</t>
        </is>
      </c>
      <c r="B93" s="1" t="n">
        <v>44478</v>
      </c>
      <c r="C93" s="1" t="n">
        <v>45994</v>
      </c>
      <c r="D93" t="inlineStr">
        <is>
          <t>ÖSTERGÖTLANDS LÄN</t>
        </is>
      </c>
      <c r="E93" t="inlineStr">
        <is>
          <t>LINKÖPING</t>
        </is>
      </c>
      <c r="F93" t="inlineStr">
        <is>
          <t>Övriga Aktiebolag</t>
        </is>
      </c>
      <c r="G93" t="n">
        <v>3</v>
      </c>
      <c r="H93" t="n">
        <v>0</v>
      </c>
      <c r="I93" t="n">
        <v>0</v>
      </c>
      <c r="J93" t="n">
        <v>0</v>
      </c>
      <c r="K93" t="n">
        <v>0</v>
      </c>
      <c r="L93" t="n">
        <v>0</v>
      </c>
      <c r="M93" t="n">
        <v>0</v>
      </c>
      <c r="N93" t="n">
        <v>0</v>
      </c>
      <c r="O93" t="n">
        <v>0</v>
      </c>
      <c r="P93" t="n">
        <v>0</v>
      </c>
      <c r="Q93" t="n">
        <v>0</v>
      </c>
      <c r="R93" s="2" t="inlineStr"/>
    </row>
    <row r="94" ht="15" customHeight="1">
      <c r="A94" t="inlineStr">
        <is>
          <t>A 7289-2021</t>
        </is>
      </c>
      <c r="B94" s="1" t="n">
        <v>44238</v>
      </c>
      <c r="C94" s="1" t="n">
        <v>45994</v>
      </c>
      <c r="D94" t="inlineStr">
        <is>
          <t>ÖSTERGÖTLANDS LÄN</t>
        </is>
      </c>
      <c r="E94" t="inlineStr">
        <is>
          <t>LINKÖPING</t>
        </is>
      </c>
      <c r="G94" t="n">
        <v>0.7</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45994</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45994</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45994</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45994</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45994</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45994</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45994</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45994</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45994</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45994</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45994</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45994</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45994</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45994</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45994</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45994</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45994</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45994</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45994</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45994</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45994</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45994</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67120-2020</t>
        </is>
      </c>
      <c r="B117" s="1" t="n">
        <v>44180</v>
      </c>
      <c r="C117" s="1" t="n">
        <v>45994</v>
      </c>
      <c r="D117" t="inlineStr">
        <is>
          <t>ÖSTERGÖTLANDS LÄN</t>
        </is>
      </c>
      <c r="E117" t="inlineStr">
        <is>
          <t>LINKÖPING</t>
        </is>
      </c>
      <c r="F117" t="inlineStr">
        <is>
          <t>Övriga statliga verk och myndigheter</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45994</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45994</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45994</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3679-2021</t>
        </is>
      </c>
      <c r="B121" s="1" t="n">
        <v>44221</v>
      </c>
      <c r="C121" s="1" t="n">
        <v>45994</v>
      </c>
      <c r="D121" t="inlineStr">
        <is>
          <t>ÖSTERGÖTLANDS LÄN</t>
        </is>
      </c>
      <c r="E121" t="inlineStr">
        <is>
          <t>LINKÖPING</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45994</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45994</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45994</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45994</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45994</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45994</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45994</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45994</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45994</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45994</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45994</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45994</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45994</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45994</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45994</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45994</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23175-2022</t>
        </is>
      </c>
      <c r="B138" s="1" t="n">
        <v>44719</v>
      </c>
      <c r="C138" s="1" t="n">
        <v>45994</v>
      </c>
      <c r="D138" t="inlineStr">
        <is>
          <t>ÖSTERGÖTLANDS LÄN</t>
        </is>
      </c>
      <c r="E138" t="inlineStr">
        <is>
          <t>LINKÖPING</t>
        </is>
      </c>
      <c r="F138" t="inlineStr">
        <is>
          <t>Allmännings- och besparingsskogar</t>
        </is>
      </c>
      <c r="G138" t="n">
        <v>1.4</v>
      </c>
      <c r="H138" t="n">
        <v>0</v>
      </c>
      <c r="I138" t="n">
        <v>0</v>
      </c>
      <c r="J138" t="n">
        <v>0</v>
      </c>
      <c r="K138" t="n">
        <v>0</v>
      </c>
      <c r="L138" t="n">
        <v>0</v>
      </c>
      <c r="M138" t="n">
        <v>0</v>
      </c>
      <c r="N138" t="n">
        <v>0</v>
      </c>
      <c r="O138" t="n">
        <v>0</v>
      </c>
      <c r="P138" t="n">
        <v>0</v>
      </c>
      <c r="Q138" t="n">
        <v>0</v>
      </c>
      <c r="R138" s="2" t="inlineStr"/>
    </row>
    <row r="139" ht="15" customHeight="1">
      <c r="A139" t="inlineStr">
        <is>
          <t>A 1787-2022</t>
        </is>
      </c>
      <c r="B139" s="1" t="n">
        <v>44574</v>
      </c>
      <c r="C139" s="1" t="n">
        <v>45994</v>
      </c>
      <c r="D139" t="inlineStr">
        <is>
          <t>ÖSTERGÖTLANDS LÄN</t>
        </is>
      </c>
      <c r="E139" t="inlineStr">
        <is>
          <t>LINKÖPING</t>
        </is>
      </c>
      <c r="G139" t="n">
        <v>1.9</v>
      </c>
      <c r="H139" t="n">
        <v>0</v>
      </c>
      <c r="I139" t="n">
        <v>0</v>
      </c>
      <c r="J139" t="n">
        <v>0</v>
      </c>
      <c r="K139" t="n">
        <v>0</v>
      </c>
      <c r="L139" t="n">
        <v>0</v>
      </c>
      <c r="M139" t="n">
        <v>0</v>
      </c>
      <c r="N139" t="n">
        <v>0</v>
      </c>
      <c r="O139" t="n">
        <v>0</v>
      </c>
      <c r="P139" t="n">
        <v>0</v>
      </c>
      <c r="Q139" t="n">
        <v>0</v>
      </c>
      <c r="R139" s="2" t="inlineStr"/>
    </row>
    <row r="140" ht="15" customHeight="1">
      <c r="A140" t="inlineStr">
        <is>
          <t>A 948-2022</t>
        </is>
      </c>
      <c r="B140" s="1" t="n">
        <v>44571</v>
      </c>
      <c r="C140" s="1" t="n">
        <v>45994</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64195-2021</t>
        </is>
      </c>
      <c r="B141" s="1" t="n">
        <v>44510</v>
      </c>
      <c r="C141" s="1" t="n">
        <v>45994</v>
      </c>
      <c r="D141" t="inlineStr">
        <is>
          <t>ÖSTERGÖTLANDS LÄN</t>
        </is>
      </c>
      <c r="E141" t="inlineStr">
        <is>
          <t>LINKÖPING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37014-2021</t>
        </is>
      </c>
      <c r="B142" s="1" t="n">
        <v>44393</v>
      </c>
      <c r="C142" s="1" t="n">
        <v>45994</v>
      </c>
      <c r="D142" t="inlineStr">
        <is>
          <t>ÖSTERGÖTLANDS LÄN</t>
        </is>
      </c>
      <c r="E142" t="inlineStr">
        <is>
          <t>LINKÖPING</t>
        </is>
      </c>
      <c r="F142" t="inlineStr">
        <is>
          <t>Allmännings- och besparingsskogar</t>
        </is>
      </c>
      <c r="G142" t="n">
        <v>7.7</v>
      </c>
      <c r="H142" t="n">
        <v>0</v>
      </c>
      <c r="I142" t="n">
        <v>0</v>
      </c>
      <c r="J142" t="n">
        <v>0</v>
      </c>
      <c r="K142" t="n">
        <v>0</v>
      </c>
      <c r="L142" t="n">
        <v>0</v>
      </c>
      <c r="M142" t="n">
        <v>0</v>
      </c>
      <c r="N142" t="n">
        <v>0</v>
      </c>
      <c r="O142" t="n">
        <v>0</v>
      </c>
      <c r="P142" t="n">
        <v>0</v>
      </c>
      <c r="Q142" t="n">
        <v>0</v>
      </c>
      <c r="R142" s="2" t="inlineStr"/>
    </row>
    <row r="143" ht="15" customHeight="1">
      <c r="A143" t="inlineStr">
        <is>
          <t>A 4382-2021</t>
        </is>
      </c>
      <c r="B143" s="1" t="n">
        <v>44223</v>
      </c>
      <c r="C143" s="1" t="n">
        <v>45994</v>
      </c>
      <c r="D143" t="inlineStr">
        <is>
          <t>ÖSTERGÖTLANDS LÄN</t>
        </is>
      </c>
      <c r="E143" t="inlineStr">
        <is>
          <t>LINKÖPING</t>
        </is>
      </c>
      <c r="G143" t="n">
        <v>4.2</v>
      </c>
      <c r="H143" t="n">
        <v>0</v>
      </c>
      <c r="I143" t="n">
        <v>0</v>
      </c>
      <c r="J143" t="n">
        <v>0</v>
      </c>
      <c r="K143" t="n">
        <v>0</v>
      </c>
      <c r="L143" t="n">
        <v>0</v>
      </c>
      <c r="M143" t="n">
        <v>0</v>
      </c>
      <c r="N143" t="n">
        <v>0</v>
      </c>
      <c r="O143" t="n">
        <v>0</v>
      </c>
      <c r="P143" t="n">
        <v>0</v>
      </c>
      <c r="Q143" t="n">
        <v>0</v>
      </c>
      <c r="R143" s="2" t="inlineStr"/>
    </row>
    <row r="144" ht="15" customHeight="1">
      <c r="A144" t="inlineStr">
        <is>
          <t>A 33134-2022</t>
        </is>
      </c>
      <c r="B144" s="1" t="n">
        <v>44785</v>
      </c>
      <c r="C144" s="1" t="n">
        <v>45994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58266-2021</t>
        </is>
      </c>
      <c r="B145" s="1" t="n">
        <v>44487</v>
      </c>
      <c r="C145" s="1" t="n">
        <v>45994</v>
      </c>
      <c r="D145" t="inlineStr">
        <is>
          <t>ÖSTERGÖTLANDS LÄN</t>
        </is>
      </c>
      <c r="E145" t="inlineStr">
        <is>
          <t>LINKÖPING</t>
        </is>
      </c>
      <c r="F145" t="inlineStr">
        <is>
          <t>Övriga Aktiebolag</t>
        </is>
      </c>
      <c r="G145" t="n">
        <v>3.2</v>
      </c>
      <c r="H145" t="n">
        <v>0</v>
      </c>
      <c r="I145" t="n">
        <v>0</v>
      </c>
      <c r="J145" t="n">
        <v>0</v>
      </c>
      <c r="K145" t="n">
        <v>0</v>
      </c>
      <c r="L145" t="n">
        <v>0</v>
      </c>
      <c r="M145" t="n">
        <v>0</v>
      </c>
      <c r="N145" t="n">
        <v>0</v>
      </c>
      <c r="O145" t="n">
        <v>0</v>
      </c>
      <c r="P145" t="n">
        <v>0</v>
      </c>
      <c r="Q145" t="n">
        <v>0</v>
      </c>
      <c r="R145" s="2" t="inlineStr"/>
    </row>
    <row r="146" ht="15" customHeight="1">
      <c r="A146" t="inlineStr">
        <is>
          <t>A 28447-2021</t>
        </is>
      </c>
      <c r="B146" s="1" t="n">
        <v>44356</v>
      </c>
      <c r="C146" s="1" t="n">
        <v>45994</v>
      </c>
      <c r="D146" t="inlineStr">
        <is>
          <t>ÖSTERGÖTLANDS LÄN</t>
        </is>
      </c>
      <c r="E146" t="inlineStr">
        <is>
          <t>LINKÖPING</t>
        </is>
      </c>
      <c r="G146" t="n">
        <v>2</v>
      </c>
      <c r="H146" t="n">
        <v>0</v>
      </c>
      <c r="I146" t="n">
        <v>0</v>
      </c>
      <c r="J146" t="n">
        <v>0</v>
      </c>
      <c r="K146" t="n">
        <v>0</v>
      </c>
      <c r="L146" t="n">
        <v>0</v>
      </c>
      <c r="M146" t="n">
        <v>0</v>
      </c>
      <c r="N146" t="n">
        <v>0</v>
      </c>
      <c r="O146" t="n">
        <v>0</v>
      </c>
      <c r="P146" t="n">
        <v>0</v>
      </c>
      <c r="Q146" t="n">
        <v>0</v>
      </c>
      <c r="R146" s="2" t="inlineStr"/>
    </row>
    <row r="147" ht="15" customHeight="1">
      <c r="A147" t="inlineStr">
        <is>
          <t>A 13075-2022</t>
        </is>
      </c>
      <c r="B147" s="1" t="n">
        <v>44643</v>
      </c>
      <c r="C147" s="1" t="n">
        <v>45994</v>
      </c>
      <c r="D147" t="inlineStr">
        <is>
          <t>ÖSTERGÖTLANDS LÄN</t>
        </is>
      </c>
      <c r="E147" t="inlineStr">
        <is>
          <t>LINKÖPING</t>
        </is>
      </c>
      <c r="G147" t="n">
        <v>2.2</v>
      </c>
      <c r="H147" t="n">
        <v>0</v>
      </c>
      <c r="I147" t="n">
        <v>0</v>
      </c>
      <c r="J147" t="n">
        <v>0</v>
      </c>
      <c r="K147" t="n">
        <v>0</v>
      </c>
      <c r="L147" t="n">
        <v>0</v>
      </c>
      <c r="M147" t="n">
        <v>0</v>
      </c>
      <c r="N147" t="n">
        <v>0</v>
      </c>
      <c r="O147" t="n">
        <v>0</v>
      </c>
      <c r="P147" t="n">
        <v>0</v>
      </c>
      <c r="Q147" t="n">
        <v>0</v>
      </c>
      <c r="R147" s="2" t="inlineStr"/>
    </row>
    <row r="148" ht="15" customHeight="1">
      <c r="A148" t="inlineStr">
        <is>
          <t>A 9935-2021</t>
        </is>
      </c>
      <c r="B148" s="1" t="n">
        <v>44253</v>
      </c>
      <c r="C148" s="1" t="n">
        <v>45994</v>
      </c>
      <c r="D148" t="inlineStr">
        <is>
          <t>ÖSTERGÖTLANDS LÄN</t>
        </is>
      </c>
      <c r="E148" t="inlineStr">
        <is>
          <t>LINKÖPING</t>
        </is>
      </c>
      <c r="G148" t="n">
        <v>4.5</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45994</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38134-2021</t>
        </is>
      </c>
      <c r="B150" s="1" t="n">
        <v>44405.3794212963</v>
      </c>
      <c r="C150" s="1" t="n">
        <v>45994</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45994</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46416-2021</t>
        </is>
      </c>
      <c r="B152" s="1" t="n">
        <v>44442</v>
      </c>
      <c r="C152" s="1" t="n">
        <v>45994</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58258-2021</t>
        </is>
      </c>
      <c r="B153" s="1" t="n">
        <v>44487</v>
      </c>
      <c r="C153" s="1" t="n">
        <v>45994</v>
      </c>
      <c r="D153" t="inlineStr">
        <is>
          <t>ÖSTERGÖTLANDS LÄN</t>
        </is>
      </c>
      <c r="E153" t="inlineStr">
        <is>
          <t>LINKÖPING</t>
        </is>
      </c>
      <c r="F153" t="inlineStr">
        <is>
          <t>Övriga Aktiebolag</t>
        </is>
      </c>
      <c r="G153" t="n">
        <v>1</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45994</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44849-2022</t>
        </is>
      </c>
      <c r="B155" s="1" t="n">
        <v>44841</v>
      </c>
      <c r="C155" s="1" t="n">
        <v>45994</v>
      </c>
      <c r="D155" t="inlineStr">
        <is>
          <t>ÖSTERGÖTLANDS LÄN</t>
        </is>
      </c>
      <c r="E155" t="inlineStr">
        <is>
          <t>LINKÖPING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70835-2021</t>
        </is>
      </c>
      <c r="B156" s="1" t="n">
        <v>44537</v>
      </c>
      <c r="C156" s="1" t="n">
        <v>45994</v>
      </c>
      <c r="D156" t="inlineStr">
        <is>
          <t>ÖSTERGÖTLANDS LÄN</t>
        </is>
      </c>
      <c r="E156" t="inlineStr">
        <is>
          <t>LINKÖPING</t>
        </is>
      </c>
      <c r="G156" t="n">
        <v>2.3</v>
      </c>
      <c r="H156" t="n">
        <v>0</v>
      </c>
      <c r="I156" t="n">
        <v>0</v>
      </c>
      <c r="J156" t="n">
        <v>0</v>
      </c>
      <c r="K156" t="n">
        <v>0</v>
      </c>
      <c r="L156" t="n">
        <v>0</v>
      </c>
      <c r="M156" t="n">
        <v>0</v>
      </c>
      <c r="N156" t="n">
        <v>0</v>
      </c>
      <c r="O156" t="n">
        <v>0</v>
      </c>
      <c r="P156" t="n">
        <v>0</v>
      </c>
      <c r="Q156" t="n">
        <v>0</v>
      </c>
      <c r="R156" s="2" t="inlineStr"/>
    </row>
    <row r="157" ht="15" customHeight="1">
      <c r="A157" t="inlineStr">
        <is>
          <t>A 58287-2021</t>
        </is>
      </c>
      <c r="B157" s="1" t="n">
        <v>44487</v>
      </c>
      <c r="C157" s="1" t="n">
        <v>45994</v>
      </c>
      <c r="D157" t="inlineStr">
        <is>
          <t>ÖSTERGÖTLANDS LÄN</t>
        </is>
      </c>
      <c r="E157" t="inlineStr">
        <is>
          <t>LINKÖPING</t>
        </is>
      </c>
      <c r="F157" t="inlineStr">
        <is>
          <t>Övriga Aktiebolag</t>
        </is>
      </c>
      <c r="G157" t="n">
        <v>1.5</v>
      </c>
      <c r="H157" t="n">
        <v>0</v>
      </c>
      <c r="I157" t="n">
        <v>0</v>
      </c>
      <c r="J157" t="n">
        <v>0</v>
      </c>
      <c r="K157" t="n">
        <v>0</v>
      </c>
      <c r="L157" t="n">
        <v>0</v>
      </c>
      <c r="M157" t="n">
        <v>0</v>
      </c>
      <c r="N157" t="n">
        <v>0</v>
      </c>
      <c r="O157" t="n">
        <v>0</v>
      </c>
      <c r="P157" t="n">
        <v>0</v>
      </c>
      <c r="Q157" t="n">
        <v>0</v>
      </c>
      <c r="R157" s="2" t="inlineStr"/>
    </row>
    <row r="158" ht="15" customHeight="1">
      <c r="A158" t="inlineStr">
        <is>
          <t>A 53660-2021</t>
        </is>
      </c>
      <c r="B158" s="1" t="n">
        <v>44469</v>
      </c>
      <c r="C158" s="1" t="n">
        <v>45994</v>
      </c>
      <c r="D158" t="inlineStr">
        <is>
          <t>ÖSTERGÖTLANDS LÄN</t>
        </is>
      </c>
      <c r="E158" t="inlineStr">
        <is>
          <t>LINKÖPING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45994</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52966-2021</t>
        </is>
      </c>
      <c r="B160" s="1" t="n">
        <v>44467</v>
      </c>
      <c r="C160" s="1" t="n">
        <v>45994</v>
      </c>
      <c r="D160" t="inlineStr">
        <is>
          <t>ÖSTERGÖTLANDS LÄN</t>
        </is>
      </c>
      <c r="E160" t="inlineStr">
        <is>
          <t>LINKÖPING</t>
        </is>
      </c>
      <c r="G160" t="n">
        <v>2.6</v>
      </c>
      <c r="H160" t="n">
        <v>0</v>
      </c>
      <c r="I160" t="n">
        <v>0</v>
      </c>
      <c r="J160" t="n">
        <v>0</v>
      </c>
      <c r="K160" t="n">
        <v>0</v>
      </c>
      <c r="L160" t="n">
        <v>0</v>
      </c>
      <c r="M160" t="n">
        <v>0</v>
      </c>
      <c r="N160" t="n">
        <v>0</v>
      </c>
      <c r="O160" t="n">
        <v>0</v>
      </c>
      <c r="P160" t="n">
        <v>0</v>
      </c>
      <c r="Q160" t="n">
        <v>0</v>
      </c>
      <c r="R160" s="2" t="inlineStr"/>
    </row>
    <row r="161" ht="15" customHeight="1">
      <c r="A161" t="inlineStr">
        <is>
          <t>A 37934-2022</t>
        </is>
      </c>
      <c r="B161" s="1" t="n">
        <v>44809</v>
      </c>
      <c r="C161" s="1" t="n">
        <v>45994</v>
      </c>
      <c r="D161" t="inlineStr">
        <is>
          <t>ÖSTERGÖTLANDS LÄN</t>
        </is>
      </c>
      <c r="E161" t="inlineStr">
        <is>
          <t>LINKÖPING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25305-2021</t>
        </is>
      </c>
      <c r="B162" s="1" t="n">
        <v>44342</v>
      </c>
      <c r="C162" s="1" t="n">
        <v>45994</v>
      </c>
      <c r="D162" t="inlineStr">
        <is>
          <t>ÖSTERGÖTLANDS LÄN</t>
        </is>
      </c>
      <c r="E162" t="inlineStr">
        <is>
          <t>LINKÖPING</t>
        </is>
      </c>
      <c r="F162" t="inlineStr">
        <is>
          <t>Övriga Aktiebolag</t>
        </is>
      </c>
      <c r="G162" t="n">
        <v>1</v>
      </c>
      <c r="H162" t="n">
        <v>0</v>
      </c>
      <c r="I162" t="n">
        <v>0</v>
      </c>
      <c r="J162" t="n">
        <v>0</v>
      </c>
      <c r="K162" t="n">
        <v>0</v>
      </c>
      <c r="L162" t="n">
        <v>0</v>
      </c>
      <c r="M162" t="n">
        <v>0</v>
      </c>
      <c r="N162" t="n">
        <v>0</v>
      </c>
      <c r="O162" t="n">
        <v>0</v>
      </c>
      <c r="P162" t="n">
        <v>0</v>
      </c>
      <c r="Q162" t="n">
        <v>0</v>
      </c>
      <c r="R162" s="2" t="inlineStr"/>
    </row>
    <row r="163" ht="15" customHeight="1">
      <c r="A163" t="inlineStr">
        <is>
          <t>A 4240-2022</t>
        </is>
      </c>
      <c r="B163" s="1" t="n">
        <v>44588</v>
      </c>
      <c r="C163" s="1" t="n">
        <v>45994</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54854-2022</t>
        </is>
      </c>
      <c r="B164" s="1" t="n">
        <v>44884</v>
      </c>
      <c r="C164" s="1" t="n">
        <v>45994</v>
      </c>
      <c r="D164" t="inlineStr">
        <is>
          <t>ÖSTERGÖTLANDS LÄN</t>
        </is>
      </c>
      <c r="E164" t="inlineStr">
        <is>
          <t>LINKÖPING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54855-2022</t>
        </is>
      </c>
      <c r="B165" s="1" t="n">
        <v>44884.59502314815</v>
      </c>
      <c r="C165" s="1" t="n">
        <v>45994</v>
      </c>
      <c r="D165" t="inlineStr">
        <is>
          <t>ÖSTERGÖTLANDS LÄN</t>
        </is>
      </c>
      <c r="E165" t="inlineStr">
        <is>
          <t>LINKÖPING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23416-2022</t>
        </is>
      </c>
      <c r="B166" s="1" t="n">
        <v>44720.78243055556</v>
      </c>
      <c r="C166" s="1" t="n">
        <v>45994</v>
      </c>
      <c r="D166" t="inlineStr">
        <is>
          <t>ÖSTERGÖTLANDS LÄN</t>
        </is>
      </c>
      <c r="E166" t="inlineStr">
        <is>
          <t>LINKÖPING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45994</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20901-2021</t>
        </is>
      </c>
      <c r="B168" s="1" t="n">
        <v>44319</v>
      </c>
      <c r="C168" s="1" t="n">
        <v>45994</v>
      </c>
      <c r="D168" t="inlineStr">
        <is>
          <t>ÖSTERGÖTLANDS LÄN</t>
        </is>
      </c>
      <c r="E168" t="inlineStr">
        <is>
          <t>LINKÖPING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46891-2021</t>
        </is>
      </c>
      <c r="B169" s="1" t="n">
        <v>44446.44587962963</v>
      </c>
      <c r="C169" s="1" t="n">
        <v>45994</v>
      </c>
      <c r="D169" t="inlineStr">
        <is>
          <t>ÖSTERGÖTLANDS LÄN</t>
        </is>
      </c>
      <c r="E169" t="inlineStr">
        <is>
          <t>LINKÖPING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384-2021</t>
        </is>
      </c>
      <c r="B170" s="1" t="n">
        <v>44201.57689814815</v>
      </c>
      <c r="C170" s="1" t="n">
        <v>45994</v>
      </c>
      <c r="D170" t="inlineStr">
        <is>
          <t>ÖSTERGÖTLANDS LÄN</t>
        </is>
      </c>
      <c r="E170" t="inlineStr">
        <is>
          <t>LINKÖPING</t>
        </is>
      </c>
      <c r="G170" t="n">
        <v>0.2</v>
      </c>
      <c r="H170" t="n">
        <v>0</v>
      </c>
      <c r="I170" t="n">
        <v>0</v>
      </c>
      <c r="J170" t="n">
        <v>0</v>
      </c>
      <c r="K170" t="n">
        <v>0</v>
      </c>
      <c r="L170" t="n">
        <v>0</v>
      </c>
      <c r="M170" t="n">
        <v>0</v>
      </c>
      <c r="N170" t="n">
        <v>0</v>
      </c>
      <c r="O170" t="n">
        <v>0</v>
      </c>
      <c r="P170" t="n">
        <v>0</v>
      </c>
      <c r="Q170" t="n">
        <v>0</v>
      </c>
      <c r="R170" s="2" t="inlineStr"/>
    </row>
    <row r="171" ht="15" customHeight="1">
      <c r="A171" t="inlineStr">
        <is>
          <t>A 38130-2021</t>
        </is>
      </c>
      <c r="B171" s="1" t="n">
        <v>44405</v>
      </c>
      <c r="C171" s="1" t="n">
        <v>45994</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5605-2022</t>
        </is>
      </c>
      <c r="B172" s="1" t="n">
        <v>44595</v>
      </c>
      <c r="C172" s="1" t="n">
        <v>45994</v>
      </c>
      <c r="D172" t="inlineStr">
        <is>
          <t>ÖSTERGÖTLANDS LÄN</t>
        </is>
      </c>
      <c r="E172" t="inlineStr">
        <is>
          <t>LINKÖPING</t>
        </is>
      </c>
      <c r="F172" t="inlineStr">
        <is>
          <t>Övriga statliga verk och myndigheter</t>
        </is>
      </c>
      <c r="G172" t="n">
        <v>3</v>
      </c>
      <c r="H172" t="n">
        <v>0</v>
      </c>
      <c r="I172" t="n">
        <v>0</v>
      </c>
      <c r="J172" t="n">
        <v>0</v>
      </c>
      <c r="K172" t="n">
        <v>0</v>
      </c>
      <c r="L172" t="n">
        <v>0</v>
      </c>
      <c r="M172" t="n">
        <v>0</v>
      </c>
      <c r="N172" t="n">
        <v>0</v>
      </c>
      <c r="O172" t="n">
        <v>0</v>
      </c>
      <c r="P172" t="n">
        <v>0</v>
      </c>
      <c r="Q172" t="n">
        <v>0</v>
      </c>
      <c r="R172" s="2" t="inlineStr"/>
    </row>
    <row r="173" ht="15" customHeight="1">
      <c r="A173" t="inlineStr">
        <is>
          <t>A 65398-2021</t>
        </is>
      </c>
      <c r="B173" s="1" t="n">
        <v>44515</v>
      </c>
      <c r="C173" s="1" t="n">
        <v>45994</v>
      </c>
      <c r="D173" t="inlineStr">
        <is>
          <t>ÖSTERGÖTLANDS LÄN</t>
        </is>
      </c>
      <c r="E173" t="inlineStr">
        <is>
          <t>LINKÖPING</t>
        </is>
      </c>
      <c r="F173" t="inlineStr">
        <is>
          <t>Övriga statliga verk och myndigheter</t>
        </is>
      </c>
      <c r="G173" t="n">
        <v>2.4</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45994</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27666-2022</t>
        </is>
      </c>
      <c r="B175" s="1" t="n">
        <v>44743.39017361111</v>
      </c>
      <c r="C175" s="1" t="n">
        <v>45994</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19183-2021</t>
        </is>
      </c>
      <c r="B176" s="1" t="n">
        <v>44308.73248842593</v>
      </c>
      <c r="C176" s="1" t="n">
        <v>45994</v>
      </c>
      <c r="D176" t="inlineStr">
        <is>
          <t>ÖSTERGÖTLANDS LÄN</t>
        </is>
      </c>
      <c r="E176" t="inlineStr">
        <is>
          <t>LINKÖPING</t>
        </is>
      </c>
      <c r="F176" t="inlineStr">
        <is>
          <t>Allmännings- och besparingsskogar</t>
        </is>
      </c>
      <c r="G176" t="n">
        <v>4.6</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45994</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45994</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52968-2021</t>
        </is>
      </c>
      <c r="B179" s="1" t="n">
        <v>44467</v>
      </c>
      <c r="C179" s="1" t="n">
        <v>45994</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65395-2021</t>
        </is>
      </c>
      <c r="B180" s="1" t="n">
        <v>44515</v>
      </c>
      <c r="C180" s="1" t="n">
        <v>45994</v>
      </c>
      <c r="D180" t="inlineStr">
        <is>
          <t>ÖSTERGÖTLANDS LÄN</t>
        </is>
      </c>
      <c r="E180" t="inlineStr">
        <is>
          <t>LINKÖPING</t>
        </is>
      </c>
      <c r="F180" t="inlineStr">
        <is>
          <t>Övriga statliga verk och myndigheter</t>
        </is>
      </c>
      <c r="G180" t="n">
        <v>0.7</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45994</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48016-2021</t>
        </is>
      </c>
      <c r="B182" s="1" t="n">
        <v>44449</v>
      </c>
      <c r="C182" s="1" t="n">
        <v>45994</v>
      </c>
      <c r="D182" t="inlineStr">
        <is>
          <t>ÖSTERGÖTLANDS LÄN</t>
        </is>
      </c>
      <c r="E182" t="inlineStr">
        <is>
          <t>LINKÖPING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13922-2021</t>
        </is>
      </c>
      <c r="B183" s="1" t="n">
        <v>44277.45946759259</v>
      </c>
      <c r="C183" s="1" t="n">
        <v>45994</v>
      </c>
      <c r="D183" t="inlineStr">
        <is>
          <t>ÖSTERGÖTLANDS LÄN</t>
        </is>
      </c>
      <c r="E183" t="inlineStr">
        <is>
          <t>LINKÖPING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30858-2022</t>
        </is>
      </c>
      <c r="B184" s="1" t="n">
        <v>44767</v>
      </c>
      <c r="C184" s="1" t="n">
        <v>45994</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45994</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45994</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61302-2021</t>
        </is>
      </c>
      <c r="B187" s="1" t="n">
        <v>44498.63189814815</v>
      </c>
      <c r="C187" s="1" t="n">
        <v>45994</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32255-2021</t>
        </is>
      </c>
      <c r="B188" s="1" t="n">
        <v>44371.45949074074</v>
      </c>
      <c r="C188" s="1" t="n">
        <v>45994</v>
      </c>
      <c r="D188" t="inlineStr">
        <is>
          <t>ÖSTERGÖTLANDS LÄN</t>
        </is>
      </c>
      <c r="E188" t="inlineStr">
        <is>
          <t>LINKÖPING</t>
        </is>
      </c>
      <c r="F188" t="inlineStr">
        <is>
          <t>Övriga Aktiebolag</t>
        </is>
      </c>
      <c r="G188" t="n">
        <v>1.1</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45994</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38235-2022</t>
        </is>
      </c>
      <c r="B190" s="1" t="n">
        <v>44812</v>
      </c>
      <c r="C190" s="1" t="n">
        <v>45994</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45994</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27769-2022</t>
        </is>
      </c>
      <c r="B192" s="1" t="n">
        <v>44743.53200231482</v>
      </c>
      <c r="C192" s="1" t="n">
        <v>45994</v>
      </c>
      <c r="D192" t="inlineStr">
        <is>
          <t>ÖSTERGÖTLANDS LÄN</t>
        </is>
      </c>
      <c r="E192" t="inlineStr">
        <is>
          <t>LINKÖPING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45994</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45994</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34880-2022</t>
        </is>
      </c>
      <c r="B195" s="1" t="n">
        <v>44796</v>
      </c>
      <c r="C195" s="1" t="n">
        <v>45994</v>
      </c>
      <c r="D195" t="inlineStr">
        <is>
          <t>ÖSTERGÖTLANDS LÄN</t>
        </is>
      </c>
      <c r="E195" t="inlineStr">
        <is>
          <t>LINKÖPING</t>
        </is>
      </c>
      <c r="F195" t="inlineStr">
        <is>
          <t>Övriga statliga verk och myndigheter</t>
        </is>
      </c>
      <c r="G195" t="n">
        <v>4</v>
      </c>
      <c r="H195" t="n">
        <v>0</v>
      </c>
      <c r="I195" t="n">
        <v>0</v>
      </c>
      <c r="J195" t="n">
        <v>0</v>
      </c>
      <c r="K195" t="n">
        <v>0</v>
      </c>
      <c r="L195" t="n">
        <v>0</v>
      </c>
      <c r="M195" t="n">
        <v>0</v>
      </c>
      <c r="N195" t="n">
        <v>0</v>
      </c>
      <c r="O195" t="n">
        <v>0</v>
      </c>
      <c r="P195" t="n">
        <v>0</v>
      </c>
      <c r="Q195" t="n">
        <v>0</v>
      </c>
      <c r="R195" s="2" t="inlineStr"/>
    </row>
    <row r="196" ht="15" customHeight="1">
      <c r="A196" t="inlineStr">
        <is>
          <t>A 48042-2022</t>
        </is>
      </c>
      <c r="B196" s="1" t="n">
        <v>44855</v>
      </c>
      <c r="C196" s="1" t="n">
        <v>45994</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12412-2022</t>
        </is>
      </c>
      <c r="B197" s="1" t="n">
        <v>44638</v>
      </c>
      <c r="C197" s="1" t="n">
        <v>45994</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34486-2021</t>
        </is>
      </c>
      <c r="B198" s="1" t="n">
        <v>44382.29295138889</v>
      </c>
      <c r="C198" s="1" t="n">
        <v>45994</v>
      </c>
      <c r="D198" t="inlineStr">
        <is>
          <t>ÖSTERGÖTLANDS LÄN</t>
        </is>
      </c>
      <c r="E198" t="inlineStr">
        <is>
          <t>LINKÖPING</t>
        </is>
      </c>
      <c r="G198" t="n">
        <v>4.4</v>
      </c>
      <c r="H198" t="n">
        <v>0</v>
      </c>
      <c r="I198" t="n">
        <v>0</v>
      </c>
      <c r="J198" t="n">
        <v>0</v>
      </c>
      <c r="K198" t="n">
        <v>0</v>
      </c>
      <c r="L198" t="n">
        <v>0</v>
      </c>
      <c r="M198" t="n">
        <v>0</v>
      </c>
      <c r="N198" t="n">
        <v>0</v>
      </c>
      <c r="O198" t="n">
        <v>0</v>
      </c>
      <c r="P198" t="n">
        <v>0</v>
      </c>
      <c r="Q198" t="n">
        <v>0</v>
      </c>
      <c r="R198" s="2" t="inlineStr"/>
    </row>
    <row r="199" ht="15" customHeight="1">
      <c r="A199" t="inlineStr">
        <is>
          <t>A 3008-2023</t>
        </is>
      </c>
      <c r="B199" s="1" t="n">
        <v>44945.79784722222</v>
      </c>
      <c r="C199" s="1" t="n">
        <v>45994</v>
      </c>
      <c r="D199" t="inlineStr">
        <is>
          <t>ÖSTERGÖTLANDS LÄN</t>
        </is>
      </c>
      <c r="E199" t="inlineStr">
        <is>
          <t>LINKÖPING</t>
        </is>
      </c>
      <c r="G199" t="n">
        <v>19.3</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45994</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34558-2022</t>
        </is>
      </c>
      <c r="B201" s="1" t="n">
        <v>44794.57594907407</v>
      </c>
      <c r="C201" s="1" t="n">
        <v>45994</v>
      </c>
      <c r="D201" t="inlineStr">
        <is>
          <t>ÖSTERGÖTLANDS LÄN</t>
        </is>
      </c>
      <c r="E201" t="inlineStr">
        <is>
          <t>LINKÖPING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63489-2023</t>
        </is>
      </c>
      <c r="B202" s="1" t="n">
        <v>45274.66761574074</v>
      </c>
      <c r="C202" s="1" t="n">
        <v>45994</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30521-2024</t>
        </is>
      </c>
      <c r="B203" s="1" t="n">
        <v>45492</v>
      </c>
      <c r="C203" s="1" t="n">
        <v>45994</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28266-2024</t>
        </is>
      </c>
      <c r="B204" s="1" t="n">
        <v>45477.43600694444</v>
      </c>
      <c r="C204" s="1" t="n">
        <v>45994</v>
      </c>
      <c r="D204" t="inlineStr">
        <is>
          <t>ÖSTERGÖTLANDS LÄN</t>
        </is>
      </c>
      <c r="E204" t="inlineStr">
        <is>
          <t>LINKÖPING</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51191-2022</t>
        </is>
      </c>
      <c r="B205" s="1" t="n">
        <v>44865</v>
      </c>
      <c r="C205" s="1" t="n">
        <v>45994</v>
      </c>
      <c r="D205" t="inlineStr">
        <is>
          <t>ÖSTERGÖTLANDS LÄN</t>
        </is>
      </c>
      <c r="E205" t="inlineStr">
        <is>
          <t>LINKÖPING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31732-2022</t>
        </is>
      </c>
      <c r="B206" s="1" t="n">
        <v>44776.49267361111</v>
      </c>
      <c r="C206" s="1" t="n">
        <v>45994</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45994</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12289-2025</t>
        </is>
      </c>
      <c r="B208" s="1" t="n">
        <v>45729</v>
      </c>
      <c r="C208" s="1" t="n">
        <v>45994</v>
      </c>
      <c r="D208" t="inlineStr">
        <is>
          <t>ÖSTERGÖTLANDS LÄN</t>
        </is>
      </c>
      <c r="E208" t="inlineStr">
        <is>
          <t>LINKÖPING</t>
        </is>
      </c>
      <c r="F208" t="inlineStr">
        <is>
          <t>Övriga statliga verk och myndigheter</t>
        </is>
      </c>
      <c r="G208" t="n">
        <v>6.5</v>
      </c>
      <c r="H208" t="n">
        <v>0</v>
      </c>
      <c r="I208" t="n">
        <v>0</v>
      </c>
      <c r="J208" t="n">
        <v>0</v>
      </c>
      <c r="K208" t="n">
        <v>0</v>
      </c>
      <c r="L208" t="n">
        <v>0</v>
      </c>
      <c r="M208" t="n">
        <v>0</v>
      </c>
      <c r="N208" t="n">
        <v>0</v>
      </c>
      <c r="O208" t="n">
        <v>0</v>
      </c>
      <c r="P208" t="n">
        <v>0</v>
      </c>
      <c r="Q208" t="n">
        <v>0</v>
      </c>
      <c r="R208" s="2" t="inlineStr"/>
    </row>
    <row r="209" ht="15" customHeight="1">
      <c r="A209" t="inlineStr">
        <is>
          <t>A 22772-2024</t>
        </is>
      </c>
      <c r="B209" s="1" t="n">
        <v>45448.46712962963</v>
      </c>
      <c r="C209" s="1" t="n">
        <v>45994</v>
      </c>
      <c r="D209" t="inlineStr">
        <is>
          <t>ÖSTERGÖTLANDS LÄN</t>
        </is>
      </c>
      <c r="E209" t="inlineStr">
        <is>
          <t>LINKÖPING</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38230-2023</t>
        </is>
      </c>
      <c r="B210" s="1" t="n">
        <v>45161.55373842592</v>
      </c>
      <c r="C210" s="1" t="n">
        <v>45994</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45442-2024</t>
        </is>
      </c>
      <c r="B211" s="1" t="n">
        <v>45576.64189814815</v>
      </c>
      <c r="C211" s="1" t="n">
        <v>45994</v>
      </c>
      <c r="D211" t="inlineStr">
        <is>
          <t>ÖSTERGÖTLANDS LÄN</t>
        </is>
      </c>
      <c r="E211" t="inlineStr">
        <is>
          <t>LINKÖPING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20455-2024</t>
        </is>
      </c>
      <c r="B212" s="1" t="n">
        <v>45435.65314814815</v>
      </c>
      <c r="C212" s="1" t="n">
        <v>45994</v>
      </c>
      <c r="D212" t="inlineStr">
        <is>
          <t>ÖSTERGÖTLANDS LÄN</t>
        </is>
      </c>
      <c r="E212" t="inlineStr">
        <is>
          <t>LINKÖPING</t>
        </is>
      </c>
      <c r="G212" t="n">
        <v>2.6</v>
      </c>
      <c r="H212" t="n">
        <v>0</v>
      </c>
      <c r="I212" t="n">
        <v>0</v>
      </c>
      <c r="J212" t="n">
        <v>0</v>
      </c>
      <c r="K212" t="n">
        <v>0</v>
      </c>
      <c r="L212" t="n">
        <v>0</v>
      </c>
      <c r="M212" t="n">
        <v>0</v>
      </c>
      <c r="N212" t="n">
        <v>0</v>
      </c>
      <c r="O212" t="n">
        <v>0</v>
      </c>
      <c r="P212" t="n">
        <v>0</v>
      </c>
      <c r="Q212" t="n">
        <v>0</v>
      </c>
      <c r="R212" s="2" t="inlineStr"/>
    </row>
    <row r="213" ht="15" customHeight="1">
      <c r="A213" t="inlineStr">
        <is>
          <t>A 4908-2023</t>
        </is>
      </c>
      <c r="B213" s="1" t="n">
        <v>44958</v>
      </c>
      <c r="C213" s="1" t="n">
        <v>45994</v>
      </c>
      <c r="D213" t="inlineStr">
        <is>
          <t>ÖSTERGÖTLANDS LÄN</t>
        </is>
      </c>
      <c r="E213" t="inlineStr">
        <is>
          <t>LINKÖPING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224-2024</t>
        </is>
      </c>
      <c r="B214" s="1" t="n">
        <v>45294</v>
      </c>
      <c r="C214" s="1" t="n">
        <v>45994</v>
      </c>
      <c r="D214" t="inlineStr">
        <is>
          <t>ÖSTERGÖTLANDS LÄN</t>
        </is>
      </c>
      <c r="E214" t="inlineStr">
        <is>
          <t>LINKÖPING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9434-2024</t>
        </is>
      </c>
      <c r="B215" s="1" t="n">
        <v>45359</v>
      </c>
      <c r="C215" s="1" t="n">
        <v>45994</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1265-2023</t>
        </is>
      </c>
      <c r="B216" s="1" t="n">
        <v>44936</v>
      </c>
      <c r="C216" s="1" t="n">
        <v>45994</v>
      </c>
      <c r="D216" t="inlineStr">
        <is>
          <t>ÖSTERGÖTLANDS LÄN</t>
        </is>
      </c>
      <c r="E216" t="inlineStr">
        <is>
          <t>LINKÖPING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42054-2022</t>
        </is>
      </c>
      <c r="B217" s="1" t="n">
        <v>44830</v>
      </c>
      <c r="C217" s="1" t="n">
        <v>45994</v>
      </c>
      <c r="D217" t="inlineStr">
        <is>
          <t>ÖSTERGÖTLANDS LÄN</t>
        </is>
      </c>
      <c r="E217" t="inlineStr">
        <is>
          <t>LINKÖPING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54845-2023</t>
        </is>
      </c>
      <c r="B218" s="1" t="n">
        <v>45236</v>
      </c>
      <c r="C218" s="1" t="n">
        <v>45994</v>
      </c>
      <c r="D218" t="inlineStr">
        <is>
          <t>ÖSTERGÖTLANDS LÄN</t>
        </is>
      </c>
      <c r="E218" t="inlineStr">
        <is>
          <t>LINKÖPING</t>
        </is>
      </c>
      <c r="F218" t="inlineStr">
        <is>
          <t>Övriga Aktiebolag</t>
        </is>
      </c>
      <c r="G218" t="n">
        <v>5.7</v>
      </c>
      <c r="H218" t="n">
        <v>0</v>
      </c>
      <c r="I218" t="n">
        <v>0</v>
      </c>
      <c r="J218" t="n">
        <v>0</v>
      </c>
      <c r="K218" t="n">
        <v>0</v>
      </c>
      <c r="L218" t="n">
        <v>0</v>
      </c>
      <c r="M218" t="n">
        <v>0</v>
      </c>
      <c r="N218" t="n">
        <v>0</v>
      </c>
      <c r="O218" t="n">
        <v>0</v>
      </c>
      <c r="P218" t="n">
        <v>0</v>
      </c>
      <c r="Q218" t="n">
        <v>0</v>
      </c>
      <c r="R218" s="2" t="inlineStr"/>
    </row>
    <row r="219" ht="15" customHeight="1">
      <c r="A219" t="inlineStr">
        <is>
          <t>A 50182-2023</t>
        </is>
      </c>
      <c r="B219" s="1" t="n">
        <v>45208</v>
      </c>
      <c r="C219" s="1" t="n">
        <v>45994</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62488-2023</t>
        </is>
      </c>
      <c r="B220" s="1" t="n">
        <v>45268.5847337963</v>
      </c>
      <c r="C220" s="1" t="n">
        <v>45994</v>
      </c>
      <c r="D220" t="inlineStr">
        <is>
          <t>ÖSTERGÖTLANDS LÄN</t>
        </is>
      </c>
      <c r="E220" t="inlineStr">
        <is>
          <t>LINKÖPING</t>
        </is>
      </c>
      <c r="G220" t="n">
        <v>4.1</v>
      </c>
      <c r="H220" t="n">
        <v>0</v>
      </c>
      <c r="I220" t="n">
        <v>0</v>
      </c>
      <c r="J220" t="n">
        <v>0</v>
      </c>
      <c r="K220" t="n">
        <v>0</v>
      </c>
      <c r="L220" t="n">
        <v>0</v>
      </c>
      <c r="M220" t="n">
        <v>0</v>
      </c>
      <c r="N220" t="n">
        <v>0</v>
      </c>
      <c r="O220" t="n">
        <v>0</v>
      </c>
      <c r="P220" t="n">
        <v>0</v>
      </c>
      <c r="Q220" t="n">
        <v>0</v>
      </c>
      <c r="R220" s="2" t="inlineStr"/>
    </row>
    <row r="221" ht="15" customHeight="1">
      <c r="A221" t="inlineStr">
        <is>
          <t>A 24351-2024</t>
        </is>
      </c>
      <c r="B221" s="1" t="n">
        <v>45457.59011574074</v>
      </c>
      <c r="C221" s="1" t="n">
        <v>45994</v>
      </c>
      <c r="D221" t="inlineStr">
        <is>
          <t>ÖSTERGÖTLANDS LÄN</t>
        </is>
      </c>
      <c r="E221" t="inlineStr">
        <is>
          <t>LINKÖPING</t>
        </is>
      </c>
      <c r="G221" t="n">
        <v>11.9</v>
      </c>
      <c r="H221" t="n">
        <v>0</v>
      </c>
      <c r="I221" t="n">
        <v>0</v>
      </c>
      <c r="J221" t="n">
        <v>0</v>
      </c>
      <c r="K221" t="n">
        <v>0</v>
      </c>
      <c r="L221" t="n">
        <v>0</v>
      </c>
      <c r="M221" t="n">
        <v>0</v>
      </c>
      <c r="N221" t="n">
        <v>0</v>
      </c>
      <c r="O221" t="n">
        <v>0</v>
      </c>
      <c r="P221" t="n">
        <v>0</v>
      </c>
      <c r="Q221" t="n">
        <v>0</v>
      </c>
      <c r="R221" s="2" t="inlineStr"/>
    </row>
    <row r="222" ht="15" customHeight="1">
      <c r="A222" t="inlineStr">
        <is>
          <t>A 35781-2023</t>
        </is>
      </c>
      <c r="B222" s="1" t="n">
        <v>45147</v>
      </c>
      <c r="C222" s="1" t="n">
        <v>45994</v>
      </c>
      <c r="D222" t="inlineStr">
        <is>
          <t>ÖSTERGÖTLANDS LÄN</t>
        </is>
      </c>
      <c r="E222" t="inlineStr">
        <is>
          <t>LINKÖPING</t>
        </is>
      </c>
      <c r="G222" t="n">
        <v>1.6</v>
      </c>
      <c r="H222" t="n">
        <v>0</v>
      </c>
      <c r="I222" t="n">
        <v>0</v>
      </c>
      <c r="J222" t="n">
        <v>0</v>
      </c>
      <c r="K222" t="n">
        <v>0</v>
      </c>
      <c r="L222" t="n">
        <v>0</v>
      </c>
      <c r="M222" t="n">
        <v>0</v>
      </c>
      <c r="N222" t="n">
        <v>0</v>
      </c>
      <c r="O222" t="n">
        <v>0</v>
      </c>
      <c r="P222" t="n">
        <v>0</v>
      </c>
      <c r="Q222" t="n">
        <v>0</v>
      </c>
      <c r="R222" s="2" t="inlineStr"/>
    </row>
    <row r="223" ht="15" customHeight="1">
      <c r="A223" t="inlineStr">
        <is>
          <t>A 4929-2021</t>
        </is>
      </c>
      <c r="B223" s="1" t="n">
        <v>44227.57533564815</v>
      </c>
      <c r="C223" s="1" t="n">
        <v>45994</v>
      </c>
      <c r="D223" t="inlineStr">
        <is>
          <t>ÖSTERGÖTLANDS LÄN</t>
        </is>
      </c>
      <c r="E223" t="inlineStr">
        <is>
          <t>LINKÖPING</t>
        </is>
      </c>
      <c r="G223" t="n">
        <v>0.4</v>
      </c>
      <c r="H223" t="n">
        <v>0</v>
      </c>
      <c r="I223" t="n">
        <v>0</v>
      </c>
      <c r="J223" t="n">
        <v>0</v>
      </c>
      <c r="K223" t="n">
        <v>0</v>
      </c>
      <c r="L223" t="n">
        <v>0</v>
      </c>
      <c r="M223" t="n">
        <v>0</v>
      </c>
      <c r="N223" t="n">
        <v>0</v>
      </c>
      <c r="O223" t="n">
        <v>0</v>
      </c>
      <c r="P223" t="n">
        <v>0</v>
      </c>
      <c r="Q223" t="n">
        <v>0</v>
      </c>
      <c r="R223" s="2" t="inlineStr"/>
    </row>
    <row r="224" ht="15" customHeight="1">
      <c r="A224" t="inlineStr">
        <is>
          <t>A 12411-2022</t>
        </is>
      </c>
      <c r="B224" s="1" t="n">
        <v>44638.21601851852</v>
      </c>
      <c r="C224" s="1" t="n">
        <v>45994</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52796-2023</t>
        </is>
      </c>
      <c r="B225" s="1" t="n">
        <v>45219</v>
      </c>
      <c r="C225" s="1" t="n">
        <v>45994</v>
      </c>
      <c r="D225" t="inlineStr">
        <is>
          <t>ÖSTERGÖTLANDS LÄN</t>
        </is>
      </c>
      <c r="E225" t="inlineStr">
        <is>
          <t>LINKÖPING</t>
        </is>
      </c>
      <c r="F225" t="inlineStr">
        <is>
          <t>Övriga statliga verk och myndigheter</t>
        </is>
      </c>
      <c r="G225" t="n">
        <v>3.9</v>
      </c>
      <c r="H225" t="n">
        <v>0</v>
      </c>
      <c r="I225" t="n">
        <v>0</v>
      </c>
      <c r="J225" t="n">
        <v>0</v>
      </c>
      <c r="K225" t="n">
        <v>0</v>
      </c>
      <c r="L225" t="n">
        <v>0</v>
      </c>
      <c r="M225" t="n">
        <v>0</v>
      </c>
      <c r="N225" t="n">
        <v>0</v>
      </c>
      <c r="O225" t="n">
        <v>0</v>
      </c>
      <c r="P225" t="n">
        <v>0</v>
      </c>
      <c r="Q225" t="n">
        <v>0</v>
      </c>
      <c r="R225" s="2" t="inlineStr"/>
    </row>
    <row r="226" ht="15" customHeight="1">
      <c r="A226" t="inlineStr">
        <is>
          <t>A 30855-2022</t>
        </is>
      </c>
      <c r="B226" s="1" t="n">
        <v>44767</v>
      </c>
      <c r="C226" s="1" t="n">
        <v>45994</v>
      </c>
      <c r="D226" t="inlineStr">
        <is>
          <t>ÖSTERGÖTLANDS LÄN</t>
        </is>
      </c>
      <c r="E226" t="inlineStr">
        <is>
          <t>LINKÖPING</t>
        </is>
      </c>
      <c r="G226" t="n">
        <v>2.2</v>
      </c>
      <c r="H226" t="n">
        <v>0</v>
      </c>
      <c r="I226" t="n">
        <v>0</v>
      </c>
      <c r="J226" t="n">
        <v>0</v>
      </c>
      <c r="K226" t="n">
        <v>0</v>
      </c>
      <c r="L226" t="n">
        <v>0</v>
      </c>
      <c r="M226" t="n">
        <v>0</v>
      </c>
      <c r="N226" t="n">
        <v>0</v>
      </c>
      <c r="O226" t="n">
        <v>0</v>
      </c>
      <c r="P226" t="n">
        <v>0</v>
      </c>
      <c r="Q226" t="n">
        <v>0</v>
      </c>
      <c r="R226" s="2" t="inlineStr"/>
    </row>
    <row r="227" ht="15" customHeight="1">
      <c r="A227" t="inlineStr">
        <is>
          <t>A 6387-2022</t>
        </is>
      </c>
      <c r="B227" s="1" t="n">
        <v>44600</v>
      </c>
      <c r="C227" s="1" t="n">
        <v>45994</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48707-2023</t>
        </is>
      </c>
      <c r="B228" s="1" t="n">
        <v>45202</v>
      </c>
      <c r="C228" s="1" t="n">
        <v>45994</v>
      </c>
      <c r="D228" t="inlineStr">
        <is>
          <t>ÖSTERGÖTLANDS LÄN</t>
        </is>
      </c>
      <c r="E228" t="inlineStr">
        <is>
          <t>LINKÖPING</t>
        </is>
      </c>
      <c r="G228" t="n">
        <v>1.6</v>
      </c>
      <c r="H228" t="n">
        <v>0</v>
      </c>
      <c r="I228" t="n">
        <v>0</v>
      </c>
      <c r="J228" t="n">
        <v>0</v>
      </c>
      <c r="K228" t="n">
        <v>0</v>
      </c>
      <c r="L228" t="n">
        <v>0</v>
      </c>
      <c r="M228" t="n">
        <v>0</v>
      </c>
      <c r="N228" t="n">
        <v>0</v>
      </c>
      <c r="O228" t="n">
        <v>0</v>
      </c>
      <c r="P228" t="n">
        <v>0</v>
      </c>
      <c r="Q228" t="n">
        <v>0</v>
      </c>
      <c r="R228" s="2" t="inlineStr"/>
    </row>
    <row r="229" ht="15" customHeight="1">
      <c r="A229" t="inlineStr">
        <is>
          <t>A 34877-2023</t>
        </is>
      </c>
      <c r="B229" s="1" t="n">
        <v>45140</v>
      </c>
      <c r="C229" s="1" t="n">
        <v>45994</v>
      </c>
      <c r="D229" t="inlineStr">
        <is>
          <t>ÖSTERGÖTLANDS LÄN</t>
        </is>
      </c>
      <c r="E229" t="inlineStr">
        <is>
          <t>LINKÖPING</t>
        </is>
      </c>
      <c r="G229" t="n">
        <v>1.9</v>
      </c>
      <c r="H229" t="n">
        <v>0</v>
      </c>
      <c r="I229" t="n">
        <v>0</v>
      </c>
      <c r="J229" t="n">
        <v>0</v>
      </c>
      <c r="K229" t="n">
        <v>0</v>
      </c>
      <c r="L229" t="n">
        <v>0</v>
      </c>
      <c r="M229" t="n">
        <v>0</v>
      </c>
      <c r="N229" t="n">
        <v>0</v>
      </c>
      <c r="O229" t="n">
        <v>0</v>
      </c>
      <c r="P229" t="n">
        <v>0</v>
      </c>
      <c r="Q229" t="n">
        <v>0</v>
      </c>
      <c r="R229" s="2" t="inlineStr"/>
    </row>
    <row r="230" ht="15" customHeight="1">
      <c r="A230" t="inlineStr">
        <is>
          <t>A 33891-2021</t>
        </is>
      </c>
      <c r="B230" s="1" t="n">
        <v>44378</v>
      </c>
      <c r="C230" s="1" t="n">
        <v>45994</v>
      </c>
      <c r="D230" t="inlineStr">
        <is>
          <t>ÖSTERGÖTLANDS LÄN</t>
        </is>
      </c>
      <c r="E230" t="inlineStr">
        <is>
          <t>LINKÖPING</t>
        </is>
      </c>
      <c r="G230" t="n">
        <v>5.1</v>
      </c>
      <c r="H230" t="n">
        <v>0</v>
      </c>
      <c r="I230" t="n">
        <v>0</v>
      </c>
      <c r="J230" t="n">
        <v>0</v>
      </c>
      <c r="K230" t="n">
        <v>0</v>
      </c>
      <c r="L230" t="n">
        <v>0</v>
      </c>
      <c r="M230" t="n">
        <v>0</v>
      </c>
      <c r="N230" t="n">
        <v>0</v>
      </c>
      <c r="O230" t="n">
        <v>0</v>
      </c>
      <c r="P230" t="n">
        <v>0</v>
      </c>
      <c r="Q230" t="n">
        <v>0</v>
      </c>
      <c r="R230" s="2" t="inlineStr"/>
    </row>
    <row r="231" ht="15" customHeight="1">
      <c r="A231" t="inlineStr">
        <is>
          <t>A 30856-2022</t>
        </is>
      </c>
      <c r="B231" s="1" t="n">
        <v>44767</v>
      </c>
      <c r="C231" s="1" t="n">
        <v>45994</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19254-2021</t>
        </is>
      </c>
      <c r="B232" s="1" t="n">
        <v>44309.38962962963</v>
      </c>
      <c r="C232" s="1" t="n">
        <v>45994</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4377-2021</t>
        </is>
      </c>
      <c r="B233" s="1" t="n">
        <v>44223</v>
      </c>
      <c r="C233" s="1" t="n">
        <v>45994</v>
      </c>
      <c r="D233" t="inlineStr">
        <is>
          <t>ÖSTERGÖTLANDS LÄN</t>
        </is>
      </c>
      <c r="E233" t="inlineStr">
        <is>
          <t>LINKÖPING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23491-2024</t>
        </is>
      </c>
      <c r="B234" s="1" t="n">
        <v>45453</v>
      </c>
      <c r="C234" s="1" t="n">
        <v>45994</v>
      </c>
      <c r="D234" t="inlineStr">
        <is>
          <t>ÖSTERGÖTLANDS LÄN</t>
        </is>
      </c>
      <c r="E234" t="inlineStr">
        <is>
          <t>LINKÖPING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70-2024</t>
        </is>
      </c>
      <c r="B235" s="1" t="n">
        <v>45293</v>
      </c>
      <c r="C235" s="1" t="n">
        <v>45994</v>
      </c>
      <c r="D235" t="inlineStr">
        <is>
          <t>ÖSTERGÖTLANDS LÄN</t>
        </is>
      </c>
      <c r="E235" t="inlineStr">
        <is>
          <t>LINKÖPING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6054-2022</t>
        </is>
      </c>
      <c r="B236" s="1" t="n">
        <v>44599.53623842593</v>
      </c>
      <c r="C236" s="1" t="n">
        <v>45994</v>
      </c>
      <c r="D236" t="inlineStr">
        <is>
          <t>ÖSTERGÖTLANDS LÄN</t>
        </is>
      </c>
      <c r="E236" t="inlineStr">
        <is>
          <t>LINKÖPING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31725-2022</t>
        </is>
      </c>
      <c r="B237" s="1" t="n">
        <v>44776.48541666667</v>
      </c>
      <c r="C237" s="1" t="n">
        <v>45994</v>
      </c>
      <c r="D237" t="inlineStr">
        <is>
          <t>ÖSTERGÖTLANDS LÄN</t>
        </is>
      </c>
      <c r="E237" t="inlineStr">
        <is>
          <t>LINKÖPING</t>
        </is>
      </c>
      <c r="G237" t="n">
        <v>2.6</v>
      </c>
      <c r="H237" t="n">
        <v>0</v>
      </c>
      <c r="I237" t="n">
        <v>0</v>
      </c>
      <c r="J237" t="n">
        <v>0</v>
      </c>
      <c r="K237" t="n">
        <v>0</v>
      </c>
      <c r="L237" t="n">
        <v>0</v>
      </c>
      <c r="M237" t="n">
        <v>0</v>
      </c>
      <c r="N237" t="n">
        <v>0</v>
      </c>
      <c r="O237" t="n">
        <v>0</v>
      </c>
      <c r="P237" t="n">
        <v>0</v>
      </c>
      <c r="Q237" t="n">
        <v>0</v>
      </c>
      <c r="R237" s="2" t="inlineStr"/>
    </row>
    <row r="238" ht="15" customHeight="1">
      <c r="A238" t="inlineStr">
        <is>
          <t>A 12089-2025</t>
        </is>
      </c>
      <c r="B238" s="1" t="n">
        <v>45729</v>
      </c>
      <c r="C238" s="1" t="n">
        <v>45994</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15658-2023</t>
        </is>
      </c>
      <c r="B239" s="1" t="n">
        <v>45021.41194444444</v>
      </c>
      <c r="C239" s="1" t="n">
        <v>45994</v>
      </c>
      <c r="D239" t="inlineStr">
        <is>
          <t>ÖSTERGÖTLANDS LÄN</t>
        </is>
      </c>
      <c r="E239" t="inlineStr">
        <is>
          <t>LINKÖPING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57745-2022</t>
        </is>
      </c>
      <c r="B240" s="1" t="n">
        <v>44897.58119212963</v>
      </c>
      <c r="C240" s="1" t="n">
        <v>45994</v>
      </c>
      <c r="D240" t="inlineStr">
        <is>
          <t>ÖSTERGÖTLANDS LÄN</t>
        </is>
      </c>
      <c r="E240" t="inlineStr">
        <is>
          <t>LINKÖPING</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61153-2021</t>
        </is>
      </c>
      <c r="B241" s="1" t="n">
        <v>44497</v>
      </c>
      <c r="C241" s="1" t="n">
        <v>45994</v>
      </c>
      <c r="D241" t="inlineStr">
        <is>
          <t>ÖSTERGÖTLANDS LÄN</t>
        </is>
      </c>
      <c r="E241" t="inlineStr">
        <is>
          <t>LINKÖPING</t>
        </is>
      </c>
      <c r="G241" t="n">
        <v>1.7</v>
      </c>
      <c r="H241" t="n">
        <v>0</v>
      </c>
      <c r="I241" t="n">
        <v>0</v>
      </c>
      <c r="J241" t="n">
        <v>0</v>
      </c>
      <c r="K241" t="n">
        <v>0</v>
      </c>
      <c r="L241" t="n">
        <v>0</v>
      </c>
      <c r="M241" t="n">
        <v>0</v>
      </c>
      <c r="N241" t="n">
        <v>0</v>
      </c>
      <c r="O241" t="n">
        <v>0</v>
      </c>
      <c r="P241" t="n">
        <v>0</v>
      </c>
      <c r="Q241" t="n">
        <v>0</v>
      </c>
      <c r="R241" s="2" t="inlineStr"/>
    </row>
    <row r="242" ht="15" customHeight="1">
      <c r="A242" t="inlineStr">
        <is>
          <t>A 33885-2021</t>
        </is>
      </c>
      <c r="B242" s="1" t="n">
        <v>44378</v>
      </c>
      <c r="C242" s="1" t="n">
        <v>45994</v>
      </c>
      <c r="D242" t="inlineStr">
        <is>
          <t>ÖSTERGÖTLANDS LÄN</t>
        </is>
      </c>
      <c r="E242" t="inlineStr">
        <is>
          <t>LINKÖPING</t>
        </is>
      </c>
      <c r="G242" t="n">
        <v>3.5</v>
      </c>
      <c r="H242" t="n">
        <v>0</v>
      </c>
      <c r="I242" t="n">
        <v>0</v>
      </c>
      <c r="J242" t="n">
        <v>0</v>
      </c>
      <c r="K242" t="n">
        <v>0</v>
      </c>
      <c r="L242" t="n">
        <v>0</v>
      </c>
      <c r="M242" t="n">
        <v>0</v>
      </c>
      <c r="N242" t="n">
        <v>0</v>
      </c>
      <c r="O242" t="n">
        <v>0</v>
      </c>
      <c r="P242" t="n">
        <v>0</v>
      </c>
      <c r="Q242" t="n">
        <v>0</v>
      </c>
      <c r="R242" s="2" t="inlineStr"/>
    </row>
    <row r="243" ht="15" customHeight="1">
      <c r="A243" t="inlineStr">
        <is>
          <t>A 34889-2023</t>
        </is>
      </c>
      <c r="B243" s="1" t="n">
        <v>45140</v>
      </c>
      <c r="C243" s="1" t="n">
        <v>45994</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38886-2024</t>
        </is>
      </c>
      <c r="B244" s="1" t="n">
        <v>45547.66443287037</v>
      </c>
      <c r="C244" s="1" t="n">
        <v>45994</v>
      </c>
      <c r="D244" t="inlineStr">
        <is>
          <t>ÖSTERGÖTLANDS LÄN</t>
        </is>
      </c>
      <c r="E244" t="inlineStr">
        <is>
          <t>LINKÖPING</t>
        </is>
      </c>
      <c r="G244" t="n">
        <v>5.3</v>
      </c>
      <c r="H244" t="n">
        <v>0</v>
      </c>
      <c r="I244" t="n">
        <v>0</v>
      </c>
      <c r="J244" t="n">
        <v>0</v>
      </c>
      <c r="K244" t="n">
        <v>0</v>
      </c>
      <c r="L244" t="n">
        <v>0</v>
      </c>
      <c r="M244" t="n">
        <v>0</v>
      </c>
      <c r="N244" t="n">
        <v>0</v>
      </c>
      <c r="O244" t="n">
        <v>0</v>
      </c>
      <c r="P244" t="n">
        <v>0</v>
      </c>
      <c r="Q244" t="n">
        <v>0</v>
      </c>
      <c r="R244" s="2" t="inlineStr"/>
    </row>
    <row r="245" ht="15" customHeight="1">
      <c r="A245" t="inlineStr">
        <is>
          <t>A 12413-2022</t>
        </is>
      </c>
      <c r="B245" s="1" t="n">
        <v>44638</v>
      </c>
      <c r="C245" s="1" t="n">
        <v>45994</v>
      </c>
      <c r="D245" t="inlineStr">
        <is>
          <t>ÖSTERGÖTLANDS LÄN</t>
        </is>
      </c>
      <c r="E245" t="inlineStr">
        <is>
          <t>LINKÖPING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51583-2024</t>
        </is>
      </c>
      <c r="B246" s="1" t="n">
        <v>45604.6397337963</v>
      </c>
      <c r="C246" s="1" t="n">
        <v>45994</v>
      </c>
      <c r="D246" t="inlineStr">
        <is>
          <t>ÖSTERGÖTLANDS LÄN</t>
        </is>
      </c>
      <c r="E246" t="inlineStr">
        <is>
          <t>LINKÖPING</t>
        </is>
      </c>
      <c r="F246" t="inlineStr">
        <is>
          <t>Övriga Aktiebolag</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64694-2023</t>
        </is>
      </c>
      <c r="B247" s="1" t="n">
        <v>45281</v>
      </c>
      <c r="C247" s="1" t="n">
        <v>45994</v>
      </c>
      <c r="D247" t="inlineStr">
        <is>
          <t>ÖSTERGÖTLANDS LÄN</t>
        </is>
      </c>
      <c r="E247" t="inlineStr">
        <is>
          <t>LINKÖPING</t>
        </is>
      </c>
      <c r="F247" t="inlineStr">
        <is>
          <t>Övriga statliga verk och myndigheter</t>
        </is>
      </c>
      <c r="G247" t="n">
        <v>4.9</v>
      </c>
      <c r="H247" t="n">
        <v>0</v>
      </c>
      <c r="I247" t="n">
        <v>0</v>
      </c>
      <c r="J247" t="n">
        <v>0</v>
      </c>
      <c r="K247" t="n">
        <v>0</v>
      </c>
      <c r="L247" t="n">
        <v>0</v>
      </c>
      <c r="M247" t="n">
        <v>0</v>
      </c>
      <c r="N247" t="n">
        <v>0</v>
      </c>
      <c r="O247" t="n">
        <v>0</v>
      </c>
      <c r="P247" t="n">
        <v>0</v>
      </c>
      <c r="Q247" t="n">
        <v>0</v>
      </c>
      <c r="R247" s="2" t="inlineStr"/>
    </row>
    <row r="248" ht="15" customHeight="1">
      <c r="A248" t="inlineStr">
        <is>
          <t>A 1993-2023</t>
        </is>
      </c>
      <c r="B248" s="1" t="n">
        <v>44939</v>
      </c>
      <c r="C248" s="1" t="n">
        <v>45994</v>
      </c>
      <c r="D248" t="inlineStr">
        <is>
          <t>ÖSTERGÖTLANDS LÄN</t>
        </is>
      </c>
      <c r="E248" t="inlineStr">
        <is>
          <t>LINKÖPING</t>
        </is>
      </c>
      <c r="G248" t="n">
        <v>3.7</v>
      </c>
      <c r="H248" t="n">
        <v>0</v>
      </c>
      <c r="I248" t="n">
        <v>0</v>
      </c>
      <c r="J248" t="n">
        <v>0</v>
      </c>
      <c r="K248" t="n">
        <v>0</v>
      </c>
      <c r="L248" t="n">
        <v>0</v>
      </c>
      <c r="M248" t="n">
        <v>0</v>
      </c>
      <c r="N248" t="n">
        <v>0</v>
      </c>
      <c r="O248" t="n">
        <v>0</v>
      </c>
      <c r="P248" t="n">
        <v>0</v>
      </c>
      <c r="Q248" t="n">
        <v>0</v>
      </c>
      <c r="R248" s="2" t="inlineStr"/>
    </row>
    <row r="249" ht="15" customHeight="1">
      <c r="A249" t="inlineStr">
        <is>
          <t>A 32602-2022</t>
        </is>
      </c>
      <c r="B249" s="1" t="n">
        <v>44783.43192129629</v>
      </c>
      <c r="C249" s="1" t="n">
        <v>45994</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62321-2022</t>
        </is>
      </c>
      <c r="B250" s="1" t="n">
        <v>44916</v>
      </c>
      <c r="C250" s="1" t="n">
        <v>45994</v>
      </c>
      <c r="D250" t="inlineStr">
        <is>
          <t>ÖSTERGÖTLANDS LÄN</t>
        </is>
      </c>
      <c r="E250" t="inlineStr">
        <is>
          <t>LINKÖPING</t>
        </is>
      </c>
      <c r="F250" t="inlineStr">
        <is>
          <t>Kommuner</t>
        </is>
      </c>
      <c r="G250" t="n">
        <v>5.3</v>
      </c>
      <c r="H250" t="n">
        <v>0</v>
      </c>
      <c r="I250" t="n">
        <v>0</v>
      </c>
      <c r="J250" t="n">
        <v>0</v>
      </c>
      <c r="K250" t="n">
        <v>0</v>
      </c>
      <c r="L250" t="n">
        <v>0</v>
      </c>
      <c r="M250" t="n">
        <v>0</v>
      </c>
      <c r="N250" t="n">
        <v>0</v>
      </c>
      <c r="O250" t="n">
        <v>0</v>
      </c>
      <c r="P250" t="n">
        <v>0</v>
      </c>
      <c r="Q250" t="n">
        <v>0</v>
      </c>
      <c r="R250" s="2" t="inlineStr"/>
    </row>
    <row r="251" ht="15" customHeight="1">
      <c r="A251" t="inlineStr">
        <is>
          <t>A 22771-2024</t>
        </is>
      </c>
      <c r="B251" s="1" t="n">
        <v>45448.46574074074</v>
      </c>
      <c r="C251" s="1" t="n">
        <v>45994</v>
      </c>
      <c r="D251" t="inlineStr">
        <is>
          <t>ÖSTERGÖTLANDS LÄN</t>
        </is>
      </c>
      <c r="E251" t="inlineStr">
        <is>
          <t>LINKÖPING</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63678-2023</t>
        </is>
      </c>
      <c r="B252" s="1" t="n">
        <v>45275.64769675926</v>
      </c>
      <c r="C252" s="1" t="n">
        <v>45994</v>
      </c>
      <c r="D252" t="inlineStr">
        <is>
          <t>ÖSTERGÖTLANDS LÄN</t>
        </is>
      </c>
      <c r="E252" t="inlineStr">
        <is>
          <t>LINKÖPING</t>
        </is>
      </c>
      <c r="F252" t="inlineStr">
        <is>
          <t>Övriga Aktiebolag</t>
        </is>
      </c>
      <c r="G252" t="n">
        <v>0.4</v>
      </c>
      <c r="H252" t="n">
        <v>0</v>
      </c>
      <c r="I252" t="n">
        <v>0</v>
      </c>
      <c r="J252" t="n">
        <v>0</v>
      </c>
      <c r="K252" t="n">
        <v>0</v>
      </c>
      <c r="L252" t="n">
        <v>0</v>
      </c>
      <c r="M252" t="n">
        <v>0</v>
      </c>
      <c r="N252" t="n">
        <v>0</v>
      </c>
      <c r="O252" t="n">
        <v>0</v>
      </c>
      <c r="P252" t="n">
        <v>0</v>
      </c>
      <c r="Q252" t="n">
        <v>0</v>
      </c>
      <c r="R252" s="2" t="inlineStr"/>
    </row>
    <row r="253" ht="15" customHeight="1">
      <c r="A253" t="inlineStr">
        <is>
          <t>A 52220-2023</t>
        </is>
      </c>
      <c r="B253" s="1" t="n">
        <v>45217</v>
      </c>
      <c r="C253" s="1" t="n">
        <v>45994</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52225-2023</t>
        </is>
      </c>
      <c r="B254" s="1" t="n">
        <v>45217</v>
      </c>
      <c r="C254" s="1" t="n">
        <v>45994</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57391-2023</t>
        </is>
      </c>
      <c r="B255" s="1" t="n">
        <v>45245</v>
      </c>
      <c r="C255" s="1" t="n">
        <v>45994</v>
      </c>
      <c r="D255" t="inlineStr">
        <is>
          <t>ÖSTERGÖTLANDS LÄN</t>
        </is>
      </c>
      <c r="E255" t="inlineStr">
        <is>
          <t>LINKÖPING</t>
        </is>
      </c>
      <c r="F255" t="inlineStr">
        <is>
          <t>Övriga Aktiebolag</t>
        </is>
      </c>
      <c r="G255" t="n">
        <v>1.7</v>
      </c>
      <c r="H255" t="n">
        <v>0</v>
      </c>
      <c r="I255" t="n">
        <v>0</v>
      </c>
      <c r="J255" t="n">
        <v>0</v>
      </c>
      <c r="K255" t="n">
        <v>0</v>
      </c>
      <c r="L255" t="n">
        <v>0</v>
      </c>
      <c r="M255" t="n">
        <v>0</v>
      </c>
      <c r="N255" t="n">
        <v>0</v>
      </c>
      <c r="O255" t="n">
        <v>0</v>
      </c>
      <c r="P255" t="n">
        <v>0</v>
      </c>
      <c r="Q255" t="n">
        <v>0</v>
      </c>
      <c r="R255" s="2" t="inlineStr"/>
    </row>
    <row r="256" ht="15" customHeight="1">
      <c r="A256" t="inlineStr">
        <is>
          <t>A 1084-2023</t>
        </is>
      </c>
      <c r="B256" s="1" t="n">
        <v>44929</v>
      </c>
      <c r="C256" s="1" t="n">
        <v>45994</v>
      </c>
      <c r="D256" t="inlineStr">
        <is>
          <t>ÖSTERGÖTLANDS LÄN</t>
        </is>
      </c>
      <c r="E256" t="inlineStr">
        <is>
          <t>LINKÖPING</t>
        </is>
      </c>
      <c r="G256" t="n">
        <v>10.4</v>
      </c>
      <c r="H256" t="n">
        <v>0</v>
      </c>
      <c r="I256" t="n">
        <v>0</v>
      </c>
      <c r="J256" t="n">
        <v>0</v>
      </c>
      <c r="K256" t="n">
        <v>0</v>
      </c>
      <c r="L256" t="n">
        <v>0</v>
      </c>
      <c r="M256" t="n">
        <v>0</v>
      </c>
      <c r="N256" t="n">
        <v>0</v>
      </c>
      <c r="O256" t="n">
        <v>0</v>
      </c>
      <c r="P256" t="n">
        <v>0</v>
      </c>
      <c r="Q256" t="n">
        <v>0</v>
      </c>
      <c r="R256" s="2" t="inlineStr"/>
    </row>
    <row r="257" ht="15" customHeight="1">
      <c r="A257" t="inlineStr">
        <is>
          <t>A 7992-2023</t>
        </is>
      </c>
      <c r="B257" s="1" t="n">
        <v>44970</v>
      </c>
      <c r="C257" s="1" t="n">
        <v>45994</v>
      </c>
      <c r="D257" t="inlineStr">
        <is>
          <t>ÖSTERGÖTLANDS LÄN</t>
        </is>
      </c>
      <c r="E257" t="inlineStr">
        <is>
          <t>LINKÖPING</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267-2023</t>
        </is>
      </c>
      <c r="B258" s="1" t="n">
        <v>44928.80907407407</v>
      </c>
      <c r="C258" s="1" t="n">
        <v>45994</v>
      </c>
      <c r="D258" t="inlineStr">
        <is>
          <t>ÖSTERGÖTLANDS LÄN</t>
        </is>
      </c>
      <c r="E258" t="inlineStr">
        <is>
          <t>LINKÖPING</t>
        </is>
      </c>
      <c r="G258" t="n">
        <v>2.7</v>
      </c>
      <c r="H258" t="n">
        <v>0</v>
      </c>
      <c r="I258" t="n">
        <v>0</v>
      </c>
      <c r="J258" t="n">
        <v>0</v>
      </c>
      <c r="K258" t="n">
        <v>0</v>
      </c>
      <c r="L258" t="n">
        <v>0</v>
      </c>
      <c r="M258" t="n">
        <v>0</v>
      </c>
      <c r="N258" t="n">
        <v>0</v>
      </c>
      <c r="O258" t="n">
        <v>0</v>
      </c>
      <c r="P258" t="n">
        <v>0</v>
      </c>
      <c r="Q258" t="n">
        <v>0</v>
      </c>
      <c r="R258" s="2" t="inlineStr"/>
    </row>
    <row r="259" ht="15" customHeight="1">
      <c r="A259" t="inlineStr">
        <is>
          <t>A 940-2023</t>
        </is>
      </c>
      <c r="B259" s="1" t="n">
        <v>44933</v>
      </c>
      <c r="C259" s="1" t="n">
        <v>45994</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42832-2023</t>
        </is>
      </c>
      <c r="B260" s="1" t="n">
        <v>45182.38091435185</v>
      </c>
      <c r="C260" s="1" t="n">
        <v>45994</v>
      </c>
      <c r="D260" t="inlineStr">
        <is>
          <t>ÖSTERGÖTLANDS LÄN</t>
        </is>
      </c>
      <c r="E260" t="inlineStr">
        <is>
          <t>LINKÖPING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56560-2023</t>
        </is>
      </c>
      <c r="B261" s="1" t="n">
        <v>45238</v>
      </c>
      <c r="C261" s="1" t="n">
        <v>45994</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52412-2023</t>
        </is>
      </c>
      <c r="B262" s="1" t="n">
        <v>45225.27888888889</v>
      </c>
      <c r="C262" s="1" t="n">
        <v>45994</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52413-2023</t>
        </is>
      </c>
      <c r="B263" s="1" t="n">
        <v>45225.27950231481</v>
      </c>
      <c r="C263" s="1" t="n">
        <v>45994</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13689-2025</t>
        </is>
      </c>
      <c r="B264" s="1" t="n">
        <v>45737.31590277778</v>
      </c>
      <c r="C264" s="1" t="n">
        <v>45994</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13696-2025</t>
        </is>
      </c>
      <c r="B265" s="1" t="n">
        <v>45737.32273148148</v>
      </c>
      <c r="C265" s="1" t="n">
        <v>45994</v>
      </c>
      <c r="D265" t="inlineStr">
        <is>
          <t>ÖSTERGÖTLANDS LÄN</t>
        </is>
      </c>
      <c r="E265" t="inlineStr">
        <is>
          <t>LINKÖPING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6369-2023</t>
        </is>
      </c>
      <c r="B266" s="1" t="n">
        <v>44965.61106481482</v>
      </c>
      <c r="C266" s="1" t="n">
        <v>45994</v>
      </c>
      <c r="D266" t="inlineStr">
        <is>
          <t>ÖSTERGÖTLANDS LÄN</t>
        </is>
      </c>
      <c r="E266" t="inlineStr">
        <is>
          <t>LINKÖPING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7354-2025</t>
        </is>
      </c>
      <c r="B267" s="1" t="n">
        <v>45704.41174768518</v>
      </c>
      <c r="C267" s="1" t="n">
        <v>45994</v>
      </c>
      <c r="D267" t="inlineStr">
        <is>
          <t>ÖSTERGÖTLANDS LÄN</t>
        </is>
      </c>
      <c r="E267" t="inlineStr">
        <is>
          <t>LINKÖPING</t>
        </is>
      </c>
      <c r="G267" t="n">
        <v>4.8</v>
      </c>
      <c r="H267" t="n">
        <v>0</v>
      </c>
      <c r="I267" t="n">
        <v>0</v>
      </c>
      <c r="J267" t="n">
        <v>0</v>
      </c>
      <c r="K267" t="n">
        <v>0</v>
      </c>
      <c r="L267" t="n">
        <v>0</v>
      </c>
      <c r="M267" t="n">
        <v>0</v>
      </c>
      <c r="N267" t="n">
        <v>0</v>
      </c>
      <c r="O267" t="n">
        <v>0</v>
      </c>
      <c r="P267" t="n">
        <v>0</v>
      </c>
      <c r="Q267" t="n">
        <v>0</v>
      </c>
      <c r="R267" s="2" t="inlineStr"/>
    </row>
    <row r="268" ht="15" customHeight="1">
      <c r="A268" t="inlineStr">
        <is>
          <t>A 1924-2024</t>
        </is>
      </c>
      <c r="B268" s="1" t="n">
        <v>45308</v>
      </c>
      <c r="C268" s="1" t="n">
        <v>45994</v>
      </c>
      <c r="D268" t="inlineStr">
        <is>
          <t>ÖSTERGÖTLANDS LÄN</t>
        </is>
      </c>
      <c r="E268" t="inlineStr">
        <is>
          <t>LINKÖPING</t>
        </is>
      </c>
      <c r="F268" t="inlineStr">
        <is>
          <t>Övriga Aktiebolag</t>
        </is>
      </c>
      <c r="G268" t="n">
        <v>0.5</v>
      </c>
      <c r="H268" t="n">
        <v>0</v>
      </c>
      <c r="I268" t="n">
        <v>0</v>
      </c>
      <c r="J268" t="n">
        <v>0</v>
      </c>
      <c r="K268" t="n">
        <v>0</v>
      </c>
      <c r="L268" t="n">
        <v>0</v>
      </c>
      <c r="M268" t="n">
        <v>0</v>
      </c>
      <c r="N268" t="n">
        <v>0</v>
      </c>
      <c r="O268" t="n">
        <v>0</v>
      </c>
      <c r="P268" t="n">
        <v>0</v>
      </c>
      <c r="Q268" t="n">
        <v>0</v>
      </c>
      <c r="R268" s="2" t="inlineStr"/>
    </row>
    <row r="269" ht="15" customHeight="1">
      <c r="A269" t="inlineStr">
        <is>
          <t>A 30980-2022</t>
        </is>
      </c>
      <c r="B269" s="1" t="n">
        <v>44768</v>
      </c>
      <c r="C269" s="1" t="n">
        <v>45994</v>
      </c>
      <c r="D269" t="inlineStr">
        <is>
          <t>ÖSTERGÖTLANDS LÄN</t>
        </is>
      </c>
      <c r="E269" t="inlineStr">
        <is>
          <t>LINKÖPING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60007-2022</t>
        </is>
      </c>
      <c r="B270" s="1" t="n">
        <v>44909.47282407407</v>
      </c>
      <c r="C270" s="1" t="n">
        <v>45994</v>
      </c>
      <c r="D270" t="inlineStr">
        <is>
          <t>ÖSTERGÖTLANDS LÄN</t>
        </is>
      </c>
      <c r="E270" t="inlineStr">
        <is>
          <t>LINKÖPING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50799-2022</t>
        </is>
      </c>
      <c r="B271" s="1" t="n">
        <v>44862</v>
      </c>
      <c r="C271" s="1" t="n">
        <v>45994</v>
      </c>
      <c r="D271" t="inlineStr">
        <is>
          <t>ÖSTERGÖTLANDS LÄN</t>
        </is>
      </c>
      <c r="E271" t="inlineStr">
        <is>
          <t>LINKÖPING</t>
        </is>
      </c>
      <c r="G271" t="n">
        <v>0.9</v>
      </c>
      <c r="H271" t="n">
        <v>0</v>
      </c>
      <c r="I271" t="n">
        <v>0</v>
      </c>
      <c r="J271" t="n">
        <v>0</v>
      </c>
      <c r="K271" t="n">
        <v>0</v>
      </c>
      <c r="L271" t="n">
        <v>0</v>
      </c>
      <c r="M271" t="n">
        <v>0</v>
      </c>
      <c r="N271" t="n">
        <v>0</v>
      </c>
      <c r="O271" t="n">
        <v>0</v>
      </c>
      <c r="P271" t="n">
        <v>0</v>
      </c>
      <c r="Q271" t="n">
        <v>0</v>
      </c>
      <c r="R271" s="2" t="inlineStr"/>
    </row>
    <row r="272" ht="15" customHeight="1">
      <c r="A272" t="inlineStr">
        <is>
          <t>A 32346-2023</t>
        </is>
      </c>
      <c r="B272" s="1" t="n">
        <v>45120</v>
      </c>
      <c r="C272" s="1" t="n">
        <v>45994</v>
      </c>
      <c r="D272" t="inlineStr">
        <is>
          <t>ÖSTERGÖTLANDS LÄN</t>
        </is>
      </c>
      <c r="E272" t="inlineStr">
        <is>
          <t>LINKÖPING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50508-2024</t>
        </is>
      </c>
      <c r="B273" s="1" t="n">
        <v>45601.53907407408</v>
      </c>
      <c r="C273" s="1" t="n">
        <v>45994</v>
      </c>
      <c r="D273" t="inlineStr">
        <is>
          <t>ÖSTERGÖTLANDS LÄN</t>
        </is>
      </c>
      <c r="E273" t="inlineStr">
        <is>
          <t>LINKÖPING</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56064-2022</t>
        </is>
      </c>
      <c r="B274" s="1" t="n">
        <v>44889.59107638889</v>
      </c>
      <c r="C274" s="1" t="n">
        <v>45994</v>
      </c>
      <c r="D274" t="inlineStr">
        <is>
          <t>ÖSTERGÖTLANDS LÄN</t>
        </is>
      </c>
      <c r="E274" t="inlineStr">
        <is>
          <t>LINKÖPING</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47703-2023</t>
        </is>
      </c>
      <c r="B275" s="1" t="n">
        <v>45203</v>
      </c>
      <c r="C275" s="1" t="n">
        <v>45994</v>
      </c>
      <c r="D275" t="inlineStr">
        <is>
          <t>ÖSTERGÖTLANDS LÄN</t>
        </is>
      </c>
      <c r="E275" t="inlineStr">
        <is>
          <t>LINKÖPING</t>
        </is>
      </c>
      <c r="G275" t="n">
        <v>4.1</v>
      </c>
      <c r="H275" t="n">
        <v>0</v>
      </c>
      <c r="I275" t="n">
        <v>0</v>
      </c>
      <c r="J275" t="n">
        <v>0</v>
      </c>
      <c r="K275" t="n">
        <v>0</v>
      </c>
      <c r="L275" t="n">
        <v>0</v>
      </c>
      <c r="M275" t="n">
        <v>0</v>
      </c>
      <c r="N275" t="n">
        <v>0</v>
      </c>
      <c r="O275" t="n">
        <v>0</v>
      </c>
      <c r="P275" t="n">
        <v>0</v>
      </c>
      <c r="Q275" t="n">
        <v>0</v>
      </c>
      <c r="R275" s="2" t="inlineStr"/>
    </row>
    <row r="276" ht="15" customHeight="1">
      <c r="A276" t="inlineStr">
        <is>
          <t>A 7808-2022</t>
        </is>
      </c>
      <c r="B276" s="1" t="n">
        <v>44608</v>
      </c>
      <c r="C276" s="1" t="n">
        <v>45994</v>
      </c>
      <c r="D276" t="inlineStr">
        <is>
          <t>ÖSTERGÖTLANDS LÄN</t>
        </is>
      </c>
      <c r="E276" t="inlineStr">
        <is>
          <t>LINKÖPING</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27844-2024</t>
        </is>
      </c>
      <c r="B277" s="1" t="n">
        <v>45475.63047453704</v>
      </c>
      <c r="C277" s="1" t="n">
        <v>45994</v>
      </c>
      <c r="D277" t="inlineStr">
        <is>
          <t>ÖSTERGÖTLANDS LÄN</t>
        </is>
      </c>
      <c r="E277" t="inlineStr">
        <is>
          <t>LINKÖPING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16111-2022</t>
        </is>
      </c>
      <c r="B278" s="1" t="n">
        <v>44665</v>
      </c>
      <c r="C278" s="1" t="n">
        <v>45994</v>
      </c>
      <c r="D278" t="inlineStr">
        <is>
          <t>ÖSTERGÖTLANDS LÄN</t>
        </is>
      </c>
      <c r="E278" t="inlineStr">
        <is>
          <t>LINKÖPING</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48962-2022</t>
        </is>
      </c>
      <c r="B279" s="1" t="n">
        <v>44860.31635416667</v>
      </c>
      <c r="C279" s="1" t="n">
        <v>45994</v>
      </c>
      <c r="D279" t="inlineStr">
        <is>
          <t>ÖSTERGÖTLANDS LÄN</t>
        </is>
      </c>
      <c r="E279" t="inlineStr">
        <is>
          <t>LINKÖPING</t>
        </is>
      </c>
      <c r="G279" t="n">
        <v>2.9</v>
      </c>
      <c r="H279" t="n">
        <v>0</v>
      </c>
      <c r="I279" t="n">
        <v>0</v>
      </c>
      <c r="J279" t="n">
        <v>0</v>
      </c>
      <c r="K279" t="n">
        <v>0</v>
      </c>
      <c r="L279" t="n">
        <v>0</v>
      </c>
      <c r="M279" t="n">
        <v>0</v>
      </c>
      <c r="N279" t="n">
        <v>0</v>
      </c>
      <c r="O279" t="n">
        <v>0</v>
      </c>
      <c r="P279" t="n">
        <v>0</v>
      </c>
      <c r="Q279" t="n">
        <v>0</v>
      </c>
      <c r="R279" s="2" t="inlineStr"/>
    </row>
    <row r="280" ht="15" customHeight="1">
      <c r="A280" t="inlineStr">
        <is>
          <t>A 40810-2022</t>
        </is>
      </c>
      <c r="B280" s="1" t="n">
        <v>44824</v>
      </c>
      <c r="C280" s="1" t="n">
        <v>45994</v>
      </c>
      <c r="D280" t="inlineStr">
        <is>
          <t>ÖSTERGÖTLANDS LÄN</t>
        </is>
      </c>
      <c r="E280" t="inlineStr">
        <is>
          <t>LINKÖPING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55945-2024</t>
        </is>
      </c>
      <c r="B281" s="1" t="n">
        <v>45623.61754629629</v>
      </c>
      <c r="C281" s="1" t="n">
        <v>45994</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27891-2021</t>
        </is>
      </c>
      <c r="B282" s="1" t="n">
        <v>44354.65108796296</v>
      </c>
      <c r="C282" s="1" t="n">
        <v>45994</v>
      </c>
      <c r="D282" t="inlineStr">
        <is>
          <t>ÖSTERGÖTLANDS LÄN</t>
        </is>
      </c>
      <c r="E282" t="inlineStr">
        <is>
          <t>LINKÖPING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34928-2023</t>
        </is>
      </c>
      <c r="B283" s="1" t="n">
        <v>45142</v>
      </c>
      <c r="C283" s="1" t="n">
        <v>45994</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51559-2024</t>
        </is>
      </c>
      <c r="B284" s="1" t="n">
        <v>45604.61431712963</v>
      </c>
      <c r="C284" s="1" t="n">
        <v>45994</v>
      </c>
      <c r="D284" t="inlineStr">
        <is>
          <t>ÖSTERGÖTLANDS LÄN</t>
        </is>
      </c>
      <c r="E284" t="inlineStr">
        <is>
          <t>LINKÖPING</t>
        </is>
      </c>
      <c r="F284" t="inlineStr">
        <is>
          <t>Övriga Aktiebolag</t>
        </is>
      </c>
      <c r="G284" t="n">
        <v>2.4</v>
      </c>
      <c r="H284" t="n">
        <v>0</v>
      </c>
      <c r="I284" t="n">
        <v>0</v>
      </c>
      <c r="J284" t="n">
        <v>0</v>
      </c>
      <c r="K284" t="n">
        <v>0</v>
      </c>
      <c r="L284" t="n">
        <v>0</v>
      </c>
      <c r="M284" t="n">
        <v>0</v>
      </c>
      <c r="N284" t="n">
        <v>0</v>
      </c>
      <c r="O284" t="n">
        <v>0</v>
      </c>
      <c r="P284" t="n">
        <v>0</v>
      </c>
      <c r="Q284" t="n">
        <v>0</v>
      </c>
      <c r="R284" s="2" t="inlineStr"/>
    </row>
    <row r="285" ht="15" customHeight="1">
      <c r="A285" t="inlineStr">
        <is>
          <t>A 1263-2024</t>
        </is>
      </c>
      <c r="B285" s="1" t="n">
        <v>45302</v>
      </c>
      <c r="C285" s="1" t="n">
        <v>45994</v>
      </c>
      <c r="D285" t="inlineStr">
        <is>
          <t>ÖSTERGÖTLANDS LÄN</t>
        </is>
      </c>
      <c r="E285" t="inlineStr">
        <is>
          <t>LINKÖPING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52531-2023</t>
        </is>
      </c>
      <c r="B286" s="1" t="n">
        <v>45225</v>
      </c>
      <c r="C286" s="1" t="n">
        <v>45994</v>
      </c>
      <c r="D286" t="inlineStr">
        <is>
          <t>ÖSTERGÖTLANDS LÄN</t>
        </is>
      </c>
      <c r="E286" t="inlineStr">
        <is>
          <t>LINKÖPING</t>
        </is>
      </c>
      <c r="F286" t="inlineStr">
        <is>
          <t>Övriga Aktiebolag</t>
        </is>
      </c>
      <c r="G286" t="n">
        <v>1</v>
      </c>
      <c r="H286" t="n">
        <v>0</v>
      </c>
      <c r="I286" t="n">
        <v>0</v>
      </c>
      <c r="J286" t="n">
        <v>0</v>
      </c>
      <c r="K286" t="n">
        <v>0</v>
      </c>
      <c r="L286" t="n">
        <v>0</v>
      </c>
      <c r="M286" t="n">
        <v>0</v>
      </c>
      <c r="N286" t="n">
        <v>0</v>
      </c>
      <c r="O286" t="n">
        <v>0</v>
      </c>
      <c r="P286" t="n">
        <v>0</v>
      </c>
      <c r="Q286" t="n">
        <v>0</v>
      </c>
      <c r="R286" s="2" t="inlineStr"/>
    </row>
    <row r="287" ht="15" customHeight="1">
      <c r="A287" t="inlineStr">
        <is>
          <t>A 49979-2022</t>
        </is>
      </c>
      <c r="B287" s="1" t="n">
        <v>44865</v>
      </c>
      <c r="C287" s="1" t="n">
        <v>45994</v>
      </c>
      <c r="D287" t="inlineStr">
        <is>
          <t>ÖSTERGÖTLANDS LÄN</t>
        </is>
      </c>
      <c r="E287" t="inlineStr">
        <is>
          <t>LINKÖPING</t>
        </is>
      </c>
      <c r="F287" t="inlineStr">
        <is>
          <t>Övriga Aktiebolag</t>
        </is>
      </c>
      <c r="G287" t="n">
        <v>11.4</v>
      </c>
      <c r="H287" t="n">
        <v>0</v>
      </c>
      <c r="I287" t="n">
        <v>0</v>
      </c>
      <c r="J287" t="n">
        <v>0</v>
      </c>
      <c r="K287" t="n">
        <v>0</v>
      </c>
      <c r="L287" t="n">
        <v>0</v>
      </c>
      <c r="M287" t="n">
        <v>0</v>
      </c>
      <c r="N287" t="n">
        <v>0</v>
      </c>
      <c r="O287" t="n">
        <v>0</v>
      </c>
      <c r="P287" t="n">
        <v>0</v>
      </c>
      <c r="Q287" t="n">
        <v>0</v>
      </c>
      <c r="R287" s="2" t="inlineStr"/>
    </row>
    <row r="288" ht="15" customHeight="1">
      <c r="A288" t="inlineStr">
        <is>
          <t>A 39219-2021</t>
        </is>
      </c>
      <c r="B288" s="1" t="n">
        <v>44413</v>
      </c>
      <c r="C288" s="1" t="n">
        <v>45994</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39224-2021</t>
        </is>
      </c>
      <c r="B289" s="1" t="n">
        <v>44413</v>
      </c>
      <c r="C289" s="1" t="n">
        <v>45994</v>
      </c>
      <c r="D289" t="inlineStr">
        <is>
          <t>ÖSTERGÖTLANDS LÄN</t>
        </is>
      </c>
      <c r="E289" t="inlineStr">
        <is>
          <t>LINKÖPING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62495-2023</t>
        </is>
      </c>
      <c r="B290" s="1" t="n">
        <v>45268.59717592593</v>
      </c>
      <c r="C290" s="1" t="n">
        <v>45994</v>
      </c>
      <c r="D290" t="inlineStr">
        <is>
          <t>ÖSTERGÖTLANDS LÄN</t>
        </is>
      </c>
      <c r="E290" t="inlineStr">
        <is>
          <t>LINKÖPING</t>
        </is>
      </c>
      <c r="G290" t="n">
        <v>4.1</v>
      </c>
      <c r="H290" t="n">
        <v>0</v>
      </c>
      <c r="I290" t="n">
        <v>0</v>
      </c>
      <c r="J290" t="n">
        <v>0</v>
      </c>
      <c r="K290" t="n">
        <v>0</v>
      </c>
      <c r="L290" t="n">
        <v>0</v>
      </c>
      <c r="M290" t="n">
        <v>0</v>
      </c>
      <c r="N290" t="n">
        <v>0</v>
      </c>
      <c r="O290" t="n">
        <v>0</v>
      </c>
      <c r="P290" t="n">
        <v>0</v>
      </c>
      <c r="Q290" t="n">
        <v>0</v>
      </c>
      <c r="R290" s="2" t="inlineStr"/>
    </row>
    <row r="291" ht="15" customHeight="1">
      <c r="A291" t="inlineStr">
        <is>
          <t>A 1268-2023</t>
        </is>
      </c>
      <c r="B291" s="1" t="n">
        <v>44936</v>
      </c>
      <c r="C291" s="1" t="n">
        <v>45994</v>
      </c>
      <c r="D291" t="inlineStr">
        <is>
          <t>ÖSTERGÖTLANDS LÄN</t>
        </is>
      </c>
      <c r="E291" t="inlineStr">
        <is>
          <t>LINKÖPING</t>
        </is>
      </c>
      <c r="G291" t="n">
        <v>4.6</v>
      </c>
      <c r="H291" t="n">
        <v>0</v>
      </c>
      <c r="I291" t="n">
        <v>0</v>
      </c>
      <c r="J291" t="n">
        <v>0</v>
      </c>
      <c r="K291" t="n">
        <v>0</v>
      </c>
      <c r="L291" t="n">
        <v>0</v>
      </c>
      <c r="M291" t="n">
        <v>0</v>
      </c>
      <c r="N291" t="n">
        <v>0</v>
      </c>
      <c r="O291" t="n">
        <v>0</v>
      </c>
      <c r="P291" t="n">
        <v>0</v>
      </c>
      <c r="Q291" t="n">
        <v>0</v>
      </c>
      <c r="R291" s="2" t="inlineStr"/>
    </row>
    <row r="292" ht="15" customHeight="1">
      <c r="A292" t="inlineStr">
        <is>
          <t>A 29413-2023</t>
        </is>
      </c>
      <c r="B292" s="1" t="n">
        <v>45106.46465277778</v>
      </c>
      <c r="C292" s="1" t="n">
        <v>45994</v>
      </c>
      <c r="D292" t="inlineStr">
        <is>
          <t>ÖSTERGÖTLANDS LÄN</t>
        </is>
      </c>
      <c r="E292" t="inlineStr">
        <is>
          <t>LINKÖPING</t>
        </is>
      </c>
      <c r="G292" t="n">
        <v>8</v>
      </c>
      <c r="H292" t="n">
        <v>0</v>
      </c>
      <c r="I292" t="n">
        <v>0</v>
      </c>
      <c r="J292" t="n">
        <v>0</v>
      </c>
      <c r="K292" t="n">
        <v>0</v>
      </c>
      <c r="L292" t="n">
        <v>0</v>
      </c>
      <c r="M292" t="n">
        <v>0</v>
      </c>
      <c r="N292" t="n">
        <v>0</v>
      </c>
      <c r="O292" t="n">
        <v>0</v>
      </c>
      <c r="P292" t="n">
        <v>0</v>
      </c>
      <c r="Q292" t="n">
        <v>0</v>
      </c>
      <c r="R292" s="2" t="inlineStr"/>
    </row>
    <row r="293" ht="15" customHeight="1">
      <c r="A293" t="inlineStr">
        <is>
          <t>A 20291-2025</t>
        </is>
      </c>
      <c r="B293" s="1" t="n">
        <v>45774.74288194445</v>
      </c>
      <c r="C293" s="1" t="n">
        <v>45994</v>
      </c>
      <c r="D293" t="inlineStr">
        <is>
          <t>ÖSTERGÖTLANDS LÄN</t>
        </is>
      </c>
      <c r="E293" t="inlineStr">
        <is>
          <t>LINKÖPING</t>
        </is>
      </c>
      <c r="G293" t="n">
        <v>2.3</v>
      </c>
      <c r="H293" t="n">
        <v>0</v>
      </c>
      <c r="I293" t="n">
        <v>0</v>
      </c>
      <c r="J293" t="n">
        <v>0</v>
      </c>
      <c r="K293" t="n">
        <v>0</v>
      </c>
      <c r="L293" t="n">
        <v>0</v>
      </c>
      <c r="M293" t="n">
        <v>0</v>
      </c>
      <c r="N293" t="n">
        <v>0</v>
      </c>
      <c r="O293" t="n">
        <v>0</v>
      </c>
      <c r="P293" t="n">
        <v>0</v>
      </c>
      <c r="Q293" t="n">
        <v>0</v>
      </c>
      <c r="R293" s="2" t="inlineStr"/>
    </row>
    <row r="294" ht="15" customHeight="1">
      <c r="A294" t="inlineStr">
        <is>
          <t>A 20293-2025</t>
        </is>
      </c>
      <c r="B294" s="1" t="n">
        <v>45774.74611111111</v>
      </c>
      <c r="C294" s="1" t="n">
        <v>45994</v>
      </c>
      <c r="D294" t="inlineStr">
        <is>
          <t>ÖSTERGÖTLANDS LÄN</t>
        </is>
      </c>
      <c r="E294" t="inlineStr">
        <is>
          <t>LINKÖPING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62687-2023</t>
        </is>
      </c>
      <c r="B295" s="1" t="n">
        <v>45271</v>
      </c>
      <c r="C295" s="1" t="n">
        <v>45994</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34641-2022</t>
        </is>
      </c>
      <c r="B296" s="1" t="n">
        <v>44795</v>
      </c>
      <c r="C296" s="1" t="n">
        <v>45994</v>
      </c>
      <c r="D296" t="inlineStr">
        <is>
          <t>ÖSTERGÖTLANDS LÄN</t>
        </is>
      </c>
      <c r="E296" t="inlineStr">
        <is>
          <t>LINKÖPING</t>
        </is>
      </c>
      <c r="G296" t="n">
        <v>2.4</v>
      </c>
      <c r="H296" t="n">
        <v>0</v>
      </c>
      <c r="I296" t="n">
        <v>0</v>
      </c>
      <c r="J296" t="n">
        <v>0</v>
      </c>
      <c r="K296" t="n">
        <v>0</v>
      </c>
      <c r="L296" t="n">
        <v>0</v>
      </c>
      <c r="M296" t="n">
        <v>0</v>
      </c>
      <c r="N296" t="n">
        <v>0</v>
      </c>
      <c r="O296" t="n">
        <v>0</v>
      </c>
      <c r="P296" t="n">
        <v>0</v>
      </c>
      <c r="Q296" t="n">
        <v>0</v>
      </c>
      <c r="R296" s="2" t="inlineStr"/>
    </row>
    <row r="297" ht="15" customHeight="1">
      <c r="A297" t="inlineStr">
        <is>
          <t>A 1844-2025</t>
        </is>
      </c>
      <c r="B297" s="1" t="n">
        <v>45671.57730324074</v>
      </c>
      <c r="C297" s="1" t="n">
        <v>45994</v>
      </c>
      <c r="D297" t="inlineStr">
        <is>
          <t>ÖSTERGÖTLANDS LÄN</t>
        </is>
      </c>
      <c r="E297" t="inlineStr">
        <is>
          <t>LINKÖPING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938-2023</t>
        </is>
      </c>
      <c r="B298" s="1" t="n">
        <v>44933</v>
      </c>
      <c r="C298" s="1" t="n">
        <v>45994</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2389-2023</t>
        </is>
      </c>
      <c r="B299" s="1" t="n">
        <v>44942</v>
      </c>
      <c r="C299" s="1" t="n">
        <v>45994</v>
      </c>
      <c r="D299" t="inlineStr">
        <is>
          <t>ÖSTERGÖTLANDS LÄN</t>
        </is>
      </c>
      <c r="E299" t="inlineStr">
        <is>
          <t>LINKÖPING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48-2024</t>
        </is>
      </c>
      <c r="B300" s="1" t="n">
        <v>45293</v>
      </c>
      <c r="C300" s="1" t="n">
        <v>45994</v>
      </c>
      <c r="D300" t="inlineStr">
        <is>
          <t>ÖSTERGÖTLANDS LÄN</t>
        </is>
      </c>
      <c r="E300" t="inlineStr">
        <is>
          <t>LINKÖPING</t>
        </is>
      </c>
      <c r="G300" t="n">
        <v>4.6</v>
      </c>
      <c r="H300" t="n">
        <v>0</v>
      </c>
      <c r="I300" t="n">
        <v>0</v>
      </c>
      <c r="J300" t="n">
        <v>0</v>
      </c>
      <c r="K300" t="n">
        <v>0</v>
      </c>
      <c r="L300" t="n">
        <v>0</v>
      </c>
      <c r="M300" t="n">
        <v>0</v>
      </c>
      <c r="N300" t="n">
        <v>0</v>
      </c>
      <c r="O300" t="n">
        <v>0</v>
      </c>
      <c r="P300" t="n">
        <v>0</v>
      </c>
      <c r="Q300" t="n">
        <v>0</v>
      </c>
      <c r="R300" s="2" t="inlineStr"/>
    </row>
    <row r="301" ht="15" customHeight="1">
      <c r="A301" t="inlineStr">
        <is>
          <t>A 25948-2023</t>
        </is>
      </c>
      <c r="B301" s="1" t="n">
        <v>45090</v>
      </c>
      <c r="C301" s="1" t="n">
        <v>45994</v>
      </c>
      <c r="D301" t="inlineStr">
        <is>
          <t>ÖSTERGÖTLANDS LÄN</t>
        </is>
      </c>
      <c r="E301" t="inlineStr">
        <is>
          <t>LINKÖPING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45771-2023</t>
        </is>
      </c>
      <c r="B302" s="1" t="n">
        <v>45195.4384375</v>
      </c>
      <c r="C302" s="1" t="n">
        <v>45994</v>
      </c>
      <c r="D302" t="inlineStr">
        <is>
          <t>ÖSTERGÖTLANDS LÄN</t>
        </is>
      </c>
      <c r="E302" t="inlineStr">
        <is>
          <t>LINKÖPING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30547-2023</t>
        </is>
      </c>
      <c r="B303" s="1" t="n">
        <v>45111.75905092592</v>
      </c>
      <c r="C303" s="1" t="n">
        <v>45994</v>
      </c>
      <c r="D303" t="inlineStr">
        <is>
          <t>ÖSTERGÖTLANDS LÄN</t>
        </is>
      </c>
      <c r="E303" t="inlineStr">
        <is>
          <t>LINKÖPING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1627-2023</t>
        </is>
      </c>
      <c r="B304" s="1" t="n">
        <v>44937</v>
      </c>
      <c r="C304" s="1" t="n">
        <v>45994</v>
      </c>
      <c r="D304" t="inlineStr">
        <is>
          <t>ÖSTERGÖTLANDS LÄN</t>
        </is>
      </c>
      <c r="E304" t="inlineStr">
        <is>
          <t>LINKÖPING</t>
        </is>
      </c>
      <c r="G304" t="n">
        <v>10.8</v>
      </c>
      <c r="H304" t="n">
        <v>0</v>
      </c>
      <c r="I304" t="n">
        <v>0</v>
      </c>
      <c r="J304" t="n">
        <v>0</v>
      </c>
      <c r="K304" t="n">
        <v>0</v>
      </c>
      <c r="L304" t="n">
        <v>0</v>
      </c>
      <c r="M304" t="n">
        <v>0</v>
      </c>
      <c r="N304" t="n">
        <v>0</v>
      </c>
      <c r="O304" t="n">
        <v>0</v>
      </c>
      <c r="P304" t="n">
        <v>0</v>
      </c>
      <c r="Q304" t="n">
        <v>0</v>
      </c>
      <c r="R304" s="2" t="inlineStr"/>
    </row>
    <row r="305" ht="15" customHeight="1">
      <c r="A305" t="inlineStr">
        <is>
          <t>A 30481-2023</t>
        </is>
      </c>
      <c r="B305" s="1" t="n">
        <v>45111</v>
      </c>
      <c r="C305" s="1" t="n">
        <v>45994</v>
      </c>
      <c r="D305" t="inlineStr">
        <is>
          <t>ÖSTERGÖTLANDS LÄN</t>
        </is>
      </c>
      <c r="E305" t="inlineStr">
        <is>
          <t>LINKÖPING</t>
        </is>
      </c>
      <c r="F305" t="inlineStr">
        <is>
          <t>Övriga Aktiebolag</t>
        </is>
      </c>
      <c r="G305" t="n">
        <v>2</v>
      </c>
      <c r="H305" t="n">
        <v>0</v>
      </c>
      <c r="I305" t="n">
        <v>0</v>
      </c>
      <c r="J305" t="n">
        <v>0</v>
      </c>
      <c r="K305" t="n">
        <v>0</v>
      </c>
      <c r="L305" t="n">
        <v>0</v>
      </c>
      <c r="M305" t="n">
        <v>0</v>
      </c>
      <c r="N305" t="n">
        <v>0</v>
      </c>
      <c r="O305" t="n">
        <v>0</v>
      </c>
      <c r="P305" t="n">
        <v>0</v>
      </c>
      <c r="Q305" t="n">
        <v>0</v>
      </c>
      <c r="R305" s="2" t="inlineStr"/>
    </row>
    <row r="306" ht="15" customHeight="1">
      <c r="A306" t="inlineStr">
        <is>
          <t>A 21782-2024</t>
        </is>
      </c>
      <c r="B306" s="1" t="n">
        <v>45442.63368055555</v>
      </c>
      <c r="C306" s="1" t="n">
        <v>45994</v>
      </c>
      <c r="D306" t="inlineStr">
        <is>
          <t>ÖSTERGÖTLANDS LÄN</t>
        </is>
      </c>
      <c r="E306" t="inlineStr">
        <is>
          <t>LINKÖPING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40502-2024</t>
        </is>
      </c>
      <c r="B307" s="1" t="n">
        <v>45555.57263888889</v>
      </c>
      <c r="C307" s="1" t="n">
        <v>45994</v>
      </c>
      <c r="D307" t="inlineStr">
        <is>
          <t>ÖSTERGÖTLANDS LÄN</t>
        </is>
      </c>
      <c r="E307" t="inlineStr">
        <is>
          <t>LINKÖPING</t>
        </is>
      </c>
      <c r="F307" t="inlineStr">
        <is>
          <t>Allmännings- och besparingsskogar</t>
        </is>
      </c>
      <c r="G307" t="n">
        <v>17.5</v>
      </c>
      <c r="H307" t="n">
        <v>0</v>
      </c>
      <c r="I307" t="n">
        <v>0</v>
      </c>
      <c r="J307" t="n">
        <v>0</v>
      </c>
      <c r="K307" t="n">
        <v>0</v>
      </c>
      <c r="L307" t="n">
        <v>0</v>
      </c>
      <c r="M307" t="n">
        <v>0</v>
      </c>
      <c r="N307" t="n">
        <v>0</v>
      </c>
      <c r="O307" t="n">
        <v>0</v>
      </c>
      <c r="P307" t="n">
        <v>0</v>
      </c>
      <c r="Q307" t="n">
        <v>0</v>
      </c>
      <c r="R307" s="2" t="inlineStr"/>
    </row>
    <row r="308" ht="15" customHeight="1">
      <c r="A308" t="inlineStr">
        <is>
          <t>A 11671-2023</t>
        </is>
      </c>
      <c r="B308" s="1" t="n">
        <v>44994.48125</v>
      </c>
      <c r="C308" s="1" t="n">
        <v>45994</v>
      </c>
      <c r="D308" t="inlineStr">
        <is>
          <t>ÖSTERGÖTLANDS LÄN</t>
        </is>
      </c>
      <c r="E308" t="inlineStr">
        <is>
          <t>LINKÖPING</t>
        </is>
      </c>
      <c r="G308" t="n">
        <v>2.6</v>
      </c>
      <c r="H308" t="n">
        <v>0</v>
      </c>
      <c r="I308" t="n">
        <v>0</v>
      </c>
      <c r="J308" t="n">
        <v>0</v>
      </c>
      <c r="K308" t="n">
        <v>0</v>
      </c>
      <c r="L308" t="n">
        <v>0</v>
      </c>
      <c r="M308" t="n">
        <v>0</v>
      </c>
      <c r="N308" t="n">
        <v>0</v>
      </c>
      <c r="O308" t="n">
        <v>0</v>
      </c>
      <c r="P308" t="n">
        <v>0</v>
      </c>
      <c r="Q308" t="n">
        <v>0</v>
      </c>
      <c r="R308" s="2" t="inlineStr"/>
    </row>
    <row r="309" ht="15" customHeight="1">
      <c r="A309" t="inlineStr">
        <is>
          <t>A 3041-2024</t>
        </is>
      </c>
      <c r="B309" s="1" t="n">
        <v>45316.34875</v>
      </c>
      <c r="C309" s="1" t="n">
        <v>45994</v>
      </c>
      <c r="D309" t="inlineStr">
        <is>
          <t>ÖSTERGÖTLANDS LÄN</t>
        </is>
      </c>
      <c r="E309" t="inlineStr">
        <is>
          <t>LINKÖPING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50963-2021</t>
        </is>
      </c>
      <c r="B310" s="1" t="n">
        <v>44460</v>
      </c>
      <c r="C310" s="1" t="n">
        <v>45994</v>
      </c>
      <c r="D310" t="inlineStr">
        <is>
          <t>ÖSTERGÖTLANDS LÄN</t>
        </is>
      </c>
      <c r="E310" t="inlineStr">
        <is>
          <t>LINKÖPING</t>
        </is>
      </c>
      <c r="G310" t="n">
        <v>4.4</v>
      </c>
      <c r="H310" t="n">
        <v>0</v>
      </c>
      <c r="I310" t="n">
        <v>0</v>
      </c>
      <c r="J310" t="n">
        <v>0</v>
      </c>
      <c r="K310" t="n">
        <v>0</v>
      </c>
      <c r="L310" t="n">
        <v>0</v>
      </c>
      <c r="M310" t="n">
        <v>0</v>
      </c>
      <c r="N310" t="n">
        <v>0</v>
      </c>
      <c r="O310" t="n">
        <v>0</v>
      </c>
      <c r="P310" t="n">
        <v>0</v>
      </c>
      <c r="Q310" t="n">
        <v>0</v>
      </c>
      <c r="R310" s="2" t="inlineStr"/>
    </row>
    <row r="311" ht="15" customHeight="1">
      <c r="A311" t="inlineStr">
        <is>
          <t>A 61307-2021</t>
        </is>
      </c>
      <c r="B311" s="1" t="n">
        <v>44498.63928240741</v>
      </c>
      <c r="C311" s="1" t="n">
        <v>45994</v>
      </c>
      <c r="D311" t="inlineStr">
        <is>
          <t>ÖSTERGÖTLANDS LÄN</t>
        </is>
      </c>
      <c r="E311" t="inlineStr">
        <is>
          <t>LINKÖPING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61325-2021</t>
        </is>
      </c>
      <c r="B312" s="1" t="n">
        <v>44498.66814814815</v>
      </c>
      <c r="C312" s="1" t="n">
        <v>45994</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24464-2023</t>
        </is>
      </c>
      <c r="B313" s="1" t="n">
        <v>45082.58068287037</v>
      </c>
      <c r="C313" s="1" t="n">
        <v>45994</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24467-2023</t>
        </is>
      </c>
      <c r="B314" s="1" t="n">
        <v>45082</v>
      </c>
      <c r="C314" s="1" t="n">
        <v>45994</v>
      </c>
      <c r="D314" t="inlineStr">
        <is>
          <t>ÖSTERGÖTLANDS LÄN</t>
        </is>
      </c>
      <c r="E314" t="inlineStr">
        <is>
          <t>LINKÖPING</t>
        </is>
      </c>
      <c r="G314" t="n">
        <v>2.4</v>
      </c>
      <c r="H314" t="n">
        <v>0</v>
      </c>
      <c r="I314" t="n">
        <v>0</v>
      </c>
      <c r="J314" t="n">
        <v>0</v>
      </c>
      <c r="K314" t="n">
        <v>0</v>
      </c>
      <c r="L314" t="n">
        <v>0</v>
      </c>
      <c r="M314" t="n">
        <v>0</v>
      </c>
      <c r="N314" t="n">
        <v>0</v>
      </c>
      <c r="O314" t="n">
        <v>0</v>
      </c>
      <c r="P314" t="n">
        <v>0</v>
      </c>
      <c r="Q314" t="n">
        <v>0</v>
      </c>
      <c r="R314" s="2" t="inlineStr"/>
    </row>
    <row r="315" ht="15" customHeight="1">
      <c r="A315" t="inlineStr">
        <is>
          <t>A 48389-2024</t>
        </is>
      </c>
      <c r="B315" s="1" t="n">
        <v>45590.59991898148</v>
      </c>
      <c r="C315" s="1" t="n">
        <v>45994</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63665-2023</t>
        </is>
      </c>
      <c r="B316" s="1" t="n">
        <v>45275</v>
      </c>
      <c r="C316" s="1" t="n">
        <v>45994</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3013-2023</t>
        </is>
      </c>
      <c r="B317" s="1" t="n">
        <v>44945.8092824074</v>
      </c>
      <c r="C317" s="1" t="n">
        <v>45994</v>
      </c>
      <c r="D317" t="inlineStr">
        <is>
          <t>ÖSTERGÖTLANDS LÄN</t>
        </is>
      </c>
      <c r="E317" t="inlineStr">
        <is>
          <t>LINKÖPING</t>
        </is>
      </c>
      <c r="G317" t="n">
        <v>5.2</v>
      </c>
      <c r="H317" t="n">
        <v>0</v>
      </c>
      <c r="I317" t="n">
        <v>0</v>
      </c>
      <c r="J317" t="n">
        <v>0</v>
      </c>
      <c r="K317" t="n">
        <v>0</v>
      </c>
      <c r="L317" t="n">
        <v>0</v>
      </c>
      <c r="M317" t="n">
        <v>0</v>
      </c>
      <c r="N317" t="n">
        <v>0</v>
      </c>
      <c r="O317" t="n">
        <v>0</v>
      </c>
      <c r="P317" t="n">
        <v>0</v>
      </c>
      <c r="Q317" t="n">
        <v>0</v>
      </c>
      <c r="R317" s="2" t="inlineStr"/>
    </row>
    <row r="318" ht="15" customHeight="1">
      <c r="A318" t="inlineStr">
        <is>
          <t>A 49747-2024</t>
        </is>
      </c>
      <c r="B318" s="1" t="n">
        <v>45596</v>
      </c>
      <c r="C318" s="1" t="n">
        <v>45994</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42997-2021</t>
        </is>
      </c>
      <c r="B319" s="1" t="n">
        <v>44431.45556712963</v>
      </c>
      <c r="C319" s="1" t="n">
        <v>45994</v>
      </c>
      <c r="D319" t="inlineStr">
        <is>
          <t>ÖSTERGÖTLANDS LÄN</t>
        </is>
      </c>
      <c r="E319" t="inlineStr">
        <is>
          <t>LINKÖPING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33867-2023</t>
        </is>
      </c>
      <c r="B320" s="1" t="n">
        <v>45133.94640046296</v>
      </c>
      <c r="C320" s="1" t="n">
        <v>45994</v>
      </c>
      <c r="D320" t="inlineStr">
        <is>
          <t>ÖSTERGÖTLANDS LÄN</t>
        </is>
      </c>
      <c r="E320" t="inlineStr">
        <is>
          <t>LINKÖPING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56792-2023</t>
        </is>
      </c>
      <c r="B321" s="1" t="n">
        <v>45244</v>
      </c>
      <c r="C321" s="1" t="n">
        <v>45994</v>
      </c>
      <c r="D321" t="inlineStr">
        <is>
          <t>ÖSTERGÖTLANDS LÄN</t>
        </is>
      </c>
      <c r="E321" t="inlineStr">
        <is>
          <t>LINKÖPING</t>
        </is>
      </c>
      <c r="F321" t="inlineStr">
        <is>
          <t>Övriga Aktiebolag</t>
        </is>
      </c>
      <c r="G321" t="n">
        <v>0.9</v>
      </c>
      <c r="H321" t="n">
        <v>0</v>
      </c>
      <c r="I321" t="n">
        <v>0</v>
      </c>
      <c r="J321" t="n">
        <v>0</v>
      </c>
      <c r="K321" t="n">
        <v>0</v>
      </c>
      <c r="L321" t="n">
        <v>0</v>
      </c>
      <c r="M321" t="n">
        <v>0</v>
      </c>
      <c r="N321" t="n">
        <v>0</v>
      </c>
      <c r="O321" t="n">
        <v>0</v>
      </c>
      <c r="P321" t="n">
        <v>0</v>
      </c>
      <c r="Q321" t="n">
        <v>0</v>
      </c>
      <c r="R321" s="2" t="inlineStr"/>
    </row>
    <row r="322" ht="15" customHeight="1">
      <c r="A322" t="inlineStr">
        <is>
          <t>A 3011-2023</t>
        </is>
      </c>
      <c r="B322" s="1" t="n">
        <v>44945</v>
      </c>
      <c r="C322" s="1" t="n">
        <v>45994</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23735-2023</t>
        </is>
      </c>
      <c r="B323" s="1" t="n">
        <v>45077</v>
      </c>
      <c r="C323" s="1" t="n">
        <v>45994</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39017-2021</t>
        </is>
      </c>
      <c r="B324" s="1" t="n">
        <v>44412</v>
      </c>
      <c r="C324" s="1" t="n">
        <v>45994</v>
      </c>
      <c r="D324" t="inlineStr">
        <is>
          <t>ÖSTERGÖTLANDS LÄN</t>
        </is>
      </c>
      <c r="E324" t="inlineStr">
        <is>
          <t>LINKÖPING</t>
        </is>
      </c>
      <c r="F324" t="inlineStr">
        <is>
          <t>Övriga statliga verk och myndigheter</t>
        </is>
      </c>
      <c r="G324" t="n">
        <v>0.8</v>
      </c>
      <c r="H324" t="n">
        <v>0</v>
      </c>
      <c r="I324" t="n">
        <v>0</v>
      </c>
      <c r="J324" t="n">
        <v>0</v>
      </c>
      <c r="K324" t="n">
        <v>0</v>
      </c>
      <c r="L324" t="n">
        <v>0</v>
      </c>
      <c r="M324" t="n">
        <v>0</v>
      </c>
      <c r="N324" t="n">
        <v>0</v>
      </c>
      <c r="O324" t="n">
        <v>0</v>
      </c>
      <c r="P324" t="n">
        <v>0</v>
      </c>
      <c r="Q324" t="n">
        <v>0</v>
      </c>
      <c r="R324" s="2" t="inlineStr"/>
    </row>
    <row r="325" ht="15" customHeight="1">
      <c r="A325" t="inlineStr">
        <is>
          <t>A 30985-2022</t>
        </is>
      </c>
      <c r="B325" s="1" t="n">
        <v>44768</v>
      </c>
      <c r="C325" s="1" t="n">
        <v>45994</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38317-2024</t>
        </is>
      </c>
      <c r="B326" s="1" t="n">
        <v>45545.65766203704</v>
      </c>
      <c r="C326" s="1" t="n">
        <v>45994</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45821-2024</t>
        </is>
      </c>
      <c r="B327" s="1" t="n">
        <v>45579.75803240741</v>
      </c>
      <c r="C327" s="1" t="n">
        <v>45994</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1260-2023</t>
        </is>
      </c>
      <c r="B328" s="1" t="n">
        <v>44936</v>
      </c>
      <c r="C328" s="1" t="n">
        <v>45994</v>
      </c>
      <c r="D328" t="inlineStr">
        <is>
          <t>ÖSTERGÖTLANDS LÄN</t>
        </is>
      </c>
      <c r="E328" t="inlineStr">
        <is>
          <t>LINKÖPING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1355-2023</t>
        </is>
      </c>
      <c r="B329" s="1" t="n">
        <v>44931</v>
      </c>
      <c r="C329" s="1" t="n">
        <v>45994</v>
      </c>
      <c r="D329" t="inlineStr">
        <is>
          <t>ÖSTERGÖTLANDS LÄN</t>
        </is>
      </c>
      <c r="E329" t="inlineStr">
        <is>
          <t>LINKÖPING</t>
        </is>
      </c>
      <c r="G329" t="n">
        <v>4</v>
      </c>
      <c r="H329" t="n">
        <v>0</v>
      </c>
      <c r="I329" t="n">
        <v>0</v>
      </c>
      <c r="J329" t="n">
        <v>0</v>
      </c>
      <c r="K329" t="n">
        <v>0</v>
      </c>
      <c r="L329" t="n">
        <v>0</v>
      </c>
      <c r="M329" t="n">
        <v>0</v>
      </c>
      <c r="N329" t="n">
        <v>0</v>
      </c>
      <c r="O329" t="n">
        <v>0</v>
      </c>
      <c r="P329" t="n">
        <v>0</v>
      </c>
      <c r="Q329" t="n">
        <v>0</v>
      </c>
      <c r="R329" s="2" t="inlineStr"/>
    </row>
    <row r="330" ht="15" customHeight="1">
      <c r="A330" t="inlineStr">
        <is>
          <t>A 3007-2025</t>
        </is>
      </c>
      <c r="B330" s="1" t="n">
        <v>45678.56328703704</v>
      </c>
      <c r="C330" s="1" t="n">
        <v>45994</v>
      </c>
      <c r="D330" t="inlineStr">
        <is>
          <t>ÖSTERGÖTLANDS LÄN</t>
        </is>
      </c>
      <c r="E330" t="inlineStr">
        <is>
          <t>LINKÖPING</t>
        </is>
      </c>
      <c r="G330" t="n">
        <v>3.1</v>
      </c>
      <c r="H330" t="n">
        <v>0</v>
      </c>
      <c r="I330" t="n">
        <v>0</v>
      </c>
      <c r="J330" t="n">
        <v>0</v>
      </c>
      <c r="K330" t="n">
        <v>0</v>
      </c>
      <c r="L330" t="n">
        <v>0</v>
      </c>
      <c r="M330" t="n">
        <v>0</v>
      </c>
      <c r="N330" t="n">
        <v>0</v>
      </c>
      <c r="O330" t="n">
        <v>0</v>
      </c>
      <c r="P330" t="n">
        <v>0</v>
      </c>
      <c r="Q330" t="n">
        <v>0</v>
      </c>
      <c r="R330" s="2" t="inlineStr"/>
    </row>
    <row r="331" ht="15" customHeight="1">
      <c r="A331" t="inlineStr">
        <is>
          <t>A 10492-2022</t>
        </is>
      </c>
      <c r="B331" s="1" t="n">
        <v>44623.6377199074</v>
      </c>
      <c r="C331" s="1" t="n">
        <v>45994</v>
      </c>
      <c r="D331" t="inlineStr">
        <is>
          <t>ÖSTERGÖTLANDS LÄN</t>
        </is>
      </c>
      <c r="E331" t="inlineStr">
        <is>
          <t>LINKÖPING</t>
        </is>
      </c>
      <c r="G331" t="n">
        <v>2.1</v>
      </c>
      <c r="H331" t="n">
        <v>0</v>
      </c>
      <c r="I331" t="n">
        <v>0</v>
      </c>
      <c r="J331" t="n">
        <v>0</v>
      </c>
      <c r="K331" t="n">
        <v>0</v>
      </c>
      <c r="L331" t="n">
        <v>0</v>
      </c>
      <c r="M331" t="n">
        <v>0</v>
      </c>
      <c r="N331" t="n">
        <v>0</v>
      </c>
      <c r="O331" t="n">
        <v>0</v>
      </c>
      <c r="P331" t="n">
        <v>0</v>
      </c>
      <c r="Q331" t="n">
        <v>0</v>
      </c>
      <c r="R331" s="2" t="inlineStr"/>
    </row>
    <row r="332" ht="15" customHeight="1">
      <c r="A332" t="inlineStr">
        <is>
          <t>A 53647-2021</t>
        </is>
      </c>
      <c r="B332" s="1" t="n">
        <v>44469</v>
      </c>
      <c r="C332" s="1" t="n">
        <v>45994</v>
      </c>
      <c r="D332" t="inlineStr">
        <is>
          <t>ÖSTERGÖTLANDS LÄN</t>
        </is>
      </c>
      <c r="E332" t="inlineStr">
        <is>
          <t>LINKÖPING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30465-2023</t>
        </is>
      </c>
      <c r="B333" s="1" t="n">
        <v>45111</v>
      </c>
      <c r="C333" s="1" t="n">
        <v>45994</v>
      </c>
      <c r="D333" t="inlineStr">
        <is>
          <t>ÖSTERGÖTLANDS LÄN</t>
        </is>
      </c>
      <c r="E333" t="inlineStr">
        <is>
          <t>LINKÖPING</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58947-2022</t>
        </is>
      </c>
      <c r="B334" s="1" t="n">
        <v>44903.64769675926</v>
      </c>
      <c r="C334" s="1" t="n">
        <v>45994</v>
      </c>
      <c r="D334" t="inlineStr">
        <is>
          <t>ÖSTERGÖTLANDS LÄN</t>
        </is>
      </c>
      <c r="E334" t="inlineStr">
        <is>
          <t>LINKÖPING</t>
        </is>
      </c>
      <c r="G334" t="n">
        <v>4</v>
      </c>
      <c r="H334" t="n">
        <v>0</v>
      </c>
      <c r="I334" t="n">
        <v>0</v>
      </c>
      <c r="J334" t="n">
        <v>0</v>
      </c>
      <c r="K334" t="n">
        <v>0</v>
      </c>
      <c r="L334" t="n">
        <v>0</v>
      </c>
      <c r="M334" t="n">
        <v>0</v>
      </c>
      <c r="N334" t="n">
        <v>0</v>
      </c>
      <c r="O334" t="n">
        <v>0</v>
      </c>
      <c r="P334" t="n">
        <v>0</v>
      </c>
      <c r="Q334" t="n">
        <v>0</v>
      </c>
      <c r="R334" s="2" t="inlineStr"/>
    </row>
    <row r="335" ht="15" customHeight="1">
      <c r="A335" t="inlineStr">
        <is>
          <t>A 39021-2021</t>
        </is>
      </c>
      <c r="B335" s="1" t="n">
        <v>44412</v>
      </c>
      <c r="C335" s="1" t="n">
        <v>45994</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6599-2023</t>
        </is>
      </c>
      <c r="B336" s="1" t="n">
        <v>44966.52603009259</v>
      </c>
      <c r="C336" s="1" t="n">
        <v>45994</v>
      </c>
      <c r="D336" t="inlineStr">
        <is>
          <t>ÖSTERGÖTLANDS LÄN</t>
        </is>
      </c>
      <c r="E336" t="inlineStr">
        <is>
          <t>LINKÖPING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62353-2022</t>
        </is>
      </c>
      <c r="B337" s="1" t="n">
        <v>44923</v>
      </c>
      <c r="C337" s="1" t="n">
        <v>45994</v>
      </c>
      <c r="D337" t="inlineStr">
        <is>
          <t>ÖSTERGÖTLANDS LÄN</t>
        </is>
      </c>
      <c r="E337" t="inlineStr">
        <is>
          <t>LINKÖPING</t>
        </is>
      </c>
      <c r="F337" t="inlineStr">
        <is>
          <t>Allmännings- och besparingsskogar</t>
        </is>
      </c>
      <c r="G337" t="n">
        <v>1.7</v>
      </c>
      <c r="H337" t="n">
        <v>0</v>
      </c>
      <c r="I337" t="n">
        <v>0</v>
      </c>
      <c r="J337" t="n">
        <v>0</v>
      </c>
      <c r="K337" t="n">
        <v>0</v>
      </c>
      <c r="L337" t="n">
        <v>0</v>
      </c>
      <c r="M337" t="n">
        <v>0</v>
      </c>
      <c r="N337" t="n">
        <v>0</v>
      </c>
      <c r="O337" t="n">
        <v>0</v>
      </c>
      <c r="P337" t="n">
        <v>0</v>
      </c>
      <c r="Q337" t="n">
        <v>0</v>
      </c>
      <c r="R337" s="2" t="inlineStr"/>
    </row>
    <row r="338" ht="15" customHeight="1">
      <c r="A338" t="inlineStr">
        <is>
          <t>A 30111-2024</t>
        </is>
      </c>
      <c r="B338" s="1" t="n">
        <v>45489.46947916667</v>
      </c>
      <c r="C338" s="1" t="n">
        <v>45994</v>
      </c>
      <c r="D338" t="inlineStr">
        <is>
          <t>ÖSTERGÖTLANDS LÄN</t>
        </is>
      </c>
      <c r="E338" t="inlineStr">
        <is>
          <t>LINKÖPING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30119-2024</t>
        </is>
      </c>
      <c r="B339" s="1" t="n">
        <v>45489</v>
      </c>
      <c r="C339" s="1" t="n">
        <v>45994</v>
      </c>
      <c r="D339" t="inlineStr">
        <is>
          <t>ÖSTERGÖTLANDS LÄN</t>
        </is>
      </c>
      <c r="E339" t="inlineStr">
        <is>
          <t>LINKÖPING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29411-2023</t>
        </is>
      </c>
      <c r="B340" s="1" t="n">
        <v>45106.46225694445</v>
      </c>
      <c r="C340" s="1" t="n">
        <v>45994</v>
      </c>
      <c r="D340" t="inlineStr">
        <is>
          <t>ÖSTERGÖTLANDS LÄN</t>
        </is>
      </c>
      <c r="E340" t="inlineStr">
        <is>
          <t>LINKÖPING</t>
        </is>
      </c>
      <c r="G340" t="n">
        <v>2.5</v>
      </c>
      <c r="H340" t="n">
        <v>0</v>
      </c>
      <c r="I340" t="n">
        <v>0</v>
      </c>
      <c r="J340" t="n">
        <v>0</v>
      </c>
      <c r="K340" t="n">
        <v>0</v>
      </c>
      <c r="L340" t="n">
        <v>0</v>
      </c>
      <c r="M340" t="n">
        <v>0</v>
      </c>
      <c r="N340" t="n">
        <v>0</v>
      </c>
      <c r="O340" t="n">
        <v>0</v>
      </c>
      <c r="P340" t="n">
        <v>0</v>
      </c>
      <c r="Q340" t="n">
        <v>0</v>
      </c>
      <c r="R340" s="2" t="inlineStr"/>
    </row>
    <row r="341" ht="15" customHeight="1">
      <c r="A341" t="inlineStr">
        <is>
          <t>A 29412-2023</t>
        </is>
      </c>
      <c r="B341" s="1" t="n">
        <v>45106.46359953703</v>
      </c>
      <c r="C341" s="1" t="n">
        <v>45994</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16665-2023</t>
        </is>
      </c>
      <c r="B342" s="1" t="n">
        <v>45030.5583912037</v>
      </c>
      <c r="C342" s="1" t="n">
        <v>45994</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31792-2021</t>
        </is>
      </c>
      <c r="B343" s="1" t="n">
        <v>44369</v>
      </c>
      <c r="C343" s="1" t="n">
        <v>45994</v>
      </c>
      <c r="D343" t="inlineStr">
        <is>
          <t>ÖSTERGÖTLANDS LÄN</t>
        </is>
      </c>
      <c r="E343" t="inlineStr">
        <is>
          <t>LINKÖPING</t>
        </is>
      </c>
      <c r="G343" t="n">
        <v>1.9</v>
      </c>
      <c r="H343" t="n">
        <v>0</v>
      </c>
      <c r="I343" t="n">
        <v>0</v>
      </c>
      <c r="J343" t="n">
        <v>0</v>
      </c>
      <c r="K343" t="n">
        <v>0</v>
      </c>
      <c r="L343" t="n">
        <v>0</v>
      </c>
      <c r="M343" t="n">
        <v>0</v>
      </c>
      <c r="N343" t="n">
        <v>0</v>
      </c>
      <c r="O343" t="n">
        <v>0</v>
      </c>
      <c r="P343" t="n">
        <v>0</v>
      </c>
      <c r="Q343" t="n">
        <v>0</v>
      </c>
      <c r="R343" s="2" t="inlineStr"/>
    </row>
    <row r="344" ht="15" customHeight="1">
      <c r="A344" t="inlineStr">
        <is>
          <t>A 421-2024</t>
        </is>
      </c>
      <c r="B344" s="1" t="n">
        <v>45296.51877314815</v>
      </c>
      <c r="C344" s="1" t="n">
        <v>45994</v>
      </c>
      <c r="D344" t="inlineStr">
        <is>
          <t>ÖSTERGÖTLANDS LÄN</t>
        </is>
      </c>
      <c r="E344" t="inlineStr">
        <is>
          <t>LINKÖPING</t>
        </is>
      </c>
      <c r="G344" t="n">
        <v>3.7</v>
      </c>
      <c r="H344" t="n">
        <v>0</v>
      </c>
      <c r="I344" t="n">
        <v>0</v>
      </c>
      <c r="J344" t="n">
        <v>0</v>
      </c>
      <c r="K344" t="n">
        <v>0</v>
      </c>
      <c r="L344" t="n">
        <v>0</v>
      </c>
      <c r="M344" t="n">
        <v>0</v>
      </c>
      <c r="N344" t="n">
        <v>0</v>
      </c>
      <c r="O344" t="n">
        <v>0</v>
      </c>
      <c r="P344" t="n">
        <v>0</v>
      </c>
      <c r="Q344" t="n">
        <v>0</v>
      </c>
      <c r="R344" s="2" t="inlineStr"/>
    </row>
    <row r="345" ht="15" customHeight="1">
      <c r="A345" t="inlineStr">
        <is>
          <t>A 60001-2022</t>
        </is>
      </c>
      <c r="B345" s="1" t="n">
        <v>44909.47087962963</v>
      </c>
      <c r="C345" s="1" t="n">
        <v>45994</v>
      </c>
      <c r="D345" t="inlineStr">
        <is>
          <t>ÖSTERGÖTLANDS LÄN</t>
        </is>
      </c>
      <c r="E345" t="inlineStr">
        <is>
          <t>LINKÖPING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22043-2023</t>
        </is>
      </c>
      <c r="B346" s="1" t="n">
        <v>45069.39050925926</v>
      </c>
      <c r="C346" s="1" t="n">
        <v>45994</v>
      </c>
      <c r="D346" t="inlineStr">
        <is>
          <t>ÖSTERGÖTLANDS LÄN</t>
        </is>
      </c>
      <c r="E346" t="inlineStr">
        <is>
          <t>LINKÖPING</t>
        </is>
      </c>
      <c r="G346" t="n">
        <v>5.9</v>
      </c>
      <c r="H346" t="n">
        <v>0</v>
      </c>
      <c r="I346" t="n">
        <v>0</v>
      </c>
      <c r="J346" t="n">
        <v>0</v>
      </c>
      <c r="K346" t="n">
        <v>0</v>
      </c>
      <c r="L346" t="n">
        <v>0</v>
      </c>
      <c r="M346" t="n">
        <v>0</v>
      </c>
      <c r="N346" t="n">
        <v>0</v>
      </c>
      <c r="O346" t="n">
        <v>0</v>
      </c>
      <c r="P346" t="n">
        <v>0</v>
      </c>
      <c r="Q346" t="n">
        <v>0</v>
      </c>
      <c r="R346" s="2" t="inlineStr"/>
    </row>
    <row r="347" ht="15" customHeight="1">
      <c r="A347" t="inlineStr">
        <is>
          <t>A 60013-2022</t>
        </is>
      </c>
      <c r="B347" s="1" t="n">
        <v>44909.47482638889</v>
      </c>
      <c r="C347" s="1" t="n">
        <v>45994</v>
      </c>
      <c r="D347" t="inlineStr">
        <is>
          <t>ÖSTERGÖTLANDS LÄN</t>
        </is>
      </c>
      <c r="E347" t="inlineStr">
        <is>
          <t>LINKÖPING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35735-2023</t>
        </is>
      </c>
      <c r="B348" s="1" t="n">
        <v>45147</v>
      </c>
      <c r="C348" s="1" t="n">
        <v>45994</v>
      </c>
      <c r="D348" t="inlineStr">
        <is>
          <t>ÖSTERGÖTLANDS LÄN</t>
        </is>
      </c>
      <c r="E348" t="inlineStr">
        <is>
          <t>LINKÖPING</t>
        </is>
      </c>
      <c r="G348" t="n">
        <v>2.8</v>
      </c>
      <c r="H348" t="n">
        <v>0</v>
      </c>
      <c r="I348" t="n">
        <v>0</v>
      </c>
      <c r="J348" t="n">
        <v>0</v>
      </c>
      <c r="K348" t="n">
        <v>0</v>
      </c>
      <c r="L348" t="n">
        <v>0</v>
      </c>
      <c r="M348" t="n">
        <v>0</v>
      </c>
      <c r="N348" t="n">
        <v>0</v>
      </c>
      <c r="O348" t="n">
        <v>0</v>
      </c>
      <c r="P348" t="n">
        <v>0</v>
      </c>
      <c r="Q348" t="n">
        <v>0</v>
      </c>
      <c r="R348" s="2" t="inlineStr"/>
    </row>
    <row r="349" ht="15" customHeight="1">
      <c r="A349" t="inlineStr">
        <is>
          <t>A 1211-2023</t>
        </is>
      </c>
      <c r="B349" s="1" t="n">
        <v>44930</v>
      </c>
      <c r="C349" s="1" t="n">
        <v>45994</v>
      </c>
      <c r="D349" t="inlineStr">
        <is>
          <t>ÖSTERGÖTLANDS LÄN</t>
        </is>
      </c>
      <c r="E349" t="inlineStr">
        <is>
          <t>LINKÖPING</t>
        </is>
      </c>
      <c r="F349" t="inlineStr">
        <is>
          <t>Övriga statliga verk och myndigheter</t>
        </is>
      </c>
      <c r="G349" t="n">
        <v>7.9</v>
      </c>
      <c r="H349" t="n">
        <v>0</v>
      </c>
      <c r="I349" t="n">
        <v>0</v>
      </c>
      <c r="J349" t="n">
        <v>0</v>
      </c>
      <c r="K349" t="n">
        <v>0</v>
      </c>
      <c r="L349" t="n">
        <v>0</v>
      </c>
      <c r="M349" t="n">
        <v>0</v>
      </c>
      <c r="N349" t="n">
        <v>0</v>
      </c>
      <c r="O349" t="n">
        <v>0</v>
      </c>
      <c r="P349" t="n">
        <v>0</v>
      </c>
      <c r="Q349" t="n">
        <v>0</v>
      </c>
      <c r="R349" s="2" t="inlineStr"/>
    </row>
    <row r="350" ht="15" customHeight="1">
      <c r="A350" t="inlineStr">
        <is>
          <t>A 61532-2021</t>
        </is>
      </c>
      <c r="B350" s="1" t="n">
        <v>44501</v>
      </c>
      <c r="C350" s="1" t="n">
        <v>45994</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14028-2024</t>
        </is>
      </c>
      <c r="B351" s="1" t="n">
        <v>45392</v>
      </c>
      <c r="C351" s="1" t="n">
        <v>45994</v>
      </c>
      <c r="D351" t="inlineStr">
        <is>
          <t>ÖSTERGÖTLANDS LÄN</t>
        </is>
      </c>
      <c r="E351" t="inlineStr">
        <is>
          <t>LINKÖPING</t>
        </is>
      </c>
      <c r="G351" t="n">
        <v>1.7</v>
      </c>
      <c r="H351" t="n">
        <v>0</v>
      </c>
      <c r="I351" t="n">
        <v>0</v>
      </c>
      <c r="J351" t="n">
        <v>0</v>
      </c>
      <c r="K351" t="n">
        <v>0</v>
      </c>
      <c r="L351" t="n">
        <v>0</v>
      </c>
      <c r="M351" t="n">
        <v>0</v>
      </c>
      <c r="N351" t="n">
        <v>0</v>
      </c>
      <c r="O351" t="n">
        <v>0</v>
      </c>
      <c r="P351" t="n">
        <v>0</v>
      </c>
      <c r="Q351" t="n">
        <v>0</v>
      </c>
      <c r="R351" s="2" t="inlineStr"/>
    </row>
    <row r="352" ht="15" customHeight="1">
      <c r="A352" t="inlineStr">
        <is>
          <t>A 40431-2024</t>
        </is>
      </c>
      <c r="B352" s="1" t="n">
        <v>45555.47070601852</v>
      </c>
      <c r="C352" s="1" t="n">
        <v>45994</v>
      </c>
      <c r="D352" t="inlineStr">
        <is>
          <t>ÖSTERGÖTLANDS LÄN</t>
        </is>
      </c>
      <c r="E352" t="inlineStr">
        <is>
          <t>LINKÖPING</t>
        </is>
      </c>
      <c r="F352" t="inlineStr">
        <is>
          <t>Allmännings- och besparingsskogar</t>
        </is>
      </c>
      <c r="G352" t="n">
        <v>2.9</v>
      </c>
      <c r="H352" t="n">
        <v>0</v>
      </c>
      <c r="I352" t="n">
        <v>0</v>
      </c>
      <c r="J352" t="n">
        <v>0</v>
      </c>
      <c r="K352" t="n">
        <v>0</v>
      </c>
      <c r="L352" t="n">
        <v>0</v>
      </c>
      <c r="M352" t="n">
        <v>0</v>
      </c>
      <c r="N352" t="n">
        <v>0</v>
      </c>
      <c r="O352" t="n">
        <v>0</v>
      </c>
      <c r="P352" t="n">
        <v>0</v>
      </c>
      <c r="Q352" t="n">
        <v>0</v>
      </c>
      <c r="R352" s="2" t="inlineStr"/>
    </row>
    <row r="353" ht="15" customHeight="1">
      <c r="A353" t="inlineStr">
        <is>
          <t>A 45831-2024</t>
        </is>
      </c>
      <c r="B353" s="1" t="n">
        <v>45579.90508101852</v>
      </c>
      <c r="C353" s="1" t="n">
        <v>45994</v>
      </c>
      <c r="D353" t="inlineStr">
        <is>
          <t>ÖSTERGÖTLANDS LÄN</t>
        </is>
      </c>
      <c r="E353" t="inlineStr">
        <is>
          <t>LINKÖPING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17157-2024</t>
        </is>
      </c>
      <c r="B354" s="1" t="n">
        <v>45412.70567129629</v>
      </c>
      <c r="C354" s="1" t="n">
        <v>45994</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38136-2023</t>
        </is>
      </c>
      <c r="B355" s="1" t="n">
        <v>45161.37310185185</v>
      </c>
      <c r="C355" s="1" t="n">
        <v>45994</v>
      </c>
      <c r="D355" t="inlineStr">
        <is>
          <t>ÖSTERGÖTLANDS LÄN</t>
        </is>
      </c>
      <c r="E355" t="inlineStr">
        <is>
          <t>LINKÖPING</t>
        </is>
      </c>
      <c r="G355" t="n">
        <v>5.6</v>
      </c>
      <c r="H355" t="n">
        <v>0</v>
      </c>
      <c r="I355" t="n">
        <v>0</v>
      </c>
      <c r="J355" t="n">
        <v>0</v>
      </c>
      <c r="K355" t="n">
        <v>0</v>
      </c>
      <c r="L355" t="n">
        <v>0</v>
      </c>
      <c r="M355" t="n">
        <v>0</v>
      </c>
      <c r="N355" t="n">
        <v>0</v>
      </c>
      <c r="O355" t="n">
        <v>0</v>
      </c>
      <c r="P355" t="n">
        <v>0</v>
      </c>
      <c r="Q355" t="n">
        <v>0</v>
      </c>
      <c r="R355" s="2" t="inlineStr"/>
    </row>
    <row r="356" ht="15" customHeight="1">
      <c r="A356" t="inlineStr">
        <is>
          <t>A 60860-2024</t>
        </is>
      </c>
      <c r="B356" s="1" t="n">
        <v>45644.6893287037</v>
      </c>
      <c r="C356" s="1" t="n">
        <v>45994</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37154-2023</t>
        </is>
      </c>
      <c r="B357" s="1" t="n">
        <v>45155</v>
      </c>
      <c r="C357" s="1" t="n">
        <v>45994</v>
      </c>
      <c r="D357" t="inlineStr">
        <is>
          <t>ÖSTERGÖTLANDS LÄN</t>
        </is>
      </c>
      <c r="E357" t="inlineStr">
        <is>
          <t>LINKÖPING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2697-2023</t>
        </is>
      </c>
      <c r="B358" s="1" t="n">
        <v>44944</v>
      </c>
      <c r="C358" s="1" t="n">
        <v>45994</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53812-2023</t>
        </is>
      </c>
      <c r="B359" s="1" t="n">
        <v>45231.39583333334</v>
      </c>
      <c r="C359" s="1" t="n">
        <v>45994</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53830-2023</t>
        </is>
      </c>
      <c r="B360" s="1" t="n">
        <v>45230</v>
      </c>
      <c r="C360" s="1" t="n">
        <v>45994</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21165-2025</t>
        </is>
      </c>
      <c r="B361" s="1" t="n">
        <v>45779.39417824074</v>
      </c>
      <c r="C361" s="1" t="n">
        <v>45994</v>
      </c>
      <c r="D361" t="inlineStr">
        <is>
          <t>ÖSTERGÖTLANDS LÄN</t>
        </is>
      </c>
      <c r="E361" t="inlineStr">
        <is>
          <t>LINKÖPING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56841-2023</t>
        </is>
      </c>
      <c r="B362" s="1" t="n">
        <v>45244</v>
      </c>
      <c r="C362" s="1" t="n">
        <v>45994</v>
      </c>
      <c r="D362" t="inlineStr">
        <is>
          <t>ÖSTERGÖTLANDS LÄN</t>
        </is>
      </c>
      <c r="E362" t="inlineStr">
        <is>
          <t>LINKÖPING</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45806-2024</t>
        </is>
      </c>
      <c r="B363" s="1" t="n">
        <v>45579.69619212963</v>
      </c>
      <c r="C363" s="1" t="n">
        <v>45994</v>
      </c>
      <c r="D363" t="inlineStr">
        <is>
          <t>ÖSTERGÖTLANDS LÄN</t>
        </is>
      </c>
      <c r="E363" t="inlineStr">
        <is>
          <t>LINKÖPING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56741-2023</t>
        </is>
      </c>
      <c r="B364" s="1" t="n">
        <v>45244</v>
      </c>
      <c r="C364" s="1" t="n">
        <v>45994</v>
      </c>
      <c r="D364" t="inlineStr">
        <is>
          <t>ÖSTERGÖTLANDS LÄN</t>
        </is>
      </c>
      <c r="E364" t="inlineStr">
        <is>
          <t>LINKÖPING</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56756-2023</t>
        </is>
      </c>
      <c r="B365" s="1" t="n">
        <v>45244</v>
      </c>
      <c r="C365" s="1" t="n">
        <v>45994</v>
      </c>
      <c r="D365" t="inlineStr">
        <is>
          <t>ÖSTERGÖTLANDS LÄN</t>
        </is>
      </c>
      <c r="E365" t="inlineStr">
        <is>
          <t>LINKÖPING</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53816-2023</t>
        </is>
      </c>
      <c r="B366" s="1" t="n">
        <v>45231.40012731482</v>
      </c>
      <c r="C366" s="1" t="n">
        <v>45994</v>
      </c>
      <c r="D366" t="inlineStr">
        <is>
          <t>ÖSTERGÖTLANDS LÄN</t>
        </is>
      </c>
      <c r="E366" t="inlineStr">
        <is>
          <t>LINKÖPING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21155-2025</t>
        </is>
      </c>
      <c r="B367" s="1" t="n">
        <v>45779.37586805555</v>
      </c>
      <c r="C367" s="1" t="n">
        <v>45994</v>
      </c>
      <c r="D367" t="inlineStr">
        <is>
          <t>ÖSTERGÖTLANDS LÄN</t>
        </is>
      </c>
      <c r="E367" t="inlineStr">
        <is>
          <t>LINKÖPING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63935-2021</t>
        </is>
      </c>
      <c r="B368" s="1" t="n">
        <v>44509</v>
      </c>
      <c r="C368" s="1" t="n">
        <v>45994</v>
      </c>
      <c r="D368" t="inlineStr">
        <is>
          <t>ÖSTERGÖTLANDS LÄN</t>
        </is>
      </c>
      <c r="E368" t="inlineStr">
        <is>
          <t>LINKÖPING</t>
        </is>
      </c>
      <c r="F368" t="inlineStr">
        <is>
          <t>Övriga statliga verk och myndigheter</t>
        </is>
      </c>
      <c r="G368" t="n">
        <v>2.8</v>
      </c>
      <c r="H368" t="n">
        <v>0</v>
      </c>
      <c r="I368" t="n">
        <v>0</v>
      </c>
      <c r="J368" t="n">
        <v>0</v>
      </c>
      <c r="K368" t="n">
        <v>0</v>
      </c>
      <c r="L368" t="n">
        <v>0</v>
      </c>
      <c r="M368" t="n">
        <v>0</v>
      </c>
      <c r="N368" t="n">
        <v>0</v>
      </c>
      <c r="O368" t="n">
        <v>0</v>
      </c>
      <c r="P368" t="n">
        <v>0</v>
      </c>
      <c r="Q368" t="n">
        <v>0</v>
      </c>
      <c r="R368" s="2" t="inlineStr"/>
    </row>
    <row r="369" ht="15" customHeight="1">
      <c r="A369" t="inlineStr">
        <is>
          <t>A 12317-2025</t>
        </is>
      </c>
      <c r="B369" s="1" t="n">
        <v>45729.8487037037</v>
      </c>
      <c r="C369" s="1" t="n">
        <v>45994</v>
      </c>
      <c r="D369" t="inlineStr">
        <is>
          <t>ÖSTERGÖTLANDS LÄN</t>
        </is>
      </c>
      <c r="E369" t="inlineStr">
        <is>
          <t>LINKÖPING</t>
        </is>
      </c>
      <c r="G369" t="n">
        <v>8</v>
      </c>
      <c r="H369" t="n">
        <v>0</v>
      </c>
      <c r="I369" t="n">
        <v>0</v>
      </c>
      <c r="J369" t="n">
        <v>0</v>
      </c>
      <c r="K369" t="n">
        <v>0</v>
      </c>
      <c r="L369" t="n">
        <v>0</v>
      </c>
      <c r="M369" t="n">
        <v>0</v>
      </c>
      <c r="N369" t="n">
        <v>0</v>
      </c>
      <c r="O369" t="n">
        <v>0</v>
      </c>
      <c r="P369" t="n">
        <v>0</v>
      </c>
      <c r="Q369" t="n">
        <v>0</v>
      </c>
      <c r="R369" s="2" t="inlineStr"/>
    </row>
    <row r="370" ht="15" customHeight="1">
      <c r="A370" t="inlineStr">
        <is>
          <t>A 36557-2023</t>
        </is>
      </c>
      <c r="B370" s="1" t="n">
        <v>45153</v>
      </c>
      <c r="C370" s="1" t="n">
        <v>45994</v>
      </c>
      <c r="D370" t="inlineStr">
        <is>
          <t>ÖSTERGÖTLANDS LÄN</t>
        </is>
      </c>
      <c r="E370" t="inlineStr">
        <is>
          <t>LINKÖPING</t>
        </is>
      </c>
      <c r="F370" t="inlineStr">
        <is>
          <t>Övriga Aktiebolag</t>
        </is>
      </c>
      <c r="G370" t="n">
        <v>3.1</v>
      </c>
      <c r="H370" t="n">
        <v>0</v>
      </c>
      <c r="I370" t="n">
        <v>0</v>
      </c>
      <c r="J370" t="n">
        <v>0</v>
      </c>
      <c r="K370" t="n">
        <v>0</v>
      </c>
      <c r="L370" t="n">
        <v>0</v>
      </c>
      <c r="M370" t="n">
        <v>0</v>
      </c>
      <c r="N370" t="n">
        <v>0</v>
      </c>
      <c r="O370" t="n">
        <v>0</v>
      </c>
      <c r="P370" t="n">
        <v>0</v>
      </c>
      <c r="Q370" t="n">
        <v>0</v>
      </c>
      <c r="R370" s="2" t="inlineStr"/>
    </row>
    <row r="371" ht="15" customHeight="1">
      <c r="A371" t="inlineStr">
        <is>
          <t>A 2085-2024</t>
        </is>
      </c>
      <c r="B371" s="1" t="n">
        <v>45309</v>
      </c>
      <c r="C371" s="1" t="n">
        <v>45994</v>
      </c>
      <c r="D371" t="inlineStr">
        <is>
          <t>ÖSTERGÖTLANDS LÄN</t>
        </is>
      </c>
      <c r="E371" t="inlineStr">
        <is>
          <t>LINKÖPING</t>
        </is>
      </c>
      <c r="G371" t="n">
        <v>4.5</v>
      </c>
      <c r="H371" t="n">
        <v>0</v>
      </c>
      <c r="I371" t="n">
        <v>0</v>
      </c>
      <c r="J371" t="n">
        <v>0</v>
      </c>
      <c r="K371" t="n">
        <v>0</v>
      </c>
      <c r="L371" t="n">
        <v>0</v>
      </c>
      <c r="M371" t="n">
        <v>0</v>
      </c>
      <c r="N371" t="n">
        <v>0</v>
      </c>
      <c r="O371" t="n">
        <v>0</v>
      </c>
      <c r="P371" t="n">
        <v>0</v>
      </c>
      <c r="Q371" t="n">
        <v>0</v>
      </c>
      <c r="R371" s="2" t="inlineStr"/>
    </row>
    <row r="372" ht="15" customHeight="1">
      <c r="A372" t="inlineStr">
        <is>
          <t>A 60985-2023</t>
        </is>
      </c>
      <c r="B372" s="1" t="n">
        <v>45261.48429398148</v>
      </c>
      <c r="C372" s="1" t="n">
        <v>45994</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6726-2024</t>
        </is>
      </c>
      <c r="B373" s="1" t="n">
        <v>45341</v>
      </c>
      <c r="C373" s="1" t="n">
        <v>45994</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30468-2023</t>
        </is>
      </c>
      <c r="B374" s="1" t="n">
        <v>45111.58732638889</v>
      </c>
      <c r="C374" s="1" t="n">
        <v>45994</v>
      </c>
      <c r="D374" t="inlineStr">
        <is>
          <t>ÖSTERGÖTLANDS LÄN</t>
        </is>
      </c>
      <c r="E374" t="inlineStr">
        <is>
          <t>LINKÖPING</t>
        </is>
      </c>
      <c r="G374" t="n">
        <v>10.1</v>
      </c>
      <c r="H374" t="n">
        <v>0</v>
      </c>
      <c r="I374" t="n">
        <v>0</v>
      </c>
      <c r="J374" t="n">
        <v>0</v>
      </c>
      <c r="K374" t="n">
        <v>0</v>
      </c>
      <c r="L374" t="n">
        <v>0</v>
      </c>
      <c r="M374" t="n">
        <v>0</v>
      </c>
      <c r="N374" t="n">
        <v>0</v>
      </c>
      <c r="O374" t="n">
        <v>0</v>
      </c>
      <c r="P374" t="n">
        <v>0</v>
      </c>
      <c r="Q374" t="n">
        <v>0</v>
      </c>
      <c r="R374" s="2" t="inlineStr"/>
    </row>
    <row r="375" ht="15" customHeight="1">
      <c r="A375" t="inlineStr">
        <is>
          <t>A 24904-2024</t>
        </is>
      </c>
      <c r="B375" s="1" t="n">
        <v>45461</v>
      </c>
      <c r="C375" s="1" t="n">
        <v>45994</v>
      </c>
      <c r="D375" t="inlineStr">
        <is>
          <t>ÖSTERGÖTLANDS LÄN</t>
        </is>
      </c>
      <c r="E375" t="inlineStr">
        <is>
          <t>LINKÖPING</t>
        </is>
      </c>
      <c r="G375" t="n">
        <v>3.8</v>
      </c>
      <c r="H375" t="n">
        <v>0</v>
      </c>
      <c r="I375" t="n">
        <v>0</v>
      </c>
      <c r="J375" t="n">
        <v>0</v>
      </c>
      <c r="K375" t="n">
        <v>0</v>
      </c>
      <c r="L375" t="n">
        <v>0</v>
      </c>
      <c r="M375" t="n">
        <v>0</v>
      </c>
      <c r="N375" t="n">
        <v>0</v>
      </c>
      <c r="O375" t="n">
        <v>0</v>
      </c>
      <c r="P375" t="n">
        <v>0</v>
      </c>
      <c r="Q375" t="n">
        <v>0</v>
      </c>
      <c r="R375" s="2" t="inlineStr"/>
    </row>
    <row r="376" ht="15" customHeight="1">
      <c r="A376" t="inlineStr">
        <is>
          <t>A 55009-2023</t>
        </is>
      </c>
      <c r="B376" s="1" t="n">
        <v>45237</v>
      </c>
      <c r="C376" s="1" t="n">
        <v>45994</v>
      </c>
      <c r="D376" t="inlineStr">
        <is>
          <t>ÖSTERGÖTLANDS LÄN</t>
        </is>
      </c>
      <c r="E376" t="inlineStr">
        <is>
          <t>LINKÖPING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34872-2023</t>
        </is>
      </c>
      <c r="B377" s="1" t="n">
        <v>45140</v>
      </c>
      <c r="C377" s="1" t="n">
        <v>45994</v>
      </c>
      <c r="D377" t="inlineStr">
        <is>
          <t>ÖSTERGÖTLANDS LÄN</t>
        </is>
      </c>
      <c r="E377" t="inlineStr">
        <is>
          <t>LINKÖPING</t>
        </is>
      </c>
      <c r="G377" t="n">
        <v>4.8</v>
      </c>
      <c r="H377" t="n">
        <v>0</v>
      </c>
      <c r="I377" t="n">
        <v>0</v>
      </c>
      <c r="J377" t="n">
        <v>0</v>
      </c>
      <c r="K377" t="n">
        <v>0</v>
      </c>
      <c r="L377" t="n">
        <v>0</v>
      </c>
      <c r="M377" t="n">
        <v>0</v>
      </c>
      <c r="N377" t="n">
        <v>0</v>
      </c>
      <c r="O377" t="n">
        <v>0</v>
      </c>
      <c r="P377" t="n">
        <v>0</v>
      </c>
      <c r="Q377" t="n">
        <v>0</v>
      </c>
      <c r="R377" s="2" t="inlineStr"/>
    </row>
    <row r="378" ht="15" customHeight="1">
      <c r="A378" t="inlineStr">
        <is>
          <t>A 3007-2023</t>
        </is>
      </c>
      <c r="B378" s="1" t="n">
        <v>44945</v>
      </c>
      <c r="C378" s="1" t="n">
        <v>45994</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18145-2021</t>
        </is>
      </c>
      <c r="B379" s="1" t="n">
        <v>44302</v>
      </c>
      <c r="C379" s="1" t="n">
        <v>45994</v>
      </c>
      <c r="D379" t="inlineStr">
        <is>
          <t>ÖSTERGÖTLANDS LÄN</t>
        </is>
      </c>
      <c r="E379" t="inlineStr">
        <is>
          <t>LINKÖPING</t>
        </is>
      </c>
      <c r="G379" t="n">
        <v>2.4</v>
      </c>
      <c r="H379" t="n">
        <v>0</v>
      </c>
      <c r="I379" t="n">
        <v>0</v>
      </c>
      <c r="J379" t="n">
        <v>0</v>
      </c>
      <c r="K379" t="n">
        <v>0</v>
      </c>
      <c r="L379" t="n">
        <v>0</v>
      </c>
      <c r="M379" t="n">
        <v>0</v>
      </c>
      <c r="N379" t="n">
        <v>0</v>
      </c>
      <c r="O379" t="n">
        <v>0</v>
      </c>
      <c r="P379" t="n">
        <v>0</v>
      </c>
      <c r="Q379" t="n">
        <v>0</v>
      </c>
      <c r="R379" s="2" t="inlineStr"/>
    </row>
    <row r="380" ht="15" customHeight="1">
      <c r="A380" t="inlineStr">
        <is>
          <t>A 38715-2023</t>
        </is>
      </c>
      <c r="B380" s="1" t="n">
        <v>45160</v>
      </c>
      <c r="C380" s="1" t="n">
        <v>45994</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29309-2024</t>
        </is>
      </c>
      <c r="B381" s="1" t="n">
        <v>45483</v>
      </c>
      <c r="C381" s="1" t="n">
        <v>45994</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22264-2025</t>
        </is>
      </c>
      <c r="B382" s="1" t="n">
        <v>45785</v>
      </c>
      <c r="C382" s="1" t="n">
        <v>45994</v>
      </c>
      <c r="D382" t="inlineStr">
        <is>
          <t>ÖSTERGÖTLANDS LÄN</t>
        </is>
      </c>
      <c r="E382" t="inlineStr">
        <is>
          <t>LINKÖPING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34864-2023</t>
        </is>
      </c>
      <c r="B383" s="1" t="n">
        <v>45141</v>
      </c>
      <c r="C383" s="1" t="n">
        <v>45994</v>
      </c>
      <c r="D383" t="inlineStr">
        <is>
          <t>ÖSTERGÖTLANDS LÄN</t>
        </is>
      </c>
      <c r="E383" t="inlineStr">
        <is>
          <t>LINKÖPING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36336-2022</t>
        </is>
      </c>
      <c r="B384" s="1" t="n">
        <v>44803</v>
      </c>
      <c r="C384" s="1" t="n">
        <v>45994</v>
      </c>
      <c r="D384" t="inlineStr">
        <is>
          <t>ÖSTERGÖTLANDS LÄN</t>
        </is>
      </c>
      <c r="E384" t="inlineStr">
        <is>
          <t>LINKÖPING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46687-2021</t>
        </is>
      </c>
      <c r="B385" s="1" t="n">
        <v>44445</v>
      </c>
      <c r="C385" s="1" t="n">
        <v>45994</v>
      </c>
      <c r="D385" t="inlineStr">
        <is>
          <t>ÖSTERGÖTLANDS LÄN</t>
        </is>
      </c>
      <c r="E385" t="inlineStr">
        <is>
          <t>LINKÖPING</t>
        </is>
      </c>
      <c r="F385" t="inlineStr">
        <is>
          <t>Övriga statliga verk och myndigheter</t>
        </is>
      </c>
      <c r="G385" t="n">
        <v>2.3</v>
      </c>
      <c r="H385" t="n">
        <v>0</v>
      </c>
      <c r="I385" t="n">
        <v>0</v>
      </c>
      <c r="J385" t="n">
        <v>0</v>
      </c>
      <c r="K385" t="n">
        <v>0</v>
      </c>
      <c r="L385" t="n">
        <v>0</v>
      </c>
      <c r="M385" t="n">
        <v>0</v>
      </c>
      <c r="N385" t="n">
        <v>0</v>
      </c>
      <c r="O385" t="n">
        <v>0</v>
      </c>
      <c r="P385" t="n">
        <v>0</v>
      </c>
      <c r="Q385" t="n">
        <v>0</v>
      </c>
      <c r="R385" s="2" t="inlineStr"/>
    </row>
    <row r="386" ht="15" customHeight="1">
      <c r="A386" t="inlineStr">
        <is>
          <t>A 17103-2025</t>
        </is>
      </c>
      <c r="B386" s="1" t="n">
        <v>45755.66143518518</v>
      </c>
      <c r="C386" s="1" t="n">
        <v>45994</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25097-2023</t>
        </is>
      </c>
      <c r="B387" s="1" t="n">
        <v>45086</v>
      </c>
      <c r="C387" s="1" t="n">
        <v>45994</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10461-2023</t>
        </is>
      </c>
      <c r="B388" s="1" t="n">
        <v>44987.5969212963</v>
      </c>
      <c r="C388" s="1" t="n">
        <v>45994</v>
      </c>
      <c r="D388" t="inlineStr">
        <is>
          <t>ÖSTERGÖTLANDS LÄN</t>
        </is>
      </c>
      <c r="E388" t="inlineStr">
        <is>
          <t>LINKÖPING</t>
        </is>
      </c>
      <c r="G388" t="n">
        <v>7.8</v>
      </c>
      <c r="H388" t="n">
        <v>0</v>
      </c>
      <c r="I388" t="n">
        <v>0</v>
      </c>
      <c r="J388" t="n">
        <v>0</v>
      </c>
      <c r="K388" t="n">
        <v>0</v>
      </c>
      <c r="L388" t="n">
        <v>0</v>
      </c>
      <c r="M388" t="n">
        <v>0</v>
      </c>
      <c r="N388" t="n">
        <v>0</v>
      </c>
      <c r="O388" t="n">
        <v>0</v>
      </c>
      <c r="P388" t="n">
        <v>0</v>
      </c>
      <c r="Q388" t="n">
        <v>0</v>
      </c>
      <c r="R388" s="2" t="inlineStr"/>
    </row>
    <row r="389" ht="15" customHeight="1">
      <c r="A389" t="inlineStr">
        <is>
          <t>A 40618-2021</t>
        </is>
      </c>
      <c r="B389" s="1" t="n">
        <v>44420.49575231481</v>
      </c>
      <c r="C389" s="1" t="n">
        <v>45994</v>
      </c>
      <c r="D389" t="inlineStr">
        <is>
          <t>ÖSTERGÖTLANDS LÄN</t>
        </is>
      </c>
      <c r="E389" t="inlineStr">
        <is>
          <t>LINKÖPING</t>
        </is>
      </c>
      <c r="G389" t="n">
        <v>2.3</v>
      </c>
      <c r="H389" t="n">
        <v>0</v>
      </c>
      <c r="I389" t="n">
        <v>0</v>
      </c>
      <c r="J389" t="n">
        <v>0</v>
      </c>
      <c r="K389" t="n">
        <v>0</v>
      </c>
      <c r="L389" t="n">
        <v>0</v>
      </c>
      <c r="M389" t="n">
        <v>0</v>
      </c>
      <c r="N389" t="n">
        <v>0</v>
      </c>
      <c r="O389" t="n">
        <v>0</v>
      </c>
      <c r="P389" t="n">
        <v>0</v>
      </c>
      <c r="Q389" t="n">
        <v>0</v>
      </c>
      <c r="R389" s="2" t="inlineStr"/>
    </row>
    <row r="390" ht="15" customHeight="1">
      <c r="A390" t="inlineStr">
        <is>
          <t>A 53411-2023</t>
        </is>
      </c>
      <c r="B390" s="1" t="n">
        <v>45229.81049768518</v>
      </c>
      <c r="C390" s="1" t="n">
        <v>45994</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56180-2024</t>
        </is>
      </c>
      <c r="B391" s="1" t="n">
        <v>45624.56611111111</v>
      </c>
      <c r="C391" s="1" t="n">
        <v>45994</v>
      </c>
      <c r="D391" t="inlineStr">
        <is>
          <t>ÖSTERGÖTLANDS LÄN</t>
        </is>
      </c>
      <c r="E391" t="inlineStr">
        <is>
          <t>LINKÖPING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26788-2022</t>
        </is>
      </c>
      <c r="B392" s="1" t="n">
        <v>44740</v>
      </c>
      <c r="C392" s="1" t="n">
        <v>45994</v>
      </c>
      <c r="D392" t="inlineStr">
        <is>
          <t>ÖSTERGÖTLANDS LÄN</t>
        </is>
      </c>
      <c r="E392" t="inlineStr">
        <is>
          <t>LINKÖPING</t>
        </is>
      </c>
      <c r="G392" t="n">
        <v>3.2</v>
      </c>
      <c r="H392" t="n">
        <v>0</v>
      </c>
      <c r="I392" t="n">
        <v>0</v>
      </c>
      <c r="J392" t="n">
        <v>0</v>
      </c>
      <c r="K392" t="n">
        <v>0</v>
      </c>
      <c r="L392" t="n">
        <v>0</v>
      </c>
      <c r="M392" t="n">
        <v>0</v>
      </c>
      <c r="N392" t="n">
        <v>0</v>
      </c>
      <c r="O392" t="n">
        <v>0</v>
      </c>
      <c r="P392" t="n">
        <v>0</v>
      </c>
      <c r="Q392" t="n">
        <v>0</v>
      </c>
      <c r="R392" s="2" t="inlineStr"/>
    </row>
    <row r="393" ht="15" customHeight="1">
      <c r="A393" t="inlineStr">
        <is>
          <t>A 50386-2021</t>
        </is>
      </c>
      <c r="B393" s="1" t="n">
        <v>44459</v>
      </c>
      <c r="C393" s="1" t="n">
        <v>45994</v>
      </c>
      <c r="D393" t="inlineStr">
        <is>
          <t>ÖSTERGÖTLANDS LÄN</t>
        </is>
      </c>
      <c r="E393" t="inlineStr">
        <is>
          <t>LINKÖPING</t>
        </is>
      </c>
      <c r="G393" t="n">
        <v>2.3</v>
      </c>
      <c r="H393" t="n">
        <v>0</v>
      </c>
      <c r="I393" t="n">
        <v>0</v>
      </c>
      <c r="J393" t="n">
        <v>0</v>
      </c>
      <c r="K393" t="n">
        <v>0</v>
      </c>
      <c r="L393" t="n">
        <v>0</v>
      </c>
      <c r="M393" t="n">
        <v>0</v>
      </c>
      <c r="N393" t="n">
        <v>0</v>
      </c>
      <c r="O393" t="n">
        <v>0</v>
      </c>
      <c r="P393" t="n">
        <v>0</v>
      </c>
      <c r="Q393" t="n">
        <v>0</v>
      </c>
      <c r="R393" s="2" t="inlineStr"/>
    </row>
    <row r="394" ht="15" customHeight="1">
      <c r="A394" t="inlineStr">
        <is>
          <t>A 24462-2023</t>
        </is>
      </c>
      <c r="B394" s="1" t="n">
        <v>45082</v>
      </c>
      <c r="C394" s="1" t="n">
        <v>45994</v>
      </c>
      <c r="D394" t="inlineStr">
        <is>
          <t>ÖSTERGÖTLANDS LÄN</t>
        </is>
      </c>
      <c r="E394" t="inlineStr">
        <is>
          <t>LINKÖPING</t>
        </is>
      </c>
      <c r="G394" t="n">
        <v>3.5</v>
      </c>
      <c r="H394" t="n">
        <v>0</v>
      </c>
      <c r="I394" t="n">
        <v>0</v>
      </c>
      <c r="J394" t="n">
        <v>0</v>
      </c>
      <c r="K394" t="n">
        <v>0</v>
      </c>
      <c r="L394" t="n">
        <v>0</v>
      </c>
      <c r="M394" t="n">
        <v>0</v>
      </c>
      <c r="N394" t="n">
        <v>0</v>
      </c>
      <c r="O394" t="n">
        <v>0</v>
      </c>
      <c r="P394" t="n">
        <v>0</v>
      </c>
      <c r="Q394" t="n">
        <v>0</v>
      </c>
      <c r="R394" s="2" t="inlineStr"/>
    </row>
    <row r="395" ht="15" customHeight="1">
      <c r="A395" t="inlineStr">
        <is>
          <t>A 350-2022</t>
        </is>
      </c>
      <c r="B395" s="1" t="n">
        <v>44565</v>
      </c>
      <c r="C395" s="1" t="n">
        <v>45994</v>
      </c>
      <c r="D395" t="inlineStr">
        <is>
          <t>ÖSTERGÖTLANDS LÄN</t>
        </is>
      </c>
      <c r="E395" t="inlineStr">
        <is>
          <t>LINKÖPING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30471-2023</t>
        </is>
      </c>
      <c r="B396" s="1" t="n">
        <v>45111.58931712963</v>
      </c>
      <c r="C396" s="1" t="n">
        <v>45994</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62015-2024</t>
        </is>
      </c>
      <c r="B397" s="1" t="n">
        <v>45655.80457175926</v>
      </c>
      <c r="C397" s="1" t="n">
        <v>45994</v>
      </c>
      <c r="D397" t="inlineStr">
        <is>
          <t>ÖSTERGÖTLANDS LÄN</t>
        </is>
      </c>
      <c r="E397" t="inlineStr">
        <is>
          <t>LINKÖPING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18891-2022</t>
        </is>
      </c>
      <c r="B398" s="1" t="n">
        <v>44690</v>
      </c>
      <c r="C398" s="1" t="n">
        <v>45994</v>
      </c>
      <c r="D398" t="inlineStr">
        <is>
          <t>ÖSTERGÖTLANDS LÄN</t>
        </is>
      </c>
      <c r="E398" t="inlineStr">
        <is>
          <t>LINKÖPING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227-2024</t>
        </is>
      </c>
      <c r="B399" s="1" t="n">
        <v>45294.73603009259</v>
      </c>
      <c r="C399" s="1" t="n">
        <v>45994</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10741-2023</t>
        </is>
      </c>
      <c r="B400" s="1" t="n">
        <v>44988.70084490741</v>
      </c>
      <c r="C400" s="1" t="n">
        <v>45994</v>
      </c>
      <c r="D400" t="inlineStr">
        <is>
          <t>ÖSTERGÖTLANDS LÄN</t>
        </is>
      </c>
      <c r="E400" t="inlineStr">
        <is>
          <t>LINKÖPING</t>
        </is>
      </c>
      <c r="F400" t="inlineStr">
        <is>
          <t>Allmännings- och besparingsskogar</t>
        </is>
      </c>
      <c r="G400" t="n">
        <v>11.2</v>
      </c>
      <c r="H400" t="n">
        <v>0</v>
      </c>
      <c r="I400" t="n">
        <v>0</v>
      </c>
      <c r="J400" t="n">
        <v>0</v>
      </c>
      <c r="K400" t="n">
        <v>0</v>
      </c>
      <c r="L400" t="n">
        <v>0</v>
      </c>
      <c r="M400" t="n">
        <v>0</v>
      </c>
      <c r="N400" t="n">
        <v>0</v>
      </c>
      <c r="O400" t="n">
        <v>0</v>
      </c>
      <c r="P400" t="n">
        <v>0</v>
      </c>
      <c r="Q400" t="n">
        <v>0</v>
      </c>
      <c r="R400" s="2" t="inlineStr"/>
    </row>
    <row r="401" ht="15" customHeight="1">
      <c r="A401" t="inlineStr">
        <is>
          <t>A 30976-2022</t>
        </is>
      </c>
      <c r="B401" s="1" t="n">
        <v>44768</v>
      </c>
      <c r="C401" s="1" t="n">
        <v>45994</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44155-2024</t>
        </is>
      </c>
      <c r="B402" s="1" t="n">
        <v>45572.68226851852</v>
      </c>
      <c r="C402" s="1" t="n">
        <v>45994</v>
      </c>
      <c r="D402" t="inlineStr">
        <is>
          <t>ÖSTERGÖTLANDS LÄN</t>
        </is>
      </c>
      <c r="E402" t="inlineStr">
        <is>
          <t>LINKÖPING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55736-2022</t>
        </is>
      </c>
      <c r="B403" s="1" t="n">
        <v>44888</v>
      </c>
      <c r="C403" s="1" t="n">
        <v>45994</v>
      </c>
      <c r="D403" t="inlineStr">
        <is>
          <t>ÖSTERGÖTLANDS LÄN</t>
        </is>
      </c>
      <c r="E403" t="inlineStr">
        <is>
          <t>LINKÖPING</t>
        </is>
      </c>
      <c r="G403" t="n">
        <v>5.5</v>
      </c>
      <c r="H403" t="n">
        <v>0</v>
      </c>
      <c r="I403" t="n">
        <v>0</v>
      </c>
      <c r="J403" t="n">
        <v>0</v>
      </c>
      <c r="K403" t="n">
        <v>0</v>
      </c>
      <c r="L403" t="n">
        <v>0</v>
      </c>
      <c r="M403" t="n">
        <v>0</v>
      </c>
      <c r="N403" t="n">
        <v>0</v>
      </c>
      <c r="O403" t="n">
        <v>0</v>
      </c>
      <c r="P403" t="n">
        <v>0</v>
      </c>
      <c r="Q403" t="n">
        <v>0</v>
      </c>
      <c r="R403" s="2" t="inlineStr"/>
    </row>
    <row r="404" ht="15" customHeight="1">
      <c r="A404" t="inlineStr">
        <is>
          <t>A 43473-2024</t>
        </is>
      </c>
      <c r="B404" s="1" t="n">
        <v>45568</v>
      </c>
      <c r="C404" s="1" t="n">
        <v>45994</v>
      </c>
      <c r="D404" t="inlineStr">
        <is>
          <t>ÖSTERGÖTLANDS LÄN</t>
        </is>
      </c>
      <c r="E404" t="inlineStr">
        <is>
          <t>LINKÖPING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43475-2024</t>
        </is>
      </c>
      <c r="B405" s="1" t="n">
        <v>45568</v>
      </c>
      <c r="C405" s="1" t="n">
        <v>45994</v>
      </c>
      <c r="D405" t="inlineStr">
        <is>
          <t>ÖSTERGÖTLANDS LÄN</t>
        </is>
      </c>
      <c r="E405" t="inlineStr">
        <is>
          <t>LINKÖPING</t>
        </is>
      </c>
      <c r="G405" t="n">
        <v>3.2</v>
      </c>
      <c r="H405" t="n">
        <v>0</v>
      </c>
      <c r="I405" t="n">
        <v>0</v>
      </c>
      <c r="J405" t="n">
        <v>0</v>
      </c>
      <c r="K405" t="n">
        <v>0</v>
      </c>
      <c r="L405" t="n">
        <v>0</v>
      </c>
      <c r="M405" t="n">
        <v>0</v>
      </c>
      <c r="N405" t="n">
        <v>0</v>
      </c>
      <c r="O405" t="n">
        <v>0</v>
      </c>
      <c r="P405" t="n">
        <v>0</v>
      </c>
      <c r="Q405" t="n">
        <v>0</v>
      </c>
      <c r="R405" s="2" t="inlineStr"/>
    </row>
    <row r="406" ht="15" customHeight="1">
      <c r="A406" t="inlineStr">
        <is>
          <t>A 30434-2024</t>
        </is>
      </c>
      <c r="B406" s="1" t="n">
        <v>45491.69811342593</v>
      </c>
      <c r="C406" s="1" t="n">
        <v>45994</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1207-2023</t>
        </is>
      </c>
      <c r="B407" s="1" t="n">
        <v>44930</v>
      </c>
      <c r="C407" s="1" t="n">
        <v>45994</v>
      </c>
      <c r="D407" t="inlineStr">
        <is>
          <t>ÖSTERGÖTLANDS LÄN</t>
        </is>
      </c>
      <c r="E407" t="inlineStr">
        <is>
          <t>LINKÖPING</t>
        </is>
      </c>
      <c r="F407" t="inlineStr">
        <is>
          <t>Övriga statliga verk och myndigheter</t>
        </is>
      </c>
      <c r="G407" t="n">
        <v>32.8</v>
      </c>
      <c r="H407" t="n">
        <v>0</v>
      </c>
      <c r="I407" t="n">
        <v>0</v>
      </c>
      <c r="J407" t="n">
        <v>0</v>
      </c>
      <c r="K407" t="n">
        <v>0</v>
      </c>
      <c r="L407" t="n">
        <v>0</v>
      </c>
      <c r="M407" t="n">
        <v>0</v>
      </c>
      <c r="N407" t="n">
        <v>0</v>
      </c>
      <c r="O407" t="n">
        <v>0</v>
      </c>
      <c r="P407" t="n">
        <v>0</v>
      </c>
      <c r="Q407" t="n">
        <v>0</v>
      </c>
      <c r="R407" s="2" t="inlineStr"/>
    </row>
    <row r="408" ht="15" customHeight="1">
      <c r="A408" t="inlineStr">
        <is>
          <t>A 29859-2024</t>
        </is>
      </c>
      <c r="B408" s="1" t="n">
        <v>45485.6846412037</v>
      </c>
      <c r="C408" s="1" t="n">
        <v>45994</v>
      </c>
      <c r="D408" t="inlineStr">
        <is>
          <t>ÖSTERGÖTLANDS LÄN</t>
        </is>
      </c>
      <c r="E408" t="inlineStr">
        <is>
          <t>LINKÖPING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56917-2022</t>
        </is>
      </c>
      <c r="B409" s="1" t="n">
        <v>44894</v>
      </c>
      <c r="C409" s="1" t="n">
        <v>45994</v>
      </c>
      <c r="D409" t="inlineStr">
        <is>
          <t>ÖSTERGÖTLANDS LÄN</t>
        </is>
      </c>
      <c r="E409" t="inlineStr">
        <is>
          <t>LINKÖPING</t>
        </is>
      </c>
      <c r="G409" t="n">
        <v>2.2</v>
      </c>
      <c r="H409" t="n">
        <v>0</v>
      </c>
      <c r="I409" t="n">
        <v>0</v>
      </c>
      <c r="J409" t="n">
        <v>0</v>
      </c>
      <c r="K409" t="n">
        <v>0</v>
      </c>
      <c r="L409" t="n">
        <v>0</v>
      </c>
      <c r="M409" t="n">
        <v>0</v>
      </c>
      <c r="N409" t="n">
        <v>0</v>
      </c>
      <c r="O409" t="n">
        <v>0</v>
      </c>
      <c r="P409" t="n">
        <v>0</v>
      </c>
      <c r="Q409" t="n">
        <v>0</v>
      </c>
      <c r="R409" s="2" t="inlineStr"/>
    </row>
    <row r="410" ht="15" customHeight="1">
      <c r="A410" t="inlineStr">
        <is>
          <t>A 57766-2023</t>
        </is>
      </c>
      <c r="B410" s="1" t="n">
        <v>45246</v>
      </c>
      <c r="C410" s="1" t="n">
        <v>45994</v>
      </c>
      <c r="D410" t="inlineStr">
        <is>
          <t>ÖSTERGÖTLANDS LÄN</t>
        </is>
      </c>
      <c r="E410" t="inlineStr">
        <is>
          <t>LINKÖPING</t>
        </is>
      </c>
      <c r="F410" t="inlineStr">
        <is>
          <t>Allmännings- och besparingsskogar</t>
        </is>
      </c>
      <c r="G410" t="n">
        <v>12.8</v>
      </c>
      <c r="H410" t="n">
        <v>0</v>
      </c>
      <c r="I410" t="n">
        <v>0</v>
      </c>
      <c r="J410" t="n">
        <v>0</v>
      </c>
      <c r="K410" t="n">
        <v>0</v>
      </c>
      <c r="L410" t="n">
        <v>0</v>
      </c>
      <c r="M410" t="n">
        <v>0</v>
      </c>
      <c r="N410" t="n">
        <v>0</v>
      </c>
      <c r="O410" t="n">
        <v>0</v>
      </c>
      <c r="P410" t="n">
        <v>0</v>
      </c>
      <c r="Q410" t="n">
        <v>0</v>
      </c>
      <c r="R410" s="2" t="inlineStr"/>
    </row>
    <row r="411" ht="15" customHeight="1">
      <c r="A411" t="inlineStr">
        <is>
          <t>A 45819-2024</t>
        </is>
      </c>
      <c r="B411" s="1" t="n">
        <v>45579.7454050926</v>
      </c>
      <c r="C411" s="1" t="n">
        <v>45994</v>
      </c>
      <c r="D411" t="inlineStr">
        <is>
          <t>ÖSTERGÖTLANDS LÄN</t>
        </is>
      </c>
      <c r="E411" t="inlineStr">
        <is>
          <t>LINKÖPING</t>
        </is>
      </c>
      <c r="G411" t="n">
        <v>5</v>
      </c>
      <c r="H411" t="n">
        <v>0</v>
      </c>
      <c r="I411" t="n">
        <v>0</v>
      </c>
      <c r="J411" t="n">
        <v>0</v>
      </c>
      <c r="K411" t="n">
        <v>0</v>
      </c>
      <c r="L411" t="n">
        <v>0</v>
      </c>
      <c r="M411" t="n">
        <v>0</v>
      </c>
      <c r="N411" t="n">
        <v>0</v>
      </c>
      <c r="O411" t="n">
        <v>0</v>
      </c>
      <c r="P411" t="n">
        <v>0</v>
      </c>
      <c r="Q411" t="n">
        <v>0</v>
      </c>
      <c r="R411" s="2" t="inlineStr"/>
    </row>
    <row r="412" ht="15" customHeight="1">
      <c r="A412" t="inlineStr">
        <is>
          <t>A 15748-2025</t>
        </is>
      </c>
      <c r="B412" s="1" t="n">
        <v>45748.55282407408</v>
      </c>
      <c r="C412" s="1" t="n">
        <v>45994</v>
      </c>
      <c r="D412" t="inlineStr">
        <is>
          <t>ÖSTERGÖTLANDS LÄN</t>
        </is>
      </c>
      <c r="E412" t="inlineStr">
        <is>
          <t>LINKÖPING</t>
        </is>
      </c>
      <c r="G412" t="n">
        <v>1.5</v>
      </c>
      <c r="H412" t="n">
        <v>0</v>
      </c>
      <c r="I412" t="n">
        <v>0</v>
      </c>
      <c r="J412" t="n">
        <v>0</v>
      </c>
      <c r="K412" t="n">
        <v>0</v>
      </c>
      <c r="L412" t="n">
        <v>0</v>
      </c>
      <c r="M412" t="n">
        <v>0</v>
      </c>
      <c r="N412" t="n">
        <v>0</v>
      </c>
      <c r="O412" t="n">
        <v>0</v>
      </c>
      <c r="P412" t="n">
        <v>0</v>
      </c>
      <c r="Q412" t="n">
        <v>0</v>
      </c>
      <c r="R412" s="2" t="inlineStr"/>
    </row>
    <row r="413" ht="15" customHeight="1">
      <c r="A413" t="inlineStr">
        <is>
          <t>A 15754-2025</t>
        </is>
      </c>
      <c r="B413" s="1" t="n">
        <v>45748.56105324074</v>
      </c>
      <c r="C413" s="1" t="n">
        <v>45994</v>
      </c>
      <c r="D413" t="inlineStr">
        <is>
          <t>ÖSTERGÖTLANDS LÄN</t>
        </is>
      </c>
      <c r="E413" t="inlineStr">
        <is>
          <t>LINKÖPING</t>
        </is>
      </c>
      <c r="G413" t="n">
        <v>1.7</v>
      </c>
      <c r="H413" t="n">
        <v>0</v>
      </c>
      <c r="I413" t="n">
        <v>0</v>
      </c>
      <c r="J413" t="n">
        <v>0</v>
      </c>
      <c r="K413" t="n">
        <v>0</v>
      </c>
      <c r="L413" t="n">
        <v>0</v>
      </c>
      <c r="M413" t="n">
        <v>0</v>
      </c>
      <c r="N413" t="n">
        <v>0</v>
      </c>
      <c r="O413" t="n">
        <v>0</v>
      </c>
      <c r="P413" t="n">
        <v>0</v>
      </c>
      <c r="Q413" t="n">
        <v>0</v>
      </c>
      <c r="R413" s="2" t="inlineStr"/>
    </row>
    <row r="414" ht="15" customHeight="1">
      <c r="A414" t="inlineStr">
        <is>
          <t>A 30518-2024</t>
        </is>
      </c>
      <c r="B414" s="1" t="n">
        <v>45492</v>
      </c>
      <c r="C414" s="1" t="n">
        <v>45994</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53797-2023</t>
        </is>
      </c>
      <c r="B415" s="1" t="n">
        <v>45230</v>
      </c>
      <c r="C415" s="1" t="n">
        <v>45994</v>
      </c>
      <c r="D415" t="inlineStr">
        <is>
          <t>ÖSTERGÖTLANDS LÄN</t>
        </is>
      </c>
      <c r="E415" t="inlineStr">
        <is>
          <t>LINKÖPING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9473-2024</t>
        </is>
      </c>
      <c r="B416" s="1" t="n">
        <v>45359.55474537037</v>
      </c>
      <c r="C416" s="1" t="n">
        <v>45994</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10194-2023</t>
        </is>
      </c>
      <c r="B417" s="1" t="n">
        <v>44986.52277777778</v>
      </c>
      <c r="C417" s="1" t="n">
        <v>45994</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6859-2024</t>
        </is>
      </c>
      <c r="B418" s="1" t="n">
        <v>45342</v>
      </c>
      <c r="C418" s="1" t="n">
        <v>45994</v>
      </c>
      <c r="D418" t="inlineStr">
        <is>
          <t>ÖSTERGÖTLANDS LÄN</t>
        </is>
      </c>
      <c r="E418" t="inlineStr">
        <is>
          <t>LINKÖPING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44287-2024</t>
        </is>
      </c>
      <c r="B419" s="1" t="n">
        <v>45573.50582175926</v>
      </c>
      <c r="C419" s="1" t="n">
        <v>45994</v>
      </c>
      <c r="D419" t="inlineStr">
        <is>
          <t>ÖSTERGÖTLANDS LÄN</t>
        </is>
      </c>
      <c r="E419" t="inlineStr">
        <is>
          <t>LINKÖPING</t>
        </is>
      </c>
      <c r="G419" t="n">
        <v>12.7</v>
      </c>
      <c r="H419" t="n">
        <v>0</v>
      </c>
      <c r="I419" t="n">
        <v>0</v>
      </c>
      <c r="J419" t="n">
        <v>0</v>
      </c>
      <c r="K419" t="n">
        <v>0</v>
      </c>
      <c r="L419" t="n">
        <v>0</v>
      </c>
      <c r="M419" t="n">
        <v>0</v>
      </c>
      <c r="N419" t="n">
        <v>0</v>
      </c>
      <c r="O419" t="n">
        <v>0</v>
      </c>
      <c r="P419" t="n">
        <v>0</v>
      </c>
      <c r="Q419" t="n">
        <v>0</v>
      </c>
      <c r="R419" s="2" t="inlineStr"/>
    </row>
    <row r="420" ht="15" customHeight="1">
      <c r="A420" t="inlineStr">
        <is>
          <t>A 55345-2021</t>
        </is>
      </c>
      <c r="B420" s="1" t="n">
        <v>44475</v>
      </c>
      <c r="C420" s="1" t="n">
        <v>45994</v>
      </c>
      <c r="D420" t="inlineStr">
        <is>
          <t>ÖSTERGÖTLANDS LÄN</t>
        </is>
      </c>
      <c r="E420" t="inlineStr">
        <is>
          <t>LINKÖPING</t>
        </is>
      </c>
      <c r="G420" t="n">
        <v>5.7</v>
      </c>
      <c r="H420" t="n">
        <v>0</v>
      </c>
      <c r="I420" t="n">
        <v>0</v>
      </c>
      <c r="J420" t="n">
        <v>0</v>
      </c>
      <c r="K420" t="n">
        <v>0</v>
      </c>
      <c r="L420" t="n">
        <v>0</v>
      </c>
      <c r="M420" t="n">
        <v>0</v>
      </c>
      <c r="N420" t="n">
        <v>0</v>
      </c>
      <c r="O420" t="n">
        <v>0</v>
      </c>
      <c r="P420" t="n">
        <v>0</v>
      </c>
      <c r="Q420" t="n">
        <v>0</v>
      </c>
      <c r="R420" s="2" t="inlineStr"/>
    </row>
    <row r="421" ht="15" customHeight="1">
      <c r="A421" t="inlineStr">
        <is>
          <t>A 10198-2023</t>
        </is>
      </c>
      <c r="B421" s="1" t="n">
        <v>44986.54665509259</v>
      </c>
      <c r="C421" s="1" t="n">
        <v>45994</v>
      </c>
      <c r="D421" t="inlineStr">
        <is>
          <t>ÖSTERGÖTLANDS LÄN</t>
        </is>
      </c>
      <c r="E421" t="inlineStr">
        <is>
          <t>LINKÖPING</t>
        </is>
      </c>
      <c r="G421" t="n">
        <v>4.6</v>
      </c>
      <c r="H421" t="n">
        <v>0</v>
      </c>
      <c r="I421" t="n">
        <v>0</v>
      </c>
      <c r="J421" t="n">
        <v>0</v>
      </c>
      <c r="K421" t="n">
        <v>0</v>
      </c>
      <c r="L421" t="n">
        <v>0</v>
      </c>
      <c r="M421" t="n">
        <v>0</v>
      </c>
      <c r="N421" t="n">
        <v>0</v>
      </c>
      <c r="O421" t="n">
        <v>0</v>
      </c>
      <c r="P421" t="n">
        <v>0</v>
      </c>
      <c r="Q421" t="n">
        <v>0</v>
      </c>
      <c r="R421" s="2" t="inlineStr"/>
    </row>
    <row r="422" ht="15" customHeight="1">
      <c r="A422" t="inlineStr">
        <is>
          <t>A 4298-2023</t>
        </is>
      </c>
      <c r="B422" s="1" t="n">
        <v>44953</v>
      </c>
      <c r="C422" s="1" t="n">
        <v>45994</v>
      </c>
      <c r="D422" t="inlineStr">
        <is>
          <t>ÖSTERGÖTLANDS LÄN</t>
        </is>
      </c>
      <c r="E422" t="inlineStr">
        <is>
          <t>LINKÖPING</t>
        </is>
      </c>
      <c r="G422" t="n">
        <v>2.8</v>
      </c>
      <c r="H422" t="n">
        <v>0</v>
      </c>
      <c r="I422" t="n">
        <v>0</v>
      </c>
      <c r="J422" t="n">
        <v>0</v>
      </c>
      <c r="K422" t="n">
        <v>0</v>
      </c>
      <c r="L422" t="n">
        <v>0</v>
      </c>
      <c r="M422" t="n">
        <v>0</v>
      </c>
      <c r="N422" t="n">
        <v>0</v>
      </c>
      <c r="O422" t="n">
        <v>0</v>
      </c>
      <c r="P422" t="n">
        <v>0</v>
      </c>
      <c r="Q422" t="n">
        <v>0</v>
      </c>
      <c r="R422" s="2" t="inlineStr"/>
    </row>
    <row r="423" ht="15" customHeight="1">
      <c r="A423" t="inlineStr">
        <is>
          <t>A 25568-2024</t>
        </is>
      </c>
      <c r="B423" s="1" t="n">
        <v>45463.58699074074</v>
      </c>
      <c r="C423" s="1" t="n">
        <v>45994</v>
      </c>
      <c r="D423" t="inlineStr">
        <is>
          <t>ÖSTERGÖTLANDS LÄN</t>
        </is>
      </c>
      <c r="E423" t="inlineStr">
        <is>
          <t>LINKÖPING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12428-2024</t>
        </is>
      </c>
      <c r="B424" s="1" t="n">
        <v>45379</v>
      </c>
      <c r="C424" s="1" t="n">
        <v>45994</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26618-2023</t>
        </is>
      </c>
      <c r="B425" s="1" t="n">
        <v>45092.70306712963</v>
      </c>
      <c r="C425" s="1" t="n">
        <v>45994</v>
      </c>
      <c r="D425" t="inlineStr">
        <is>
          <t>ÖSTERGÖTLANDS LÄN</t>
        </is>
      </c>
      <c r="E425" t="inlineStr">
        <is>
          <t>LINKÖPING</t>
        </is>
      </c>
      <c r="G425" t="n">
        <v>6.9</v>
      </c>
      <c r="H425" t="n">
        <v>0</v>
      </c>
      <c r="I425" t="n">
        <v>0</v>
      </c>
      <c r="J425" t="n">
        <v>0</v>
      </c>
      <c r="K425" t="n">
        <v>0</v>
      </c>
      <c r="L425" t="n">
        <v>0</v>
      </c>
      <c r="M425" t="n">
        <v>0</v>
      </c>
      <c r="N425" t="n">
        <v>0</v>
      </c>
      <c r="O425" t="n">
        <v>0</v>
      </c>
      <c r="P425" t="n">
        <v>0</v>
      </c>
      <c r="Q425" t="n">
        <v>0</v>
      </c>
      <c r="R425" s="2" t="inlineStr"/>
    </row>
    <row r="426" ht="15" customHeight="1">
      <c r="A426" t="inlineStr">
        <is>
          <t>A 22833-2023</t>
        </is>
      </c>
      <c r="B426" s="1" t="n">
        <v>45071</v>
      </c>
      <c r="C426" s="1" t="n">
        <v>45994</v>
      </c>
      <c r="D426" t="inlineStr">
        <is>
          <t>ÖSTERGÖTLANDS LÄN</t>
        </is>
      </c>
      <c r="E426" t="inlineStr">
        <is>
          <t>LINKÖPING</t>
        </is>
      </c>
      <c r="F426" t="inlineStr">
        <is>
          <t>Kommuner</t>
        </is>
      </c>
      <c r="G426" t="n">
        <v>1</v>
      </c>
      <c r="H426" t="n">
        <v>0</v>
      </c>
      <c r="I426" t="n">
        <v>0</v>
      </c>
      <c r="J426" t="n">
        <v>0</v>
      </c>
      <c r="K426" t="n">
        <v>0</v>
      </c>
      <c r="L426" t="n">
        <v>0</v>
      </c>
      <c r="M426" t="n">
        <v>0</v>
      </c>
      <c r="N426" t="n">
        <v>0</v>
      </c>
      <c r="O426" t="n">
        <v>0</v>
      </c>
      <c r="P426" t="n">
        <v>0</v>
      </c>
      <c r="Q426" t="n">
        <v>0</v>
      </c>
      <c r="R426" s="2" t="inlineStr"/>
    </row>
    <row r="427" ht="15" customHeight="1">
      <c r="A427" t="inlineStr">
        <is>
          <t>A 34930-2023</t>
        </is>
      </c>
      <c r="B427" s="1" t="n">
        <v>45142</v>
      </c>
      <c r="C427" s="1" t="n">
        <v>45994</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670-2024</t>
        </is>
      </c>
      <c r="B428" s="1" t="n">
        <v>45300.3408912037</v>
      </c>
      <c r="C428" s="1" t="n">
        <v>45994</v>
      </c>
      <c r="D428" t="inlineStr">
        <is>
          <t>ÖSTERGÖTLANDS LÄN</t>
        </is>
      </c>
      <c r="E428" t="inlineStr">
        <is>
          <t>LINKÖPING</t>
        </is>
      </c>
      <c r="F428" t="inlineStr">
        <is>
          <t>Sveaskog</t>
        </is>
      </c>
      <c r="G428" t="n">
        <v>2.3</v>
      </c>
      <c r="H428" t="n">
        <v>0</v>
      </c>
      <c r="I428" t="n">
        <v>0</v>
      </c>
      <c r="J428" t="n">
        <v>0</v>
      </c>
      <c r="K428" t="n">
        <v>0</v>
      </c>
      <c r="L428" t="n">
        <v>0</v>
      </c>
      <c r="M428" t="n">
        <v>0</v>
      </c>
      <c r="N428" t="n">
        <v>0</v>
      </c>
      <c r="O428" t="n">
        <v>0</v>
      </c>
      <c r="P428" t="n">
        <v>0</v>
      </c>
      <c r="Q428" t="n">
        <v>0</v>
      </c>
      <c r="R428" s="2" t="inlineStr"/>
    </row>
    <row r="429" ht="15" customHeight="1">
      <c r="A429" t="inlineStr">
        <is>
          <t>A 63845-2021</t>
        </is>
      </c>
      <c r="B429" s="1" t="n">
        <v>44509</v>
      </c>
      <c r="C429" s="1" t="n">
        <v>45994</v>
      </c>
      <c r="D429" t="inlineStr">
        <is>
          <t>ÖSTERGÖTLANDS LÄN</t>
        </is>
      </c>
      <c r="E429" t="inlineStr">
        <is>
          <t>LINKÖPING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7702-2023</t>
        </is>
      </c>
      <c r="B430" s="1" t="n">
        <v>44967</v>
      </c>
      <c r="C430" s="1" t="n">
        <v>45994</v>
      </c>
      <c r="D430" t="inlineStr">
        <is>
          <t>ÖSTERGÖTLANDS LÄN</t>
        </is>
      </c>
      <c r="E430" t="inlineStr">
        <is>
          <t>LINKÖPING</t>
        </is>
      </c>
      <c r="F430" t="inlineStr">
        <is>
          <t>Övriga statliga verk och myndigheter</t>
        </is>
      </c>
      <c r="G430" t="n">
        <v>8</v>
      </c>
      <c r="H430" t="n">
        <v>0</v>
      </c>
      <c r="I430" t="n">
        <v>0</v>
      </c>
      <c r="J430" t="n">
        <v>0</v>
      </c>
      <c r="K430" t="n">
        <v>0</v>
      </c>
      <c r="L430" t="n">
        <v>0</v>
      </c>
      <c r="M430" t="n">
        <v>0</v>
      </c>
      <c r="N430" t="n">
        <v>0</v>
      </c>
      <c r="O430" t="n">
        <v>0</v>
      </c>
      <c r="P430" t="n">
        <v>0</v>
      </c>
      <c r="Q430" t="n">
        <v>0</v>
      </c>
      <c r="R430" s="2" t="inlineStr"/>
    </row>
    <row r="431" ht="15" customHeight="1">
      <c r="A431" t="inlineStr">
        <is>
          <t>A 22364-2025</t>
        </is>
      </c>
      <c r="B431" s="1" t="n">
        <v>45786.46930555555</v>
      </c>
      <c r="C431" s="1" t="n">
        <v>45994</v>
      </c>
      <c r="D431" t="inlineStr">
        <is>
          <t>ÖSTERGÖTLANDS LÄN</t>
        </is>
      </c>
      <c r="E431" t="inlineStr">
        <is>
          <t>LINKÖPING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2997-2025</t>
        </is>
      </c>
      <c r="B432" s="1" t="n">
        <v>45678.54631944445</v>
      </c>
      <c r="C432" s="1" t="n">
        <v>45994</v>
      </c>
      <c r="D432" t="inlineStr">
        <is>
          <t>ÖSTERGÖTLANDS LÄN</t>
        </is>
      </c>
      <c r="E432" t="inlineStr">
        <is>
          <t>LINKÖPING</t>
        </is>
      </c>
      <c r="G432" t="n">
        <v>2.7</v>
      </c>
      <c r="H432" t="n">
        <v>0</v>
      </c>
      <c r="I432" t="n">
        <v>0</v>
      </c>
      <c r="J432" t="n">
        <v>0</v>
      </c>
      <c r="K432" t="n">
        <v>0</v>
      </c>
      <c r="L432" t="n">
        <v>0</v>
      </c>
      <c r="M432" t="n">
        <v>0</v>
      </c>
      <c r="N432" t="n">
        <v>0</v>
      </c>
      <c r="O432" t="n">
        <v>0</v>
      </c>
      <c r="P432" t="n">
        <v>0</v>
      </c>
      <c r="Q432" t="n">
        <v>0</v>
      </c>
      <c r="R432" s="2" t="inlineStr"/>
    </row>
    <row r="433" ht="15" customHeight="1">
      <c r="A433" t="inlineStr">
        <is>
          <t>A 42000-2023</t>
        </is>
      </c>
      <c r="B433" s="1" t="n">
        <v>45177</v>
      </c>
      <c r="C433" s="1" t="n">
        <v>45994</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54034-2022</t>
        </is>
      </c>
      <c r="B434" s="1" t="n">
        <v>44881</v>
      </c>
      <c r="C434" s="1" t="n">
        <v>45994</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41345-2021</t>
        </is>
      </c>
      <c r="B435" s="1" t="n">
        <v>44424.61851851852</v>
      </c>
      <c r="C435" s="1" t="n">
        <v>45994</v>
      </c>
      <c r="D435" t="inlineStr">
        <is>
          <t>ÖSTERGÖTLANDS LÄN</t>
        </is>
      </c>
      <c r="E435" t="inlineStr">
        <is>
          <t>LINKÖPING</t>
        </is>
      </c>
      <c r="F435" t="inlineStr">
        <is>
          <t>Sveaskog</t>
        </is>
      </c>
      <c r="G435" t="n">
        <v>6.3</v>
      </c>
      <c r="H435" t="n">
        <v>0</v>
      </c>
      <c r="I435" t="n">
        <v>0</v>
      </c>
      <c r="J435" t="n">
        <v>0</v>
      </c>
      <c r="K435" t="n">
        <v>0</v>
      </c>
      <c r="L435" t="n">
        <v>0</v>
      </c>
      <c r="M435" t="n">
        <v>0</v>
      </c>
      <c r="N435" t="n">
        <v>0</v>
      </c>
      <c r="O435" t="n">
        <v>0</v>
      </c>
      <c r="P435" t="n">
        <v>0</v>
      </c>
      <c r="Q435" t="n">
        <v>0</v>
      </c>
      <c r="R435" s="2" t="inlineStr"/>
    </row>
    <row r="436" ht="15" customHeight="1">
      <c r="A436" t="inlineStr">
        <is>
          <t>A 13266-2025</t>
        </is>
      </c>
      <c r="B436" s="1" t="n">
        <v>45735.53318287037</v>
      </c>
      <c r="C436" s="1" t="n">
        <v>45994</v>
      </c>
      <c r="D436" t="inlineStr">
        <is>
          <t>ÖSTERGÖTLANDS LÄN</t>
        </is>
      </c>
      <c r="E436" t="inlineStr">
        <is>
          <t>LINKÖPING</t>
        </is>
      </c>
      <c r="G436" t="n">
        <v>3.1</v>
      </c>
      <c r="H436" t="n">
        <v>0</v>
      </c>
      <c r="I436" t="n">
        <v>0</v>
      </c>
      <c r="J436" t="n">
        <v>0</v>
      </c>
      <c r="K436" t="n">
        <v>0</v>
      </c>
      <c r="L436" t="n">
        <v>0</v>
      </c>
      <c r="M436" t="n">
        <v>0</v>
      </c>
      <c r="N436" t="n">
        <v>0</v>
      </c>
      <c r="O436" t="n">
        <v>0</v>
      </c>
      <c r="P436" t="n">
        <v>0</v>
      </c>
      <c r="Q436" t="n">
        <v>0</v>
      </c>
      <c r="R436" s="2" t="inlineStr"/>
    </row>
    <row r="437" ht="15" customHeight="1">
      <c r="A437" t="inlineStr">
        <is>
          <t>A 31534-2023</t>
        </is>
      </c>
      <c r="B437" s="1" t="n">
        <v>45116</v>
      </c>
      <c r="C437" s="1" t="n">
        <v>45994</v>
      </c>
      <c r="D437" t="inlineStr">
        <is>
          <t>ÖSTERGÖTLANDS LÄN</t>
        </is>
      </c>
      <c r="E437" t="inlineStr">
        <is>
          <t>LINKÖPING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36336-2023</t>
        </is>
      </c>
      <c r="B438" s="1" t="n">
        <v>45152.45078703704</v>
      </c>
      <c r="C438" s="1" t="n">
        <v>45994</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16213-2025</t>
        </is>
      </c>
      <c r="B439" s="1" t="n">
        <v>45750.62740740741</v>
      </c>
      <c r="C439" s="1" t="n">
        <v>45994</v>
      </c>
      <c r="D439" t="inlineStr">
        <is>
          <t>ÖSTERGÖTLANDS LÄN</t>
        </is>
      </c>
      <c r="E439" t="inlineStr">
        <is>
          <t>LINKÖPING</t>
        </is>
      </c>
      <c r="G439" t="n">
        <v>3.4</v>
      </c>
      <c r="H439" t="n">
        <v>0</v>
      </c>
      <c r="I439" t="n">
        <v>0</v>
      </c>
      <c r="J439" t="n">
        <v>0</v>
      </c>
      <c r="K439" t="n">
        <v>0</v>
      </c>
      <c r="L439" t="n">
        <v>0</v>
      </c>
      <c r="M439" t="n">
        <v>0</v>
      </c>
      <c r="N439" t="n">
        <v>0</v>
      </c>
      <c r="O439" t="n">
        <v>0</v>
      </c>
      <c r="P439" t="n">
        <v>0</v>
      </c>
      <c r="Q439" t="n">
        <v>0</v>
      </c>
      <c r="R439" s="2" t="inlineStr"/>
    </row>
    <row r="440" ht="15" customHeight="1">
      <c r="A440" t="inlineStr">
        <is>
          <t>A 48829-2023</t>
        </is>
      </c>
      <c r="B440" s="1" t="n">
        <v>45209.38177083333</v>
      </c>
      <c r="C440" s="1" t="n">
        <v>45994</v>
      </c>
      <c r="D440" t="inlineStr">
        <is>
          <t>ÖSTERGÖTLANDS LÄN</t>
        </is>
      </c>
      <c r="E440" t="inlineStr">
        <is>
          <t>LINKÖPING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35427-2023</t>
        </is>
      </c>
      <c r="B441" s="1" t="n">
        <v>45146</v>
      </c>
      <c r="C441" s="1" t="n">
        <v>45994</v>
      </c>
      <c r="D441" t="inlineStr">
        <is>
          <t>ÖSTERGÖTLANDS LÄN</t>
        </is>
      </c>
      <c r="E441" t="inlineStr">
        <is>
          <t>LINKÖPING</t>
        </is>
      </c>
      <c r="F441" t="inlineStr">
        <is>
          <t>Övriga Aktiebolag</t>
        </is>
      </c>
      <c r="G441" t="n">
        <v>2.5</v>
      </c>
      <c r="H441" t="n">
        <v>0</v>
      </c>
      <c r="I441" t="n">
        <v>0</v>
      </c>
      <c r="J441" t="n">
        <v>0</v>
      </c>
      <c r="K441" t="n">
        <v>0</v>
      </c>
      <c r="L441" t="n">
        <v>0</v>
      </c>
      <c r="M441" t="n">
        <v>0</v>
      </c>
      <c r="N441" t="n">
        <v>0</v>
      </c>
      <c r="O441" t="n">
        <v>0</v>
      </c>
      <c r="P441" t="n">
        <v>0</v>
      </c>
      <c r="Q441" t="n">
        <v>0</v>
      </c>
      <c r="R441" s="2" t="inlineStr"/>
    </row>
    <row r="442" ht="15" customHeight="1">
      <c r="A442" t="inlineStr">
        <is>
          <t>A 36725-2023</t>
        </is>
      </c>
      <c r="B442" s="1" t="n">
        <v>45153.68471064815</v>
      </c>
      <c r="C442" s="1" t="n">
        <v>45994</v>
      </c>
      <c r="D442" t="inlineStr">
        <is>
          <t>ÖSTERGÖTLANDS LÄN</t>
        </is>
      </c>
      <c r="E442" t="inlineStr">
        <is>
          <t>LINKÖPING</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53639-2023</t>
        </is>
      </c>
      <c r="B443" s="1" t="n">
        <v>45230.59686342593</v>
      </c>
      <c r="C443" s="1" t="n">
        <v>45994</v>
      </c>
      <c r="D443" t="inlineStr">
        <is>
          <t>ÖSTERGÖTLANDS LÄN</t>
        </is>
      </c>
      <c r="E443" t="inlineStr">
        <is>
          <t>LINKÖPING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46225-2021</t>
        </is>
      </c>
      <c r="B444" s="1" t="n">
        <v>44442</v>
      </c>
      <c r="C444" s="1" t="n">
        <v>45994</v>
      </c>
      <c r="D444" t="inlineStr">
        <is>
          <t>ÖSTERGÖTLANDS LÄN</t>
        </is>
      </c>
      <c r="E444" t="inlineStr">
        <is>
          <t>LINKÖPING</t>
        </is>
      </c>
      <c r="G444" t="n">
        <v>2.9</v>
      </c>
      <c r="H444" t="n">
        <v>0</v>
      </c>
      <c r="I444" t="n">
        <v>0</v>
      </c>
      <c r="J444" t="n">
        <v>0</v>
      </c>
      <c r="K444" t="n">
        <v>0</v>
      </c>
      <c r="L444" t="n">
        <v>0</v>
      </c>
      <c r="M444" t="n">
        <v>0</v>
      </c>
      <c r="N444" t="n">
        <v>0</v>
      </c>
      <c r="O444" t="n">
        <v>0</v>
      </c>
      <c r="P444" t="n">
        <v>0</v>
      </c>
      <c r="Q444" t="n">
        <v>0</v>
      </c>
      <c r="R444" s="2" t="inlineStr"/>
    </row>
    <row r="445" ht="15" customHeight="1">
      <c r="A445" t="inlineStr">
        <is>
          <t>A 25776-2021</t>
        </is>
      </c>
      <c r="B445" s="1" t="n">
        <v>44343</v>
      </c>
      <c r="C445" s="1" t="n">
        <v>45994</v>
      </c>
      <c r="D445" t="inlineStr">
        <is>
          <t>ÖSTERGÖTLANDS LÄN</t>
        </is>
      </c>
      <c r="E445" t="inlineStr">
        <is>
          <t>LINKÖPING</t>
        </is>
      </c>
      <c r="G445" t="n">
        <v>2.6</v>
      </c>
      <c r="H445" t="n">
        <v>0</v>
      </c>
      <c r="I445" t="n">
        <v>0</v>
      </c>
      <c r="J445" t="n">
        <v>0</v>
      </c>
      <c r="K445" t="n">
        <v>0</v>
      </c>
      <c r="L445" t="n">
        <v>0</v>
      </c>
      <c r="M445" t="n">
        <v>0</v>
      </c>
      <c r="N445" t="n">
        <v>0</v>
      </c>
      <c r="O445" t="n">
        <v>0</v>
      </c>
      <c r="P445" t="n">
        <v>0</v>
      </c>
      <c r="Q445" t="n">
        <v>0</v>
      </c>
      <c r="R445" s="2" t="inlineStr"/>
    </row>
    <row r="446" ht="15" customHeight="1">
      <c r="A446" t="inlineStr">
        <is>
          <t>A 51484-2023</t>
        </is>
      </c>
      <c r="B446" s="1" t="n">
        <v>45222</v>
      </c>
      <c r="C446" s="1" t="n">
        <v>45994</v>
      </c>
      <c r="D446" t="inlineStr">
        <is>
          <t>ÖSTERGÖTLANDS LÄN</t>
        </is>
      </c>
      <c r="E446" t="inlineStr">
        <is>
          <t>LINKÖPING</t>
        </is>
      </c>
      <c r="F446" t="inlineStr">
        <is>
          <t>Övriga Aktiebolag</t>
        </is>
      </c>
      <c r="G446" t="n">
        <v>7.7</v>
      </c>
      <c r="H446" t="n">
        <v>0</v>
      </c>
      <c r="I446" t="n">
        <v>0</v>
      </c>
      <c r="J446" t="n">
        <v>0</v>
      </c>
      <c r="K446" t="n">
        <v>0</v>
      </c>
      <c r="L446" t="n">
        <v>0</v>
      </c>
      <c r="M446" t="n">
        <v>0</v>
      </c>
      <c r="N446" t="n">
        <v>0</v>
      </c>
      <c r="O446" t="n">
        <v>0</v>
      </c>
      <c r="P446" t="n">
        <v>0</v>
      </c>
      <c r="Q446" t="n">
        <v>0</v>
      </c>
      <c r="R446" s="2" t="inlineStr"/>
    </row>
    <row r="447" ht="15" customHeight="1">
      <c r="A447" t="inlineStr">
        <is>
          <t>A 1657-2024</t>
        </is>
      </c>
      <c r="B447" s="1" t="n">
        <v>45306.82501157407</v>
      </c>
      <c r="C447" s="1" t="n">
        <v>45994</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50784-2022</t>
        </is>
      </c>
      <c r="B448" s="1" t="n">
        <v>44862</v>
      </c>
      <c r="C448" s="1" t="n">
        <v>45994</v>
      </c>
      <c r="D448" t="inlineStr">
        <is>
          <t>ÖSTERGÖTLANDS LÄN</t>
        </is>
      </c>
      <c r="E448" t="inlineStr">
        <is>
          <t>LINKÖPING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17898-2022</t>
        </is>
      </c>
      <c r="B449" s="1" t="n">
        <v>44683</v>
      </c>
      <c r="C449" s="1" t="n">
        <v>45994</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26803-2024</t>
        </is>
      </c>
      <c r="B450" s="1" t="n">
        <v>45470</v>
      </c>
      <c r="C450" s="1" t="n">
        <v>45994</v>
      </c>
      <c r="D450" t="inlineStr">
        <is>
          <t>ÖSTERGÖTLANDS LÄN</t>
        </is>
      </c>
      <c r="E450" t="inlineStr">
        <is>
          <t>LINKÖPING</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63487-2023</t>
        </is>
      </c>
      <c r="B451" s="1" t="n">
        <v>45274.66712962963</v>
      </c>
      <c r="C451" s="1" t="n">
        <v>45994</v>
      </c>
      <c r="D451" t="inlineStr">
        <is>
          <t>ÖSTERGÖTLANDS LÄN</t>
        </is>
      </c>
      <c r="E451" t="inlineStr">
        <is>
          <t>LINKÖPING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35463-2023</t>
        </is>
      </c>
      <c r="B452" s="1" t="n">
        <v>45146</v>
      </c>
      <c r="C452" s="1" t="n">
        <v>45994</v>
      </c>
      <c r="D452" t="inlineStr">
        <is>
          <t>ÖSTERGÖTLANDS LÄN</t>
        </is>
      </c>
      <c r="E452" t="inlineStr">
        <is>
          <t>LINKÖPING</t>
        </is>
      </c>
      <c r="F452" t="inlineStr">
        <is>
          <t>Övriga Aktiebolag</t>
        </is>
      </c>
      <c r="G452" t="n">
        <v>1.8</v>
      </c>
      <c r="H452" t="n">
        <v>0</v>
      </c>
      <c r="I452" t="n">
        <v>0</v>
      </c>
      <c r="J452" t="n">
        <v>0</v>
      </c>
      <c r="K452" t="n">
        <v>0</v>
      </c>
      <c r="L452" t="n">
        <v>0</v>
      </c>
      <c r="M452" t="n">
        <v>0</v>
      </c>
      <c r="N452" t="n">
        <v>0</v>
      </c>
      <c r="O452" t="n">
        <v>0</v>
      </c>
      <c r="P452" t="n">
        <v>0</v>
      </c>
      <c r="Q452" t="n">
        <v>0</v>
      </c>
      <c r="R452" s="2" t="inlineStr"/>
    </row>
    <row r="453" ht="15" customHeight="1">
      <c r="A453" t="inlineStr">
        <is>
          <t>A 19187-2021</t>
        </is>
      </c>
      <c r="B453" s="1" t="n">
        <v>44308</v>
      </c>
      <c r="C453" s="1" t="n">
        <v>45994</v>
      </c>
      <c r="D453" t="inlineStr">
        <is>
          <t>ÖSTERGÖTLANDS LÄN</t>
        </is>
      </c>
      <c r="E453" t="inlineStr">
        <is>
          <t>LINKÖPING</t>
        </is>
      </c>
      <c r="F453" t="inlineStr">
        <is>
          <t>Allmännings- och besparingsskogar</t>
        </is>
      </c>
      <c r="G453" t="n">
        <v>20</v>
      </c>
      <c r="H453" t="n">
        <v>0</v>
      </c>
      <c r="I453" t="n">
        <v>0</v>
      </c>
      <c r="J453" t="n">
        <v>0</v>
      </c>
      <c r="K453" t="n">
        <v>0</v>
      </c>
      <c r="L453" t="n">
        <v>0</v>
      </c>
      <c r="M453" t="n">
        <v>0</v>
      </c>
      <c r="N453" t="n">
        <v>0</v>
      </c>
      <c r="O453" t="n">
        <v>0</v>
      </c>
      <c r="P453" t="n">
        <v>0</v>
      </c>
      <c r="Q453" t="n">
        <v>0</v>
      </c>
      <c r="R453" s="2" t="inlineStr"/>
    </row>
    <row r="454" ht="15" customHeight="1">
      <c r="A454" t="inlineStr">
        <is>
          <t>A 48186-2022</t>
        </is>
      </c>
      <c r="B454" s="1" t="n">
        <v>44858</v>
      </c>
      <c r="C454" s="1" t="n">
        <v>45994</v>
      </c>
      <c r="D454" t="inlineStr">
        <is>
          <t>ÖSTERGÖTLANDS LÄN</t>
        </is>
      </c>
      <c r="E454" t="inlineStr">
        <is>
          <t>LINKÖPING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63669-2023</t>
        </is>
      </c>
      <c r="B455" s="1" t="n">
        <v>45275</v>
      </c>
      <c r="C455" s="1" t="n">
        <v>45994</v>
      </c>
      <c r="D455" t="inlineStr">
        <is>
          <t>ÖSTERGÖTLANDS LÄN</t>
        </is>
      </c>
      <c r="E455" t="inlineStr">
        <is>
          <t>LINKÖPING</t>
        </is>
      </c>
      <c r="F455" t="inlineStr">
        <is>
          <t>Övriga Aktiebolag</t>
        </is>
      </c>
      <c r="G455" t="n">
        <v>3</v>
      </c>
      <c r="H455" t="n">
        <v>0</v>
      </c>
      <c r="I455" t="n">
        <v>0</v>
      </c>
      <c r="J455" t="n">
        <v>0</v>
      </c>
      <c r="K455" t="n">
        <v>0</v>
      </c>
      <c r="L455" t="n">
        <v>0</v>
      </c>
      <c r="M455" t="n">
        <v>0</v>
      </c>
      <c r="N455" t="n">
        <v>0</v>
      </c>
      <c r="O455" t="n">
        <v>0</v>
      </c>
      <c r="P455" t="n">
        <v>0</v>
      </c>
      <c r="Q455" t="n">
        <v>0</v>
      </c>
      <c r="R455" s="2" t="inlineStr"/>
    </row>
    <row r="456" ht="15" customHeight="1">
      <c r="A456" t="inlineStr">
        <is>
          <t>A 24586-2024</t>
        </is>
      </c>
      <c r="B456" s="1" t="n">
        <v>45460.46664351852</v>
      </c>
      <c r="C456" s="1" t="n">
        <v>45994</v>
      </c>
      <c r="D456" t="inlineStr">
        <is>
          <t>ÖSTERGÖTLANDS LÄN</t>
        </is>
      </c>
      <c r="E456" t="inlineStr">
        <is>
          <t>LINKÖPING</t>
        </is>
      </c>
      <c r="G456" t="n">
        <v>4</v>
      </c>
      <c r="H456" t="n">
        <v>0</v>
      </c>
      <c r="I456" t="n">
        <v>0</v>
      </c>
      <c r="J456" t="n">
        <v>0</v>
      </c>
      <c r="K456" t="n">
        <v>0</v>
      </c>
      <c r="L456" t="n">
        <v>0</v>
      </c>
      <c r="M456" t="n">
        <v>0</v>
      </c>
      <c r="N456" t="n">
        <v>0</v>
      </c>
      <c r="O456" t="n">
        <v>0</v>
      </c>
      <c r="P456" t="n">
        <v>0</v>
      </c>
      <c r="Q456" t="n">
        <v>0</v>
      </c>
      <c r="R456" s="2" t="inlineStr"/>
    </row>
    <row r="457" ht="15" customHeight="1">
      <c r="A457" t="inlineStr">
        <is>
          <t>A 572-2025</t>
        </is>
      </c>
      <c r="B457" s="1" t="n">
        <v>45664.56349537037</v>
      </c>
      <c r="C457" s="1" t="n">
        <v>45994</v>
      </c>
      <c r="D457" t="inlineStr">
        <is>
          <t>ÖSTERGÖTLANDS LÄN</t>
        </is>
      </c>
      <c r="E457" t="inlineStr">
        <is>
          <t>LINKÖPING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59576-2024</t>
        </is>
      </c>
      <c r="B458" s="1" t="n">
        <v>45638.66378472222</v>
      </c>
      <c r="C458" s="1" t="n">
        <v>45994</v>
      </c>
      <c r="D458" t="inlineStr">
        <is>
          <t>ÖSTERGÖTLANDS LÄN</t>
        </is>
      </c>
      <c r="E458" t="inlineStr">
        <is>
          <t>LINKÖPING</t>
        </is>
      </c>
      <c r="G458" t="n">
        <v>1.6</v>
      </c>
      <c r="H458" t="n">
        <v>0</v>
      </c>
      <c r="I458" t="n">
        <v>0</v>
      </c>
      <c r="J458" t="n">
        <v>0</v>
      </c>
      <c r="K458" t="n">
        <v>0</v>
      </c>
      <c r="L458" t="n">
        <v>0</v>
      </c>
      <c r="M458" t="n">
        <v>0</v>
      </c>
      <c r="N458" t="n">
        <v>0</v>
      </c>
      <c r="O458" t="n">
        <v>0</v>
      </c>
      <c r="P458" t="n">
        <v>0</v>
      </c>
      <c r="Q458" t="n">
        <v>0</v>
      </c>
      <c r="R458" s="2" t="inlineStr"/>
    </row>
    <row r="459" ht="15" customHeight="1">
      <c r="A459" t="inlineStr">
        <is>
          <t>A 59642-2024</t>
        </is>
      </c>
      <c r="B459" s="1" t="n">
        <v>45639.31511574074</v>
      </c>
      <c r="C459" s="1" t="n">
        <v>45994</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59674-2024</t>
        </is>
      </c>
      <c r="B460" s="1" t="n">
        <v>45639</v>
      </c>
      <c r="C460" s="1" t="n">
        <v>45994</v>
      </c>
      <c r="D460" t="inlineStr">
        <is>
          <t>ÖSTERGÖTLANDS LÄN</t>
        </is>
      </c>
      <c r="E460" t="inlineStr">
        <is>
          <t>LINKÖPING</t>
        </is>
      </c>
      <c r="G460" t="n">
        <v>6.3</v>
      </c>
      <c r="H460" t="n">
        <v>0</v>
      </c>
      <c r="I460" t="n">
        <v>0</v>
      </c>
      <c r="J460" t="n">
        <v>0</v>
      </c>
      <c r="K460" t="n">
        <v>0</v>
      </c>
      <c r="L460" t="n">
        <v>0</v>
      </c>
      <c r="M460" t="n">
        <v>0</v>
      </c>
      <c r="N460" t="n">
        <v>0</v>
      </c>
      <c r="O460" t="n">
        <v>0</v>
      </c>
      <c r="P460" t="n">
        <v>0</v>
      </c>
      <c r="Q460" t="n">
        <v>0</v>
      </c>
      <c r="R460" s="2" t="inlineStr"/>
    </row>
    <row r="461" ht="15" customHeight="1">
      <c r="A461" t="inlineStr">
        <is>
          <t>A 55632-2022</t>
        </is>
      </c>
      <c r="B461" s="1" t="n">
        <v>44888</v>
      </c>
      <c r="C461" s="1" t="n">
        <v>45994</v>
      </c>
      <c r="D461" t="inlineStr">
        <is>
          <t>ÖSTERGÖTLANDS LÄN</t>
        </is>
      </c>
      <c r="E461" t="inlineStr">
        <is>
          <t>LINKÖPING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60472-2022</t>
        </is>
      </c>
      <c r="B462" s="1" t="n">
        <v>44911.41037037037</v>
      </c>
      <c r="C462" s="1" t="n">
        <v>45994</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10797-2024</t>
        </is>
      </c>
      <c r="B463" s="1" t="n">
        <v>45369.6190162037</v>
      </c>
      <c r="C463" s="1" t="n">
        <v>45994</v>
      </c>
      <c r="D463" t="inlineStr">
        <is>
          <t>ÖSTERGÖTLANDS LÄN</t>
        </is>
      </c>
      <c r="E463" t="inlineStr">
        <is>
          <t>LINKÖPING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63559-2023</t>
        </is>
      </c>
      <c r="B464" s="1" t="n">
        <v>45275.35924768518</v>
      </c>
      <c r="C464" s="1" t="n">
        <v>45994</v>
      </c>
      <c r="D464" t="inlineStr">
        <is>
          <t>ÖSTERGÖTLANDS LÄN</t>
        </is>
      </c>
      <c r="E464" t="inlineStr">
        <is>
          <t>LINKÖPING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3742-2021</t>
        </is>
      </c>
      <c r="B465" s="1" t="n">
        <v>44221</v>
      </c>
      <c r="C465" s="1" t="n">
        <v>45994</v>
      </c>
      <c r="D465" t="inlineStr">
        <is>
          <t>ÖSTERGÖTLANDS LÄN</t>
        </is>
      </c>
      <c r="E465" t="inlineStr">
        <is>
          <t>LINKÖPING</t>
        </is>
      </c>
      <c r="G465" t="n">
        <v>5.5</v>
      </c>
      <c r="H465" t="n">
        <v>0</v>
      </c>
      <c r="I465" t="n">
        <v>0</v>
      </c>
      <c r="J465" t="n">
        <v>0</v>
      </c>
      <c r="K465" t="n">
        <v>0</v>
      </c>
      <c r="L465" t="n">
        <v>0</v>
      </c>
      <c r="M465" t="n">
        <v>0</v>
      </c>
      <c r="N465" t="n">
        <v>0</v>
      </c>
      <c r="O465" t="n">
        <v>0</v>
      </c>
      <c r="P465" t="n">
        <v>0</v>
      </c>
      <c r="Q465" t="n">
        <v>0</v>
      </c>
      <c r="R465" s="2" t="inlineStr"/>
    </row>
    <row r="466" ht="15" customHeight="1">
      <c r="A466" t="inlineStr">
        <is>
          <t>A 18916-2024</t>
        </is>
      </c>
      <c r="B466" s="1" t="n">
        <v>45427.39541666667</v>
      </c>
      <c r="C466" s="1" t="n">
        <v>45994</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43934-2023</t>
        </is>
      </c>
      <c r="B467" s="1" t="n">
        <v>45187</v>
      </c>
      <c r="C467" s="1" t="n">
        <v>45994</v>
      </c>
      <c r="D467" t="inlineStr">
        <is>
          <t>ÖSTERGÖTLANDS LÄN</t>
        </is>
      </c>
      <c r="E467" t="inlineStr">
        <is>
          <t>LINKÖPING</t>
        </is>
      </c>
      <c r="F467" t="inlineStr">
        <is>
          <t>Övriga Aktiebolag</t>
        </is>
      </c>
      <c r="G467" t="n">
        <v>3.8</v>
      </c>
      <c r="H467" t="n">
        <v>0</v>
      </c>
      <c r="I467" t="n">
        <v>0</v>
      </c>
      <c r="J467" t="n">
        <v>0</v>
      </c>
      <c r="K467" t="n">
        <v>0</v>
      </c>
      <c r="L467" t="n">
        <v>0</v>
      </c>
      <c r="M467" t="n">
        <v>0</v>
      </c>
      <c r="N467" t="n">
        <v>0</v>
      </c>
      <c r="O467" t="n">
        <v>0</v>
      </c>
      <c r="P467" t="n">
        <v>0</v>
      </c>
      <c r="Q467" t="n">
        <v>0</v>
      </c>
      <c r="R467" s="2" t="inlineStr"/>
    </row>
    <row r="468" ht="15" customHeight="1">
      <c r="A468" t="inlineStr">
        <is>
          <t>A 22774-2024</t>
        </is>
      </c>
      <c r="B468" s="1" t="n">
        <v>45448.46924768519</v>
      </c>
      <c r="C468" s="1" t="n">
        <v>45994</v>
      </c>
      <c r="D468" t="inlineStr">
        <is>
          <t>ÖSTERGÖTLANDS LÄN</t>
        </is>
      </c>
      <c r="E468" t="inlineStr">
        <is>
          <t>LINKÖPING</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22778-2024</t>
        </is>
      </c>
      <c r="B469" s="1" t="n">
        <v>45448.47233796296</v>
      </c>
      <c r="C469" s="1" t="n">
        <v>45994</v>
      </c>
      <c r="D469" t="inlineStr">
        <is>
          <t>ÖSTERGÖTLANDS LÄN</t>
        </is>
      </c>
      <c r="E469" t="inlineStr">
        <is>
          <t>LINKÖPING</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58114-2021</t>
        </is>
      </c>
      <c r="B470" s="1" t="n">
        <v>44487</v>
      </c>
      <c r="C470" s="1" t="n">
        <v>45994</v>
      </c>
      <c r="D470" t="inlineStr">
        <is>
          <t>ÖSTERGÖTLANDS LÄN</t>
        </is>
      </c>
      <c r="E470" t="inlineStr">
        <is>
          <t>LINKÖPING</t>
        </is>
      </c>
      <c r="F470" t="inlineStr">
        <is>
          <t>Övriga Aktiebolag</t>
        </is>
      </c>
      <c r="G470" t="n">
        <v>0.8</v>
      </c>
      <c r="H470" t="n">
        <v>0</v>
      </c>
      <c r="I470" t="n">
        <v>0</v>
      </c>
      <c r="J470" t="n">
        <v>0</v>
      </c>
      <c r="K470" t="n">
        <v>0</v>
      </c>
      <c r="L470" t="n">
        <v>0</v>
      </c>
      <c r="M470" t="n">
        <v>0</v>
      </c>
      <c r="N470" t="n">
        <v>0</v>
      </c>
      <c r="O470" t="n">
        <v>0</v>
      </c>
      <c r="P470" t="n">
        <v>0</v>
      </c>
      <c r="Q470" t="n">
        <v>0</v>
      </c>
      <c r="R470" s="2" t="inlineStr"/>
    </row>
    <row r="471" ht="15" customHeight="1">
      <c r="A471" t="inlineStr">
        <is>
          <t>A 1209-2023</t>
        </is>
      </c>
      <c r="B471" s="1" t="n">
        <v>44930</v>
      </c>
      <c r="C471" s="1" t="n">
        <v>45994</v>
      </c>
      <c r="D471" t="inlineStr">
        <is>
          <t>ÖSTERGÖTLANDS LÄN</t>
        </is>
      </c>
      <c r="E471" t="inlineStr">
        <is>
          <t>LINKÖPING</t>
        </is>
      </c>
      <c r="F471" t="inlineStr">
        <is>
          <t>Övriga statliga verk och myndigheter</t>
        </is>
      </c>
      <c r="G471" t="n">
        <v>25.8</v>
      </c>
      <c r="H471" t="n">
        <v>0</v>
      </c>
      <c r="I471" t="n">
        <v>0</v>
      </c>
      <c r="J471" t="n">
        <v>0</v>
      </c>
      <c r="K471" t="n">
        <v>0</v>
      </c>
      <c r="L471" t="n">
        <v>0</v>
      </c>
      <c r="M471" t="n">
        <v>0</v>
      </c>
      <c r="N471" t="n">
        <v>0</v>
      </c>
      <c r="O471" t="n">
        <v>0</v>
      </c>
      <c r="P471" t="n">
        <v>0</v>
      </c>
      <c r="Q471" t="n">
        <v>0</v>
      </c>
      <c r="R471" s="2" t="inlineStr"/>
    </row>
    <row r="472" ht="15" customHeight="1">
      <c r="A472" t="inlineStr">
        <is>
          <t>A 11084-2022</t>
        </is>
      </c>
      <c r="B472" s="1" t="n">
        <v>44628</v>
      </c>
      <c r="C472" s="1" t="n">
        <v>45994</v>
      </c>
      <c r="D472" t="inlineStr">
        <is>
          <t>ÖSTERGÖTLANDS LÄN</t>
        </is>
      </c>
      <c r="E472" t="inlineStr">
        <is>
          <t>LINKÖPING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38580-2024</t>
        </is>
      </c>
      <c r="B473" s="1" t="n">
        <v>45546.64825231482</v>
      </c>
      <c r="C473" s="1" t="n">
        <v>45994</v>
      </c>
      <c r="D473" t="inlineStr">
        <is>
          <t>ÖSTERGÖTLANDS LÄN</t>
        </is>
      </c>
      <c r="E473" t="inlineStr">
        <is>
          <t>LINKÖPING</t>
        </is>
      </c>
      <c r="G473" t="n">
        <v>4.8</v>
      </c>
      <c r="H473" t="n">
        <v>0</v>
      </c>
      <c r="I473" t="n">
        <v>0</v>
      </c>
      <c r="J473" t="n">
        <v>0</v>
      </c>
      <c r="K473" t="n">
        <v>0</v>
      </c>
      <c r="L473" t="n">
        <v>0</v>
      </c>
      <c r="M473" t="n">
        <v>0</v>
      </c>
      <c r="N473" t="n">
        <v>0</v>
      </c>
      <c r="O473" t="n">
        <v>0</v>
      </c>
      <c r="P473" t="n">
        <v>0</v>
      </c>
      <c r="Q473" t="n">
        <v>0</v>
      </c>
      <c r="R473" s="2" t="inlineStr"/>
    </row>
    <row r="474" ht="15" customHeight="1">
      <c r="A474" t="inlineStr">
        <is>
          <t>A 57752-2023</t>
        </is>
      </c>
      <c r="B474" s="1" t="n">
        <v>45246.78474537037</v>
      </c>
      <c r="C474" s="1" t="n">
        <v>45994</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10407-2025</t>
        </is>
      </c>
      <c r="B475" s="1" t="n">
        <v>45720.62863425926</v>
      </c>
      <c r="C475" s="1" t="n">
        <v>45994</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11590-2023</t>
        </is>
      </c>
      <c r="B476" s="1" t="n">
        <v>44994.36689814815</v>
      </c>
      <c r="C476" s="1" t="n">
        <v>45994</v>
      </c>
      <c r="D476" t="inlineStr">
        <is>
          <t>ÖSTERGÖTLANDS LÄN</t>
        </is>
      </c>
      <c r="E476" t="inlineStr">
        <is>
          <t>LINKÖPING</t>
        </is>
      </c>
      <c r="G476" t="n">
        <v>3.1</v>
      </c>
      <c r="H476" t="n">
        <v>0</v>
      </c>
      <c r="I476" t="n">
        <v>0</v>
      </c>
      <c r="J476" t="n">
        <v>0</v>
      </c>
      <c r="K476" t="n">
        <v>0</v>
      </c>
      <c r="L476" t="n">
        <v>0</v>
      </c>
      <c r="M476" t="n">
        <v>0</v>
      </c>
      <c r="N476" t="n">
        <v>0</v>
      </c>
      <c r="O476" t="n">
        <v>0</v>
      </c>
      <c r="P476" t="n">
        <v>0</v>
      </c>
      <c r="Q476" t="n">
        <v>0</v>
      </c>
      <c r="R476" s="2" t="inlineStr"/>
    </row>
    <row r="477" ht="15" customHeight="1">
      <c r="A477" t="inlineStr">
        <is>
          <t>A 19169-2023</t>
        </is>
      </c>
      <c r="B477" s="1" t="n">
        <v>45044</v>
      </c>
      <c r="C477" s="1" t="n">
        <v>45994</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55944-2024</t>
        </is>
      </c>
      <c r="B478" s="1" t="n">
        <v>45623.61640046296</v>
      </c>
      <c r="C478" s="1" t="n">
        <v>45994</v>
      </c>
      <c r="D478" t="inlineStr">
        <is>
          <t>ÖSTERGÖTLANDS LÄN</t>
        </is>
      </c>
      <c r="E478" t="inlineStr">
        <is>
          <t>LINKÖPING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55947-2024</t>
        </is>
      </c>
      <c r="B479" s="1" t="n">
        <v>45623</v>
      </c>
      <c r="C479" s="1" t="n">
        <v>45994</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3374-2023</t>
        </is>
      </c>
      <c r="B480" s="1" t="n">
        <v>44949</v>
      </c>
      <c r="C480" s="1" t="n">
        <v>45994</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10203-2023</t>
        </is>
      </c>
      <c r="B481" s="1" t="n">
        <v>44986.55711805556</v>
      </c>
      <c r="C481" s="1" t="n">
        <v>45994</v>
      </c>
      <c r="D481" t="inlineStr">
        <is>
          <t>ÖSTERGÖTLANDS LÄN</t>
        </is>
      </c>
      <c r="E481" t="inlineStr">
        <is>
          <t>LINKÖPING</t>
        </is>
      </c>
      <c r="G481" t="n">
        <v>3.3</v>
      </c>
      <c r="H481" t="n">
        <v>0</v>
      </c>
      <c r="I481" t="n">
        <v>0</v>
      </c>
      <c r="J481" t="n">
        <v>0</v>
      </c>
      <c r="K481" t="n">
        <v>0</v>
      </c>
      <c r="L481" t="n">
        <v>0</v>
      </c>
      <c r="M481" t="n">
        <v>0</v>
      </c>
      <c r="N481" t="n">
        <v>0</v>
      </c>
      <c r="O481" t="n">
        <v>0</v>
      </c>
      <c r="P481" t="n">
        <v>0</v>
      </c>
      <c r="Q481" t="n">
        <v>0</v>
      </c>
      <c r="R481" s="2" t="inlineStr"/>
    </row>
    <row r="482" ht="15" customHeight="1">
      <c r="A482" t="inlineStr">
        <is>
          <t>A 24151-2024</t>
        </is>
      </c>
      <c r="B482" s="1" t="n">
        <v>45456.67717592593</v>
      </c>
      <c r="C482" s="1" t="n">
        <v>45994</v>
      </c>
      <c r="D482" t="inlineStr">
        <is>
          <t>ÖSTERGÖTLANDS LÄN</t>
        </is>
      </c>
      <c r="E482" t="inlineStr">
        <is>
          <t>LINKÖPING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672-2024</t>
        </is>
      </c>
      <c r="B483" s="1" t="n">
        <v>45300</v>
      </c>
      <c r="C483" s="1" t="n">
        <v>45994</v>
      </c>
      <c r="D483" t="inlineStr">
        <is>
          <t>ÖSTERGÖTLANDS LÄN</t>
        </is>
      </c>
      <c r="E483" t="inlineStr">
        <is>
          <t>LINKÖPING</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55493-2021</t>
        </is>
      </c>
      <c r="B484" s="1" t="n">
        <v>44475.61988425926</v>
      </c>
      <c r="C484" s="1" t="n">
        <v>45994</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67123-2020</t>
        </is>
      </c>
      <c r="B485" s="1" t="n">
        <v>44180</v>
      </c>
      <c r="C485" s="1" t="n">
        <v>45994</v>
      </c>
      <c r="D485" t="inlineStr">
        <is>
          <t>ÖSTERGÖTLANDS LÄN</t>
        </is>
      </c>
      <c r="E485" t="inlineStr">
        <is>
          <t>LINKÖPING</t>
        </is>
      </c>
      <c r="F485" t="inlineStr">
        <is>
          <t>Övriga statliga verk och myndigheter</t>
        </is>
      </c>
      <c r="G485" t="n">
        <v>1.3</v>
      </c>
      <c r="H485" t="n">
        <v>0</v>
      </c>
      <c r="I485" t="n">
        <v>0</v>
      </c>
      <c r="J485" t="n">
        <v>0</v>
      </c>
      <c r="K485" t="n">
        <v>0</v>
      </c>
      <c r="L485" t="n">
        <v>0</v>
      </c>
      <c r="M485" t="n">
        <v>0</v>
      </c>
      <c r="N485" t="n">
        <v>0</v>
      </c>
      <c r="O485" t="n">
        <v>0</v>
      </c>
      <c r="P485" t="n">
        <v>0</v>
      </c>
      <c r="Q485" t="n">
        <v>0</v>
      </c>
      <c r="R485" s="2" t="inlineStr"/>
    </row>
    <row r="486" ht="15" customHeight="1">
      <c r="A486" t="inlineStr">
        <is>
          <t>A 2618-2023</t>
        </is>
      </c>
      <c r="B486" s="1" t="n">
        <v>44944.35847222222</v>
      </c>
      <c r="C486" s="1" t="n">
        <v>45994</v>
      </c>
      <c r="D486" t="inlineStr">
        <is>
          <t>ÖSTERGÖTLANDS LÄN</t>
        </is>
      </c>
      <c r="E486" t="inlineStr">
        <is>
          <t>LINKÖPING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14093-2024</t>
        </is>
      </c>
      <c r="B487" s="1" t="n">
        <v>45392.60278935185</v>
      </c>
      <c r="C487" s="1" t="n">
        <v>45994</v>
      </c>
      <c r="D487" t="inlineStr">
        <is>
          <t>ÖSTERGÖTLANDS LÄN</t>
        </is>
      </c>
      <c r="E487" t="inlineStr">
        <is>
          <t>LINKÖPING</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62019-2024</t>
        </is>
      </c>
      <c r="B488" s="1" t="n">
        <v>45655.82</v>
      </c>
      <c r="C488" s="1" t="n">
        <v>45994</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25119-2023</t>
        </is>
      </c>
      <c r="B489" s="1" t="n">
        <v>45086.42326388889</v>
      </c>
      <c r="C489" s="1" t="n">
        <v>45994</v>
      </c>
      <c r="D489" t="inlineStr">
        <is>
          <t>ÖSTERGÖTLANDS LÄN</t>
        </is>
      </c>
      <c r="E489" t="inlineStr">
        <is>
          <t>LINKÖPING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14576-2023</t>
        </is>
      </c>
      <c r="B490" s="1" t="n">
        <v>45013</v>
      </c>
      <c r="C490" s="1" t="n">
        <v>45994</v>
      </c>
      <c r="D490" t="inlineStr">
        <is>
          <t>ÖSTERGÖTLANDS LÄN</t>
        </is>
      </c>
      <c r="E490" t="inlineStr">
        <is>
          <t>LINKÖPING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62020-2024</t>
        </is>
      </c>
      <c r="B491" s="1" t="n">
        <v>45655.83563657408</v>
      </c>
      <c r="C491" s="1" t="n">
        <v>45994</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62021-2024</t>
        </is>
      </c>
      <c r="B492" s="1" t="n">
        <v>45655.84232638889</v>
      </c>
      <c r="C492" s="1" t="n">
        <v>45994</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29312-2024</t>
        </is>
      </c>
      <c r="B493" s="1" t="n">
        <v>45483</v>
      </c>
      <c r="C493" s="1" t="n">
        <v>45994</v>
      </c>
      <c r="D493" t="inlineStr">
        <is>
          <t>ÖSTERGÖTLANDS LÄN</t>
        </is>
      </c>
      <c r="E493" t="inlineStr">
        <is>
          <t>LINKÖPING</t>
        </is>
      </c>
      <c r="G493" t="n">
        <v>2.1</v>
      </c>
      <c r="H493" t="n">
        <v>0</v>
      </c>
      <c r="I493" t="n">
        <v>0</v>
      </c>
      <c r="J493" t="n">
        <v>0</v>
      </c>
      <c r="K493" t="n">
        <v>0</v>
      </c>
      <c r="L493" t="n">
        <v>0</v>
      </c>
      <c r="M493" t="n">
        <v>0</v>
      </c>
      <c r="N493" t="n">
        <v>0</v>
      </c>
      <c r="O493" t="n">
        <v>0</v>
      </c>
      <c r="P493" t="n">
        <v>0</v>
      </c>
      <c r="Q493" t="n">
        <v>0</v>
      </c>
      <c r="R493" s="2" t="inlineStr"/>
    </row>
    <row r="494" ht="15" customHeight="1">
      <c r="A494" t="inlineStr">
        <is>
          <t>A 57396-2021</t>
        </is>
      </c>
      <c r="B494" s="1" t="n">
        <v>44483.56151620371</v>
      </c>
      <c r="C494" s="1" t="n">
        <v>45994</v>
      </c>
      <c r="D494" t="inlineStr">
        <is>
          <t>ÖSTERGÖTLANDS LÄN</t>
        </is>
      </c>
      <c r="E494" t="inlineStr">
        <is>
          <t>LINKÖPING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51571-2024</t>
        </is>
      </c>
      <c r="B495" s="1" t="n">
        <v>45604</v>
      </c>
      <c r="C495" s="1" t="n">
        <v>45994</v>
      </c>
      <c r="D495" t="inlineStr">
        <is>
          <t>ÖSTERGÖTLANDS LÄN</t>
        </is>
      </c>
      <c r="E495" t="inlineStr">
        <is>
          <t>LINKÖPING</t>
        </is>
      </c>
      <c r="F495" t="inlineStr">
        <is>
          <t>Övriga Aktiebolag</t>
        </is>
      </c>
      <c r="G495" t="n">
        <v>1.4</v>
      </c>
      <c r="H495" t="n">
        <v>0</v>
      </c>
      <c r="I495" t="n">
        <v>0</v>
      </c>
      <c r="J495" t="n">
        <v>0</v>
      </c>
      <c r="K495" t="n">
        <v>0</v>
      </c>
      <c r="L495" t="n">
        <v>0</v>
      </c>
      <c r="M495" t="n">
        <v>0</v>
      </c>
      <c r="N495" t="n">
        <v>0</v>
      </c>
      <c r="O495" t="n">
        <v>0</v>
      </c>
      <c r="P495" t="n">
        <v>0</v>
      </c>
      <c r="Q495" t="n">
        <v>0</v>
      </c>
      <c r="R495" s="2" t="inlineStr"/>
    </row>
    <row r="496" ht="15" customHeight="1">
      <c r="A496" t="inlineStr">
        <is>
          <t>A 17143-2025</t>
        </is>
      </c>
      <c r="B496" s="1" t="n">
        <v>45755.92731481481</v>
      </c>
      <c r="C496" s="1" t="n">
        <v>45994</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23120-2025</t>
        </is>
      </c>
      <c r="B497" s="1" t="n">
        <v>45791.37481481482</v>
      </c>
      <c r="C497" s="1" t="n">
        <v>45994</v>
      </c>
      <c r="D497" t="inlineStr">
        <is>
          <t>ÖSTERGÖTLANDS LÄN</t>
        </is>
      </c>
      <c r="E497" t="inlineStr">
        <is>
          <t>LINKÖPING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74160-2021</t>
        </is>
      </c>
      <c r="B498" s="1" t="n">
        <v>44558</v>
      </c>
      <c r="C498" s="1" t="n">
        <v>45994</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17124-2025</t>
        </is>
      </c>
      <c r="B499" s="1" t="n">
        <v>45755.69678240741</v>
      </c>
      <c r="C499" s="1" t="n">
        <v>45994</v>
      </c>
      <c r="D499" t="inlineStr">
        <is>
          <t>ÖSTERGÖTLANDS LÄN</t>
        </is>
      </c>
      <c r="E499" t="inlineStr">
        <is>
          <t>LINKÖPING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17126-2025</t>
        </is>
      </c>
      <c r="B500" s="1" t="n">
        <v>45755.70814814815</v>
      </c>
      <c r="C500" s="1" t="n">
        <v>45994</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1362-2023</t>
        </is>
      </c>
      <c r="B501" s="1" t="n">
        <v>44931</v>
      </c>
      <c r="C501" s="1" t="n">
        <v>45994</v>
      </c>
      <c r="D501" t="inlineStr">
        <is>
          <t>ÖSTERGÖTLANDS LÄN</t>
        </is>
      </c>
      <c r="E501" t="inlineStr">
        <is>
          <t>LINKÖPING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31640-2023</t>
        </is>
      </c>
      <c r="B502" s="1" t="n">
        <v>45117</v>
      </c>
      <c r="C502" s="1" t="n">
        <v>45994</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27766-2022</t>
        </is>
      </c>
      <c r="B503" s="1" t="n">
        <v>44743.53112268518</v>
      </c>
      <c r="C503" s="1" t="n">
        <v>45994</v>
      </c>
      <c r="D503" t="inlineStr">
        <is>
          <t>ÖSTERGÖTLANDS LÄN</t>
        </is>
      </c>
      <c r="E503" t="inlineStr">
        <is>
          <t>LINKÖPING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49928-2024</t>
        </is>
      </c>
      <c r="B504" s="1" t="n">
        <v>45597.57811342592</v>
      </c>
      <c r="C504" s="1" t="n">
        <v>45994</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3627-2023</t>
        </is>
      </c>
      <c r="B505" s="1" t="n">
        <v>44950.64782407408</v>
      </c>
      <c r="C505" s="1" t="n">
        <v>45994</v>
      </c>
      <c r="D505" t="inlineStr">
        <is>
          <t>ÖSTERGÖTLANDS LÄN</t>
        </is>
      </c>
      <c r="E505" t="inlineStr">
        <is>
          <t>LINKÖPING</t>
        </is>
      </c>
      <c r="G505" t="n">
        <v>3.1</v>
      </c>
      <c r="H505" t="n">
        <v>0</v>
      </c>
      <c r="I505" t="n">
        <v>0</v>
      </c>
      <c r="J505" t="n">
        <v>0</v>
      </c>
      <c r="K505" t="n">
        <v>0</v>
      </c>
      <c r="L505" t="n">
        <v>0</v>
      </c>
      <c r="M505" t="n">
        <v>0</v>
      </c>
      <c r="N505" t="n">
        <v>0</v>
      </c>
      <c r="O505" t="n">
        <v>0</v>
      </c>
      <c r="P505" t="n">
        <v>0</v>
      </c>
      <c r="Q505" t="n">
        <v>0</v>
      </c>
      <c r="R505" s="2" t="inlineStr"/>
    </row>
    <row r="506" ht="15" customHeight="1">
      <c r="A506" t="inlineStr">
        <is>
          <t>A 53641-2023</t>
        </is>
      </c>
      <c r="B506" s="1" t="n">
        <v>45230</v>
      </c>
      <c r="C506" s="1" t="n">
        <v>45994</v>
      </c>
      <c r="D506" t="inlineStr">
        <is>
          <t>ÖSTERGÖTLANDS LÄN</t>
        </is>
      </c>
      <c r="E506" t="inlineStr">
        <is>
          <t>LINKÖPING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33000-2023</t>
        </is>
      </c>
      <c r="B507" s="1" t="n">
        <v>45125</v>
      </c>
      <c r="C507" s="1" t="n">
        <v>45994</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11790-2024</t>
        </is>
      </c>
      <c r="B508" s="1" t="n">
        <v>45374</v>
      </c>
      <c r="C508" s="1" t="n">
        <v>45994</v>
      </c>
      <c r="D508" t="inlineStr">
        <is>
          <t>ÖSTERGÖTLANDS LÄN</t>
        </is>
      </c>
      <c r="E508" t="inlineStr">
        <is>
          <t>LINKÖPING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51405-2023</t>
        </is>
      </c>
      <c r="B509" s="1" t="n">
        <v>45219</v>
      </c>
      <c r="C509" s="1" t="n">
        <v>45994</v>
      </c>
      <c r="D509" t="inlineStr">
        <is>
          <t>ÖSTERGÖTLANDS LÄN</t>
        </is>
      </c>
      <c r="E509" t="inlineStr">
        <is>
          <t>LINKÖPING</t>
        </is>
      </c>
      <c r="F509" t="inlineStr">
        <is>
          <t>Övriga Aktiebolag</t>
        </is>
      </c>
      <c r="G509" t="n">
        <v>3</v>
      </c>
      <c r="H509" t="n">
        <v>0</v>
      </c>
      <c r="I509" t="n">
        <v>0</v>
      </c>
      <c r="J509" t="n">
        <v>0</v>
      </c>
      <c r="K509" t="n">
        <v>0</v>
      </c>
      <c r="L509" t="n">
        <v>0</v>
      </c>
      <c r="M509" t="n">
        <v>0</v>
      </c>
      <c r="N509" t="n">
        <v>0</v>
      </c>
      <c r="O509" t="n">
        <v>0</v>
      </c>
      <c r="P509" t="n">
        <v>0</v>
      </c>
      <c r="Q509" t="n">
        <v>0</v>
      </c>
      <c r="R509" s="2" t="inlineStr"/>
    </row>
    <row r="510" ht="15" customHeight="1">
      <c r="A510" t="inlineStr">
        <is>
          <t>A 52892-2024</t>
        </is>
      </c>
      <c r="B510" s="1" t="n">
        <v>45610</v>
      </c>
      <c r="C510" s="1" t="n">
        <v>45994</v>
      </c>
      <c r="D510" t="inlineStr">
        <is>
          <t>ÖSTERGÖTLANDS LÄN</t>
        </is>
      </c>
      <c r="E510" t="inlineStr">
        <is>
          <t>LINKÖPING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11601-2023</t>
        </is>
      </c>
      <c r="B511" s="1" t="n">
        <v>44994</v>
      </c>
      <c r="C511" s="1" t="n">
        <v>45994</v>
      </c>
      <c r="D511" t="inlineStr">
        <is>
          <t>ÖSTERGÖTLANDS LÄN</t>
        </is>
      </c>
      <c r="E511" t="inlineStr">
        <is>
          <t>LINKÖPING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61281-2021</t>
        </is>
      </c>
      <c r="B512" s="1" t="n">
        <v>44498.60736111111</v>
      </c>
      <c r="C512" s="1" t="n">
        <v>45994</v>
      </c>
      <c r="D512" t="inlineStr">
        <is>
          <t>ÖSTERGÖTLANDS LÄN</t>
        </is>
      </c>
      <c r="E512" t="inlineStr">
        <is>
          <t>LINKÖPING</t>
        </is>
      </c>
      <c r="G512" t="n">
        <v>4.5</v>
      </c>
      <c r="H512" t="n">
        <v>0</v>
      </c>
      <c r="I512" t="n">
        <v>0</v>
      </c>
      <c r="J512" t="n">
        <v>0</v>
      </c>
      <c r="K512" t="n">
        <v>0</v>
      </c>
      <c r="L512" t="n">
        <v>0</v>
      </c>
      <c r="M512" t="n">
        <v>0</v>
      </c>
      <c r="N512" t="n">
        <v>0</v>
      </c>
      <c r="O512" t="n">
        <v>0</v>
      </c>
      <c r="P512" t="n">
        <v>0</v>
      </c>
      <c r="Q512" t="n">
        <v>0</v>
      </c>
      <c r="R512" s="2" t="inlineStr"/>
    </row>
    <row r="513" ht="15" customHeight="1">
      <c r="A513" t="inlineStr">
        <is>
          <t>A 40338-2024</t>
        </is>
      </c>
      <c r="B513" s="1" t="n">
        <v>45555.32940972222</v>
      </c>
      <c r="C513" s="1" t="n">
        <v>45994</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167-2024</t>
        </is>
      </c>
      <c r="B514" s="1" t="n">
        <v>45294</v>
      </c>
      <c r="C514" s="1" t="n">
        <v>45994</v>
      </c>
      <c r="D514" t="inlineStr">
        <is>
          <t>ÖSTERGÖTLANDS LÄN</t>
        </is>
      </c>
      <c r="E514" t="inlineStr">
        <is>
          <t>LINKÖPING</t>
        </is>
      </c>
      <c r="F514" t="inlineStr">
        <is>
          <t>Allmännings- och besparingsskogar</t>
        </is>
      </c>
      <c r="G514" t="n">
        <v>11.6</v>
      </c>
      <c r="H514" t="n">
        <v>0</v>
      </c>
      <c r="I514" t="n">
        <v>0</v>
      </c>
      <c r="J514" t="n">
        <v>0</v>
      </c>
      <c r="K514" t="n">
        <v>0</v>
      </c>
      <c r="L514" t="n">
        <v>0</v>
      </c>
      <c r="M514" t="n">
        <v>0</v>
      </c>
      <c r="N514" t="n">
        <v>0</v>
      </c>
      <c r="O514" t="n">
        <v>0</v>
      </c>
      <c r="P514" t="n">
        <v>0</v>
      </c>
      <c r="Q514" t="n">
        <v>0</v>
      </c>
      <c r="R514" s="2" t="inlineStr"/>
    </row>
    <row r="515" ht="15" customHeight="1">
      <c r="A515" t="inlineStr">
        <is>
          <t>A 27186-2021</t>
        </is>
      </c>
      <c r="B515" s="1" t="n">
        <v>44350.67715277777</v>
      </c>
      <c r="C515" s="1" t="n">
        <v>45994</v>
      </c>
      <c r="D515" t="inlineStr">
        <is>
          <t>ÖSTERGÖTLANDS LÄN</t>
        </is>
      </c>
      <c r="E515" t="inlineStr">
        <is>
          <t>LINKÖPING</t>
        </is>
      </c>
      <c r="F515" t="inlineStr">
        <is>
          <t>Allmännings- och besparingsskogar</t>
        </is>
      </c>
      <c r="G515" t="n">
        <v>1.4</v>
      </c>
      <c r="H515" t="n">
        <v>0</v>
      </c>
      <c r="I515" t="n">
        <v>0</v>
      </c>
      <c r="J515" t="n">
        <v>0</v>
      </c>
      <c r="K515" t="n">
        <v>0</v>
      </c>
      <c r="L515" t="n">
        <v>0</v>
      </c>
      <c r="M515" t="n">
        <v>0</v>
      </c>
      <c r="N515" t="n">
        <v>0</v>
      </c>
      <c r="O515" t="n">
        <v>0</v>
      </c>
      <c r="P515" t="n">
        <v>0</v>
      </c>
      <c r="Q515" t="n">
        <v>0</v>
      </c>
      <c r="R515" s="2" t="inlineStr"/>
    </row>
    <row r="516" ht="15" customHeight="1">
      <c r="A516" t="inlineStr">
        <is>
          <t>A 23768-2025</t>
        </is>
      </c>
      <c r="B516" s="1" t="n">
        <v>45793.47493055555</v>
      </c>
      <c r="C516" s="1" t="n">
        <v>45994</v>
      </c>
      <c r="D516" t="inlineStr">
        <is>
          <t>ÖSTERGÖTLANDS LÄN</t>
        </is>
      </c>
      <c r="E516" t="inlineStr">
        <is>
          <t>LINKÖPING</t>
        </is>
      </c>
      <c r="G516" t="n">
        <v>3.4</v>
      </c>
      <c r="H516" t="n">
        <v>0</v>
      </c>
      <c r="I516" t="n">
        <v>0</v>
      </c>
      <c r="J516" t="n">
        <v>0</v>
      </c>
      <c r="K516" t="n">
        <v>0</v>
      </c>
      <c r="L516" t="n">
        <v>0</v>
      </c>
      <c r="M516" t="n">
        <v>0</v>
      </c>
      <c r="N516" t="n">
        <v>0</v>
      </c>
      <c r="O516" t="n">
        <v>0</v>
      </c>
      <c r="P516" t="n">
        <v>0</v>
      </c>
      <c r="Q516" t="n">
        <v>0</v>
      </c>
      <c r="R516" s="2" t="inlineStr"/>
    </row>
    <row r="517" ht="15" customHeight="1">
      <c r="A517" t="inlineStr">
        <is>
          <t>A 7343-2025</t>
        </is>
      </c>
      <c r="B517" s="1" t="n">
        <v>45703.67853009259</v>
      </c>
      <c r="C517" s="1" t="n">
        <v>45994</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6206-2024</t>
        </is>
      </c>
      <c r="B518" s="1" t="n">
        <v>45337.5977662037</v>
      </c>
      <c r="C518" s="1" t="n">
        <v>45994</v>
      </c>
      <c r="D518" t="inlineStr">
        <is>
          <t>ÖSTERGÖTLANDS LÄN</t>
        </is>
      </c>
      <c r="E518" t="inlineStr">
        <is>
          <t>LINKÖPING</t>
        </is>
      </c>
      <c r="G518" t="n">
        <v>2</v>
      </c>
      <c r="H518" t="n">
        <v>0</v>
      </c>
      <c r="I518" t="n">
        <v>0</v>
      </c>
      <c r="J518" t="n">
        <v>0</v>
      </c>
      <c r="K518" t="n">
        <v>0</v>
      </c>
      <c r="L518" t="n">
        <v>0</v>
      </c>
      <c r="M518" t="n">
        <v>0</v>
      </c>
      <c r="N518" t="n">
        <v>0</v>
      </c>
      <c r="O518" t="n">
        <v>0</v>
      </c>
      <c r="P518" t="n">
        <v>0</v>
      </c>
      <c r="Q518" t="n">
        <v>0</v>
      </c>
      <c r="R518" s="2" t="inlineStr"/>
    </row>
    <row r="519" ht="15" customHeight="1">
      <c r="A519" t="inlineStr">
        <is>
          <t>A 48271-2023</t>
        </is>
      </c>
      <c r="B519" s="1" t="n">
        <v>45205</v>
      </c>
      <c r="C519" s="1" t="n">
        <v>45994</v>
      </c>
      <c r="D519" t="inlineStr">
        <is>
          <t>ÖSTERGÖTLANDS LÄN</t>
        </is>
      </c>
      <c r="E519" t="inlineStr">
        <is>
          <t>LINKÖPING</t>
        </is>
      </c>
      <c r="G519" t="n">
        <v>3</v>
      </c>
      <c r="H519" t="n">
        <v>0</v>
      </c>
      <c r="I519" t="n">
        <v>0</v>
      </c>
      <c r="J519" t="n">
        <v>0</v>
      </c>
      <c r="K519" t="n">
        <v>0</v>
      </c>
      <c r="L519" t="n">
        <v>0</v>
      </c>
      <c r="M519" t="n">
        <v>0</v>
      </c>
      <c r="N519" t="n">
        <v>0</v>
      </c>
      <c r="O519" t="n">
        <v>0</v>
      </c>
      <c r="P519" t="n">
        <v>0</v>
      </c>
      <c r="Q519" t="n">
        <v>0</v>
      </c>
      <c r="R519" s="2" t="inlineStr"/>
    </row>
    <row r="520" ht="15" customHeight="1">
      <c r="A520" t="inlineStr">
        <is>
          <t>A 12720-2022</t>
        </is>
      </c>
      <c r="B520" s="1" t="n">
        <v>44641</v>
      </c>
      <c r="C520" s="1" t="n">
        <v>45994</v>
      </c>
      <c r="D520" t="inlineStr">
        <is>
          <t>ÖSTERGÖTLANDS LÄN</t>
        </is>
      </c>
      <c r="E520" t="inlineStr">
        <is>
          <t>LINKÖPING</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62018-2024</t>
        </is>
      </c>
      <c r="B521" s="1" t="n">
        <v>45655.81387731482</v>
      </c>
      <c r="C521" s="1" t="n">
        <v>45994</v>
      </c>
      <c r="D521" t="inlineStr">
        <is>
          <t>ÖSTERGÖTLANDS LÄN</t>
        </is>
      </c>
      <c r="E521" t="inlineStr">
        <is>
          <t>LINKÖPING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61281-2021</t>
        </is>
      </c>
      <c r="B522" s="1" t="n">
        <v>44498.60736111111</v>
      </c>
      <c r="C522" s="1" t="n">
        <v>45994</v>
      </c>
      <c r="D522" t="inlineStr">
        <is>
          <t>ÖSTERGÖTLANDS LÄN</t>
        </is>
      </c>
      <c r="E522" t="inlineStr">
        <is>
          <t>LINKÖPING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25292-2021</t>
        </is>
      </c>
      <c r="B523" s="1" t="n">
        <v>44342</v>
      </c>
      <c r="C523" s="1" t="n">
        <v>45994</v>
      </c>
      <c r="D523" t="inlineStr">
        <is>
          <t>ÖSTERGÖTLANDS LÄN</t>
        </is>
      </c>
      <c r="E523" t="inlineStr">
        <is>
          <t>LINKÖPING</t>
        </is>
      </c>
      <c r="F523" t="inlineStr">
        <is>
          <t>Övriga Aktiebolag</t>
        </is>
      </c>
      <c r="G523" t="n">
        <v>12.8</v>
      </c>
      <c r="H523" t="n">
        <v>0</v>
      </c>
      <c r="I523" t="n">
        <v>0</v>
      </c>
      <c r="J523" t="n">
        <v>0</v>
      </c>
      <c r="K523" t="n">
        <v>0</v>
      </c>
      <c r="L523" t="n">
        <v>0</v>
      </c>
      <c r="M523" t="n">
        <v>0</v>
      </c>
      <c r="N523" t="n">
        <v>0</v>
      </c>
      <c r="O523" t="n">
        <v>0</v>
      </c>
      <c r="P523" t="n">
        <v>0</v>
      </c>
      <c r="Q523" t="n">
        <v>0</v>
      </c>
      <c r="R523" s="2" t="inlineStr"/>
    </row>
    <row r="524" ht="15" customHeight="1">
      <c r="A524" t="inlineStr">
        <is>
          <t>A 63935-2021</t>
        </is>
      </c>
      <c r="B524" s="1" t="n">
        <v>44509</v>
      </c>
      <c r="C524" s="1" t="n">
        <v>45994</v>
      </c>
      <c r="D524" t="inlineStr">
        <is>
          <t>ÖSTERGÖTLANDS LÄN</t>
        </is>
      </c>
      <c r="E524" t="inlineStr">
        <is>
          <t>LINKÖPING</t>
        </is>
      </c>
      <c r="F524" t="inlineStr">
        <is>
          <t>Övriga statliga verk och myndigheter</t>
        </is>
      </c>
      <c r="G524" t="n">
        <v>2.8</v>
      </c>
      <c r="H524" t="n">
        <v>0</v>
      </c>
      <c r="I524" t="n">
        <v>0</v>
      </c>
      <c r="J524" t="n">
        <v>0</v>
      </c>
      <c r="K524" t="n">
        <v>0</v>
      </c>
      <c r="L524" t="n">
        <v>0</v>
      </c>
      <c r="M524" t="n">
        <v>0</v>
      </c>
      <c r="N524" t="n">
        <v>0</v>
      </c>
      <c r="O524" t="n">
        <v>0</v>
      </c>
      <c r="P524" t="n">
        <v>0</v>
      </c>
      <c r="Q524" t="n">
        <v>0</v>
      </c>
      <c r="R524" s="2" t="inlineStr"/>
    </row>
    <row r="525" ht="15" customHeight="1">
      <c r="A525" t="inlineStr">
        <is>
          <t>A 38971-2025</t>
        </is>
      </c>
      <c r="B525" s="1" t="n">
        <v>45887.71827546296</v>
      </c>
      <c r="C525" s="1" t="n">
        <v>45994</v>
      </c>
      <c r="D525" t="inlineStr">
        <is>
          <t>ÖSTERGÖTLANDS LÄN</t>
        </is>
      </c>
      <c r="E525" t="inlineStr">
        <is>
          <t>LINKÖPING</t>
        </is>
      </c>
      <c r="G525" t="n">
        <v>3.9</v>
      </c>
      <c r="H525" t="n">
        <v>0</v>
      </c>
      <c r="I525" t="n">
        <v>0</v>
      </c>
      <c r="J525" t="n">
        <v>0</v>
      </c>
      <c r="K525" t="n">
        <v>0</v>
      </c>
      <c r="L525" t="n">
        <v>0</v>
      </c>
      <c r="M525" t="n">
        <v>0</v>
      </c>
      <c r="N525" t="n">
        <v>0</v>
      </c>
      <c r="O525" t="n">
        <v>0</v>
      </c>
      <c r="P525" t="n">
        <v>0</v>
      </c>
      <c r="Q525" t="n">
        <v>0</v>
      </c>
      <c r="R525" s="2" t="inlineStr"/>
    </row>
    <row r="526" ht="15" customHeight="1">
      <c r="A526" t="inlineStr">
        <is>
          <t>A 168-2024</t>
        </is>
      </c>
      <c r="B526" s="1" t="n">
        <v>45294</v>
      </c>
      <c r="C526" s="1" t="n">
        <v>45994</v>
      </c>
      <c r="D526" t="inlineStr">
        <is>
          <t>ÖSTERGÖTLANDS LÄN</t>
        </is>
      </c>
      <c r="E526" t="inlineStr">
        <is>
          <t>LINKÖPING</t>
        </is>
      </c>
      <c r="F526" t="inlineStr">
        <is>
          <t>Allmännings- och besparingsskogar</t>
        </is>
      </c>
      <c r="G526" t="n">
        <v>8.9</v>
      </c>
      <c r="H526" t="n">
        <v>0</v>
      </c>
      <c r="I526" t="n">
        <v>0</v>
      </c>
      <c r="J526" t="n">
        <v>0</v>
      </c>
      <c r="K526" t="n">
        <v>0</v>
      </c>
      <c r="L526" t="n">
        <v>0</v>
      </c>
      <c r="M526" t="n">
        <v>0</v>
      </c>
      <c r="N526" t="n">
        <v>0</v>
      </c>
      <c r="O526" t="n">
        <v>0</v>
      </c>
      <c r="P526" t="n">
        <v>0</v>
      </c>
      <c r="Q526" t="n">
        <v>0</v>
      </c>
      <c r="R526" s="2" t="inlineStr"/>
    </row>
    <row r="527" ht="15" customHeight="1">
      <c r="A527" t="inlineStr">
        <is>
          <t>A 55345-2021</t>
        </is>
      </c>
      <c r="B527" s="1" t="n">
        <v>44475</v>
      </c>
      <c r="C527" s="1" t="n">
        <v>45994</v>
      </c>
      <c r="D527" t="inlineStr">
        <is>
          <t>ÖSTERGÖTLANDS LÄN</t>
        </is>
      </c>
      <c r="E527" t="inlineStr">
        <is>
          <t>LINKÖPING</t>
        </is>
      </c>
      <c r="G527" t="n">
        <v>5.7</v>
      </c>
      <c r="H527" t="n">
        <v>0</v>
      </c>
      <c r="I527" t="n">
        <v>0</v>
      </c>
      <c r="J527" t="n">
        <v>0</v>
      </c>
      <c r="K527" t="n">
        <v>0</v>
      </c>
      <c r="L527" t="n">
        <v>0</v>
      </c>
      <c r="M527" t="n">
        <v>0</v>
      </c>
      <c r="N527" t="n">
        <v>0</v>
      </c>
      <c r="O527" t="n">
        <v>0</v>
      </c>
      <c r="P527" t="n">
        <v>0</v>
      </c>
      <c r="Q527" t="n">
        <v>0</v>
      </c>
      <c r="R527" s="2" t="inlineStr"/>
    </row>
    <row r="528" ht="15" customHeight="1">
      <c r="A528" t="inlineStr">
        <is>
          <t>A 51919-2024</t>
        </is>
      </c>
      <c r="B528" s="1" t="n">
        <v>45607.60791666667</v>
      </c>
      <c r="C528" s="1" t="n">
        <v>45994</v>
      </c>
      <c r="D528" t="inlineStr">
        <is>
          <t>ÖSTERGÖTLANDS LÄN</t>
        </is>
      </c>
      <c r="E528" t="inlineStr">
        <is>
          <t>LINKÖPING</t>
        </is>
      </c>
      <c r="G528" t="n">
        <v>2.5</v>
      </c>
      <c r="H528" t="n">
        <v>0</v>
      </c>
      <c r="I528" t="n">
        <v>0</v>
      </c>
      <c r="J528" t="n">
        <v>0</v>
      </c>
      <c r="K528" t="n">
        <v>0</v>
      </c>
      <c r="L528" t="n">
        <v>0</v>
      </c>
      <c r="M528" t="n">
        <v>0</v>
      </c>
      <c r="N528" t="n">
        <v>0</v>
      </c>
      <c r="O528" t="n">
        <v>0</v>
      </c>
      <c r="P528" t="n">
        <v>0</v>
      </c>
      <c r="Q528" t="n">
        <v>0</v>
      </c>
      <c r="R528" s="2" t="inlineStr"/>
    </row>
    <row r="529" ht="15" customHeight="1">
      <c r="A529" t="inlineStr">
        <is>
          <t>A 56623-2024</t>
        </is>
      </c>
      <c r="B529" s="1" t="n">
        <v>45625</v>
      </c>
      <c r="C529" s="1" t="n">
        <v>45994</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30551-2023</t>
        </is>
      </c>
      <c r="B530" s="1" t="n">
        <v>45111</v>
      </c>
      <c r="C530" s="1" t="n">
        <v>45994</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30860-2022</t>
        </is>
      </c>
      <c r="B531" s="1" t="n">
        <v>44767</v>
      </c>
      <c r="C531" s="1" t="n">
        <v>45994</v>
      </c>
      <c r="D531" t="inlineStr">
        <is>
          <t>ÖSTERGÖTLANDS LÄN</t>
        </is>
      </c>
      <c r="E531" t="inlineStr">
        <is>
          <t>LINKÖPING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11330-2023</t>
        </is>
      </c>
      <c r="B532" s="1" t="n">
        <v>44993.24648148148</v>
      </c>
      <c r="C532" s="1" t="n">
        <v>45994</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63304-2021</t>
        </is>
      </c>
      <c r="B533" s="1" t="n">
        <v>44508.4396412037</v>
      </c>
      <c r="C533" s="1" t="n">
        <v>45994</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14528-2025</t>
        </is>
      </c>
      <c r="B534" s="1" t="n">
        <v>45741</v>
      </c>
      <c r="C534" s="1" t="n">
        <v>45994</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60004-2022</t>
        </is>
      </c>
      <c r="B535" s="1" t="n">
        <v>44909.47206018519</v>
      </c>
      <c r="C535" s="1" t="n">
        <v>45994</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60010-2022</t>
        </is>
      </c>
      <c r="B536" s="1" t="n">
        <v>44909.4740625</v>
      </c>
      <c r="C536" s="1" t="n">
        <v>45994</v>
      </c>
      <c r="D536" t="inlineStr">
        <is>
          <t>ÖSTERGÖTLANDS LÄN</t>
        </is>
      </c>
      <c r="E536" t="inlineStr">
        <is>
          <t>LINKÖPING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53827-2023</t>
        </is>
      </c>
      <c r="B537" s="1" t="n">
        <v>45230</v>
      </c>
      <c r="C537" s="1" t="n">
        <v>45994</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4256-2022</t>
        </is>
      </c>
      <c r="B538" s="1" t="n">
        <v>44588</v>
      </c>
      <c r="C538" s="1" t="n">
        <v>45994</v>
      </c>
      <c r="D538" t="inlineStr">
        <is>
          <t>ÖSTERGÖTLANDS LÄN</t>
        </is>
      </c>
      <c r="E538" t="inlineStr">
        <is>
          <t>LINKÖPING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48699-2024</t>
        </is>
      </c>
      <c r="B539" s="1" t="n">
        <v>45593.52091435185</v>
      </c>
      <c r="C539" s="1" t="n">
        <v>45994</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61649-2023</t>
        </is>
      </c>
      <c r="B540" s="1" t="n">
        <v>45265</v>
      </c>
      <c r="C540" s="1" t="n">
        <v>45994</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3530-2024</t>
        </is>
      </c>
      <c r="B541" s="1" t="n">
        <v>45320.54717592592</v>
      </c>
      <c r="C541" s="1" t="n">
        <v>45994</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62073-2023</t>
        </is>
      </c>
      <c r="B542" s="1" t="n">
        <v>45266.73844907407</v>
      </c>
      <c r="C542" s="1" t="n">
        <v>45994</v>
      </c>
      <c r="D542" t="inlineStr">
        <is>
          <t>ÖSTERGÖTLANDS LÄN</t>
        </is>
      </c>
      <c r="E542" t="inlineStr">
        <is>
          <t>LINKÖPING</t>
        </is>
      </c>
      <c r="F542" t="inlineStr">
        <is>
          <t>Allmännings- och besparingsskogar</t>
        </is>
      </c>
      <c r="G542" t="n">
        <v>1.8</v>
      </c>
      <c r="H542" t="n">
        <v>0</v>
      </c>
      <c r="I542" t="n">
        <v>0</v>
      </c>
      <c r="J542" t="n">
        <v>0</v>
      </c>
      <c r="K542" t="n">
        <v>0</v>
      </c>
      <c r="L542" t="n">
        <v>0</v>
      </c>
      <c r="M542" t="n">
        <v>0</v>
      </c>
      <c r="N542" t="n">
        <v>0</v>
      </c>
      <c r="O542" t="n">
        <v>0</v>
      </c>
      <c r="P542" t="n">
        <v>0</v>
      </c>
      <c r="Q542" t="n">
        <v>0</v>
      </c>
      <c r="R542" s="2" t="inlineStr"/>
    </row>
    <row r="543" ht="15" customHeight="1">
      <c r="A543" t="inlineStr">
        <is>
          <t>A 5872-2025</t>
        </is>
      </c>
      <c r="B543" s="1" t="n">
        <v>45695.36659722222</v>
      </c>
      <c r="C543" s="1" t="n">
        <v>45994</v>
      </c>
      <c r="D543" t="inlineStr">
        <is>
          <t>ÖSTERGÖTLANDS LÄN</t>
        </is>
      </c>
      <c r="E543" t="inlineStr">
        <is>
          <t>LINKÖPING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53814-2023</t>
        </is>
      </c>
      <c r="B544" s="1" t="n">
        <v>45231</v>
      </c>
      <c r="C544" s="1" t="n">
        <v>45994</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3432-2023</t>
        </is>
      </c>
      <c r="B545" s="1" t="n">
        <v>44949</v>
      </c>
      <c r="C545" s="1" t="n">
        <v>45994</v>
      </c>
      <c r="D545" t="inlineStr">
        <is>
          <t>ÖSTERGÖTLANDS LÄN</t>
        </is>
      </c>
      <c r="E545" t="inlineStr">
        <is>
          <t>LINKÖPING</t>
        </is>
      </c>
      <c r="G545" t="n">
        <v>1.9</v>
      </c>
      <c r="H545" t="n">
        <v>0</v>
      </c>
      <c r="I545" t="n">
        <v>0</v>
      </c>
      <c r="J545" t="n">
        <v>0</v>
      </c>
      <c r="K545" t="n">
        <v>0</v>
      </c>
      <c r="L545" t="n">
        <v>0</v>
      </c>
      <c r="M545" t="n">
        <v>0</v>
      </c>
      <c r="N545" t="n">
        <v>0</v>
      </c>
      <c r="O545" t="n">
        <v>0</v>
      </c>
      <c r="P545" t="n">
        <v>0</v>
      </c>
      <c r="Q545" t="n">
        <v>0</v>
      </c>
      <c r="R545" s="2" t="inlineStr"/>
    </row>
    <row r="546" ht="15" customHeight="1">
      <c r="A546" t="inlineStr">
        <is>
          <t>A 223-2024</t>
        </is>
      </c>
      <c r="B546" s="1" t="n">
        <v>45294.72739583333</v>
      </c>
      <c r="C546" s="1" t="n">
        <v>45994</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54425-2022</t>
        </is>
      </c>
      <c r="B547" s="1" t="n">
        <v>44882.57453703704</v>
      </c>
      <c r="C547" s="1" t="n">
        <v>45994</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54428-2022</t>
        </is>
      </c>
      <c r="B548" s="1" t="n">
        <v>44882.57643518518</v>
      </c>
      <c r="C548" s="1" t="n">
        <v>45994</v>
      </c>
      <c r="D548" t="inlineStr">
        <is>
          <t>ÖSTERGÖTLANDS LÄN</t>
        </is>
      </c>
      <c r="E548" t="inlineStr">
        <is>
          <t>LINKÖPING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19464-2024</t>
        </is>
      </c>
      <c r="B549" s="1" t="n">
        <v>45429</v>
      </c>
      <c r="C549" s="1" t="n">
        <v>45994</v>
      </c>
      <c r="D549" t="inlineStr">
        <is>
          <t>ÖSTERGÖTLANDS LÄN</t>
        </is>
      </c>
      <c r="E549" t="inlineStr">
        <is>
          <t>LINKÖPING</t>
        </is>
      </c>
      <c r="G549" t="n">
        <v>2.7</v>
      </c>
      <c r="H549" t="n">
        <v>0</v>
      </c>
      <c r="I549" t="n">
        <v>0</v>
      </c>
      <c r="J549" t="n">
        <v>0</v>
      </c>
      <c r="K549" t="n">
        <v>0</v>
      </c>
      <c r="L549" t="n">
        <v>0</v>
      </c>
      <c r="M549" t="n">
        <v>0</v>
      </c>
      <c r="N549" t="n">
        <v>0</v>
      </c>
      <c r="O549" t="n">
        <v>0</v>
      </c>
      <c r="P549" t="n">
        <v>0</v>
      </c>
      <c r="Q549" t="n">
        <v>0</v>
      </c>
      <c r="R549" s="2" t="inlineStr"/>
    </row>
    <row r="550" ht="15" customHeight="1">
      <c r="A550" t="inlineStr">
        <is>
          <t>A 3008-2023</t>
        </is>
      </c>
      <c r="B550" s="1" t="n">
        <v>44945.79784722222</v>
      </c>
      <c r="C550" s="1" t="n">
        <v>45994</v>
      </c>
      <c r="D550" t="inlineStr">
        <is>
          <t>ÖSTERGÖTLANDS LÄN</t>
        </is>
      </c>
      <c r="E550" t="inlineStr">
        <is>
          <t>LINKÖPING</t>
        </is>
      </c>
      <c r="G550" t="n">
        <v>19.3</v>
      </c>
      <c r="H550" t="n">
        <v>0</v>
      </c>
      <c r="I550" t="n">
        <v>0</v>
      </c>
      <c r="J550" t="n">
        <v>0</v>
      </c>
      <c r="K550" t="n">
        <v>0</v>
      </c>
      <c r="L550" t="n">
        <v>0</v>
      </c>
      <c r="M550" t="n">
        <v>0</v>
      </c>
      <c r="N550" t="n">
        <v>0</v>
      </c>
      <c r="O550" t="n">
        <v>0</v>
      </c>
      <c r="P550" t="n">
        <v>0</v>
      </c>
      <c r="Q550" t="n">
        <v>0</v>
      </c>
      <c r="R550" s="2" t="inlineStr"/>
    </row>
    <row r="551" ht="15" customHeight="1">
      <c r="A551" t="inlineStr">
        <is>
          <t>A 660-2023</t>
        </is>
      </c>
      <c r="B551" s="1" t="n">
        <v>44930</v>
      </c>
      <c r="C551" s="1" t="n">
        <v>45994</v>
      </c>
      <c r="D551" t="inlineStr">
        <is>
          <t>ÖSTERGÖTLANDS LÄN</t>
        </is>
      </c>
      <c r="E551" t="inlineStr">
        <is>
          <t>LINKÖPING</t>
        </is>
      </c>
      <c r="F551" t="inlineStr">
        <is>
          <t>Kyrkan</t>
        </is>
      </c>
      <c r="G551" t="n">
        <v>1.6</v>
      </c>
      <c r="H551" t="n">
        <v>0</v>
      </c>
      <c r="I551" t="n">
        <v>0</v>
      </c>
      <c r="J551" t="n">
        <v>0</v>
      </c>
      <c r="K551" t="n">
        <v>0</v>
      </c>
      <c r="L551" t="n">
        <v>0</v>
      </c>
      <c r="M551" t="n">
        <v>0</v>
      </c>
      <c r="N551" t="n">
        <v>0</v>
      </c>
      <c r="O551" t="n">
        <v>0</v>
      </c>
      <c r="P551" t="n">
        <v>0</v>
      </c>
      <c r="Q551" t="n">
        <v>0</v>
      </c>
      <c r="R551" s="2" t="inlineStr"/>
    </row>
    <row r="552" ht="15" customHeight="1">
      <c r="A552" t="inlineStr">
        <is>
          <t>A 630-2024</t>
        </is>
      </c>
      <c r="B552" s="1" t="n">
        <v>45299.67736111111</v>
      </c>
      <c r="C552" s="1" t="n">
        <v>45994</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62501-2023</t>
        </is>
      </c>
      <c r="B553" s="1" t="n">
        <v>45268</v>
      </c>
      <c r="C553" s="1" t="n">
        <v>45994</v>
      </c>
      <c r="D553" t="inlineStr">
        <is>
          <t>ÖSTERGÖTLANDS LÄN</t>
        </is>
      </c>
      <c r="E553" t="inlineStr">
        <is>
          <t>LINKÖPING</t>
        </is>
      </c>
      <c r="G553" t="n">
        <v>7.4</v>
      </c>
      <c r="H553" t="n">
        <v>0</v>
      </c>
      <c r="I553" t="n">
        <v>0</v>
      </c>
      <c r="J553" t="n">
        <v>0</v>
      </c>
      <c r="K553" t="n">
        <v>0</v>
      </c>
      <c r="L553" t="n">
        <v>0</v>
      </c>
      <c r="M553" t="n">
        <v>0</v>
      </c>
      <c r="N553" t="n">
        <v>0</v>
      </c>
      <c r="O553" t="n">
        <v>0</v>
      </c>
      <c r="P553" t="n">
        <v>0</v>
      </c>
      <c r="Q553" t="n">
        <v>0</v>
      </c>
      <c r="R553" s="2" t="inlineStr"/>
    </row>
    <row r="554" ht="15" customHeight="1">
      <c r="A554" t="inlineStr">
        <is>
          <t>A 13413-2023</t>
        </is>
      </c>
      <c r="B554" s="1" t="n">
        <v>45005.58341435185</v>
      </c>
      <c r="C554" s="1" t="n">
        <v>45994</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26620-2023</t>
        </is>
      </c>
      <c r="B555" s="1" t="n">
        <v>45092.70390046296</v>
      </c>
      <c r="C555" s="1" t="n">
        <v>45994</v>
      </c>
      <c r="D555" t="inlineStr">
        <is>
          <t>ÖSTERGÖTLANDS LÄN</t>
        </is>
      </c>
      <c r="E555" t="inlineStr">
        <is>
          <t>LINKÖPING</t>
        </is>
      </c>
      <c r="G555" t="n">
        <v>1.3</v>
      </c>
      <c r="H555" t="n">
        <v>0</v>
      </c>
      <c r="I555" t="n">
        <v>0</v>
      </c>
      <c r="J555" t="n">
        <v>0</v>
      </c>
      <c r="K555" t="n">
        <v>0</v>
      </c>
      <c r="L555" t="n">
        <v>0</v>
      </c>
      <c r="M555" t="n">
        <v>0</v>
      </c>
      <c r="N555" t="n">
        <v>0</v>
      </c>
      <c r="O555" t="n">
        <v>0</v>
      </c>
      <c r="P555" t="n">
        <v>0</v>
      </c>
      <c r="Q555" t="n">
        <v>0</v>
      </c>
      <c r="R555" s="2" t="inlineStr"/>
    </row>
    <row r="556" ht="15" customHeight="1">
      <c r="A556" t="inlineStr">
        <is>
          <t>A 30433-2024</t>
        </is>
      </c>
      <c r="B556" s="1" t="n">
        <v>45491.69741898148</v>
      </c>
      <c r="C556" s="1" t="n">
        <v>45994</v>
      </c>
      <c r="D556" t="inlineStr">
        <is>
          <t>ÖSTERGÖTLANDS LÄN</t>
        </is>
      </c>
      <c r="E556" t="inlineStr">
        <is>
          <t>LINKÖPING</t>
        </is>
      </c>
      <c r="G556" t="n">
        <v>1.7</v>
      </c>
      <c r="H556" t="n">
        <v>0</v>
      </c>
      <c r="I556" t="n">
        <v>0</v>
      </c>
      <c r="J556" t="n">
        <v>0</v>
      </c>
      <c r="K556" t="n">
        <v>0</v>
      </c>
      <c r="L556" t="n">
        <v>0</v>
      </c>
      <c r="M556" t="n">
        <v>0</v>
      </c>
      <c r="N556" t="n">
        <v>0</v>
      </c>
      <c r="O556" t="n">
        <v>0</v>
      </c>
      <c r="P556" t="n">
        <v>0</v>
      </c>
      <c r="Q556" t="n">
        <v>0</v>
      </c>
      <c r="R556" s="2" t="inlineStr"/>
    </row>
    <row r="557" ht="15" customHeight="1">
      <c r="A557" t="inlineStr">
        <is>
          <t>A 39438-2025</t>
        </is>
      </c>
      <c r="B557" s="1" t="n">
        <v>45889.68641203704</v>
      </c>
      <c r="C557" s="1" t="n">
        <v>45994</v>
      </c>
      <c r="D557" t="inlineStr">
        <is>
          <t>ÖSTERGÖTLANDS LÄN</t>
        </is>
      </c>
      <c r="E557" t="inlineStr">
        <is>
          <t>LINKÖPING</t>
        </is>
      </c>
      <c r="G557" t="n">
        <v>2.4</v>
      </c>
      <c r="H557" t="n">
        <v>0</v>
      </c>
      <c r="I557" t="n">
        <v>0</v>
      </c>
      <c r="J557" t="n">
        <v>0</v>
      </c>
      <c r="K557" t="n">
        <v>0</v>
      </c>
      <c r="L557" t="n">
        <v>0</v>
      </c>
      <c r="M557" t="n">
        <v>0</v>
      </c>
      <c r="N557" t="n">
        <v>0</v>
      </c>
      <c r="O557" t="n">
        <v>0</v>
      </c>
      <c r="P557" t="n">
        <v>0</v>
      </c>
      <c r="Q557" t="n">
        <v>0</v>
      </c>
      <c r="R557" s="2" t="inlineStr"/>
    </row>
    <row r="558" ht="15" customHeight="1">
      <c r="A558" t="inlineStr">
        <is>
          <t>A 27264-2025</t>
        </is>
      </c>
      <c r="B558" s="1" t="n">
        <v>45812.4794212963</v>
      </c>
      <c r="C558" s="1" t="n">
        <v>45994</v>
      </c>
      <c r="D558" t="inlineStr">
        <is>
          <t>ÖSTERGÖTLANDS LÄN</t>
        </is>
      </c>
      <c r="E558" t="inlineStr">
        <is>
          <t>LINKÖPING</t>
        </is>
      </c>
      <c r="G558" t="n">
        <v>2.6</v>
      </c>
      <c r="H558" t="n">
        <v>0</v>
      </c>
      <c r="I558" t="n">
        <v>0</v>
      </c>
      <c r="J558" t="n">
        <v>0</v>
      </c>
      <c r="K558" t="n">
        <v>0</v>
      </c>
      <c r="L558" t="n">
        <v>0</v>
      </c>
      <c r="M558" t="n">
        <v>0</v>
      </c>
      <c r="N558" t="n">
        <v>0</v>
      </c>
      <c r="O558" t="n">
        <v>0</v>
      </c>
      <c r="P558" t="n">
        <v>0</v>
      </c>
      <c r="Q558" t="n">
        <v>0</v>
      </c>
      <c r="R558" s="2" t="inlineStr"/>
    </row>
    <row r="559" ht="15" customHeight="1">
      <c r="A559" t="inlineStr">
        <is>
          <t>A 63528-2023</t>
        </is>
      </c>
      <c r="B559" s="1" t="n">
        <v>45274.94810185185</v>
      </c>
      <c r="C559" s="1" t="n">
        <v>45994</v>
      </c>
      <c r="D559" t="inlineStr">
        <is>
          <t>ÖSTERGÖTLANDS LÄN</t>
        </is>
      </c>
      <c r="E559" t="inlineStr">
        <is>
          <t>LINKÖPING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39074-2025</t>
        </is>
      </c>
      <c r="B560" s="1" t="n">
        <v>45888</v>
      </c>
      <c r="C560" s="1" t="n">
        <v>45994</v>
      </c>
      <c r="D560" t="inlineStr">
        <is>
          <t>ÖSTERGÖTLANDS LÄN</t>
        </is>
      </c>
      <c r="E560" t="inlineStr">
        <is>
          <t>LINKÖPING</t>
        </is>
      </c>
      <c r="G560" t="n">
        <v>2.9</v>
      </c>
      <c r="H560" t="n">
        <v>0</v>
      </c>
      <c r="I560" t="n">
        <v>0</v>
      </c>
      <c r="J560" t="n">
        <v>0</v>
      </c>
      <c r="K560" t="n">
        <v>0</v>
      </c>
      <c r="L560" t="n">
        <v>0</v>
      </c>
      <c r="M560" t="n">
        <v>0</v>
      </c>
      <c r="N560" t="n">
        <v>0</v>
      </c>
      <c r="O560" t="n">
        <v>0</v>
      </c>
      <c r="P560" t="n">
        <v>0</v>
      </c>
      <c r="Q560" t="n">
        <v>0</v>
      </c>
      <c r="R560" s="2" t="inlineStr"/>
    </row>
    <row r="561" ht="15" customHeight="1">
      <c r="A561" t="inlineStr">
        <is>
          <t>A 72567-2021</t>
        </is>
      </c>
      <c r="B561" s="1" t="n">
        <v>44546.45023148148</v>
      </c>
      <c r="C561" s="1" t="n">
        <v>45994</v>
      </c>
      <c r="D561" t="inlineStr">
        <is>
          <t>ÖSTERGÖTLANDS LÄN</t>
        </is>
      </c>
      <c r="E561" t="inlineStr">
        <is>
          <t>LINKÖPING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16462-2021</t>
        </is>
      </c>
      <c r="B562" s="1" t="n">
        <v>44293</v>
      </c>
      <c r="C562" s="1" t="n">
        <v>45994</v>
      </c>
      <c r="D562" t="inlineStr">
        <is>
          <t>ÖSTERGÖTLANDS LÄN</t>
        </is>
      </c>
      <c r="E562" t="inlineStr">
        <is>
          <t>LINKÖPING</t>
        </is>
      </c>
      <c r="F562" t="inlineStr">
        <is>
          <t>Allmännings- och besparingsskogar</t>
        </is>
      </c>
      <c r="G562" t="n">
        <v>24.7</v>
      </c>
      <c r="H562" t="n">
        <v>0</v>
      </c>
      <c r="I562" t="n">
        <v>0</v>
      </c>
      <c r="J562" t="n">
        <v>0</v>
      </c>
      <c r="K562" t="n">
        <v>0</v>
      </c>
      <c r="L562" t="n">
        <v>0</v>
      </c>
      <c r="M562" t="n">
        <v>0</v>
      </c>
      <c r="N562" t="n">
        <v>0</v>
      </c>
      <c r="O562" t="n">
        <v>0</v>
      </c>
      <c r="P562" t="n">
        <v>0</v>
      </c>
      <c r="Q562" t="n">
        <v>0</v>
      </c>
      <c r="R562" s="2" t="inlineStr"/>
    </row>
    <row r="563" ht="15" customHeight="1">
      <c r="A563" t="inlineStr">
        <is>
          <t>A 61936-2023</t>
        </is>
      </c>
      <c r="B563" s="1" t="n">
        <v>45266.54534722222</v>
      </c>
      <c r="C563" s="1" t="n">
        <v>45994</v>
      </c>
      <c r="D563" t="inlineStr">
        <is>
          <t>ÖSTERGÖTLANDS LÄN</t>
        </is>
      </c>
      <c r="E563" t="inlineStr">
        <is>
          <t>LINKÖPING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62492-2023</t>
        </is>
      </c>
      <c r="B564" s="1" t="n">
        <v>45268.58987268519</v>
      </c>
      <c r="C564" s="1" t="n">
        <v>45994</v>
      </c>
      <c r="D564" t="inlineStr">
        <is>
          <t>ÖSTERGÖTLANDS LÄN</t>
        </is>
      </c>
      <c r="E564" t="inlineStr">
        <is>
          <t>LINKÖPING</t>
        </is>
      </c>
      <c r="G564" t="n">
        <v>1.8</v>
      </c>
      <c r="H564" t="n">
        <v>0</v>
      </c>
      <c r="I564" t="n">
        <v>0</v>
      </c>
      <c r="J564" t="n">
        <v>0</v>
      </c>
      <c r="K564" t="n">
        <v>0</v>
      </c>
      <c r="L564" t="n">
        <v>0</v>
      </c>
      <c r="M564" t="n">
        <v>0</v>
      </c>
      <c r="N564" t="n">
        <v>0</v>
      </c>
      <c r="O564" t="n">
        <v>0</v>
      </c>
      <c r="P564" t="n">
        <v>0</v>
      </c>
      <c r="Q564" t="n">
        <v>0</v>
      </c>
      <c r="R564" s="2" t="inlineStr"/>
    </row>
    <row r="565" ht="15" customHeight="1">
      <c r="A565" t="inlineStr">
        <is>
          <t>A 674-2024</t>
        </is>
      </c>
      <c r="B565" s="1" t="n">
        <v>45300.34408564815</v>
      </c>
      <c r="C565" s="1" t="n">
        <v>45994</v>
      </c>
      <c r="D565" t="inlineStr">
        <is>
          <t>ÖSTERGÖTLANDS LÄN</t>
        </is>
      </c>
      <c r="E565" t="inlineStr">
        <is>
          <t>LINKÖPING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6782-2024</t>
        </is>
      </c>
      <c r="B566" s="1" t="n">
        <v>45342</v>
      </c>
      <c r="C566" s="1" t="n">
        <v>45994</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10094-2024</t>
        </is>
      </c>
      <c r="B567" s="1" t="n">
        <v>45364</v>
      </c>
      <c r="C567" s="1" t="n">
        <v>45994</v>
      </c>
      <c r="D567" t="inlineStr">
        <is>
          <t>ÖSTERGÖTLANDS LÄN</t>
        </is>
      </c>
      <c r="E567" t="inlineStr">
        <is>
          <t>LINKÖPING</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40169-2025</t>
        </is>
      </c>
      <c r="B568" s="1" t="n">
        <v>45894.62824074074</v>
      </c>
      <c r="C568" s="1" t="n">
        <v>45994</v>
      </c>
      <c r="D568" t="inlineStr">
        <is>
          <t>ÖSTERGÖTLANDS LÄN</t>
        </is>
      </c>
      <c r="E568" t="inlineStr">
        <is>
          <t>LINKÖPING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63684-2023</t>
        </is>
      </c>
      <c r="B569" s="1" t="n">
        <v>45275</v>
      </c>
      <c r="C569" s="1" t="n">
        <v>45994</v>
      </c>
      <c r="D569" t="inlineStr">
        <is>
          <t>ÖSTERGÖTLANDS LÄN</t>
        </is>
      </c>
      <c r="E569" t="inlineStr">
        <is>
          <t>LINKÖPING</t>
        </is>
      </c>
      <c r="G569" t="n">
        <v>0.4</v>
      </c>
      <c r="H569" t="n">
        <v>0</v>
      </c>
      <c r="I569" t="n">
        <v>0</v>
      </c>
      <c r="J569" t="n">
        <v>0</v>
      </c>
      <c r="K569" t="n">
        <v>0</v>
      </c>
      <c r="L569" t="n">
        <v>0</v>
      </c>
      <c r="M569" t="n">
        <v>0</v>
      </c>
      <c r="N569" t="n">
        <v>0</v>
      </c>
      <c r="O569" t="n">
        <v>0</v>
      </c>
      <c r="P569" t="n">
        <v>0</v>
      </c>
      <c r="Q569" t="n">
        <v>0</v>
      </c>
      <c r="R569" s="2" t="inlineStr"/>
    </row>
    <row r="570" ht="15" customHeight="1">
      <c r="A570" t="inlineStr">
        <is>
          <t>A 63688-2023</t>
        </is>
      </c>
      <c r="B570" s="1" t="n">
        <v>45275</v>
      </c>
      <c r="C570" s="1" t="n">
        <v>45994</v>
      </c>
      <c r="D570" t="inlineStr">
        <is>
          <t>ÖSTERGÖTLANDS LÄN</t>
        </is>
      </c>
      <c r="E570" t="inlineStr">
        <is>
          <t>LINKÖPING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63691-2023</t>
        </is>
      </c>
      <c r="B571" s="1" t="n">
        <v>45275</v>
      </c>
      <c r="C571" s="1" t="n">
        <v>45994</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36657-2023</t>
        </is>
      </c>
      <c r="B572" s="1" t="n">
        <v>45153.5702662037</v>
      </c>
      <c r="C572" s="1" t="n">
        <v>45994</v>
      </c>
      <c r="D572" t="inlineStr">
        <is>
          <t>ÖSTERGÖTLANDS LÄN</t>
        </is>
      </c>
      <c r="E572" t="inlineStr">
        <is>
          <t>LINKÖPING</t>
        </is>
      </c>
      <c r="F572" t="inlineStr">
        <is>
          <t>Allmännings- och besparingsskogar</t>
        </is>
      </c>
      <c r="G572" t="n">
        <v>2</v>
      </c>
      <c r="H572" t="n">
        <v>0</v>
      </c>
      <c r="I572" t="n">
        <v>0</v>
      </c>
      <c r="J572" t="n">
        <v>0</v>
      </c>
      <c r="K572" t="n">
        <v>0</v>
      </c>
      <c r="L572" t="n">
        <v>0</v>
      </c>
      <c r="M572" t="n">
        <v>0</v>
      </c>
      <c r="N572" t="n">
        <v>0</v>
      </c>
      <c r="O572" t="n">
        <v>0</v>
      </c>
      <c r="P572" t="n">
        <v>0</v>
      </c>
      <c r="Q572" t="n">
        <v>0</v>
      </c>
      <c r="R572" s="2" t="inlineStr"/>
    </row>
    <row r="573" ht="15" customHeight="1">
      <c r="A573" t="inlineStr">
        <is>
          <t>A 14667-2024</t>
        </is>
      </c>
      <c r="B573" s="1" t="n">
        <v>45397.42005787037</v>
      </c>
      <c r="C573" s="1" t="n">
        <v>45994</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63554-2023</t>
        </is>
      </c>
      <c r="B574" s="1" t="n">
        <v>45275</v>
      </c>
      <c r="C574" s="1" t="n">
        <v>45994</v>
      </c>
      <c r="D574" t="inlineStr">
        <is>
          <t>ÖSTERGÖTLANDS LÄN</t>
        </is>
      </c>
      <c r="E574" t="inlineStr">
        <is>
          <t>LINKÖPING</t>
        </is>
      </c>
      <c r="G574" t="n">
        <v>4.3</v>
      </c>
      <c r="H574" t="n">
        <v>0</v>
      </c>
      <c r="I574" t="n">
        <v>0</v>
      </c>
      <c r="J574" t="n">
        <v>0</v>
      </c>
      <c r="K574" t="n">
        <v>0</v>
      </c>
      <c r="L574" t="n">
        <v>0</v>
      </c>
      <c r="M574" t="n">
        <v>0</v>
      </c>
      <c r="N574" t="n">
        <v>0</v>
      </c>
      <c r="O574" t="n">
        <v>0</v>
      </c>
      <c r="P574" t="n">
        <v>0</v>
      </c>
      <c r="Q574" t="n">
        <v>0</v>
      </c>
      <c r="R574" s="2" t="inlineStr"/>
    </row>
    <row r="575" ht="15" customHeight="1">
      <c r="A575" t="inlineStr">
        <is>
          <t>A 13911-2025</t>
        </is>
      </c>
      <c r="B575" s="1" t="n">
        <v>45737.64784722222</v>
      </c>
      <c r="C575" s="1" t="n">
        <v>45994</v>
      </c>
      <c r="D575" t="inlineStr">
        <is>
          <t>ÖSTERGÖTLANDS LÄN</t>
        </is>
      </c>
      <c r="E575" t="inlineStr">
        <is>
          <t>LINKÖPING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63638-2023</t>
        </is>
      </c>
      <c r="B576" s="1" t="n">
        <v>45275</v>
      </c>
      <c r="C576" s="1" t="n">
        <v>45994</v>
      </c>
      <c r="D576" t="inlineStr">
        <is>
          <t>ÖSTERGÖTLANDS LÄN</t>
        </is>
      </c>
      <c r="E576" t="inlineStr">
        <is>
          <t>LINKÖPING</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63658-2023</t>
        </is>
      </c>
      <c r="B577" s="1" t="n">
        <v>45275</v>
      </c>
      <c r="C577" s="1" t="n">
        <v>45994</v>
      </c>
      <c r="D577" t="inlineStr">
        <is>
          <t>ÖSTERGÖTLANDS LÄN</t>
        </is>
      </c>
      <c r="E577" t="inlineStr">
        <is>
          <t>LINKÖPING</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16820-2024</t>
        </is>
      </c>
      <c r="B578" s="1" t="n">
        <v>45411.46809027778</v>
      </c>
      <c r="C578" s="1" t="n">
        <v>45994</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4456-2024</t>
        </is>
      </c>
      <c r="B579" s="1" t="n">
        <v>45327.52847222222</v>
      </c>
      <c r="C579" s="1" t="n">
        <v>45994</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15714-2024</t>
        </is>
      </c>
      <c r="B580" s="1" t="n">
        <v>45404.48288194444</v>
      </c>
      <c r="C580" s="1" t="n">
        <v>45994</v>
      </c>
      <c r="D580" t="inlineStr">
        <is>
          <t>ÖSTERGÖTLANDS LÄN</t>
        </is>
      </c>
      <c r="E580" t="inlineStr">
        <is>
          <t>LINKÖPING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20298-2025</t>
        </is>
      </c>
      <c r="B581" s="1" t="n">
        <v>45774.75024305555</v>
      </c>
      <c r="C581" s="1" t="n">
        <v>45994</v>
      </c>
      <c r="D581" t="inlineStr">
        <is>
          <t>ÖSTERGÖTLANDS LÄN</t>
        </is>
      </c>
      <c r="E581" t="inlineStr">
        <is>
          <t>LINKÖPING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15121-2022</t>
        </is>
      </c>
      <c r="B582" s="1" t="n">
        <v>44658</v>
      </c>
      <c r="C582" s="1" t="n">
        <v>45994</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50743-2023</t>
        </is>
      </c>
      <c r="B583" s="1" t="n">
        <v>45217</v>
      </c>
      <c r="C583" s="1" t="n">
        <v>45994</v>
      </c>
      <c r="D583" t="inlineStr">
        <is>
          <t>ÖSTERGÖTLANDS LÄN</t>
        </is>
      </c>
      <c r="E583" t="inlineStr">
        <is>
          <t>LINKÖPING</t>
        </is>
      </c>
      <c r="G583" t="n">
        <v>2.7</v>
      </c>
      <c r="H583" t="n">
        <v>0</v>
      </c>
      <c r="I583" t="n">
        <v>0</v>
      </c>
      <c r="J583" t="n">
        <v>0</v>
      </c>
      <c r="K583" t="n">
        <v>0</v>
      </c>
      <c r="L583" t="n">
        <v>0</v>
      </c>
      <c r="M583" t="n">
        <v>0</v>
      </c>
      <c r="N583" t="n">
        <v>0</v>
      </c>
      <c r="O583" t="n">
        <v>0</v>
      </c>
      <c r="P583" t="n">
        <v>0</v>
      </c>
      <c r="Q583" t="n">
        <v>0</v>
      </c>
      <c r="R583" s="2" t="inlineStr"/>
    </row>
    <row r="584" ht="15" customHeight="1">
      <c r="A584" t="inlineStr">
        <is>
          <t>A 37715-2022</t>
        </is>
      </c>
      <c r="B584" s="1" t="n">
        <v>44810</v>
      </c>
      <c r="C584" s="1" t="n">
        <v>45994</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1440-2021</t>
        </is>
      </c>
      <c r="B585" s="1" t="n">
        <v>44208</v>
      </c>
      <c r="C585" s="1" t="n">
        <v>45994</v>
      </c>
      <c r="D585" t="inlineStr">
        <is>
          <t>ÖSTERGÖTLANDS LÄN</t>
        </is>
      </c>
      <c r="E585" t="inlineStr">
        <is>
          <t>LINKÖPING</t>
        </is>
      </c>
      <c r="G585" t="n">
        <v>8.4</v>
      </c>
      <c r="H585" t="n">
        <v>0</v>
      </c>
      <c r="I585" t="n">
        <v>0</v>
      </c>
      <c r="J585" t="n">
        <v>0</v>
      </c>
      <c r="K585" t="n">
        <v>0</v>
      </c>
      <c r="L585" t="n">
        <v>0</v>
      </c>
      <c r="M585" t="n">
        <v>0</v>
      </c>
      <c r="N585" t="n">
        <v>0</v>
      </c>
      <c r="O585" t="n">
        <v>0</v>
      </c>
      <c r="P585" t="n">
        <v>0</v>
      </c>
      <c r="Q585" t="n">
        <v>0</v>
      </c>
      <c r="R585" s="2" t="inlineStr"/>
    </row>
    <row r="586" ht="15" customHeight="1">
      <c r="A586" t="inlineStr">
        <is>
          <t>A 30429-2024</t>
        </is>
      </c>
      <c r="B586" s="1" t="n">
        <v>45491.68972222223</v>
      </c>
      <c r="C586" s="1" t="n">
        <v>45994</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13687-2025</t>
        </is>
      </c>
      <c r="B587" s="1" t="n">
        <v>45737.31425925926</v>
      </c>
      <c r="C587" s="1" t="n">
        <v>45994</v>
      </c>
      <c r="D587" t="inlineStr">
        <is>
          <t>ÖSTERGÖTLANDS LÄN</t>
        </is>
      </c>
      <c r="E587" t="inlineStr">
        <is>
          <t>LINKÖPING</t>
        </is>
      </c>
      <c r="G587" t="n">
        <v>2.7</v>
      </c>
      <c r="H587" t="n">
        <v>0</v>
      </c>
      <c r="I587" t="n">
        <v>0</v>
      </c>
      <c r="J587" t="n">
        <v>0</v>
      </c>
      <c r="K587" t="n">
        <v>0</v>
      </c>
      <c r="L587" t="n">
        <v>0</v>
      </c>
      <c r="M587" t="n">
        <v>0</v>
      </c>
      <c r="N587" t="n">
        <v>0</v>
      </c>
      <c r="O587" t="n">
        <v>0</v>
      </c>
      <c r="P587" t="n">
        <v>0</v>
      </c>
      <c r="Q587" t="n">
        <v>0</v>
      </c>
      <c r="R587" s="2" t="inlineStr"/>
    </row>
    <row r="588" ht="15" customHeight="1">
      <c r="A588" t="inlineStr">
        <is>
          <t>A 13695-2025</t>
        </is>
      </c>
      <c r="B588" s="1" t="n">
        <v>45737.32219907407</v>
      </c>
      <c r="C588" s="1" t="n">
        <v>45994</v>
      </c>
      <c r="D588" t="inlineStr">
        <is>
          <t>ÖSTERGÖTLANDS LÄN</t>
        </is>
      </c>
      <c r="E588" t="inlineStr">
        <is>
          <t>LINKÖPING</t>
        </is>
      </c>
      <c r="G588" t="n">
        <v>5.3</v>
      </c>
      <c r="H588" t="n">
        <v>0</v>
      </c>
      <c r="I588" t="n">
        <v>0</v>
      </c>
      <c r="J588" t="n">
        <v>0</v>
      </c>
      <c r="K588" t="n">
        <v>0</v>
      </c>
      <c r="L588" t="n">
        <v>0</v>
      </c>
      <c r="M588" t="n">
        <v>0</v>
      </c>
      <c r="N588" t="n">
        <v>0</v>
      </c>
      <c r="O588" t="n">
        <v>0</v>
      </c>
      <c r="P588" t="n">
        <v>0</v>
      </c>
      <c r="Q588" t="n">
        <v>0</v>
      </c>
      <c r="R588" s="2" t="inlineStr"/>
    </row>
    <row r="589" ht="15" customHeight="1">
      <c r="A589" t="inlineStr">
        <is>
          <t>A 20294-2025</t>
        </is>
      </c>
      <c r="B589" s="1" t="n">
        <v>45774.74667824074</v>
      </c>
      <c r="C589" s="1" t="n">
        <v>45994</v>
      </c>
      <c r="D589" t="inlineStr">
        <is>
          <t>ÖSTERGÖTLANDS LÄN</t>
        </is>
      </c>
      <c r="E589" t="inlineStr">
        <is>
          <t>LINKÖPING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30435-2024</t>
        </is>
      </c>
      <c r="B590" s="1" t="n">
        <v>45491.69962962963</v>
      </c>
      <c r="C590" s="1" t="n">
        <v>45994</v>
      </c>
      <c r="D590" t="inlineStr">
        <is>
          <t>ÖSTERGÖTLANDS LÄN</t>
        </is>
      </c>
      <c r="E590" t="inlineStr">
        <is>
          <t>LINKÖPING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4927-2021</t>
        </is>
      </c>
      <c r="B591" s="1" t="n">
        <v>44227.57215277778</v>
      </c>
      <c r="C591" s="1" t="n">
        <v>45994</v>
      </c>
      <c r="D591" t="inlineStr">
        <is>
          <t>ÖSTERGÖTLANDS LÄN</t>
        </is>
      </c>
      <c r="E591" t="inlineStr">
        <is>
          <t>LINKÖPING</t>
        </is>
      </c>
      <c r="G591" t="n">
        <v>0.3</v>
      </c>
      <c r="H591" t="n">
        <v>0</v>
      </c>
      <c r="I591" t="n">
        <v>0</v>
      </c>
      <c r="J591" t="n">
        <v>0</v>
      </c>
      <c r="K591" t="n">
        <v>0</v>
      </c>
      <c r="L591" t="n">
        <v>0</v>
      </c>
      <c r="M591" t="n">
        <v>0</v>
      </c>
      <c r="N591" t="n">
        <v>0</v>
      </c>
      <c r="O591" t="n">
        <v>0</v>
      </c>
      <c r="P591" t="n">
        <v>0</v>
      </c>
      <c r="Q591" t="n">
        <v>0</v>
      </c>
      <c r="R591" s="2" t="inlineStr"/>
    </row>
    <row r="592" ht="15" customHeight="1">
      <c r="A592" t="inlineStr">
        <is>
          <t>A 38231-2022</t>
        </is>
      </c>
      <c r="B592" s="1" t="n">
        <v>44812</v>
      </c>
      <c r="C592" s="1" t="n">
        <v>45994</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34557-2022</t>
        </is>
      </c>
      <c r="B593" s="1" t="n">
        <v>44794.57074074074</v>
      </c>
      <c r="C593" s="1" t="n">
        <v>45994</v>
      </c>
      <c r="D593" t="inlineStr">
        <is>
          <t>ÖSTERGÖTLANDS LÄN</t>
        </is>
      </c>
      <c r="E593" t="inlineStr">
        <is>
          <t>LINKÖPING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13011-2022</t>
        </is>
      </c>
      <c r="B594" s="1" t="n">
        <v>44643</v>
      </c>
      <c r="C594" s="1" t="n">
        <v>45994</v>
      </c>
      <c r="D594" t="inlineStr">
        <is>
          <t>ÖSTERGÖTLANDS LÄN</t>
        </is>
      </c>
      <c r="E594" t="inlineStr">
        <is>
          <t>LINKÖPING</t>
        </is>
      </c>
      <c r="G594" t="n">
        <v>3.7</v>
      </c>
      <c r="H594" t="n">
        <v>0</v>
      </c>
      <c r="I594" t="n">
        <v>0</v>
      </c>
      <c r="J594" t="n">
        <v>0</v>
      </c>
      <c r="K594" t="n">
        <v>0</v>
      </c>
      <c r="L594" t="n">
        <v>0</v>
      </c>
      <c r="M594" t="n">
        <v>0</v>
      </c>
      <c r="N594" t="n">
        <v>0</v>
      </c>
      <c r="O594" t="n">
        <v>0</v>
      </c>
      <c r="P594" t="n">
        <v>0</v>
      </c>
      <c r="Q594" t="n">
        <v>0</v>
      </c>
      <c r="R594" s="2" t="inlineStr"/>
    </row>
    <row r="595" ht="15" customHeight="1">
      <c r="A595" t="inlineStr">
        <is>
          <t>A 17128-2025</t>
        </is>
      </c>
      <c r="B595" s="1" t="n">
        <v>45755.72622685185</v>
      </c>
      <c r="C595" s="1" t="n">
        <v>45994</v>
      </c>
      <c r="D595" t="inlineStr">
        <is>
          <t>ÖSTERGÖTLANDS LÄN</t>
        </is>
      </c>
      <c r="E595" t="inlineStr">
        <is>
          <t>LINKÖPING</t>
        </is>
      </c>
      <c r="G595" t="n">
        <v>2.9</v>
      </c>
      <c r="H595" t="n">
        <v>0</v>
      </c>
      <c r="I595" t="n">
        <v>0</v>
      </c>
      <c r="J595" t="n">
        <v>0</v>
      </c>
      <c r="K595" t="n">
        <v>0</v>
      </c>
      <c r="L595" t="n">
        <v>0</v>
      </c>
      <c r="M595" t="n">
        <v>0</v>
      </c>
      <c r="N595" t="n">
        <v>0</v>
      </c>
      <c r="O595" t="n">
        <v>0</v>
      </c>
      <c r="P595" t="n">
        <v>0</v>
      </c>
      <c r="Q595" t="n">
        <v>0</v>
      </c>
      <c r="R595" s="2" t="inlineStr"/>
    </row>
    <row r="596" ht="15" customHeight="1">
      <c r="A596" t="inlineStr">
        <is>
          <t>A 52125-2022</t>
        </is>
      </c>
      <c r="B596" s="1" t="n">
        <v>44873</v>
      </c>
      <c r="C596" s="1" t="n">
        <v>45994</v>
      </c>
      <c r="D596" t="inlineStr">
        <is>
          <t>ÖSTERGÖTLANDS LÄN</t>
        </is>
      </c>
      <c r="E596" t="inlineStr">
        <is>
          <t>LINKÖPING</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617-2024</t>
        </is>
      </c>
      <c r="B597" s="1" t="n">
        <v>45299.66028935185</v>
      </c>
      <c r="C597" s="1" t="n">
        <v>45994</v>
      </c>
      <c r="D597" t="inlineStr">
        <is>
          <t>ÖSTERGÖTLANDS LÄN</t>
        </is>
      </c>
      <c r="E597" t="inlineStr">
        <is>
          <t>LINKÖPING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41511-2025</t>
        </is>
      </c>
      <c r="B598" s="1" t="n">
        <v>45901.53839120371</v>
      </c>
      <c r="C598" s="1" t="n">
        <v>45994</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27343-2023</t>
        </is>
      </c>
      <c r="B599" s="1" t="n">
        <v>45096</v>
      </c>
      <c r="C599" s="1" t="n">
        <v>45994</v>
      </c>
      <c r="D599" t="inlineStr">
        <is>
          <t>ÖSTERGÖTLANDS LÄN</t>
        </is>
      </c>
      <c r="E599" t="inlineStr">
        <is>
          <t>LINKÖPING</t>
        </is>
      </c>
      <c r="F599" t="inlineStr">
        <is>
          <t>Allmännings- och besparingsskogar</t>
        </is>
      </c>
      <c r="G599" t="n">
        <v>6.9</v>
      </c>
      <c r="H599" t="n">
        <v>0</v>
      </c>
      <c r="I599" t="n">
        <v>0</v>
      </c>
      <c r="J599" t="n">
        <v>0</v>
      </c>
      <c r="K599" t="n">
        <v>0</v>
      </c>
      <c r="L599" t="n">
        <v>0</v>
      </c>
      <c r="M599" t="n">
        <v>0</v>
      </c>
      <c r="N599" t="n">
        <v>0</v>
      </c>
      <c r="O599" t="n">
        <v>0</v>
      </c>
      <c r="P599" t="n">
        <v>0</v>
      </c>
      <c r="Q599" t="n">
        <v>0</v>
      </c>
      <c r="R599" s="2" t="inlineStr"/>
    </row>
    <row r="600" ht="15" customHeight="1">
      <c r="A600" t="inlineStr">
        <is>
          <t>A 19362-2023</t>
        </is>
      </c>
      <c r="B600" s="1" t="n">
        <v>45049</v>
      </c>
      <c r="C600" s="1" t="n">
        <v>45994</v>
      </c>
      <c r="D600" t="inlineStr">
        <is>
          <t>ÖSTERGÖTLANDS LÄN</t>
        </is>
      </c>
      <c r="E600" t="inlineStr">
        <is>
          <t>LINKÖPING</t>
        </is>
      </c>
      <c r="G600" t="n">
        <v>0.1</v>
      </c>
      <c r="H600" t="n">
        <v>0</v>
      </c>
      <c r="I600" t="n">
        <v>0</v>
      </c>
      <c r="J600" t="n">
        <v>0</v>
      </c>
      <c r="K600" t="n">
        <v>0</v>
      </c>
      <c r="L600" t="n">
        <v>0</v>
      </c>
      <c r="M600" t="n">
        <v>0</v>
      </c>
      <c r="N600" t="n">
        <v>0</v>
      </c>
      <c r="O600" t="n">
        <v>0</v>
      </c>
      <c r="P600" t="n">
        <v>0</v>
      </c>
      <c r="Q600" t="n">
        <v>0</v>
      </c>
      <c r="R600" s="2" t="inlineStr"/>
    </row>
    <row r="601" ht="15" customHeight="1">
      <c r="A601" t="inlineStr">
        <is>
          <t>A 22842-2023</t>
        </is>
      </c>
      <c r="B601" s="1" t="n">
        <v>45071</v>
      </c>
      <c r="C601" s="1" t="n">
        <v>45994</v>
      </c>
      <c r="D601" t="inlineStr">
        <is>
          <t>ÖSTERGÖTLANDS LÄN</t>
        </is>
      </c>
      <c r="E601" t="inlineStr">
        <is>
          <t>LINKÖPING</t>
        </is>
      </c>
      <c r="F601" t="inlineStr">
        <is>
          <t>Kommuner</t>
        </is>
      </c>
      <c r="G601" t="n">
        <v>1.3</v>
      </c>
      <c r="H601" t="n">
        <v>0</v>
      </c>
      <c r="I601" t="n">
        <v>0</v>
      </c>
      <c r="J601" t="n">
        <v>0</v>
      </c>
      <c r="K601" t="n">
        <v>0</v>
      </c>
      <c r="L601" t="n">
        <v>0</v>
      </c>
      <c r="M601" t="n">
        <v>0</v>
      </c>
      <c r="N601" t="n">
        <v>0</v>
      </c>
      <c r="O601" t="n">
        <v>0</v>
      </c>
      <c r="P601" t="n">
        <v>0</v>
      </c>
      <c r="Q601" t="n">
        <v>0</v>
      </c>
      <c r="R601" s="2" t="inlineStr"/>
    </row>
    <row r="602" ht="15" customHeight="1">
      <c r="A602" t="inlineStr">
        <is>
          <t>A 19132-2023</t>
        </is>
      </c>
      <c r="B602" s="1" t="n">
        <v>45048.54754629629</v>
      </c>
      <c r="C602" s="1" t="n">
        <v>45994</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41706-2025</t>
        </is>
      </c>
      <c r="B603" s="1" t="n">
        <v>45902.42209490741</v>
      </c>
      <c r="C603" s="1" t="n">
        <v>45994</v>
      </c>
      <c r="D603" t="inlineStr">
        <is>
          <t>ÖSTERGÖTLANDS LÄN</t>
        </is>
      </c>
      <c r="E603" t="inlineStr">
        <is>
          <t>LINKÖPING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44280-2024</t>
        </is>
      </c>
      <c r="B604" s="1" t="n">
        <v>45573.49461805556</v>
      </c>
      <c r="C604" s="1" t="n">
        <v>45994</v>
      </c>
      <c r="D604" t="inlineStr">
        <is>
          <t>ÖSTERGÖTLANDS LÄN</t>
        </is>
      </c>
      <c r="E604" t="inlineStr">
        <is>
          <t>LINKÖPING</t>
        </is>
      </c>
      <c r="G604" t="n">
        <v>5.3</v>
      </c>
      <c r="H604" t="n">
        <v>0</v>
      </c>
      <c r="I604" t="n">
        <v>0</v>
      </c>
      <c r="J604" t="n">
        <v>0</v>
      </c>
      <c r="K604" t="n">
        <v>0</v>
      </c>
      <c r="L604" t="n">
        <v>0</v>
      </c>
      <c r="M604" t="n">
        <v>0</v>
      </c>
      <c r="N604" t="n">
        <v>0</v>
      </c>
      <c r="O604" t="n">
        <v>0</v>
      </c>
      <c r="P604" t="n">
        <v>0</v>
      </c>
      <c r="Q604" t="n">
        <v>0</v>
      </c>
      <c r="R604" s="2" t="inlineStr"/>
    </row>
    <row r="605" ht="15" customHeight="1">
      <c r="A605" t="inlineStr">
        <is>
          <t>A 14520-2025</t>
        </is>
      </c>
      <c r="B605" s="1" t="n">
        <v>45741</v>
      </c>
      <c r="C605" s="1" t="n">
        <v>45994</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31548-2022</t>
        </is>
      </c>
      <c r="B606" s="1" t="n">
        <v>44775.39832175926</v>
      </c>
      <c r="C606" s="1" t="n">
        <v>45994</v>
      </c>
      <c r="D606" t="inlineStr">
        <is>
          <t>ÖSTERGÖTLANDS LÄN</t>
        </is>
      </c>
      <c r="E606" t="inlineStr">
        <is>
          <t>LINKÖPING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3042-2024</t>
        </is>
      </c>
      <c r="B607" s="1" t="n">
        <v>45316.35028935185</v>
      </c>
      <c r="C607" s="1" t="n">
        <v>45994</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62017-2024</t>
        </is>
      </c>
      <c r="B608" s="1" t="n">
        <v>45655.81140046296</v>
      </c>
      <c r="C608" s="1" t="n">
        <v>45994</v>
      </c>
      <c r="D608" t="inlineStr">
        <is>
          <t>ÖSTERGÖTLANDS LÄN</t>
        </is>
      </c>
      <c r="E608" t="inlineStr">
        <is>
          <t>LINKÖPING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17785-2023</t>
        </is>
      </c>
      <c r="B609" s="1" t="n">
        <v>45037.55094907407</v>
      </c>
      <c r="C609" s="1" t="n">
        <v>45994</v>
      </c>
      <c r="D609" t="inlineStr">
        <is>
          <t>ÖSTERGÖTLANDS LÄN</t>
        </is>
      </c>
      <c r="E609" t="inlineStr">
        <is>
          <t>LINKÖPING</t>
        </is>
      </c>
      <c r="F609" t="inlineStr">
        <is>
          <t>Allmännings- och besparingsskogar</t>
        </is>
      </c>
      <c r="G609" t="n">
        <v>3.1</v>
      </c>
      <c r="H609" t="n">
        <v>0</v>
      </c>
      <c r="I609" t="n">
        <v>0</v>
      </c>
      <c r="J609" t="n">
        <v>0</v>
      </c>
      <c r="K609" t="n">
        <v>0</v>
      </c>
      <c r="L609" t="n">
        <v>0</v>
      </c>
      <c r="M609" t="n">
        <v>0</v>
      </c>
      <c r="N609" t="n">
        <v>0</v>
      </c>
      <c r="O609" t="n">
        <v>0</v>
      </c>
      <c r="P609" t="n">
        <v>0</v>
      </c>
      <c r="Q609" t="n">
        <v>0</v>
      </c>
      <c r="R609" s="2" t="inlineStr"/>
    </row>
    <row r="610" ht="15" customHeight="1">
      <c r="A610" t="inlineStr">
        <is>
          <t>A 29293-2025</t>
        </is>
      </c>
      <c r="B610" s="1" t="n">
        <v>45824</v>
      </c>
      <c r="C610" s="1" t="n">
        <v>45994</v>
      </c>
      <c r="D610" t="inlineStr">
        <is>
          <t>ÖSTERGÖTLANDS LÄN</t>
        </is>
      </c>
      <c r="E610" t="inlineStr">
        <is>
          <t>LINKÖPING</t>
        </is>
      </c>
      <c r="G610" t="n">
        <v>0.8</v>
      </c>
      <c r="H610" t="n">
        <v>0</v>
      </c>
      <c r="I610" t="n">
        <v>0</v>
      </c>
      <c r="J610" t="n">
        <v>0</v>
      </c>
      <c r="K610" t="n">
        <v>0</v>
      </c>
      <c r="L610" t="n">
        <v>0</v>
      </c>
      <c r="M610" t="n">
        <v>0</v>
      </c>
      <c r="N610" t="n">
        <v>0</v>
      </c>
      <c r="O610" t="n">
        <v>0</v>
      </c>
      <c r="P610" t="n">
        <v>0</v>
      </c>
      <c r="Q610" t="n">
        <v>0</v>
      </c>
      <c r="R610" s="2" t="inlineStr"/>
    </row>
    <row r="611" ht="15" customHeight="1">
      <c r="A611" t="inlineStr">
        <is>
          <t>A 42624-2025</t>
        </is>
      </c>
      <c r="B611" s="1" t="n">
        <v>45905</v>
      </c>
      <c r="C611" s="1" t="n">
        <v>45994</v>
      </c>
      <c r="D611" t="inlineStr">
        <is>
          <t>ÖSTERGÖTLANDS LÄN</t>
        </is>
      </c>
      <c r="E611" t="inlineStr">
        <is>
          <t>LINKÖPING</t>
        </is>
      </c>
      <c r="G611" t="n">
        <v>1.5</v>
      </c>
      <c r="H611" t="n">
        <v>0</v>
      </c>
      <c r="I611" t="n">
        <v>0</v>
      </c>
      <c r="J611" t="n">
        <v>0</v>
      </c>
      <c r="K611" t="n">
        <v>0</v>
      </c>
      <c r="L611" t="n">
        <v>0</v>
      </c>
      <c r="M611" t="n">
        <v>0</v>
      </c>
      <c r="N611" t="n">
        <v>0</v>
      </c>
      <c r="O611" t="n">
        <v>0</v>
      </c>
      <c r="P611" t="n">
        <v>0</v>
      </c>
      <c r="Q611" t="n">
        <v>0</v>
      </c>
      <c r="R611" s="2" t="inlineStr"/>
    </row>
    <row r="612" ht="15" customHeight="1">
      <c r="A612" t="inlineStr">
        <is>
          <t>A 42626-2025</t>
        </is>
      </c>
      <c r="B612" s="1" t="n">
        <v>45905</v>
      </c>
      <c r="C612" s="1" t="n">
        <v>45994</v>
      </c>
      <c r="D612" t="inlineStr">
        <is>
          <t>ÖSTERGÖTLANDS LÄN</t>
        </is>
      </c>
      <c r="E612" t="inlineStr">
        <is>
          <t>LINKÖPING</t>
        </is>
      </c>
      <c r="G612" t="n">
        <v>3.6</v>
      </c>
      <c r="H612" t="n">
        <v>0</v>
      </c>
      <c r="I612" t="n">
        <v>0</v>
      </c>
      <c r="J612" t="n">
        <v>0</v>
      </c>
      <c r="K612" t="n">
        <v>0</v>
      </c>
      <c r="L612" t="n">
        <v>0</v>
      </c>
      <c r="M612" t="n">
        <v>0</v>
      </c>
      <c r="N612" t="n">
        <v>0</v>
      </c>
      <c r="O612" t="n">
        <v>0</v>
      </c>
      <c r="P612" t="n">
        <v>0</v>
      </c>
      <c r="Q612" t="n">
        <v>0</v>
      </c>
      <c r="R612" s="2" t="inlineStr"/>
    </row>
    <row r="613" ht="15" customHeight="1">
      <c r="A613" t="inlineStr">
        <is>
          <t>A 31635-2023</t>
        </is>
      </c>
      <c r="B613" s="1" t="n">
        <v>45105</v>
      </c>
      <c r="C613" s="1" t="n">
        <v>45994</v>
      </c>
      <c r="D613" t="inlineStr">
        <is>
          <t>ÖSTERGÖTLANDS LÄN</t>
        </is>
      </c>
      <c r="E613" t="inlineStr">
        <is>
          <t>LINKÖPING</t>
        </is>
      </c>
      <c r="F613" t="inlineStr">
        <is>
          <t>Övriga statliga verk och myndigheter</t>
        </is>
      </c>
      <c r="G613" t="n">
        <v>4.6</v>
      </c>
      <c r="H613" t="n">
        <v>0</v>
      </c>
      <c r="I613" t="n">
        <v>0</v>
      </c>
      <c r="J613" t="n">
        <v>0</v>
      </c>
      <c r="K613" t="n">
        <v>0</v>
      </c>
      <c r="L613" t="n">
        <v>0</v>
      </c>
      <c r="M613" t="n">
        <v>0</v>
      </c>
      <c r="N613" t="n">
        <v>0</v>
      </c>
      <c r="O613" t="n">
        <v>0</v>
      </c>
      <c r="P613" t="n">
        <v>0</v>
      </c>
      <c r="Q613" t="n">
        <v>0</v>
      </c>
      <c r="R613" s="2" t="inlineStr"/>
    </row>
    <row r="614" ht="15" customHeight="1">
      <c r="A614" t="inlineStr">
        <is>
          <t>A 20296-2025</t>
        </is>
      </c>
      <c r="B614" s="1" t="n">
        <v>45774.74922453704</v>
      </c>
      <c r="C614" s="1" t="n">
        <v>45994</v>
      </c>
      <c r="D614" t="inlineStr">
        <is>
          <t>ÖSTERGÖTLANDS LÄN</t>
        </is>
      </c>
      <c r="E614" t="inlineStr">
        <is>
          <t>LINKÖPING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67129-2020</t>
        </is>
      </c>
      <c r="B615" s="1" t="n">
        <v>44180</v>
      </c>
      <c r="C615" s="1" t="n">
        <v>45994</v>
      </c>
      <c r="D615" t="inlineStr">
        <is>
          <t>ÖSTERGÖTLANDS LÄN</t>
        </is>
      </c>
      <c r="E615" t="inlineStr">
        <is>
          <t>LINKÖPING</t>
        </is>
      </c>
      <c r="F615" t="inlineStr">
        <is>
          <t>Övriga statliga verk och myndigheter</t>
        </is>
      </c>
      <c r="G615" t="n">
        <v>2.7</v>
      </c>
      <c r="H615" t="n">
        <v>0</v>
      </c>
      <c r="I615" t="n">
        <v>0</v>
      </c>
      <c r="J615" t="n">
        <v>0</v>
      </c>
      <c r="K615" t="n">
        <v>0</v>
      </c>
      <c r="L615" t="n">
        <v>0</v>
      </c>
      <c r="M615" t="n">
        <v>0</v>
      </c>
      <c r="N615" t="n">
        <v>0</v>
      </c>
      <c r="O615" t="n">
        <v>0</v>
      </c>
      <c r="P615" t="n">
        <v>0</v>
      </c>
      <c r="Q615" t="n">
        <v>0</v>
      </c>
      <c r="R615" s="2" t="inlineStr"/>
    </row>
    <row r="616" ht="15" customHeight="1">
      <c r="A616" t="inlineStr">
        <is>
          <t>A 42623-2025</t>
        </is>
      </c>
      <c r="B616" s="1" t="n">
        <v>45905</v>
      </c>
      <c r="C616" s="1" t="n">
        <v>45994</v>
      </c>
      <c r="D616" t="inlineStr">
        <is>
          <t>ÖSTERGÖTLANDS LÄN</t>
        </is>
      </c>
      <c r="E616" t="inlineStr">
        <is>
          <t>LINKÖPING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22770-2024</t>
        </is>
      </c>
      <c r="B617" s="1" t="n">
        <v>45448.4634375</v>
      </c>
      <c r="C617" s="1" t="n">
        <v>45994</v>
      </c>
      <c r="D617" t="inlineStr">
        <is>
          <t>ÖSTERGÖTLANDS LÄN</t>
        </is>
      </c>
      <c r="E617" t="inlineStr">
        <is>
          <t>LINKÖPING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62686-2023</t>
        </is>
      </c>
      <c r="B618" s="1" t="n">
        <v>45271</v>
      </c>
      <c r="C618" s="1" t="n">
        <v>45994</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42044-2023</t>
        </is>
      </c>
      <c r="B619" s="1" t="n">
        <v>45177</v>
      </c>
      <c r="C619" s="1" t="n">
        <v>45994</v>
      </c>
      <c r="D619" t="inlineStr">
        <is>
          <t>ÖSTERGÖTLANDS LÄN</t>
        </is>
      </c>
      <c r="E619" t="inlineStr">
        <is>
          <t>LINKÖPING</t>
        </is>
      </c>
      <c r="G619" t="n">
        <v>3.9</v>
      </c>
      <c r="H619" t="n">
        <v>0</v>
      </c>
      <c r="I619" t="n">
        <v>0</v>
      </c>
      <c r="J619" t="n">
        <v>0</v>
      </c>
      <c r="K619" t="n">
        <v>0</v>
      </c>
      <c r="L619" t="n">
        <v>0</v>
      </c>
      <c r="M619" t="n">
        <v>0</v>
      </c>
      <c r="N619" t="n">
        <v>0</v>
      </c>
      <c r="O619" t="n">
        <v>0</v>
      </c>
      <c r="P619" t="n">
        <v>0</v>
      </c>
      <c r="Q619" t="n">
        <v>0</v>
      </c>
      <c r="R619" s="2" t="inlineStr"/>
    </row>
    <row r="620" ht="15" customHeight="1">
      <c r="A620" t="inlineStr">
        <is>
          <t>A 5314-2021</t>
        </is>
      </c>
      <c r="B620" s="1" t="n">
        <v>44229</v>
      </c>
      <c r="C620" s="1" t="n">
        <v>45994</v>
      </c>
      <c r="D620" t="inlineStr">
        <is>
          <t>ÖSTERGÖTLANDS LÄN</t>
        </is>
      </c>
      <c r="E620" t="inlineStr">
        <is>
          <t>LINKÖPING</t>
        </is>
      </c>
      <c r="G620" t="n">
        <v>6.2</v>
      </c>
      <c r="H620" t="n">
        <v>0</v>
      </c>
      <c r="I620" t="n">
        <v>0</v>
      </c>
      <c r="J620" t="n">
        <v>0</v>
      </c>
      <c r="K620" t="n">
        <v>0</v>
      </c>
      <c r="L620" t="n">
        <v>0</v>
      </c>
      <c r="M620" t="n">
        <v>0</v>
      </c>
      <c r="N620" t="n">
        <v>0</v>
      </c>
      <c r="O620" t="n">
        <v>0</v>
      </c>
      <c r="P620" t="n">
        <v>0</v>
      </c>
      <c r="Q620" t="n">
        <v>0</v>
      </c>
      <c r="R620" s="2" t="inlineStr"/>
    </row>
    <row r="621" ht="15" customHeight="1">
      <c r="A621" t="inlineStr">
        <is>
          <t>A 11595-2025</t>
        </is>
      </c>
      <c r="B621" s="1" t="n">
        <v>45727.41893518518</v>
      </c>
      <c r="C621" s="1" t="n">
        <v>45994</v>
      </c>
      <c r="D621" t="inlineStr">
        <is>
          <t>ÖSTERGÖTLANDS LÄN</t>
        </is>
      </c>
      <c r="E621" t="inlineStr">
        <is>
          <t>LINKÖPING</t>
        </is>
      </c>
      <c r="G621" t="n">
        <v>6.6</v>
      </c>
      <c r="H621" t="n">
        <v>0</v>
      </c>
      <c r="I621" t="n">
        <v>0</v>
      </c>
      <c r="J621" t="n">
        <v>0</v>
      </c>
      <c r="K621" t="n">
        <v>0</v>
      </c>
      <c r="L621" t="n">
        <v>0</v>
      </c>
      <c r="M621" t="n">
        <v>0</v>
      </c>
      <c r="N621" t="n">
        <v>0</v>
      </c>
      <c r="O621" t="n">
        <v>0</v>
      </c>
      <c r="P621" t="n">
        <v>0</v>
      </c>
      <c r="Q621" t="n">
        <v>0</v>
      </c>
      <c r="R621" s="2" t="inlineStr"/>
    </row>
    <row r="622" ht="15" customHeight="1">
      <c r="A622" t="inlineStr">
        <is>
          <t>A 49656-2021</t>
        </is>
      </c>
      <c r="B622" s="1" t="n">
        <v>44454</v>
      </c>
      <c r="C622" s="1" t="n">
        <v>45994</v>
      </c>
      <c r="D622" t="inlineStr">
        <is>
          <t>ÖSTERGÖTLANDS LÄN</t>
        </is>
      </c>
      <c r="E622" t="inlineStr">
        <is>
          <t>LINKÖPING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48839-2022</t>
        </is>
      </c>
      <c r="B623" s="1" t="n">
        <v>44859</v>
      </c>
      <c r="C623" s="1" t="n">
        <v>45994</v>
      </c>
      <c r="D623" t="inlineStr">
        <is>
          <t>ÖSTERGÖTLANDS LÄN</t>
        </is>
      </c>
      <c r="E623" t="inlineStr">
        <is>
          <t>LINKÖPING</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8967-2025</t>
        </is>
      </c>
      <c r="B624" s="1" t="n">
        <v>45712</v>
      </c>
      <c r="C624" s="1" t="n">
        <v>45994</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52111-2025</t>
        </is>
      </c>
      <c r="B625" s="1" t="n">
        <v>45952.69527777778</v>
      </c>
      <c r="C625" s="1" t="n">
        <v>45994</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26002-2025</t>
        </is>
      </c>
      <c r="B626" s="1" t="n">
        <v>45804.66534722222</v>
      </c>
      <c r="C626" s="1" t="n">
        <v>45994</v>
      </c>
      <c r="D626" t="inlineStr">
        <is>
          <t>ÖSTERGÖTLANDS LÄN</t>
        </is>
      </c>
      <c r="E626" t="inlineStr">
        <is>
          <t>LINKÖPING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52743-2025</t>
        </is>
      </c>
      <c r="B627" s="1" t="n">
        <v>45957.38039351852</v>
      </c>
      <c r="C627" s="1" t="n">
        <v>45994</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25996-2025</t>
        </is>
      </c>
      <c r="B628" s="1" t="n">
        <v>45804.65851851852</v>
      </c>
      <c r="C628" s="1" t="n">
        <v>45994</v>
      </c>
      <c r="D628" t="inlineStr">
        <is>
          <t>ÖSTERGÖTLANDS LÄN</t>
        </is>
      </c>
      <c r="E628" t="inlineStr">
        <is>
          <t>LINKÖPING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44170-2025</t>
        </is>
      </c>
      <c r="B629" s="1" t="n">
        <v>45915.59864583334</v>
      </c>
      <c r="C629" s="1" t="n">
        <v>45994</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43755-2025</t>
        </is>
      </c>
      <c r="B630" s="1" t="n">
        <v>45912.47329861111</v>
      </c>
      <c r="C630" s="1" t="n">
        <v>45994</v>
      </c>
      <c r="D630" t="inlineStr">
        <is>
          <t>ÖSTERGÖTLANDS LÄN</t>
        </is>
      </c>
      <c r="E630" t="inlineStr">
        <is>
          <t>LINKÖPING</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43758-2025</t>
        </is>
      </c>
      <c r="B631" s="1" t="n">
        <v>45912.47711805555</v>
      </c>
      <c r="C631" s="1" t="n">
        <v>45994</v>
      </c>
      <c r="D631" t="inlineStr">
        <is>
          <t>ÖSTERGÖTLANDS LÄN</t>
        </is>
      </c>
      <c r="E631" t="inlineStr">
        <is>
          <t>LINKÖPING</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52802-2025</t>
        </is>
      </c>
      <c r="B632" s="1" t="n">
        <v>45957.44295138889</v>
      </c>
      <c r="C632" s="1" t="n">
        <v>45994</v>
      </c>
      <c r="D632" t="inlineStr">
        <is>
          <t>ÖSTERGÖTLANDS LÄN</t>
        </is>
      </c>
      <c r="E632" t="inlineStr">
        <is>
          <t>LINKÖPING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43753-2025</t>
        </is>
      </c>
      <c r="B633" s="1" t="n">
        <v>45912.4715625</v>
      </c>
      <c r="C633" s="1" t="n">
        <v>45994</v>
      </c>
      <c r="D633" t="inlineStr">
        <is>
          <t>ÖSTERGÖTLANDS LÄN</t>
        </is>
      </c>
      <c r="E633" t="inlineStr">
        <is>
          <t>LINKÖPING</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52800-2025</t>
        </is>
      </c>
      <c r="B634" s="1" t="n">
        <v>45957.44152777778</v>
      </c>
      <c r="C634" s="1" t="n">
        <v>45994</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44759-2025</t>
        </is>
      </c>
      <c r="B635" s="1" t="n">
        <v>45917.7152662037</v>
      </c>
      <c r="C635" s="1" t="n">
        <v>45994</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27950-2025</t>
        </is>
      </c>
      <c r="B636" s="1" t="n">
        <v>45817.52960648148</v>
      </c>
      <c r="C636" s="1" t="n">
        <v>45994</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44764-2025</t>
        </is>
      </c>
      <c r="B637" s="1" t="n">
        <v>45917.72821759259</v>
      </c>
      <c r="C637" s="1" t="n">
        <v>45994</v>
      </c>
      <c r="D637" t="inlineStr">
        <is>
          <t>ÖSTERGÖTLANDS LÄN</t>
        </is>
      </c>
      <c r="E637" t="inlineStr">
        <is>
          <t>LINKÖPING</t>
        </is>
      </c>
      <c r="G637" t="n">
        <v>0.9</v>
      </c>
      <c r="H637" t="n">
        <v>0</v>
      </c>
      <c r="I637" t="n">
        <v>0</v>
      </c>
      <c r="J637" t="n">
        <v>0</v>
      </c>
      <c r="K637" t="n">
        <v>0</v>
      </c>
      <c r="L637" t="n">
        <v>0</v>
      </c>
      <c r="M637" t="n">
        <v>0</v>
      </c>
      <c r="N637" t="n">
        <v>0</v>
      </c>
      <c r="O637" t="n">
        <v>0</v>
      </c>
      <c r="P637" t="n">
        <v>0</v>
      </c>
      <c r="Q637" t="n">
        <v>0</v>
      </c>
      <c r="R637" s="2" t="inlineStr"/>
    </row>
    <row r="638" ht="15" customHeight="1">
      <c r="A638" t="inlineStr">
        <is>
          <t>A 27797-2025</t>
        </is>
      </c>
      <c r="B638" s="1" t="n">
        <v>45816.80521990741</v>
      </c>
      <c r="C638" s="1" t="n">
        <v>45994</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27798-2025</t>
        </is>
      </c>
      <c r="B639" s="1" t="n">
        <v>45816.81532407407</v>
      </c>
      <c r="C639" s="1" t="n">
        <v>45994</v>
      </c>
      <c r="D639" t="inlineStr">
        <is>
          <t>ÖSTERGÖTLANDS LÄN</t>
        </is>
      </c>
      <c r="E639" t="inlineStr">
        <is>
          <t>LINKÖPING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28200-2025</t>
        </is>
      </c>
      <c r="B640" s="1" t="n">
        <v>45818.4428125</v>
      </c>
      <c r="C640" s="1" t="n">
        <v>45994</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28204-2025</t>
        </is>
      </c>
      <c r="B641" s="1" t="n">
        <v>45818.4477662037</v>
      </c>
      <c r="C641" s="1" t="n">
        <v>45994</v>
      </c>
      <c r="D641" t="inlineStr">
        <is>
          <t>ÖSTERGÖTLANDS LÄN</t>
        </is>
      </c>
      <c r="E641" t="inlineStr">
        <is>
          <t>LINKÖPING</t>
        </is>
      </c>
      <c r="G641" t="n">
        <v>2.9</v>
      </c>
      <c r="H641" t="n">
        <v>0</v>
      </c>
      <c r="I641" t="n">
        <v>0</v>
      </c>
      <c r="J641" t="n">
        <v>0</v>
      </c>
      <c r="K641" t="n">
        <v>0</v>
      </c>
      <c r="L641" t="n">
        <v>0</v>
      </c>
      <c r="M641" t="n">
        <v>0</v>
      </c>
      <c r="N641" t="n">
        <v>0</v>
      </c>
      <c r="O641" t="n">
        <v>0</v>
      </c>
      <c r="P641" t="n">
        <v>0</v>
      </c>
      <c r="Q641" t="n">
        <v>0</v>
      </c>
      <c r="R641" s="2" t="inlineStr"/>
    </row>
    <row r="642" ht="15" customHeight="1">
      <c r="A642" t="inlineStr">
        <is>
          <t>A 28416-2025</t>
        </is>
      </c>
      <c r="B642" s="1" t="n">
        <v>45819.35346064815</v>
      </c>
      <c r="C642" s="1" t="n">
        <v>45994</v>
      </c>
      <c r="D642" t="inlineStr">
        <is>
          <t>ÖSTERGÖTLANDS LÄN</t>
        </is>
      </c>
      <c r="E642" t="inlineStr">
        <is>
          <t>LINKÖPING</t>
        </is>
      </c>
      <c r="F642" t="inlineStr">
        <is>
          <t>Sveaskog</t>
        </is>
      </c>
      <c r="G642" t="n">
        <v>3.7</v>
      </c>
      <c r="H642" t="n">
        <v>0</v>
      </c>
      <c r="I642" t="n">
        <v>0</v>
      </c>
      <c r="J642" t="n">
        <v>0</v>
      </c>
      <c r="K642" t="n">
        <v>0</v>
      </c>
      <c r="L642" t="n">
        <v>0</v>
      </c>
      <c r="M642" t="n">
        <v>0</v>
      </c>
      <c r="N642" t="n">
        <v>0</v>
      </c>
      <c r="O642" t="n">
        <v>0</v>
      </c>
      <c r="P642" t="n">
        <v>0</v>
      </c>
      <c r="Q642" t="n">
        <v>0</v>
      </c>
      <c r="R642" s="2" t="inlineStr"/>
    </row>
    <row r="643" ht="15" customHeight="1">
      <c r="A643" t="inlineStr">
        <is>
          <t>A 28398-2025</t>
        </is>
      </c>
      <c r="B643" s="1" t="n">
        <v>45819.34208333334</v>
      </c>
      <c r="C643" s="1" t="n">
        <v>45994</v>
      </c>
      <c r="D643" t="inlineStr">
        <is>
          <t>ÖSTERGÖTLANDS LÄN</t>
        </is>
      </c>
      <c r="E643" t="inlineStr">
        <is>
          <t>LINKÖPING</t>
        </is>
      </c>
      <c r="F643" t="inlineStr">
        <is>
          <t>Sveaskog</t>
        </is>
      </c>
      <c r="G643" t="n">
        <v>7.9</v>
      </c>
      <c r="H643" t="n">
        <v>0</v>
      </c>
      <c r="I643" t="n">
        <v>0</v>
      </c>
      <c r="J643" t="n">
        <v>0</v>
      </c>
      <c r="K643" t="n">
        <v>0</v>
      </c>
      <c r="L643" t="n">
        <v>0</v>
      </c>
      <c r="M643" t="n">
        <v>0</v>
      </c>
      <c r="N643" t="n">
        <v>0</v>
      </c>
      <c r="O643" t="n">
        <v>0</v>
      </c>
      <c r="P643" t="n">
        <v>0</v>
      </c>
      <c r="Q643" t="n">
        <v>0</v>
      </c>
      <c r="R643" s="2" t="inlineStr"/>
    </row>
    <row r="644" ht="15" customHeight="1">
      <c r="A644" t="inlineStr">
        <is>
          <t>A 28209-2025</t>
        </is>
      </c>
      <c r="B644" s="1" t="n">
        <v>45818.45112268518</v>
      </c>
      <c r="C644" s="1" t="n">
        <v>45994</v>
      </c>
      <c r="D644" t="inlineStr">
        <is>
          <t>ÖSTERGÖTLANDS LÄN</t>
        </is>
      </c>
      <c r="E644" t="inlineStr">
        <is>
          <t>LINKÖPING</t>
        </is>
      </c>
      <c r="G644" t="n">
        <v>4.2</v>
      </c>
      <c r="H644" t="n">
        <v>0</v>
      </c>
      <c r="I644" t="n">
        <v>0</v>
      </c>
      <c r="J644" t="n">
        <v>0</v>
      </c>
      <c r="K644" t="n">
        <v>0</v>
      </c>
      <c r="L644" t="n">
        <v>0</v>
      </c>
      <c r="M644" t="n">
        <v>0</v>
      </c>
      <c r="N644" t="n">
        <v>0</v>
      </c>
      <c r="O644" t="n">
        <v>0</v>
      </c>
      <c r="P644" t="n">
        <v>0</v>
      </c>
      <c r="Q644" t="n">
        <v>0</v>
      </c>
      <c r="R644" s="2" t="inlineStr"/>
    </row>
    <row r="645" ht="15" customHeight="1">
      <c r="A645" t="inlineStr">
        <is>
          <t>A 45112-2025</t>
        </is>
      </c>
      <c r="B645" s="1" t="n">
        <v>45919</v>
      </c>
      <c r="C645" s="1" t="n">
        <v>45994</v>
      </c>
      <c r="D645" t="inlineStr">
        <is>
          <t>ÖSTERGÖTLANDS LÄN</t>
        </is>
      </c>
      <c r="E645" t="inlineStr">
        <is>
          <t>LINKÖPING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29027-2025</t>
        </is>
      </c>
      <c r="B646" s="1" t="n">
        <v>45821.4375462963</v>
      </c>
      <c r="C646" s="1" t="n">
        <v>45994</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29411-2025</t>
        </is>
      </c>
      <c r="B647" s="1" t="n">
        <v>45824.6219212963</v>
      </c>
      <c r="C647" s="1" t="n">
        <v>45994</v>
      </c>
      <c r="D647" t="inlineStr">
        <is>
          <t>ÖSTERGÖTLANDS LÄN</t>
        </is>
      </c>
      <c r="E647" t="inlineStr">
        <is>
          <t>LINKÖPING</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29393-2025</t>
        </is>
      </c>
      <c r="B648" s="1" t="n">
        <v>45824.6057175926</v>
      </c>
      <c r="C648" s="1" t="n">
        <v>45994</v>
      </c>
      <c r="D648" t="inlineStr">
        <is>
          <t>ÖSTERGÖTLANDS LÄN</t>
        </is>
      </c>
      <c r="E648" t="inlineStr">
        <is>
          <t>LINKÖPING</t>
        </is>
      </c>
      <c r="F648" t="inlineStr">
        <is>
          <t>Sveaskog</t>
        </is>
      </c>
      <c r="G648" t="n">
        <v>24.6</v>
      </c>
      <c r="H648" t="n">
        <v>0</v>
      </c>
      <c r="I648" t="n">
        <v>0</v>
      </c>
      <c r="J648" t="n">
        <v>0</v>
      </c>
      <c r="K648" t="n">
        <v>0</v>
      </c>
      <c r="L648" t="n">
        <v>0</v>
      </c>
      <c r="M648" t="n">
        <v>0</v>
      </c>
      <c r="N648" t="n">
        <v>0</v>
      </c>
      <c r="O648" t="n">
        <v>0</v>
      </c>
      <c r="P648" t="n">
        <v>0</v>
      </c>
      <c r="Q648" t="n">
        <v>0</v>
      </c>
      <c r="R648" s="2" t="inlineStr"/>
    </row>
    <row r="649" ht="15" customHeight="1">
      <c r="A649" t="inlineStr">
        <is>
          <t>A 29599-2025</t>
        </is>
      </c>
      <c r="B649" s="1" t="n">
        <v>45825.41101851852</v>
      </c>
      <c r="C649" s="1" t="n">
        <v>45994</v>
      </c>
      <c r="D649" t="inlineStr">
        <is>
          <t>ÖSTERGÖTLANDS LÄN</t>
        </is>
      </c>
      <c r="E649" t="inlineStr">
        <is>
          <t>LINKÖPING</t>
        </is>
      </c>
      <c r="G649" t="n">
        <v>0.9</v>
      </c>
      <c r="H649" t="n">
        <v>0</v>
      </c>
      <c r="I649" t="n">
        <v>0</v>
      </c>
      <c r="J649" t="n">
        <v>0</v>
      </c>
      <c r="K649" t="n">
        <v>0</v>
      </c>
      <c r="L649" t="n">
        <v>0</v>
      </c>
      <c r="M649" t="n">
        <v>0</v>
      </c>
      <c r="N649" t="n">
        <v>0</v>
      </c>
      <c r="O649" t="n">
        <v>0</v>
      </c>
      <c r="P649" t="n">
        <v>0</v>
      </c>
      <c r="Q649" t="n">
        <v>0</v>
      </c>
      <c r="R649" s="2" t="inlineStr"/>
    </row>
    <row r="650" ht="15" customHeight="1">
      <c r="A650" t="inlineStr">
        <is>
          <t>A 30355-2025</t>
        </is>
      </c>
      <c r="B650" s="1" t="n">
        <v>45827</v>
      </c>
      <c r="C650" s="1" t="n">
        <v>45994</v>
      </c>
      <c r="D650" t="inlineStr">
        <is>
          <t>ÖSTERGÖTLANDS LÄN</t>
        </is>
      </c>
      <c r="E650" t="inlineStr">
        <is>
          <t>LINKÖPING</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45634-2025</t>
        </is>
      </c>
      <c r="B651" s="1" t="n">
        <v>45922.85089120371</v>
      </c>
      <c r="C651" s="1" t="n">
        <v>45994</v>
      </c>
      <c r="D651" t="inlineStr">
        <is>
          <t>ÖSTERGÖTLANDS LÄN</t>
        </is>
      </c>
      <c r="E651" t="inlineStr">
        <is>
          <t>LINKÖPING</t>
        </is>
      </c>
      <c r="F651" t="inlineStr">
        <is>
          <t>Övriga Aktiebolag</t>
        </is>
      </c>
      <c r="G651" t="n">
        <v>0.3</v>
      </c>
      <c r="H651" t="n">
        <v>0</v>
      </c>
      <c r="I651" t="n">
        <v>0</v>
      </c>
      <c r="J651" t="n">
        <v>0</v>
      </c>
      <c r="K651" t="n">
        <v>0</v>
      </c>
      <c r="L651" t="n">
        <v>0</v>
      </c>
      <c r="M651" t="n">
        <v>0</v>
      </c>
      <c r="N651" t="n">
        <v>0</v>
      </c>
      <c r="O651" t="n">
        <v>0</v>
      </c>
      <c r="P651" t="n">
        <v>0</v>
      </c>
      <c r="Q651" t="n">
        <v>0</v>
      </c>
      <c r="R651" s="2" t="inlineStr"/>
    </row>
    <row r="652" ht="15" customHeight="1">
      <c r="A652" t="inlineStr">
        <is>
          <t>A 30353-2025</t>
        </is>
      </c>
      <c r="B652" s="1" t="n">
        <v>45827</v>
      </c>
      <c r="C652" s="1" t="n">
        <v>45994</v>
      </c>
      <c r="D652" t="inlineStr">
        <is>
          <t>ÖSTERGÖTLANDS LÄN</t>
        </is>
      </c>
      <c r="E652" t="inlineStr">
        <is>
          <t>LINKÖPING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54333-2025</t>
        </is>
      </c>
      <c r="B653" s="1" t="n">
        <v>45965.35090277778</v>
      </c>
      <c r="C653" s="1" t="n">
        <v>45994</v>
      </c>
      <c r="D653" t="inlineStr">
        <is>
          <t>ÖSTERGÖTLANDS LÄN</t>
        </is>
      </c>
      <c r="E653" t="inlineStr">
        <is>
          <t>LINKÖPING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45792-2025</t>
        </is>
      </c>
      <c r="B654" s="1" t="n">
        <v>45923.56998842592</v>
      </c>
      <c r="C654" s="1" t="n">
        <v>45994</v>
      </c>
      <c r="D654" t="inlineStr">
        <is>
          <t>ÖSTERGÖTLANDS LÄN</t>
        </is>
      </c>
      <c r="E654" t="inlineStr">
        <is>
          <t>LINKÖPING</t>
        </is>
      </c>
      <c r="G654" t="n">
        <v>2.6</v>
      </c>
      <c r="H654" t="n">
        <v>0</v>
      </c>
      <c r="I654" t="n">
        <v>0</v>
      </c>
      <c r="J654" t="n">
        <v>0</v>
      </c>
      <c r="K654" t="n">
        <v>0</v>
      </c>
      <c r="L654" t="n">
        <v>0</v>
      </c>
      <c r="M654" t="n">
        <v>0</v>
      </c>
      <c r="N654" t="n">
        <v>0</v>
      </c>
      <c r="O654" t="n">
        <v>0</v>
      </c>
      <c r="P654" t="n">
        <v>0</v>
      </c>
      <c r="Q654" t="n">
        <v>0</v>
      </c>
      <c r="R654" s="2" t="inlineStr"/>
    </row>
    <row r="655" ht="15" customHeight="1">
      <c r="A655" t="inlineStr">
        <is>
          <t>A 45804-2025</t>
        </is>
      </c>
      <c r="B655" s="1" t="n">
        <v>45923.5819675926</v>
      </c>
      <c r="C655" s="1" t="n">
        <v>45994</v>
      </c>
      <c r="D655" t="inlineStr">
        <is>
          <t>ÖSTERGÖTLANDS LÄN</t>
        </is>
      </c>
      <c r="E655" t="inlineStr">
        <is>
          <t>LINKÖPING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46426-2025</t>
        </is>
      </c>
      <c r="B656" s="1" t="n">
        <v>45925.6012962963</v>
      </c>
      <c r="C656" s="1" t="n">
        <v>45994</v>
      </c>
      <c r="D656" t="inlineStr">
        <is>
          <t>ÖSTERGÖTLANDS LÄN</t>
        </is>
      </c>
      <c r="E656" t="inlineStr">
        <is>
          <t>LINKÖPING</t>
        </is>
      </c>
      <c r="G656" t="n">
        <v>4.4</v>
      </c>
      <c r="H656" t="n">
        <v>0</v>
      </c>
      <c r="I656" t="n">
        <v>0</v>
      </c>
      <c r="J656" t="n">
        <v>0</v>
      </c>
      <c r="K656" t="n">
        <v>0</v>
      </c>
      <c r="L656" t="n">
        <v>0</v>
      </c>
      <c r="M656" t="n">
        <v>0</v>
      </c>
      <c r="N656" t="n">
        <v>0</v>
      </c>
      <c r="O656" t="n">
        <v>0</v>
      </c>
      <c r="P656" t="n">
        <v>0</v>
      </c>
      <c r="Q656" t="n">
        <v>0</v>
      </c>
      <c r="R656" s="2" t="inlineStr"/>
    </row>
    <row r="657" ht="15" customHeight="1">
      <c r="A657" t="inlineStr">
        <is>
          <t>A 31581-2025</t>
        </is>
      </c>
      <c r="B657" s="1" t="n">
        <v>45833.6840162037</v>
      </c>
      <c r="C657" s="1" t="n">
        <v>45994</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31585-2025</t>
        </is>
      </c>
      <c r="B658" s="1" t="n">
        <v>45833.68815972222</v>
      </c>
      <c r="C658" s="1" t="n">
        <v>45994</v>
      </c>
      <c r="D658" t="inlineStr">
        <is>
          <t>ÖSTERGÖTLANDS LÄN</t>
        </is>
      </c>
      <c r="E658" t="inlineStr">
        <is>
          <t>LINKÖPING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46428-2025</t>
        </is>
      </c>
      <c r="B659" s="1" t="n">
        <v>45925.60758101852</v>
      </c>
      <c r="C659" s="1" t="n">
        <v>45994</v>
      </c>
      <c r="D659" t="inlineStr">
        <is>
          <t>ÖSTERGÖTLANDS LÄN</t>
        </is>
      </c>
      <c r="E659" t="inlineStr">
        <is>
          <t>LINKÖPING</t>
        </is>
      </c>
      <c r="G659" t="n">
        <v>3</v>
      </c>
      <c r="H659" t="n">
        <v>0</v>
      </c>
      <c r="I659" t="n">
        <v>0</v>
      </c>
      <c r="J659" t="n">
        <v>0</v>
      </c>
      <c r="K659" t="n">
        <v>0</v>
      </c>
      <c r="L659" t="n">
        <v>0</v>
      </c>
      <c r="M659" t="n">
        <v>0</v>
      </c>
      <c r="N659" t="n">
        <v>0</v>
      </c>
      <c r="O659" t="n">
        <v>0</v>
      </c>
      <c r="P659" t="n">
        <v>0</v>
      </c>
      <c r="Q659" t="n">
        <v>0</v>
      </c>
      <c r="R659" s="2" t="inlineStr"/>
    </row>
    <row r="660" ht="15" customHeight="1">
      <c r="A660" t="inlineStr">
        <is>
          <t>A 46377-2025</t>
        </is>
      </c>
      <c r="B660" s="1" t="n">
        <v>45925.51773148148</v>
      </c>
      <c r="C660" s="1" t="n">
        <v>45994</v>
      </c>
      <c r="D660" t="inlineStr">
        <is>
          <t>ÖSTERGÖTLANDS LÄN</t>
        </is>
      </c>
      <c r="E660" t="inlineStr">
        <is>
          <t>LINKÖPING</t>
        </is>
      </c>
      <c r="G660" t="n">
        <v>3.1</v>
      </c>
      <c r="H660" t="n">
        <v>0</v>
      </c>
      <c r="I660" t="n">
        <v>0</v>
      </c>
      <c r="J660" t="n">
        <v>0</v>
      </c>
      <c r="K660" t="n">
        <v>0</v>
      </c>
      <c r="L660" t="n">
        <v>0</v>
      </c>
      <c r="M660" t="n">
        <v>0</v>
      </c>
      <c r="N660" t="n">
        <v>0</v>
      </c>
      <c r="O660" t="n">
        <v>0</v>
      </c>
      <c r="P660" t="n">
        <v>0</v>
      </c>
      <c r="Q660" t="n">
        <v>0</v>
      </c>
      <c r="R660" s="2" t="inlineStr"/>
    </row>
    <row r="661" ht="15" customHeight="1">
      <c r="A661" t="inlineStr">
        <is>
          <t>A 55132-2025</t>
        </is>
      </c>
      <c r="B661" s="1" t="n">
        <v>45968.41912037037</v>
      </c>
      <c r="C661" s="1" t="n">
        <v>45994</v>
      </c>
      <c r="D661" t="inlineStr">
        <is>
          <t>ÖSTERGÖTLANDS LÄN</t>
        </is>
      </c>
      <c r="E661" t="inlineStr">
        <is>
          <t>LINKÖPING</t>
        </is>
      </c>
      <c r="G661" t="n">
        <v>2.4</v>
      </c>
      <c r="H661" t="n">
        <v>0</v>
      </c>
      <c r="I661" t="n">
        <v>0</v>
      </c>
      <c r="J661" t="n">
        <v>0</v>
      </c>
      <c r="K661" t="n">
        <v>0</v>
      </c>
      <c r="L661" t="n">
        <v>0</v>
      </c>
      <c r="M661" t="n">
        <v>0</v>
      </c>
      <c r="N661" t="n">
        <v>0</v>
      </c>
      <c r="O661" t="n">
        <v>0</v>
      </c>
      <c r="P661" t="n">
        <v>0</v>
      </c>
      <c r="Q661" t="n">
        <v>0</v>
      </c>
      <c r="R661" s="2" t="inlineStr"/>
    </row>
    <row r="662" ht="15" customHeight="1">
      <c r="A662" t="inlineStr">
        <is>
          <t>A 32723-2025</t>
        </is>
      </c>
      <c r="B662" s="1" t="n">
        <v>45838</v>
      </c>
      <c r="C662" s="1" t="n">
        <v>45994</v>
      </c>
      <c r="D662" t="inlineStr">
        <is>
          <t>ÖSTERGÖTLANDS LÄN</t>
        </is>
      </c>
      <c r="E662" t="inlineStr">
        <is>
          <t>LINKÖPING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55102-2025</t>
        </is>
      </c>
      <c r="B663" s="1" t="n">
        <v>45968.35410879629</v>
      </c>
      <c r="C663" s="1" t="n">
        <v>45994</v>
      </c>
      <c r="D663" t="inlineStr">
        <is>
          <t>ÖSTERGÖTLANDS LÄN</t>
        </is>
      </c>
      <c r="E663" t="inlineStr">
        <is>
          <t>LINKÖPING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55109-2025</t>
        </is>
      </c>
      <c r="B664" s="1" t="n">
        <v>45968.37731481482</v>
      </c>
      <c r="C664" s="1" t="n">
        <v>45994</v>
      </c>
      <c r="D664" t="inlineStr">
        <is>
          <t>ÖSTERGÖTLANDS LÄN</t>
        </is>
      </c>
      <c r="E664" t="inlineStr">
        <is>
          <t>LINKÖPING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55165-2025</t>
        </is>
      </c>
      <c r="B665" s="1" t="n">
        <v>45968.48194444444</v>
      </c>
      <c r="C665" s="1" t="n">
        <v>45994</v>
      </c>
      <c r="D665" t="inlineStr">
        <is>
          <t>ÖSTERGÖTLANDS LÄN</t>
        </is>
      </c>
      <c r="E665" t="inlineStr">
        <is>
          <t>LINKÖPING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46847-2025</t>
        </is>
      </c>
      <c r="B666" s="1" t="n">
        <v>45928.69971064815</v>
      </c>
      <c r="C666" s="1" t="n">
        <v>45994</v>
      </c>
      <c r="D666" t="inlineStr">
        <is>
          <t>ÖSTERGÖTLANDS LÄN</t>
        </is>
      </c>
      <c r="E666" t="inlineStr">
        <is>
          <t>LINKÖPING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56113-2025</t>
        </is>
      </c>
      <c r="B667" s="1" t="n">
        <v>45973.73924768518</v>
      </c>
      <c r="C667" s="1" t="n">
        <v>45994</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33947-2025</t>
        </is>
      </c>
      <c r="B668" s="1" t="n">
        <v>45842.65444444444</v>
      </c>
      <c r="C668" s="1" t="n">
        <v>45994</v>
      </c>
      <c r="D668" t="inlineStr">
        <is>
          <t>ÖSTERGÖTLANDS LÄN</t>
        </is>
      </c>
      <c r="E668" t="inlineStr">
        <is>
          <t>LINKÖPING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53529-2024</t>
        </is>
      </c>
      <c r="B669" s="1" t="n">
        <v>45614</v>
      </c>
      <c r="C669" s="1" t="n">
        <v>45994</v>
      </c>
      <c r="D669" t="inlineStr">
        <is>
          <t>ÖSTERGÖTLANDS LÄN</t>
        </is>
      </c>
      <c r="E669" t="inlineStr">
        <is>
          <t>LINKÖPING</t>
        </is>
      </c>
      <c r="G669" t="n">
        <v>6.7</v>
      </c>
      <c r="H669" t="n">
        <v>0</v>
      </c>
      <c r="I669" t="n">
        <v>0</v>
      </c>
      <c r="J669" t="n">
        <v>0</v>
      </c>
      <c r="K669" t="n">
        <v>0</v>
      </c>
      <c r="L669" t="n">
        <v>0</v>
      </c>
      <c r="M669" t="n">
        <v>0</v>
      </c>
      <c r="N669" t="n">
        <v>0</v>
      </c>
      <c r="O669" t="n">
        <v>0</v>
      </c>
      <c r="P669" t="n">
        <v>0</v>
      </c>
      <c r="Q669" t="n">
        <v>0</v>
      </c>
      <c r="R669" s="2" t="inlineStr"/>
    </row>
    <row r="670" ht="15" customHeight="1">
      <c r="A670" t="inlineStr">
        <is>
          <t>A 62012-2024</t>
        </is>
      </c>
      <c r="B670" s="1" t="n">
        <v>45655.79679398148</v>
      </c>
      <c r="C670" s="1" t="n">
        <v>45994</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47233-2025</t>
        </is>
      </c>
      <c r="B671" s="1" t="n">
        <v>45930.40612268518</v>
      </c>
      <c r="C671" s="1" t="n">
        <v>45994</v>
      </c>
      <c r="D671" t="inlineStr">
        <is>
          <t>ÖSTERGÖTLANDS LÄN</t>
        </is>
      </c>
      <c r="E671" t="inlineStr">
        <is>
          <t>LINKÖPING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47606-2025</t>
        </is>
      </c>
      <c r="B672" s="1" t="n">
        <v>45931.46402777778</v>
      </c>
      <c r="C672" s="1" t="n">
        <v>45994</v>
      </c>
      <c r="D672" t="inlineStr">
        <is>
          <t>ÖSTERGÖTLANDS LÄN</t>
        </is>
      </c>
      <c r="E672" t="inlineStr">
        <is>
          <t>LINKÖPING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55683-2025</t>
        </is>
      </c>
      <c r="B673" s="1" t="n">
        <v>45972.4255324074</v>
      </c>
      <c r="C673" s="1" t="n">
        <v>45994</v>
      </c>
      <c r="D673" t="inlineStr">
        <is>
          <t>ÖSTERGÖTLANDS LÄN</t>
        </is>
      </c>
      <c r="E673" t="inlineStr">
        <is>
          <t>LINKÖPING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47304-2025</t>
        </is>
      </c>
      <c r="B674" s="1" t="n">
        <v>45930.52037037037</v>
      </c>
      <c r="C674" s="1" t="n">
        <v>45994</v>
      </c>
      <c r="D674" t="inlineStr">
        <is>
          <t>ÖSTERGÖTLANDS LÄN</t>
        </is>
      </c>
      <c r="E674" t="inlineStr">
        <is>
          <t>LINKÖPING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20469-2025</t>
        </is>
      </c>
      <c r="B675" s="1" t="n">
        <v>45775</v>
      </c>
      <c r="C675" s="1" t="n">
        <v>45994</v>
      </c>
      <c r="D675" t="inlineStr">
        <is>
          <t>ÖSTERGÖTLANDS LÄN</t>
        </is>
      </c>
      <c r="E675" t="inlineStr">
        <is>
          <t>LINKÖPING</t>
        </is>
      </c>
      <c r="F675" t="inlineStr">
        <is>
          <t>Kyrkan</t>
        </is>
      </c>
      <c r="G675" t="n">
        <v>6.1</v>
      </c>
      <c r="H675" t="n">
        <v>0</v>
      </c>
      <c r="I675" t="n">
        <v>0</v>
      </c>
      <c r="J675" t="n">
        <v>0</v>
      </c>
      <c r="K675" t="n">
        <v>0</v>
      </c>
      <c r="L675" t="n">
        <v>0</v>
      </c>
      <c r="M675" t="n">
        <v>0</v>
      </c>
      <c r="N675" t="n">
        <v>0</v>
      </c>
      <c r="O675" t="n">
        <v>0</v>
      </c>
      <c r="P675" t="n">
        <v>0</v>
      </c>
      <c r="Q675" t="n">
        <v>0</v>
      </c>
      <c r="R675" s="2" t="inlineStr"/>
    </row>
    <row r="676" ht="15" customHeight="1">
      <c r="A676" t="inlineStr">
        <is>
          <t>A 56105-2025</t>
        </is>
      </c>
      <c r="B676" s="1" t="n">
        <v>45973.72855324074</v>
      </c>
      <c r="C676" s="1" t="n">
        <v>45994</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33800-2023</t>
        </is>
      </c>
      <c r="B677" s="1" t="n">
        <v>45121</v>
      </c>
      <c r="C677" s="1" t="n">
        <v>45994</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26007-2025</t>
        </is>
      </c>
      <c r="B678" s="1" t="n">
        <v>45804.67081018518</v>
      </c>
      <c r="C678" s="1" t="n">
        <v>45994</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35174-2025</t>
        </is>
      </c>
      <c r="B679" s="1" t="n">
        <v>45852.90648148148</v>
      </c>
      <c r="C679" s="1" t="n">
        <v>45994</v>
      </c>
      <c r="D679" t="inlineStr">
        <is>
          <t>ÖSTERGÖTLANDS LÄN</t>
        </is>
      </c>
      <c r="E679" t="inlineStr">
        <is>
          <t>LINKÖPING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47991-2023</t>
        </is>
      </c>
      <c r="B680" s="1" t="n">
        <v>45204.62655092592</v>
      </c>
      <c r="C680" s="1" t="n">
        <v>45994</v>
      </c>
      <c r="D680" t="inlineStr">
        <is>
          <t>ÖSTERGÖTLANDS LÄN</t>
        </is>
      </c>
      <c r="E680" t="inlineStr">
        <is>
          <t>LINKÖPING</t>
        </is>
      </c>
      <c r="F680" t="inlineStr">
        <is>
          <t>Allmännings- och besparingsskogar</t>
        </is>
      </c>
      <c r="G680" t="n">
        <v>7.3</v>
      </c>
      <c r="H680" t="n">
        <v>0</v>
      </c>
      <c r="I680" t="n">
        <v>0</v>
      </c>
      <c r="J680" t="n">
        <v>0</v>
      </c>
      <c r="K680" t="n">
        <v>0</v>
      </c>
      <c r="L680" t="n">
        <v>0</v>
      </c>
      <c r="M680" t="n">
        <v>0</v>
      </c>
      <c r="N680" t="n">
        <v>0</v>
      </c>
      <c r="O680" t="n">
        <v>0</v>
      </c>
      <c r="P680" t="n">
        <v>0</v>
      </c>
      <c r="Q680" t="n">
        <v>0</v>
      </c>
      <c r="R680" s="2" t="inlineStr"/>
    </row>
    <row r="681" ht="15" customHeight="1">
      <c r="A681" t="inlineStr">
        <is>
          <t>A 35179-2025</t>
        </is>
      </c>
      <c r="B681" s="1" t="n">
        <v>45852.93737268518</v>
      </c>
      <c r="C681" s="1" t="n">
        <v>45994</v>
      </c>
      <c r="D681" t="inlineStr">
        <is>
          <t>ÖSTERGÖTLANDS LÄN</t>
        </is>
      </c>
      <c r="E681" t="inlineStr">
        <is>
          <t>LINKÖPING</t>
        </is>
      </c>
      <c r="G681" t="n">
        <v>2.2</v>
      </c>
      <c r="H681" t="n">
        <v>0</v>
      </c>
      <c r="I681" t="n">
        <v>0</v>
      </c>
      <c r="J681" t="n">
        <v>0</v>
      </c>
      <c r="K681" t="n">
        <v>0</v>
      </c>
      <c r="L681" t="n">
        <v>0</v>
      </c>
      <c r="M681" t="n">
        <v>0</v>
      </c>
      <c r="N681" t="n">
        <v>0</v>
      </c>
      <c r="O681" t="n">
        <v>0</v>
      </c>
      <c r="P681" t="n">
        <v>0</v>
      </c>
      <c r="Q681" t="n">
        <v>0</v>
      </c>
      <c r="R681" s="2" t="inlineStr"/>
    </row>
    <row r="682" ht="15" customHeight="1">
      <c r="A682" t="inlineStr">
        <is>
          <t>A 35180-2025</t>
        </is>
      </c>
      <c r="B682" s="1" t="n">
        <v>45852.9413425926</v>
      </c>
      <c r="C682" s="1" t="n">
        <v>45994</v>
      </c>
      <c r="D682" t="inlineStr">
        <is>
          <t>ÖSTERGÖTLANDS LÄN</t>
        </is>
      </c>
      <c r="E682" t="inlineStr">
        <is>
          <t>LINKÖPING</t>
        </is>
      </c>
      <c r="G682" t="n">
        <v>1.9</v>
      </c>
      <c r="H682" t="n">
        <v>0</v>
      </c>
      <c r="I682" t="n">
        <v>0</v>
      </c>
      <c r="J682" t="n">
        <v>0</v>
      </c>
      <c r="K682" t="n">
        <v>0</v>
      </c>
      <c r="L682" t="n">
        <v>0</v>
      </c>
      <c r="M682" t="n">
        <v>0</v>
      </c>
      <c r="N682" t="n">
        <v>0</v>
      </c>
      <c r="O682" t="n">
        <v>0</v>
      </c>
      <c r="P682" t="n">
        <v>0</v>
      </c>
      <c r="Q682" t="n">
        <v>0</v>
      </c>
      <c r="R682" s="2" t="inlineStr"/>
    </row>
    <row r="683" ht="15" customHeight="1">
      <c r="A683" t="inlineStr">
        <is>
          <t>A 35178-2025</t>
        </is>
      </c>
      <c r="B683" s="1" t="n">
        <v>45852.91939814815</v>
      </c>
      <c r="C683" s="1" t="n">
        <v>45994</v>
      </c>
      <c r="D683" t="inlineStr">
        <is>
          <t>ÖSTERGÖTLANDS LÄN</t>
        </is>
      </c>
      <c r="E683" t="inlineStr">
        <is>
          <t>LINKÖPING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54332-2025</t>
        </is>
      </c>
      <c r="B684" s="1" t="n">
        <v>45965.34915509259</v>
      </c>
      <c r="C684" s="1" t="n">
        <v>45994</v>
      </c>
      <c r="D684" t="inlineStr">
        <is>
          <t>ÖSTERGÖTLANDS LÄN</t>
        </is>
      </c>
      <c r="E684" t="inlineStr">
        <is>
          <t>LINKÖPING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48343-2025</t>
        </is>
      </c>
      <c r="B685" s="1" t="n">
        <v>45932</v>
      </c>
      <c r="C685" s="1" t="n">
        <v>45994</v>
      </c>
      <c r="D685" t="inlineStr">
        <is>
          <t>ÖSTERGÖTLANDS LÄN</t>
        </is>
      </c>
      <c r="E685" t="inlineStr">
        <is>
          <t>LINKÖPING</t>
        </is>
      </c>
      <c r="F685" t="inlineStr">
        <is>
          <t>Övriga Aktiebolag</t>
        </is>
      </c>
      <c r="G685" t="n">
        <v>2</v>
      </c>
      <c r="H685" t="n">
        <v>0</v>
      </c>
      <c r="I685" t="n">
        <v>0</v>
      </c>
      <c r="J685" t="n">
        <v>0</v>
      </c>
      <c r="K685" t="n">
        <v>0</v>
      </c>
      <c r="L685" t="n">
        <v>0</v>
      </c>
      <c r="M685" t="n">
        <v>0</v>
      </c>
      <c r="N685" t="n">
        <v>0</v>
      </c>
      <c r="O685" t="n">
        <v>0</v>
      </c>
      <c r="P685" t="n">
        <v>0</v>
      </c>
      <c r="Q685" t="n">
        <v>0</v>
      </c>
      <c r="R685" s="2" t="inlineStr"/>
    </row>
    <row r="686" ht="15" customHeight="1">
      <c r="A686" t="inlineStr">
        <is>
          <t>A 48266-2025</t>
        </is>
      </c>
      <c r="B686" s="1" t="n">
        <v>45932</v>
      </c>
      <c r="C686" s="1" t="n">
        <v>45994</v>
      </c>
      <c r="D686" t="inlineStr">
        <is>
          <t>ÖSTERGÖTLANDS LÄN</t>
        </is>
      </c>
      <c r="E686" t="inlineStr">
        <is>
          <t>LINKÖPING</t>
        </is>
      </c>
      <c r="F686" t="inlineStr">
        <is>
          <t>Övriga Aktiebolag</t>
        </is>
      </c>
      <c r="G686" t="n">
        <v>0.5</v>
      </c>
      <c r="H686" t="n">
        <v>0</v>
      </c>
      <c r="I686" t="n">
        <v>0</v>
      </c>
      <c r="J686" t="n">
        <v>0</v>
      </c>
      <c r="K686" t="n">
        <v>0</v>
      </c>
      <c r="L686" t="n">
        <v>0</v>
      </c>
      <c r="M686" t="n">
        <v>0</v>
      </c>
      <c r="N686" t="n">
        <v>0</v>
      </c>
      <c r="O686" t="n">
        <v>0</v>
      </c>
      <c r="P686" t="n">
        <v>0</v>
      </c>
      <c r="Q686" t="n">
        <v>0</v>
      </c>
      <c r="R686" s="2" t="inlineStr"/>
    </row>
    <row r="687" ht="15" customHeight="1">
      <c r="A687" t="inlineStr">
        <is>
          <t>A 35757-2025</t>
        </is>
      </c>
      <c r="B687" s="1" t="n">
        <v>45860.59876157407</v>
      </c>
      <c r="C687" s="1" t="n">
        <v>45994</v>
      </c>
      <c r="D687" t="inlineStr">
        <is>
          <t>ÖSTERGÖTLANDS LÄN</t>
        </is>
      </c>
      <c r="E687" t="inlineStr">
        <is>
          <t>LINKÖPING</t>
        </is>
      </c>
      <c r="G687" t="n">
        <v>5.7</v>
      </c>
      <c r="H687" t="n">
        <v>0</v>
      </c>
      <c r="I687" t="n">
        <v>0</v>
      </c>
      <c r="J687" t="n">
        <v>0</v>
      </c>
      <c r="K687" t="n">
        <v>0</v>
      </c>
      <c r="L687" t="n">
        <v>0</v>
      </c>
      <c r="M687" t="n">
        <v>0</v>
      </c>
      <c r="N687" t="n">
        <v>0</v>
      </c>
      <c r="O687" t="n">
        <v>0</v>
      </c>
      <c r="P687" t="n">
        <v>0</v>
      </c>
      <c r="Q687" t="n">
        <v>0</v>
      </c>
      <c r="R687" s="2" t="inlineStr"/>
    </row>
    <row r="688" ht="15" customHeight="1">
      <c r="A688" t="inlineStr">
        <is>
          <t>A 35745-2025</t>
        </is>
      </c>
      <c r="B688" s="1" t="n">
        <v>45860.54739583333</v>
      </c>
      <c r="C688" s="1" t="n">
        <v>45994</v>
      </c>
      <c r="D688" t="inlineStr">
        <is>
          <t>ÖSTERGÖTLANDS LÄN</t>
        </is>
      </c>
      <c r="E688" t="inlineStr">
        <is>
          <t>LINKÖPING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35747-2025</t>
        </is>
      </c>
      <c r="B689" s="1" t="n">
        <v>45860.56385416666</v>
      </c>
      <c r="C689" s="1" t="n">
        <v>45994</v>
      </c>
      <c r="D689" t="inlineStr">
        <is>
          <t>ÖSTERGÖTLANDS LÄN</t>
        </is>
      </c>
      <c r="E689" t="inlineStr">
        <is>
          <t>LINKÖPING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54329-2025</t>
        </is>
      </c>
      <c r="B690" s="1" t="n">
        <v>45965.34706018519</v>
      </c>
      <c r="C690" s="1" t="n">
        <v>45994</v>
      </c>
      <c r="D690" t="inlineStr">
        <is>
          <t>ÖSTERGÖTLANDS LÄN</t>
        </is>
      </c>
      <c r="E690" t="inlineStr">
        <is>
          <t>LINKÖPING</t>
        </is>
      </c>
      <c r="F690" t="inlineStr">
        <is>
          <t>Sveaskog</t>
        </is>
      </c>
      <c r="G690" t="n">
        <v>5.1</v>
      </c>
      <c r="H690" t="n">
        <v>0</v>
      </c>
      <c r="I690" t="n">
        <v>0</v>
      </c>
      <c r="J690" t="n">
        <v>0</v>
      </c>
      <c r="K690" t="n">
        <v>0</v>
      </c>
      <c r="L690" t="n">
        <v>0</v>
      </c>
      <c r="M690" t="n">
        <v>0</v>
      </c>
      <c r="N690" t="n">
        <v>0</v>
      </c>
      <c r="O690" t="n">
        <v>0</v>
      </c>
      <c r="P690" t="n">
        <v>0</v>
      </c>
      <c r="Q690" t="n">
        <v>0</v>
      </c>
      <c r="R690" s="2" t="inlineStr"/>
    </row>
    <row r="691" ht="15" customHeight="1">
      <c r="A691" t="inlineStr">
        <is>
          <t>A 35759-2025</t>
        </is>
      </c>
      <c r="B691" s="1" t="n">
        <v>45860</v>
      </c>
      <c r="C691" s="1" t="n">
        <v>45994</v>
      </c>
      <c r="D691" t="inlineStr">
        <is>
          <t>ÖSTERGÖTLANDS LÄN</t>
        </is>
      </c>
      <c r="E691" t="inlineStr">
        <is>
          <t>LINKÖPING</t>
        </is>
      </c>
      <c r="G691" t="n">
        <v>1</v>
      </c>
      <c r="H691" t="n">
        <v>0</v>
      </c>
      <c r="I691" t="n">
        <v>0</v>
      </c>
      <c r="J691" t="n">
        <v>0</v>
      </c>
      <c r="K691" t="n">
        <v>0</v>
      </c>
      <c r="L691" t="n">
        <v>0</v>
      </c>
      <c r="M691" t="n">
        <v>0</v>
      </c>
      <c r="N691" t="n">
        <v>0</v>
      </c>
      <c r="O691" t="n">
        <v>0</v>
      </c>
      <c r="P691" t="n">
        <v>0</v>
      </c>
      <c r="Q691" t="n">
        <v>0</v>
      </c>
      <c r="R691" s="2" t="inlineStr"/>
    </row>
    <row r="692" ht="15" customHeight="1">
      <c r="A692" t="inlineStr">
        <is>
          <t>A 48254-2025</t>
        </is>
      </c>
      <c r="B692" s="1" t="n">
        <v>45932</v>
      </c>
      <c r="C692" s="1" t="n">
        <v>45994</v>
      </c>
      <c r="D692" t="inlineStr">
        <is>
          <t>ÖSTERGÖTLANDS LÄN</t>
        </is>
      </c>
      <c r="E692" t="inlineStr">
        <is>
          <t>LINKÖPING</t>
        </is>
      </c>
      <c r="F692" t="inlineStr">
        <is>
          <t>Övriga Aktiebolag</t>
        </is>
      </c>
      <c r="G692" t="n">
        <v>0.8</v>
      </c>
      <c r="H692" t="n">
        <v>0</v>
      </c>
      <c r="I692" t="n">
        <v>0</v>
      </c>
      <c r="J692" t="n">
        <v>0</v>
      </c>
      <c r="K692" t="n">
        <v>0</v>
      </c>
      <c r="L692" t="n">
        <v>0</v>
      </c>
      <c r="M692" t="n">
        <v>0</v>
      </c>
      <c r="N692" t="n">
        <v>0</v>
      </c>
      <c r="O692" t="n">
        <v>0</v>
      </c>
      <c r="P692" t="n">
        <v>0</v>
      </c>
      <c r="Q692" t="n">
        <v>0</v>
      </c>
      <c r="R692" s="2" t="inlineStr"/>
    </row>
    <row r="693" ht="15" customHeight="1">
      <c r="A693" t="inlineStr">
        <is>
          <t>A 56403-2025</t>
        </is>
      </c>
      <c r="B693" s="1" t="n">
        <v>45974</v>
      </c>
      <c r="C693" s="1" t="n">
        <v>45994</v>
      </c>
      <c r="D693" t="inlineStr">
        <is>
          <t>ÖSTERGÖTLANDS LÄN</t>
        </is>
      </c>
      <c r="E693" t="inlineStr">
        <is>
          <t>LINKÖPING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56704-2025</t>
        </is>
      </c>
      <c r="B694" s="1" t="n">
        <v>45977.50608796296</v>
      </c>
      <c r="C694" s="1" t="n">
        <v>45994</v>
      </c>
      <c r="D694" t="inlineStr">
        <is>
          <t>ÖSTERGÖTLANDS LÄN</t>
        </is>
      </c>
      <c r="E694" t="inlineStr">
        <is>
          <t>LINKÖPING</t>
        </is>
      </c>
      <c r="F694" t="inlineStr">
        <is>
          <t>Övriga Aktiebolag</t>
        </is>
      </c>
      <c r="G694" t="n">
        <v>0.6</v>
      </c>
      <c r="H694" t="n">
        <v>0</v>
      </c>
      <c r="I694" t="n">
        <v>0</v>
      </c>
      <c r="J694" t="n">
        <v>0</v>
      </c>
      <c r="K694" t="n">
        <v>0</v>
      </c>
      <c r="L694" t="n">
        <v>0</v>
      </c>
      <c r="M694" t="n">
        <v>0</v>
      </c>
      <c r="N694" t="n">
        <v>0</v>
      </c>
      <c r="O694" t="n">
        <v>0</v>
      </c>
      <c r="P694" t="n">
        <v>0</v>
      </c>
      <c r="Q694" t="n">
        <v>0</v>
      </c>
      <c r="R694" s="2" t="inlineStr"/>
    </row>
    <row r="695" ht="15" customHeight="1">
      <c r="A695" t="inlineStr">
        <is>
          <t>A 52740-2025</t>
        </is>
      </c>
      <c r="B695" s="1" t="n">
        <v>45957.37747685185</v>
      </c>
      <c r="C695" s="1" t="n">
        <v>45994</v>
      </c>
      <c r="D695" t="inlineStr">
        <is>
          <t>ÖSTERGÖTLANDS LÄN</t>
        </is>
      </c>
      <c r="E695" t="inlineStr">
        <is>
          <t>LINKÖPING</t>
        </is>
      </c>
      <c r="G695" t="n">
        <v>3.7</v>
      </c>
      <c r="H695" t="n">
        <v>0</v>
      </c>
      <c r="I695" t="n">
        <v>0</v>
      </c>
      <c r="J695" t="n">
        <v>0</v>
      </c>
      <c r="K695" t="n">
        <v>0</v>
      </c>
      <c r="L695" t="n">
        <v>0</v>
      </c>
      <c r="M695" t="n">
        <v>0</v>
      </c>
      <c r="N695" t="n">
        <v>0</v>
      </c>
      <c r="O695" t="n">
        <v>0</v>
      </c>
      <c r="P695" t="n">
        <v>0</v>
      </c>
      <c r="Q695" t="n">
        <v>0</v>
      </c>
      <c r="R695" s="2" t="inlineStr"/>
    </row>
    <row r="696" ht="15" customHeight="1">
      <c r="A696" t="inlineStr">
        <is>
          <t>A 49455-2025</t>
        </is>
      </c>
      <c r="B696" s="1" t="n">
        <v>45938</v>
      </c>
      <c r="C696" s="1" t="n">
        <v>45994</v>
      </c>
      <c r="D696" t="inlineStr">
        <is>
          <t>ÖSTERGÖTLANDS LÄN</t>
        </is>
      </c>
      <c r="E696" t="inlineStr">
        <is>
          <t>LINKÖPING</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37057-2025</t>
        </is>
      </c>
      <c r="B697" s="1" t="n">
        <v>45875.37489583333</v>
      </c>
      <c r="C697" s="1" t="n">
        <v>45994</v>
      </c>
      <c r="D697" t="inlineStr">
        <is>
          <t>ÖSTERGÖTLANDS LÄN</t>
        </is>
      </c>
      <c r="E697" t="inlineStr">
        <is>
          <t>LINKÖPING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49605-2025</t>
        </is>
      </c>
      <c r="B698" s="1" t="n">
        <v>45938</v>
      </c>
      <c r="C698" s="1" t="n">
        <v>45994</v>
      </c>
      <c r="D698" t="inlineStr">
        <is>
          <t>ÖSTERGÖTLANDS LÄN</t>
        </is>
      </c>
      <c r="E698" t="inlineStr">
        <is>
          <t>LINKÖPING</t>
        </is>
      </c>
      <c r="F698" t="inlineStr">
        <is>
          <t>Övriga Aktiebolag</t>
        </is>
      </c>
      <c r="G698" t="n">
        <v>3.3</v>
      </c>
      <c r="H698" t="n">
        <v>0</v>
      </c>
      <c r="I698" t="n">
        <v>0</v>
      </c>
      <c r="J698" t="n">
        <v>0</v>
      </c>
      <c r="K698" t="n">
        <v>0</v>
      </c>
      <c r="L698" t="n">
        <v>0</v>
      </c>
      <c r="M698" t="n">
        <v>0</v>
      </c>
      <c r="N698" t="n">
        <v>0</v>
      </c>
      <c r="O698" t="n">
        <v>0</v>
      </c>
      <c r="P698" t="n">
        <v>0</v>
      </c>
      <c r="Q698" t="n">
        <v>0</v>
      </c>
      <c r="R698" s="2" t="inlineStr"/>
    </row>
    <row r="699" ht="15" customHeight="1">
      <c r="A699" t="inlineStr">
        <is>
          <t>A 49663-2025</t>
        </is>
      </c>
      <c r="B699" s="1" t="n">
        <v>45938</v>
      </c>
      <c r="C699" s="1" t="n">
        <v>45994</v>
      </c>
      <c r="D699" t="inlineStr">
        <is>
          <t>ÖSTERGÖTLANDS LÄN</t>
        </is>
      </c>
      <c r="E699" t="inlineStr">
        <is>
          <t>LINKÖPING</t>
        </is>
      </c>
      <c r="F699" t="inlineStr">
        <is>
          <t>Övriga Aktiebolag</t>
        </is>
      </c>
      <c r="G699" t="n">
        <v>1.2</v>
      </c>
      <c r="H699" t="n">
        <v>0</v>
      </c>
      <c r="I699" t="n">
        <v>0</v>
      </c>
      <c r="J699" t="n">
        <v>0</v>
      </c>
      <c r="K699" t="n">
        <v>0</v>
      </c>
      <c r="L699" t="n">
        <v>0</v>
      </c>
      <c r="M699" t="n">
        <v>0</v>
      </c>
      <c r="N699" t="n">
        <v>0</v>
      </c>
      <c r="O699" t="n">
        <v>0</v>
      </c>
      <c r="P699" t="n">
        <v>0</v>
      </c>
      <c r="Q699" t="n">
        <v>0</v>
      </c>
      <c r="R699" s="2" t="inlineStr"/>
    </row>
    <row r="700" ht="15" customHeight="1">
      <c r="A700" t="inlineStr">
        <is>
          <t>A 49632-2025</t>
        </is>
      </c>
      <c r="B700" s="1" t="n">
        <v>45938</v>
      </c>
      <c r="C700" s="1" t="n">
        <v>45994</v>
      </c>
      <c r="D700" t="inlineStr">
        <is>
          <t>ÖSTERGÖTLANDS LÄN</t>
        </is>
      </c>
      <c r="E700" t="inlineStr">
        <is>
          <t>LINKÖPING</t>
        </is>
      </c>
      <c r="F700" t="inlineStr">
        <is>
          <t>Övriga Aktiebolag</t>
        </is>
      </c>
      <c r="G700" t="n">
        <v>1.6</v>
      </c>
      <c r="H700" t="n">
        <v>0</v>
      </c>
      <c r="I700" t="n">
        <v>0</v>
      </c>
      <c r="J700" t="n">
        <v>0</v>
      </c>
      <c r="K700" t="n">
        <v>0</v>
      </c>
      <c r="L700" t="n">
        <v>0</v>
      </c>
      <c r="M700" t="n">
        <v>0</v>
      </c>
      <c r="N700" t="n">
        <v>0</v>
      </c>
      <c r="O700" t="n">
        <v>0</v>
      </c>
      <c r="P700" t="n">
        <v>0</v>
      </c>
      <c r="Q700" t="n">
        <v>0</v>
      </c>
      <c r="R700" s="2" t="inlineStr"/>
    </row>
    <row r="701" ht="15" customHeight="1">
      <c r="A701" t="inlineStr">
        <is>
          <t>A 49647-2025</t>
        </is>
      </c>
      <c r="B701" s="1" t="n">
        <v>45938</v>
      </c>
      <c r="C701" s="1" t="n">
        <v>45994</v>
      </c>
      <c r="D701" t="inlineStr">
        <is>
          <t>ÖSTERGÖTLANDS LÄN</t>
        </is>
      </c>
      <c r="E701" t="inlineStr">
        <is>
          <t>LINKÖPING</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49652-2025</t>
        </is>
      </c>
      <c r="B702" s="1" t="n">
        <v>45938</v>
      </c>
      <c r="C702" s="1" t="n">
        <v>45994</v>
      </c>
      <c r="D702" t="inlineStr">
        <is>
          <t>ÖSTERGÖTLANDS LÄN</t>
        </is>
      </c>
      <c r="E702" t="inlineStr">
        <is>
          <t>LINKÖPING</t>
        </is>
      </c>
      <c r="F702" t="inlineStr">
        <is>
          <t>Övriga Aktiebolag</t>
        </is>
      </c>
      <c r="G702" t="n">
        <v>1.8</v>
      </c>
      <c r="H702" t="n">
        <v>0</v>
      </c>
      <c r="I702" t="n">
        <v>0</v>
      </c>
      <c r="J702" t="n">
        <v>0</v>
      </c>
      <c r="K702" t="n">
        <v>0</v>
      </c>
      <c r="L702" t="n">
        <v>0</v>
      </c>
      <c r="M702" t="n">
        <v>0</v>
      </c>
      <c r="N702" t="n">
        <v>0</v>
      </c>
      <c r="O702" t="n">
        <v>0</v>
      </c>
      <c r="P702" t="n">
        <v>0</v>
      </c>
      <c r="Q702" t="n">
        <v>0</v>
      </c>
      <c r="R702" s="2" t="inlineStr"/>
    </row>
    <row r="703" ht="15" customHeight="1">
      <c r="A703" t="inlineStr">
        <is>
          <t>A 49654-2025</t>
        </is>
      </c>
      <c r="B703" s="1" t="n">
        <v>45938</v>
      </c>
      <c r="C703" s="1" t="n">
        <v>45994</v>
      </c>
      <c r="D703" t="inlineStr">
        <is>
          <t>ÖSTERGÖTLANDS LÄN</t>
        </is>
      </c>
      <c r="E703" t="inlineStr">
        <is>
          <t>LINKÖPING</t>
        </is>
      </c>
      <c r="F703" t="inlineStr">
        <is>
          <t>Övriga Aktiebolag</t>
        </is>
      </c>
      <c r="G703" t="n">
        <v>3.1</v>
      </c>
      <c r="H703" t="n">
        <v>0</v>
      </c>
      <c r="I703" t="n">
        <v>0</v>
      </c>
      <c r="J703" t="n">
        <v>0</v>
      </c>
      <c r="K703" t="n">
        <v>0</v>
      </c>
      <c r="L703" t="n">
        <v>0</v>
      </c>
      <c r="M703" t="n">
        <v>0</v>
      </c>
      <c r="N703" t="n">
        <v>0</v>
      </c>
      <c r="O703" t="n">
        <v>0</v>
      </c>
      <c r="P703" t="n">
        <v>0</v>
      </c>
      <c r="Q703" t="n">
        <v>0</v>
      </c>
      <c r="R703" s="2" t="inlineStr"/>
    </row>
    <row r="704" ht="15" customHeight="1">
      <c r="A704" t="inlineStr">
        <is>
          <t>A 49615-2025</t>
        </is>
      </c>
      <c r="B704" s="1" t="n">
        <v>45938</v>
      </c>
      <c r="C704" s="1" t="n">
        <v>45994</v>
      </c>
      <c r="D704" t="inlineStr">
        <is>
          <t>ÖSTERGÖTLANDS LÄN</t>
        </is>
      </c>
      <c r="E704" t="inlineStr">
        <is>
          <t>LINKÖPING</t>
        </is>
      </c>
      <c r="F704" t="inlineStr">
        <is>
          <t>Övriga Aktiebolag</t>
        </is>
      </c>
      <c r="G704" t="n">
        <v>1.6</v>
      </c>
      <c r="H704" t="n">
        <v>0</v>
      </c>
      <c r="I704" t="n">
        <v>0</v>
      </c>
      <c r="J704" t="n">
        <v>0</v>
      </c>
      <c r="K704" t="n">
        <v>0</v>
      </c>
      <c r="L704" t="n">
        <v>0</v>
      </c>
      <c r="M704" t="n">
        <v>0</v>
      </c>
      <c r="N704" t="n">
        <v>0</v>
      </c>
      <c r="O704" t="n">
        <v>0</v>
      </c>
      <c r="P704" t="n">
        <v>0</v>
      </c>
      <c r="Q704" t="n">
        <v>0</v>
      </c>
      <c r="R704" s="2" t="inlineStr"/>
    </row>
    <row r="705" ht="15" customHeight="1">
      <c r="A705" t="inlineStr">
        <is>
          <t>A 49619-2025</t>
        </is>
      </c>
      <c r="B705" s="1" t="n">
        <v>45938</v>
      </c>
      <c r="C705" s="1" t="n">
        <v>45994</v>
      </c>
      <c r="D705" t="inlineStr">
        <is>
          <t>ÖSTERGÖTLANDS LÄN</t>
        </is>
      </c>
      <c r="E705" t="inlineStr">
        <is>
          <t>LINKÖPING</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49629-2025</t>
        </is>
      </c>
      <c r="B706" s="1" t="n">
        <v>45938</v>
      </c>
      <c r="C706" s="1" t="n">
        <v>45994</v>
      </c>
      <c r="D706" t="inlineStr">
        <is>
          <t>ÖSTERGÖTLANDS LÄN</t>
        </is>
      </c>
      <c r="E706" t="inlineStr">
        <is>
          <t>LINKÖPING</t>
        </is>
      </c>
      <c r="F706" t="inlineStr">
        <is>
          <t>Övriga Aktiebolag</t>
        </is>
      </c>
      <c r="G706" t="n">
        <v>4.5</v>
      </c>
      <c r="H706" t="n">
        <v>0</v>
      </c>
      <c r="I706" t="n">
        <v>0</v>
      </c>
      <c r="J706" t="n">
        <v>0</v>
      </c>
      <c r="K706" t="n">
        <v>0</v>
      </c>
      <c r="L706" t="n">
        <v>0</v>
      </c>
      <c r="M706" t="n">
        <v>0</v>
      </c>
      <c r="N706" t="n">
        <v>0</v>
      </c>
      <c r="O706" t="n">
        <v>0</v>
      </c>
      <c r="P706" t="n">
        <v>0</v>
      </c>
      <c r="Q706" t="n">
        <v>0</v>
      </c>
      <c r="R706" s="2" t="inlineStr"/>
    </row>
    <row r="707" ht="15" customHeight="1">
      <c r="A707" t="inlineStr">
        <is>
          <t>A 49650-2025</t>
        </is>
      </c>
      <c r="B707" s="1" t="n">
        <v>45938</v>
      </c>
      <c r="C707" s="1" t="n">
        <v>45994</v>
      </c>
      <c r="D707" t="inlineStr">
        <is>
          <t>ÖSTERGÖTLANDS LÄN</t>
        </is>
      </c>
      <c r="E707" t="inlineStr">
        <is>
          <t>LINKÖPING</t>
        </is>
      </c>
      <c r="F707" t="inlineStr">
        <is>
          <t>Övriga Aktiebolag</t>
        </is>
      </c>
      <c r="G707" t="n">
        <v>1.5</v>
      </c>
      <c r="H707" t="n">
        <v>0</v>
      </c>
      <c r="I707" t="n">
        <v>0</v>
      </c>
      <c r="J707" t="n">
        <v>0</v>
      </c>
      <c r="K707" t="n">
        <v>0</v>
      </c>
      <c r="L707" t="n">
        <v>0</v>
      </c>
      <c r="M707" t="n">
        <v>0</v>
      </c>
      <c r="N707" t="n">
        <v>0</v>
      </c>
      <c r="O707" t="n">
        <v>0</v>
      </c>
      <c r="P707" t="n">
        <v>0</v>
      </c>
      <c r="Q707" t="n">
        <v>0</v>
      </c>
      <c r="R707" s="2" t="inlineStr"/>
    </row>
    <row r="708" ht="15" customHeight="1">
      <c r="A708" t="inlineStr">
        <is>
          <t>A 49633-2025</t>
        </is>
      </c>
      <c r="B708" s="1" t="n">
        <v>45938</v>
      </c>
      <c r="C708" s="1" t="n">
        <v>45994</v>
      </c>
      <c r="D708" t="inlineStr">
        <is>
          <t>ÖSTERGÖTLANDS LÄN</t>
        </is>
      </c>
      <c r="E708" t="inlineStr">
        <is>
          <t>LINKÖPING</t>
        </is>
      </c>
      <c r="F708" t="inlineStr">
        <is>
          <t>Övriga Aktiebolag</t>
        </is>
      </c>
      <c r="G708" t="n">
        <v>0.7</v>
      </c>
      <c r="H708" t="n">
        <v>0</v>
      </c>
      <c r="I708" t="n">
        <v>0</v>
      </c>
      <c r="J708" t="n">
        <v>0</v>
      </c>
      <c r="K708" t="n">
        <v>0</v>
      </c>
      <c r="L708" t="n">
        <v>0</v>
      </c>
      <c r="M708" t="n">
        <v>0</v>
      </c>
      <c r="N708" t="n">
        <v>0</v>
      </c>
      <c r="O708" t="n">
        <v>0</v>
      </c>
      <c r="P708" t="n">
        <v>0</v>
      </c>
      <c r="Q708" t="n">
        <v>0</v>
      </c>
      <c r="R708" s="2" t="inlineStr"/>
    </row>
    <row r="709" ht="15" customHeight="1">
      <c r="A709" t="inlineStr">
        <is>
          <t>A 52807-2025</t>
        </is>
      </c>
      <c r="B709" s="1" t="n">
        <v>45957.44837962963</v>
      </c>
      <c r="C709" s="1" t="n">
        <v>45994</v>
      </c>
      <c r="D709" t="inlineStr">
        <is>
          <t>ÖSTERGÖTLANDS LÄN</t>
        </is>
      </c>
      <c r="E709" t="inlineStr">
        <is>
          <t>LINKÖPING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25829-2025</t>
        </is>
      </c>
      <c r="B710" s="1" t="n">
        <v>45804.44505787037</v>
      </c>
      <c r="C710" s="1" t="n">
        <v>45994</v>
      </c>
      <c r="D710" t="inlineStr">
        <is>
          <t>ÖSTERGÖTLANDS LÄN</t>
        </is>
      </c>
      <c r="E710" t="inlineStr">
        <is>
          <t>LINKÖPING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38046-2025</t>
        </is>
      </c>
      <c r="B711" s="1" t="n">
        <v>45882.39939814815</v>
      </c>
      <c r="C711" s="1" t="n">
        <v>45994</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40983-2025</t>
        </is>
      </c>
      <c r="B712" s="1" t="n">
        <v>45898</v>
      </c>
      <c r="C712" s="1" t="n">
        <v>45994</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50056-2025</t>
        </is>
      </c>
      <c r="B713" s="1" t="n">
        <v>45941</v>
      </c>
      <c r="C713" s="1" t="n">
        <v>45994</v>
      </c>
      <c r="D713" t="inlineStr">
        <is>
          <t>ÖSTERGÖTLANDS LÄN</t>
        </is>
      </c>
      <c r="E713" t="inlineStr">
        <is>
          <t>LINKÖPING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55004-2025</t>
        </is>
      </c>
      <c r="B714" s="1" t="n">
        <v>45967</v>
      </c>
      <c r="C714" s="1" t="n">
        <v>45994</v>
      </c>
      <c r="D714" t="inlineStr">
        <is>
          <t>ÖSTERGÖTLANDS LÄN</t>
        </is>
      </c>
      <c r="E714" t="inlineStr">
        <is>
          <t>LINKÖPING</t>
        </is>
      </c>
      <c r="G714" t="n">
        <v>2.5</v>
      </c>
      <c r="H714" t="n">
        <v>0</v>
      </c>
      <c r="I714" t="n">
        <v>0</v>
      </c>
      <c r="J714" t="n">
        <v>0</v>
      </c>
      <c r="K714" t="n">
        <v>0</v>
      </c>
      <c r="L714" t="n">
        <v>0</v>
      </c>
      <c r="M714" t="n">
        <v>0</v>
      </c>
      <c r="N714" t="n">
        <v>0</v>
      </c>
      <c r="O714" t="n">
        <v>0</v>
      </c>
      <c r="P714" t="n">
        <v>0</v>
      </c>
      <c r="Q714" t="n">
        <v>0</v>
      </c>
      <c r="R714" s="2" t="inlineStr"/>
    </row>
    <row r="715" ht="15" customHeight="1">
      <c r="A715" t="inlineStr">
        <is>
          <t>A 50667-2025</t>
        </is>
      </c>
      <c r="B715" s="1" t="n">
        <v>45945</v>
      </c>
      <c r="C715" s="1" t="n">
        <v>45994</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58802-2025</t>
        </is>
      </c>
      <c r="B716" s="1" t="n">
        <v>45986.8768287037</v>
      </c>
      <c r="C716" s="1" t="n">
        <v>45994</v>
      </c>
      <c r="D716" t="inlineStr">
        <is>
          <t>ÖSTERGÖTLANDS LÄN</t>
        </is>
      </c>
      <c r="E716" t="inlineStr">
        <is>
          <t>LINKÖPING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59472-2025</t>
        </is>
      </c>
      <c r="B717" s="1" t="n">
        <v>45989.58321759259</v>
      </c>
      <c r="C717" s="1" t="n">
        <v>45994</v>
      </c>
      <c r="D717" t="inlineStr">
        <is>
          <t>ÖSTERGÖTLANDS LÄN</t>
        </is>
      </c>
      <c r="E717" t="inlineStr">
        <is>
          <t>LINKÖPING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59205-2025</t>
        </is>
      </c>
      <c r="B718" s="1" t="n">
        <v>45988.60721064815</v>
      </c>
      <c r="C718" s="1" t="n">
        <v>45994</v>
      </c>
      <c r="D718" t="inlineStr">
        <is>
          <t>ÖSTERGÖTLANDS LÄN</t>
        </is>
      </c>
      <c r="E718" t="inlineStr">
        <is>
          <t>LINKÖPING</t>
        </is>
      </c>
      <c r="F718" t="inlineStr">
        <is>
          <t>Sveaskog</t>
        </is>
      </c>
      <c r="G718" t="n">
        <v>11.3</v>
      </c>
      <c r="H718" t="n">
        <v>0</v>
      </c>
      <c r="I718" t="n">
        <v>0</v>
      </c>
      <c r="J718" t="n">
        <v>0</v>
      </c>
      <c r="K718" t="n">
        <v>0</v>
      </c>
      <c r="L718" t="n">
        <v>0</v>
      </c>
      <c r="M718" t="n">
        <v>0</v>
      </c>
      <c r="N718" t="n">
        <v>0</v>
      </c>
      <c r="O718" t="n">
        <v>0</v>
      </c>
      <c r="P718" t="n">
        <v>0</v>
      </c>
      <c r="Q718" t="n">
        <v>0</v>
      </c>
      <c r="R718" s="2" t="inlineStr"/>
    </row>
    <row r="719" ht="15" customHeight="1">
      <c r="A719" t="inlineStr">
        <is>
          <t>A 51802-2025</t>
        </is>
      </c>
      <c r="B719" s="1" t="n">
        <v>45950</v>
      </c>
      <c r="C719" s="1" t="n">
        <v>45994</v>
      </c>
      <c r="D719" t="inlineStr">
        <is>
          <t>ÖSTERGÖTLANDS LÄN</t>
        </is>
      </c>
      <c r="E719" t="inlineStr">
        <is>
          <t>LINKÖPING</t>
        </is>
      </c>
      <c r="F719" t="inlineStr">
        <is>
          <t>Övriga Aktiebolag</t>
        </is>
      </c>
      <c r="G719" t="n">
        <v>2</v>
      </c>
      <c r="H719" t="n">
        <v>0</v>
      </c>
      <c r="I719" t="n">
        <v>0</v>
      </c>
      <c r="J719" t="n">
        <v>0</v>
      </c>
      <c r="K719" t="n">
        <v>0</v>
      </c>
      <c r="L719" t="n">
        <v>0</v>
      </c>
      <c r="M719" t="n">
        <v>0</v>
      </c>
      <c r="N719" t="n">
        <v>0</v>
      </c>
      <c r="O719" t="n">
        <v>0</v>
      </c>
      <c r="P719" t="n">
        <v>0</v>
      </c>
      <c r="Q719" t="n">
        <v>0</v>
      </c>
      <c r="R719" s="2" t="inlineStr"/>
    </row>
    <row r="720">
      <c r="A720" t="inlineStr">
        <is>
          <t>A 10253-2022</t>
        </is>
      </c>
      <c r="B720" s="1" t="n">
        <v>44622</v>
      </c>
      <c r="C720" s="1" t="n">
        <v>45994</v>
      </c>
      <c r="D720" t="inlineStr">
        <is>
          <t>ÖSTERGÖTLANDS LÄN</t>
        </is>
      </c>
      <c r="E720" t="inlineStr">
        <is>
          <t>LINKÖPING</t>
        </is>
      </c>
      <c r="G720" t="n">
        <v>1.6</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2025-12-03T10:26:16Z</dcterms:created>
  <dcterms:modified xmlns:dcterms="http://purl.org/dc/terms/" xmlns:xsi="http://www.w3.org/2001/XMLSchema-instance" xsi:type="dcterms:W3CDTF">2025-12-03T10:26:17Z</dcterms:modified>
</cp:coreProperties>
</file>