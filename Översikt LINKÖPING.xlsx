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45930</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17502-2022</t>
        </is>
      </c>
      <c r="B13" s="1" t="n">
        <v>44679</v>
      </c>
      <c r="C13" s="1" t="n">
        <v>45930</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15475-2021</t>
        </is>
      </c>
      <c r="B14" s="1" t="n">
        <v>44285</v>
      </c>
      <c r="C14" s="1" t="n">
        <v>45930</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45930</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45930</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45930</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45930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45930</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45930</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45930</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45930</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8818-2025</t>
        </is>
      </c>
      <c r="B23" s="1" t="n">
        <v>45712</v>
      </c>
      <c r="C23" s="1" t="n">
        <v>45930</v>
      </c>
      <c r="D23" t="inlineStr">
        <is>
          <t>ÖSTERGÖTLANDS LÄN</t>
        </is>
      </c>
      <c r="E23" t="inlineStr">
        <is>
          <t>LINKÖPING</t>
        </is>
      </c>
      <c r="F23" t="inlineStr">
        <is>
          <t>Kommuner</t>
        </is>
      </c>
      <c r="G23" t="n">
        <v>0.6</v>
      </c>
      <c r="H23" t="n">
        <v>0</v>
      </c>
      <c r="I23" t="n">
        <v>0</v>
      </c>
      <c r="J23" t="n">
        <v>1</v>
      </c>
      <c r="K23" t="n">
        <v>1</v>
      </c>
      <c r="L23" t="n">
        <v>0</v>
      </c>
      <c r="M23" t="n">
        <v>0</v>
      </c>
      <c r="N23" t="n">
        <v>0</v>
      </c>
      <c r="O23" t="n">
        <v>2</v>
      </c>
      <c r="P23" t="n">
        <v>1</v>
      </c>
      <c r="Q23" t="n">
        <v>2</v>
      </c>
      <c r="R23" s="2" t="inlineStr">
        <is>
          <t>Luddvicker
Klubbsprötad bastardsvärmare</t>
        </is>
      </c>
      <c r="S23">
        <f>HYPERLINK("https://klasma.github.io/Logging_0580/artfynd/A 8818-2025 artfynd.xlsx", "A 8818-2025")</f>
        <v/>
      </c>
      <c r="T23">
        <f>HYPERLINK("https://klasma.github.io/Logging_0580/kartor/A 8818-2025 karta.png", "A 8818-2025")</f>
        <v/>
      </c>
      <c r="V23">
        <f>HYPERLINK("https://klasma.github.io/Logging_0580/klagomål/A 8818-2025 FSC-klagomål.docx", "A 8818-2025")</f>
        <v/>
      </c>
      <c r="W23">
        <f>HYPERLINK("https://klasma.github.io/Logging_0580/klagomålsmail/A 8818-2025 FSC-klagomål mail.docx", "A 8818-2025")</f>
        <v/>
      </c>
      <c r="X23">
        <f>HYPERLINK("https://klasma.github.io/Logging_0580/tillsyn/A 8818-2025 tillsynsbegäran.docx", "A 8818-2025")</f>
        <v/>
      </c>
      <c r="Y23">
        <f>HYPERLINK("https://klasma.github.io/Logging_0580/tillsynsmail/A 8818-2025 tillsynsbegäran mail.docx", "A 8818-2025")</f>
        <v/>
      </c>
    </row>
    <row r="24" ht="15" customHeight="1">
      <c r="A24" t="inlineStr">
        <is>
          <t>A 27981-2022</t>
        </is>
      </c>
      <c r="B24" s="1" t="n">
        <v>44745</v>
      </c>
      <c r="C24" s="1" t="n">
        <v>45930</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14879-2024</t>
        </is>
      </c>
      <c r="B25" s="1" t="n">
        <v>45398</v>
      </c>
      <c r="C25" s="1" t="n">
        <v>45930</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25985-2025</t>
        </is>
      </c>
      <c r="B26" s="1" t="n">
        <v>45804.64479166667</v>
      </c>
      <c r="C26" s="1" t="n">
        <v>45930</v>
      </c>
      <c r="D26" t="inlineStr">
        <is>
          <t>ÖSTERGÖTLANDS LÄN</t>
        </is>
      </c>
      <c r="E26" t="inlineStr">
        <is>
          <t>LINKÖPING</t>
        </is>
      </c>
      <c r="G26" t="n">
        <v>4.5</v>
      </c>
      <c r="H26" t="n">
        <v>2</v>
      </c>
      <c r="I26" t="n">
        <v>0</v>
      </c>
      <c r="J26" t="n">
        <v>1</v>
      </c>
      <c r="K26" t="n">
        <v>0</v>
      </c>
      <c r="L26" t="n">
        <v>0</v>
      </c>
      <c r="M26" t="n">
        <v>0</v>
      </c>
      <c r="N26" t="n">
        <v>0</v>
      </c>
      <c r="O26" t="n">
        <v>1</v>
      </c>
      <c r="P26" t="n">
        <v>0</v>
      </c>
      <c r="Q26" t="n">
        <v>2</v>
      </c>
      <c r="R26" s="2" t="inlineStr">
        <is>
          <t>Spillkråka
Revlummer</t>
        </is>
      </c>
      <c r="S26">
        <f>HYPERLINK("https://klasma.github.io/Logging_0580/artfynd/A 25985-2025 artfynd.xlsx", "A 25985-2025")</f>
        <v/>
      </c>
      <c r="T26">
        <f>HYPERLINK("https://klasma.github.io/Logging_0580/kartor/A 25985-2025 karta.png", "A 25985-2025")</f>
        <v/>
      </c>
      <c r="V26">
        <f>HYPERLINK("https://klasma.github.io/Logging_0580/klagomål/A 25985-2025 FSC-klagomål.docx", "A 25985-2025")</f>
        <v/>
      </c>
      <c r="W26">
        <f>HYPERLINK("https://klasma.github.io/Logging_0580/klagomålsmail/A 25985-2025 FSC-klagomål mail.docx", "A 25985-2025")</f>
        <v/>
      </c>
      <c r="X26">
        <f>HYPERLINK("https://klasma.github.io/Logging_0580/tillsyn/A 25985-2025 tillsynsbegäran.docx", "A 25985-2025")</f>
        <v/>
      </c>
      <c r="Y26">
        <f>HYPERLINK("https://klasma.github.io/Logging_0580/tillsynsmail/A 25985-2025 tillsynsbegäran mail.docx", "A 25985-2025")</f>
        <v/>
      </c>
      <c r="Z26">
        <f>HYPERLINK("https://klasma.github.io/Logging_0580/fåglar/A 25985-2025 prioriterade fågelarter.docx", "A 25985-2025")</f>
        <v/>
      </c>
    </row>
    <row r="27" ht="15" customHeight="1">
      <c r="A27" t="inlineStr">
        <is>
          <t>A 58068-2021</t>
        </is>
      </c>
      <c r="B27" s="1" t="n">
        <v>44487</v>
      </c>
      <c r="C27" s="1" t="n">
        <v>45930</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55344-2024</t>
        </is>
      </c>
      <c r="B28" s="1" t="n">
        <v>45621.7202662037</v>
      </c>
      <c r="C28" s="1" t="n">
        <v>45930</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45930</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58068-2021</t>
        </is>
      </c>
      <c r="B30" s="1" t="n">
        <v>44487</v>
      </c>
      <c r="C30" s="1" t="n">
        <v>45930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45930</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50404-2023</t>
        </is>
      </c>
      <c r="B32" s="1" t="n">
        <v>45216</v>
      </c>
      <c r="C32" s="1" t="n">
        <v>45930</v>
      </c>
      <c r="D32" t="inlineStr">
        <is>
          <t>ÖSTERGÖTLANDS LÄN</t>
        </is>
      </c>
      <c r="E32" t="inlineStr">
        <is>
          <t>LINKÖPING</t>
        </is>
      </c>
      <c r="G32" t="n">
        <v>1.2</v>
      </c>
      <c r="H32" t="n">
        <v>1</v>
      </c>
      <c r="I32" t="n">
        <v>1</v>
      </c>
      <c r="J32" t="n">
        <v>0</v>
      </c>
      <c r="K32" t="n">
        <v>0</v>
      </c>
      <c r="L32" t="n">
        <v>0</v>
      </c>
      <c r="M32" t="n">
        <v>0</v>
      </c>
      <c r="N32" t="n">
        <v>0</v>
      </c>
      <c r="O32" t="n">
        <v>0</v>
      </c>
      <c r="P32" t="n">
        <v>0</v>
      </c>
      <c r="Q32" t="n">
        <v>2</v>
      </c>
      <c r="R32" s="2" t="inlineStr">
        <is>
          <t>Hasselticka
Gullviva</t>
        </is>
      </c>
      <c r="S32">
        <f>HYPERLINK("https://klasma.github.io/Logging_0580/artfynd/A 50404-2023 artfynd.xlsx", "A 50404-2023")</f>
        <v/>
      </c>
      <c r="T32">
        <f>HYPERLINK("https://klasma.github.io/Logging_0580/kartor/A 50404-2023 karta.png", "A 50404-2023")</f>
        <v/>
      </c>
      <c r="V32">
        <f>HYPERLINK("https://klasma.github.io/Logging_0580/klagomål/A 50404-2023 FSC-klagomål.docx", "A 50404-2023")</f>
        <v/>
      </c>
      <c r="W32">
        <f>HYPERLINK("https://klasma.github.io/Logging_0580/klagomålsmail/A 50404-2023 FSC-klagomål mail.docx", "A 50404-2023")</f>
        <v/>
      </c>
      <c r="X32">
        <f>HYPERLINK("https://klasma.github.io/Logging_0580/tillsyn/A 50404-2023 tillsynsbegäran.docx", "A 50404-2023")</f>
        <v/>
      </c>
      <c r="Y32">
        <f>HYPERLINK("https://klasma.github.io/Logging_0580/tillsynsmail/A 50404-2023 tillsynsbegäran mail.docx", "A 50404-2023")</f>
        <v/>
      </c>
    </row>
    <row r="33" ht="15" customHeight="1">
      <c r="A33" t="inlineStr">
        <is>
          <t>A 21326-2025</t>
        </is>
      </c>
      <c r="B33" s="1" t="n">
        <v>45782.35407407407</v>
      </c>
      <c r="C33" s="1" t="n">
        <v>45930</v>
      </c>
      <c r="D33" t="inlineStr">
        <is>
          <t>ÖSTERGÖTLANDS LÄN</t>
        </is>
      </c>
      <c r="E33" t="inlineStr">
        <is>
          <t>LINKÖPING</t>
        </is>
      </c>
      <c r="G33" t="n">
        <v>4.9</v>
      </c>
      <c r="H33" t="n">
        <v>2</v>
      </c>
      <c r="I33" t="n">
        <v>0</v>
      </c>
      <c r="J33" t="n">
        <v>0</v>
      </c>
      <c r="K33" t="n">
        <v>0</v>
      </c>
      <c r="L33" t="n">
        <v>0</v>
      </c>
      <c r="M33" t="n">
        <v>0</v>
      </c>
      <c r="N33" t="n">
        <v>0</v>
      </c>
      <c r="O33" t="n">
        <v>0</v>
      </c>
      <c r="P33" t="n">
        <v>0</v>
      </c>
      <c r="Q33" t="n">
        <v>2</v>
      </c>
      <c r="R33" s="2" t="inlineStr">
        <is>
          <t>Blåsippa
Revlummer</t>
        </is>
      </c>
      <c r="S33">
        <f>HYPERLINK("https://klasma.github.io/Logging_0580/artfynd/A 21326-2025 artfynd.xlsx", "A 21326-2025")</f>
        <v/>
      </c>
      <c r="T33">
        <f>HYPERLINK("https://klasma.github.io/Logging_0580/kartor/A 21326-2025 karta.png", "A 21326-2025")</f>
        <v/>
      </c>
      <c r="V33">
        <f>HYPERLINK("https://klasma.github.io/Logging_0580/klagomål/A 21326-2025 FSC-klagomål.docx", "A 21326-2025")</f>
        <v/>
      </c>
      <c r="W33">
        <f>HYPERLINK("https://klasma.github.io/Logging_0580/klagomålsmail/A 21326-2025 FSC-klagomål mail.docx", "A 21326-2025")</f>
        <v/>
      </c>
      <c r="X33">
        <f>HYPERLINK("https://klasma.github.io/Logging_0580/tillsyn/A 21326-2025 tillsynsbegäran.docx", "A 21326-2025")</f>
        <v/>
      </c>
      <c r="Y33">
        <f>HYPERLINK("https://klasma.github.io/Logging_0580/tillsynsmail/A 21326-2025 tillsynsbegäran mail.docx", "A 21326-2025")</f>
        <v/>
      </c>
    </row>
    <row r="34" ht="15" customHeight="1">
      <c r="A34" t="inlineStr">
        <is>
          <t>A 38913-2023</t>
        </is>
      </c>
      <c r="B34" s="1" t="n">
        <v>45163</v>
      </c>
      <c r="C34" s="1" t="n">
        <v>45930</v>
      </c>
      <c r="D34" t="inlineStr">
        <is>
          <t>ÖSTERGÖTLANDS LÄN</t>
        </is>
      </c>
      <c r="E34" t="inlineStr">
        <is>
          <t>LINKÖPING</t>
        </is>
      </c>
      <c r="G34" t="n">
        <v>2.7</v>
      </c>
      <c r="H34" t="n">
        <v>1</v>
      </c>
      <c r="I34" t="n">
        <v>1</v>
      </c>
      <c r="J34" t="n">
        <v>0</v>
      </c>
      <c r="K34" t="n">
        <v>0</v>
      </c>
      <c r="L34" t="n">
        <v>0</v>
      </c>
      <c r="M34" t="n">
        <v>0</v>
      </c>
      <c r="N34" t="n">
        <v>0</v>
      </c>
      <c r="O34" t="n">
        <v>0</v>
      </c>
      <c r="P34" t="n">
        <v>0</v>
      </c>
      <c r="Q34" t="n">
        <v>2</v>
      </c>
      <c r="R34" s="2" t="inlineStr">
        <is>
          <t>Skogsbräsma
Revlummer</t>
        </is>
      </c>
      <c r="S34">
        <f>HYPERLINK("https://klasma.github.io/Logging_0580/artfynd/A 38913-2023 artfynd.xlsx", "A 38913-2023")</f>
        <v/>
      </c>
      <c r="T34">
        <f>HYPERLINK("https://klasma.github.io/Logging_0580/kartor/A 38913-2023 karta.png", "A 38913-2023")</f>
        <v/>
      </c>
      <c r="V34">
        <f>HYPERLINK("https://klasma.github.io/Logging_0580/klagomål/A 38913-2023 FSC-klagomål.docx", "A 38913-2023")</f>
        <v/>
      </c>
      <c r="W34">
        <f>HYPERLINK("https://klasma.github.io/Logging_0580/klagomålsmail/A 38913-2023 FSC-klagomål mail.docx", "A 38913-2023")</f>
        <v/>
      </c>
      <c r="X34">
        <f>HYPERLINK("https://klasma.github.io/Logging_0580/tillsyn/A 38913-2023 tillsynsbegäran.docx", "A 38913-2023")</f>
        <v/>
      </c>
      <c r="Y34">
        <f>HYPERLINK("https://klasma.github.io/Logging_0580/tillsynsmail/A 38913-2023 tillsynsbegäran mail.docx", "A 38913-2023")</f>
        <v/>
      </c>
    </row>
    <row r="35" ht="15" customHeight="1">
      <c r="A35" t="inlineStr">
        <is>
          <t>A 27795-2025</t>
        </is>
      </c>
      <c r="B35" s="1" t="n">
        <v>45816.7908912037</v>
      </c>
      <c r="C35" s="1" t="n">
        <v>45930</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42858-2023</t>
        </is>
      </c>
      <c r="B36" s="1" t="n">
        <v>45177</v>
      </c>
      <c r="C36" s="1" t="n">
        <v>45930</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45930</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45930</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38129-2021</t>
        </is>
      </c>
      <c r="B39" s="1" t="n">
        <v>44405.37199074074</v>
      </c>
      <c r="C39" s="1" t="n">
        <v>45930</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46496-2022</t>
        </is>
      </c>
      <c r="B40" s="1" t="n">
        <v>44848</v>
      </c>
      <c r="C40" s="1" t="n">
        <v>45930</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43017-2021</t>
        </is>
      </c>
      <c r="B41" s="1" t="n">
        <v>44431</v>
      </c>
      <c r="C41" s="1" t="n">
        <v>45930</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71127-2021</t>
        </is>
      </c>
      <c r="B42" s="1" t="n">
        <v>44537</v>
      </c>
      <c r="C42" s="1" t="n">
        <v>45930</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45930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56250-2021</t>
        </is>
      </c>
      <c r="B44" s="1" t="n">
        <v>44479</v>
      </c>
      <c r="C44" s="1" t="n">
        <v>45930</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17513-2022</t>
        </is>
      </c>
      <c r="B45" s="1" t="n">
        <v>44679</v>
      </c>
      <c r="C45" s="1" t="n">
        <v>45930</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45930</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45930</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48984-2020</t>
        </is>
      </c>
      <c r="B48" s="1" t="n">
        <v>44104</v>
      </c>
      <c r="C48" s="1" t="n">
        <v>45930</v>
      </c>
      <c r="D48" t="inlineStr">
        <is>
          <t>ÖSTERGÖTLANDS LÄN</t>
        </is>
      </c>
      <c r="E48" t="inlineStr">
        <is>
          <t>LINKÖPING</t>
        </is>
      </c>
      <c r="G48" t="n">
        <v>2.8</v>
      </c>
      <c r="H48" t="n">
        <v>0</v>
      </c>
      <c r="I48" t="n">
        <v>0</v>
      </c>
      <c r="J48" t="n">
        <v>1</v>
      </c>
      <c r="K48" t="n">
        <v>0</v>
      </c>
      <c r="L48" t="n">
        <v>0</v>
      </c>
      <c r="M48" t="n">
        <v>0</v>
      </c>
      <c r="N48" t="n">
        <v>0</v>
      </c>
      <c r="O48" t="n">
        <v>1</v>
      </c>
      <c r="P48" t="n">
        <v>0</v>
      </c>
      <c r="Q48" t="n">
        <v>1</v>
      </c>
      <c r="R48" s="2" t="inlineStr">
        <is>
          <t>Vårstarr</t>
        </is>
      </c>
      <c r="S48">
        <f>HYPERLINK("https://klasma.github.io/Logging_0580/artfynd/A 48984-2020 artfynd.xlsx", "A 48984-2020")</f>
        <v/>
      </c>
      <c r="T48">
        <f>HYPERLINK("https://klasma.github.io/Logging_0580/kartor/A 48984-2020 karta.png", "A 48984-2020")</f>
        <v/>
      </c>
      <c r="V48">
        <f>HYPERLINK("https://klasma.github.io/Logging_0580/klagomål/A 48984-2020 FSC-klagomål.docx", "A 48984-2020")</f>
        <v/>
      </c>
      <c r="W48">
        <f>HYPERLINK("https://klasma.github.io/Logging_0580/klagomålsmail/A 48984-2020 FSC-klagomål mail.docx", "A 48984-2020")</f>
        <v/>
      </c>
      <c r="X48">
        <f>HYPERLINK("https://klasma.github.io/Logging_0580/tillsyn/A 48984-2020 tillsynsbegäran.docx", "A 48984-2020")</f>
        <v/>
      </c>
      <c r="Y48">
        <f>HYPERLINK("https://klasma.github.io/Logging_0580/tillsynsmail/A 48984-2020 tillsynsbegäran mail.docx", "A 48984-2020")</f>
        <v/>
      </c>
    </row>
    <row r="49" ht="15" customHeight="1">
      <c r="A49" t="inlineStr">
        <is>
          <t>A 50806-2023</t>
        </is>
      </c>
      <c r="B49" s="1" t="n">
        <v>45217</v>
      </c>
      <c r="C49" s="1" t="n">
        <v>45930</v>
      </c>
      <c r="D49" t="inlineStr">
        <is>
          <t>ÖSTERGÖTLANDS LÄN</t>
        </is>
      </c>
      <c r="E49" t="inlineStr">
        <is>
          <t>LINKÖPING</t>
        </is>
      </c>
      <c r="F49" t="inlineStr">
        <is>
          <t>Övriga Aktiebolag</t>
        </is>
      </c>
      <c r="G49" t="n">
        <v>0.7</v>
      </c>
      <c r="H49" t="n">
        <v>1</v>
      </c>
      <c r="I49" t="n">
        <v>0</v>
      </c>
      <c r="J49" t="n">
        <v>0</v>
      </c>
      <c r="K49" t="n">
        <v>0</v>
      </c>
      <c r="L49" t="n">
        <v>0</v>
      </c>
      <c r="M49" t="n">
        <v>0</v>
      </c>
      <c r="N49" t="n">
        <v>0</v>
      </c>
      <c r="O49" t="n">
        <v>0</v>
      </c>
      <c r="P49" t="n">
        <v>0</v>
      </c>
      <c r="Q49" t="n">
        <v>1</v>
      </c>
      <c r="R49" s="2" t="inlineStr">
        <is>
          <t>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40309-2024</t>
        </is>
      </c>
      <c r="B50" s="1" t="n">
        <v>45554.724375</v>
      </c>
      <c r="C50" s="1" t="n">
        <v>45930</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43989-2025</t>
        </is>
      </c>
      <c r="B51" s="1" t="n">
        <v>45915.44128472222</v>
      </c>
      <c r="C51" s="1" t="n">
        <v>45930</v>
      </c>
      <c r="D51" t="inlineStr">
        <is>
          <t>ÖSTERGÖTLANDS LÄN</t>
        </is>
      </c>
      <c r="E51" t="inlineStr">
        <is>
          <t>LINKÖPING</t>
        </is>
      </c>
      <c r="F51" t="inlineStr">
        <is>
          <t>Allmännings- och besparingsskogar</t>
        </is>
      </c>
      <c r="G51" t="n">
        <v>3.5</v>
      </c>
      <c r="H51" t="n">
        <v>0</v>
      </c>
      <c r="I51" t="n">
        <v>0</v>
      </c>
      <c r="J51" t="n">
        <v>1</v>
      </c>
      <c r="K51" t="n">
        <v>0</v>
      </c>
      <c r="L51" t="n">
        <v>0</v>
      </c>
      <c r="M51" t="n">
        <v>0</v>
      </c>
      <c r="N51" t="n">
        <v>0</v>
      </c>
      <c r="O51" t="n">
        <v>1</v>
      </c>
      <c r="P51" t="n">
        <v>0</v>
      </c>
      <c r="Q51" t="n">
        <v>1</v>
      </c>
      <c r="R51" s="2" t="inlineStr">
        <is>
          <t>Kavelhirs</t>
        </is>
      </c>
      <c r="S51">
        <f>HYPERLINK("https://klasma.github.io/Logging_0580/artfynd/A 43989-2025 artfynd.xlsx", "A 43989-2025")</f>
        <v/>
      </c>
      <c r="T51">
        <f>HYPERLINK("https://klasma.github.io/Logging_0580/kartor/A 43989-2025 karta.png", "A 43989-2025")</f>
        <v/>
      </c>
      <c r="V51">
        <f>HYPERLINK("https://klasma.github.io/Logging_0580/klagomål/A 43989-2025 FSC-klagomål.docx", "A 43989-2025")</f>
        <v/>
      </c>
      <c r="W51">
        <f>HYPERLINK("https://klasma.github.io/Logging_0580/klagomålsmail/A 43989-2025 FSC-klagomål mail.docx", "A 43989-2025")</f>
        <v/>
      </c>
      <c r="X51">
        <f>HYPERLINK("https://klasma.github.io/Logging_0580/tillsyn/A 43989-2025 tillsynsbegäran.docx", "A 43989-2025")</f>
        <v/>
      </c>
      <c r="Y51">
        <f>HYPERLINK("https://klasma.github.io/Logging_0580/tillsynsmail/A 43989-2025 tillsynsbegäran mail.docx", "A 43989-2025")</f>
        <v/>
      </c>
    </row>
    <row r="52" ht="15" customHeight="1">
      <c r="A52" t="inlineStr">
        <is>
          <t>A 60573-2021</t>
        </is>
      </c>
      <c r="B52" s="1" t="n">
        <v>44496</v>
      </c>
      <c r="C52" s="1" t="n">
        <v>45930</v>
      </c>
      <c r="D52" t="inlineStr">
        <is>
          <t>ÖSTERGÖTLANDS LÄN</t>
        </is>
      </c>
      <c r="E52" t="inlineStr">
        <is>
          <t>LINKÖPING</t>
        </is>
      </c>
      <c r="F52" t="inlineStr">
        <is>
          <t>Övriga Aktiebolag</t>
        </is>
      </c>
      <c r="G52" t="n">
        <v>5.6</v>
      </c>
      <c r="H52" t="n">
        <v>0</v>
      </c>
      <c r="I52" t="n">
        <v>0</v>
      </c>
      <c r="J52" t="n">
        <v>1</v>
      </c>
      <c r="K52" t="n">
        <v>0</v>
      </c>
      <c r="L52" t="n">
        <v>0</v>
      </c>
      <c r="M52" t="n">
        <v>0</v>
      </c>
      <c r="N52" t="n">
        <v>0</v>
      </c>
      <c r="O52" t="n">
        <v>1</v>
      </c>
      <c r="P52" t="n">
        <v>0</v>
      </c>
      <c r="Q52" t="n">
        <v>1</v>
      </c>
      <c r="R52" s="2" t="inlineStr">
        <is>
          <t>Sommarfibbla</t>
        </is>
      </c>
      <c r="S52">
        <f>HYPERLINK("https://klasma.github.io/Logging_0580/artfynd/A 60573-2021 artfynd.xlsx", "A 60573-2021")</f>
        <v/>
      </c>
      <c r="T52">
        <f>HYPERLINK("https://klasma.github.io/Logging_0580/kartor/A 60573-2021 karta.png", "A 60573-2021")</f>
        <v/>
      </c>
      <c r="V52">
        <f>HYPERLINK("https://klasma.github.io/Logging_0580/klagomål/A 60573-2021 FSC-klagomål.docx", "A 60573-2021")</f>
        <v/>
      </c>
      <c r="W52">
        <f>HYPERLINK("https://klasma.github.io/Logging_0580/klagomålsmail/A 60573-2021 FSC-klagomål mail.docx", "A 60573-2021")</f>
        <v/>
      </c>
      <c r="X52">
        <f>HYPERLINK("https://klasma.github.io/Logging_0580/tillsyn/A 60573-2021 tillsynsbegäran.docx", "A 60573-2021")</f>
        <v/>
      </c>
      <c r="Y52">
        <f>HYPERLINK("https://klasma.github.io/Logging_0580/tillsynsmail/A 60573-2021 tillsynsbegäran mail.docx", "A 60573-2021")</f>
        <v/>
      </c>
    </row>
    <row r="53" ht="15" customHeight="1">
      <c r="A53" t="inlineStr">
        <is>
          <t>A 44760-2025</t>
        </is>
      </c>
      <c r="B53" s="1" t="n">
        <v>45917.71873842592</v>
      </c>
      <c r="C53" s="1" t="n">
        <v>45930</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Tallticka</t>
        </is>
      </c>
      <c r="S53">
        <f>HYPERLINK("https://klasma.github.io/Logging_0580/artfynd/A 44760-2025 artfynd.xlsx", "A 44760-2025")</f>
        <v/>
      </c>
      <c r="T53">
        <f>HYPERLINK("https://klasma.github.io/Logging_0580/kartor/A 44760-2025 karta.png", "A 44760-2025")</f>
        <v/>
      </c>
      <c r="V53">
        <f>HYPERLINK("https://klasma.github.io/Logging_0580/klagomål/A 44760-2025 FSC-klagomål.docx", "A 44760-2025")</f>
        <v/>
      </c>
      <c r="W53">
        <f>HYPERLINK("https://klasma.github.io/Logging_0580/klagomålsmail/A 44760-2025 FSC-klagomål mail.docx", "A 44760-2025")</f>
        <v/>
      </c>
      <c r="X53">
        <f>HYPERLINK("https://klasma.github.io/Logging_0580/tillsyn/A 44760-2025 tillsynsbegäran.docx", "A 44760-2025")</f>
        <v/>
      </c>
      <c r="Y53">
        <f>HYPERLINK("https://klasma.github.io/Logging_0580/tillsynsmail/A 44760-2025 tillsynsbegäran mail.docx", "A 44760-2025")</f>
        <v/>
      </c>
    </row>
    <row r="54" ht="15" customHeight="1">
      <c r="A54" t="inlineStr">
        <is>
          <t>A 15290-2025</t>
        </is>
      </c>
      <c r="B54" s="1" t="n">
        <v>45745.45288194445</v>
      </c>
      <c r="C54" s="1" t="n">
        <v>45930</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1213-2023</t>
        </is>
      </c>
      <c r="B55" s="1" t="n">
        <v>44930</v>
      </c>
      <c r="C55" s="1" t="n">
        <v>45930</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1716-2023</t>
        </is>
      </c>
      <c r="B56" s="1" t="n">
        <v>44938</v>
      </c>
      <c r="C56" s="1" t="n">
        <v>45930</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931-2025</t>
        </is>
      </c>
      <c r="B57" s="1" t="n">
        <v>45665.88498842593</v>
      </c>
      <c r="C57" s="1" t="n">
        <v>45930</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126-2024</t>
        </is>
      </c>
      <c r="B58" s="1" t="n">
        <v>45294</v>
      </c>
      <c r="C58" s="1" t="n">
        <v>45930</v>
      </c>
      <c r="D58" t="inlineStr">
        <is>
          <t>ÖSTERGÖTLANDS LÄN</t>
        </is>
      </c>
      <c r="E58" t="inlineStr">
        <is>
          <t>LINKÖPING</t>
        </is>
      </c>
      <c r="G58" t="n">
        <v>1</v>
      </c>
      <c r="H58" t="n">
        <v>0</v>
      </c>
      <c r="I58" t="n">
        <v>1</v>
      </c>
      <c r="J58" t="n">
        <v>0</v>
      </c>
      <c r="K58" t="n">
        <v>0</v>
      </c>
      <c r="L58" t="n">
        <v>0</v>
      </c>
      <c r="M58" t="n">
        <v>0</v>
      </c>
      <c r="N58" t="n">
        <v>0</v>
      </c>
      <c r="O58" t="n">
        <v>0</v>
      </c>
      <c r="P58" t="n">
        <v>0</v>
      </c>
      <c r="Q58" t="n">
        <v>1</v>
      </c>
      <c r="R58" s="2" t="inlineStr">
        <is>
          <t>Blåmossa</t>
        </is>
      </c>
      <c r="S58">
        <f>HYPERLINK("https://klasma.github.io/Logging_0580/artfynd/A 126-2024 artfynd.xlsx", "A 126-2024")</f>
        <v/>
      </c>
      <c r="T58">
        <f>HYPERLINK("https://klasma.github.io/Logging_0580/kartor/A 126-2024 karta.png", "A 126-2024")</f>
        <v/>
      </c>
      <c r="V58">
        <f>HYPERLINK("https://klasma.github.io/Logging_0580/klagomål/A 126-2024 FSC-klagomål.docx", "A 126-2024")</f>
        <v/>
      </c>
      <c r="W58">
        <f>HYPERLINK("https://klasma.github.io/Logging_0580/klagomålsmail/A 126-2024 FSC-klagomål mail.docx", "A 126-2024")</f>
        <v/>
      </c>
      <c r="X58">
        <f>HYPERLINK("https://klasma.github.io/Logging_0580/tillsyn/A 126-2024 tillsynsbegäran.docx", "A 126-2024")</f>
        <v/>
      </c>
      <c r="Y58">
        <f>HYPERLINK("https://klasma.github.io/Logging_0580/tillsynsmail/A 126-2024 tillsynsbegäran mail.docx", "A 126-2024")</f>
        <v/>
      </c>
    </row>
    <row r="59" ht="15" customHeight="1">
      <c r="A59" t="inlineStr">
        <is>
          <t>A 3395-2023</t>
        </is>
      </c>
      <c r="B59" s="1" t="n">
        <v>44949</v>
      </c>
      <c r="C59" s="1" t="n">
        <v>45930</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45930</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5911-2022</t>
        </is>
      </c>
      <c r="B61" s="1" t="n">
        <v>44597</v>
      </c>
      <c r="C61" s="1" t="n">
        <v>45930</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45930</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22526-2025</t>
        </is>
      </c>
      <c r="B63" s="1" t="n">
        <v>45786.78096064815</v>
      </c>
      <c r="C63" s="1" t="n">
        <v>45930</v>
      </c>
      <c r="D63" t="inlineStr">
        <is>
          <t>ÖSTERGÖTLANDS LÄN</t>
        </is>
      </c>
      <c r="E63" t="inlineStr">
        <is>
          <t>LINKÖPING</t>
        </is>
      </c>
      <c r="G63" t="n">
        <v>1.8</v>
      </c>
      <c r="H63" t="n">
        <v>1</v>
      </c>
      <c r="I63" t="n">
        <v>0</v>
      </c>
      <c r="J63" t="n">
        <v>1</v>
      </c>
      <c r="K63" t="n">
        <v>0</v>
      </c>
      <c r="L63" t="n">
        <v>0</v>
      </c>
      <c r="M63" t="n">
        <v>0</v>
      </c>
      <c r="N63" t="n">
        <v>0</v>
      </c>
      <c r="O63" t="n">
        <v>1</v>
      </c>
      <c r="P63" t="n">
        <v>0</v>
      </c>
      <c r="Q63" t="n">
        <v>1</v>
      </c>
      <c r="R63" s="2" t="inlineStr">
        <is>
          <t>Röd skogslilja</t>
        </is>
      </c>
      <c r="S63">
        <f>HYPERLINK("https://klasma.github.io/Logging_0580/artfynd/A 22526-2025 artfynd.xlsx", "A 22526-2025")</f>
        <v/>
      </c>
      <c r="T63">
        <f>HYPERLINK("https://klasma.github.io/Logging_0580/kartor/A 22526-2025 karta.png", "A 22526-2025")</f>
        <v/>
      </c>
      <c r="V63">
        <f>HYPERLINK("https://klasma.github.io/Logging_0580/klagomål/A 22526-2025 FSC-klagomål.docx", "A 22526-2025")</f>
        <v/>
      </c>
      <c r="W63">
        <f>HYPERLINK("https://klasma.github.io/Logging_0580/klagomålsmail/A 22526-2025 FSC-klagomål mail.docx", "A 22526-2025")</f>
        <v/>
      </c>
      <c r="X63">
        <f>HYPERLINK("https://klasma.github.io/Logging_0580/tillsyn/A 22526-2025 tillsynsbegäran.docx", "A 22526-2025")</f>
        <v/>
      </c>
      <c r="Y63">
        <f>HYPERLINK("https://klasma.github.io/Logging_0580/tillsynsmail/A 22526-2025 tillsynsbegäran mail.docx", "A 22526-2025")</f>
        <v/>
      </c>
    </row>
    <row r="64" ht="15" customHeight="1">
      <c r="A64" t="inlineStr">
        <is>
          <t>A 41749-2023</t>
        </is>
      </c>
      <c r="B64" s="1" t="n">
        <v>45176</v>
      </c>
      <c r="C64" s="1" t="n">
        <v>45930</v>
      </c>
      <c r="D64" t="inlineStr">
        <is>
          <t>ÖSTERGÖTLANDS LÄN</t>
        </is>
      </c>
      <c r="E64" t="inlineStr">
        <is>
          <t>LINKÖPING</t>
        </is>
      </c>
      <c r="G64" t="n">
        <v>3.6</v>
      </c>
      <c r="H64" t="n">
        <v>0</v>
      </c>
      <c r="I64" t="n">
        <v>0</v>
      </c>
      <c r="J64" t="n">
        <v>1</v>
      </c>
      <c r="K64" t="n">
        <v>0</v>
      </c>
      <c r="L64" t="n">
        <v>0</v>
      </c>
      <c r="M64" t="n">
        <v>0</v>
      </c>
      <c r="N64" t="n">
        <v>0</v>
      </c>
      <c r="O64" t="n">
        <v>1</v>
      </c>
      <c r="P64" t="n">
        <v>0</v>
      </c>
      <c r="Q64" t="n">
        <v>1</v>
      </c>
      <c r="R64" s="2" t="inlineStr">
        <is>
          <t>Svinrot</t>
        </is>
      </c>
      <c r="S64">
        <f>HYPERLINK("https://klasma.github.io/Logging_0580/artfynd/A 41749-2023 artfynd.xlsx", "A 41749-2023")</f>
        <v/>
      </c>
      <c r="T64">
        <f>HYPERLINK("https://klasma.github.io/Logging_0580/kartor/A 41749-2023 karta.png", "A 41749-2023")</f>
        <v/>
      </c>
      <c r="V64">
        <f>HYPERLINK("https://klasma.github.io/Logging_0580/klagomål/A 41749-2023 FSC-klagomål.docx", "A 41749-2023")</f>
        <v/>
      </c>
      <c r="W64">
        <f>HYPERLINK("https://klasma.github.io/Logging_0580/klagomålsmail/A 41749-2023 FSC-klagomål mail.docx", "A 41749-2023")</f>
        <v/>
      </c>
      <c r="X64">
        <f>HYPERLINK("https://klasma.github.io/Logging_0580/tillsyn/A 41749-2023 tillsynsbegäran.docx", "A 41749-2023")</f>
        <v/>
      </c>
      <c r="Y64">
        <f>HYPERLINK("https://klasma.github.io/Logging_0580/tillsynsmail/A 41749-2023 tillsynsbegäran mail.docx", "A 41749-2023")</f>
        <v/>
      </c>
    </row>
    <row r="65" ht="15" customHeight="1">
      <c r="A65" t="inlineStr">
        <is>
          <t>A 54835-2023</t>
        </is>
      </c>
      <c r="B65" s="1" t="n">
        <v>45236</v>
      </c>
      <c r="C65" s="1" t="n">
        <v>45930</v>
      </c>
      <c r="D65" t="inlineStr">
        <is>
          <t>ÖSTERGÖTLANDS LÄN</t>
        </is>
      </c>
      <c r="E65" t="inlineStr">
        <is>
          <t>LINKÖPING</t>
        </is>
      </c>
      <c r="G65" t="n">
        <v>2</v>
      </c>
      <c r="H65" t="n">
        <v>1</v>
      </c>
      <c r="I65" t="n">
        <v>0</v>
      </c>
      <c r="J65" t="n">
        <v>0</v>
      </c>
      <c r="K65" t="n">
        <v>0</v>
      </c>
      <c r="L65" t="n">
        <v>0</v>
      </c>
      <c r="M65" t="n">
        <v>0</v>
      </c>
      <c r="N65" t="n">
        <v>0</v>
      </c>
      <c r="O65" t="n">
        <v>0</v>
      </c>
      <c r="P65" t="n">
        <v>0</v>
      </c>
      <c r="Q65" t="n">
        <v>1</v>
      </c>
      <c r="R65" s="2" t="inlineStr">
        <is>
          <t>Sparvuggla</t>
        </is>
      </c>
      <c r="S65">
        <f>HYPERLINK("https://klasma.github.io/Logging_0580/artfynd/A 54835-2023 artfynd.xlsx", "A 54835-2023")</f>
        <v/>
      </c>
      <c r="T65">
        <f>HYPERLINK("https://klasma.github.io/Logging_0580/kartor/A 54835-2023 karta.png", "A 54835-2023")</f>
        <v/>
      </c>
      <c r="V65">
        <f>HYPERLINK("https://klasma.github.io/Logging_0580/klagomål/A 54835-2023 FSC-klagomål.docx", "A 54835-2023")</f>
        <v/>
      </c>
      <c r="W65">
        <f>HYPERLINK("https://klasma.github.io/Logging_0580/klagomålsmail/A 54835-2023 FSC-klagomål mail.docx", "A 54835-2023")</f>
        <v/>
      </c>
      <c r="X65">
        <f>HYPERLINK("https://klasma.github.io/Logging_0580/tillsyn/A 54835-2023 tillsynsbegäran.docx", "A 54835-2023")</f>
        <v/>
      </c>
      <c r="Y65">
        <f>HYPERLINK("https://klasma.github.io/Logging_0580/tillsynsmail/A 54835-2023 tillsynsbegäran mail.docx", "A 54835-2023")</f>
        <v/>
      </c>
      <c r="Z65">
        <f>HYPERLINK("https://klasma.github.io/Logging_0580/fåglar/A 54835-2023 prioriterade fågelarter.docx", "A 54835-2023")</f>
        <v/>
      </c>
    </row>
    <row r="66" ht="15" customHeight="1">
      <c r="A66" t="inlineStr">
        <is>
          <t>A 27403-2025</t>
        </is>
      </c>
      <c r="B66" s="1" t="n">
        <v>45812.72518518518</v>
      </c>
      <c r="C66" s="1" t="n">
        <v>45930</v>
      </c>
      <c r="D66" t="inlineStr">
        <is>
          <t>ÖSTERGÖTLANDS LÄN</t>
        </is>
      </c>
      <c r="E66" t="inlineStr">
        <is>
          <t>LINKÖPING</t>
        </is>
      </c>
      <c r="G66" t="n">
        <v>1.4</v>
      </c>
      <c r="H66" t="n">
        <v>0</v>
      </c>
      <c r="I66" t="n">
        <v>0</v>
      </c>
      <c r="J66" t="n">
        <v>1</v>
      </c>
      <c r="K66" t="n">
        <v>0</v>
      </c>
      <c r="L66" t="n">
        <v>0</v>
      </c>
      <c r="M66" t="n">
        <v>0</v>
      </c>
      <c r="N66" t="n">
        <v>0</v>
      </c>
      <c r="O66" t="n">
        <v>1</v>
      </c>
      <c r="P66" t="n">
        <v>0</v>
      </c>
      <c r="Q66" t="n">
        <v>1</v>
      </c>
      <c r="R66" s="2" t="inlineStr">
        <is>
          <t>Tallticka</t>
        </is>
      </c>
      <c r="S66">
        <f>HYPERLINK("https://klasma.github.io/Logging_0580/artfynd/A 27403-2025 artfynd.xlsx", "A 27403-2025")</f>
        <v/>
      </c>
      <c r="T66">
        <f>HYPERLINK("https://klasma.github.io/Logging_0580/kartor/A 27403-2025 karta.png", "A 27403-2025")</f>
        <v/>
      </c>
      <c r="V66">
        <f>HYPERLINK("https://klasma.github.io/Logging_0580/klagomål/A 27403-2025 FSC-klagomål.docx", "A 27403-2025")</f>
        <v/>
      </c>
      <c r="W66">
        <f>HYPERLINK("https://klasma.github.io/Logging_0580/klagomålsmail/A 27403-2025 FSC-klagomål mail.docx", "A 27403-2025")</f>
        <v/>
      </c>
      <c r="X66">
        <f>HYPERLINK("https://klasma.github.io/Logging_0580/tillsyn/A 27403-2025 tillsynsbegäran.docx", "A 27403-2025")</f>
        <v/>
      </c>
      <c r="Y66">
        <f>HYPERLINK("https://klasma.github.io/Logging_0580/tillsynsmail/A 27403-2025 tillsynsbegäran mail.docx", "A 27403-2025")</f>
        <v/>
      </c>
    </row>
    <row r="67" ht="15" customHeight="1">
      <c r="A67" t="inlineStr">
        <is>
          <t>A 34881-2023</t>
        </is>
      </c>
      <c r="B67" s="1" t="n">
        <v>45140</v>
      </c>
      <c r="C67" s="1" t="n">
        <v>45930</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19103-2021</t>
        </is>
      </c>
      <c r="B68" s="1" t="n">
        <v>44308</v>
      </c>
      <c r="C68" s="1" t="n">
        <v>45930</v>
      </c>
      <c r="D68" t="inlineStr">
        <is>
          <t>ÖSTERGÖTLANDS LÄN</t>
        </is>
      </c>
      <c r="E68" t="inlineStr">
        <is>
          <t>LINKÖPING</t>
        </is>
      </c>
      <c r="G68" t="n">
        <v>4.7</v>
      </c>
      <c r="H68" t="n">
        <v>0</v>
      </c>
      <c r="I68" t="n">
        <v>0</v>
      </c>
      <c r="J68" t="n">
        <v>1</v>
      </c>
      <c r="K68" t="n">
        <v>0</v>
      </c>
      <c r="L68" t="n">
        <v>0</v>
      </c>
      <c r="M68" t="n">
        <v>0</v>
      </c>
      <c r="N68" t="n">
        <v>0</v>
      </c>
      <c r="O68" t="n">
        <v>1</v>
      </c>
      <c r="P68" t="n">
        <v>0</v>
      </c>
      <c r="Q68" t="n">
        <v>1</v>
      </c>
      <c r="R68" s="2" t="inlineStr">
        <is>
          <t>Tallticka</t>
        </is>
      </c>
      <c r="S68">
        <f>HYPERLINK("https://klasma.github.io/Logging_0580/artfynd/A 19103-2021 artfynd.xlsx", "A 19103-2021")</f>
        <v/>
      </c>
      <c r="T68">
        <f>HYPERLINK("https://klasma.github.io/Logging_0580/kartor/A 19103-2021 karta.png", "A 19103-2021")</f>
        <v/>
      </c>
      <c r="V68">
        <f>HYPERLINK("https://klasma.github.io/Logging_0580/klagomål/A 19103-2021 FSC-klagomål.docx", "A 19103-2021")</f>
        <v/>
      </c>
      <c r="W68">
        <f>HYPERLINK("https://klasma.github.io/Logging_0580/klagomålsmail/A 19103-2021 FSC-klagomål mail.docx", "A 19103-2021")</f>
        <v/>
      </c>
      <c r="X68">
        <f>HYPERLINK("https://klasma.github.io/Logging_0580/tillsyn/A 19103-2021 tillsynsbegäran.docx", "A 19103-2021")</f>
        <v/>
      </c>
      <c r="Y68">
        <f>HYPERLINK("https://klasma.github.io/Logging_0580/tillsynsmail/A 19103-2021 tillsynsbegäran mail.docx", "A 19103-2021")</f>
        <v/>
      </c>
    </row>
    <row r="69" ht="15" customHeight="1">
      <c r="A69" t="inlineStr">
        <is>
          <t>A 45317-2023</t>
        </is>
      </c>
      <c r="B69" s="1" t="n">
        <v>45191.74868055555</v>
      </c>
      <c r="C69" s="1" t="n">
        <v>45930</v>
      </c>
      <c r="D69" t="inlineStr">
        <is>
          <t>ÖSTERGÖTLANDS LÄN</t>
        </is>
      </c>
      <c r="E69" t="inlineStr">
        <is>
          <t>LINKÖPING</t>
        </is>
      </c>
      <c r="F69" t="inlineStr">
        <is>
          <t>Allmännings- och besparingsskogar</t>
        </is>
      </c>
      <c r="G69" t="n">
        <v>29.3</v>
      </c>
      <c r="H69" t="n">
        <v>0</v>
      </c>
      <c r="I69" t="n">
        <v>0</v>
      </c>
      <c r="J69" t="n">
        <v>1</v>
      </c>
      <c r="K69" t="n">
        <v>0</v>
      </c>
      <c r="L69" t="n">
        <v>0</v>
      </c>
      <c r="M69" t="n">
        <v>0</v>
      </c>
      <c r="N69" t="n">
        <v>0</v>
      </c>
      <c r="O69" t="n">
        <v>1</v>
      </c>
      <c r="P69" t="n">
        <v>0</v>
      </c>
      <c r="Q69" t="n">
        <v>1</v>
      </c>
      <c r="R69" s="2" t="inlineStr">
        <is>
          <t>Svinrot</t>
        </is>
      </c>
      <c r="S69">
        <f>HYPERLINK("https://klasma.github.io/Logging_0580/artfynd/A 45317-2023 artfynd.xlsx", "A 45317-2023")</f>
        <v/>
      </c>
      <c r="T69">
        <f>HYPERLINK("https://klasma.github.io/Logging_0580/kartor/A 45317-2023 karta.png", "A 45317-2023")</f>
        <v/>
      </c>
      <c r="V69">
        <f>HYPERLINK("https://klasma.github.io/Logging_0580/klagomål/A 45317-2023 FSC-klagomål.docx", "A 45317-2023")</f>
        <v/>
      </c>
      <c r="W69">
        <f>HYPERLINK("https://klasma.github.io/Logging_0580/klagomålsmail/A 45317-2023 FSC-klagomål mail.docx", "A 45317-2023")</f>
        <v/>
      </c>
      <c r="X69">
        <f>HYPERLINK("https://klasma.github.io/Logging_0580/tillsyn/A 45317-2023 tillsynsbegäran.docx", "A 45317-2023")</f>
        <v/>
      </c>
      <c r="Y69">
        <f>HYPERLINK("https://klasma.github.io/Logging_0580/tillsynsmail/A 45317-2023 tillsynsbegäran mail.docx", "A 45317-2023")</f>
        <v/>
      </c>
    </row>
    <row r="70" ht="15" customHeight="1">
      <c r="A70" t="inlineStr">
        <is>
          <t>A 20295-2025</t>
        </is>
      </c>
      <c r="B70" s="1" t="n">
        <v>45774.74846064814</v>
      </c>
      <c r="C70" s="1" t="n">
        <v>45930</v>
      </c>
      <c r="D70" t="inlineStr">
        <is>
          <t>ÖSTERGÖTLANDS LÄN</t>
        </is>
      </c>
      <c r="E70" t="inlineStr">
        <is>
          <t>LINKÖPING</t>
        </is>
      </c>
      <c r="G70" t="n">
        <v>3</v>
      </c>
      <c r="H70" t="n">
        <v>0</v>
      </c>
      <c r="I70" t="n">
        <v>0</v>
      </c>
      <c r="J70" t="n">
        <v>1</v>
      </c>
      <c r="K70" t="n">
        <v>0</v>
      </c>
      <c r="L70" t="n">
        <v>0</v>
      </c>
      <c r="M70" t="n">
        <v>0</v>
      </c>
      <c r="N70" t="n">
        <v>0</v>
      </c>
      <c r="O70" t="n">
        <v>1</v>
      </c>
      <c r="P70" t="n">
        <v>0</v>
      </c>
      <c r="Q70" t="n">
        <v>1</v>
      </c>
      <c r="R70" s="2" t="inlineStr">
        <is>
          <t>Tallticka</t>
        </is>
      </c>
      <c r="S70">
        <f>HYPERLINK("https://klasma.github.io/Logging_0580/artfynd/A 20295-2025 artfynd.xlsx", "A 20295-2025")</f>
        <v/>
      </c>
      <c r="T70">
        <f>HYPERLINK("https://klasma.github.io/Logging_0580/kartor/A 20295-2025 karta.png", "A 20295-2025")</f>
        <v/>
      </c>
      <c r="V70">
        <f>HYPERLINK("https://klasma.github.io/Logging_0580/klagomål/A 20295-2025 FSC-klagomål.docx", "A 20295-2025")</f>
        <v/>
      </c>
      <c r="W70">
        <f>HYPERLINK("https://klasma.github.io/Logging_0580/klagomålsmail/A 20295-2025 FSC-klagomål mail.docx", "A 20295-2025")</f>
        <v/>
      </c>
      <c r="X70">
        <f>HYPERLINK("https://klasma.github.io/Logging_0580/tillsyn/A 20295-2025 tillsynsbegäran.docx", "A 20295-2025")</f>
        <v/>
      </c>
      <c r="Y70">
        <f>HYPERLINK("https://klasma.github.io/Logging_0580/tillsynsmail/A 20295-2025 tillsynsbegäran mail.docx", "A 20295-2025")</f>
        <v/>
      </c>
    </row>
    <row r="71" ht="15" customHeight="1">
      <c r="A71" t="inlineStr">
        <is>
          <t>A 35948-2023</t>
        </is>
      </c>
      <c r="B71" s="1" t="n">
        <v>45148</v>
      </c>
      <c r="C71" s="1" t="n">
        <v>45930</v>
      </c>
      <c r="D71" t="inlineStr">
        <is>
          <t>ÖSTERGÖTLANDS LÄN</t>
        </is>
      </c>
      <c r="E71" t="inlineStr">
        <is>
          <t>LINKÖPING</t>
        </is>
      </c>
      <c r="G71" t="n">
        <v>1.9</v>
      </c>
      <c r="H71" t="n">
        <v>0</v>
      </c>
      <c r="I71" t="n">
        <v>1</v>
      </c>
      <c r="J71" t="n">
        <v>0</v>
      </c>
      <c r="K71" t="n">
        <v>0</v>
      </c>
      <c r="L71" t="n">
        <v>0</v>
      </c>
      <c r="M71" t="n">
        <v>0</v>
      </c>
      <c r="N71" t="n">
        <v>0</v>
      </c>
      <c r="O71" t="n">
        <v>0</v>
      </c>
      <c r="P71" t="n">
        <v>0</v>
      </c>
      <c r="Q71" t="n">
        <v>1</v>
      </c>
      <c r="R71" s="2" t="inlineStr">
        <is>
          <t>Brun nållav</t>
        </is>
      </c>
      <c r="S71">
        <f>HYPERLINK("https://klasma.github.io/Logging_0580/artfynd/A 35948-2023 artfynd.xlsx", "A 35948-2023")</f>
        <v/>
      </c>
      <c r="T71">
        <f>HYPERLINK("https://klasma.github.io/Logging_0580/kartor/A 35948-2023 karta.png", "A 35948-2023")</f>
        <v/>
      </c>
      <c r="V71">
        <f>HYPERLINK("https://klasma.github.io/Logging_0580/klagomål/A 35948-2023 FSC-klagomål.docx", "A 35948-2023")</f>
        <v/>
      </c>
      <c r="W71">
        <f>HYPERLINK("https://klasma.github.io/Logging_0580/klagomålsmail/A 35948-2023 FSC-klagomål mail.docx", "A 35948-2023")</f>
        <v/>
      </c>
      <c r="X71">
        <f>HYPERLINK("https://klasma.github.io/Logging_0580/tillsyn/A 35948-2023 tillsynsbegäran.docx", "A 35948-2023")</f>
        <v/>
      </c>
      <c r="Y71">
        <f>HYPERLINK("https://klasma.github.io/Logging_0580/tillsynsmail/A 35948-2023 tillsynsbegäran mail.docx", "A 35948-2023")</f>
        <v/>
      </c>
    </row>
    <row r="72" ht="15" customHeight="1">
      <c r="A72" t="inlineStr">
        <is>
          <t>A 13694-2025</t>
        </is>
      </c>
      <c r="B72" s="1" t="n">
        <v>45737.32148148148</v>
      </c>
      <c r="C72" s="1" t="n">
        <v>45930</v>
      </c>
      <c r="D72" t="inlineStr">
        <is>
          <t>ÖSTERGÖTLANDS LÄN</t>
        </is>
      </c>
      <c r="E72" t="inlineStr">
        <is>
          <t>LINKÖPING</t>
        </is>
      </c>
      <c r="G72" t="n">
        <v>9.300000000000001</v>
      </c>
      <c r="H72" t="n">
        <v>1</v>
      </c>
      <c r="I72" t="n">
        <v>0</v>
      </c>
      <c r="J72" t="n">
        <v>0</v>
      </c>
      <c r="K72" t="n">
        <v>0</v>
      </c>
      <c r="L72" t="n">
        <v>0</v>
      </c>
      <c r="M72" t="n">
        <v>0</v>
      </c>
      <c r="N72" t="n">
        <v>0</v>
      </c>
      <c r="O72" t="n">
        <v>0</v>
      </c>
      <c r="P72" t="n">
        <v>0</v>
      </c>
      <c r="Q72" t="n">
        <v>1</v>
      </c>
      <c r="R72" s="2" t="inlineStr">
        <is>
          <t>Mattlummer</t>
        </is>
      </c>
      <c r="S72">
        <f>HYPERLINK("https://klasma.github.io/Logging_0580/artfynd/A 13694-2025 artfynd.xlsx", "A 13694-2025")</f>
        <v/>
      </c>
      <c r="T72">
        <f>HYPERLINK("https://klasma.github.io/Logging_0580/kartor/A 13694-2025 karta.png", "A 13694-2025")</f>
        <v/>
      </c>
      <c r="V72">
        <f>HYPERLINK("https://klasma.github.io/Logging_0580/klagomål/A 13694-2025 FSC-klagomål.docx", "A 13694-2025")</f>
        <v/>
      </c>
      <c r="W72">
        <f>HYPERLINK("https://klasma.github.io/Logging_0580/klagomålsmail/A 13694-2025 FSC-klagomål mail.docx", "A 13694-2025")</f>
        <v/>
      </c>
      <c r="X72">
        <f>HYPERLINK("https://klasma.github.io/Logging_0580/tillsyn/A 13694-2025 tillsynsbegäran.docx", "A 13694-2025")</f>
        <v/>
      </c>
      <c r="Y72">
        <f>HYPERLINK("https://klasma.github.io/Logging_0580/tillsynsmail/A 13694-2025 tillsynsbegäran mail.docx", "A 13694-2025")</f>
        <v/>
      </c>
    </row>
    <row r="73" ht="15" customHeight="1">
      <c r="A73" t="inlineStr">
        <is>
          <t>A 36723-2023</t>
        </is>
      </c>
      <c r="B73" s="1" t="n">
        <v>45153</v>
      </c>
      <c r="C73" s="1" t="n">
        <v>45930</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56651-2023</t>
        </is>
      </c>
      <c r="B74" s="1" t="n">
        <v>45243</v>
      </c>
      <c r="C74" s="1" t="n">
        <v>45930</v>
      </c>
      <c r="D74" t="inlineStr">
        <is>
          <t>ÖSTERGÖTLANDS LÄN</t>
        </is>
      </c>
      <c r="E74" t="inlineStr">
        <is>
          <t>LINKÖPING</t>
        </is>
      </c>
      <c r="F74" t="inlineStr">
        <is>
          <t>Övriga Aktiebolag</t>
        </is>
      </c>
      <c r="G74" t="n">
        <v>2.3</v>
      </c>
      <c r="H74" t="n">
        <v>0</v>
      </c>
      <c r="I74" t="n">
        <v>0</v>
      </c>
      <c r="J74" t="n">
        <v>1</v>
      </c>
      <c r="K74" t="n">
        <v>0</v>
      </c>
      <c r="L74" t="n">
        <v>0</v>
      </c>
      <c r="M74" t="n">
        <v>0</v>
      </c>
      <c r="N74" t="n">
        <v>0</v>
      </c>
      <c r="O74" t="n">
        <v>1</v>
      </c>
      <c r="P74" t="n">
        <v>0</v>
      </c>
      <c r="Q74" t="n">
        <v>1</v>
      </c>
      <c r="R74" s="2" t="inlineStr">
        <is>
          <t>Gul dropplav</t>
        </is>
      </c>
      <c r="S74">
        <f>HYPERLINK("https://klasma.github.io/Logging_0580/artfynd/A 56651-2023 artfynd.xlsx", "A 56651-2023")</f>
        <v/>
      </c>
      <c r="T74">
        <f>HYPERLINK("https://klasma.github.io/Logging_0580/kartor/A 56651-2023 karta.png", "A 56651-2023")</f>
        <v/>
      </c>
      <c r="V74">
        <f>HYPERLINK("https://klasma.github.io/Logging_0580/klagomål/A 56651-2023 FSC-klagomål.docx", "A 56651-2023")</f>
        <v/>
      </c>
      <c r="W74">
        <f>HYPERLINK("https://klasma.github.io/Logging_0580/klagomålsmail/A 56651-2023 FSC-klagomål mail.docx", "A 56651-2023")</f>
        <v/>
      </c>
      <c r="X74">
        <f>HYPERLINK("https://klasma.github.io/Logging_0580/tillsyn/A 56651-2023 tillsynsbegäran.docx", "A 56651-2023")</f>
        <v/>
      </c>
      <c r="Y74">
        <f>HYPERLINK("https://klasma.github.io/Logging_0580/tillsynsmail/A 56651-2023 tillsynsbegäran mail.docx", "A 56651-2023")</f>
        <v/>
      </c>
    </row>
    <row r="75" ht="15" customHeight="1">
      <c r="A75" t="inlineStr">
        <is>
          <t>A 62071-2023</t>
        </is>
      </c>
      <c r="B75" s="1" t="n">
        <v>45266.73542824074</v>
      </c>
      <c r="C75" s="1" t="n">
        <v>45930</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45930</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17444-2025</t>
        </is>
      </c>
      <c r="B77" s="1" t="n">
        <v>45757.43452546297</v>
      </c>
      <c r="C77" s="1" t="n">
        <v>45930</v>
      </c>
      <c r="D77" t="inlineStr">
        <is>
          <t>ÖSTERGÖTLANDS LÄN</t>
        </is>
      </c>
      <c r="E77" t="inlineStr">
        <is>
          <t>LINKÖPING</t>
        </is>
      </c>
      <c r="G77" t="n">
        <v>1.3</v>
      </c>
      <c r="H77" t="n">
        <v>1</v>
      </c>
      <c r="I77" t="n">
        <v>0</v>
      </c>
      <c r="J77" t="n">
        <v>1</v>
      </c>
      <c r="K77" t="n">
        <v>0</v>
      </c>
      <c r="L77" t="n">
        <v>0</v>
      </c>
      <c r="M77" t="n">
        <v>0</v>
      </c>
      <c r="N77" t="n">
        <v>0</v>
      </c>
      <c r="O77" t="n">
        <v>1</v>
      </c>
      <c r="P77" t="n">
        <v>0</v>
      </c>
      <c r="Q77" t="n">
        <v>1</v>
      </c>
      <c r="R77" s="2" t="inlineStr">
        <is>
          <t>Dårgräsfjäril</t>
        </is>
      </c>
      <c r="S77">
        <f>HYPERLINK("https://klasma.github.io/Logging_0580/artfynd/A 17444-2025 artfynd.xlsx", "A 17444-2025")</f>
        <v/>
      </c>
      <c r="T77">
        <f>HYPERLINK("https://klasma.github.io/Logging_0580/kartor/A 17444-2025 karta.png", "A 17444-2025")</f>
        <v/>
      </c>
      <c r="V77">
        <f>HYPERLINK("https://klasma.github.io/Logging_0580/klagomål/A 17444-2025 FSC-klagomål.docx", "A 17444-2025")</f>
        <v/>
      </c>
      <c r="W77">
        <f>HYPERLINK("https://klasma.github.io/Logging_0580/klagomålsmail/A 17444-2025 FSC-klagomål mail.docx", "A 17444-2025")</f>
        <v/>
      </c>
      <c r="X77">
        <f>HYPERLINK("https://klasma.github.io/Logging_0580/tillsyn/A 17444-2025 tillsynsbegäran.docx", "A 17444-2025")</f>
        <v/>
      </c>
      <c r="Y77">
        <f>HYPERLINK("https://klasma.github.io/Logging_0580/tillsynsmail/A 17444-2025 tillsynsbegäran mail.docx", "A 17444-2025")</f>
        <v/>
      </c>
    </row>
    <row r="78" ht="15" customHeight="1">
      <c r="A78" t="inlineStr">
        <is>
          <t>A 38881-2021</t>
        </is>
      </c>
      <c r="B78" s="1" t="n">
        <v>44411.46893518518</v>
      </c>
      <c r="C78" s="1" t="n">
        <v>45930</v>
      </c>
      <c r="D78" t="inlineStr">
        <is>
          <t>ÖSTERGÖTLANDS LÄN</t>
        </is>
      </c>
      <c r="E78" t="inlineStr">
        <is>
          <t>LINKÖPING</t>
        </is>
      </c>
      <c r="G78" t="n">
        <v>2.2</v>
      </c>
      <c r="H78" t="n">
        <v>0</v>
      </c>
      <c r="I78" t="n">
        <v>0</v>
      </c>
      <c r="J78" t="n">
        <v>0</v>
      </c>
      <c r="K78" t="n">
        <v>0</v>
      </c>
      <c r="L78" t="n">
        <v>0</v>
      </c>
      <c r="M78" t="n">
        <v>0</v>
      </c>
      <c r="N78" t="n">
        <v>0</v>
      </c>
      <c r="O78" t="n">
        <v>0</v>
      </c>
      <c r="P78" t="n">
        <v>0</v>
      </c>
      <c r="Q78" t="n">
        <v>0</v>
      </c>
      <c r="R78" s="2" t="inlineStr"/>
    </row>
    <row r="79" ht="15" customHeight="1">
      <c r="A79" t="inlineStr">
        <is>
          <t>A 38887-2021</t>
        </is>
      </c>
      <c r="B79" s="1" t="n">
        <v>44411</v>
      </c>
      <c r="C79" s="1" t="n">
        <v>45930</v>
      </c>
      <c r="D79" t="inlineStr">
        <is>
          <t>ÖSTERGÖTLANDS LÄN</t>
        </is>
      </c>
      <c r="E79" t="inlineStr">
        <is>
          <t>LINKÖPING</t>
        </is>
      </c>
      <c r="G79" t="n">
        <v>1.6</v>
      </c>
      <c r="H79" t="n">
        <v>0</v>
      </c>
      <c r="I79" t="n">
        <v>0</v>
      </c>
      <c r="J79" t="n">
        <v>0</v>
      </c>
      <c r="K79" t="n">
        <v>0</v>
      </c>
      <c r="L79" t="n">
        <v>0</v>
      </c>
      <c r="M79" t="n">
        <v>0</v>
      </c>
      <c r="N79" t="n">
        <v>0</v>
      </c>
      <c r="O79" t="n">
        <v>0</v>
      </c>
      <c r="P79" t="n">
        <v>0</v>
      </c>
      <c r="Q79" t="n">
        <v>0</v>
      </c>
      <c r="R79" s="2" t="inlineStr"/>
    </row>
    <row r="80" ht="15" customHeight="1">
      <c r="A80" t="inlineStr">
        <is>
          <t>A 5008-2021</t>
        </is>
      </c>
      <c r="B80" s="1" t="n">
        <v>44228</v>
      </c>
      <c r="C80" s="1" t="n">
        <v>45930</v>
      </c>
      <c r="D80" t="inlineStr">
        <is>
          <t>ÖSTERGÖTLANDS LÄN</t>
        </is>
      </c>
      <c r="E80" t="inlineStr">
        <is>
          <t>LINKÖPING</t>
        </is>
      </c>
      <c r="F80" t="inlineStr">
        <is>
          <t>Övriga Aktiebolag</t>
        </is>
      </c>
      <c r="G80" t="n">
        <v>0.3</v>
      </c>
      <c r="H80" t="n">
        <v>0</v>
      </c>
      <c r="I80" t="n">
        <v>0</v>
      </c>
      <c r="J80" t="n">
        <v>0</v>
      </c>
      <c r="K80" t="n">
        <v>0</v>
      </c>
      <c r="L80" t="n">
        <v>0</v>
      </c>
      <c r="M80" t="n">
        <v>0</v>
      </c>
      <c r="N80" t="n">
        <v>0</v>
      </c>
      <c r="O80" t="n">
        <v>0</v>
      </c>
      <c r="P80" t="n">
        <v>0</v>
      </c>
      <c r="Q80" t="n">
        <v>0</v>
      </c>
      <c r="R80" s="2" t="inlineStr"/>
    </row>
    <row r="81" ht="15" customHeight="1">
      <c r="A81" t="inlineStr">
        <is>
          <t>A 56239-2021</t>
        </is>
      </c>
      <c r="B81" s="1" t="n">
        <v>44478</v>
      </c>
      <c r="C81" s="1" t="n">
        <v>45930</v>
      </c>
      <c r="D81" t="inlineStr">
        <is>
          <t>ÖSTERGÖTLANDS LÄN</t>
        </is>
      </c>
      <c r="E81" t="inlineStr">
        <is>
          <t>LINKÖPING</t>
        </is>
      </c>
      <c r="F81" t="inlineStr">
        <is>
          <t>Övriga Aktiebolag</t>
        </is>
      </c>
      <c r="G81" t="n">
        <v>3</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45930</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45930</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398-2021</t>
        </is>
      </c>
      <c r="B84" s="1" t="n">
        <v>44201</v>
      </c>
      <c r="C84" s="1" t="n">
        <v>45930</v>
      </c>
      <c r="D84" t="inlineStr">
        <is>
          <t>ÖSTERGÖTLANDS LÄN</t>
        </is>
      </c>
      <c r="E84" t="inlineStr">
        <is>
          <t>LINKÖPING</t>
        </is>
      </c>
      <c r="G84" t="n">
        <v>2.2</v>
      </c>
      <c r="H84" t="n">
        <v>0</v>
      </c>
      <c r="I84" t="n">
        <v>0</v>
      </c>
      <c r="J84" t="n">
        <v>0</v>
      </c>
      <c r="K84" t="n">
        <v>0</v>
      </c>
      <c r="L84" t="n">
        <v>0</v>
      </c>
      <c r="M84" t="n">
        <v>0</v>
      </c>
      <c r="N84" t="n">
        <v>0</v>
      </c>
      <c r="O84" t="n">
        <v>0</v>
      </c>
      <c r="P84" t="n">
        <v>0</v>
      </c>
      <c r="Q84" t="n">
        <v>0</v>
      </c>
      <c r="R84" s="2" t="inlineStr"/>
    </row>
    <row r="85" ht="15" customHeight="1">
      <c r="A85" t="inlineStr">
        <is>
          <t>A 67322-2021</t>
        </is>
      </c>
      <c r="B85" s="1" t="n">
        <v>44523</v>
      </c>
      <c r="C85" s="1" t="n">
        <v>45930</v>
      </c>
      <c r="D85" t="inlineStr">
        <is>
          <t>ÖSTERGÖTLANDS LÄN</t>
        </is>
      </c>
      <c r="E85" t="inlineStr">
        <is>
          <t>LINKÖPING</t>
        </is>
      </c>
      <c r="G85" t="n">
        <v>0.8</v>
      </c>
      <c r="H85" t="n">
        <v>0</v>
      </c>
      <c r="I85" t="n">
        <v>0</v>
      </c>
      <c r="J85" t="n">
        <v>0</v>
      </c>
      <c r="K85" t="n">
        <v>0</v>
      </c>
      <c r="L85" t="n">
        <v>0</v>
      </c>
      <c r="M85" t="n">
        <v>0</v>
      </c>
      <c r="N85" t="n">
        <v>0</v>
      </c>
      <c r="O85" t="n">
        <v>0</v>
      </c>
      <c r="P85" t="n">
        <v>0</v>
      </c>
      <c r="Q85" t="n">
        <v>0</v>
      </c>
      <c r="R85" s="2" t="inlineStr"/>
    </row>
    <row r="86" ht="15" customHeight="1">
      <c r="A86" t="inlineStr">
        <is>
          <t>A 7840-2022</t>
        </is>
      </c>
      <c r="B86" s="1" t="n">
        <v>44608</v>
      </c>
      <c r="C86" s="1" t="n">
        <v>45930</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40506-2021</t>
        </is>
      </c>
      <c r="B87" s="1" t="n">
        <v>44420</v>
      </c>
      <c r="C87" s="1" t="n">
        <v>45930</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64269-2021</t>
        </is>
      </c>
      <c r="B88" s="1" t="n">
        <v>44510</v>
      </c>
      <c r="C88" s="1" t="n">
        <v>45930</v>
      </c>
      <c r="D88" t="inlineStr">
        <is>
          <t>ÖSTERGÖTLANDS LÄN</t>
        </is>
      </c>
      <c r="E88" t="inlineStr">
        <is>
          <t>LINKÖPING</t>
        </is>
      </c>
      <c r="G88" t="n">
        <v>1.9</v>
      </c>
      <c r="H88" t="n">
        <v>0</v>
      </c>
      <c r="I88" t="n">
        <v>0</v>
      </c>
      <c r="J88" t="n">
        <v>0</v>
      </c>
      <c r="K88" t="n">
        <v>0</v>
      </c>
      <c r="L88" t="n">
        <v>0</v>
      </c>
      <c r="M88" t="n">
        <v>0</v>
      </c>
      <c r="N88" t="n">
        <v>0</v>
      </c>
      <c r="O88" t="n">
        <v>0</v>
      </c>
      <c r="P88" t="n">
        <v>0</v>
      </c>
      <c r="Q88" t="n">
        <v>0</v>
      </c>
      <c r="R88" s="2" t="inlineStr"/>
    </row>
    <row r="89" ht="15" customHeight="1">
      <c r="A89" t="inlineStr">
        <is>
          <t>A 58407-2021</t>
        </is>
      </c>
      <c r="B89" s="1" t="n">
        <v>44488</v>
      </c>
      <c r="C89" s="1" t="n">
        <v>45930</v>
      </c>
      <c r="D89" t="inlineStr">
        <is>
          <t>ÖSTERGÖTLANDS LÄN</t>
        </is>
      </c>
      <c r="E89" t="inlineStr">
        <is>
          <t>LINKÖPING</t>
        </is>
      </c>
      <c r="G89" t="n">
        <v>1.1</v>
      </c>
      <c r="H89" t="n">
        <v>0</v>
      </c>
      <c r="I89" t="n">
        <v>0</v>
      </c>
      <c r="J89" t="n">
        <v>0</v>
      </c>
      <c r="K89" t="n">
        <v>0</v>
      </c>
      <c r="L89" t="n">
        <v>0</v>
      </c>
      <c r="M89" t="n">
        <v>0</v>
      </c>
      <c r="N89" t="n">
        <v>0</v>
      </c>
      <c r="O89" t="n">
        <v>0</v>
      </c>
      <c r="P89" t="n">
        <v>0</v>
      </c>
      <c r="Q89" t="n">
        <v>0</v>
      </c>
      <c r="R89" s="2" t="inlineStr"/>
    </row>
    <row r="90" ht="15" customHeight="1">
      <c r="A90" t="inlineStr">
        <is>
          <t>A 30800-2022</t>
        </is>
      </c>
      <c r="B90" s="1" t="n">
        <v>44764.75119212963</v>
      </c>
      <c r="C90" s="1" t="n">
        <v>45930</v>
      </c>
      <c r="D90" t="inlineStr">
        <is>
          <t>ÖSTERGÖTLANDS LÄN</t>
        </is>
      </c>
      <c r="E90" t="inlineStr">
        <is>
          <t>LINKÖPING</t>
        </is>
      </c>
      <c r="G90" t="n">
        <v>0.9</v>
      </c>
      <c r="H90" t="n">
        <v>0</v>
      </c>
      <c r="I90" t="n">
        <v>0</v>
      </c>
      <c r="J90" t="n">
        <v>0</v>
      </c>
      <c r="K90" t="n">
        <v>0</v>
      </c>
      <c r="L90" t="n">
        <v>0</v>
      </c>
      <c r="M90" t="n">
        <v>0</v>
      </c>
      <c r="N90" t="n">
        <v>0</v>
      </c>
      <c r="O90" t="n">
        <v>0</v>
      </c>
      <c r="P90" t="n">
        <v>0</v>
      </c>
      <c r="Q90" t="n">
        <v>0</v>
      </c>
      <c r="R90" s="2" t="inlineStr"/>
    </row>
    <row r="91" ht="15" customHeight="1">
      <c r="A91" t="inlineStr">
        <is>
          <t>A 40635-2021</t>
        </is>
      </c>
      <c r="B91" s="1" t="n">
        <v>44420</v>
      </c>
      <c r="C91" s="1" t="n">
        <v>45930</v>
      </c>
      <c r="D91" t="inlineStr">
        <is>
          <t>ÖSTERGÖTLANDS LÄN</t>
        </is>
      </c>
      <c r="E91" t="inlineStr">
        <is>
          <t>LINKÖPING</t>
        </is>
      </c>
      <c r="G91" t="n">
        <v>2.7</v>
      </c>
      <c r="H91" t="n">
        <v>0</v>
      </c>
      <c r="I91" t="n">
        <v>0</v>
      </c>
      <c r="J91" t="n">
        <v>0</v>
      </c>
      <c r="K91" t="n">
        <v>0</v>
      </c>
      <c r="L91" t="n">
        <v>0</v>
      </c>
      <c r="M91" t="n">
        <v>0</v>
      </c>
      <c r="N91" t="n">
        <v>0</v>
      </c>
      <c r="O91" t="n">
        <v>0</v>
      </c>
      <c r="P91" t="n">
        <v>0</v>
      </c>
      <c r="Q91" t="n">
        <v>0</v>
      </c>
      <c r="R91" s="2" t="inlineStr"/>
    </row>
    <row r="92" ht="15" customHeight="1">
      <c r="A92" t="inlineStr">
        <is>
          <t>A 49018-2022</t>
        </is>
      </c>
      <c r="B92" s="1" t="n">
        <v>44855</v>
      </c>
      <c r="C92" s="1" t="n">
        <v>45930</v>
      </c>
      <c r="D92" t="inlineStr">
        <is>
          <t>ÖSTERGÖTLANDS LÄN</t>
        </is>
      </c>
      <c r="E92" t="inlineStr">
        <is>
          <t>LINKÖPING</t>
        </is>
      </c>
      <c r="F92" t="inlineStr">
        <is>
          <t>Kommuner</t>
        </is>
      </c>
      <c r="G92" t="n">
        <v>0.4</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45930</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45930</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45930</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45930</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60639-2021</t>
        </is>
      </c>
      <c r="B97" s="1" t="n">
        <v>44496</v>
      </c>
      <c r="C97" s="1" t="n">
        <v>45930</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16715-2021</t>
        </is>
      </c>
      <c r="B98" s="1" t="n">
        <v>44294</v>
      </c>
      <c r="C98" s="1" t="n">
        <v>45930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45930</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45930</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45930</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45930</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45930</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45930</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45930</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45930</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45930</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45930</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45930</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45930</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45930</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45930</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45930</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45930</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45930</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45930</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45930</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45930</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45930</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45930</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45930</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45930</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45930</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45930</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45930</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45930</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45930</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45930</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45930</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45930</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45930</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45930</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45930</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45930</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384-2021</t>
        </is>
      </c>
      <c r="B135" s="1" t="n">
        <v>44201.57689814815</v>
      </c>
      <c r="C135" s="1" t="n">
        <v>45930</v>
      </c>
      <c r="D135" t="inlineStr">
        <is>
          <t>ÖSTERGÖTLANDS LÄN</t>
        </is>
      </c>
      <c r="E135" t="inlineStr">
        <is>
          <t>LINKÖPING</t>
        </is>
      </c>
      <c r="G135" t="n">
        <v>0.2</v>
      </c>
      <c r="H135" t="n">
        <v>0</v>
      </c>
      <c r="I135" t="n">
        <v>0</v>
      </c>
      <c r="J135" t="n">
        <v>0</v>
      </c>
      <c r="K135" t="n">
        <v>0</v>
      </c>
      <c r="L135" t="n">
        <v>0</v>
      </c>
      <c r="M135" t="n">
        <v>0</v>
      </c>
      <c r="N135" t="n">
        <v>0</v>
      </c>
      <c r="O135" t="n">
        <v>0</v>
      </c>
      <c r="P135" t="n">
        <v>0</v>
      </c>
      <c r="Q135" t="n">
        <v>0</v>
      </c>
      <c r="R135" s="2" t="inlineStr"/>
    </row>
    <row r="136" ht="15" customHeight="1">
      <c r="A136" t="inlineStr">
        <is>
          <t>A 38130-2021</t>
        </is>
      </c>
      <c r="B136" s="1" t="n">
        <v>44405</v>
      </c>
      <c r="C136" s="1" t="n">
        <v>45930</v>
      </c>
      <c r="D136" t="inlineStr">
        <is>
          <t>ÖSTERGÖTLANDS LÄN</t>
        </is>
      </c>
      <c r="E136" t="inlineStr">
        <is>
          <t>LINKÖPING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40527-2022</t>
        </is>
      </c>
      <c r="B137" s="1" t="n">
        <v>44823</v>
      </c>
      <c r="C137" s="1" t="n">
        <v>45930</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52968-2021</t>
        </is>
      </c>
      <c r="B138" s="1" t="n">
        <v>44467</v>
      </c>
      <c r="C138" s="1" t="n">
        <v>45930</v>
      </c>
      <c r="D138" t="inlineStr">
        <is>
          <t>ÖSTERGÖTLANDS LÄN</t>
        </is>
      </c>
      <c r="E138" t="inlineStr">
        <is>
          <t>LINKÖPING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65395-2021</t>
        </is>
      </c>
      <c r="B139" s="1" t="n">
        <v>44515</v>
      </c>
      <c r="C139" s="1" t="n">
        <v>45930</v>
      </c>
      <c r="D139" t="inlineStr">
        <is>
          <t>ÖSTERGÖTLANDS LÄN</t>
        </is>
      </c>
      <c r="E139" t="inlineStr">
        <is>
          <t>LINKÖPING</t>
        </is>
      </c>
      <c r="F139" t="inlineStr">
        <is>
          <t>Övriga statliga verk och myndigheter</t>
        </is>
      </c>
      <c r="G139" t="n">
        <v>0.7</v>
      </c>
      <c r="H139" t="n">
        <v>0</v>
      </c>
      <c r="I139" t="n">
        <v>0</v>
      </c>
      <c r="J139" t="n">
        <v>0</v>
      </c>
      <c r="K139" t="n">
        <v>0</v>
      </c>
      <c r="L139" t="n">
        <v>0</v>
      </c>
      <c r="M139" t="n">
        <v>0</v>
      </c>
      <c r="N139" t="n">
        <v>0</v>
      </c>
      <c r="O139" t="n">
        <v>0</v>
      </c>
      <c r="P139" t="n">
        <v>0</v>
      </c>
      <c r="Q139" t="n">
        <v>0</v>
      </c>
      <c r="R139" s="2" t="inlineStr"/>
    </row>
    <row r="140" ht="15" customHeight="1">
      <c r="A140" t="inlineStr">
        <is>
          <t>A 48016-2021</t>
        </is>
      </c>
      <c r="B140" s="1" t="n">
        <v>44449</v>
      </c>
      <c r="C140" s="1" t="n">
        <v>45930</v>
      </c>
      <c r="D140" t="inlineStr">
        <is>
          <t>ÖSTERGÖTLANDS LÄN</t>
        </is>
      </c>
      <c r="E140" t="inlineStr">
        <is>
          <t>LINKÖPING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30858-2022</t>
        </is>
      </c>
      <c r="B141" s="1" t="n">
        <v>44767</v>
      </c>
      <c r="C141" s="1" t="n">
        <v>45930</v>
      </c>
      <c r="D141" t="inlineStr">
        <is>
          <t>ÖSTERGÖTLANDS LÄN</t>
        </is>
      </c>
      <c r="E141" t="inlineStr">
        <is>
          <t>LINKÖPING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23175-2022</t>
        </is>
      </c>
      <c r="B142" s="1" t="n">
        <v>44719</v>
      </c>
      <c r="C142" s="1" t="n">
        <v>45930</v>
      </c>
      <c r="D142" t="inlineStr">
        <is>
          <t>ÖSTERGÖTLANDS LÄN</t>
        </is>
      </c>
      <c r="E142" t="inlineStr">
        <is>
          <t>LINKÖPING</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58266-2021</t>
        </is>
      </c>
      <c r="B143" s="1" t="n">
        <v>44487</v>
      </c>
      <c r="C143" s="1" t="n">
        <v>45930</v>
      </c>
      <c r="D143" t="inlineStr">
        <is>
          <t>ÖSTERGÖTLANDS LÄN</t>
        </is>
      </c>
      <c r="E143" t="inlineStr">
        <is>
          <t>LINKÖPING</t>
        </is>
      </c>
      <c r="F143" t="inlineStr">
        <is>
          <t>Övriga Aktiebolag</t>
        </is>
      </c>
      <c r="G143" t="n">
        <v>3.2</v>
      </c>
      <c r="H143" t="n">
        <v>0</v>
      </c>
      <c r="I143" t="n">
        <v>0</v>
      </c>
      <c r="J143" t="n">
        <v>0</v>
      </c>
      <c r="K143" t="n">
        <v>0</v>
      </c>
      <c r="L143" t="n">
        <v>0</v>
      </c>
      <c r="M143" t="n">
        <v>0</v>
      </c>
      <c r="N143" t="n">
        <v>0</v>
      </c>
      <c r="O143" t="n">
        <v>0</v>
      </c>
      <c r="P143" t="n">
        <v>0</v>
      </c>
      <c r="Q143" t="n">
        <v>0</v>
      </c>
      <c r="R143" s="2" t="inlineStr"/>
    </row>
    <row r="144" ht="15" customHeight="1">
      <c r="A144" t="inlineStr">
        <is>
          <t>A 28447-2021</t>
        </is>
      </c>
      <c r="B144" s="1" t="n">
        <v>44356</v>
      </c>
      <c r="C144" s="1" t="n">
        <v>45930</v>
      </c>
      <c r="D144" t="inlineStr">
        <is>
          <t>ÖSTERGÖTLANDS LÄN</t>
        </is>
      </c>
      <c r="E144" t="inlineStr">
        <is>
          <t>LINKÖPING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31705-2022</t>
        </is>
      </c>
      <c r="B145" s="1" t="n">
        <v>44776.43607638889</v>
      </c>
      <c r="C145" s="1" t="n">
        <v>45930</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9935-2021</t>
        </is>
      </c>
      <c r="B146" s="1" t="n">
        <v>44253</v>
      </c>
      <c r="C146" s="1" t="n">
        <v>45930</v>
      </c>
      <c r="D146" t="inlineStr">
        <is>
          <t>ÖSTERGÖTLANDS LÄN</t>
        </is>
      </c>
      <c r="E146" t="inlineStr">
        <is>
          <t>LINKÖPING</t>
        </is>
      </c>
      <c r="G146" t="n">
        <v>4.5</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45930</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45930</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36341-2022</t>
        </is>
      </c>
      <c r="B149" s="1" t="n">
        <v>44803</v>
      </c>
      <c r="C149" s="1" t="n">
        <v>45930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67912-2021</t>
        </is>
      </c>
      <c r="B150" s="1" t="n">
        <v>44525</v>
      </c>
      <c r="C150" s="1" t="n">
        <v>45930</v>
      </c>
      <c r="D150" t="inlineStr">
        <is>
          <t>ÖSTERGÖTLANDS LÄN</t>
        </is>
      </c>
      <c r="E150" t="inlineStr">
        <is>
          <t>LINKÖPING</t>
        </is>
      </c>
      <c r="G150" t="n">
        <v>2.4</v>
      </c>
      <c r="H150" t="n">
        <v>0</v>
      </c>
      <c r="I150" t="n">
        <v>0</v>
      </c>
      <c r="J150" t="n">
        <v>0</v>
      </c>
      <c r="K150" t="n">
        <v>0</v>
      </c>
      <c r="L150" t="n">
        <v>0</v>
      </c>
      <c r="M150" t="n">
        <v>0</v>
      </c>
      <c r="N150" t="n">
        <v>0</v>
      </c>
      <c r="O150" t="n">
        <v>0</v>
      </c>
      <c r="P150" t="n">
        <v>0</v>
      </c>
      <c r="Q150" t="n">
        <v>0</v>
      </c>
      <c r="R150" s="2" t="inlineStr"/>
    </row>
    <row r="151" ht="15" customHeight="1">
      <c r="A151" t="inlineStr">
        <is>
          <t>A 67940-2021</t>
        </is>
      </c>
      <c r="B151" s="1" t="n">
        <v>44525.62849537037</v>
      </c>
      <c r="C151" s="1" t="n">
        <v>45930</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45930</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45930</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45930</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45930</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51912-2020</t>
        </is>
      </c>
      <c r="B156" s="1" t="n">
        <v>44116</v>
      </c>
      <c r="C156" s="1" t="n">
        <v>45930</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13075-2022</t>
        </is>
      </c>
      <c r="B157" s="1" t="n">
        <v>44643</v>
      </c>
      <c r="C157" s="1" t="n">
        <v>45930</v>
      </c>
      <c r="D157" t="inlineStr">
        <is>
          <t>ÖSTERGÖTLANDS LÄN</t>
        </is>
      </c>
      <c r="E157" t="inlineStr">
        <is>
          <t>LINKÖPING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50035-2020</t>
        </is>
      </c>
      <c r="B158" s="1" t="n">
        <v>44109</v>
      </c>
      <c r="C158" s="1" t="n">
        <v>45930</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45930</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45930</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34486-2021</t>
        </is>
      </c>
      <c r="B161" s="1" t="n">
        <v>44382.29295138889</v>
      </c>
      <c r="C161" s="1" t="n">
        <v>45930</v>
      </c>
      <c r="D161" t="inlineStr">
        <is>
          <t>ÖSTERGÖTLANDS LÄN</t>
        </is>
      </c>
      <c r="E161" t="inlineStr">
        <is>
          <t>LINKÖPING</t>
        </is>
      </c>
      <c r="G161" t="n">
        <v>4.4</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45930</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59288-2020</t>
        </is>
      </c>
      <c r="B163" s="1" t="n">
        <v>44147</v>
      </c>
      <c r="C163" s="1" t="n">
        <v>45930</v>
      </c>
      <c r="D163" t="inlineStr">
        <is>
          <t>ÖSTERGÖTLANDS LÄN</t>
        </is>
      </c>
      <c r="E163" t="inlineStr">
        <is>
          <t>LINKÖPING</t>
        </is>
      </c>
      <c r="G163" t="n">
        <v>2.8</v>
      </c>
      <c r="H163" t="n">
        <v>0</v>
      </c>
      <c r="I163" t="n">
        <v>0</v>
      </c>
      <c r="J163" t="n">
        <v>0</v>
      </c>
      <c r="K163" t="n">
        <v>0</v>
      </c>
      <c r="L163" t="n">
        <v>0</v>
      </c>
      <c r="M163" t="n">
        <v>0</v>
      </c>
      <c r="N163" t="n">
        <v>0</v>
      </c>
      <c r="O163" t="n">
        <v>0</v>
      </c>
      <c r="P163" t="n">
        <v>0</v>
      </c>
      <c r="Q163" t="n">
        <v>0</v>
      </c>
      <c r="R163" s="2" t="inlineStr"/>
    </row>
    <row r="164" ht="15" customHeight="1">
      <c r="A164" t="inlineStr">
        <is>
          <t>A 23416-2022</t>
        </is>
      </c>
      <c r="B164" s="1" t="n">
        <v>44720.78243055556</v>
      </c>
      <c r="C164" s="1" t="n">
        <v>45930</v>
      </c>
      <c r="D164" t="inlineStr">
        <is>
          <t>ÖSTERGÖTLANDS LÄN</t>
        </is>
      </c>
      <c r="E164" t="inlineStr">
        <is>
          <t>LINKÖPING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5605-2022</t>
        </is>
      </c>
      <c r="B165" s="1" t="n">
        <v>44595</v>
      </c>
      <c r="C165" s="1" t="n">
        <v>45930</v>
      </c>
      <c r="D165" t="inlineStr">
        <is>
          <t>ÖSTERGÖTLANDS LÄN</t>
        </is>
      </c>
      <c r="E165" t="inlineStr">
        <is>
          <t>LINKÖPING</t>
        </is>
      </c>
      <c r="F165" t="inlineStr">
        <is>
          <t>Övriga statliga verk och myndigheter</t>
        </is>
      </c>
      <c r="G165" t="n">
        <v>3</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45930</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56688-2021</t>
        </is>
      </c>
      <c r="B167" s="1" t="n">
        <v>44481</v>
      </c>
      <c r="C167" s="1" t="n">
        <v>45930</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38235-2022</t>
        </is>
      </c>
      <c r="B168" s="1" t="n">
        <v>44812</v>
      </c>
      <c r="C168" s="1" t="n">
        <v>45930</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45930</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45930</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50401-2020</t>
        </is>
      </c>
      <c r="B171" s="1" t="n">
        <v>44110</v>
      </c>
      <c r="C171" s="1" t="n">
        <v>45930</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45930</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10407-2025</t>
        </is>
      </c>
      <c r="B173" s="1" t="n">
        <v>45720.62863425926</v>
      </c>
      <c r="C173" s="1" t="n">
        <v>45930</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39021-2021</t>
        </is>
      </c>
      <c r="B174" s="1" t="n">
        <v>44412</v>
      </c>
      <c r="C174" s="1" t="n">
        <v>45930</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12035-2025</t>
        </is>
      </c>
      <c r="B175" s="1" t="n">
        <v>45728.64946759259</v>
      </c>
      <c r="C175" s="1" t="n">
        <v>45930</v>
      </c>
      <c r="D175" t="inlineStr">
        <is>
          <t>ÖSTERGÖTLANDS LÄN</t>
        </is>
      </c>
      <c r="E175" t="inlineStr">
        <is>
          <t>LINKÖPING</t>
        </is>
      </c>
      <c r="G175" t="n">
        <v>3.7</v>
      </c>
      <c r="H175" t="n">
        <v>0</v>
      </c>
      <c r="I175" t="n">
        <v>0</v>
      </c>
      <c r="J175" t="n">
        <v>0</v>
      </c>
      <c r="K175" t="n">
        <v>0</v>
      </c>
      <c r="L175" t="n">
        <v>0</v>
      </c>
      <c r="M175" t="n">
        <v>0</v>
      </c>
      <c r="N175" t="n">
        <v>0</v>
      </c>
      <c r="O175" t="n">
        <v>0</v>
      </c>
      <c r="P175" t="n">
        <v>0</v>
      </c>
      <c r="Q175" t="n">
        <v>0</v>
      </c>
      <c r="R175" s="2" t="inlineStr"/>
    </row>
    <row r="176" ht="15" customHeight="1">
      <c r="A176" t="inlineStr">
        <is>
          <t>A 948-2022</t>
        </is>
      </c>
      <c r="B176" s="1" t="n">
        <v>44571</v>
      </c>
      <c r="C176" s="1" t="n">
        <v>45930</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45930</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31732-2022</t>
        </is>
      </c>
      <c r="B178" s="1" t="n">
        <v>44776.49267361111</v>
      </c>
      <c r="C178" s="1" t="n">
        <v>45930</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37014-2021</t>
        </is>
      </c>
      <c r="B179" s="1" t="n">
        <v>44393</v>
      </c>
      <c r="C179" s="1" t="n">
        <v>45930</v>
      </c>
      <c r="D179" t="inlineStr">
        <is>
          <t>ÖSTERGÖTLANDS LÄN</t>
        </is>
      </c>
      <c r="E179" t="inlineStr">
        <is>
          <t>LINKÖPING</t>
        </is>
      </c>
      <c r="F179" t="inlineStr">
        <is>
          <t>Allmännings- och besparingsskogar</t>
        </is>
      </c>
      <c r="G179" t="n">
        <v>7.7</v>
      </c>
      <c r="H179" t="n">
        <v>0</v>
      </c>
      <c r="I179" t="n">
        <v>0</v>
      </c>
      <c r="J179" t="n">
        <v>0</v>
      </c>
      <c r="K179" t="n">
        <v>0</v>
      </c>
      <c r="L179" t="n">
        <v>0</v>
      </c>
      <c r="M179" t="n">
        <v>0</v>
      </c>
      <c r="N179" t="n">
        <v>0</v>
      </c>
      <c r="O179" t="n">
        <v>0</v>
      </c>
      <c r="P179" t="n">
        <v>0</v>
      </c>
      <c r="Q179" t="n">
        <v>0</v>
      </c>
      <c r="R179" s="2" t="inlineStr"/>
    </row>
    <row r="180" ht="15" customHeight="1">
      <c r="A180" t="inlineStr">
        <is>
          <t>A 51484-2023</t>
        </is>
      </c>
      <c r="B180" s="1" t="n">
        <v>45222</v>
      </c>
      <c r="C180" s="1" t="n">
        <v>45930</v>
      </c>
      <c r="D180" t="inlineStr">
        <is>
          <t>ÖSTERGÖTLANDS LÄN</t>
        </is>
      </c>
      <c r="E180" t="inlineStr">
        <is>
          <t>LINKÖPING</t>
        </is>
      </c>
      <c r="F180" t="inlineStr">
        <is>
          <t>Övriga Aktiebolag</t>
        </is>
      </c>
      <c r="G180" t="n">
        <v>7.7</v>
      </c>
      <c r="H180" t="n">
        <v>0</v>
      </c>
      <c r="I180" t="n">
        <v>0</v>
      </c>
      <c r="J180" t="n">
        <v>0</v>
      </c>
      <c r="K180" t="n">
        <v>0</v>
      </c>
      <c r="L180" t="n">
        <v>0</v>
      </c>
      <c r="M180" t="n">
        <v>0</v>
      </c>
      <c r="N180" t="n">
        <v>0</v>
      </c>
      <c r="O180" t="n">
        <v>0</v>
      </c>
      <c r="P180" t="n">
        <v>0</v>
      </c>
      <c r="Q180" t="n">
        <v>0</v>
      </c>
      <c r="R180" s="2" t="inlineStr"/>
    </row>
    <row r="181" ht="15" customHeight="1">
      <c r="A181" t="inlineStr">
        <is>
          <t>A 38134-2021</t>
        </is>
      </c>
      <c r="B181" s="1" t="n">
        <v>44405.3794212963</v>
      </c>
      <c r="C181" s="1" t="n">
        <v>45930</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61302-2021</t>
        </is>
      </c>
      <c r="B182" s="1" t="n">
        <v>44498.63189814815</v>
      </c>
      <c r="C182" s="1" t="n">
        <v>45930</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4929-2021</t>
        </is>
      </c>
      <c r="B183" s="1" t="n">
        <v>44227.57533564815</v>
      </c>
      <c r="C183" s="1" t="n">
        <v>45930</v>
      </c>
      <c r="D183" t="inlineStr">
        <is>
          <t>ÖSTERGÖTLANDS LÄN</t>
        </is>
      </c>
      <c r="E183" t="inlineStr">
        <is>
          <t>LINKÖPING</t>
        </is>
      </c>
      <c r="G183" t="n">
        <v>0.4</v>
      </c>
      <c r="H183" t="n">
        <v>0</v>
      </c>
      <c r="I183" t="n">
        <v>0</v>
      </c>
      <c r="J183" t="n">
        <v>0</v>
      </c>
      <c r="K183" t="n">
        <v>0</v>
      </c>
      <c r="L183" t="n">
        <v>0</v>
      </c>
      <c r="M183" t="n">
        <v>0</v>
      </c>
      <c r="N183" t="n">
        <v>0</v>
      </c>
      <c r="O183" t="n">
        <v>0</v>
      </c>
      <c r="P183" t="n">
        <v>0</v>
      </c>
      <c r="Q183" t="n">
        <v>0</v>
      </c>
      <c r="R183" s="2" t="inlineStr"/>
    </row>
    <row r="184" ht="15" customHeight="1">
      <c r="A184" t="inlineStr">
        <is>
          <t>A 9434-2024</t>
        </is>
      </c>
      <c r="B184" s="1" t="n">
        <v>45359</v>
      </c>
      <c r="C184" s="1" t="n">
        <v>45930</v>
      </c>
      <c r="D184" t="inlineStr">
        <is>
          <t>ÖSTERGÖTLANDS LÄN</t>
        </is>
      </c>
      <c r="E184" t="inlineStr">
        <is>
          <t>LINKÖPING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63678-2023</t>
        </is>
      </c>
      <c r="B185" s="1" t="n">
        <v>45275.64769675926</v>
      </c>
      <c r="C185" s="1" t="n">
        <v>45930</v>
      </c>
      <c r="D185" t="inlineStr">
        <is>
          <t>ÖSTERGÖTLANDS LÄN</t>
        </is>
      </c>
      <c r="E185" t="inlineStr">
        <is>
          <t>LINKÖPING</t>
        </is>
      </c>
      <c r="F185" t="inlineStr">
        <is>
          <t>Övriga Aktiebolag</t>
        </is>
      </c>
      <c r="G185" t="n">
        <v>0.4</v>
      </c>
      <c r="H185" t="n">
        <v>0</v>
      </c>
      <c r="I185" t="n">
        <v>0</v>
      </c>
      <c r="J185" t="n">
        <v>0</v>
      </c>
      <c r="K185" t="n">
        <v>0</v>
      </c>
      <c r="L185" t="n">
        <v>0</v>
      </c>
      <c r="M185" t="n">
        <v>0</v>
      </c>
      <c r="N185" t="n">
        <v>0</v>
      </c>
      <c r="O185" t="n">
        <v>0</v>
      </c>
      <c r="P185" t="n">
        <v>0</v>
      </c>
      <c r="Q185" t="n">
        <v>0</v>
      </c>
      <c r="R185" s="2" t="inlineStr"/>
    </row>
    <row r="186" ht="15" customHeight="1">
      <c r="A186" t="inlineStr">
        <is>
          <t>A 63688-2023</t>
        </is>
      </c>
      <c r="B186" s="1" t="n">
        <v>45275</v>
      </c>
      <c r="C186" s="1" t="n">
        <v>45930</v>
      </c>
      <c r="D186" t="inlineStr">
        <is>
          <t>ÖSTERGÖTLANDS LÄN</t>
        </is>
      </c>
      <c r="E186" t="inlineStr">
        <is>
          <t>LINKÖPING</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63691-2023</t>
        </is>
      </c>
      <c r="B187" s="1" t="n">
        <v>45275</v>
      </c>
      <c r="C187" s="1" t="n">
        <v>45930</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34557-2022</t>
        </is>
      </c>
      <c r="B188" s="1" t="n">
        <v>44794.57074074074</v>
      </c>
      <c r="C188" s="1" t="n">
        <v>45930</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45930</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45930</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17157-2024</t>
        </is>
      </c>
      <c r="B191" s="1" t="n">
        <v>45412.70567129629</v>
      </c>
      <c r="C191" s="1" t="n">
        <v>45930</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33891-2021</t>
        </is>
      </c>
      <c r="B192" s="1" t="n">
        <v>44378</v>
      </c>
      <c r="C192" s="1" t="n">
        <v>45930</v>
      </c>
      <c r="D192" t="inlineStr">
        <is>
          <t>ÖSTERGÖTLANDS LÄN</t>
        </is>
      </c>
      <c r="E192" t="inlineStr">
        <is>
          <t>LINKÖPING</t>
        </is>
      </c>
      <c r="G192" t="n">
        <v>5.1</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45930</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13689-2025</t>
        </is>
      </c>
      <c r="B194" s="1" t="n">
        <v>45737.31590277778</v>
      </c>
      <c r="C194" s="1" t="n">
        <v>45930</v>
      </c>
      <c r="D194" t="inlineStr">
        <is>
          <t>ÖSTERGÖTLANDS LÄN</t>
        </is>
      </c>
      <c r="E194" t="inlineStr">
        <is>
          <t>LINKÖPING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13696-2025</t>
        </is>
      </c>
      <c r="B195" s="1" t="n">
        <v>45737.32273148148</v>
      </c>
      <c r="C195" s="1" t="n">
        <v>45930</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45930</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12428-2024</t>
        </is>
      </c>
      <c r="B197" s="1" t="n">
        <v>45379</v>
      </c>
      <c r="C197" s="1" t="n">
        <v>45930</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45930</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19254-2021</t>
        </is>
      </c>
      <c r="B199" s="1" t="n">
        <v>44309.38962962963</v>
      </c>
      <c r="C199" s="1" t="n">
        <v>45930</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60129-2020</t>
        </is>
      </c>
      <c r="B200" s="1" t="n">
        <v>44152</v>
      </c>
      <c r="C200" s="1" t="n">
        <v>45930</v>
      </c>
      <c r="D200" t="inlineStr">
        <is>
          <t>ÖSTERGÖTLANDS LÄN</t>
        </is>
      </c>
      <c r="E200" t="inlineStr">
        <is>
          <t>LINKÖPING</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54854-2022</t>
        </is>
      </c>
      <c r="B201" s="1" t="n">
        <v>44884</v>
      </c>
      <c r="C201" s="1" t="n">
        <v>45930</v>
      </c>
      <c r="D201" t="inlineStr">
        <is>
          <t>ÖSTERGÖTLANDS LÄN</t>
        </is>
      </c>
      <c r="E201" t="inlineStr">
        <is>
          <t>LINKÖPING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54855-2022</t>
        </is>
      </c>
      <c r="B202" s="1" t="n">
        <v>44884.59502314815</v>
      </c>
      <c r="C202" s="1" t="n">
        <v>45930</v>
      </c>
      <c r="D202" t="inlineStr">
        <is>
          <t>ÖSTERGÖTLANDS LÄN</t>
        </is>
      </c>
      <c r="E202" t="inlineStr">
        <is>
          <t>LINKÖPING</t>
        </is>
      </c>
      <c r="G202" t="n">
        <v>2.9</v>
      </c>
      <c r="H202" t="n">
        <v>0</v>
      </c>
      <c r="I202" t="n">
        <v>0</v>
      </c>
      <c r="J202" t="n">
        <v>0</v>
      </c>
      <c r="K202" t="n">
        <v>0</v>
      </c>
      <c r="L202" t="n">
        <v>0</v>
      </c>
      <c r="M202" t="n">
        <v>0</v>
      </c>
      <c r="N202" t="n">
        <v>0</v>
      </c>
      <c r="O202" t="n">
        <v>0</v>
      </c>
      <c r="P202" t="n">
        <v>0</v>
      </c>
      <c r="Q202" t="n">
        <v>0</v>
      </c>
      <c r="R202" s="2" t="inlineStr"/>
    </row>
    <row r="203" ht="15" customHeight="1">
      <c r="A203" t="inlineStr">
        <is>
          <t>A 61298-2021</t>
        </is>
      </c>
      <c r="B203" s="1" t="n">
        <v>44498.62533564815</v>
      </c>
      <c r="C203" s="1" t="n">
        <v>45930</v>
      </c>
      <c r="D203" t="inlineStr">
        <is>
          <t>ÖSTERGÖTLANDS LÄN</t>
        </is>
      </c>
      <c r="E203" t="inlineStr">
        <is>
          <t>LINKÖPING</t>
        </is>
      </c>
      <c r="G203" t="n">
        <v>4.3</v>
      </c>
      <c r="H203" t="n">
        <v>0</v>
      </c>
      <c r="I203" t="n">
        <v>0</v>
      </c>
      <c r="J203" t="n">
        <v>0</v>
      </c>
      <c r="K203" t="n">
        <v>0</v>
      </c>
      <c r="L203" t="n">
        <v>0</v>
      </c>
      <c r="M203" t="n">
        <v>0</v>
      </c>
      <c r="N203" t="n">
        <v>0</v>
      </c>
      <c r="O203" t="n">
        <v>0</v>
      </c>
      <c r="P203" t="n">
        <v>0</v>
      </c>
      <c r="Q203" t="n">
        <v>0</v>
      </c>
      <c r="R203" s="2" t="inlineStr"/>
    </row>
    <row r="204" ht="15" customHeight="1">
      <c r="A204" t="inlineStr">
        <is>
          <t>A 61333-2021</t>
        </is>
      </c>
      <c r="B204" s="1" t="n">
        <v>44498.6764699074</v>
      </c>
      <c r="C204" s="1" t="n">
        <v>45930</v>
      </c>
      <c r="D204" t="inlineStr">
        <is>
          <t>ÖSTERGÖTLANDS LÄN</t>
        </is>
      </c>
      <c r="E204" t="inlineStr">
        <is>
          <t>LINKÖPING</t>
        </is>
      </c>
      <c r="G204" t="n">
        <v>7.5</v>
      </c>
      <c r="H204" t="n">
        <v>0</v>
      </c>
      <c r="I204" t="n">
        <v>0</v>
      </c>
      <c r="J204" t="n">
        <v>0</v>
      </c>
      <c r="K204" t="n">
        <v>0</v>
      </c>
      <c r="L204" t="n">
        <v>0</v>
      </c>
      <c r="M204" t="n">
        <v>0</v>
      </c>
      <c r="N204" t="n">
        <v>0</v>
      </c>
      <c r="O204" t="n">
        <v>0</v>
      </c>
      <c r="P204" t="n">
        <v>0</v>
      </c>
      <c r="Q204" t="n">
        <v>0</v>
      </c>
      <c r="R204" s="2" t="inlineStr"/>
    </row>
    <row r="205" ht="15" customHeight="1">
      <c r="A205" t="inlineStr">
        <is>
          <t>A 12412-2022</t>
        </is>
      </c>
      <c r="B205" s="1" t="n">
        <v>44638</v>
      </c>
      <c r="C205" s="1" t="n">
        <v>45930</v>
      </c>
      <c r="D205" t="inlineStr">
        <is>
          <t>ÖSTERGÖTLANDS LÄN</t>
        </is>
      </c>
      <c r="E205" t="inlineStr">
        <is>
          <t>LINKÖPING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4377-2021</t>
        </is>
      </c>
      <c r="B206" s="1" t="n">
        <v>44223</v>
      </c>
      <c r="C206" s="1" t="n">
        <v>45930</v>
      </c>
      <c r="D206" t="inlineStr">
        <is>
          <t>ÖSTERGÖTLANDS LÄN</t>
        </is>
      </c>
      <c r="E206" t="inlineStr">
        <is>
          <t>LINKÖPING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45930</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11079-2022</t>
        </is>
      </c>
      <c r="B208" s="1" t="n">
        <v>44628</v>
      </c>
      <c r="C208" s="1" t="n">
        <v>45930</v>
      </c>
      <c r="D208" t="inlineStr">
        <is>
          <t>ÖSTERGÖTLANDS LÄN</t>
        </is>
      </c>
      <c r="E208" t="inlineStr">
        <is>
          <t>LINKÖPING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20901-2021</t>
        </is>
      </c>
      <c r="B209" s="1" t="n">
        <v>44319</v>
      </c>
      <c r="C209" s="1" t="n">
        <v>45930</v>
      </c>
      <c r="D209" t="inlineStr">
        <is>
          <t>ÖSTERGÖTLANDS LÄN</t>
        </is>
      </c>
      <c r="E209" t="inlineStr">
        <is>
          <t>LINKÖPING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54428-2022</t>
        </is>
      </c>
      <c r="B210" s="1" t="n">
        <v>44882.57643518518</v>
      </c>
      <c r="C210" s="1" t="n">
        <v>45930</v>
      </c>
      <c r="D210" t="inlineStr">
        <is>
          <t>ÖSTERGÖTLANDS LÄN</t>
        </is>
      </c>
      <c r="E210" t="inlineStr">
        <is>
          <t>LINKÖPING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61153-2021</t>
        </is>
      </c>
      <c r="B211" s="1" t="n">
        <v>44497</v>
      </c>
      <c r="C211" s="1" t="n">
        <v>45930</v>
      </c>
      <c r="D211" t="inlineStr">
        <is>
          <t>ÖSTERGÖTLANDS LÄN</t>
        </is>
      </c>
      <c r="E211" t="inlineStr">
        <is>
          <t>LINKÖPING</t>
        </is>
      </c>
      <c r="G211" t="n">
        <v>1.7</v>
      </c>
      <c r="H211" t="n">
        <v>0</v>
      </c>
      <c r="I211" t="n">
        <v>0</v>
      </c>
      <c r="J211" t="n">
        <v>0</v>
      </c>
      <c r="K211" t="n">
        <v>0</v>
      </c>
      <c r="L211" t="n">
        <v>0</v>
      </c>
      <c r="M211" t="n">
        <v>0</v>
      </c>
      <c r="N211" t="n">
        <v>0</v>
      </c>
      <c r="O211" t="n">
        <v>0</v>
      </c>
      <c r="P211" t="n">
        <v>0</v>
      </c>
      <c r="Q211" t="n">
        <v>0</v>
      </c>
      <c r="R211" s="2" t="inlineStr"/>
    </row>
    <row r="212" ht="15" customHeight="1">
      <c r="A212" t="inlineStr">
        <is>
          <t>A 33885-2021</t>
        </is>
      </c>
      <c r="B212" s="1" t="n">
        <v>44378</v>
      </c>
      <c r="C212" s="1" t="n">
        <v>45930</v>
      </c>
      <c r="D212" t="inlineStr">
        <is>
          <t>ÖSTERGÖTLANDS LÄN</t>
        </is>
      </c>
      <c r="E212" t="inlineStr">
        <is>
          <t>LINKÖPING</t>
        </is>
      </c>
      <c r="G212" t="n">
        <v>3.5</v>
      </c>
      <c r="H212" t="n">
        <v>0</v>
      </c>
      <c r="I212" t="n">
        <v>0</v>
      </c>
      <c r="J212" t="n">
        <v>0</v>
      </c>
      <c r="K212" t="n">
        <v>0</v>
      </c>
      <c r="L212" t="n">
        <v>0</v>
      </c>
      <c r="M212" t="n">
        <v>0</v>
      </c>
      <c r="N212" t="n">
        <v>0</v>
      </c>
      <c r="O212" t="n">
        <v>0</v>
      </c>
      <c r="P212" t="n">
        <v>0</v>
      </c>
      <c r="Q212" t="n">
        <v>0</v>
      </c>
      <c r="R212" s="2" t="inlineStr"/>
    </row>
    <row r="213" ht="15" customHeight="1">
      <c r="A213" t="inlineStr">
        <is>
          <t>A 12413-2022</t>
        </is>
      </c>
      <c r="B213" s="1" t="n">
        <v>44638</v>
      </c>
      <c r="C213" s="1" t="n">
        <v>45930</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65398-2021</t>
        </is>
      </c>
      <c r="B214" s="1" t="n">
        <v>44515</v>
      </c>
      <c r="C214" s="1" t="n">
        <v>45930</v>
      </c>
      <c r="D214" t="inlineStr">
        <is>
          <t>ÖSTERGÖTLANDS LÄN</t>
        </is>
      </c>
      <c r="E214" t="inlineStr">
        <is>
          <t>LINKÖPING</t>
        </is>
      </c>
      <c r="F214" t="inlineStr">
        <is>
          <t>Övriga statliga verk och myndigheter</t>
        </is>
      </c>
      <c r="G214" t="n">
        <v>2.4</v>
      </c>
      <c r="H214" t="n">
        <v>0</v>
      </c>
      <c r="I214" t="n">
        <v>0</v>
      </c>
      <c r="J214" t="n">
        <v>0</v>
      </c>
      <c r="K214" t="n">
        <v>0</v>
      </c>
      <c r="L214" t="n">
        <v>0</v>
      </c>
      <c r="M214" t="n">
        <v>0</v>
      </c>
      <c r="N214" t="n">
        <v>0</v>
      </c>
      <c r="O214" t="n">
        <v>0</v>
      </c>
      <c r="P214" t="n">
        <v>0</v>
      </c>
      <c r="Q214" t="n">
        <v>0</v>
      </c>
      <c r="R214" s="2" t="inlineStr"/>
    </row>
    <row r="215" ht="15" customHeight="1">
      <c r="A215" t="inlineStr">
        <is>
          <t>A 52412-2023</t>
        </is>
      </c>
      <c r="B215" s="1" t="n">
        <v>45225.27888888889</v>
      </c>
      <c r="C215" s="1" t="n">
        <v>45930</v>
      </c>
      <c r="D215" t="inlineStr">
        <is>
          <t>ÖSTERGÖTLANDS LÄN</t>
        </is>
      </c>
      <c r="E215" t="inlineStr">
        <is>
          <t>LINKÖPING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11790-2024</t>
        </is>
      </c>
      <c r="B216" s="1" t="n">
        <v>45374</v>
      </c>
      <c r="C216" s="1" t="n">
        <v>45930</v>
      </c>
      <c r="D216" t="inlineStr">
        <is>
          <t>ÖSTERGÖTLANDS LÄN</t>
        </is>
      </c>
      <c r="E216" t="inlineStr">
        <is>
          <t>LINKÖPING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48962-2022</t>
        </is>
      </c>
      <c r="B217" s="1" t="n">
        <v>44860.31635416667</v>
      </c>
      <c r="C217" s="1" t="n">
        <v>45930</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62492-2023</t>
        </is>
      </c>
      <c r="B218" s="1" t="n">
        <v>45268.58987268519</v>
      </c>
      <c r="C218" s="1" t="n">
        <v>45930</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46490-2022</t>
        </is>
      </c>
      <c r="B219" s="1" t="n">
        <v>44848</v>
      </c>
      <c r="C219" s="1" t="n">
        <v>45930</v>
      </c>
      <c r="D219" t="inlineStr">
        <is>
          <t>ÖSTERGÖTLANDS LÄN</t>
        </is>
      </c>
      <c r="E219" t="inlineStr">
        <is>
          <t>LINKÖPING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53647-2021</t>
        </is>
      </c>
      <c r="B220" s="1" t="n">
        <v>44469</v>
      </c>
      <c r="C220" s="1" t="n">
        <v>45930</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22772-2024</t>
        </is>
      </c>
      <c r="B221" s="1" t="n">
        <v>45448.46712962963</v>
      </c>
      <c r="C221" s="1" t="n">
        <v>45930</v>
      </c>
      <c r="D221" t="inlineStr">
        <is>
          <t>ÖSTERGÖTLANDS LÄN</t>
        </is>
      </c>
      <c r="E221" t="inlineStr">
        <is>
          <t>LINKÖPING</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18916-2024</t>
        </is>
      </c>
      <c r="B222" s="1" t="n">
        <v>45427.39541666667</v>
      </c>
      <c r="C222" s="1" t="n">
        <v>45930</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24586-2024</t>
        </is>
      </c>
      <c r="B223" s="1" t="n">
        <v>45460.46664351852</v>
      </c>
      <c r="C223" s="1" t="n">
        <v>45930</v>
      </c>
      <c r="D223" t="inlineStr">
        <is>
          <t>ÖSTERGÖTLANDS LÄN</t>
        </is>
      </c>
      <c r="E223" t="inlineStr">
        <is>
          <t>LINKÖPING</t>
        </is>
      </c>
      <c r="G223" t="n">
        <v>4</v>
      </c>
      <c r="H223" t="n">
        <v>0</v>
      </c>
      <c r="I223" t="n">
        <v>0</v>
      </c>
      <c r="J223" t="n">
        <v>0</v>
      </c>
      <c r="K223" t="n">
        <v>0</v>
      </c>
      <c r="L223" t="n">
        <v>0</v>
      </c>
      <c r="M223" t="n">
        <v>0</v>
      </c>
      <c r="N223" t="n">
        <v>0</v>
      </c>
      <c r="O223" t="n">
        <v>0</v>
      </c>
      <c r="P223" t="n">
        <v>0</v>
      </c>
      <c r="Q223" t="n">
        <v>0</v>
      </c>
      <c r="R223" s="2" t="inlineStr"/>
    </row>
    <row r="224" ht="15" customHeight="1">
      <c r="A224" t="inlineStr">
        <is>
          <t>A 17124-2025</t>
        </is>
      </c>
      <c r="B224" s="1" t="n">
        <v>45755.69678240741</v>
      </c>
      <c r="C224" s="1" t="n">
        <v>45930</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17126-2025</t>
        </is>
      </c>
      <c r="B225" s="1" t="n">
        <v>45755.70814814815</v>
      </c>
      <c r="C225" s="1" t="n">
        <v>45930</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17143-2025</t>
        </is>
      </c>
      <c r="B226" s="1" t="n">
        <v>45755.92731481481</v>
      </c>
      <c r="C226" s="1" t="n">
        <v>45930</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45930</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35178-2025</t>
        </is>
      </c>
      <c r="B228" s="1" t="n">
        <v>45852.91939814815</v>
      </c>
      <c r="C228" s="1" t="n">
        <v>45930</v>
      </c>
      <c r="D228" t="inlineStr">
        <is>
          <t>ÖSTERGÖTLANDS LÄN</t>
        </is>
      </c>
      <c r="E228" t="inlineStr">
        <is>
          <t>LINKÖPING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38230-2023</t>
        </is>
      </c>
      <c r="B229" s="1" t="n">
        <v>45161.55373842592</v>
      </c>
      <c r="C229" s="1" t="n">
        <v>45930</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14028-2024</t>
        </is>
      </c>
      <c r="B230" s="1" t="n">
        <v>45392</v>
      </c>
      <c r="C230" s="1" t="n">
        <v>45930</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56756-2023</t>
        </is>
      </c>
      <c r="B231" s="1" t="n">
        <v>45244</v>
      </c>
      <c r="C231" s="1" t="n">
        <v>45930</v>
      </c>
      <c r="D231" t="inlineStr">
        <is>
          <t>ÖSTERGÖTLANDS LÄN</t>
        </is>
      </c>
      <c r="E231" t="inlineStr">
        <is>
          <t>LINKÖPING</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35174-2025</t>
        </is>
      </c>
      <c r="B232" s="1" t="n">
        <v>45852.90648148148</v>
      </c>
      <c r="C232" s="1" t="n">
        <v>45930</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26007-2025</t>
        </is>
      </c>
      <c r="B233" s="1" t="n">
        <v>45804.67081018518</v>
      </c>
      <c r="C233" s="1" t="n">
        <v>45930</v>
      </c>
      <c r="D233" t="inlineStr">
        <is>
          <t>ÖSTERGÖTLANDS LÄN</t>
        </is>
      </c>
      <c r="E233" t="inlineStr">
        <is>
          <t>LINKÖPING</t>
        </is>
      </c>
      <c r="G233" t="n">
        <v>1.5</v>
      </c>
      <c r="H233" t="n">
        <v>0</v>
      </c>
      <c r="I233" t="n">
        <v>0</v>
      </c>
      <c r="J233" t="n">
        <v>0</v>
      </c>
      <c r="K233" t="n">
        <v>0</v>
      </c>
      <c r="L233" t="n">
        <v>0</v>
      </c>
      <c r="M233" t="n">
        <v>0</v>
      </c>
      <c r="N233" t="n">
        <v>0</v>
      </c>
      <c r="O233" t="n">
        <v>0</v>
      </c>
      <c r="P233" t="n">
        <v>0</v>
      </c>
      <c r="Q233" t="n">
        <v>0</v>
      </c>
      <c r="R233" s="2" t="inlineStr"/>
    </row>
    <row r="234" ht="15" customHeight="1">
      <c r="A234" t="inlineStr">
        <is>
          <t>A 16820-2024</t>
        </is>
      </c>
      <c r="B234" s="1" t="n">
        <v>45411.46809027778</v>
      </c>
      <c r="C234" s="1" t="n">
        <v>45930</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38886-2024</t>
        </is>
      </c>
      <c r="B235" s="1" t="n">
        <v>45547.66443287037</v>
      </c>
      <c r="C235" s="1" t="n">
        <v>45930</v>
      </c>
      <c r="D235" t="inlineStr">
        <is>
          <t>ÖSTERGÖTLANDS LÄN</t>
        </is>
      </c>
      <c r="E235" t="inlineStr">
        <is>
          <t>LINKÖPING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11590-2023</t>
        </is>
      </c>
      <c r="B236" s="1" t="n">
        <v>44994.36689814815</v>
      </c>
      <c r="C236" s="1" t="n">
        <v>45930</v>
      </c>
      <c r="D236" t="inlineStr">
        <is>
          <t>ÖSTERGÖTLANDS LÄN</t>
        </is>
      </c>
      <c r="E236" t="inlineStr">
        <is>
          <t>LINKÖPING</t>
        </is>
      </c>
      <c r="G236" t="n">
        <v>3.1</v>
      </c>
      <c r="H236" t="n">
        <v>0</v>
      </c>
      <c r="I236" t="n">
        <v>0</v>
      </c>
      <c r="J236" t="n">
        <v>0</v>
      </c>
      <c r="K236" t="n">
        <v>0</v>
      </c>
      <c r="L236" t="n">
        <v>0</v>
      </c>
      <c r="M236" t="n">
        <v>0</v>
      </c>
      <c r="N236" t="n">
        <v>0</v>
      </c>
      <c r="O236" t="n">
        <v>0</v>
      </c>
      <c r="P236" t="n">
        <v>0</v>
      </c>
      <c r="Q236" t="n">
        <v>0</v>
      </c>
      <c r="R236" s="2" t="inlineStr"/>
    </row>
    <row r="237" ht="15" customHeight="1">
      <c r="A237" t="inlineStr">
        <is>
          <t>A 35179-2025</t>
        </is>
      </c>
      <c r="B237" s="1" t="n">
        <v>45852.93737268518</v>
      </c>
      <c r="C237" s="1" t="n">
        <v>45930</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35180-2025</t>
        </is>
      </c>
      <c r="B238" s="1" t="n">
        <v>45852.9413425926</v>
      </c>
      <c r="C238" s="1" t="n">
        <v>45930</v>
      </c>
      <c r="D238" t="inlineStr">
        <is>
          <t>ÖSTERGÖTLANDS LÄN</t>
        </is>
      </c>
      <c r="E238" t="inlineStr">
        <is>
          <t>LINKÖPING</t>
        </is>
      </c>
      <c r="G238" t="n">
        <v>1.9</v>
      </c>
      <c r="H238" t="n">
        <v>0</v>
      </c>
      <c r="I238" t="n">
        <v>0</v>
      </c>
      <c r="J238" t="n">
        <v>0</v>
      </c>
      <c r="K238" t="n">
        <v>0</v>
      </c>
      <c r="L238" t="n">
        <v>0</v>
      </c>
      <c r="M238" t="n">
        <v>0</v>
      </c>
      <c r="N238" t="n">
        <v>0</v>
      </c>
      <c r="O238" t="n">
        <v>0</v>
      </c>
      <c r="P238" t="n">
        <v>0</v>
      </c>
      <c r="Q238" t="n">
        <v>0</v>
      </c>
      <c r="R238" s="2" t="inlineStr"/>
    </row>
    <row r="239" ht="15" customHeight="1">
      <c r="A239" t="inlineStr">
        <is>
          <t>A 14667-2024</t>
        </is>
      </c>
      <c r="B239" s="1" t="n">
        <v>45397.42005787037</v>
      </c>
      <c r="C239" s="1" t="n">
        <v>45930</v>
      </c>
      <c r="D239" t="inlineStr">
        <is>
          <t>ÖSTERGÖTLANDS LÄN</t>
        </is>
      </c>
      <c r="E239" t="inlineStr">
        <is>
          <t>LINKÖPING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2697-2023</t>
        </is>
      </c>
      <c r="B240" s="1" t="n">
        <v>44944</v>
      </c>
      <c r="C240" s="1" t="n">
        <v>45930</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10461-2023</t>
        </is>
      </c>
      <c r="B241" s="1" t="n">
        <v>44987.5969212963</v>
      </c>
      <c r="C241" s="1" t="n">
        <v>45930</v>
      </c>
      <c r="D241" t="inlineStr">
        <is>
          <t>ÖSTERGÖTLANDS LÄN</t>
        </is>
      </c>
      <c r="E241" t="inlineStr">
        <is>
          <t>LINKÖPING</t>
        </is>
      </c>
      <c r="G241" t="n">
        <v>7.8</v>
      </c>
      <c r="H241" t="n">
        <v>0</v>
      </c>
      <c r="I241" t="n">
        <v>0</v>
      </c>
      <c r="J241" t="n">
        <v>0</v>
      </c>
      <c r="K241" t="n">
        <v>0</v>
      </c>
      <c r="L241" t="n">
        <v>0</v>
      </c>
      <c r="M241" t="n">
        <v>0</v>
      </c>
      <c r="N241" t="n">
        <v>0</v>
      </c>
      <c r="O241" t="n">
        <v>0</v>
      </c>
      <c r="P241" t="n">
        <v>0</v>
      </c>
      <c r="Q241" t="n">
        <v>0</v>
      </c>
      <c r="R241" s="2" t="inlineStr"/>
    </row>
    <row r="242" ht="15" customHeight="1">
      <c r="A242" t="inlineStr">
        <is>
          <t>A 30980-2022</t>
        </is>
      </c>
      <c r="B242" s="1" t="n">
        <v>44768</v>
      </c>
      <c r="C242" s="1" t="n">
        <v>45930</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53641-2023</t>
        </is>
      </c>
      <c r="B243" s="1" t="n">
        <v>45230</v>
      </c>
      <c r="C243" s="1" t="n">
        <v>45930</v>
      </c>
      <c r="D243" t="inlineStr">
        <is>
          <t>ÖSTERGÖTLANDS LÄN</t>
        </is>
      </c>
      <c r="E243" t="inlineStr">
        <is>
          <t>LINKÖPING</t>
        </is>
      </c>
      <c r="G243" t="n">
        <v>1.7</v>
      </c>
      <c r="H243" t="n">
        <v>0</v>
      </c>
      <c r="I243" t="n">
        <v>0</v>
      </c>
      <c r="J243" t="n">
        <v>0</v>
      </c>
      <c r="K243" t="n">
        <v>0</v>
      </c>
      <c r="L243" t="n">
        <v>0</v>
      </c>
      <c r="M243" t="n">
        <v>0</v>
      </c>
      <c r="N243" t="n">
        <v>0</v>
      </c>
      <c r="O243" t="n">
        <v>0</v>
      </c>
      <c r="P243" t="n">
        <v>0</v>
      </c>
      <c r="Q243" t="n">
        <v>0</v>
      </c>
      <c r="R243" s="2" t="inlineStr"/>
    </row>
    <row r="244" ht="15" customHeight="1">
      <c r="A244" t="inlineStr">
        <is>
          <t>A 41345-2021</t>
        </is>
      </c>
      <c r="B244" s="1" t="n">
        <v>44424.61851851852</v>
      </c>
      <c r="C244" s="1" t="n">
        <v>45930</v>
      </c>
      <c r="D244" t="inlineStr">
        <is>
          <t>ÖSTERGÖTLANDS LÄN</t>
        </is>
      </c>
      <c r="E244" t="inlineStr">
        <is>
          <t>LINKÖPING</t>
        </is>
      </c>
      <c r="F244" t="inlineStr">
        <is>
          <t>Sveaskog</t>
        </is>
      </c>
      <c r="G244" t="n">
        <v>6.3</v>
      </c>
      <c r="H244" t="n">
        <v>0</v>
      </c>
      <c r="I244" t="n">
        <v>0</v>
      </c>
      <c r="J244" t="n">
        <v>0</v>
      </c>
      <c r="K244" t="n">
        <v>0</v>
      </c>
      <c r="L244" t="n">
        <v>0</v>
      </c>
      <c r="M244" t="n">
        <v>0</v>
      </c>
      <c r="N244" t="n">
        <v>0</v>
      </c>
      <c r="O244" t="n">
        <v>0</v>
      </c>
      <c r="P244" t="n">
        <v>0</v>
      </c>
      <c r="Q244" t="n">
        <v>0</v>
      </c>
      <c r="R244" s="2" t="inlineStr"/>
    </row>
    <row r="245" ht="15" customHeight="1">
      <c r="A245" t="inlineStr">
        <is>
          <t>A 48707-2023</t>
        </is>
      </c>
      <c r="B245" s="1" t="n">
        <v>45202</v>
      </c>
      <c r="C245" s="1" t="n">
        <v>45930</v>
      </c>
      <c r="D245" t="inlineStr">
        <is>
          <t>ÖSTERGÖTLANDS LÄN</t>
        </is>
      </c>
      <c r="E245" t="inlineStr">
        <is>
          <t>LINKÖPING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53411-2023</t>
        </is>
      </c>
      <c r="B246" s="1" t="n">
        <v>45229.81049768518</v>
      </c>
      <c r="C246" s="1" t="n">
        <v>45930</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24351-2024</t>
        </is>
      </c>
      <c r="B247" s="1" t="n">
        <v>45457.59011574074</v>
      </c>
      <c r="C247" s="1" t="n">
        <v>45930</v>
      </c>
      <c r="D247" t="inlineStr">
        <is>
          <t>ÖSTERGÖTLANDS LÄN</t>
        </is>
      </c>
      <c r="E247" t="inlineStr">
        <is>
          <t>LINKÖPING</t>
        </is>
      </c>
      <c r="G247" t="n">
        <v>11.9</v>
      </c>
      <c r="H247" t="n">
        <v>0</v>
      </c>
      <c r="I247" t="n">
        <v>0</v>
      </c>
      <c r="J247" t="n">
        <v>0</v>
      </c>
      <c r="K247" t="n">
        <v>0</v>
      </c>
      <c r="L247" t="n">
        <v>0</v>
      </c>
      <c r="M247" t="n">
        <v>0</v>
      </c>
      <c r="N247" t="n">
        <v>0</v>
      </c>
      <c r="O247" t="n">
        <v>0</v>
      </c>
      <c r="P247" t="n">
        <v>0</v>
      </c>
      <c r="Q247" t="n">
        <v>0</v>
      </c>
      <c r="R247" s="2" t="inlineStr"/>
    </row>
    <row r="248" ht="15" customHeight="1">
      <c r="A248" t="inlineStr">
        <is>
          <t>A 62501-2023</t>
        </is>
      </c>
      <c r="B248" s="1" t="n">
        <v>45268</v>
      </c>
      <c r="C248" s="1" t="n">
        <v>45930</v>
      </c>
      <c r="D248" t="inlineStr">
        <is>
          <t>ÖSTERGÖTLANDS LÄN</t>
        </is>
      </c>
      <c r="E248" t="inlineStr">
        <is>
          <t>LINKÖPING</t>
        </is>
      </c>
      <c r="G248" t="n">
        <v>7.4</v>
      </c>
      <c r="H248" t="n">
        <v>0</v>
      </c>
      <c r="I248" t="n">
        <v>0</v>
      </c>
      <c r="J248" t="n">
        <v>0</v>
      </c>
      <c r="K248" t="n">
        <v>0</v>
      </c>
      <c r="L248" t="n">
        <v>0</v>
      </c>
      <c r="M248" t="n">
        <v>0</v>
      </c>
      <c r="N248" t="n">
        <v>0</v>
      </c>
      <c r="O248" t="n">
        <v>0</v>
      </c>
      <c r="P248" t="n">
        <v>0</v>
      </c>
      <c r="Q248" t="n">
        <v>0</v>
      </c>
      <c r="R248" s="2" t="inlineStr"/>
    </row>
    <row r="249" ht="15" customHeight="1">
      <c r="A249" t="inlineStr">
        <is>
          <t>A 58947-2022</t>
        </is>
      </c>
      <c r="B249" s="1" t="n">
        <v>44903.64769675926</v>
      </c>
      <c r="C249" s="1" t="n">
        <v>45930</v>
      </c>
      <c r="D249" t="inlineStr">
        <is>
          <t>ÖSTERGÖTLANDS LÄN</t>
        </is>
      </c>
      <c r="E249" t="inlineStr">
        <is>
          <t>LINKÖPING</t>
        </is>
      </c>
      <c r="G249" t="n">
        <v>4</v>
      </c>
      <c r="H249" t="n">
        <v>0</v>
      </c>
      <c r="I249" t="n">
        <v>0</v>
      </c>
      <c r="J249" t="n">
        <v>0</v>
      </c>
      <c r="K249" t="n">
        <v>0</v>
      </c>
      <c r="L249" t="n">
        <v>0</v>
      </c>
      <c r="M249" t="n">
        <v>0</v>
      </c>
      <c r="N249" t="n">
        <v>0</v>
      </c>
      <c r="O249" t="n">
        <v>0</v>
      </c>
      <c r="P249" t="n">
        <v>0</v>
      </c>
      <c r="Q249" t="n">
        <v>0</v>
      </c>
      <c r="R249" s="2" t="inlineStr"/>
    </row>
    <row r="250" ht="15" customHeight="1">
      <c r="A250" t="inlineStr">
        <is>
          <t>A 67129-2020</t>
        </is>
      </c>
      <c r="B250" s="1" t="n">
        <v>44180</v>
      </c>
      <c r="C250" s="1" t="n">
        <v>45930</v>
      </c>
      <c r="D250" t="inlineStr">
        <is>
          <t>ÖSTERGÖTLANDS LÄN</t>
        </is>
      </c>
      <c r="E250" t="inlineStr">
        <is>
          <t>LINKÖPING</t>
        </is>
      </c>
      <c r="F250" t="inlineStr">
        <is>
          <t>Övriga statliga verk och myndigheter</t>
        </is>
      </c>
      <c r="G250" t="n">
        <v>2.7</v>
      </c>
      <c r="H250" t="n">
        <v>0</v>
      </c>
      <c r="I250" t="n">
        <v>0</v>
      </c>
      <c r="J250" t="n">
        <v>0</v>
      </c>
      <c r="K250" t="n">
        <v>0</v>
      </c>
      <c r="L250" t="n">
        <v>0</v>
      </c>
      <c r="M250" t="n">
        <v>0</v>
      </c>
      <c r="N250" t="n">
        <v>0</v>
      </c>
      <c r="O250" t="n">
        <v>0</v>
      </c>
      <c r="P250" t="n">
        <v>0</v>
      </c>
      <c r="Q250" t="n">
        <v>0</v>
      </c>
      <c r="R250" s="2" t="inlineStr"/>
    </row>
    <row r="251" ht="15" customHeight="1">
      <c r="A251" t="inlineStr">
        <is>
          <t>A 56741-2023</t>
        </is>
      </c>
      <c r="B251" s="1" t="n">
        <v>45244</v>
      </c>
      <c r="C251" s="1" t="n">
        <v>45930</v>
      </c>
      <c r="D251" t="inlineStr">
        <is>
          <t>ÖSTERGÖTLANDS LÄN</t>
        </is>
      </c>
      <c r="E251" t="inlineStr">
        <is>
          <t>LINKÖPING</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49979-2022</t>
        </is>
      </c>
      <c r="B252" s="1" t="n">
        <v>44865</v>
      </c>
      <c r="C252" s="1" t="n">
        <v>45930</v>
      </c>
      <c r="D252" t="inlineStr">
        <is>
          <t>ÖSTERGÖTLANDS LÄN</t>
        </is>
      </c>
      <c r="E252" t="inlineStr">
        <is>
          <t>LINKÖPING</t>
        </is>
      </c>
      <c r="F252" t="inlineStr">
        <is>
          <t>Övriga Aktiebolag</t>
        </is>
      </c>
      <c r="G252" t="n">
        <v>11.4</v>
      </c>
      <c r="H252" t="n">
        <v>0</v>
      </c>
      <c r="I252" t="n">
        <v>0</v>
      </c>
      <c r="J252" t="n">
        <v>0</v>
      </c>
      <c r="K252" t="n">
        <v>0</v>
      </c>
      <c r="L252" t="n">
        <v>0</v>
      </c>
      <c r="M252" t="n">
        <v>0</v>
      </c>
      <c r="N252" t="n">
        <v>0</v>
      </c>
      <c r="O252" t="n">
        <v>0</v>
      </c>
      <c r="P252" t="n">
        <v>0</v>
      </c>
      <c r="Q252" t="n">
        <v>0</v>
      </c>
      <c r="R252" s="2" t="inlineStr"/>
    </row>
    <row r="253" ht="15" customHeight="1">
      <c r="A253" t="inlineStr">
        <is>
          <t>A 56792-2023</t>
        </is>
      </c>
      <c r="B253" s="1" t="n">
        <v>45244</v>
      </c>
      <c r="C253" s="1" t="n">
        <v>45930</v>
      </c>
      <c r="D253" t="inlineStr">
        <is>
          <t>ÖSTERGÖTLANDS LÄN</t>
        </is>
      </c>
      <c r="E253" t="inlineStr">
        <is>
          <t>LINKÖPING</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50471-2024</t>
        </is>
      </c>
      <c r="B254" s="1" t="n">
        <v>45601.47166666666</v>
      </c>
      <c r="C254" s="1" t="n">
        <v>45930</v>
      </c>
      <c r="D254" t="inlineStr">
        <is>
          <t>ÖSTERGÖTLANDS LÄN</t>
        </is>
      </c>
      <c r="E254" t="inlineStr">
        <is>
          <t>LINKÖPING</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35747-2025</t>
        </is>
      </c>
      <c r="B255" s="1" t="n">
        <v>45860.56385416666</v>
      </c>
      <c r="C255" s="1" t="n">
        <v>45930</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3007-2023</t>
        </is>
      </c>
      <c r="B256" s="1" t="n">
        <v>44945</v>
      </c>
      <c r="C256" s="1" t="n">
        <v>45930</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40338-2024</t>
        </is>
      </c>
      <c r="B257" s="1" t="n">
        <v>45555.32940972222</v>
      </c>
      <c r="C257" s="1" t="n">
        <v>45930</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3013-2023</t>
        </is>
      </c>
      <c r="B258" s="1" t="n">
        <v>44945.8092824074</v>
      </c>
      <c r="C258" s="1" t="n">
        <v>45930</v>
      </c>
      <c r="D258" t="inlineStr">
        <is>
          <t>ÖSTERGÖTLANDS LÄN</t>
        </is>
      </c>
      <c r="E258" t="inlineStr">
        <is>
          <t>LINKÖPING</t>
        </is>
      </c>
      <c r="G258" t="n">
        <v>5.2</v>
      </c>
      <c r="H258" t="n">
        <v>0</v>
      </c>
      <c r="I258" t="n">
        <v>0</v>
      </c>
      <c r="J258" t="n">
        <v>0</v>
      </c>
      <c r="K258" t="n">
        <v>0</v>
      </c>
      <c r="L258" t="n">
        <v>0</v>
      </c>
      <c r="M258" t="n">
        <v>0</v>
      </c>
      <c r="N258" t="n">
        <v>0</v>
      </c>
      <c r="O258" t="n">
        <v>0</v>
      </c>
      <c r="P258" t="n">
        <v>0</v>
      </c>
      <c r="Q258" t="n">
        <v>0</v>
      </c>
      <c r="R258" s="2" t="inlineStr"/>
    </row>
    <row r="259" ht="15" customHeight="1">
      <c r="A259" t="inlineStr">
        <is>
          <t>A 55945-2024</t>
        </is>
      </c>
      <c r="B259" s="1" t="n">
        <v>45623.61754629629</v>
      </c>
      <c r="C259" s="1" t="n">
        <v>45930</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53827-2023</t>
        </is>
      </c>
      <c r="B260" s="1" t="n">
        <v>45230</v>
      </c>
      <c r="C260" s="1" t="n">
        <v>45930</v>
      </c>
      <c r="D260" t="inlineStr">
        <is>
          <t>ÖSTERGÖTLANDS LÄN</t>
        </is>
      </c>
      <c r="E260" t="inlineStr">
        <is>
          <t>LINKÖPING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1993-2023</t>
        </is>
      </c>
      <c r="B261" s="1" t="n">
        <v>44939</v>
      </c>
      <c r="C261" s="1" t="n">
        <v>45930</v>
      </c>
      <c r="D261" t="inlineStr">
        <is>
          <t>ÖSTERGÖTLANDS LÄN</t>
        </is>
      </c>
      <c r="E261" t="inlineStr">
        <is>
          <t>LINKÖPING</t>
        </is>
      </c>
      <c r="G261" t="n">
        <v>3.7</v>
      </c>
      <c r="H261" t="n">
        <v>0</v>
      </c>
      <c r="I261" t="n">
        <v>0</v>
      </c>
      <c r="J261" t="n">
        <v>0</v>
      </c>
      <c r="K261" t="n">
        <v>0</v>
      </c>
      <c r="L261" t="n">
        <v>0</v>
      </c>
      <c r="M261" t="n">
        <v>0</v>
      </c>
      <c r="N261" t="n">
        <v>0</v>
      </c>
      <c r="O261" t="n">
        <v>0</v>
      </c>
      <c r="P261" t="n">
        <v>0</v>
      </c>
      <c r="Q261" t="n">
        <v>0</v>
      </c>
      <c r="R261" s="2" t="inlineStr"/>
    </row>
    <row r="262" ht="15" customHeight="1">
      <c r="A262" t="inlineStr">
        <is>
          <t>A 2618-2023</t>
        </is>
      </c>
      <c r="B262" s="1" t="n">
        <v>44944.35847222222</v>
      </c>
      <c r="C262" s="1" t="n">
        <v>45930</v>
      </c>
      <c r="D262" t="inlineStr">
        <is>
          <t>ÖSTERGÖTLANDS LÄN</t>
        </is>
      </c>
      <c r="E262" t="inlineStr">
        <is>
          <t>LINKÖPING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10203-2023</t>
        </is>
      </c>
      <c r="B263" s="1" t="n">
        <v>44986.55711805556</v>
      </c>
      <c r="C263" s="1" t="n">
        <v>45930</v>
      </c>
      <c r="D263" t="inlineStr">
        <is>
          <t>ÖSTERGÖTLANDS LÄN</t>
        </is>
      </c>
      <c r="E263" t="inlineStr">
        <is>
          <t>LINKÖPING</t>
        </is>
      </c>
      <c r="G263" t="n">
        <v>3.3</v>
      </c>
      <c r="H263" t="n">
        <v>0</v>
      </c>
      <c r="I263" t="n">
        <v>0</v>
      </c>
      <c r="J263" t="n">
        <v>0</v>
      </c>
      <c r="K263" t="n">
        <v>0</v>
      </c>
      <c r="L263" t="n">
        <v>0</v>
      </c>
      <c r="M263" t="n">
        <v>0</v>
      </c>
      <c r="N263" t="n">
        <v>0</v>
      </c>
      <c r="O263" t="n">
        <v>0</v>
      </c>
      <c r="P263" t="n">
        <v>0</v>
      </c>
      <c r="Q263" t="n">
        <v>0</v>
      </c>
      <c r="R263" s="2" t="inlineStr"/>
    </row>
    <row r="264" ht="15" customHeight="1">
      <c r="A264" t="inlineStr">
        <is>
          <t>A 61307-2021</t>
        </is>
      </c>
      <c r="B264" s="1" t="n">
        <v>44498.63928240741</v>
      </c>
      <c r="C264" s="1" t="n">
        <v>45930</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61325-2021</t>
        </is>
      </c>
      <c r="B265" s="1" t="n">
        <v>44498.66814814815</v>
      </c>
      <c r="C265" s="1" t="n">
        <v>45930</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41511-2025</t>
        </is>
      </c>
      <c r="B266" s="1" t="n">
        <v>45901.53839120371</v>
      </c>
      <c r="C266" s="1" t="n">
        <v>45930</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60010-2022</t>
        </is>
      </c>
      <c r="B267" s="1" t="n">
        <v>44909.4740625</v>
      </c>
      <c r="C267" s="1" t="n">
        <v>45930</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35745-2025</t>
        </is>
      </c>
      <c r="B268" s="1" t="n">
        <v>45860.54739583333</v>
      </c>
      <c r="C268" s="1" t="n">
        <v>45930</v>
      </c>
      <c r="D268" t="inlineStr">
        <is>
          <t>ÖSTERGÖTLANDS LÄN</t>
        </is>
      </c>
      <c r="E268" t="inlineStr">
        <is>
          <t>LINKÖPING</t>
        </is>
      </c>
      <c r="G268" t="n">
        <v>4.4</v>
      </c>
      <c r="H268" t="n">
        <v>0</v>
      </c>
      <c r="I268" t="n">
        <v>0</v>
      </c>
      <c r="J268" t="n">
        <v>0</v>
      </c>
      <c r="K268" t="n">
        <v>0</v>
      </c>
      <c r="L268" t="n">
        <v>0</v>
      </c>
      <c r="M268" t="n">
        <v>0</v>
      </c>
      <c r="N268" t="n">
        <v>0</v>
      </c>
      <c r="O268" t="n">
        <v>0</v>
      </c>
      <c r="P268" t="n">
        <v>0</v>
      </c>
      <c r="Q268" t="n">
        <v>0</v>
      </c>
      <c r="R268" s="2" t="inlineStr"/>
    </row>
    <row r="269" ht="15" customHeight="1">
      <c r="A269" t="inlineStr">
        <is>
          <t>A 35757-2025</t>
        </is>
      </c>
      <c r="B269" s="1" t="n">
        <v>45860.59876157407</v>
      </c>
      <c r="C269" s="1" t="n">
        <v>45930</v>
      </c>
      <c r="D269" t="inlineStr">
        <is>
          <t>ÖSTERGÖTLANDS LÄN</t>
        </is>
      </c>
      <c r="E269" t="inlineStr">
        <is>
          <t>LINKÖPING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41706-2025</t>
        </is>
      </c>
      <c r="B270" s="1" t="n">
        <v>45902.42209490741</v>
      </c>
      <c r="C270" s="1" t="n">
        <v>45930</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34889-2023</t>
        </is>
      </c>
      <c r="B271" s="1" t="n">
        <v>45140</v>
      </c>
      <c r="C271" s="1" t="n">
        <v>45930</v>
      </c>
      <c r="D271" t="inlineStr">
        <is>
          <t>ÖSTERGÖTLANDS LÄN</t>
        </is>
      </c>
      <c r="E271" t="inlineStr">
        <is>
          <t>LINKÖPING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34928-2023</t>
        </is>
      </c>
      <c r="B272" s="1" t="n">
        <v>45142</v>
      </c>
      <c r="C272" s="1" t="n">
        <v>45930</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55305-2020</t>
        </is>
      </c>
      <c r="B273" s="1" t="n">
        <v>44130</v>
      </c>
      <c r="C273" s="1" t="n">
        <v>45930</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35759-2025</t>
        </is>
      </c>
      <c r="B274" s="1" t="n">
        <v>45860</v>
      </c>
      <c r="C274" s="1" t="n">
        <v>45930</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940-2023</t>
        </is>
      </c>
      <c r="B275" s="1" t="n">
        <v>44933</v>
      </c>
      <c r="C275" s="1" t="n">
        <v>45930</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30518-2024</t>
        </is>
      </c>
      <c r="B276" s="1" t="n">
        <v>45492</v>
      </c>
      <c r="C276" s="1" t="n">
        <v>45930</v>
      </c>
      <c r="D276" t="inlineStr">
        <is>
          <t>ÖSTERGÖTLANDS LÄN</t>
        </is>
      </c>
      <c r="E276" t="inlineStr">
        <is>
          <t>LINKÖPING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4908-2023</t>
        </is>
      </c>
      <c r="B277" s="1" t="n">
        <v>44958</v>
      </c>
      <c r="C277" s="1" t="n">
        <v>45930</v>
      </c>
      <c r="D277" t="inlineStr">
        <is>
          <t>ÖSTERGÖTLANDS LÄN</t>
        </is>
      </c>
      <c r="E277" t="inlineStr">
        <is>
          <t>LINKÖPING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1268-2023</t>
        </is>
      </c>
      <c r="B278" s="1" t="n">
        <v>44936</v>
      </c>
      <c r="C278" s="1" t="n">
        <v>45930</v>
      </c>
      <c r="D278" t="inlineStr">
        <is>
          <t>ÖSTERGÖTLANDS LÄN</t>
        </is>
      </c>
      <c r="E278" t="inlineStr">
        <is>
          <t>LINKÖPING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37715-2022</t>
        </is>
      </c>
      <c r="B279" s="1" t="n">
        <v>44810</v>
      </c>
      <c r="C279" s="1" t="n">
        <v>45930</v>
      </c>
      <c r="D279" t="inlineStr">
        <is>
          <t>ÖSTERGÖTLANDS LÄN</t>
        </is>
      </c>
      <c r="E279" t="inlineStr">
        <is>
          <t>LINKÖPING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7992-2023</t>
        </is>
      </c>
      <c r="B280" s="1" t="n">
        <v>44970</v>
      </c>
      <c r="C280" s="1" t="n">
        <v>45930</v>
      </c>
      <c r="D280" t="inlineStr">
        <is>
          <t>ÖSTERGÖTLANDS LÄN</t>
        </is>
      </c>
      <c r="E280" t="inlineStr">
        <is>
          <t>LINKÖPING</t>
        </is>
      </c>
      <c r="F280" t="inlineStr">
        <is>
          <t>Kommuner</t>
        </is>
      </c>
      <c r="G280" t="n">
        <v>1</v>
      </c>
      <c r="H280" t="n">
        <v>0</v>
      </c>
      <c r="I280" t="n">
        <v>0</v>
      </c>
      <c r="J280" t="n">
        <v>0</v>
      </c>
      <c r="K280" t="n">
        <v>0</v>
      </c>
      <c r="L280" t="n">
        <v>0</v>
      </c>
      <c r="M280" t="n">
        <v>0</v>
      </c>
      <c r="N280" t="n">
        <v>0</v>
      </c>
      <c r="O280" t="n">
        <v>0</v>
      </c>
      <c r="P280" t="n">
        <v>0</v>
      </c>
      <c r="Q280" t="n">
        <v>0</v>
      </c>
      <c r="R280" s="2" t="inlineStr"/>
    </row>
    <row r="281" ht="15" customHeight="1">
      <c r="A281" t="inlineStr">
        <is>
          <t>A 5314-2021</t>
        </is>
      </c>
      <c r="B281" s="1" t="n">
        <v>44229</v>
      </c>
      <c r="C281" s="1" t="n">
        <v>45930</v>
      </c>
      <c r="D281" t="inlineStr">
        <is>
          <t>ÖSTERGÖTLANDS LÄN</t>
        </is>
      </c>
      <c r="E281" t="inlineStr">
        <is>
          <t>LINKÖPING</t>
        </is>
      </c>
      <c r="G281" t="n">
        <v>6.2</v>
      </c>
      <c r="H281" t="n">
        <v>0</v>
      </c>
      <c r="I281" t="n">
        <v>0</v>
      </c>
      <c r="J281" t="n">
        <v>0</v>
      </c>
      <c r="K281" t="n">
        <v>0</v>
      </c>
      <c r="L281" t="n">
        <v>0</v>
      </c>
      <c r="M281" t="n">
        <v>0</v>
      </c>
      <c r="N281" t="n">
        <v>0</v>
      </c>
      <c r="O281" t="n">
        <v>0</v>
      </c>
      <c r="P281" t="n">
        <v>0</v>
      </c>
      <c r="Q281" t="n">
        <v>0</v>
      </c>
      <c r="R281" s="2" t="inlineStr"/>
    </row>
    <row r="282" ht="15" customHeight="1">
      <c r="A282" t="inlineStr">
        <is>
          <t>A 45819-2024</t>
        </is>
      </c>
      <c r="B282" s="1" t="n">
        <v>45579.7454050926</v>
      </c>
      <c r="C282" s="1" t="n">
        <v>45930</v>
      </c>
      <c r="D282" t="inlineStr">
        <is>
          <t>ÖSTERGÖTLANDS LÄN</t>
        </is>
      </c>
      <c r="E282" t="inlineStr">
        <is>
          <t>LINKÖPING</t>
        </is>
      </c>
      <c r="G282" t="n">
        <v>5</v>
      </c>
      <c r="H282" t="n">
        <v>0</v>
      </c>
      <c r="I282" t="n">
        <v>0</v>
      </c>
      <c r="J282" t="n">
        <v>0</v>
      </c>
      <c r="K282" t="n">
        <v>0</v>
      </c>
      <c r="L282" t="n">
        <v>0</v>
      </c>
      <c r="M282" t="n">
        <v>0</v>
      </c>
      <c r="N282" t="n">
        <v>0</v>
      </c>
      <c r="O282" t="n">
        <v>0</v>
      </c>
      <c r="P282" t="n">
        <v>0</v>
      </c>
      <c r="Q282" t="n">
        <v>0</v>
      </c>
      <c r="R282" s="2" t="inlineStr"/>
    </row>
    <row r="283" ht="15" customHeight="1">
      <c r="A283" t="inlineStr">
        <is>
          <t>A 3041-2024</t>
        </is>
      </c>
      <c r="B283" s="1" t="n">
        <v>45316.34875</v>
      </c>
      <c r="C283" s="1" t="n">
        <v>45930</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3043-2024</t>
        </is>
      </c>
      <c r="B284" s="1" t="n">
        <v>45316</v>
      </c>
      <c r="C284" s="1" t="n">
        <v>45930</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42623-2025</t>
        </is>
      </c>
      <c r="B285" s="1" t="n">
        <v>45905</v>
      </c>
      <c r="C285" s="1" t="n">
        <v>45930</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42626-2025</t>
        </is>
      </c>
      <c r="B286" s="1" t="n">
        <v>45905</v>
      </c>
      <c r="C286" s="1" t="n">
        <v>45930</v>
      </c>
      <c r="D286" t="inlineStr">
        <is>
          <t>ÖSTERGÖTLANDS LÄN</t>
        </is>
      </c>
      <c r="E286" t="inlineStr">
        <is>
          <t>LINKÖPING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3742-2021</t>
        </is>
      </c>
      <c r="B287" s="1" t="n">
        <v>44221</v>
      </c>
      <c r="C287" s="1" t="n">
        <v>45930</v>
      </c>
      <c r="D287" t="inlineStr">
        <is>
          <t>ÖSTERGÖTLANDS LÄN</t>
        </is>
      </c>
      <c r="E287" t="inlineStr">
        <is>
          <t>LINKÖPING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49747-2024</t>
        </is>
      </c>
      <c r="B288" s="1" t="n">
        <v>45596</v>
      </c>
      <c r="C288" s="1" t="n">
        <v>45930</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3530-2024</t>
        </is>
      </c>
      <c r="B289" s="1" t="n">
        <v>45320.54717592592</v>
      </c>
      <c r="C289" s="1" t="n">
        <v>45930</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3011-2023</t>
        </is>
      </c>
      <c r="B290" s="1" t="n">
        <v>44945</v>
      </c>
      <c r="C290" s="1" t="n">
        <v>45930</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31725-2022</t>
        </is>
      </c>
      <c r="B291" s="1" t="n">
        <v>44776.48541666667</v>
      </c>
      <c r="C291" s="1" t="n">
        <v>45930</v>
      </c>
      <c r="D291" t="inlineStr">
        <is>
          <t>ÖSTERGÖTLANDS LÄN</t>
        </is>
      </c>
      <c r="E291" t="inlineStr">
        <is>
          <t>LINKÖPING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45442-2024</t>
        </is>
      </c>
      <c r="B292" s="1" t="n">
        <v>45576.64189814815</v>
      </c>
      <c r="C292" s="1" t="n">
        <v>45930</v>
      </c>
      <c r="D292" t="inlineStr">
        <is>
          <t>ÖSTERGÖTLANDS LÄN</t>
        </is>
      </c>
      <c r="E292" t="inlineStr">
        <is>
          <t>LINKÖPING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3432-2023</t>
        </is>
      </c>
      <c r="B293" s="1" t="n">
        <v>44949</v>
      </c>
      <c r="C293" s="1" t="n">
        <v>45930</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62686-2023</t>
        </is>
      </c>
      <c r="B294" s="1" t="n">
        <v>45271</v>
      </c>
      <c r="C294" s="1" t="n">
        <v>45930</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42624-2025</t>
        </is>
      </c>
      <c r="B295" s="1" t="n">
        <v>45905</v>
      </c>
      <c r="C295" s="1" t="n">
        <v>45930</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1440-2021</t>
        </is>
      </c>
      <c r="B296" s="1" t="n">
        <v>44208</v>
      </c>
      <c r="C296" s="1" t="n">
        <v>45930</v>
      </c>
      <c r="D296" t="inlineStr">
        <is>
          <t>ÖSTERGÖTLANDS LÄN</t>
        </is>
      </c>
      <c r="E296" t="inlineStr">
        <is>
          <t>LINKÖPING</t>
        </is>
      </c>
      <c r="G296" t="n">
        <v>8.4</v>
      </c>
      <c r="H296" t="n">
        <v>0</v>
      </c>
      <c r="I296" t="n">
        <v>0</v>
      </c>
      <c r="J296" t="n">
        <v>0</v>
      </c>
      <c r="K296" t="n">
        <v>0</v>
      </c>
      <c r="L296" t="n">
        <v>0</v>
      </c>
      <c r="M296" t="n">
        <v>0</v>
      </c>
      <c r="N296" t="n">
        <v>0</v>
      </c>
      <c r="O296" t="n">
        <v>0</v>
      </c>
      <c r="P296" t="n">
        <v>0</v>
      </c>
      <c r="Q296" t="n">
        <v>0</v>
      </c>
      <c r="R296" s="2" t="inlineStr"/>
    </row>
    <row r="297" ht="15" customHeight="1">
      <c r="A297" t="inlineStr">
        <is>
          <t>A 60472-2022</t>
        </is>
      </c>
      <c r="B297" s="1" t="n">
        <v>44911.41037037037</v>
      </c>
      <c r="C297" s="1" t="n">
        <v>45930</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12720-2022</t>
        </is>
      </c>
      <c r="B298" s="1" t="n">
        <v>44641</v>
      </c>
      <c r="C298" s="1" t="n">
        <v>45930</v>
      </c>
      <c r="D298" t="inlineStr">
        <is>
          <t>ÖSTERGÖTLANDS LÄN</t>
        </is>
      </c>
      <c r="E298" t="inlineStr">
        <is>
          <t>LINKÖPING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55345-2021</t>
        </is>
      </c>
      <c r="B299" s="1" t="n">
        <v>44475</v>
      </c>
      <c r="C299" s="1" t="n">
        <v>45930</v>
      </c>
      <c r="D299" t="inlineStr">
        <is>
          <t>ÖSTERGÖTLANDS LÄN</t>
        </is>
      </c>
      <c r="E299" t="inlineStr">
        <is>
          <t>LINKÖPING</t>
        </is>
      </c>
      <c r="G299" t="n">
        <v>5.7</v>
      </c>
      <c r="H299" t="n">
        <v>0</v>
      </c>
      <c r="I299" t="n">
        <v>0</v>
      </c>
      <c r="J299" t="n">
        <v>0</v>
      </c>
      <c r="K299" t="n">
        <v>0</v>
      </c>
      <c r="L299" t="n">
        <v>0</v>
      </c>
      <c r="M299" t="n">
        <v>0</v>
      </c>
      <c r="N299" t="n">
        <v>0</v>
      </c>
      <c r="O299" t="n">
        <v>0</v>
      </c>
      <c r="P299" t="n">
        <v>0</v>
      </c>
      <c r="Q299" t="n">
        <v>0</v>
      </c>
      <c r="R299" s="2" t="inlineStr"/>
    </row>
    <row r="300" ht="15" customHeight="1">
      <c r="A300" t="inlineStr">
        <is>
          <t>A 63489-2023</t>
        </is>
      </c>
      <c r="B300" s="1" t="n">
        <v>45274.66761574074</v>
      </c>
      <c r="C300" s="1" t="n">
        <v>45930</v>
      </c>
      <c r="D300" t="inlineStr">
        <is>
          <t>ÖSTERGÖTLANDS LÄN</t>
        </is>
      </c>
      <c r="E300" t="inlineStr">
        <is>
          <t>LINKÖPING</t>
        </is>
      </c>
      <c r="G300" t="n">
        <v>2.3</v>
      </c>
      <c r="H300" t="n">
        <v>0</v>
      </c>
      <c r="I300" t="n">
        <v>0</v>
      </c>
      <c r="J300" t="n">
        <v>0</v>
      </c>
      <c r="K300" t="n">
        <v>0</v>
      </c>
      <c r="L300" t="n">
        <v>0</v>
      </c>
      <c r="M300" t="n">
        <v>0</v>
      </c>
      <c r="N300" t="n">
        <v>0</v>
      </c>
      <c r="O300" t="n">
        <v>0</v>
      </c>
      <c r="P300" t="n">
        <v>0</v>
      </c>
      <c r="Q300" t="n">
        <v>0</v>
      </c>
      <c r="R300" s="2" t="inlineStr"/>
    </row>
    <row r="301" ht="15" customHeight="1">
      <c r="A301" t="inlineStr">
        <is>
          <t>A 70-2024</t>
        </is>
      </c>
      <c r="B301" s="1" t="n">
        <v>45293</v>
      </c>
      <c r="C301" s="1" t="n">
        <v>45930</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2389-2023</t>
        </is>
      </c>
      <c r="B302" s="1" t="n">
        <v>44942</v>
      </c>
      <c r="C302" s="1" t="n">
        <v>45930</v>
      </c>
      <c r="D302" t="inlineStr">
        <is>
          <t>ÖSTERGÖTLANDS LÄN</t>
        </is>
      </c>
      <c r="E302" t="inlineStr">
        <is>
          <t>LINKÖPING</t>
        </is>
      </c>
      <c r="G302" t="n">
        <v>3.3</v>
      </c>
      <c r="H302" t="n">
        <v>0</v>
      </c>
      <c r="I302" t="n">
        <v>0</v>
      </c>
      <c r="J302" t="n">
        <v>0</v>
      </c>
      <c r="K302" t="n">
        <v>0</v>
      </c>
      <c r="L302" t="n">
        <v>0</v>
      </c>
      <c r="M302" t="n">
        <v>0</v>
      </c>
      <c r="N302" t="n">
        <v>0</v>
      </c>
      <c r="O302" t="n">
        <v>0</v>
      </c>
      <c r="P302" t="n">
        <v>0</v>
      </c>
      <c r="Q302" t="n">
        <v>0</v>
      </c>
      <c r="R302" s="2" t="inlineStr"/>
    </row>
    <row r="303" ht="15" customHeight="1">
      <c r="A303" t="inlineStr">
        <is>
          <t>A 3627-2023</t>
        </is>
      </c>
      <c r="B303" s="1" t="n">
        <v>44950.64782407408</v>
      </c>
      <c r="C303" s="1" t="n">
        <v>45930</v>
      </c>
      <c r="D303" t="inlineStr">
        <is>
          <t>ÖSTERGÖTLANDS LÄN</t>
        </is>
      </c>
      <c r="E303" t="inlineStr">
        <is>
          <t>LINKÖPING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62687-2023</t>
        </is>
      </c>
      <c r="B304" s="1" t="n">
        <v>45271</v>
      </c>
      <c r="C304" s="1" t="n">
        <v>45930</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6782-2024</t>
        </is>
      </c>
      <c r="B305" s="1" t="n">
        <v>45342</v>
      </c>
      <c r="C305" s="1" t="n">
        <v>45930</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45831-2024</t>
        </is>
      </c>
      <c r="B306" s="1" t="n">
        <v>45579.90508101852</v>
      </c>
      <c r="C306" s="1" t="n">
        <v>45930</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617-2024</t>
        </is>
      </c>
      <c r="B307" s="1" t="n">
        <v>45299.66028935185</v>
      </c>
      <c r="C307" s="1" t="n">
        <v>45930</v>
      </c>
      <c r="D307" t="inlineStr">
        <is>
          <t>ÖSTERGÖTLANDS LÄN</t>
        </is>
      </c>
      <c r="E307" t="inlineStr">
        <is>
          <t>LINKÖPING</t>
        </is>
      </c>
      <c r="G307" t="n">
        <v>1.4</v>
      </c>
      <c r="H307" t="n">
        <v>0</v>
      </c>
      <c r="I307" t="n">
        <v>0</v>
      </c>
      <c r="J307" t="n">
        <v>0</v>
      </c>
      <c r="K307" t="n">
        <v>0</v>
      </c>
      <c r="L307" t="n">
        <v>0</v>
      </c>
      <c r="M307" t="n">
        <v>0</v>
      </c>
      <c r="N307" t="n">
        <v>0</v>
      </c>
      <c r="O307" t="n">
        <v>0</v>
      </c>
      <c r="P307" t="n">
        <v>0</v>
      </c>
      <c r="Q307" t="n">
        <v>0</v>
      </c>
      <c r="R307" s="2" t="inlineStr"/>
    </row>
    <row r="308" ht="15" customHeight="1">
      <c r="A308" t="inlineStr">
        <is>
          <t>A 670-2024</t>
        </is>
      </c>
      <c r="B308" s="1" t="n">
        <v>45300.3408912037</v>
      </c>
      <c r="C308" s="1" t="n">
        <v>45930</v>
      </c>
      <c r="D308" t="inlineStr">
        <is>
          <t>ÖSTERGÖTLANDS LÄN</t>
        </is>
      </c>
      <c r="E308" t="inlineStr">
        <is>
          <t>LINKÖPING</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57396-2021</t>
        </is>
      </c>
      <c r="B309" s="1" t="n">
        <v>44483.56151620371</v>
      </c>
      <c r="C309" s="1" t="n">
        <v>45930</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52125-2022</t>
        </is>
      </c>
      <c r="B310" s="1" t="n">
        <v>44873</v>
      </c>
      <c r="C310" s="1" t="n">
        <v>45930</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22842-2023</t>
        </is>
      </c>
      <c r="B311" s="1" t="n">
        <v>45071</v>
      </c>
      <c r="C311" s="1" t="n">
        <v>45930</v>
      </c>
      <c r="D311" t="inlineStr">
        <is>
          <t>ÖSTERGÖTLANDS LÄN</t>
        </is>
      </c>
      <c r="E311" t="inlineStr">
        <is>
          <t>LINKÖPING</t>
        </is>
      </c>
      <c r="F311" t="inlineStr">
        <is>
          <t>Kommuner</t>
        </is>
      </c>
      <c r="G311" t="n">
        <v>1.3</v>
      </c>
      <c r="H311" t="n">
        <v>0</v>
      </c>
      <c r="I311" t="n">
        <v>0</v>
      </c>
      <c r="J311" t="n">
        <v>0</v>
      </c>
      <c r="K311" t="n">
        <v>0</v>
      </c>
      <c r="L311" t="n">
        <v>0</v>
      </c>
      <c r="M311" t="n">
        <v>0</v>
      </c>
      <c r="N311" t="n">
        <v>0</v>
      </c>
      <c r="O311" t="n">
        <v>0</v>
      </c>
      <c r="P311" t="n">
        <v>0</v>
      </c>
      <c r="Q311" t="n">
        <v>0</v>
      </c>
      <c r="R311" s="2" t="inlineStr"/>
    </row>
    <row r="312" ht="15" customHeight="1">
      <c r="A312" t="inlineStr">
        <is>
          <t>A 50386-2021</t>
        </is>
      </c>
      <c r="B312" s="1" t="n">
        <v>44459</v>
      </c>
      <c r="C312" s="1" t="n">
        <v>45930</v>
      </c>
      <c r="D312" t="inlineStr">
        <is>
          <t>ÖSTERGÖTLANDS LÄN</t>
        </is>
      </c>
      <c r="E312" t="inlineStr">
        <is>
          <t>LINKÖPING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35781-2023</t>
        </is>
      </c>
      <c r="B313" s="1" t="n">
        <v>45147</v>
      </c>
      <c r="C313" s="1" t="n">
        <v>45930</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22770-2024</t>
        </is>
      </c>
      <c r="B314" s="1" t="n">
        <v>45448.4634375</v>
      </c>
      <c r="C314" s="1" t="n">
        <v>45930</v>
      </c>
      <c r="D314" t="inlineStr">
        <is>
          <t>ÖSTERGÖTLANDS LÄN</t>
        </is>
      </c>
      <c r="E314" t="inlineStr">
        <is>
          <t>LINKÖPING</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11671-2023</t>
        </is>
      </c>
      <c r="B315" s="1" t="n">
        <v>44994.48125</v>
      </c>
      <c r="C315" s="1" t="n">
        <v>45930</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45930</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1084-2023</t>
        </is>
      </c>
      <c r="B317" s="1" t="n">
        <v>44929</v>
      </c>
      <c r="C317" s="1" t="n">
        <v>45930</v>
      </c>
      <c r="D317" t="inlineStr">
        <is>
          <t>ÖSTERGÖTLANDS LÄN</t>
        </is>
      </c>
      <c r="E317" t="inlineStr">
        <is>
          <t>LINKÖPING</t>
        </is>
      </c>
      <c r="G317" t="n">
        <v>10.4</v>
      </c>
      <c r="H317" t="n">
        <v>0</v>
      </c>
      <c r="I317" t="n">
        <v>0</v>
      </c>
      <c r="J317" t="n">
        <v>0</v>
      </c>
      <c r="K317" t="n">
        <v>0</v>
      </c>
      <c r="L317" t="n">
        <v>0</v>
      </c>
      <c r="M317" t="n">
        <v>0</v>
      </c>
      <c r="N317" t="n">
        <v>0</v>
      </c>
      <c r="O317" t="n">
        <v>0</v>
      </c>
      <c r="P317" t="n">
        <v>0</v>
      </c>
      <c r="Q317" t="n">
        <v>0</v>
      </c>
      <c r="R317" s="2" t="inlineStr"/>
    </row>
    <row r="318" ht="15" customHeight="1">
      <c r="A318" t="inlineStr">
        <is>
          <t>A 54425-2022</t>
        </is>
      </c>
      <c r="B318" s="1" t="n">
        <v>44882.57453703704</v>
      </c>
      <c r="C318" s="1" t="n">
        <v>45930</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18891-2022</t>
        </is>
      </c>
      <c r="B319" s="1" t="n">
        <v>44690</v>
      </c>
      <c r="C319" s="1" t="n">
        <v>45930</v>
      </c>
      <c r="D319" t="inlineStr">
        <is>
          <t>ÖSTERGÖTLANDS LÄN</t>
        </is>
      </c>
      <c r="E319" t="inlineStr">
        <is>
          <t>LINKÖPING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29859-2024</t>
        </is>
      </c>
      <c r="B320" s="1" t="n">
        <v>45485.6846412037</v>
      </c>
      <c r="C320" s="1" t="n">
        <v>45930</v>
      </c>
      <c r="D320" t="inlineStr">
        <is>
          <t>ÖSTERGÖTLANDS LÄN</t>
        </is>
      </c>
      <c r="E320" t="inlineStr">
        <is>
          <t>LINKÖPING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51571-2024</t>
        </is>
      </c>
      <c r="B321" s="1" t="n">
        <v>45604</v>
      </c>
      <c r="C321" s="1" t="n">
        <v>45930</v>
      </c>
      <c r="D321" t="inlineStr">
        <is>
          <t>ÖSTERGÖTLANDS LÄN</t>
        </is>
      </c>
      <c r="E321" t="inlineStr">
        <is>
          <t>LINKÖPING</t>
        </is>
      </c>
      <c r="F321" t="inlineStr">
        <is>
          <t>Övriga Aktiebolag</t>
        </is>
      </c>
      <c r="G321" t="n">
        <v>1.4</v>
      </c>
      <c r="H321" t="n">
        <v>0</v>
      </c>
      <c r="I321" t="n">
        <v>0</v>
      </c>
      <c r="J321" t="n">
        <v>0</v>
      </c>
      <c r="K321" t="n">
        <v>0</v>
      </c>
      <c r="L321" t="n">
        <v>0</v>
      </c>
      <c r="M321" t="n">
        <v>0</v>
      </c>
      <c r="N321" t="n">
        <v>0</v>
      </c>
      <c r="O321" t="n">
        <v>0</v>
      </c>
      <c r="P321" t="n">
        <v>0</v>
      </c>
      <c r="Q321" t="n">
        <v>0</v>
      </c>
      <c r="R321" s="2" t="inlineStr"/>
    </row>
    <row r="322" ht="15" customHeight="1">
      <c r="A322" t="inlineStr">
        <is>
          <t>A 223-2024</t>
        </is>
      </c>
      <c r="B322" s="1" t="n">
        <v>45294.72739583333</v>
      </c>
      <c r="C322" s="1" t="n">
        <v>45930</v>
      </c>
      <c r="D322" t="inlineStr">
        <is>
          <t>ÖSTERGÖTLANDS LÄN</t>
        </is>
      </c>
      <c r="E322" t="inlineStr">
        <is>
          <t>LINKÖPING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227-2024</t>
        </is>
      </c>
      <c r="B323" s="1" t="n">
        <v>45294.73603009259</v>
      </c>
      <c r="C323" s="1" t="n">
        <v>45930</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26620-2023</t>
        </is>
      </c>
      <c r="B324" s="1" t="n">
        <v>45092.70390046296</v>
      </c>
      <c r="C324" s="1" t="n">
        <v>45930</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56917-2022</t>
        </is>
      </c>
      <c r="B325" s="1" t="n">
        <v>44894</v>
      </c>
      <c r="C325" s="1" t="n">
        <v>45930</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1265-2023</t>
        </is>
      </c>
      <c r="B326" s="1" t="n">
        <v>44936</v>
      </c>
      <c r="C326" s="1" t="n">
        <v>45930</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1362-2023</t>
        </is>
      </c>
      <c r="B327" s="1" t="n">
        <v>44931</v>
      </c>
      <c r="C327" s="1" t="n">
        <v>45930</v>
      </c>
      <c r="D327" t="inlineStr">
        <is>
          <t>ÖSTERGÖTLANDS LÄN</t>
        </is>
      </c>
      <c r="E327" t="inlineStr">
        <is>
          <t>LINKÖPING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4927-2021</t>
        </is>
      </c>
      <c r="B328" s="1" t="n">
        <v>44227.57215277778</v>
      </c>
      <c r="C328" s="1" t="n">
        <v>45930</v>
      </c>
      <c r="D328" t="inlineStr">
        <is>
          <t>ÖSTERGÖTLANDS LÄN</t>
        </is>
      </c>
      <c r="E328" t="inlineStr">
        <is>
          <t>LINKÖPING</t>
        </is>
      </c>
      <c r="G328" t="n">
        <v>0.3</v>
      </c>
      <c r="H328" t="n">
        <v>0</v>
      </c>
      <c r="I328" t="n">
        <v>0</v>
      </c>
      <c r="J328" t="n">
        <v>0</v>
      </c>
      <c r="K328" t="n">
        <v>0</v>
      </c>
      <c r="L328" t="n">
        <v>0</v>
      </c>
      <c r="M328" t="n">
        <v>0</v>
      </c>
      <c r="N328" t="n">
        <v>0</v>
      </c>
      <c r="O328" t="n">
        <v>0</v>
      </c>
      <c r="P328" t="n">
        <v>0</v>
      </c>
      <c r="Q328" t="n">
        <v>0</v>
      </c>
      <c r="R328" s="2" t="inlineStr"/>
    </row>
    <row r="329" ht="15" customHeight="1">
      <c r="A329" t="inlineStr">
        <is>
          <t>A 30547-2023</t>
        </is>
      </c>
      <c r="B329" s="1" t="n">
        <v>45111.75905092592</v>
      </c>
      <c r="C329" s="1" t="n">
        <v>45930</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54034-2022</t>
        </is>
      </c>
      <c r="B330" s="1" t="n">
        <v>44881</v>
      </c>
      <c r="C330" s="1" t="n">
        <v>45930</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55493-2021</t>
        </is>
      </c>
      <c r="B331" s="1" t="n">
        <v>44475.61988425926</v>
      </c>
      <c r="C331" s="1" t="n">
        <v>45930</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24904-2024</t>
        </is>
      </c>
      <c r="B332" s="1" t="n">
        <v>45461</v>
      </c>
      <c r="C332" s="1" t="n">
        <v>45930</v>
      </c>
      <c r="D332" t="inlineStr">
        <is>
          <t>ÖSTERGÖTLANDS LÄN</t>
        </is>
      </c>
      <c r="E332" t="inlineStr">
        <is>
          <t>LINKÖPING</t>
        </is>
      </c>
      <c r="G332" t="n">
        <v>3.8</v>
      </c>
      <c r="H332" t="n">
        <v>0</v>
      </c>
      <c r="I332" t="n">
        <v>0</v>
      </c>
      <c r="J332" t="n">
        <v>0</v>
      </c>
      <c r="K332" t="n">
        <v>0</v>
      </c>
      <c r="L332" t="n">
        <v>0</v>
      </c>
      <c r="M332" t="n">
        <v>0</v>
      </c>
      <c r="N332" t="n">
        <v>0</v>
      </c>
      <c r="O332" t="n">
        <v>0</v>
      </c>
      <c r="P332" t="n">
        <v>0</v>
      </c>
      <c r="Q332" t="n">
        <v>0</v>
      </c>
      <c r="R332" s="2" t="inlineStr"/>
    </row>
    <row r="333" ht="15" customHeight="1">
      <c r="A333" t="inlineStr">
        <is>
          <t>A 6054-2022</t>
        </is>
      </c>
      <c r="B333" s="1" t="n">
        <v>44599.53623842593</v>
      </c>
      <c r="C333" s="1" t="n">
        <v>45930</v>
      </c>
      <c r="D333" t="inlineStr">
        <is>
          <t>ÖSTERGÖTLANDS LÄN</t>
        </is>
      </c>
      <c r="E333" t="inlineStr">
        <is>
          <t>LINKÖPING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25119-2023</t>
        </is>
      </c>
      <c r="B334" s="1" t="n">
        <v>45086.42326388889</v>
      </c>
      <c r="C334" s="1" t="n">
        <v>45930</v>
      </c>
      <c r="D334" t="inlineStr">
        <is>
          <t>ÖSTERGÖTLANDS LÄN</t>
        </is>
      </c>
      <c r="E334" t="inlineStr">
        <is>
          <t>LINKÖPING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43758-2025</t>
        </is>
      </c>
      <c r="B335" s="1" t="n">
        <v>45912.47711805555</v>
      </c>
      <c r="C335" s="1" t="n">
        <v>45930</v>
      </c>
      <c r="D335" t="inlineStr">
        <is>
          <t>ÖSTERGÖTLANDS LÄN</t>
        </is>
      </c>
      <c r="E335" t="inlineStr">
        <is>
          <t>LINKÖPING</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43753-2025</t>
        </is>
      </c>
      <c r="B336" s="1" t="n">
        <v>45912.4715625</v>
      </c>
      <c r="C336" s="1" t="n">
        <v>45930</v>
      </c>
      <c r="D336" t="inlineStr">
        <is>
          <t>ÖSTERGÖTLANDS LÄN</t>
        </is>
      </c>
      <c r="E336" t="inlineStr">
        <is>
          <t>LINKÖPING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26788-2022</t>
        </is>
      </c>
      <c r="B337" s="1" t="n">
        <v>44740</v>
      </c>
      <c r="C337" s="1" t="n">
        <v>45930</v>
      </c>
      <c r="D337" t="inlineStr">
        <is>
          <t>ÖSTERGÖTLANDS LÄN</t>
        </is>
      </c>
      <c r="E337" t="inlineStr">
        <is>
          <t>LINKÖPING</t>
        </is>
      </c>
      <c r="G337" t="n">
        <v>3.2</v>
      </c>
      <c r="H337" t="n">
        <v>0</v>
      </c>
      <c r="I337" t="n">
        <v>0</v>
      </c>
      <c r="J337" t="n">
        <v>0</v>
      </c>
      <c r="K337" t="n">
        <v>0</v>
      </c>
      <c r="L337" t="n">
        <v>0</v>
      </c>
      <c r="M337" t="n">
        <v>0</v>
      </c>
      <c r="N337" t="n">
        <v>0</v>
      </c>
      <c r="O337" t="n">
        <v>0</v>
      </c>
      <c r="P337" t="n">
        <v>0</v>
      </c>
      <c r="Q337" t="n">
        <v>0</v>
      </c>
      <c r="R337" s="2" t="inlineStr"/>
    </row>
    <row r="338" ht="15" customHeight="1">
      <c r="A338" t="inlineStr">
        <is>
          <t>A 15121-2022</t>
        </is>
      </c>
      <c r="B338" s="1" t="n">
        <v>44658</v>
      </c>
      <c r="C338" s="1" t="n">
        <v>45930</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56180-2024</t>
        </is>
      </c>
      <c r="B339" s="1" t="n">
        <v>45624.56611111111</v>
      </c>
      <c r="C339" s="1" t="n">
        <v>45930</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51919-2024</t>
        </is>
      </c>
      <c r="B340" s="1" t="n">
        <v>45607.60791666667</v>
      </c>
      <c r="C340" s="1" t="n">
        <v>45930</v>
      </c>
      <c r="D340" t="inlineStr">
        <is>
          <t>ÖSTERGÖTLANDS LÄN</t>
        </is>
      </c>
      <c r="E340" t="inlineStr">
        <is>
          <t>LINKÖPING</t>
        </is>
      </c>
      <c r="G340" t="n">
        <v>2.5</v>
      </c>
      <c r="H340" t="n">
        <v>0</v>
      </c>
      <c r="I340" t="n">
        <v>0</v>
      </c>
      <c r="J340" t="n">
        <v>0</v>
      </c>
      <c r="K340" t="n">
        <v>0</v>
      </c>
      <c r="L340" t="n">
        <v>0</v>
      </c>
      <c r="M340" t="n">
        <v>0</v>
      </c>
      <c r="N340" t="n">
        <v>0</v>
      </c>
      <c r="O340" t="n">
        <v>0</v>
      </c>
      <c r="P340" t="n">
        <v>0</v>
      </c>
      <c r="Q340" t="n">
        <v>0</v>
      </c>
      <c r="R340" s="2" t="inlineStr"/>
    </row>
    <row r="341" ht="15" customHeight="1">
      <c r="A341" t="inlineStr">
        <is>
          <t>A 55265-2020</t>
        </is>
      </c>
      <c r="B341" s="1" t="n">
        <v>44130</v>
      </c>
      <c r="C341" s="1" t="n">
        <v>45930</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4456-2024</t>
        </is>
      </c>
      <c r="B342" s="1" t="n">
        <v>45327.52847222222</v>
      </c>
      <c r="C342" s="1" t="n">
        <v>45930</v>
      </c>
      <c r="D342" t="inlineStr">
        <is>
          <t>ÖSTERGÖTLANDS LÄN</t>
        </is>
      </c>
      <c r="E342" t="inlineStr">
        <is>
          <t>LINKÖPING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938-2023</t>
        </is>
      </c>
      <c r="B343" s="1" t="n">
        <v>44933</v>
      </c>
      <c r="C343" s="1" t="n">
        <v>45930</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25418-2023</t>
        </is>
      </c>
      <c r="B344" s="1" t="n">
        <v>45089</v>
      </c>
      <c r="C344" s="1" t="n">
        <v>45930</v>
      </c>
      <c r="D344" t="inlineStr">
        <is>
          <t>ÖSTERGÖTLANDS LÄN</t>
        </is>
      </c>
      <c r="E344" t="inlineStr">
        <is>
          <t>LINKÖPING</t>
        </is>
      </c>
      <c r="F344" t="inlineStr">
        <is>
          <t>Övriga Aktiebolag</t>
        </is>
      </c>
      <c r="G344" t="n">
        <v>2.4</v>
      </c>
      <c r="H344" t="n">
        <v>0</v>
      </c>
      <c r="I344" t="n">
        <v>0</v>
      </c>
      <c r="J344" t="n">
        <v>0</v>
      </c>
      <c r="K344" t="n">
        <v>0</v>
      </c>
      <c r="L344" t="n">
        <v>0</v>
      </c>
      <c r="M344" t="n">
        <v>0</v>
      </c>
      <c r="N344" t="n">
        <v>0</v>
      </c>
      <c r="O344" t="n">
        <v>0</v>
      </c>
      <c r="P344" t="n">
        <v>0</v>
      </c>
      <c r="Q344" t="n">
        <v>0</v>
      </c>
      <c r="R344" s="2" t="inlineStr"/>
    </row>
    <row r="345" ht="15" customHeight="1">
      <c r="A345" t="inlineStr">
        <is>
          <t>A 60007-2022</t>
        </is>
      </c>
      <c r="B345" s="1" t="n">
        <v>44909.47282407407</v>
      </c>
      <c r="C345" s="1" t="n">
        <v>45930</v>
      </c>
      <c r="D345" t="inlineStr">
        <is>
          <t>ÖSTERGÖTLANDS LÄN</t>
        </is>
      </c>
      <c r="E345" t="inlineStr">
        <is>
          <t>LINKÖPING</t>
        </is>
      </c>
      <c r="G345" t="n">
        <v>1.2</v>
      </c>
      <c r="H345" t="n">
        <v>0</v>
      </c>
      <c r="I345" t="n">
        <v>0</v>
      </c>
      <c r="J345" t="n">
        <v>0</v>
      </c>
      <c r="K345" t="n">
        <v>0</v>
      </c>
      <c r="L345" t="n">
        <v>0</v>
      </c>
      <c r="M345" t="n">
        <v>0</v>
      </c>
      <c r="N345" t="n">
        <v>0</v>
      </c>
      <c r="O345" t="n">
        <v>0</v>
      </c>
      <c r="P345" t="n">
        <v>0</v>
      </c>
      <c r="Q345" t="n">
        <v>0</v>
      </c>
      <c r="R345" s="2" t="inlineStr"/>
    </row>
    <row r="346" ht="15" customHeight="1">
      <c r="A346" t="inlineStr">
        <is>
          <t>A 58114-2021</t>
        </is>
      </c>
      <c r="B346" s="1" t="n">
        <v>44487</v>
      </c>
      <c r="C346" s="1" t="n">
        <v>45930</v>
      </c>
      <c r="D346" t="inlineStr">
        <is>
          <t>ÖSTERGÖTLANDS LÄN</t>
        </is>
      </c>
      <c r="E346" t="inlineStr">
        <is>
          <t>LINKÖPING</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55009-2023</t>
        </is>
      </c>
      <c r="B347" s="1" t="n">
        <v>45237</v>
      </c>
      <c r="C347" s="1" t="n">
        <v>45930</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20291-2025</t>
        </is>
      </c>
      <c r="B348" s="1" t="n">
        <v>45774.74288194445</v>
      </c>
      <c r="C348" s="1" t="n">
        <v>45930</v>
      </c>
      <c r="D348" t="inlineStr">
        <is>
          <t>ÖSTERGÖTLANDS LÄN</t>
        </is>
      </c>
      <c r="E348" t="inlineStr">
        <is>
          <t>LINKÖPING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20293-2025</t>
        </is>
      </c>
      <c r="B349" s="1" t="n">
        <v>45774.74611111111</v>
      </c>
      <c r="C349" s="1" t="n">
        <v>45930</v>
      </c>
      <c r="D349" t="inlineStr">
        <is>
          <t>ÖSTERGÖTLANDS LÄN</t>
        </is>
      </c>
      <c r="E349" t="inlineStr">
        <is>
          <t>LINKÖPING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660-2023</t>
        </is>
      </c>
      <c r="B350" s="1" t="n">
        <v>44930</v>
      </c>
      <c r="C350" s="1" t="n">
        <v>45930</v>
      </c>
      <c r="D350" t="inlineStr">
        <is>
          <t>ÖSTERGÖTLANDS LÄN</t>
        </is>
      </c>
      <c r="E350" t="inlineStr">
        <is>
          <t>LINKÖPING</t>
        </is>
      </c>
      <c r="F350" t="inlineStr">
        <is>
          <t>Kyrkan</t>
        </is>
      </c>
      <c r="G350" t="n">
        <v>1.6</v>
      </c>
      <c r="H350" t="n">
        <v>0</v>
      </c>
      <c r="I350" t="n">
        <v>0</v>
      </c>
      <c r="J350" t="n">
        <v>0</v>
      </c>
      <c r="K350" t="n">
        <v>0</v>
      </c>
      <c r="L350" t="n">
        <v>0</v>
      </c>
      <c r="M350" t="n">
        <v>0</v>
      </c>
      <c r="N350" t="n">
        <v>0</v>
      </c>
      <c r="O350" t="n">
        <v>0</v>
      </c>
      <c r="P350" t="n">
        <v>0</v>
      </c>
      <c r="Q350" t="n">
        <v>0</v>
      </c>
      <c r="R350" s="2" t="inlineStr"/>
    </row>
    <row r="351" ht="15" customHeight="1">
      <c r="A351" t="inlineStr">
        <is>
          <t>A 64694-2023</t>
        </is>
      </c>
      <c r="B351" s="1" t="n">
        <v>45281</v>
      </c>
      <c r="C351" s="1" t="n">
        <v>45930</v>
      </c>
      <c r="D351" t="inlineStr">
        <is>
          <t>ÖSTERGÖTLANDS LÄN</t>
        </is>
      </c>
      <c r="E351" t="inlineStr">
        <is>
          <t>LINKÖPING</t>
        </is>
      </c>
      <c r="F351" t="inlineStr">
        <is>
          <t>Övriga statliga verk och myndigheter</t>
        </is>
      </c>
      <c r="G351" t="n">
        <v>4.9</v>
      </c>
      <c r="H351" t="n">
        <v>0</v>
      </c>
      <c r="I351" t="n">
        <v>0</v>
      </c>
      <c r="J351" t="n">
        <v>0</v>
      </c>
      <c r="K351" t="n">
        <v>0</v>
      </c>
      <c r="L351" t="n">
        <v>0</v>
      </c>
      <c r="M351" t="n">
        <v>0</v>
      </c>
      <c r="N351" t="n">
        <v>0</v>
      </c>
      <c r="O351" t="n">
        <v>0</v>
      </c>
      <c r="P351" t="n">
        <v>0</v>
      </c>
      <c r="Q351" t="n">
        <v>0</v>
      </c>
      <c r="R351" s="2" t="inlineStr"/>
    </row>
    <row r="352" ht="15" customHeight="1">
      <c r="A352" t="inlineStr">
        <is>
          <t>A 52892-2024</t>
        </is>
      </c>
      <c r="B352" s="1" t="n">
        <v>45610</v>
      </c>
      <c r="C352" s="1" t="n">
        <v>45930</v>
      </c>
      <c r="D352" t="inlineStr">
        <is>
          <t>ÖSTERGÖTLANDS LÄN</t>
        </is>
      </c>
      <c r="E352" t="inlineStr">
        <is>
          <t>LINKÖPING</t>
        </is>
      </c>
      <c r="G352" t="n">
        <v>4.2</v>
      </c>
      <c r="H352" t="n">
        <v>0</v>
      </c>
      <c r="I352" t="n">
        <v>0</v>
      </c>
      <c r="J352" t="n">
        <v>0</v>
      </c>
      <c r="K352" t="n">
        <v>0</v>
      </c>
      <c r="L352" t="n">
        <v>0</v>
      </c>
      <c r="M352" t="n">
        <v>0</v>
      </c>
      <c r="N352" t="n">
        <v>0</v>
      </c>
      <c r="O352" t="n">
        <v>0</v>
      </c>
      <c r="P352" t="n">
        <v>0</v>
      </c>
      <c r="Q352" t="n">
        <v>0</v>
      </c>
      <c r="R352" s="2" t="inlineStr"/>
    </row>
    <row r="353" ht="15" customHeight="1">
      <c r="A353" t="inlineStr">
        <is>
          <t>A 63487-2023</t>
        </is>
      </c>
      <c r="B353" s="1" t="n">
        <v>45274.66712962963</v>
      </c>
      <c r="C353" s="1" t="n">
        <v>45930</v>
      </c>
      <c r="D353" t="inlineStr">
        <is>
          <t>ÖSTERGÖTLANDS LÄN</t>
        </is>
      </c>
      <c r="E353" t="inlineStr">
        <is>
          <t>LINKÖPING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11601-2023</t>
        </is>
      </c>
      <c r="B354" s="1" t="n">
        <v>44994</v>
      </c>
      <c r="C354" s="1" t="n">
        <v>45930</v>
      </c>
      <c r="D354" t="inlineStr">
        <is>
          <t>ÖSTERGÖTLANDS LÄN</t>
        </is>
      </c>
      <c r="E354" t="inlineStr">
        <is>
          <t>LINKÖPING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44170-2025</t>
        </is>
      </c>
      <c r="B355" s="1" t="n">
        <v>45915.59864583334</v>
      </c>
      <c r="C355" s="1" t="n">
        <v>45930</v>
      </c>
      <c r="D355" t="inlineStr">
        <is>
          <t>ÖSTERGÖTLANDS LÄN</t>
        </is>
      </c>
      <c r="E355" t="inlineStr">
        <is>
          <t>LINKÖPING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3008-2023</t>
        </is>
      </c>
      <c r="B356" s="1" t="n">
        <v>44945.79784722222</v>
      </c>
      <c r="C356" s="1" t="n">
        <v>45930</v>
      </c>
      <c r="D356" t="inlineStr">
        <is>
          <t>ÖSTERGÖTLANDS LÄN</t>
        </is>
      </c>
      <c r="E356" t="inlineStr">
        <is>
          <t>LINKÖPING</t>
        </is>
      </c>
      <c r="G356" t="n">
        <v>19.3</v>
      </c>
      <c r="H356" t="n">
        <v>0</v>
      </c>
      <c r="I356" t="n">
        <v>0</v>
      </c>
      <c r="J356" t="n">
        <v>0</v>
      </c>
      <c r="K356" t="n">
        <v>0</v>
      </c>
      <c r="L356" t="n">
        <v>0</v>
      </c>
      <c r="M356" t="n">
        <v>0</v>
      </c>
      <c r="N356" t="n">
        <v>0</v>
      </c>
      <c r="O356" t="n">
        <v>0</v>
      </c>
      <c r="P356" t="n">
        <v>0</v>
      </c>
      <c r="Q356" t="n">
        <v>0</v>
      </c>
      <c r="R356" s="2" t="inlineStr"/>
    </row>
    <row r="357" ht="15" customHeight="1">
      <c r="A357" t="inlineStr">
        <is>
          <t>A 37057-2025</t>
        </is>
      </c>
      <c r="B357" s="1" t="n">
        <v>45875.37489583333</v>
      </c>
      <c r="C357" s="1" t="n">
        <v>45930</v>
      </c>
      <c r="D357" t="inlineStr">
        <is>
          <t>ÖSTERGÖTLANDS LÄN</t>
        </is>
      </c>
      <c r="E357" t="inlineStr">
        <is>
          <t>LINKÖPING</t>
        </is>
      </c>
      <c r="G357" t="n">
        <v>3.3</v>
      </c>
      <c r="H357" t="n">
        <v>0</v>
      </c>
      <c r="I357" t="n">
        <v>0</v>
      </c>
      <c r="J357" t="n">
        <v>0</v>
      </c>
      <c r="K357" t="n">
        <v>0</v>
      </c>
      <c r="L357" t="n">
        <v>0</v>
      </c>
      <c r="M357" t="n">
        <v>0</v>
      </c>
      <c r="N357" t="n">
        <v>0</v>
      </c>
      <c r="O357" t="n">
        <v>0</v>
      </c>
      <c r="P357" t="n">
        <v>0</v>
      </c>
      <c r="Q357" t="n">
        <v>0</v>
      </c>
      <c r="R357" s="2" t="inlineStr"/>
    </row>
    <row r="358" ht="15" customHeight="1">
      <c r="A358" t="inlineStr">
        <is>
          <t>A 20455-2024</t>
        </is>
      </c>
      <c r="B358" s="1" t="n">
        <v>45435.65314814815</v>
      </c>
      <c r="C358" s="1" t="n">
        <v>45930</v>
      </c>
      <c r="D358" t="inlineStr">
        <is>
          <t>ÖSTERGÖTLANDS LÄN</t>
        </is>
      </c>
      <c r="E358" t="inlineStr">
        <is>
          <t>LINKÖPING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30471-2023</t>
        </is>
      </c>
      <c r="B359" s="1" t="n">
        <v>45111.58931712963</v>
      </c>
      <c r="C359" s="1" t="n">
        <v>45930</v>
      </c>
      <c r="D359" t="inlineStr">
        <is>
          <t>ÖSTERGÖTLANDS LÄN</t>
        </is>
      </c>
      <c r="E359" t="inlineStr">
        <is>
          <t>LINKÖPING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44759-2025</t>
        </is>
      </c>
      <c r="B360" s="1" t="n">
        <v>45917.7152662037</v>
      </c>
      <c r="C360" s="1" t="n">
        <v>45930</v>
      </c>
      <c r="D360" t="inlineStr">
        <is>
          <t>ÖSTERGÖTLANDS LÄN</t>
        </is>
      </c>
      <c r="E360" t="inlineStr">
        <is>
          <t>LINKÖPING</t>
        </is>
      </c>
      <c r="G360" t="n">
        <v>1.6</v>
      </c>
      <c r="H360" t="n">
        <v>0</v>
      </c>
      <c r="I360" t="n">
        <v>0</v>
      </c>
      <c r="J360" t="n">
        <v>0</v>
      </c>
      <c r="K360" t="n">
        <v>0</v>
      </c>
      <c r="L360" t="n">
        <v>0</v>
      </c>
      <c r="M360" t="n">
        <v>0</v>
      </c>
      <c r="N360" t="n">
        <v>0</v>
      </c>
      <c r="O360" t="n">
        <v>0</v>
      </c>
      <c r="P360" t="n">
        <v>0</v>
      </c>
      <c r="Q360" t="n">
        <v>0</v>
      </c>
      <c r="R360" s="2" t="inlineStr"/>
    </row>
    <row r="361" ht="15" customHeight="1">
      <c r="A361" t="inlineStr">
        <is>
          <t>A 14093-2024</t>
        </is>
      </c>
      <c r="B361" s="1" t="n">
        <v>45392.60278935185</v>
      </c>
      <c r="C361" s="1" t="n">
        <v>45930</v>
      </c>
      <c r="D361" t="inlineStr">
        <is>
          <t>ÖSTERGÖTLANDS LÄN</t>
        </is>
      </c>
      <c r="E361" t="inlineStr">
        <is>
          <t>LINKÖPING</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61227-2024</t>
        </is>
      </c>
      <c r="B362" s="1" t="n">
        <v>45645.66853009259</v>
      </c>
      <c r="C362" s="1" t="n">
        <v>45930</v>
      </c>
      <c r="D362" t="inlineStr">
        <is>
          <t>ÖSTERGÖTLANDS LÄN</t>
        </is>
      </c>
      <c r="E362" t="inlineStr">
        <is>
          <t>LINKÖPING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1260-2023</t>
        </is>
      </c>
      <c r="B363" s="1" t="n">
        <v>44936</v>
      </c>
      <c r="C363" s="1" t="n">
        <v>45930</v>
      </c>
      <c r="D363" t="inlineStr">
        <is>
          <t>ÖSTERGÖTLANDS LÄN</t>
        </is>
      </c>
      <c r="E363" t="inlineStr">
        <is>
          <t>LINKÖPING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7702-2023</t>
        </is>
      </c>
      <c r="B364" s="1" t="n">
        <v>44967</v>
      </c>
      <c r="C364" s="1" t="n">
        <v>45930</v>
      </c>
      <c r="D364" t="inlineStr">
        <is>
          <t>ÖSTERGÖTLANDS LÄN</t>
        </is>
      </c>
      <c r="E364" t="inlineStr">
        <is>
          <t>LINKÖPING</t>
        </is>
      </c>
      <c r="F364" t="inlineStr">
        <is>
          <t>Övriga statliga verk och myndigheter</t>
        </is>
      </c>
      <c r="G364" t="n">
        <v>8</v>
      </c>
      <c r="H364" t="n">
        <v>0</v>
      </c>
      <c r="I364" t="n">
        <v>0</v>
      </c>
      <c r="J364" t="n">
        <v>0</v>
      </c>
      <c r="K364" t="n">
        <v>0</v>
      </c>
      <c r="L364" t="n">
        <v>0</v>
      </c>
      <c r="M364" t="n">
        <v>0</v>
      </c>
      <c r="N364" t="n">
        <v>0</v>
      </c>
      <c r="O364" t="n">
        <v>0</v>
      </c>
      <c r="P364" t="n">
        <v>0</v>
      </c>
      <c r="Q364" t="n">
        <v>0</v>
      </c>
      <c r="R364" s="2" t="inlineStr"/>
    </row>
    <row r="365" ht="15" customHeight="1">
      <c r="A365" t="inlineStr">
        <is>
          <t>A 54491-2020</t>
        </is>
      </c>
      <c r="B365" s="1" t="n">
        <v>44126.64</v>
      </c>
      <c r="C365" s="1" t="n">
        <v>45930</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55736-2022</t>
        </is>
      </c>
      <c r="B366" s="1" t="n">
        <v>44888</v>
      </c>
      <c r="C366" s="1" t="n">
        <v>45930</v>
      </c>
      <c r="D366" t="inlineStr">
        <is>
          <t>ÖSTERGÖTLANDS LÄN</t>
        </is>
      </c>
      <c r="E366" t="inlineStr">
        <is>
          <t>LINKÖPING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674-2024</t>
        </is>
      </c>
      <c r="B367" s="1" t="n">
        <v>45300.34408564815</v>
      </c>
      <c r="C367" s="1" t="n">
        <v>45930</v>
      </c>
      <c r="D367" t="inlineStr">
        <is>
          <t>ÖSTERGÖTLANDS LÄN</t>
        </is>
      </c>
      <c r="E367" t="inlineStr">
        <is>
          <t>LINKÖPING</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44764-2025</t>
        </is>
      </c>
      <c r="B368" s="1" t="n">
        <v>45917.72821759259</v>
      </c>
      <c r="C368" s="1" t="n">
        <v>45930</v>
      </c>
      <c r="D368" t="inlineStr">
        <is>
          <t>ÖSTERGÖTLANDS LÄN</t>
        </is>
      </c>
      <c r="E368" t="inlineStr">
        <is>
          <t>LINKÖPING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63684-2023</t>
        </is>
      </c>
      <c r="B369" s="1" t="n">
        <v>45275</v>
      </c>
      <c r="C369" s="1" t="n">
        <v>45930</v>
      </c>
      <c r="D369" t="inlineStr">
        <is>
          <t>ÖSTERGÖTLANDS LÄN</t>
        </is>
      </c>
      <c r="E369" t="inlineStr">
        <is>
          <t>LINKÖPING</t>
        </is>
      </c>
      <c r="G369" t="n">
        <v>0.4</v>
      </c>
      <c r="H369" t="n">
        <v>0</v>
      </c>
      <c r="I369" t="n">
        <v>0</v>
      </c>
      <c r="J369" t="n">
        <v>0</v>
      </c>
      <c r="K369" t="n">
        <v>0</v>
      </c>
      <c r="L369" t="n">
        <v>0</v>
      </c>
      <c r="M369" t="n">
        <v>0</v>
      </c>
      <c r="N369" t="n">
        <v>0</v>
      </c>
      <c r="O369" t="n">
        <v>0</v>
      </c>
      <c r="P369" t="n">
        <v>0</v>
      </c>
      <c r="Q369" t="n">
        <v>0</v>
      </c>
      <c r="R369" s="2" t="inlineStr"/>
    </row>
    <row r="370" ht="15" customHeight="1">
      <c r="A370" t="inlineStr">
        <is>
          <t>A 167-2024</t>
        </is>
      </c>
      <c r="B370" s="1" t="n">
        <v>45294</v>
      </c>
      <c r="C370" s="1" t="n">
        <v>45930</v>
      </c>
      <c r="D370" t="inlineStr">
        <is>
          <t>ÖSTERGÖTLANDS LÄN</t>
        </is>
      </c>
      <c r="E370" t="inlineStr">
        <is>
          <t>LINKÖPING</t>
        </is>
      </c>
      <c r="F370" t="inlineStr">
        <is>
          <t>Allmännings- och besparingsskogar</t>
        </is>
      </c>
      <c r="G370" t="n">
        <v>11.6</v>
      </c>
      <c r="H370" t="n">
        <v>0</v>
      </c>
      <c r="I370" t="n">
        <v>0</v>
      </c>
      <c r="J370" t="n">
        <v>0</v>
      </c>
      <c r="K370" t="n">
        <v>0</v>
      </c>
      <c r="L370" t="n">
        <v>0</v>
      </c>
      <c r="M370" t="n">
        <v>0</v>
      </c>
      <c r="N370" t="n">
        <v>0</v>
      </c>
      <c r="O370" t="n">
        <v>0</v>
      </c>
      <c r="P370" t="n">
        <v>0</v>
      </c>
      <c r="Q370" t="n">
        <v>0</v>
      </c>
      <c r="R370" s="2" t="inlineStr"/>
    </row>
    <row r="371" ht="15" customHeight="1">
      <c r="A371" t="inlineStr">
        <is>
          <t>A 49088-2020</t>
        </is>
      </c>
      <c r="B371" s="1" t="n">
        <v>44104</v>
      </c>
      <c r="C371" s="1" t="n">
        <v>45930</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63304-2021</t>
        </is>
      </c>
      <c r="B372" s="1" t="n">
        <v>44508.4396412037</v>
      </c>
      <c r="C372" s="1" t="n">
        <v>45930</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36725-2023</t>
        </is>
      </c>
      <c r="B373" s="1" t="n">
        <v>45153.68471064815</v>
      </c>
      <c r="C373" s="1" t="n">
        <v>45930</v>
      </c>
      <c r="D373" t="inlineStr">
        <is>
          <t>ÖSTERGÖTLANDS LÄN</t>
        </is>
      </c>
      <c r="E373" t="inlineStr">
        <is>
          <t>LINKÖPING</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45634-2025</t>
        </is>
      </c>
      <c r="B374" s="1" t="n">
        <v>45922.85089120371</v>
      </c>
      <c r="C374" s="1" t="n">
        <v>45930</v>
      </c>
      <c r="D374" t="inlineStr">
        <is>
          <t>ÖSTERGÖTLANDS LÄN</t>
        </is>
      </c>
      <c r="E374" t="inlineStr">
        <is>
          <t>LINKÖPING</t>
        </is>
      </c>
      <c r="F374" t="inlineStr">
        <is>
          <t>Övriga Aktiebolag</t>
        </is>
      </c>
      <c r="G374" t="n">
        <v>0.3</v>
      </c>
      <c r="H374" t="n">
        <v>0</v>
      </c>
      <c r="I374" t="n">
        <v>0</v>
      </c>
      <c r="J374" t="n">
        <v>0</v>
      </c>
      <c r="K374" t="n">
        <v>0</v>
      </c>
      <c r="L374" t="n">
        <v>0</v>
      </c>
      <c r="M374" t="n">
        <v>0</v>
      </c>
      <c r="N374" t="n">
        <v>0</v>
      </c>
      <c r="O374" t="n">
        <v>0</v>
      </c>
      <c r="P374" t="n">
        <v>0</v>
      </c>
      <c r="Q374" t="n">
        <v>0</v>
      </c>
      <c r="R374" s="2" t="inlineStr"/>
    </row>
    <row r="375" ht="15" customHeight="1">
      <c r="A375" t="inlineStr">
        <is>
          <t>A 19362-2023</t>
        </is>
      </c>
      <c r="B375" s="1" t="n">
        <v>45049</v>
      </c>
      <c r="C375" s="1" t="n">
        <v>45930</v>
      </c>
      <c r="D375" t="inlineStr">
        <is>
          <t>ÖSTERGÖTLANDS LÄN</t>
        </is>
      </c>
      <c r="E375" t="inlineStr">
        <is>
          <t>LINKÖPING</t>
        </is>
      </c>
      <c r="G375" t="n">
        <v>0.1</v>
      </c>
      <c r="H375" t="n">
        <v>0</v>
      </c>
      <c r="I375" t="n">
        <v>0</v>
      </c>
      <c r="J375" t="n">
        <v>0</v>
      </c>
      <c r="K375" t="n">
        <v>0</v>
      </c>
      <c r="L375" t="n">
        <v>0</v>
      </c>
      <c r="M375" t="n">
        <v>0</v>
      </c>
      <c r="N375" t="n">
        <v>0</v>
      </c>
      <c r="O375" t="n">
        <v>0</v>
      </c>
      <c r="P375" t="n">
        <v>0</v>
      </c>
      <c r="Q375" t="n">
        <v>0</v>
      </c>
      <c r="R375" s="2" t="inlineStr"/>
    </row>
    <row r="376" ht="15" customHeight="1">
      <c r="A376" t="inlineStr">
        <is>
          <t>A 27343-2023</t>
        </is>
      </c>
      <c r="B376" s="1" t="n">
        <v>45096</v>
      </c>
      <c r="C376" s="1" t="n">
        <v>45930</v>
      </c>
      <c r="D376" t="inlineStr">
        <is>
          <t>ÖSTERGÖTLANDS LÄN</t>
        </is>
      </c>
      <c r="E376" t="inlineStr">
        <is>
          <t>LINKÖPING</t>
        </is>
      </c>
      <c r="F376" t="inlineStr">
        <is>
          <t>Allmännings- och besparingsskogar</t>
        </is>
      </c>
      <c r="G376" t="n">
        <v>6.9</v>
      </c>
      <c r="H376" t="n">
        <v>0</v>
      </c>
      <c r="I376" t="n">
        <v>0</v>
      </c>
      <c r="J376" t="n">
        <v>0</v>
      </c>
      <c r="K376" t="n">
        <v>0</v>
      </c>
      <c r="L376" t="n">
        <v>0</v>
      </c>
      <c r="M376" t="n">
        <v>0</v>
      </c>
      <c r="N376" t="n">
        <v>0</v>
      </c>
      <c r="O376" t="n">
        <v>0</v>
      </c>
      <c r="P376" t="n">
        <v>0</v>
      </c>
      <c r="Q376" t="n">
        <v>0</v>
      </c>
      <c r="R376" s="2" t="inlineStr"/>
    </row>
    <row r="377" ht="15" customHeight="1">
      <c r="A377" t="inlineStr">
        <is>
          <t>A 35463-2023</t>
        </is>
      </c>
      <c r="B377" s="1" t="n">
        <v>45146</v>
      </c>
      <c r="C377" s="1" t="n">
        <v>45930</v>
      </c>
      <c r="D377" t="inlineStr">
        <is>
          <t>ÖSTERGÖTLANDS LÄN</t>
        </is>
      </c>
      <c r="E377" t="inlineStr">
        <is>
          <t>LINKÖPING</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16111-2022</t>
        </is>
      </c>
      <c r="B378" s="1" t="n">
        <v>44665</v>
      </c>
      <c r="C378" s="1" t="n">
        <v>45930</v>
      </c>
      <c r="D378" t="inlineStr">
        <is>
          <t>ÖSTERGÖTLANDS LÄN</t>
        </is>
      </c>
      <c r="E378" t="inlineStr">
        <is>
          <t>LINKÖPING</t>
        </is>
      </c>
      <c r="F378" t="inlineStr">
        <is>
          <t>Övriga Aktiebolag</t>
        </is>
      </c>
      <c r="G378" t="n">
        <v>2.9</v>
      </c>
      <c r="H378" t="n">
        <v>0</v>
      </c>
      <c r="I378" t="n">
        <v>0</v>
      </c>
      <c r="J378" t="n">
        <v>0</v>
      </c>
      <c r="K378" t="n">
        <v>0</v>
      </c>
      <c r="L378" t="n">
        <v>0</v>
      </c>
      <c r="M378" t="n">
        <v>0</v>
      </c>
      <c r="N378" t="n">
        <v>0</v>
      </c>
      <c r="O378" t="n">
        <v>0</v>
      </c>
      <c r="P378" t="n">
        <v>0</v>
      </c>
      <c r="Q378" t="n">
        <v>0</v>
      </c>
      <c r="R378" s="2" t="inlineStr"/>
    </row>
    <row r="379" ht="15" customHeight="1">
      <c r="A379" t="inlineStr">
        <is>
          <t>A 30434-2024</t>
        </is>
      </c>
      <c r="B379" s="1" t="n">
        <v>45491.69811342593</v>
      </c>
      <c r="C379" s="1" t="n">
        <v>45930</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22774-2024</t>
        </is>
      </c>
      <c r="B380" s="1" t="n">
        <v>45448.46924768519</v>
      </c>
      <c r="C380" s="1" t="n">
        <v>45930</v>
      </c>
      <c r="D380" t="inlineStr">
        <is>
          <t>ÖSTERGÖTLANDS LÄN</t>
        </is>
      </c>
      <c r="E380" t="inlineStr">
        <is>
          <t>LINKÖPING</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22778-2024</t>
        </is>
      </c>
      <c r="B381" s="1" t="n">
        <v>45448.47233796296</v>
      </c>
      <c r="C381" s="1" t="n">
        <v>45930</v>
      </c>
      <c r="D381" t="inlineStr">
        <is>
          <t>ÖSTERGÖTLANDS LÄN</t>
        </is>
      </c>
      <c r="E381" t="inlineStr">
        <is>
          <t>LINKÖPING</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31635-2023</t>
        </is>
      </c>
      <c r="B382" s="1" t="n">
        <v>45105</v>
      </c>
      <c r="C382" s="1" t="n">
        <v>45930</v>
      </c>
      <c r="D382" t="inlineStr">
        <is>
          <t>ÖSTERGÖTLANDS LÄN</t>
        </is>
      </c>
      <c r="E382" t="inlineStr">
        <is>
          <t>LINKÖPING</t>
        </is>
      </c>
      <c r="F382" t="inlineStr">
        <is>
          <t>Övriga statliga verk och myndigheter</t>
        </is>
      </c>
      <c r="G382" t="n">
        <v>4.6</v>
      </c>
      <c r="H382" t="n">
        <v>0</v>
      </c>
      <c r="I382" t="n">
        <v>0</v>
      </c>
      <c r="J382" t="n">
        <v>0</v>
      </c>
      <c r="K382" t="n">
        <v>0</v>
      </c>
      <c r="L382" t="n">
        <v>0</v>
      </c>
      <c r="M382" t="n">
        <v>0</v>
      </c>
      <c r="N382" t="n">
        <v>0</v>
      </c>
      <c r="O382" t="n">
        <v>0</v>
      </c>
      <c r="P382" t="n">
        <v>0</v>
      </c>
      <c r="Q382" t="n">
        <v>0</v>
      </c>
      <c r="R382" s="2" t="inlineStr"/>
    </row>
    <row r="383" ht="15" customHeight="1">
      <c r="A383" t="inlineStr">
        <is>
          <t>A 34864-2023</t>
        </is>
      </c>
      <c r="B383" s="1" t="n">
        <v>45141</v>
      </c>
      <c r="C383" s="1" t="n">
        <v>45930</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49928-2024</t>
        </is>
      </c>
      <c r="B384" s="1" t="n">
        <v>45597.57811342592</v>
      </c>
      <c r="C384" s="1" t="n">
        <v>45930</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52531-2023</t>
        </is>
      </c>
      <c r="B385" s="1" t="n">
        <v>45225</v>
      </c>
      <c r="C385" s="1" t="n">
        <v>45930</v>
      </c>
      <c r="D385" t="inlineStr">
        <is>
          <t>ÖSTERGÖTLANDS LÄN</t>
        </is>
      </c>
      <c r="E385" t="inlineStr">
        <is>
          <t>LINKÖPING</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34930-2023</t>
        </is>
      </c>
      <c r="B386" s="1" t="n">
        <v>45142</v>
      </c>
      <c r="C386" s="1" t="n">
        <v>45930</v>
      </c>
      <c r="D386" t="inlineStr">
        <is>
          <t>ÖSTERGÖTLANDS LÄN</t>
        </is>
      </c>
      <c r="E386" t="inlineStr">
        <is>
          <t>LINKÖPING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30985-2022</t>
        </is>
      </c>
      <c r="B387" s="1" t="n">
        <v>44768</v>
      </c>
      <c r="C387" s="1" t="n">
        <v>45930</v>
      </c>
      <c r="D387" t="inlineStr">
        <is>
          <t>ÖSTERGÖTLANDS LÄN</t>
        </is>
      </c>
      <c r="E387" t="inlineStr">
        <is>
          <t>LINKÖPING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45112-2025</t>
        </is>
      </c>
      <c r="B388" s="1" t="n">
        <v>45919</v>
      </c>
      <c r="C388" s="1" t="n">
        <v>45930</v>
      </c>
      <c r="D388" t="inlineStr">
        <is>
          <t>ÖSTERGÖTLANDS LÄN</t>
        </is>
      </c>
      <c r="E388" t="inlineStr">
        <is>
          <t>LINKÖPING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54845-2023</t>
        </is>
      </c>
      <c r="B389" s="1" t="n">
        <v>45236</v>
      </c>
      <c r="C389" s="1" t="n">
        <v>45930</v>
      </c>
      <c r="D389" t="inlineStr">
        <is>
          <t>ÖSTERGÖTLANDS LÄN</t>
        </is>
      </c>
      <c r="E389" t="inlineStr">
        <is>
          <t>LINKÖPING</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11084-2022</t>
        </is>
      </c>
      <c r="B390" s="1" t="n">
        <v>44628</v>
      </c>
      <c r="C390" s="1" t="n">
        <v>45930</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25829-2025</t>
        </is>
      </c>
      <c r="B391" s="1" t="n">
        <v>45804.44505787037</v>
      </c>
      <c r="C391" s="1" t="n">
        <v>45930</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46687-2021</t>
        </is>
      </c>
      <c r="B392" s="1" t="n">
        <v>44445</v>
      </c>
      <c r="C392" s="1" t="n">
        <v>45930</v>
      </c>
      <c r="D392" t="inlineStr">
        <is>
          <t>ÖSTERGÖTLANDS LÄN</t>
        </is>
      </c>
      <c r="E392" t="inlineStr">
        <is>
          <t>LINKÖPING</t>
        </is>
      </c>
      <c r="F392" t="inlineStr">
        <is>
          <t>Övriga statliga verk och myndigheter</t>
        </is>
      </c>
      <c r="G392" t="n">
        <v>2.3</v>
      </c>
      <c r="H392" t="n">
        <v>0</v>
      </c>
      <c r="I392" t="n">
        <v>0</v>
      </c>
      <c r="J392" t="n">
        <v>0</v>
      </c>
      <c r="K392" t="n">
        <v>0</v>
      </c>
      <c r="L392" t="n">
        <v>0</v>
      </c>
      <c r="M392" t="n">
        <v>0</v>
      </c>
      <c r="N392" t="n">
        <v>0</v>
      </c>
      <c r="O392" t="n">
        <v>0</v>
      </c>
      <c r="P392" t="n">
        <v>0</v>
      </c>
      <c r="Q392" t="n">
        <v>0</v>
      </c>
      <c r="R392" s="2" t="inlineStr"/>
    </row>
    <row r="393" ht="15" customHeight="1">
      <c r="A393" t="inlineStr">
        <is>
          <t>A 30855-2022</t>
        </is>
      </c>
      <c r="B393" s="1" t="n">
        <v>44767</v>
      </c>
      <c r="C393" s="1" t="n">
        <v>45930</v>
      </c>
      <c r="D393" t="inlineStr">
        <is>
          <t>ÖSTERGÖTLANDS LÄN</t>
        </is>
      </c>
      <c r="E393" t="inlineStr">
        <is>
          <t>LINKÖPING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1355-2023</t>
        </is>
      </c>
      <c r="B394" s="1" t="n">
        <v>44931</v>
      </c>
      <c r="C394" s="1" t="n">
        <v>45930</v>
      </c>
      <c r="D394" t="inlineStr">
        <is>
          <t>ÖSTERGÖTLANDS LÄN</t>
        </is>
      </c>
      <c r="E394" t="inlineStr">
        <is>
          <t>LINKÖPING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45804-2025</t>
        </is>
      </c>
      <c r="B395" s="1" t="n">
        <v>45923.5819675926</v>
      </c>
      <c r="C395" s="1" t="n">
        <v>45930</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46194-2025</t>
        </is>
      </c>
      <c r="B396" s="1" t="n">
        <v>45924.68075231482</v>
      </c>
      <c r="C396" s="1" t="n">
        <v>45930</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57745-2022</t>
        </is>
      </c>
      <c r="B397" s="1" t="n">
        <v>44897.58119212963</v>
      </c>
      <c r="C397" s="1" t="n">
        <v>45930</v>
      </c>
      <c r="D397" t="inlineStr">
        <is>
          <t>ÖSTERGÖTLANDS LÄN</t>
        </is>
      </c>
      <c r="E397" t="inlineStr">
        <is>
          <t>LINKÖPING</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27844-2024</t>
        </is>
      </c>
      <c r="B398" s="1" t="n">
        <v>45475.63047453704</v>
      </c>
      <c r="C398" s="1" t="n">
        <v>45930</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14520-2025</t>
        </is>
      </c>
      <c r="B399" s="1" t="n">
        <v>45741</v>
      </c>
      <c r="C399" s="1" t="n">
        <v>45930</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58714-2020</t>
        </is>
      </c>
      <c r="B400" s="1" t="n">
        <v>44146</v>
      </c>
      <c r="C400" s="1" t="n">
        <v>45930</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45792-2025</t>
        </is>
      </c>
      <c r="B401" s="1" t="n">
        <v>45923.56998842592</v>
      </c>
      <c r="C401" s="1" t="n">
        <v>45930</v>
      </c>
      <c r="D401" t="inlineStr">
        <is>
          <t>ÖSTERGÖTLANDS LÄN</t>
        </is>
      </c>
      <c r="E401" t="inlineStr">
        <is>
          <t>LINKÖPING</t>
        </is>
      </c>
      <c r="G401" t="n">
        <v>2.6</v>
      </c>
      <c r="H401" t="n">
        <v>0</v>
      </c>
      <c r="I401" t="n">
        <v>0</v>
      </c>
      <c r="J401" t="n">
        <v>0</v>
      </c>
      <c r="K401" t="n">
        <v>0</v>
      </c>
      <c r="L401" t="n">
        <v>0</v>
      </c>
      <c r="M401" t="n">
        <v>0</v>
      </c>
      <c r="N401" t="n">
        <v>0</v>
      </c>
      <c r="O401" t="n">
        <v>0</v>
      </c>
      <c r="P401" t="n">
        <v>0</v>
      </c>
      <c r="Q401" t="n">
        <v>0</v>
      </c>
      <c r="R401" s="2" t="inlineStr"/>
    </row>
    <row r="402" ht="15" customHeight="1">
      <c r="A402" t="inlineStr">
        <is>
          <t>A 10741-2023</t>
        </is>
      </c>
      <c r="B402" s="1" t="n">
        <v>44988.70084490741</v>
      </c>
      <c r="C402" s="1" t="n">
        <v>45930</v>
      </c>
      <c r="D402" t="inlineStr">
        <is>
          <t>ÖSTERGÖTLANDS LÄN</t>
        </is>
      </c>
      <c r="E402" t="inlineStr">
        <is>
          <t>LINKÖPING</t>
        </is>
      </c>
      <c r="F402" t="inlineStr">
        <is>
          <t>Allmännings- och besparingsskogar</t>
        </is>
      </c>
      <c r="G402" t="n">
        <v>11.2</v>
      </c>
      <c r="H402" t="n">
        <v>0</v>
      </c>
      <c r="I402" t="n">
        <v>0</v>
      </c>
      <c r="J402" t="n">
        <v>0</v>
      </c>
      <c r="K402" t="n">
        <v>0</v>
      </c>
      <c r="L402" t="n">
        <v>0</v>
      </c>
      <c r="M402" t="n">
        <v>0</v>
      </c>
      <c r="N402" t="n">
        <v>0</v>
      </c>
      <c r="O402" t="n">
        <v>0</v>
      </c>
      <c r="P402" t="n">
        <v>0</v>
      </c>
      <c r="Q402" t="n">
        <v>0</v>
      </c>
      <c r="R402" s="2" t="inlineStr"/>
    </row>
    <row r="403" ht="15" customHeight="1">
      <c r="A403" t="inlineStr">
        <is>
          <t>A 50963-2021</t>
        </is>
      </c>
      <c r="B403" s="1" t="n">
        <v>44460</v>
      </c>
      <c r="C403" s="1" t="n">
        <v>45930</v>
      </c>
      <c r="D403" t="inlineStr">
        <is>
          <t>ÖSTERGÖTLANDS LÄN</t>
        </is>
      </c>
      <c r="E403" t="inlineStr">
        <is>
          <t>LINKÖPING</t>
        </is>
      </c>
      <c r="G403" t="n">
        <v>4.4</v>
      </c>
      <c r="H403" t="n">
        <v>0</v>
      </c>
      <c r="I403" t="n">
        <v>0</v>
      </c>
      <c r="J403" t="n">
        <v>0</v>
      </c>
      <c r="K403" t="n">
        <v>0</v>
      </c>
      <c r="L403" t="n">
        <v>0</v>
      </c>
      <c r="M403" t="n">
        <v>0</v>
      </c>
      <c r="N403" t="n">
        <v>0</v>
      </c>
      <c r="O403" t="n">
        <v>0</v>
      </c>
      <c r="P403" t="n">
        <v>0</v>
      </c>
      <c r="Q403" t="n">
        <v>0</v>
      </c>
      <c r="R403" s="2" t="inlineStr"/>
    </row>
    <row r="404" ht="15" customHeight="1">
      <c r="A404" t="inlineStr">
        <is>
          <t>A 56064-2022</t>
        </is>
      </c>
      <c r="B404" s="1" t="n">
        <v>44889.59107638889</v>
      </c>
      <c r="C404" s="1" t="n">
        <v>45930</v>
      </c>
      <c r="D404" t="inlineStr">
        <is>
          <t>ÖSTERGÖTLANDS LÄN</t>
        </is>
      </c>
      <c r="E404" t="inlineStr">
        <is>
          <t>LINKÖPING</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45821-2024</t>
        </is>
      </c>
      <c r="B405" s="1" t="n">
        <v>45579.75803240741</v>
      </c>
      <c r="C405" s="1" t="n">
        <v>45930</v>
      </c>
      <c r="D405" t="inlineStr">
        <is>
          <t>ÖSTERGÖTLANDS LÄN</t>
        </is>
      </c>
      <c r="E405" t="inlineStr">
        <is>
          <t>LINKÖPING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40502-2024</t>
        </is>
      </c>
      <c r="B406" s="1" t="n">
        <v>45555.57263888889</v>
      </c>
      <c r="C406" s="1" t="n">
        <v>45930</v>
      </c>
      <c r="D406" t="inlineStr">
        <is>
          <t>ÖSTERGÖTLANDS LÄN</t>
        </is>
      </c>
      <c r="E406" t="inlineStr">
        <is>
          <t>LINKÖPING</t>
        </is>
      </c>
      <c r="F406" t="inlineStr">
        <is>
          <t>Allmännings- och besparingsskogar</t>
        </is>
      </c>
      <c r="G406" t="n">
        <v>17.5</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45266.54534722222</v>
      </c>
      <c r="C407" s="1" t="n">
        <v>45930</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1263-2024</t>
        </is>
      </c>
      <c r="B408" s="1" t="n">
        <v>45302</v>
      </c>
      <c r="C408" s="1" t="n">
        <v>45930</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24464-2023</t>
        </is>
      </c>
      <c r="B409" s="1" t="n">
        <v>45082.58068287037</v>
      </c>
      <c r="C409" s="1" t="n">
        <v>45930</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16200-2025</t>
        </is>
      </c>
      <c r="B410" s="1" t="n">
        <v>45750.61050925926</v>
      </c>
      <c r="C410" s="1" t="n">
        <v>45930</v>
      </c>
      <c r="D410" t="inlineStr">
        <is>
          <t>ÖSTERGÖTLANDS LÄN</t>
        </is>
      </c>
      <c r="E410" t="inlineStr">
        <is>
          <t>LINKÖPING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48389-2024</t>
        </is>
      </c>
      <c r="B411" s="1" t="n">
        <v>45590.59991898148</v>
      </c>
      <c r="C411" s="1" t="n">
        <v>45930</v>
      </c>
      <c r="D411" t="inlineStr">
        <is>
          <t>ÖSTERGÖTLANDS LÄN</t>
        </is>
      </c>
      <c r="E411" t="inlineStr">
        <is>
          <t>LINKÖPING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61281-2021</t>
        </is>
      </c>
      <c r="B412" s="1" t="n">
        <v>44498.60736111111</v>
      </c>
      <c r="C412" s="1" t="n">
        <v>45930</v>
      </c>
      <c r="D412" t="inlineStr">
        <is>
          <t>ÖSTERGÖTLANDS LÄN</t>
        </is>
      </c>
      <c r="E412" t="inlineStr">
        <is>
          <t>LINKÖPING</t>
        </is>
      </c>
      <c r="G412" t="n">
        <v>4.5</v>
      </c>
      <c r="H412" t="n">
        <v>0</v>
      </c>
      <c r="I412" t="n">
        <v>0</v>
      </c>
      <c r="J412" t="n">
        <v>0</v>
      </c>
      <c r="K412" t="n">
        <v>0</v>
      </c>
      <c r="L412" t="n">
        <v>0</v>
      </c>
      <c r="M412" t="n">
        <v>0</v>
      </c>
      <c r="N412" t="n">
        <v>0</v>
      </c>
      <c r="O412" t="n">
        <v>0</v>
      </c>
      <c r="P412" t="n">
        <v>0</v>
      </c>
      <c r="Q412" t="n">
        <v>0</v>
      </c>
      <c r="R412" s="2" t="inlineStr"/>
    </row>
    <row r="413" ht="15" customHeight="1">
      <c r="A413" t="inlineStr">
        <is>
          <t>A 59642-2024</t>
        </is>
      </c>
      <c r="B413" s="1" t="n">
        <v>45639.31511574074</v>
      </c>
      <c r="C413" s="1" t="n">
        <v>45930</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15748-2025</t>
        </is>
      </c>
      <c r="B414" s="1" t="n">
        <v>45748.55282407408</v>
      </c>
      <c r="C414" s="1" t="n">
        <v>45930</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31792-2021</t>
        </is>
      </c>
      <c r="B415" s="1" t="n">
        <v>44369</v>
      </c>
      <c r="C415" s="1" t="n">
        <v>45930</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25097-2023</t>
        </is>
      </c>
      <c r="B416" s="1" t="n">
        <v>45086</v>
      </c>
      <c r="C416" s="1" t="n">
        <v>45930</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44155-2024</t>
        </is>
      </c>
      <c r="B417" s="1" t="n">
        <v>45572.68226851852</v>
      </c>
      <c r="C417" s="1" t="n">
        <v>45930</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35735-2023</t>
        </is>
      </c>
      <c r="B418" s="1" t="n">
        <v>45147</v>
      </c>
      <c r="C418" s="1" t="n">
        <v>45930</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16462-2021</t>
        </is>
      </c>
      <c r="B419" s="1" t="n">
        <v>44293</v>
      </c>
      <c r="C419" s="1" t="n">
        <v>45930</v>
      </c>
      <c r="D419" t="inlineStr">
        <is>
          <t>ÖSTERGÖTLANDS LÄN</t>
        </is>
      </c>
      <c r="E419" t="inlineStr">
        <is>
          <t>LINKÖPING</t>
        </is>
      </c>
      <c r="F419" t="inlineStr">
        <is>
          <t>Allmännings- och besparingsskogar</t>
        </is>
      </c>
      <c r="G419" t="n">
        <v>24.7</v>
      </c>
      <c r="H419" t="n">
        <v>0</v>
      </c>
      <c r="I419" t="n">
        <v>0</v>
      </c>
      <c r="J419" t="n">
        <v>0</v>
      </c>
      <c r="K419" t="n">
        <v>0</v>
      </c>
      <c r="L419" t="n">
        <v>0</v>
      </c>
      <c r="M419" t="n">
        <v>0</v>
      </c>
      <c r="N419" t="n">
        <v>0</v>
      </c>
      <c r="O419" t="n">
        <v>0</v>
      </c>
      <c r="P419" t="n">
        <v>0</v>
      </c>
      <c r="Q419" t="n">
        <v>0</v>
      </c>
      <c r="R419" s="2" t="inlineStr"/>
    </row>
    <row r="420" ht="15" customHeight="1">
      <c r="A420" t="inlineStr">
        <is>
          <t>A 6369-2023</t>
        </is>
      </c>
      <c r="B420" s="1" t="n">
        <v>44965.61106481482</v>
      </c>
      <c r="C420" s="1" t="n">
        <v>45930</v>
      </c>
      <c r="D420" t="inlineStr">
        <is>
          <t>ÖSTERGÖTLANDS LÄN</t>
        </is>
      </c>
      <c r="E420" t="inlineStr">
        <is>
          <t>LINKÖPING</t>
        </is>
      </c>
      <c r="G420" t="n">
        <v>4</v>
      </c>
      <c r="H420" t="n">
        <v>0</v>
      </c>
      <c r="I420" t="n">
        <v>0</v>
      </c>
      <c r="J420" t="n">
        <v>0</v>
      </c>
      <c r="K420" t="n">
        <v>0</v>
      </c>
      <c r="L420" t="n">
        <v>0</v>
      </c>
      <c r="M420" t="n">
        <v>0</v>
      </c>
      <c r="N420" t="n">
        <v>0</v>
      </c>
      <c r="O420" t="n">
        <v>0</v>
      </c>
      <c r="P420" t="n">
        <v>0</v>
      </c>
      <c r="Q420" t="n">
        <v>0</v>
      </c>
      <c r="R420" s="2" t="inlineStr"/>
    </row>
    <row r="421" ht="15" customHeight="1">
      <c r="A421" t="inlineStr">
        <is>
          <t>A 25776-2021</t>
        </is>
      </c>
      <c r="B421" s="1" t="n">
        <v>44343</v>
      </c>
      <c r="C421" s="1" t="n">
        <v>45930</v>
      </c>
      <c r="D421" t="inlineStr">
        <is>
          <t>ÖSTERGÖTLANDS LÄN</t>
        </is>
      </c>
      <c r="E421" t="inlineStr">
        <is>
          <t>LINKÖPING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30856-2022</t>
        </is>
      </c>
      <c r="B422" s="1" t="n">
        <v>44767</v>
      </c>
      <c r="C422" s="1" t="n">
        <v>45930</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19187-2021</t>
        </is>
      </c>
      <c r="B423" s="1" t="n">
        <v>44308</v>
      </c>
      <c r="C423" s="1" t="n">
        <v>45930</v>
      </c>
      <c r="D423" t="inlineStr">
        <is>
          <t>ÖSTERGÖTLANDS LÄN</t>
        </is>
      </c>
      <c r="E423" t="inlineStr">
        <is>
          <t>LINKÖPING</t>
        </is>
      </c>
      <c r="F423" t="inlineStr">
        <is>
          <t>Allmännings- och besparingsskogar</t>
        </is>
      </c>
      <c r="G423" t="n">
        <v>20</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45930</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42997-2021</t>
        </is>
      </c>
      <c r="B425" s="1" t="n">
        <v>44431.45556712963</v>
      </c>
      <c r="C425" s="1" t="n">
        <v>45930</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1207-2023</t>
        </is>
      </c>
      <c r="B426" s="1" t="n">
        <v>44930</v>
      </c>
      <c r="C426" s="1" t="n">
        <v>45930</v>
      </c>
      <c r="D426" t="inlineStr">
        <is>
          <t>ÖSTERGÖTLANDS LÄN</t>
        </is>
      </c>
      <c r="E426" t="inlineStr">
        <is>
          <t>LINKÖPING</t>
        </is>
      </c>
      <c r="F426" t="inlineStr">
        <is>
          <t>Övriga statliga verk och myndigheter</t>
        </is>
      </c>
      <c r="G426" t="n">
        <v>32.8</v>
      </c>
      <c r="H426" t="n">
        <v>0</v>
      </c>
      <c r="I426" t="n">
        <v>0</v>
      </c>
      <c r="J426" t="n">
        <v>0</v>
      </c>
      <c r="K426" t="n">
        <v>0</v>
      </c>
      <c r="L426" t="n">
        <v>0</v>
      </c>
      <c r="M426" t="n">
        <v>0</v>
      </c>
      <c r="N426" t="n">
        <v>0</v>
      </c>
      <c r="O426" t="n">
        <v>0</v>
      </c>
      <c r="P426" t="n">
        <v>0</v>
      </c>
      <c r="Q426" t="n">
        <v>0</v>
      </c>
      <c r="R426" s="2" t="inlineStr"/>
    </row>
    <row r="427" ht="15" customHeight="1">
      <c r="A427" t="inlineStr">
        <is>
          <t>A 62015-2024</t>
        </is>
      </c>
      <c r="B427" s="1" t="n">
        <v>45655.80457175926</v>
      </c>
      <c r="C427" s="1" t="n">
        <v>45930</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62020-2024</t>
        </is>
      </c>
      <c r="B428" s="1" t="n">
        <v>45655.83563657408</v>
      </c>
      <c r="C428" s="1" t="n">
        <v>45930</v>
      </c>
      <c r="D428" t="inlineStr">
        <is>
          <t>ÖSTERGÖTLANDS LÄN</t>
        </is>
      </c>
      <c r="E428" t="inlineStr">
        <is>
          <t>LINKÖPING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62021-2024</t>
        </is>
      </c>
      <c r="B429" s="1" t="n">
        <v>45655.84232638889</v>
      </c>
      <c r="C429" s="1" t="n">
        <v>45930</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39219-2021</t>
        </is>
      </c>
      <c r="B430" s="1" t="n">
        <v>44413</v>
      </c>
      <c r="C430" s="1" t="n">
        <v>45930</v>
      </c>
      <c r="D430" t="inlineStr">
        <is>
          <t>ÖSTERGÖTLANDS LÄN</t>
        </is>
      </c>
      <c r="E430" t="inlineStr">
        <is>
          <t>LINKÖPING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39224-2021</t>
        </is>
      </c>
      <c r="B431" s="1" t="n">
        <v>44413</v>
      </c>
      <c r="C431" s="1" t="n">
        <v>45930</v>
      </c>
      <c r="D431" t="inlineStr">
        <is>
          <t>ÖSTERGÖTLANDS LÄN</t>
        </is>
      </c>
      <c r="E431" t="inlineStr">
        <is>
          <t>LINKÖPING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27891-2021</t>
        </is>
      </c>
      <c r="B432" s="1" t="n">
        <v>44354.65108796296</v>
      </c>
      <c r="C432" s="1" t="n">
        <v>45930</v>
      </c>
      <c r="D432" t="inlineStr">
        <is>
          <t>ÖSTERGÖTLANDS LÄN</t>
        </is>
      </c>
      <c r="E432" t="inlineStr">
        <is>
          <t>LINKÖPING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57391-2023</t>
        </is>
      </c>
      <c r="B433" s="1" t="n">
        <v>45245</v>
      </c>
      <c r="C433" s="1" t="n">
        <v>45930</v>
      </c>
      <c r="D433" t="inlineStr">
        <is>
          <t>ÖSTERGÖTLANDS LÄN</t>
        </is>
      </c>
      <c r="E433" t="inlineStr">
        <is>
          <t>LINKÖPING</t>
        </is>
      </c>
      <c r="F433" t="inlineStr">
        <is>
          <t>Övriga Aktiebolag</t>
        </is>
      </c>
      <c r="G433" t="n">
        <v>1.7</v>
      </c>
      <c r="H433" t="n">
        <v>0</v>
      </c>
      <c r="I433" t="n">
        <v>0</v>
      </c>
      <c r="J433" t="n">
        <v>0</v>
      </c>
      <c r="K433" t="n">
        <v>0</v>
      </c>
      <c r="L433" t="n">
        <v>0</v>
      </c>
      <c r="M433" t="n">
        <v>0</v>
      </c>
      <c r="N433" t="n">
        <v>0</v>
      </c>
      <c r="O433" t="n">
        <v>0</v>
      </c>
      <c r="P433" t="n">
        <v>0</v>
      </c>
      <c r="Q433" t="n">
        <v>0</v>
      </c>
      <c r="R433" s="2" t="inlineStr"/>
    </row>
    <row r="434" ht="15" customHeight="1">
      <c r="A434" t="inlineStr">
        <is>
          <t>A 20294-2025</t>
        </is>
      </c>
      <c r="B434" s="1" t="n">
        <v>45774.74667824074</v>
      </c>
      <c r="C434" s="1" t="n">
        <v>45930</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60013-2022</t>
        </is>
      </c>
      <c r="B435" s="1" t="n">
        <v>44909.47482638889</v>
      </c>
      <c r="C435" s="1" t="n">
        <v>45930</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3007-2025</t>
        </is>
      </c>
      <c r="B436" s="1" t="n">
        <v>45678.56328703704</v>
      </c>
      <c r="C436" s="1" t="n">
        <v>45930</v>
      </c>
      <c r="D436" t="inlineStr">
        <is>
          <t>ÖSTERGÖTLANDS LÄN</t>
        </is>
      </c>
      <c r="E436" t="inlineStr">
        <is>
          <t>LINKÖPING</t>
        </is>
      </c>
      <c r="G436" t="n">
        <v>3.1</v>
      </c>
      <c r="H436" t="n">
        <v>0</v>
      </c>
      <c r="I436" t="n">
        <v>0</v>
      </c>
      <c r="J436" t="n">
        <v>0</v>
      </c>
      <c r="K436" t="n">
        <v>0</v>
      </c>
      <c r="L436" t="n">
        <v>0</v>
      </c>
      <c r="M436" t="n">
        <v>0</v>
      </c>
      <c r="N436" t="n">
        <v>0</v>
      </c>
      <c r="O436" t="n">
        <v>0</v>
      </c>
      <c r="P436" t="n">
        <v>0</v>
      </c>
      <c r="Q436" t="n">
        <v>0</v>
      </c>
      <c r="R436" s="2" t="inlineStr"/>
    </row>
    <row r="437" ht="15" customHeight="1">
      <c r="A437" t="inlineStr">
        <is>
          <t>A 34877-2023</t>
        </is>
      </c>
      <c r="B437" s="1" t="n">
        <v>45140</v>
      </c>
      <c r="C437" s="1" t="n">
        <v>45930</v>
      </c>
      <c r="D437" t="inlineStr">
        <is>
          <t>ÖSTERGÖTLANDS LÄN</t>
        </is>
      </c>
      <c r="E437" t="inlineStr">
        <is>
          <t>LINKÖPING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45930</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1924-2024</t>
        </is>
      </c>
      <c r="B439" s="1" t="n">
        <v>45308</v>
      </c>
      <c r="C439" s="1" t="n">
        <v>45930</v>
      </c>
      <c r="D439" t="inlineStr">
        <is>
          <t>ÖSTERGÖTLANDS LÄN</t>
        </is>
      </c>
      <c r="E439" t="inlineStr">
        <is>
          <t>LINKÖPING</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46428-2025</t>
        </is>
      </c>
      <c r="B440" s="1" t="n">
        <v>45925.60758101852</v>
      </c>
      <c r="C440" s="1" t="n">
        <v>45930</v>
      </c>
      <c r="D440" t="inlineStr">
        <is>
          <t>ÖSTERGÖTLANDS LÄN</t>
        </is>
      </c>
      <c r="E440" t="inlineStr">
        <is>
          <t>LINKÖPING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34558-2022</t>
        </is>
      </c>
      <c r="B441" s="1" t="n">
        <v>44794.57594907407</v>
      </c>
      <c r="C441" s="1" t="n">
        <v>45930</v>
      </c>
      <c r="D441" t="inlineStr">
        <is>
          <t>ÖSTERGÖTLANDS LÄN</t>
        </is>
      </c>
      <c r="E441" t="inlineStr">
        <is>
          <t>LINKÖPING</t>
        </is>
      </c>
      <c r="G441" t="n">
        <v>2.2</v>
      </c>
      <c r="H441" t="n">
        <v>0</v>
      </c>
      <c r="I441" t="n">
        <v>0</v>
      </c>
      <c r="J441" t="n">
        <v>0</v>
      </c>
      <c r="K441" t="n">
        <v>0</v>
      </c>
      <c r="L441" t="n">
        <v>0</v>
      </c>
      <c r="M441" t="n">
        <v>0</v>
      </c>
      <c r="N441" t="n">
        <v>0</v>
      </c>
      <c r="O441" t="n">
        <v>0</v>
      </c>
      <c r="P441" t="n">
        <v>0</v>
      </c>
      <c r="Q441" t="n">
        <v>0</v>
      </c>
      <c r="R441" s="2" t="inlineStr"/>
    </row>
    <row r="442" ht="15" customHeight="1">
      <c r="A442" t="inlineStr">
        <is>
          <t>A 168-2024</t>
        </is>
      </c>
      <c r="B442" s="1" t="n">
        <v>45294</v>
      </c>
      <c r="C442" s="1" t="n">
        <v>45930</v>
      </c>
      <c r="D442" t="inlineStr">
        <is>
          <t>ÖSTERGÖTLANDS LÄN</t>
        </is>
      </c>
      <c r="E442" t="inlineStr">
        <is>
          <t>LINKÖPING</t>
        </is>
      </c>
      <c r="F442" t="inlineStr">
        <is>
          <t>Allmännings- och besparingsskogar</t>
        </is>
      </c>
      <c r="G442" t="n">
        <v>8.9</v>
      </c>
      <c r="H442" t="n">
        <v>0</v>
      </c>
      <c r="I442" t="n">
        <v>0</v>
      </c>
      <c r="J442" t="n">
        <v>0</v>
      </c>
      <c r="K442" t="n">
        <v>0</v>
      </c>
      <c r="L442" t="n">
        <v>0</v>
      </c>
      <c r="M442" t="n">
        <v>0</v>
      </c>
      <c r="N442" t="n">
        <v>0</v>
      </c>
      <c r="O442" t="n">
        <v>0</v>
      </c>
      <c r="P442" t="n">
        <v>0</v>
      </c>
      <c r="Q442" t="n">
        <v>0</v>
      </c>
      <c r="R442" s="2" t="inlineStr"/>
    </row>
    <row r="443" ht="15" customHeight="1">
      <c r="A443" t="inlineStr">
        <is>
          <t>A 3008-2023</t>
        </is>
      </c>
      <c r="B443" s="1" t="n">
        <v>44945.79784722222</v>
      </c>
      <c r="C443" s="1" t="n">
        <v>45930</v>
      </c>
      <c r="D443" t="inlineStr">
        <is>
          <t>ÖSTERGÖTLANDS LÄN</t>
        </is>
      </c>
      <c r="E443" t="inlineStr">
        <is>
          <t>LINKÖPING</t>
        </is>
      </c>
      <c r="G443" t="n">
        <v>19.3</v>
      </c>
      <c r="H443" t="n">
        <v>0</v>
      </c>
      <c r="I443" t="n">
        <v>0</v>
      </c>
      <c r="J443" t="n">
        <v>0</v>
      </c>
      <c r="K443" t="n">
        <v>0</v>
      </c>
      <c r="L443" t="n">
        <v>0</v>
      </c>
      <c r="M443" t="n">
        <v>0</v>
      </c>
      <c r="N443" t="n">
        <v>0</v>
      </c>
      <c r="O443" t="n">
        <v>0</v>
      </c>
      <c r="P443" t="n">
        <v>0</v>
      </c>
      <c r="Q443" t="n">
        <v>0</v>
      </c>
      <c r="R443" s="2" t="inlineStr"/>
    </row>
    <row r="444" ht="15" customHeight="1">
      <c r="A444" t="inlineStr">
        <is>
          <t>A 15658-2023</t>
        </is>
      </c>
      <c r="B444" s="1" t="n">
        <v>45021.41194444444</v>
      </c>
      <c r="C444" s="1" t="n">
        <v>45930</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30433-2024</t>
        </is>
      </c>
      <c r="B445" s="1" t="n">
        <v>45491.69741898148</v>
      </c>
      <c r="C445" s="1" t="n">
        <v>45930</v>
      </c>
      <c r="D445" t="inlineStr">
        <is>
          <t>ÖSTERGÖTLANDS LÄN</t>
        </is>
      </c>
      <c r="E445" t="inlineStr">
        <is>
          <t>LINKÖPING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45930</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7354-2025</t>
        </is>
      </c>
      <c r="B447" s="1" t="n">
        <v>45704.41174768518</v>
      </c>
      <c r="C447" s="1" t="n">
        <v>45930</v>
      </c>
      <c r="D447" t="inlineStr">
        <is>
          <t>ÖSTERGÖTLANDS LÄN</t>
        </is>
      </c>
      <c r="E447" t="inlineStr">
        <is>
          <t>LINKÖPING</t>
        </is>
      </c>
      <c r="G447" t="n">
        <v>4.8</v>
      </c>
      <c r="H447" t="n">
        <v>0</v>
      </c>
      <c r="I447" t="n">
        <v>0</v>
      </c>
      <c r="J447" t="n">
        <v>0</v>
      </c>
      <c r="K447" t="n">
        <v>0</v>
      </c>
      <c r="L447" t="n">
        <v>0</v>
      </c>
      <c r="M447" t="n">
        <v>0</v>
      </c>
      <c r="N447" t="n">
        <v>0</v>
      </c>
      <c r="O447" t="n">
        <v>0</v>
      </c>
      <c r="P447" t="n">
        <v>0</v>
      </c>
      <c r="Q447" t="n">
        <v>0</v>
      </c>
      <c r="R447" s="2" t="inlineStr"/>
    </row>
    <row r="448" ht="15" customHeight="1">
      <c r="A448" t="inlineStr">
        <is>
          <t>A 29293-2025</t>
        </is>
      </c>
      <c r="B448" s="1" t="n">
        <v>45824</v>
      </c>
      <c r="C448" s="1" t="n">
        <v>45930</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52220-2023</t>
        </is>
      </c>
      <c r="B449" s="1" t="n">
        <v>45217</v>
      </c>
      <c r="C449" s="1" t="n">
        <v>45930</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52225-2023</t>
        </is>
      </c>
      <c r="B450" s="1" t="n">
        <v>45217</v>
      </c>
      <c r="C450" s="1" t="n">
        <v>45930</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19464-2024</t>
        </is>
      </c>
      <c r="B451" s="1" t="n">
        <v>45429</v>
      </c>
      <c r="C451" s="1" t="n">
        <v>45930</v>
      </c>
      <c r="D451" t="inlineStr">
        <is>
          <t>ÖSTERGÖTLANDS LÄN</t>
        </is>
      </c>
      <c r="E451" t="inlineStr">
        <is>
          <t>LINKÖPING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63935-2021</t>
        </is>
      </c>
      <c r="B452" s="1" t="n">
        <v>44509</v>
      </c>
      <c r="C452" s="1" t="n">
        <v>45930</v>
      </c>
      <c r="D452" t="inlineStr">
        <is>
          <t>ÖSTERGÖTLANDS LÄN</t>
        </is>
      </c>
      <c r="E452" t="inlineStr">
        <is>
          <t>LINKÖPING</t>
        </is>
      </c>
      <c r="F452" t="inlineStr">
        <is>
          <t>Övriga statliga verk och myndigheter</t>
        </is>
      </c>
      <c r="G452" t="n">
        <v>2.8</v>
      </c>
      <c r="H452" t="n">
        <v>0</v>
      </c>
      <c r="I452" t="n">
        <v>0</v>
      </c>
      <c r="J452" t="n">
        <v>0</v>
      </c>
      <c r="K452" t="n">
        <v>0</v>
      </c>
      <c r="L452" t="n">
        <v>0</v>
      </c>
      <c r="M452" t="n">
        <v>0</v>
      </c>
      <c r="N452" t="n">
        <v>0</v>
      </c>
      <c r="O452" t="n">
        <v>0</v>
      </c>
      <c r="P452" t="n">
        <v>0</v>
      </c>
      <c r="Q452" t="n">
        <v>0</v>
      </c>
      <c r="R452" s="2" t="inlineStr"/>
    </row>
    <row r="453" ht="15" customHeight="1">
      <c r="A453" t="inlineStr">
        <is>
          <t>A 42044-2023</t>
        </is>
      </c>
      <c r="B453" s="1" t="n">
        <v>45177</v>
      </c>
      <c r="C453" s="1" t="n">
        <v>45930</v>
      </c>
      <c r="D453" t="inlineStr">
        <is>
          <t>ÖSTERGÖTLANDS LÄN</t>
        </is>
      </c>
      <c r="E453" t="inlineStr">
        <is>
          <t>LINKÖPING</t>
        </is>
      </c>
      <c r="G453" t="n">
        <v>3.9</v>
      </c>
      <c r="H453" t="n">
        <v>0</v>
      </c>
      <c r="I453" t="n">
        <v>0</v>
      </c>
      <c r="J453" t="n">
        <v>0</v>
      </c>
      <c r="K453" t="n">
        <v>0</v>
      </c>
      <c r="L453" t="n">
        <v>0</v>
      </c>
      <c r="M453" t="n">
        <v>0</v>
      </c>
      <c r="N453" t="n">
        <v>0</v>
      </c>
      <c r="O453" t="n">
        <v>0</v>
      </c>
      <c r="P453" t="n">
        <v>0</v>
      </c>
      <c r="Q453" t="n">
        <v>0</v>
      </c>
      <c r="R453" s="2" t="inlineStr"/>
    </row>
    <row r="454" ht="15" customHeight="1">
      <c r="A454" t="inlineStr">
        <is>
          <t>A 38046-2025</t>
        </is>
      </c>
      <c r="B454" s="1" t="n">
        <v>45882.39939814815</v>
      </c>
      <c r="C454" s="1" t="n">
        <v>45930</v>
      </c>
      <c r="D454" t="inlineStr">
        <is>
          <t>ÖSTERGÖTLANDS LÄN</t>
        </is>
      </c>
      <c r="E454" t="inlineStr">
        <is>
          <t>LINKÖPING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61281-2021</t>
        </is>
      </c>
      <c r="B455" s="1" t="n">
        <v>44498.60736111111</v>
      </c>
      <c r="C455" s="1" t="n">
        <v>45930</v>
      </c>
      <c r="D455" t="inlineStr">
        <is>
          <t>ÖSTERGÖTLANDS LÄN</t>
        </is>
      </c>
      <c r="E455" t="inlineStr">
        <is>
          <t>LINKÖPING</t>
        </is>
      </c>
      <c r="G455" t="n">
        <v>4.5</v>
      </c>
      <c r="H455" t="n">
        <v>0</v>
      </c>
      <c r="I455" t="n">
        <v>0</v>
      </c>
      <c r="J455" t="n">
        <v>0</v>
      </c>
      <c r="K455" t="n">
        <v>0</v>
      </c>
      <c r="L455" t="n">
        <v>0</v>
      </c>
      <c r="M455" t="n">
        <v>0</v>
      </c>
      <c r="N455" t="n">
        <v>0</v>
      </c>
      <c r="O455" t="n">
        <v>0</v>
      </c>
      <c r="P455" t="n">
        <v>0</v>
      </c>
      <c r="Q455" t="n">
        <v>0</v>
      </c>
      <c r="R455" s="2" t="inlineStr"/>
    </row>
    <row r="456" ht="15" customHeight="1">
      <c r="A456" t="inlineStr">
        <is>
          <t>A 46426-2025</t>
        </is>
      </c>
      <c r="B456" s="1" t="n">
        <v>45925.6012962963</v>
      </c>
      <c r="C456" s="1" t="n">
        <v>45930</v>
      </c>
      <c r="D456" t="inlineStr">
        <is>
          <t>ÖSTERGÖTLANDS LÄN</t>
        </is>
      </c>
      <c r="E456" t="inlineStr">
        <is>
          <t>LINKÖPING</t>
        </is>
      </c>
      <c r="G456" t="n">
        <v>4.4</v>
      </c>
      <c r="H456" t="n">
        <v>0</v>
      </c>
      <c r="I456" t="n">
        <v>0</v>
      </c>
      <c r="J456" t="n">
        <v>0</v>
      </c>
      <c r="K456" t="n">
        <v>0</v>
      </c>
      <c r="L456" t="n">
        <v>0</v>
      </c>
      <c r="M456" t="n">
        <v>0</v>
      </c>
      <c r="N456" t="n">
        <v>0</v>
      </c>
      <c r="O456" t="n">
        <v>0</v>
      </c>
      <c r="P456" t="n">
        <v>0</v>
      </c>
      <c r="Q456" t="n">
        <v>0</v>
      </c>
      <c r="R456" s="2" t="inlineStr"/>
    </row>
    <row r="457" ht="15" customHeight="1">
      <c r="A457" t="inlineStr">
        <is>
          <t>A 63935-2021</t>
        </is>
      </c>
      <c r="B457" s="1" t="n">
        <v>44509</v>
      </c>
      <c r="C457" s="1" t="n">
        <v>45930</v>
      </c>
      <c r="D457" t="inlineStr">
        <is>
          <t>ÖSTERGÖTLANDS LÄN</t>
        </is>
      </c>
      <c r="E457" t="inlineStr">
        <is>
          <t>LINKÖPING</t>
        </is>
      </c>
      <c r="F457" t="inlineStr">
        <is>
          <t>Övriga statliga verk och myndigheter</t>
        </is>
      </c>
      <c r="G457" t="n">
        <v>2.8</v>
      </c>
      <c r="H457" t="n">
        <v>0</v>
      </c>
      <c r="I457" t="n">
        <v>0</v>
      </c>
      <c r="J457" t="n">
        <v>0</v>
      </c>
      <c r="K457" t="n">
        <v>0</v>
      </c>
      <c r="L457" t="n">
        <v>0</v>
      </c>
      <c r="M457" t="n">
        <v>0</v>
      </c>
      <c r="N457" t="n">
        <v>0</v>
      </c>
      <c r="O457" t="n">
        <v>0</v>
      </c>
      <c r="P457" t="n">
        <v>0</v>
      </c>
      <c r="Q457" t="n">
        <v>0</v>
      </c>
      <c r="R457" s="2" t="inlineStr"/>
    </row>
    <row r="458" ht="15" customHeight="1">
      <c r="A458" t="inlineStr">
        <is>
          <t>A 25292-2021</t>
        </is>
      </c>
      <c r="B458" s="1" t="n">
        <v>44342</v>
      </c>
      <c r="C458" s="1" t="n">
        <v>45930</v>
      </c>
      <c r="D458" t="inlineStr">
        <is>
          <t>ÖSTERGÖTLANDS LÄN</t>
        </is>
      </c>
      <c r="E458" t="inlineStr">
        <is>
          <t>LINKÖPING</t>
        </is>
      </c>
      <c r="F458" t="inlineStr">
        <is>
          <t>Övriga Aktiebolag</t>
        </is>
      </c>
      <c r="G458" t="n">
        <v>12.8</v>
      </c>
      <c r="H458" t="n">
        <v>0</v>
      </c>
      <c r="I458" t="n">
        <v>0</v>
      </c>
      <c r="J458" t="n">
        <v>0</v>
      </c>
      <c r="K458" t="n">
        <v>0</v>
      </c>
      <c r="L458" t="n">
        <v>0</v>
      </c>
      <c r="M458" t="n">
        <v>0</v>
      </c>
      <c r="N458" t="n">
        <v>0</v>
      </c>
      <c r="O458" t="n">
        <v>0</v>
      </c>
      <c r="P458" t="n">
        <v>0</v>
      </c>
      <c r="Q458" t="n">
        <v>0</v>
      </c>
      <c r="R458" s="2" t="inlineStr"/>
    </row>
    <row r="459" ht="15" customHeight="1">
      <c r="A459" t="inlineStr">
        <is>
          <t>A 46377-2025</t>
        </is>
      </c>
      <c r="B459" s="1" t="n">
        <v>45925.51773148148</v>
      </c>
      <c r="C459" s="1" t="n">
        <v>45930</v>
      </c>
      <c r="D459" t="inlineStr">
        <is>
          <t>ÖSTERGÖTLANDS LÄN</t>
        </is>
      </c>
      <c r="E459" t="inlineStr">
        <is>
          <t>LINKÖPING</t>
        </is>
      </c>
      <c r="G459" t="n">
        <v>3.1</v>
      </c>
      <c r="H459" t="n">
        <v>0</v>
      </c>
      <c r="I459" t="n">
        <v>0</v>
      </c>
      <c r="J459" t="n">
        <v>0</v>
      </c>
      <c r="K459" t="n">
        <v>0</v>
      </c>
      <c r="L459" t="n">
        <v>0</v>
      </c>
      <c r="M459" t="n">
        <v>0</v>
      </c>
      <c r="N459" t="n">
        <v>0</v>
      </c>
      <c r="O459" t="n">
        <v>0</v>
      </c>
      <c r="P459" t="n">
        <v>0</v>
      </c>
      <c r="Q459" t="n">
        <v>0</v>
      </c>
      <c r="R459" s="2" t="inlineStr"/>
    </row>
    <row r="460" ht="15" customHeight="1">
      <c r="A460" t="inlineStr">
        <is>
          <t>A 630-2024</t>
        </is>
      </c>
      <c r="B460" s="1" t="n">
        <v>45299.67736111111</v>
      </c>
      <c r="C460" s="1" t="n">
        <v>45930</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45930</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20298-2025</t>
        </is>
      </c>
      <c r="B462" s="1" t="n">
        <v>45774.75024305555</v>
      </c>
      <c r="C462" s="1" t="n">
        <v>45930</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21782-2024</t>
        </is>
      </c>
      <c r="B463" s="1" t="n">
        <v>45442.63368055555</v>
      </c>
      <c r="C463" s="1" t="n">
        <v>45930</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14576-2023</t>
        </is>
      </c>
      <c r="B464" s="1" t="n">
        <v>45013</v>
      </c>
      <c r="C464" s="1" t="n">
        <v>45930</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12089-2025</t>
        </is>
      </c>
      <c r="B465" s="1" t="n">
        <v>45729</v>
      </c>
      <c r="C465" s="1" t="n">
        <v>45930</v>
      </c>
      <c r="D465" t="inlineStr">
        <is>
          <t>ÖSTERGÖTLANDS LÄN</t>
        </is>
      </c>
      <c r="E465" t="inlineStr">
        <is>
          <t>LINKÖPING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57766-2023</t>
        </is>
      </c>
      <c r="B466" s="1" t="n">
        <v>45246</v>
      </c>
      <c r="C466" s="1" t="n">
        <v>45930</v>
      </c>
      <c r="D466" t="inlineStr">
        <is>
          <t>ÖSTERGÖTLANDS LÄN</t>
        </is>
      </c>
      <c r="E466" t="inlineStr">
        <is>
          <t>LINKÖPING</t>
        </is>
      </c>
      <c r="F466" t="inlineStr">
        <is>
          <t>Allmännings- och besparingsskogar</t>
        </is>
      </c>
      <c r="G466" t="n">
        <v>12.8</v>
      </c>
      <c r="H466" t="n">
        <v>0</v>
      </c>
      <c r="I466" t="n">
        <v>0</v>
      </c>
      <c r="J466" t="n">
        <v>0</v>
      </c>
      <c r="K466" t="n">
        <v>0</v>
      </c>
      <c r="L466" t="n">
        <v>0</v>
      </c>
      <c r="M466" t="n">
        <v>0</v>
      </c>
      <c r="N466" t="n">
        <v>0</v>
      </c>
      <c r="O466" t="n">
        <v>0</v>
      </c>
      <c r="P466" t="n">
        <v>0</v>
      </c>
      <c r="Q466" t="n">
        <v>0</v>
      </c>
      <c r="R466" s="2" t="inlineStr"/>
    </row>
    <row r="467" ht="15" customHeight="1">
      <c r="A467" t="inlineStr">
        <is>
          <t>A 59954-2020</t>
        </is>
      </c>
      <c r="B467" s="1" t="n">
        <v>44151</v>
      </c>
      <c r="C467" s="1" t="n">
        <v>45930</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59969-2020</t>
        </is>
      </c>
      <c r="B468" s="1" t="n">
        <v>44151</v>
      </c>
      <c r="C468" s="1" t="n">
        <v>45930</v>
      </c>
      <c r="D468" t="inlineStr">
        <is>
          <t>ÖSTERGÖTLANDS LÄN</t>
        </is>
      </c>
      <c r="E468" t="inlineStr">
        <is>
          <t>LINKÖPING</t>
        </is>
      </c>
      <c r="G468" t="n">
        <v>2.2</v>
      </c>
      <c r="H468" t="n">
        <v>0</v>
      </c>
      <c r="I468" t="n">
        <v>0</v>
      </c>
      <c r="J468" t="n">
        <v>0</v>
      </c>
      <c r="K468" t="n">
        <v>0</v>
      </c>
      <c r="L468" t="n">
        <v>0</v>
      </c>
      <c r="M468" t="n">
        <v>0</v>
      </c>
      <c r="N468" t="n">
        <v>0</v>
      </c>
      <c r="O468" t="n">
        <v>0</v>
      </c>
      <c r="P468" t="n">
        <v>0</v>
      </c>
      <c r="Q468" t="n">
        <v>0</v>
      </c>
      <c r="R468" s="2" t="inlineStr"/>
    </row>
    <row r="469" ht="15" customHeight="1">
      <c r="A469" t="inlineStr">
        <is>
          <t>A 27186-2021</t>
        </is>
      </c>
      <c r="B469" s="1" t="n">
        <v>44350.67715277777</v>
      </c>
      <c r="C469" s="1" t="n">
        <v>45930</v>
      </c>
      <c r="D469" t="inlineStr">
        <is>
          <t>ÖSTERGÖTLANDS LÄN</t>
        </is>
      </c>
      <c r="E469" t="inlineStr">
        <is>
          <t>LINKÖPING</t>
        </is>
      </c>
      <c r="F469" t="inlineStr">
        <is>
          <t>Allmännings- och besparingsskogar</t>
        </is>
      </c>
      <c r="G469" t="n">
        <v>1.4</v>
      </c>
      <c r="H469" t="n">
        <v>0</v>
      </c>
      <c r="I469" t="n">
        <v>0</v>
      </c>
      <c r="J469" t="n">
        <v>0</v>
      </c>
      <c r="K469" t="n">
        <v>0</v>
      </c>
      <c r="L469" t="n">
        <v>0</v>
      </c>
      <c r="M469" t="n">
        <v>0</v>
      </c>
      <c r="N469" t="n">
        <v>0</v>
      </c>
      <c r="O469" t="n">
        <v>0</v>
      </c>
      <c r="P469" t="n">
        <v>0</v>
      </c>
      <c r="Q469" t="n">
        <v>0</v>
      </c>
      <c r="R469" s="2" t="inlineStr"/>
    </row>
    <row r="470" ht="15" customHeight="1">
      <c r="A470" t="inlineStr">
        <is>
          <t>A 10194-2023</t>
        </is>
      </c>
      <c r="B470" s="1" t="n">
        <v>44986.52277777778</v>
      </c>
      <c r="C470" s="1" t="n">
        <v>45930</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55944-2024</t>
        </is>
      </c>
      <c r="B471" s="1" t="n">
        <v>45623.61640046296</v>
      </c>
      <c r="C471" s="1" t="n">
        <v>45930</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55947-2024</t>
        </is>
      </c>
      <c r="B472" s="1" t="n">
        <v>45623</v>
      </c>
      <c r="C472" s="1" t="n">
        <v>45930</v>
      </c>
      <c r="D472" t="inlineStr">
        <is>
          <t>ÖSTERGÖTLANDS LÄN</t>
        </is>
      </c>
      <c r="E472" t="inlineStr">
        <is>
          <t>LINKÖPING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47703-2023</t>
        </is>
      </c>
      <c r="B473" s="1" t="n">
        <v>45203</v>
      </c>
      <c r="C473" s="1" t="n">
        <v>45930</v>
      </c>
      <c r="D473" t="inlineStr">
        <is>
          <t>ÖSTERGÖTLANDS LÄN</t>
        </is>
      </c>
      <c r="E473" t="inlineStr">
        <is>
          <t>LINKÖPING</t>
        </is>
      </c>
      <c r="G473" t="n">
        <v>4.1</v>
      </c>
      <c r="H473" t="n">
        <v>0</v>
      </c>
      <c r="I473" t="n">
        <v>0</v>
      </c>
      <c r="J473" t="n">
        <v>0</v>
      </c>
      <c r="K473" t="n">
        <v>0</v>
      </c>
      <c r="L473" t="n">
        <v>0</v>
      </c>
      <c r="M473" t="n">
        <v>0</v>
      </c>
      <c r="N473" t="n">
        <v>0</v>
      </c>
      <c r="O473" t="n">
        <v>0</v>
      </c>
      <c r="P473" t="n">
        <v>0</v>
      </c>
      <c r="Q473" t="n">
        <v>0</v>
      </c>
      <c r="R473" s="2" t="inlineStr"/>
    </row>
    <row r="474" ht="15" customHeight="1">
      <c r="A474" t="inlineStr">
        <is>
          <t>A 51559-2024</t>
        </is>
      </c>
      <c r="B474" s="1" t="n">
        <v>45604.61431712963</v>
      </c>
      <c r="C474" s="1" t="n">
        <v>45930</v>
      </c>
      <c r="D474" t="inlineStr">
        <is>
          <t>ÖSTERGÖTLANDS LÄN</t>
        </is>
      </c>
      <c r="E474" t="inlineStr">
        <is>
          <t>LINKÖPING</t>
        </is>
      </c>
      <c r="F474" t="inlineStr">
        <is>
          <t>Övriga Aktiebolag</t>
        </is>
      </c>
      <c r="G474" t="n">
        <v>2.4</v>
      </c>
      <c r="H474" t="n">
        <v>0</v>
      </c>
      <c r="I474" t="n">
        <v>0</v>
      </c>
      <c r="J474" t="n">
        <v>0</v>
      </c>
      <c r="K474" t="n">
        <v>0</v>
      </c>
      <c r="L474" t="n">
        <v>0</v>
      </c>
      <c r="M474" t="n">
        <v>0</v>
      </c>
      <c r="N474" t="n">
        <v>0</v>
      </c>
      <c r="O474" t="n">
        <v>0</v>
      </c>
      <c r="P474" t="n">
        <v>0</v>
      </c>
      <c r="Q474" t="n">
        <v>0</v>
      </c>
      <c r="R474" s="2" t="inlineStr"/>
    </row>
    <row r="475" ht="15" customHeight="1">
      <c r="A475" t="inlineStr">
        <is>
          <t>A 62321-2022</t>
        </is>
      </c>
      <c r="B475" s="1" t="n">
        <v>44916</v>
      </c>
      <c r="C475" s="1" t="n">
        <v>45930</v>
      </c>
      <c r="D475" t="inlineStr">
        <is>
          <t>ÖSTERGÖTLANDS LÄN</t>
        </is>
      </c>
      <c r="E475" t="inlineStr">
        <is>
          <t>LINKÖPING</t>
        </is>
      </c>
      <c r="F475" t="inlineStr">
        <is>
          <t>Kommuner</t>
        </is>
      </c>
      <c r="G475" t="n">
        <v>5.3</v>
      </c>
      <c r="H475" t="n">
        <v>0</v>
      </c>
      <c r="I475" t="n">
        <v>0</v>
      </c>
      <c r="J475" t="n">
        <v>0</v>
      </c>
      <c r="K475" t="n">
        <v>0</v>
      </c>
      <c r="L475" t="n">
        <v>0</v>
      </c>
      <c r="M475" t="n">
        <v>0</v>
      </c>
      <c r="N475" t="n">
        <v>0</v>
      </c>
      <c r="O475" t="n">
        <v>0</v>
      </c>
      <c r="P475" t="n">
        <v>0</v>
      </c>
      <c r="Q475" t="n">
        <v>0</v>
      </c>
      <c r="R475" s="2" t="inlineStr"/>
    </row>
    <row r="476" ht="15" customHeight="1">
      <c r="A476" t="inlineStr">
        <is>
          <t>A 62353-2022</t>
        </is>
      </c>
      <c r="B476" s="1" t="n">
        <v>44923</v>
      </c>
      <c r="C476" s="1" t="n">
        <v>45930</v>
      </c>
      <c r="D476" t="inlineStr">
        <is>
          <t>ÖSTERGÖTLANDS LÄN</t>
        </is>
      </c>
      <c r="E476" t="inlineStr">
        <is>
          <t>LINKÖPING</t>
        </is>
      </c>
      <c r="F476" t="inlineStr">
        <is>
          <t>Allmännings- och besparingsskogar</t>
        </is>
      </c>
      <c r="G476" t="n">
        <v>1.7</v>
      </c>
      <c r="H476" t="n">
        <v>0</v>
      </c>
      <c r="I476" t="n">
        <v>0</v>
      </c>
      <c r="J476" t="n">
        <v>0</v>
      </c>
      <c r="K476" t="n">
        <v>0</v>
      </c>
      <c r="L476" t="n">
        <v>0</v>
      </c>
      <c r="M476" t="n">
        <v>0</v>
      </c>
      <c r="N476" t="n">
        <v>0</v>
      </c>
      <c r="O476" t="n">
        <v>0</v>
      </c>
      <c r="P476" t="n">
        <v>0</v>
      </c>
      <c r="Q476" t="n">
        <v>0</v>
      </c>
      <c r="R476" s="2" t="inlineStr"/>
    </row>
    <row r="477" ht="15" customHeight="1">
      <c r="A477" t="inlineStr">
        <is>
          <t>A 15754-2025</t>
        </is>
      </c>
      <c r="B477" s="1" t="n">
        <v>45748.56105324074</v>
      </c>
      <c r="C477" s="1" t="n">
        <v>45930</v>
      </c>
      <c r="D477" t="inlineStr">
        <is>
          <t>ÖSTERGÖTLANDS LÄN</t>
        </is>
      </c>
      <c r="E477" t="inlineStr">
        <is>
          <t>LINKÖPING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4298-2023</t>
        </is>
      </c>
      <c r="B478" s="1" t="n">
        <v>44953</v>
      </c>
      <c r="C478" s="1" t="n">
        <v>45930</v>
      </c>
      <c r="D478" t="inlineStr">
        <is>
          <t>ÖSTERGÖTLANDS LÄN</t>
        </is>
      </c>
      <c r="E478" t="inlineStr">
        <is>
          <t>LINKÖPING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43475-2024</t>
        </is>
      </c>
      <c r="B479" s="1" t="n">
        <v>45568</v>
      </c>
      <c r="C479" s="1" t="n">
        <v>45930</v>
      </c>
      <c r="D479" t="inlineStr">
        <is>
          <t>ÖSTERGÖTLANDS LÄN</t>
        </is>
      </c>
      <c r="E479" t="inlineStr">
        <is>
          <t>LINKÖPING</t>
        </is>
      </c>
      <c r="G479" t="n">
        <v>3.2</v>
      </c>
      <c r="H479" t="n">
        <v>0</v>
      </c>
      <c r="I479" t="n">
        <v>0</v>
      </c>
      <c r="J479" t="n">
        <v>0</v>
      </c>
      <c r="K479" t="n">
        <v>0</v>
      </c>
      <c r="L479" t="n">
        <v>0</v>
      </c>
      <c r="M479" t="n">
        <v>0</v>
      </c>
      <c r="N479" t="n">
        <v>0</v>
      </c>
      <c r="O479" t="n">
        <v>0</v>
      </c>
      <c r="P479" t="n">
        <v>0</v>
      </c>
      <c r="Q479" t="n">
        <v>0</v>
      </c>
      <c r="R479" s="2" t="inlineStr"/>
    </row>
    <row r="480" ht="15" customHeight="1">
      <c r="A480" t="inlineStr">
        <is>
          <t>A 18145-2021</t>
        </is>
      </c>
      <c r="B480" s="1" t="n">
        <v>44302</v>
      </c>
      <c r="C480" s="1" t="n">
        <v>45930</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17103-2025</t>
        </is>
      </c>
      <c r="B481" s="1" t="n">
        <v>45755.66143518518</v>
      </c>
      <c r="C481" s="1" t="n">
        <v>45930</v>
      </c>
      <c r="D481" t="inlineStr">
        <is>
          <t>ÖSTERGÖTLANDS LÄN</t>
        </is>
      </c>
      <c r="E481" t="inlineStr">
        <is>
          <t>LINKÖPING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25568-2024</t>
        </is>
      </c>
      <c r="B482" s="1" t="n">
        <v>45463.58699074074</v>
      </c>
      <c r="C482" s="1" t="n">
        <v>45930</v>
      </c>
      <c r="D482" t="inlineStr">
        <is>
          <t>ÖSTERGÖTLANDS LÄN</t>
        </is>
      </c>
      <c r="E482" t="inlineStr">
        <is>
          <t>LINKÖPING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30551-2023</t>
        </is>
      </c>
      <c r="B483" s="1" t="n">
        <v>45111</v>
      </c>
      <c r="C483" s="1" t="n">
        <v>45930</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50784-2022</t>
        </is>
      </c>
      <c r="B484" s="1" t="n">
        <v>44862</v>
      </c>
      <c r="C484" s="1" t="n">
        <v>45930</v>
      </c>
      <c r="D484" t="inlineStr">
        <is>
          <t>ÖSTERGÖTLANDS LÄN</t>
        </is>
      </c>
      <c r="E484" t="inlineStr">
        <is>
          <t>LINKÖPING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38136-2023</t>
        </is>
      </c>
      <c r="B485" s="1" t="n">
        <v>45161.37310185185</v>
      </c>
      <c r="C485" s="1" t="n">
        <v>45930</v>
      </c>
      <c r="D485" t="inlineStr">
        <is>
          <t>ÖSTERGÖTLANDS LÄN</t>
        </is>
      </c>
      <c r="E485" t="inlineStr">
        <is>
          <t>LINKÖPING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12317-2025</t>
        </is>
      </c>
      <c r="B486" s="1" t="n">
        <v>45729.8487037037</v>
      </c>
      <c r="C486" s="1" t="n">
        <v>45930</v>
      </c>
      <c r="D486" t="inlineStr">
        <is>
          <t>ÖSTERGÖTLANDS LÄN</t>
        </is>
      </c>
      <c r="E486" t="inlineStr">
        <is>
          <t>LINKÖPING</t>
        </is>
      </c>
      <c r="G486" t="n">
        <v>8</v>
      </c>
      <c r="H486" t="n">
        <v>0</v>
      </c>
      <c r="I486" t="n">
        <v>0</v>
      </c>
      <c r="J486" t="n">
        <v>0</v>
      </c>
      <c r="K486" t="n">
        <v>0</v>
      </c>
      <c r="L486" t="n">
        <v>0</v>
      </c>
      <c r="M486" t="n">
        <v>0</v>
      </c>
      <c r="N486" t="n">
        <v>0</v>
      </c>
      <c r="O486" t="n">
        <v>0</v>
      </c>
      <c r="P486" t="n">
        <v>0</v>
      </c>
      <c r="Q486" t="n">
        <v>0</v>
      </c>
      <c r="R486" s="2" t="inlineStr"/>
    </row>
    <row r="487" ht="15" customHeight="1">
      <c r="A487" t="inlineStr">
        <is>
          <t>A 22043-2023</t>
        </is>
      </c>
      <c r="B487" s="1" t="n">
        <v>45069.39050925926</v>
      </c>
      <c r="C487" s="1" t="n">
        <v>45930</v>
      </c>
      <c r="D487" t="inlineStr">
        <is>
          <t>ÖSTERGÖTLANDS LÄN</t>
        </is>
      </c>
      <c r="E487" t="inlineStr">
        <is>
          <t>LINKÖPING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14528-2025</t>
        </is>
      </c>
      <c r="B488" s="1" t="n">
        <v>45741</v>
      </c>
      <c r="C488" s="1" t="n">
        <v>45930</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61649-2023</t>
        </is>
      </c>
      <c r="B489" s="1" t="n">
        <v>45265</v>
      </c>
      <c r="C489" s="1" t="n">
        <v>45930</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60985-2023</t>
        </is>
      </c>
      <c r="B490" s="1" t="n">
        <v>45261.48429398148</v>
      </c>
      <c r="C490" s="1" t="n">
        <v>45930</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49656-2021</t>
        </is>
      </c>
      <c r="B491" s="1" t="n">
        <v>44454</v>
      </c>
      <c r="C491" s="1" t="n">
        <v>45930</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421-2024</t>
        </is>
      </c>
      <c r="B492" s="1" t="n">
        <v>45296.51877314815</v>
      </c>
      <c r="C492" s="1" t="n">
        <v>45930</v>
      </c>
      <c r="D492" t="inlineStr">
        <is>
          <t>ÖSTERGÖTLANDS LÄN</t>
        </is>
      </c>
      <c r="E492" t="inlineStr">
        <is>
          <t>LINKÖPING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13691-2025</t>
        </is>
      </c>
      <c r="B493" s="1" t="n">
        <v>45737.31671296297</v>
      </c>
      <c r="C493" s="1" t="n">
        <v>45930</v>
      </c>
      <c r="D493" t="inlineStr">
        <is>
          <t>ÖSTERGÖTLANDS LÄN</t>
        </is>
      </c>
      <c r="E493" t="inlineStr">
        <is>
          <t>LINKÖPING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51405-2023</t>
        </is>
      </c>
      <c r="B494" s="1" t="n">
        <v>45219</v>
      </c>
      <c r="C494" s="1" t="n">
        <v>45930</v>
      </c>
      <c r="D494" t="inlineStr">
        <is>
          <t>ÖSTERGÖTLANDS LÄN</t>
        </is>
      </c>
      <c r="E494" t="inlineStr">
        <is>
          <t>LINKÖPING</t>
        </is>
      </c>
      <c r="F494" t="inlineStr">
        <is>
          <t>Övriga Aktiebolag</t>
        </is>
      </c>
      <c r="G494" t="n">
        <v>3</v>
      </c>
      <c r="H494" t="n">
        <v>0</v>
      </c>
      <c r="I494" t="n">
        <v>0</v>
      </c>
      <c r="J494" t="n">
        <v>0</v>
      </c>
      <c r="K494" t="n">
        <v>0</v>
      </c>
      <c r="L494" t="n">
        <v>0</v>
      </c>
      <c r="M494" t="n">
        <v>0</v>
      </c>
      <c r="N494" t="n">
        <v>0</v>
      </c>
      <c r="O494" t="n">
        <v>0</v>
      </c>
      <c r="P494" t="n">
        <v>0</v>
      </c>
      <c r="Q494" t="n">
        <v>0</v>
      </c>
      <c r="R494" s="2" t="inlineStr"/>
    </row>
    <row r="495" ht="15" customHeight="1">
      <c r="A495" t="inlineStr">
        <is>
          <t>A 53639-2023</t>
        </is>
      </c>
      <c r="B495" s="1" t="n">
        <v>45230.59686342593</v>
      </c>
      <c r="C495" s="1" t="n">
        <v>45930</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24467-2023</t>
        </is>
      </c>
      <c r="B496" s="1" t="n">
        <v>45082</v>
      </c>
      <c r="C496" s="1" t="n">
        <v>45930</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30465-2023</t>
        </is>
      </c>
      <c r="B497" s="1" t="n">
        <v>45111</v>
      </c>
      <c r="C497" s="1" t="n">
        <v>45930</v>
      </c>
      <c r="D497" t="inlineStr">
        <is>
          <t>ÖSTERGÖTLANDS LÄN</t>
        </is>
      </c>
      <c r="E497" t="inlineStr">
        <is>
          <t>LINKÖPING</t>
        </is>
      </c>
      <c r="F497" t="inlineStr">
        <is>
          <t>Övriga Aktiebolag</t>
        </is>
      </c>
      <c r="G497" t="n">
        <v>0.7</v>
      </c>
      <c r="H497" t="n">
        <v>0</v>
      </c>
      <c r="I497" t="n">
        <v>0</v>
      </c>
      <c r="J497" t="n">
        <v>0</v>
      </c>
      <c r="K497" t="n">
        <v>0</v>
      </c>
      <c r="L497" t="n">
        <v>0</v>
      </c>
      <c r="M497" t="n">
        <v>0</v>
      </c>
      <c r="N497" t="n">
        <v>0</v>
      </c>
      <c r="O497" t="n">
        <v>0</v>
      </c>
      <c r="P497" t="n">
        <v>0</v>
      </c>
      <c r="Q497" t="n">
        <v>0</v>
      </c>
      <c r="R497" s="2" t="inlineStr"/>
    </row>
    <row r="498" ht="15" customHeight="1">
      <c r="A498" t="inlineStr">
        <is>
          <t>A 62488-2023</t>
        </is>
      </c>
      <c r="B498" s="1" t="n">
        <v>45268.5847337963</v>
      </c>
      <c r="C498" s="1" t="n">
        <v>45930</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30521-2024</t>
        </is>
      </c>
      <c r="B499" s="1" t="n">
        <v>45492</v>
      </c>
      <c r="C499" s="1" t="n">
        <v>45930</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62495-2023</t>
        </is>
      </c>
      <c r="B500" s="1" t="n">
        <v>45268.59717592593</v>
      </c>
      <c r="C500" s="1" t="n">
        <v>45930</v>
      </c>
      <c r="D500" t="inlineStr">
        <is>
          <t>ÖSTERGÖTLANDS LÄN</t>
        </is>
      </c>
      <c r="E500" t="inlineStr">
        <is>
          <t>LINKÖPING</t>
        </is>
      </c>
      <c r="G500" t="n">
        <v>4.1</v>
      </c>
      <c r="H500" t="n">
        <v>0</v>
      </c>
      <c r="I500" t="n">
        <v>0</v>
      </c>
      <c r="J500" t="n">
        <v>0</v>
      </c>
      <c r="K500" t="n">
        <v>0</v>
      </c>
      <c r="L500" t="n">
        <v>0</v>
      </c>
      <c r="M500" t="n">
        <v>0</v>
      </c>
      <c r="N500" t="n">
        <v>0</v>
      </c>
      <c r="O500" t="n">
        <v>0</v>
      </c>
      <c r="P500" t="n">
        <v>0</v>
      </c>
      <c r="Q500" t="n">
        <v>0</v>
      </c>
      <c r="R500" s="2" t="inlineStr"/>
    </row>
    <row r="501" ht="15" customHeight="1">
      <c r="A501" t="inlineStr">
        <is>
          <t>A 40618-2021</t>
        </is>
      </c>
      <c r="B501" s="1" t="n">
        <v>44420.49575231481</v>
      </c>
      <c r="C501" s="1" t="n">
        <v>45930</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62374-2020</t>
        </is>
      </c>
      <c r="B502" s="1" t="n">
        <v>44159</v>
      </c>
      <c r="C502" s="1" t="n">
        <v>45930</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23735-2023</t>
        </is>
      </c>
      <c r="B503" s="1" t="n">
        <v>45077</v>
      </c>
      <c r="C503" s="1" t="n">
        <v>45930</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10198-2023</t>
        </is>
      </c>
      <c r="B504" s="1" t="n">
        <v>44986.54665509259</v>
      </c>
      <c r="C504" s="1" t="n">
        <v>45930</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350-2022</t>
        </is>
      </c>
      <c r="B505" s="1" t="n">
        <v>44565</v>
      </c>
      <c r="C505" s="1" t="n">
        <v>45930</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4256-2022</t>
        </is>
      </c>
      <c r="B506" s="1" t="n">
        <v>44588</v>
      </c>
      <c r="C506" s="1" t="n">
        <v>45930</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22771-2024</t>
        </is>
      </c>
      <c r="B507" s="1" t="n">
        <v>45448.46574074074</v>
      </c>
      <c r="C507" s="1" t="n">
        <v>45930</v>
      </c>
      <c r="D507" t="inlineStr">
        <is>
          <t>ÖSTERGÖTLANDS LÄN</t>
        </is>
      </c>
      <c r="E507" t="inlineStr">
        <is>
          <t>LINKÖPING</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17128-2025</t>
        </is>
      </c>
      <c r="B508" s="1" t="n">
        <v>45755.72622685185</v>
      </c>
      <c r="C508" s="1" t="n">
        <v>45930</v>
      </c>
      <c r="D508" t="inlineStr">
        <is>
          <t>ÖSTERGÖTLANDS LÄN</t>
        </is>
      </c>
      <c r="E508" t="inlineStr">
        <is>
          <t>LINKÖPING</t>
        </is>
      </c>
      <c r="G508" t="n">
        <v>2.9</v>
      </c>
      <c r="H508" t="n">
        <v>0</v>
      </c>
      <c r="I508" t="n">
        <v>0</v>
      </c>
      <c r="J508" t="n">
        <v>0</v>
      </c>
      <c r="K508" t="n">
        <v>0</v>
      </c>
      <c r="L508" t="n">
        <v>0</v>
      </c>
      <c r="M508" t="n">
        <v>0</v>
      </c>
      <c r="N508" t="n">
        <v>0</v>
      </c>
      <c r="O508" t="n">
        <v>0</v>
      </c>
      <c r="P508" t="n">
        <v>0</v>
      </c>
      <c r="Q508" t="n">
        <v>0</v>
      </c>
      <c r="R508" s="2" t="inlineStr"/>
    </row>
    <row r="509" ht="15" customHeight="1">
      <c r="A509" t="inlineStr">
        <is>
          <t>A 25948-2023</t>
        </is>
      </c>
      <c r="B509" s="1" t="n">
        <v>45090</v>
      </c>
      <c r="C509" s="1" t="n">
        <v>45930</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62018-2024</t>
        </is>
      </c>
      <c r="B510" s="1" t="n">
        <v>45655.81387731482</v>
      </c>
      <c r="C510" s="1" t="n">
        <v>45930</v>
      </c>
      <c r="D510" t="inlineStr">
        <is>
          <t>ÖSTERGÖTLANDS LÄN</t>
        </is>
      </c>
      <c r="E510" t="inlineStr">
        <is>
          <t>LINKÖPING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62073-2023</t>
        </is>
      </c>
      <c r="B511" s="1" t="n">
        <v>45266.73844907407</v>
      </c>
      <c r="C511" s="1" t="n">
        <v>45930</v>
      </c>
      <c r="D511" t="inlineStr">
        <is>
          <t>ÖSTERGÖTLANDS LÄN</t>
        </is>
      </c>
      <c r="E511" t="inlineStr">
        <is>
          <t>LINKÖPING</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33867-2023</t>
        </is>
      </c>
      <c r="B512" s="1" t="n">
        <v>45133.94640046296</v>
      </c>
      <c r="C512" s="1" t="n">
        <v>45930</v>
      </c>
      <c r="D512" t="inlineStr">
        <is>
          <t>ÖSTERGÖTLANDS LÄN</t>
        </is>
      </c>
      <c r="E512" t="inlineStr">
        <is>
          <t>LINKÖPING</t>
        </is>
      </c>
      <c r="G512" t="n">
        <v>2.3</v>
      </c>
      <c r="H512" t="n">
        <v>0</v>
      </c>
      <c r="I512" t="n">
        <v>0</v>
      </c>
      <c r="J512" t="n">
        <v>0</v>
      </c>
      <c r="K512" t="n">
        <v>0</v>
      </c>
      <c r="L512" t="n">
        <v>0</v>
      </c>
      <c r="M512" t="n">
        <v>0</v>
      </c>
      <c r="N512" t="n">
        <v>0</v>
      </c>
      <c r="O512" t="n">
        <v>0</v>
      </c>
      <c r="P512" t="n">
        <v>0</v>
      </c>
      <c r="Q512" t="n">
        <v>0</v>
      </c>
      <c r="R512" s="2" t="inlineStr"/>
    </row>
    <row r="513" ht="15" customHeight="1">
      <c r="A513" t="inlineStr">
        <is>
          <t>A 672-2024</t>
        </is>
      </c>
      <c r="B513" s="1" t="n">
        <v>45300</v>
      </c>
      <c r="C513" s="1" t="n">
        <v>45930</v>
      </c>
      <c r="D513" t="inlineStr">
        <is>
          <t>ÖSTERGÖTLANDS LÄN</t>
        </is>
      </c>
      <c r="E513" t="inlineStr">
        <is>
          <t>LINKÖPING</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42832-2023</t>
        </is>
      </c>
      <c r="B514" s="1" t="n">
        <v>45182.38091435185</v>
      </c>
      <c r="C514" s="1" t="n">
        <v>45930</v>
      </c>
      <c r="D514" t="inlineStr">
        <is>
          <t>ÖSTERGÖTLANDS LÄN</t>
        </is>
      </c>
      <c r="E514" t="inlineStr">
        <is>
          <t>LINKÖPING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53616-2020</t>
        </is>
      </c>
      <c r="B515" s="1" t="n">
        <v>44123</v>
      </c>
      <c r="C515" s="1" t="n">
        <v>45930</v>
      </c>
      <c r="D515" t="inlineStr">
        <is>
          <t>ÖSTERGÖTLANDS LÄN</t>
        </is>
      </c>
      <c r="E515" t="inlineStr">
        <is>
          <t>LINKÖPING</t>
        </is>
      </c>
      <c r="G515" t="n">
        <v>2.7</v>
      </c>
      <c r="H515" t="n">
        <v>0</v>
      </c>
      <c r="I515" t="n">
        <v>0</v>
      </c>
      <c r="J515" t="n">
        <v>0</v>
      </c>
      <c r="K515" t="n">
        <v>0</v>
      </c>
      <c r="L515" t="n">
        <v>0</v>
      </c>
      <c r="M515" t="n">
        <v>0</v>
      </c>
      <c r="N515" t="n">
        <v>0</v>
      </c>
      <c r="O515" t="n">
        <v>0</v>
      </c>
      <c r="P515" t="n">
        <v>0</v>
      </c>
      <c r="Q515" t="n">
        <v>0</v>
      </c>
      <c r="R515" s="2" t="inlineStr"/>
    </row>
    <row r="516" ht="15" customHeight="1">
      <c r="A516" t="inlineStr">
        <is>
          <t>A 24462-2023</t>
        </is>
      </c>
      <c r="B516" s="1" t="n">
        <v>45082</v>
      </c>
      <c r="C516" s="1" t="n">
        <v>45930</v>
      </c>
      <c r="D516" t="inlineStr">
        <is>
          <t>ÖSTERGÖTLANDS LÄN</t>
        </is>
      </c>
      <c r="E516" t="inlineStr">
        <is>
          <t>LINKÖPING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48829-2023</t>
        </is>
      </c>
      <c r="B517" s="1" t="n">
        <v>45209.38177083333</v>
      </c>
      <c r="C517" s="1" t="n">
        <v>45930</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5872-2025</t>
        </is>
      </c>
      <c r="B518" s="1" t="n">
        <v>45695.36659722222</v>
      </c>
      <c r="C518" s="1" t="n">
        <v>45930</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59674-2024</t>
        </is>
      </c>
      <c r="B519" s="1" t="n">
        <v>45639</v>
      </c>
      <c r="C519" s="1" t="n">
        <v>45930</v>
      </c>
      <c r="D519" t="inlineStr">
        <is>
          <t>ÖSTERGÖTLANDS LÄN</t>
        </is>
      </c>
      <c r="E519" t="inlineStr">
        <is>
          <t>LINKÖPING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38231-2022</t>
        </is>
      </c>
      <c r="B520" s="1" t="n">
        <v>44812</v>
      </c>
      <c r="C520" s="1" t="n">
        <v>45930</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59576-2024</t>
        </is>
      </c>
      <c r="B521" s="1" t="n">
        <v>45638.66378472222</v>
      </c>
      <c r="C521" s="1" t="n">
        <v>45930</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50799-2022</t>
        </is>
      </c>
      <c r="B522" s="1" t="n">
        <v>44862</v>
      </c>
      <c r="C522" s="1" t="n">
        <v>45930</v>
      </c>
      <c r="D522" t="inlineStr">
        <is>
          <t>ÖSTERGÖTLANDS LÄN</t>
        </is>
      </c>
      <c r="E522" t="inlineStr">
        <is>
          <t>LINKÖPING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51583-2024</t>
        </is>
      </c>
      <c r="B523" s="1" t="n">
        <v>45604.6397337963</v>
      </c>
      <c r="C523" s="1" t="n">
        <v>45930</v>
      </c>
      <c r="D523" t="inlineStr">
        <is>
          <t>ÖSTERGÖTLANDS LÄN</t>
        </is>
      </c>
      <c r="E523" t="inlineStr">
        <is>
          <t>LINKÖPING</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62019-2024</t>
        </is>
      </c>
      <c r="B524" s="1" t="n">
        <v>45655.82</v>
      </c>
      <c r="C524" s="1" t="n">
        <v>45930</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38317-2024</t>
        </is>
      </c>
      <c r="B525" s="1" t="n">
        <v>45545.65766203704</v>
      </c>
      <c r="C525" s="1" t="n">
        <v>45930</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50182-2023</t>
        </is>
      </c>
      <c r="B526" s="1" t="n">
        <v>45208</v>
      </c>
      <c r="C526" s="1" t="n">
        <v>45930</v>
      </c>
      <c r="D526" t="inlineStr">
        <is>
          <t>ÖSTERGÖTLANDS LÄN</t>
        </is>
      </c>
      <c r="E526" t="inlineStr">
        <is>
          <t>LINKÖPING</t>
        </is>
      </c>
      <c r="G526" t="n">
        <v>2.5</v>
      </c>
      <c r="H526" t="n">
        <v>0</v>
      </c>
      <c r="I526" t="n">
        <v>0</v>
      </c>
      <c r="J526" t="n">
        <v>0</v>
      </c>
      <c r="K526" t="n">
        <v>0</v>
      </c>
      <c r="L526" t="n">
        <v>0</v>
      </c>
      <c r="M526" t="n">
        <v>0</v>
      </c>
      <c r="N526" t="n">
        <v>0</v>
      </c>
      <c r="O526" t="n">
        <v>0</v>
      </c>
      <c r="P526" t="n">
        <v>0</v>
      </c>
      <c r="Q526" t="n">
        <v>0</v>
      </c>
      <c r="R526" s="2" t="inlineStr"/>
    </row>
    <row r="527" ht="15" customHeight="1">
      <c r="A527" t="inlineStr">
        <is>
          <t>A 1844-2025</t>
        </is>
      </c>
      <c r="B527" s="1" t="n">
        <v>45671.57730324074</v>
      </c>
      <c r="C527" s="1" t="n">
        <v>45930</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21155-2025</t>
        </is>
      </c>
      <c r="B528" s="1" t="n">
        <v>45779.37586805555</v>
      </c>
      <c r="C528" s="1" t="n">
        <v>45930</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21165-2025</t>
        </is>
      </c>
      <c r="B529" s="1" t="n">
        <v>45779.39417824074</v>
      </c>
      <c r="C529" s="1" t="n">
        <v>45930</v>
      </c>
      <c r="D529" t="inlineStr">
        <is>
          <t>ÖSTERGÖTLANDS LÄN</t>
        </is>
      </c>
      <c r="E529" t="inlineStr">
        <is>
          <t>LINKÖPING</t>
        </is>
      </c>
      <c r="G529" t="n">
        <v>1.2</v>
      </c>
      <c r="H529" t="n">
        <v>0</v>
      </c>
      <c r="I529" t="n">
        <v>0</v>
      </c>
      <c r="J529" t="n">
        <v>0</v>
      </c>
      <c r="K529" t="n">
        <v>0</v>
      </c>
      <c r="L529" t="n">
        <v>0</v>
      </c>
      <c r="M529" t="n">
        <v>0</v>
      </c>
      <c r="N529" t="n">
        <v>0</v>
      </c>
      <c r="O529" t="n">
        <v>0</v>
      </c>
      <c r="P529" t="n">
        <v>0</v>
      </c>
      <c r="Q529" t="n">
        <v>0</v>
      </c>
      <c r="R529" s="2" t="inlineStr"/>
    </row>
    <row r="530" ht="15" customHeight="1">
      <c r="A530" t="inlineStr">
        <is>
          <t>A 40431-2024</t>
        </is>
      </c>
      <c r="B530" s="1" t="n">
        <v>45555.47070601852</v>
      </c>
      <c r="C530" s="1" t="n">
        <v>45930</v>
      </c>
      <c r="D530" t="inlineStr">
        <is>
          <t>ÖSTERGÖTLANDS LÄN</t>
        </is>
      </c>
      <c r="E530" t="inlineStr">
        <is>
          <t>LINKÖPING</t>
        </is>
      </c>
      <c r="F530" t="inlineStr">
        <is>
          <t>Allmännings- och besparingsskogar</t>
        </is>
      </c>
      <c r="G530" t="n">
        <v>2.9</v>
      </c>
      <c r="H530" t="n">
        <v>0</v>
      </c>
      <c r="I530" t="n">
        <v>0</v>
      </c>
      <c r="J530" t="n">
        <v>0</v>
      </c>
      <c r="K530" t="n">
        <v>0</v>
      </c>
      <c r="L530" t="n">
        <v>0</v>
      </c>
      <c r="M530" t="n">
        <v>0</v>
      </c>
      <c r="N530" t="n">
        <v>0</v>
      </c>
      <c r="O530" t="n">
        <v>0</v>
      </c>
      <c r="P530" t="n">
        <v>0</v>
      </c>
      <c r="Q530" t="n">
        <v>0</v>
      </c>
      <c r="R530" s="2" t="inlineStr"/>
    </row>
    <row r="531" ht="15" customHeight="1">
      <c r="A531" t="inlineStr">
        <is>
          <t>A 267-2023</t>
        </is>
      </c>
      <c r="B531" s="1" t="n">
        <v>44928.80907407407</v>
      </c>
      <c r="C531" s="1" t="n">
        <v>45930</v>
      </c>
      <c r="D531" t="inlineStr">
        <is>
          <t>ÖSTERGÖTLANDS LÄN</t>
        </is>
      </c>
      <c r="E531" t="inlineStr">
        <is>
          <t>LINKÖPING</t>
        </is>
      </c>
      <c r="G531" t="n">
        <v>2.7</v>
      </c>
      <c r="H531" t="n">
        <v>0</v>
      </c>
      <c r="I531" t="n">
        <v>0</v>
      </c>
      <c r="J531" t="n">
        <v>0</v>
      </c>
      <c r="K531" t="n">
        <v>0</v>
      </c>
      <c r="L531" t="n">
        <v>0</v>
      </c>
      <c r="M531" t="n">
        <v>0</v>
      </c>
      <c r="N531" t="n">
        <v>0</v>
      </c>
      <c r="O531" t="n">
        <v>0</v>
      </c>
      <c r="P531" t="n">
        <v>0</v>
      </c>
      <c r="Q531" t="n">
        <v>0</v>
      </c>
      <c r="R531" s="2" t="inlineStr"/>
    </row>
    <row r="532" ht="15" customHeight="1">
      <c r="A532" t="inlineStr">
        <is>
          <t>A 26618-2023</t>
        </is>
      </c>
      <c r="B532" s="1" t="n">
        <v>45092.70306712963</v>
      </c>
      <c r="C532" s="1" t="n">
        <v>45930</v>
      </c>
      <c r="D532" t="inlineStr">
        <is>
          <t>ÖSTERGÖTLANDS LÄN</t>
        </is>
      </c>
      <c r="E532" t="inlineStr">
        <is>
          <t>LINKÖPING</t>
        </is>
      </c>
      <c r="G532" t="n">
        <v>6.9</v>
      </c>
      <c r="H532" t="n">
        <v>0</v>
      </c>
      <c r="I532" t="n">
        <v>0</v>
      </c>
      <c r="J532" t="n">
        <v>0</v>
      </c>
      <c r="K532" t="n">
        <v>0</v>
      </c>
      <c r="L532" t="n">
        <v>0</v>
      </c>
      <c r="M532" t="n">
        <v>0</v>
      </c>
      <c r="N532" t="n">
        <v>0</v>
      </c>
      <c r="O532" t="n">
        <v>0</v>
      </c>
      <c r="P532" t="n">
        <v>0</v>
      </c>
      <c r="Q532" t="n">
        <v>0</v>
      </c>
      <c r="R532" s="2" t="inlineStr"/>
    </row>
    <row r="533" ht="15" customHeight="1">
      <c r="A533" t="inlineStr">
        <is>
          <t>A 63665-2023</t>
        </is>
      </c>
      <c r="B533" s="1" t="n">
        <v>45275</v>
      </c>
      <c r="C533" s="1" t="n">
        <v>45930</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67123-2020</t>
        </is>
      </c>
      <c r="B534" s="1" t="n">
        <v>44180</v>
      </c>
      <c r="C534" s="1" t="n">
        <v>45930</v>
      </c>
      <c r="D534" t="inlineStr">
        <is>
          <t>ÖSTERGÖTLANDS LÄN</t>
        </is>
      </c>
      <c r="E534" t="inlineStr">
        <is>
          <t>LINKÖPING</t>
        </is>
      </c>
      <c r="F534" t="inlineStr">
        <is>
          <t>Övriga statliga verk och myndigheter</t>
        </is>
      </c>
      <c r="G534" t="n">
        <v>1.3</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45930</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45930</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45930</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53816-2023</t>
        </is>
      </c>
      <c r="B538" s="1" t="n">
        <v>45231.40012731482</v>
      </c>
      <c r="C538" s="1" t="n">
        <v>45930</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36557-2023</t>
        </is>
      </c>
      <c r="B539" s="1" t="n">
        <v>45153</v>
      </c>
      <c r="C539" s="1" t="n">
        <v>45930</v>
      </c>
      <c r="D539" t="inlineStr">
        <is>
          <t>ÖSTERGÖTLANDS LÄN</t>
        </is>
      </c>
      <c r="E539" t="inlineStr">
        <is>
          <t>LINKÖPING</t>
        </is>
      </c>
      <c r="F539" t="inlineStr">
        <is>
          <t>Övriga Aktiebolag</t>
        </is>
      </c>
      <c r="G539" t="n">
        <v>3.1</v>
      </c>
      <c r="H539" t="n">
        <v>0</v>
      </c>
      <c r="I539" t="n">
        <v>0</v>
      </c>
      <c r="J539" t="n">
        <v>0</v>
      </c>
      <c r="K539" t="n">
        <v>0</v>
      </c>
      <c r="L539" t="n">
        <v>0</v>
      </c>
      <c r="M539" t="n">
        <v>0</v>
      </c>
      <c r="N539" t="n">
        <v>0</v>
      </c>
      <c r="O539" t="n">
        <v>0</v>
      </c>
      <c r="P539" t="n">
        <v>0</v>
      </c>
      <c r="Q539" t="n">
        <v>0</v>
      </c>
      <c r="R539" s="2" t="inlineStr"/>
    </row>
    <row r="540" ht="15" customHeight="1">
      <c r="A540" t="inlineStr">
        <is>
          <t>A 6599-2023</t>
        </is>
      </c>
      <c r="B540" s="1" t="n">
        <v>44966.52603009259</v>
      </c>
      <c r="C540" s="1" t="n">
        <v>45930</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43473-2024</t>
        </is>
      </c>
      <c r="B541" s="1" t="n">
        <v>45568</v>
      </c>
      <c r="C541" s="1" t="n">
        <v>45930</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9473-2024</t>
        </is>
      </c>
      <c r="B542" s="1" t="n">
        <v>45359.55474537037</v>
      </c>
      <c r="C542" s="1" t="n">
        <v>45930</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10797-2024</t>
        </is>
      </c>
      <c r="B543" s="1" t="n">
        <v>45369.6190162037</v>
      </c>
      <c r="C543" s="1" t="n">
        <v>45930</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22264-2025</t>
        </is>
      </c>
      <c r="B544" s="1" t="n">
        <v>45785</v>
      </c>
      <c r="C544" s="1" t="n">
        <v>45930</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61532-2021</t>
        </is>
      </c>
      <c r="B545" s="1" t="n">
        <v>44501</v>
      </c>
      <c r="C545" s="1" t="n">
        <v>45930</v>
      </c>
      <c r="D545" t="inlineStr">
        <is>
          <t>ÖSTERGÖTLANDS LÄN</t>
        </is>
      </c>
      <c r="E545" t="inlineStr">
        <is>
          <t>LINKÖPING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3374-2023</t>
        </is>
      </c>
      <c r="B546" s="1" t="n">
        <v>44949</v>
      </c>
      <c r="C546" s="1" t="n">
        <v>45930</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224-2024</t>
        </is>
      </c>
      <c r="B547" s="1" t="n">
        <v>45294</v>
      </c>
      <c r="C547" s="1" t="n">
        <v>45930</v>
      </c>
      <c r="D547" t="inlineStr">
        <is>
          <t>ÖSTERGÖTLANDS LÄN</t>
        </is>
      </c>
      <c r="E547" t="inlineStr">
        <is>
          <t>LINKÖPING</t>
        </is>
      </c>
      <c r="G547" t="n">
        <v>2.8</v>
      </c>
      <c r="H547" t="n">
        <v>0</v>
      </c>
      <c r="I547" t="n">
        <v>0</v>
      </c>
      <c r="J547" t="n">
        <v>0</v>
      </c>
      <c r="K547" t="n">
        <v>0</v>
      </c>
      <c r="L547" t="n">
        <v>0</v>
      </c>
      <c r="M547" t="n">
        <v>0</v>
      </c>
      <c r="N547" t="n">
        <v>0</v>
      </c>
      <c r="O547" t="n">
        <v>0</v>
      </c>
      <c r="P547" t="n">
        <v>0</v>
      </c>
      <c r="Q547" t="n">
        <v>0</v>
      </c>
      <c r="R547" s="2" t="inlineStr"/>
    </row>
    <row r="548" ht="15" customHeight="1">
      <c r="A548" t="inlineStr">
        <is>
          <t>A 6726-2024</t>
        </is>
      </c>
      <c r="B548" s="1" t="n">
        <v>45341</v>
      </c>
      <c r="C548" s="1" t="n">
        <v>45930</v>
      </c>
      <c r="D548" t="inlineStr">
        <is>
          <t>ÖSTERGÖTLANDS LÄN</t>
        </is>
      </c>
      <c r="E548" t="inlineStr">
        <is>
          <t>LINKÖPING</t>
        </is>
      </c>
      <c r="G548" t="n">
        <v>2.7</v>
      </c>
      <c r="H548" t="n">
        <v>0</v>
      </c>
      <c r="I548" t="n">
        <v>0</v>
      </c>
      <c r="J548" t="n">
        <v>0</v>
      </c>
      <c r="K548" t="n">
        <v>0</v>
      </c>
      <c r="L548" t="n">
        <v>0</v>
      </c>
      <c r="M548" t="n">
        <v>0</v>
      </c>
      <c r="N548" t="n">
        <v>0</v>
      </c>
      <c r="O548" t="n">
        <v>0</v>
      </c>
      <c r="P548" t="n">
        <v>0</v>
      </c>
      <c r="Q548" t="n">
        <v>0</v>
      </c>
      <c r="R548" s="2" t="inlineStr"/>
    </row>
    <row r="549" ht="15" customHeight="1">
      <c r="A549" t="inlineStr">
        <is>
          <t>A 6859-2024</t>
        </is>
      </c>
      <c r="B549" s="1" t="n">
        <v>45342</v>
      </c>
      <c r="C549" s="1" t="n">
        <v>45930</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38580-2024</t>
        </is>
      </c>
      <c r="B550" s="1" t="n">
        <v>45546.64825231482</v>
      </c>
      <c r="C550" s="1" t="n">
        <v>45930</v>
      </c>
      <c r="D550" t="inlineStr">
        <is>
          <t>ÖSTERGÖTLANDS LÄN</t>
        </is>
      </c>
      <c r="E550" t="inlineStr">
        <is>
          <t>LINKÖPING</t>
        </is>
      </c>
      <c r="G550" t="n">
        <v>4.8</v>
      </c>
      <c r="H550" t="n">
        <v>0</v>
      </c>
      <c r="I550" t="n">
        <v>0</v>
      </c>
      <c r="J550" t="n">
        <v>0</v>
      </c>
      <c r="K550" t="n">
        <v>0</v>
      </c>
      <c r="L550" t="n">
        <v>0</v>
      </c>
      <c r="M550" t="n">
        <v>0</v>
      </c>
      <c r="N550" t="n">
        <v>0</v>
      </c>
      <c r="O550" t="n">
        <v>0</v>
      </c>
      <c r="P550" t="n">
        <v>0</v>
      </c>
      <c r="Q550" t="n">
        <v>0</v>
      </c>
      <c r="R550" s="2" t="inlineStr"/>
    </row>
    <row r="551" ht="15" customHeight="1">
      <c r="A551" t="inlineStr">
        <is>
          <t>A 572-2025</t>
        </is>
      </c>
      <c r="B551" s="1" t="n">
        <v>45664.56349537037</v>
      </c>
      <c r="C551" s="1" t="n">
        <v>45930</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22364-2025</t>
        </is>
      </c>
      <c r="B552" s="1" t="n">
        <v>45786.46930555555</v>
      </c>
      <c r="C552" s="1" t="n">
        <v>45930</v>
      </c>
      <c r="D552" t="inlineStr">
        <is>
          <t>ÖSTERGÖTLANDS LÄN</t>
        </is>
      </c>
      <c r="E552" t="inlineStr">
        <is>
          <t>LINKÖPING</t>
        </is>
      </c>
      <c r="G552" t="n">
        <v>2.2</v>
      </c>
      <c r="H552" t="n">
        <v>0</v>
      </c>
      <c r="I552" t="n">
        <v>0</v>
      </c>
      <c r="J552" t="n">
        <v>0</v>
      </c>
      <c r="K552" t="n">
        <v>0</v>
      </c>
      <c r="L552" t="n">
        <v>0</v>
      </c>
      <c r="M552" t="n">
        <v>0</v>
      </c>
      <c r="N552" t="n">
        <v>0</v>
      </c>
      <c r="O552" t="n">
        <v>0</v>
      </c>
      <c r="P552" t="n">
        <v>0</v>
      </c>
      <c r="Q552" t="n">
        <v>0</v>
      </c>
      <c r="R552" s="2" t="inlineStr"/>
    </row>
    <row r="553" ht="15" customHeight="1">
      <c r="A553" t="inlineStr">
        <is>
          <t>A 44287-2024</t>
        </is>
      </c>
      <c r="B553" s="1" t="n">
        <v>45573.50582175926</v>
      </c>
      <c r="C553" s="1" t="n">
        <v>45930</v>
      </c>
      <c r="D553" t="inlineStr">
        <is>
          <t>ÖSTERGÖTLANDS LÄN</t>
        </is>
      </c>
      <c r="E553" t="inlineStr">
        <is>
          <t>LINKÖPING</t>
        </is>
      </c>
      <c r="G553" t="n">
        <v>12.7</v>
      </c>
      <c r="H553" t="n">
        <v>0</v>
      </c>
      <c r="I553" t="n">
        <v>0</v>
      </c>
      <c r="J553" t="n">
        <v>0</v>
      </c>
      <c r="K553" t="n">
        <v>0</v>
      </c>
      <c r="L553" t="n">
        <v>0</v>
      </c>
      <c r="M553" t="n">
        <v>0</v>
      </c>
      <c r="N553" t="n">
        <v>0</v>
      </c>
      <c r="O553" t="n">
        <v>0</v>
      </c>
      <c r="P553" t="n">
        <v>0</v>
      </c>
      <c r="Q553" t="n">
        <v>0</v>
      </c>
      <c r="R553" s="2" t="inlineStr"/>
    </row>
    <row r="554" ht="15" customHeight="1">
      <c r="A554" t="inlineStr">
        <is>
          <t>A 72567-2021</t>
        </is>
      </c>
      <c r="B554" s="1" t="n">
        <v>44546.45023148148</v>
      </c>
      <c r="C554" s="1" t="n">
        <v>45930</v>
      </c>
      <c r="D554" t="inlineStr">
        <is>
          <t>ÖSTERGÖTLANDS LÄN</t>
        </is>
      </c>
      <c r="E554" t="inlineStr">
        <is>
          <t>LINKÖPING</t>
        </is>
      </c>
      <c r="G554" t="n">
        <v>1.6</v>
      </c>
      <c r="H554" t="n">
        <v>0</v>
      </c>
      <c r="I554" t="n">
        <v>0</v>
      </c>
      <c r="J554" t="n">
        <v>0</v>
      </c>
      <c r="K554" t="n">
        <v>0</v>
      </c>
      <c r="L554" t="n">
        <v>0</v>
      </c>
      <c r="M554" t="n">
        <v>0</v>
      </c>
      <c r="N554" t="n">
        <v>0</v>
      </c>
      <c r="O554" t="n">
        <v>0</v>
      </c>
      <c r="P554" t="n">
        <v>0</v>
      </c>
      <c r="Q554" t="n">
        <v>0</v>
      </c>
      <c r="R554" s="2" t="inlineStr"/>
    </row>
    <row r="555" ht="15" customHeight="1">
      <c r="A555" t="inlineStr">
        <is>
          <t>A 29312-2024</t>
        </is>
      </c>
      <c r="B555" s="1" t="n">
        <v>45483</v>
      </c>
      <c r="C555" s="1" t="n">
        <v>45930</v>
      </c>
      <c r="D555" t="inlineStr">
        <is>
          <t>ÖSTERGÖTLANDS LÄN</t>
        </is>
      </c>
      <c r="E555" t="inlineStr">
        <is>
          <t>LINKÖPING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53814-2023</t>
        </is>
      </c>
      <c r="B556" s="1" t="n">
        <v>45231</v>
      </c>
      <c r="C556" s="1" t="n">
        <v>45930</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23120-2025</t>
        </is>
      </c>
      <c r="B557" s="1" t="n">
        <v>45791.37481481482</v>
      </c>
      <c r="C557" s="1" t="n">
        <v>45930</v>
      </c>
      <c r="D557" t="inlineStr">
        <is>
          <t>ÖSTERGÖTLANDS LÄN</t>
        </is>
      </c>
      <c r="E557" t="inlineStr">
        <is>
          <t>LINKÖPING</t>
        </is>
      </c>
      <c r="G557" t="n">
        <v>2.9</v>
      </c>
      <c r="H557" t="n">
        <v>0</v>
      </c>
      <c r="I557" t="n">
        <v>0</v>
      </c>
      <c r="J557" t="n">
        <v>0</v>
      </c>
      <c r="K557" t="n">
        <v>0</v>
      </c>
      <c r="L557" t="n">
        <v>0</v>
      </c>
      <c r="M557" t="n">
        <v>0</v>
      </c>
      <c r="N557" t="n">
        <v>0</v>
      </c>
      <c r="O557" t="n">
        <v>0</v>
      </c>
      <c r="P557" t="n">
        <v>0</v>
      </c>
      <c r="Q557" t="n">
        <v>0</v>
      </c>
      <c r="R557" s="2" t="inlineStr"/>
    </row>
    <row r="558" ht="15" customHeight="1">
      <c r="A558" t="inlineStr">
        <is>
          <t>A 60004-2022</t>
        </is>
      </c>
      <c r="B558" s="1" t="n">
        <v>44909.47206018519</v>
      </c>
      <c r="C558" s="1" t="n">
        <v>45930</v>
      </c>
      <c r="D558" t="inlineStr">
        <is>
          <t>ÖSTERGÖTLANDS LÄN</t>
        </is>
      </c>
      <c r="E558" t="inlineStr">
        <is>
          <t>LINKÖPING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52796-2023</t>
        </is>
      </c>
      <c r="B559" s="1" t="n">
        <v>45219</v>
      </c>
      <c r="C559" s="1" t="n">
        <v>45930</v>
      </c>
      <c r="D559" t="inlineStr">
        <is>
          <t>ÖSTERGÖTLANDS LÄN</t>
        </is>
      </c>
      <c r="E559" t="inlineStr">
        <is>
          <t>LINKÖPING</t>
        </is>
      </c>
      <c r="F559" t="inlineStr">
        <is>
          <t>Övriga statliga verk och myndigheter</t>
        </is>
      </c>
      <c r="G559" t="n">
        <v>3.9</v>
      </c>
      <c r="H559" t="n">
        <v>0</v>
      </c>
      <c r="I559" t="n">
        <v>0</v>
      </c>
      <c r="J559" t="n">
        <v>0</v>
      </c>
      <c r="K559" t="n">
        <v>0</v>
      </c>
      <c r="L559" t="n">
        <v>0</v>
      </c>
      <c r="M559" t="n">
        <v>0</v>
      </c>
      <c r="N559" t="n">
        <v>0</v>
      </c>
      <c r="O559" t="n">
        <v>0</v>
      </c>
      <c r="P559" t="n">
        <v>0</v>
      </c>
      <c r="Q559" t="n">
        <v>0</v>
      </c>
      <c r="R559" s="2" t="inlineStr"/>
    </row>
    <row r="560" ht="15" customHeight="1">
      <c r="A560" t="inlineStr">
        <is>
          <t>A 50743-2023</t>
        </is>
      </c>
      <c r="B560" s="1" t="n">
        <v>45217</v>
      </c>
      <c r="C560" s="1" t="n">
        <v>45930</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45771-2023</t>
        </is>
      </c>
      <c r="B561" s="1" t="n">
        <v>45195.4384375</v>
      </c>
      <c r="C561" s="1" t="n">
        <v>45930</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48699-2024</t>
        </is>
      </c>
      <c r="B562" s="1" t="n">
        <v>45593.52091435185</v>
      </c>
      <c r="C562" s="1" t="n">
        <v>45930</v>
      </c>
      <c r="D562" t="inlineStr">
        <is>
          <t>ÖSTERGÖTLANDS LÄN</t>
        </is>
      </c>
      <c r="E562" t="inlineStr">
        <is>
          <t>LINKÖPING</t>
        </is>
      </c>
      <c r="G562" t="n">
        <v>1.3</v>
      </c>
      <c r="H562" t="n">
        <v>0</v>
      </c>
      <c r="I562" t="n">
        <v>0</v>
      </c>
      <c r="J562" t="n">
        <v>0</v>
      </c>
      <c r="K562" t="n">
        <v>0</v>
      </c>
      <c r="L562" t="n">
        <v>0</v>
      </c>
      <c r="M562" t="n">
        <v>0</v>
      </c>
      <c r="N562" t="n">
        <v>0</v>
      </c>
      <c r="O562" t="n">
        <v>0</v>
      </c>
      <c r="P562" t="n">
        <v>0</v>
      </c>
      <c r="Q562" t="n">
        <v>0</v>
      </c>
      <c r="R562" s="2" t="inlineStr"/>
    </row>
    <row r="563" ht="15" customHeight="1">
      <c r="A563" t="inlineStr">
        <is>
          <t>A 63554-2023</t>
        </is>
      </c>
      <c r="B563" s="1" t="n">
        <v>45275</v>
      </c>
      <c r="C563" s="1" t="n">
        <v>45930</v>
      </c>
      <c r="D563" t="inlineStr">
        <is>
          <t>ÖSTERGÖTLANDS LÄN</t>
        </is>
      </c>
      <c r="E563" t="inlineStr">
        <is>
          <t>LINKÖPING</t>
        </is>
      </c>
      <c r="G563" t="n">
        <v>4.3</v>
      </c>
      <c r="H563" t="n">
        <v>0</v>
      </c>
      <c r="I563" t="n">
        <v>0</v>
      </c>
      <c r="J563" t="n">
        <v>0</v>
      </c>
      <c r="K563" t="n">
        <v>0</v>
      </c>
      <c r="L563" t="n">
        <v>0</v>
      </c>
      <c r="M563" t="n">
        <v>0</v>
      </c>
      <c r="N563" t="n">
        <v>0</v>
      </c>
      <c r="O563" t="n">
        <v>0</v>
      </c>
      <c r="P563" t="n">
        <v>0</v>
      </c>
      <c r="Q563" t="n">
        <v>0</v>
      </c>
      <c r="R563" s="2" t="inlineStr"/>
    </row>
    <row r="564" ht="15" customHeight="1">
      <c r="A564" t="inlineStr">
        <is>
          <t>A 30111-2024</t>
        </is>
      </c>
      <c r="B564" s="1" t="n">
        <v>45489.46947916667</v>
      </c>
      <c r="C564" s="1" t="n">
        <v>45930</v>
      </c>
      <c r="D564" t="inlineStr">
        <is>
          <t>ÖSTERGÖTLANDS LÄN</t>
        </is>
      </c>
      <c r="E564" t="inlineStr">
        <is>
          <t>LINKÖPING</t>
        </is>
      </c>
      <c r="G564" t="n">
        <v>1.5</v>
      </c>
      <c r="H564" t="n">
        <v>0</v>
      </c>
      <c r="I564" t="n">
        <v>0</v>
      </c>
      <c r="J564" t="n">
        <v>0</v>
      </c>
      <c r="K564" t="n">
        <v>0</v>
      </c>
      <c r="L564" t="n">
        <v>0</v>
      </c>
      <c r="M564" t="n">
        <v>0</v>
      </c>
      <c r="N564" t="n">
        <v>0</v>
      </c>
      <c r="O564" t="n">
        <v>0</v>
      </c>
      <c r="P564" t="n">
        <v>0</v>
      </c>
      <c r="Q564" t="n">
        <v>0</v>
      </c>
      <c r="R564" s="2" t="inlineStr"/>
    </row>
    <row r="565" ht="15" customHeight="1">
      <c r="A565" t="inlineStr">
        <is>
          <t>A 30119-2024</t>
        </is>
      </c>
      <c r="B565" s="1" t="n">
        <v>45489</v>
      </c>
      <c r="C565" s="1" t="n">
        <v>45930</v>
      </c>
      <c r="D565" t="inlineStr">
        <is>
          <t>ÖSTERGÖTLANDS LÄN</t>
        </is>
      </c>
      <c r="E565" t="inlineStr">
        <is>
          <t>LINKÖPING</t>
        </is>
      </c>
      <c r="G565" t="n">
        <v>1.7</v>
      </c>
      <c r="H565" t="n">
        <v>0</v>
      </c>
      <c r="I565" t="n">
        <v>0</v>
      </c>
      <c r="J565" t="n">
        <v>0</v>
      </c>
      <c r="K565" t="n">
        <v>0</v>
      </c>
      <c r="L565" t="n">
        <v>0</v>
      </c>
      <c r="M565" t="n">
        <v>0</v>
      </c>
      <c r="N565" t="n">
        <v>0</v>
      </c>
      <c r="O565" t="n">
        <v>0</v>
      </c>
      <c r="P565" t="n">
        <v>0</v>
      </c>
      <c r="Q565" t="n">
        <v>0</v>
      </c>
      <c r="R565" s="2" t="inlineStr"/>
    </row>
    <row r="566" ht="15" customHeight="1">
      <c r="A566" t="inlineStr">
        <is>
          <t>A 6206-2024</t>
        </is>
      </c>
      <c r="B566" s="1" t="n">
        <v>45337.5977662037</v>
      </c>
      <c r="C566" s="1" t="n">
        <v>45930</v>
      </c>
      <c r="D566" t="inlineStr">
        <is>
          <t>ÖSTERGÖTLANDS LÄN</t>
        </is>
      </c>
      <c r="E566" t="inlineStr">
        <is>
          <t>LINKÖPING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13911-2025</t>
        </is>
      </c>
      <c r="B567" s="1" t="n">
        <v>45737.64784722222</v>
      </c>
      <c r="C567" s="1" t="n">
        <v>45930</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15714-2024</t>
        </is>
      </c>
      <c r="B568" s="1" t="n">
        <v>45404.48288194444</v>
      </c>
      <c r="C568" s="1" t="n">
        <v>45930</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30481-2023</t>
        </is>
      </c>
      <c r="B569" s="1" t="n">
        <v>45111</v>
      </c>
      <c r="C569" s="1" t="n">
        <v>45930</v>
      </c>
      <c r="D569" t="inlineStr">
        <is>
          <t>ÖSTERGÖTLANDS LÄN</t>
        </is>
      </c>
      <c r="E569" t="inlineStr">
        <is>
          <t>LINKÖPING</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23768-2025</t>
        </is>
      </c>
      <c r="B570" s="1" t="n">
        <v>45793.47493055555</v>
      </c>
      <c r="C570" s="1" t="n">
        <v>45930</v>
      </c>
      <c r="D570" t="inlineStr">
        <is>
          <t>ÖSTERGÖTLANDS LÄN</t>
        </is>
      </c>
      <c r="E570" t="inlineStr">
        <is>
          <t>LINKÖPING</t>
        </is>
      </c>
      <c r="G570" t="n">
        <v>3.4</v>
      </c>
      <c r="H570" t="n">
        <v>0</v>
      </c>
      <c r="I570" t="n">
        <v>0</v>
      </c>
      <c r="J570" t="n">
        <v>0</v>
      </c>
      <c r="K570" t="n">
        <v>0</v>
      </c>
      <c r="L570" t="n">
        <v>0</v>
      </c>
      <c r="M570" t="n">
        <v>0</v>
      </c>
      <c r="N570" t="n">
        <v>0</v>
      </c>
      <c r="O570" t="n">
        <v>0</v>
      </c>
      <c r="P570" t="n">
        <v>0</v>
      </c>
      <c r="Q570" t="n">
        <v>0</v>
      </c>
      <c r="R570" s="2" t="inlineStr"/>
    </row>
    <row r="571" ht="15" customHeight="1">
      <c r="A571" t="inlineStr">
        <is>
          <t>A 74160-2021</t>
        </is>
      </c>
      <c r="B571" s="1" t="n">
        <v>44558</v>
      </c>
      <c r="C571" s="1" t="n">
        <v>45930</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63559-2023</t>
        </is>
      </c>
      <c r="B572" s="1" t="n">
        <v>45275.35924768518</v>
      </c>
      <c r="C572" s="1" t="n">
        <v>45930</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23491-2024</t>
        </is>
      </c>
      <c r="B573" s="1" t="n">
        <v>45453</v>
      </c>
      <c r="C573" s="1" t="n">
        <v>45930</v>
      </c>
      <c r="D573" t="inlineStr">
        <is>
          <t>ÖSTERGÖTLANDS LÄN</t>
        </is>
      </c>
      <c r="E573" t="inlineStr">
        <is>
          <t>LINKÖPING</t>
        </is>
      </c>
      <c r="G573" t="n">
        <v>2.2</v>
      </c>
      <c r="H573" t="n">
        <v>0</v>
      </c>
      <c r="I573" t="n">
        <v>0</v>
      </c>
      <c r="J573" t="n">
        <v>0</v>
      </c>
      <c r="K573" t="n">
        <v>0</v>
      </c>
      <c r="L573" t="n">
        <v>0</v>
      </c>
      <c r="M573" t="n">
        <v>0</v>
      </c>
      <c r="N573" t="n">
        <v>0</v>
      </c>
      <c r="O573" t="n">
        <v>0</v>
      </c>
      <c r="P573" t="n">
        <v>0</v>
      </c>
      <c r="Q573" t="n">
        <v>0</v>
      </c>
      <c r="R573" s="2" t="inlineStr"/>
    </row>
    <row r="574" ht="15" customHeight="1">
      <c r="A574" t="inlineStr">
        <is>
          <t>A 29309-2024</t>
        </is>
      </c>
      <c r="B574" s="1" t="n">
        <v>45483</v>
      </c>
      <c r="C574" s="1" t="n">
        <v>45930</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29411-2023</t>
        </is>
      </c>
      <c r="B575" s="1" t="n">
        <v>45106.46225694445</v>
      </c>
      <c r="C575" s="1" t="n">
        <v>45930</v>
      </c>
      <c r="D575" t="inlineStr">
        <is>
          <t>ÖSTERGÖTLANDS LÄN</t>
        </is>
      </c>
      <c r="E575" t="inlineStr">
        <is>
          <t>LINKÖPING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29412-2023</t>
        </is>
      </c>
      <c r="B576" s="1" t="n">
        <v>45106.46359953703</v>
      </c>
      <c r="C576" s="1" t="n">
        <v>45930</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29413-2023</t>
        </is>
      </c>
      <c r="B577" s="1" t="n">
        <v>45106.46465277778</v>
      </c>
      <c r="C577" s="1" t="n">
        <v>45930</v>
      </c>
      <c r="D577" t="inlineStr">
        <is>
          <t>ÖSTERGÖTLANDS LÄN</t>
        </is>
      </c>
      <c r="E577" t="inlineStr">
        <is>
          <t>LINKÖPING</t>
        </is>
      </c>
      <c r="G577" t="n">
        <v>8</v>
      </c>
      <c r="H577" t="n">
        <v>0</v>
      </c>
      <c r="I577" t="n">
        <v>0</v>
      </c>
      <c r="J577" t="n">
        <v>0</v>
      </c>
      <c r="K577" t="n">
        <v>0</v>
      </c>
      <c r="L577" t="n">
        <v>0</v>
      </c>
      <c r="M577" t="n">
        <v>0</v>
      </c>
      <c r="N577" t="n">
        <v>0</v>
      </c>
      <c r="O577" t="n">
        <v>0</v>
      </c>
      <c r="P577" t="n">
        <v>0</v>
      </c>
      <c r="Q577" t="n">
        <v>0</v>
      </c>
      <c r="R577" s="2" t="inlineStr"/>
    </row>
    <row r="578" ht="15" customHeight="1">
      <c r="A578" t="inlineStr">
        <is>
          <t>A 24151-2024</t>
        </is>
      </c>
      <c r="B578" s="1" t="n">
        <v>45456.67717592593</v>
      </c>
      <c r="C578" s="1" t="n">
        <v>45930</v>
      </c>
      <c r="D578" t="inlineStr">
        <is>
          <t>ÖSTERGÖTLANDS LÄN</t>
        </is>
      </c>
      <c r="E578" t="inlineStr">
        <is>
          <t>LINKÖPING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44280-2024</t>
        </is>
      </c>
      <c r="B579" s="1" t="n">
        <v>45573.49461805556</v>
      </c>
      <c r="C579" s="1" t="n">
        <v>45930</v>
      </c>
      <c r="D579" t="inlineStr">
        <is>
          <t>ÖSTERGÖTLANDS LÄN</t>
        </is>
      </c>
      <c r="E579" t="inlineStr">
        <is>
          <t>LINKÖPING</t>
        </is>
      </c>
      <c r="G579" t="n">
        <v>5.3</v>
      </c>
      <c r="H579" t="n">
        <v>0</v>
      </c>
      <c r="I579" t="n">
        <v>0</v>
      </c>
      <c r="J579" t="n">
        <v>0</v>
      </c>
      <c r="K579" t="n">
        <v>0</v>
      </c>
      <c r="L579" t="n">
        <v>0</v>
      </c>
      <c r="M579" t="n">
        <v>0</v>
      </c>
      <c r="N579" t="n">
        <v>0</v>
      </c>
      <c r="O579" t="n">
        <v>0</v>
      </c>
      <c r="P579" t="n">
        <v>0</v>
      </c>
      <c r="Q579" t="n">
        <v>0</v>
      </c>
      <c r="R579" s="2" t="inlineStr"/>
    </row>
    <row r="580" ht="15" customHeight="1">
      <c r="A580" t="inlineStr">
        <is>
          <t>A 25996-2025</t>
        </is>
      </c>
      <c r="B580" s="1" t="n">
        <v>45804.65851851852</v>
      </c>
      <c r="C580" s="1" t="n">
        <v>45930</v>
      </c>
      <c r="D580" t="inlineStr">
        <is>
          <t>ÖSTERGÖTLANDS LÄN</t>
        </is>
      </c>
      <c r="E580" t="inlineStr">
        <is>
          <t>LINKÖPING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26002-2025</t>
        </is>
      </c>
      <c r="B581" s="1" t="n">
        <v>45804.66534722222</v>
      </c>
      <c r="C581" s="1" t="n">
        <v>45930</v>
      </c>
      <c r="D581" t="inlineStr">
        <is>
          <t>ÖSTERGÖTLANDS LÄN</t>
        </is>
      </c>
      <c r="E581" t="inlineStr">
        <is>
          <t>LINKÖPING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63845-2021</t>
        </is>
      </c>
      <c r="B582" s="1" t="n">
        <v>44509</v>
      </c>
      <c r="C582" s="1" t="n">
        <v>45930</v>
      </c>
      <c r="D582" t="inlineStr">
        <is>
          <t>ÖSTERGÖTLANDS LÄN</t>
        </is>
      </c>
      <c r="E582" t="inlineStr">
        <is>
          <t>LINKÖPING</t>
        </is>
      </c>
      <c r="G582" t="n">
        <v>5</v>
      </c>
      <c r="H582" t="n">
        <v>0</v>
      </c>
      <c r="I582" t="n">
        <v>0</v>
      </c>
      <c r="J582" t="n">
        <v>0</v>
      </c>
      <c r="K582" t="n">
        <v>0</v>
      </c>
      <c r="L582" t="n">
        <v>0</v>
      </c>
      <c r="M582" t="n">
        <v>0</v>
      </c>
      <c r="N582" t="n">
        <v>0</v>
      </c>
      <c r="O582" t="n">
        <v>0</v>
      </c>
      <c r="P582" t="n">
        <v>0</v>
      </c>
      <c r="Q582" t="n">
        <v>0</v>
      </c>
      <c r="R582" s="2" t="inlineStr"/>
    </row>
    <row r="583" ht="15" customHeight="1">
      <c r="A583" t="inlineStr">
        <is>
          <t>A 17785-2023</t>
        </is>
      </c>
      <c r="B583" s="1" t="n">
        <v>45037.55094907407</v>
      </c>
      <c r="C583" s="1" t="n">
        <v>45930</v>
      </c>
      <c r="D583" t="inlineStr">
        <is>
          <t>ÖSTERGÖTLANDS LÄN</t>
        </is>
      </c>
      <c r="E583" t="inlineStr">
        <is>
          <t>LINKÖPING</t>
        </is>
      </c>
      <c r="F583" t="inlineStr">
        <is>
          <t>Allmännings- och besparingsskogar</t>
        </is>
      </c>
      <c r="G583" t="n">
        <v>3.1</v>
      </c>
      <c r="H583" t="n">
        <v>0</v>
      </c>
      <c r="I583" t="n">
        <v>0</v>
      </c>
      <c r="J583" t="n">
        <v>0</v>
      </c>
      <c r="K583" t="n">
        <v>0</v>
      </c>
      <c r="L583" t="n">
        <v>0</v>
      </c>
      <c r="M583" t="n">
        <v>0</v>
      </c>
      <c r="N583" t="n">
        <v>0</v>
      </c>
      <c r="O583" t="n">
        <v>0</v>
      </c>
      <c r="P583" t="n">
        <v>0</v>
      </c>
      <c r="Q583" t="n">
        <v>0</v>
      </c>
      <c r="R583" s="2" t="inlineStr"/>
    </row>
    <row r="584" ht="15" customHeight="1">
      <c r="A584" t="inlineStr">
        <is>
          <t>A 32346-2023</t>
        </is>
      </c>
      <c r="B584" s="1" t="n">
        <v>45120</v>
      </c>
      <c r="C584" s="1" t="n">
        <v>45930</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1627-2023</t>
        </is>
      </c>
      <c r="B585" s="1" t="n">
        <v>44937</v>
      </c>
      <c r="C585" s="1" t="n">
        <v>45930</v>
      </c>
      <c r="D585" t="inlineStr">
        <is>
          <t>ÖSTERGÖTLANDS LÄN</t>
        </is>
      </c>
      <c r="E585" t="inlineStr">
        <is>
          <t>LINKÖPING</t>
        </is>
      </c>
      <c r="G585" t="n">
        <v>10.8</v>
      </c>
      <c r="H585" t="n">
        <v>0</v>
      </c>
      <c r="I585" t="n">
        <v>0</v>
      </c>
      <c r="J585" t="n">
        <v>0</v>
      </c>
      <c r="K585" t="n">
        <v>0</v>
      </c>
      <c r="L585" t="n">
        <v>0</v>
      </c>
      <c r="M585" t="n">
        <v>0</v>
      </c>
      <c r="N585" t="n">
        <v>0</v>
      </c>
      <c r="O585" t="n">
        <v>0</v>
      </c>
      <c r="P585" t="n">
        <v>0</v>
      </c>
      <c r="Q585" t="n">
        <v>0</v>
      </c>
      <c r="R585" s="2" t="inlineStr"/>
    </row>
    <row r="586" ht="15" customHeight="1">
      <c r="A586" t="inlineStr">
        <is>
          <t>A 16665-2023</t>
        </is>
      </c>
      <c r="B586" s="1" t="n">
        <v>45030.5583912037</v>
      </c>
      <c r="C586" s="1" t="n">
        <v>45930</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60860-2024</t>
        </is>
      </c>
      <c r="B587" s="1" t="n">
        <v>45644.6893287037</v>
      </c>
      <c r="C587" s="1" t="n">
        <v>45930</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31640-2023</t>
        </is>
      </c>
      <c r="B588" s="1" t="n">
        <v>45117</v>
      </c>
      <c r="C588" s="1" t="n">
        <v>45930</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16213-2025</t>
        </is>
      </c>
      <c r="B589" s="1" t="n">
        <v>45750.62740740741</v>
      </c>
      <c r="C589" s="1" t="n">
        <v>45930</v>
      </c>
      <c r="D589" t="inlineStr">
        <is>
          <t>ÖSTERGÖTLANDS LÄN</t>
        </is>
      </c>
      <c r="E589" t="inlineStr">
        <is>
          <t>LINKÖPING</t>
        </is>
      </c>
      <c r="G589" t="n">
        <v>3.4</v>
      </c>
      <c r="H589" t="n">
        <v>0</v>
      </c>
      <c r="I589" t="n">
        <v>0</v>
      </c>
      <c r="J589" t="n">
        <v>0</v>
      </c>
      <c r="K589" t="n">
        <v>0</v>
      </c>
      <c r="L589" t="n">
        <v>0</v>
      </c>
      <c r="M589" t="n">
        <v>0</v>
      </c>
      <c r="N589" t="n">
        <v>0</v>
      </c>
      <c r="O589" t="n">
        <v>0</v>
      </c>
      <c r="P589" t="n">
        <v>0</v>
      </c>
      <c r="Q589" t="n">
        <v>0</v>
      </c>
      <c r="R589" s="2" t="inlineStr"/>
    </row>
    <row r="590" ht="15" customHeight="1">
      <c r="A590" t="inlineStr">
        <is>
          <t>A 34872-2023</t>
        </is>
      </c>
      <c r="B590" s="1" t="n">
        <v>45140</v>
      </c>
      <c r="C590" s="1" t="n">
        <v>45930</v>
      </c>
      <c r="D590" t="inlineStr">
        <is>
          <t>ÖSTERGÖTLANDS LÄN</t>
        </is>
      </c>
      <c r="E590" t="inlineStr">
        <is>
          <t>LINKÖPING</t>
        </is>
      </c>
      <c r="G590" t="n">
        <v>4.8</v>
      </c>
      <c r="H590" t="n">
        <v>0</v>
      </c>
      <c r="I590" t="n">
        <v>0</v>
      </c>
      <c r="J590" t="n">
        <v>0</v>
      </c>
      <c r="K590" t="n">
        <v>0</v>
      </c>
      <c r="L590" t="n">
        <v>0</v>
      </c>
      <c r="M590" t="n">
        <v>0</v>
      </c>
      <c r="N590" t="n">
        <v>0</v>
      </c>
      <c r="O590" t="n">
        <v>0</v>
      </c>
      <c r="P590" t="n">
        <v>0</v>
      </c>
      <c r="Q590" t="n">
        <v>0</v>
      </c>
      <c r="R590" s="2" t="inlineStr"/>
    </row>
    <row r="591" ht="15" customHeight="1">
      <c r="A591" t="inlineStr">
        <is>
          <t>A 33000-2023</t>
        </is>
      </c>
      <c r="B591" s="1" t="n">
        <v>45125</v>
      </c>
      <c r="C591" s="1" t="n">
        <v>45930</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3042-2024</t>
        </is>
      </c>
      <c r="B592" s="1" t="n">
        <v>45316.35028935185</v>
      </c>
      <c r="C592" s="1" t="n">
        <v>45930</v>
      </c>
      <c r="D592" t="inlineStr">
        <is>
          <t>ÖSTERGÖTLANDS LÄN</t>
        </is>
      </c>
      <c r="E592" t="inlineStr">
        <is>
          <t>LINKÖPING</t>
        </is>
      </c>
      <c r="G592" t="n">
        <v>3.1</v>
      </c>
      <c r="H592" t="n">
        <v>0</v>
      </c>
      <c r="I592" t="n">
        <v>0</v>
      </c>
      <c r="J592" t="n">
        <v>0</v>
      </c>
      <c r="K592" t="n">
        <v>0</v>
      </c>
      <c r="L592" t="n">
        <v>0</v>
      </c>
      <c r="M592" t="n">
        <v>0</v>
      </c>
      <c r="N592" t="n">
        <v>0</v>
      </c>
      <c r="O592" t="n">
        <v>0</v>
      </c>
      <c r="P592" t="n">
        <v>0</v>
      </c>
      <c r="Q592" t="n">
        <v>0</v>
      </c>
      <c r="R592" s="2" t="inlineStr"/>
    </row>
    <row r="593" ht="15" customHeight="1">
      <c r="A593" t="inlineStr">
        <is>
          <t>A 27264-2025</t>
        </is>
      </c>
      <c r="B593" s="1" t="n">
        <v>45812.4794212963</v>
      </c>
      <c r="C593" s="1" t="n">
        <v>45930</v>
      </c>
      <c r="D593" t="inlineStr">
        <is>
          <t>ÖSTERGÖTLANDS LÄN</t>
        </is>
      </c>
      <c r="E593" t="inlineStr">
        <is>
          <t>LINKÖPING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2997-2025</t>
        </is>
      </c>
      <c r="B594" s="1" t="n">
        <v>45678.54631944445</v>
      </c>
      <c r="C594" s="1" t="n">
        <v>45930</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31534-2023</t>
        </is>
      </c>
      <c r="B595" s="1" t="n">
        <v>45116</v>
      </c>
      <c r="C595" s="1" t="n">
        <v>45930</v>
      </c>
      <c r="D595" t="inlineStr">
        <is>
          <t>ÖSTERGÖTLANDS LÄN</t>
        </is>
      </c>
      <c r="E595" t="inlineStr">
        <is>
          <t>LINKÖPING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26803-2024</t>
        </is>
      </c>
      <c r="B596" s="1" t="n">
        <v>45470</v>
      </c>
      <c r="C596" s="1" t="n">
        <v>45930</v>
      </c>
      <c r="D596" t="inlineStr">
        <is>
          <t>ÖSTERGÖTLANDS LÄN</t>
        </is>
      </c>
      <c r="E596" t="inlineStr">
        <is>
          <t>LINKÖPING</t>
        </is>
      </c>
      <c r="F596" t="inlineStr">
        <is>
          <t>Allmännings- och besparingsskogar</t>
        </is>
      </c>
      <c r="G596" t="n">
        <v>4.5</v>
      </c>
      <c r="H596" t="n">
        <v>0</v>
      </c>
      <c r="I596" t="n">
        <v>0</v>
      </c>
      <c r="J596" t="n">
        <v>0</v>
      </c>
      <c r="K596" t="n">
        <v>0</v>
      </c>
      <c r="L596" t="n">
        <v>0</v>
      </c>
      <c r="M596" t="n">
        <v>0</v>
      </c>
      <c r="N596" t="n">
        <v>0</v>
      </c>
      <c r="O596" t="n">
        <v>0</v>
      </c>
      <c r="P596" t="n">
        <v>0</v>
      </c>
      <c r="Q596" t="n">
        <v>0</v>
      </c>
      <c r="R596" s="2" t="inlineStr"/>
    </row>
    <row r="597" ht="15" customHeight="1">
      <c r="A597" t="inlineStr">
        <is>
          <t>A 45806-2024</t>
        </is>
      </c>
      <c r="B597" s="1" t="n">
        <v>45579.69619212963</v>
      </c>
      <c r="C597" s="1" t="n">
        <v>45930</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10253-2022</t>
        </is>
      </c>
      <c r="B598" s="1" t="n">
        <v>44622</v>
      </c>
      <c r="C598" s="1" t="n">
        <v>45930</v>
      </c>
      <c r="D598" t="inlineStr">
        <is>
          <t>ÖSTERGÖTLANDS LÄN</t>
        </is>
      </c>
      <c r="E598" t="inlineStr">
        <is>
          <t>LINKÖPING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28200-2025</t>
        </is>
      </c>
      <c r="B599" s="1" t="n">
        <v>45818.4428125</v>
      </c>
      <c r="C599" s="1" t="n">
        <v>45930</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37154-2023</t>
        </is>
      </c>
      <c r="B600" s="1" t="n">
        <v>45155</v>
      </c>
      <c r="C600" s="1" t="n">
        <v>45930</v>
      </c>
      <c r="D600" t="inlineStr">
        <is>
          <t>ÖSTERGÖTLANDS LÄN</t>
        </is>
      </c>
      <c r="E600" t="inlineStr">
        <is>
          <t>LINKÖPING</t>
        </is>
      </c>
      <c r="G600" t="n">
        <v>1.7</v>
      </c>
      <c r="H600" t="n">
        <v>0</v>
      </c>
      <c r="I600" t="n">
        <v>0</v>
      </c>
      <c r="J600" t="n">
        <v>0</v>
      </c>
      <c r="K600" t="n">
        <v>0</v>
      </c>
      <c r="L600" t="n">
        <v>0</v>
      </c>
      <c r="M600" t="n">
        <v>0</v>
      </c>
      <c r="N600" t="n">
        <v>0</v>
      </c>
      <c r="O600" t="n">
        <v>0</v>
      </c>
      <c r="P600" t="n">
        <v>0</v>
      </c>
      <c r="Q600" t="n">
        <v>0</v>
      </c>
      <c r="R600" s="2" t="inlineStr"/>
    </row>
    <row r="601" ht="15" customHeight="1">
      <c r="A601" t="inlineStr">
        <is>
          <t>A 11330-2023</t>
        </is>
      </c>
      <c r="B601" s="1" t="n">
        <v>44993.24648148148</v>
      </c>
      <c r="C601" s="1" t="n">
        <v>45930</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27950-2025</t>
        </is>
      </c>
      <c r="B602" s="1" t="n">
        <v>45817.52960648148</v>
      </c>
      <c r="C602" s="1" t="n">
        <v>45930</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42000-2023</t>
        </is>
      </c>
      <c r="B603" s="1" t="n">
        <v>45177</v>
      </c>
      <c r="C603" s="1" t="n">
        <v>45930</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27797-2025</t>
        </is>
      </c>
      <c r="B604" s="1" t="n">
        <v>45816.80521990741</v>
      </c>
      <c r="C604" s="1" t="n">
        <v>45930</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27798-2025</t>
        </is>
      </c>
      <c r="B605" s="1" t="n">
        <v>45816.81532407407</v>
      </c>
      <c r="C605" s="1" t="n">
        <v>45930</v>
      </c>
      <c r="D605" t="inlineStr">
        <is>
          <t>ÖSTERGÖTLANDS LÄN</t>
        </is>
      </c>
      <c r="E605" t="inlineStr">
        <is>
          <t>LINKÖPING</t>
        </is>
      </c>
      <c r="G605" t="n">
        <v>1.9</v>
      </c>
      <c r="H605" t="n">
        <v>0</v>
      </c>
      <c r="I605" t="n">
        <v>0</v>
      </c>
      <c r="J605" t="n">
        <v>0</v>
      </c>
      <c r="K605" t="n">
        <v>0</v>
      </c>
      <c r="L605" t="n">
        <v>0</v>
      </c>
      <c r="M605" t="n">
        <v>0</v>
      </c>
      <c r="N605" t="n">
        <v>0</v>
      </c>
      <c r="O605" t="n">
        <v>0</v>
      </c>
      <c r="P605" t="n">
        <v>0</v>
      </c>
      <c r="Q605" t="n">
        <v>0</v>
      </c>
      <c r="R605" s="2" t="inlineStr"/>
    </row>
    <row r="606" ht="15" customHeight="1">
      <c r="A606" t="inlineStr">
        <is>
          <t>A 28209-2025</t>
        </is>
      </c>
      <c r="B606" s="1" t="n">
        <v>45818.45112268518</v>
      </c>
      <c r="C606" s="1" t="n">
        <v>45930</v>
      </c>
      <c r="D606" t="inlineStr">
        <is>
          <t>ÖSTERGÖTLANDS LÄN</t>
        </is>
      </c>
      <c r="E606" t="inlineStr">
        <is>
          <t>LINKÖPING</t>
        </is>
      </c>
      <c r="G606" t="n">
        <v>4.2</v>
      </c>
      <c r="H606" t="n">
        <v>0</v>
      </c>
      <c r="I606" t="n">
        <v>0</v>
      </c>
      <c r="J606" t="n">
        <v>0</v>
      </c>
      <c r="K606" t="n">
        <v>0</v>
      </c>
      <c r="L606" t="n">
        <v>0</v>
      </c>
      <c r="M606" t="n">
        <v>0</v>
      </c>
      <c r="N606" t="n">
        <v>0</v>
      </c>
      <c r="O606" t="n">
        <v>0</v>
      </c>
      <c r="P606" t="n">
        <v>0</v>
      </c>
      <c r="Q606" t="n">
        <v>0</v>
      </c>
      <c r="R606" s="2" t="inlineStr"/>
    </row>
    <row r="607" ht="15" customHeight="1">
      <c r="A607" t="inlineStr">
        <is>
          <t>A 28204-2025</t>
        </is>
      </c>
      <c r="B607" s="1" t="n">
        <v>45818.4477662037</v>
      </c>
      <c r="C607" s="1" t="n">
        <v>45930</v>
      </c>
      <c r="D607" t="inlineStr">
        <is>
          <t>ÖSTERGÖTLANDS LÄN</t>
        </is>
      </c>
      <c r="E607" t="inlineStr">
        <is>
          <t>LINKÖPING</t>
        </is>
      </c>
      <c r="G607" t="n">
        <v>2.9</v>
      </c>
      <c r="H607" t="n">
        <v>0</v>
      </c>
      <c r="I607" t="n">
        <v>0</v>
      </c>
      <c r="J607" t="n">
        <v>0</v>
      </c>
      <c r="K607" t="n">
        <v>0</v>
      </c>
      <c r="L607" t="n">
        <v>0</v>
      </c>
      <c r="M607" t="n">
        <v>0</v>
      </c>
      <c r="N607" t="n">
        <v>0</v>
      </c>
      <c r="O607" t="n">
        <v>0</v>
      </c>
      <c r="P607" t="n">
        <v>0</v>
      </c>
      <c r="Q607" t="n">
        <v>0</v>
      </c>
      <c r="R607" s="2" t="inlineStr"/>
    </row>
    <row r="608" ht="15" customHeight="1">
      <c r="A608" t="inlineStr">
        <is>
          <t>A 28398-2025</t>
        </is>
      </c>
      <c r="B608" s="1" t="n">
        <v>45819.34208333334</v>
      </c>
      <c r="C608" s="1" t="n">
        <v>45930</v>
      </c>
      <c r="D608" t="inlineStr">
        <is>
          <t>ÖSTERGÖTLANDS LÄN</t>
        </is>
      </c>
      <c r="E608" t="inlineStr">
        <is>
          <t>LINKÖPING</t>
        </is>
      </c>
      <c r="F608" t="inlineStr">
        <is>
          <t>Sveaskog</t>
        </is>
      </c>
      <c r="G608" t="n">
        <v>7.9</v>
      </c>
      <c r="H608" t="n">
        <v>0</v>
      </c>
      <c r="I608" t="n">
        <v>0</v>
      </c>
      <c r="J608" t="n">
        <v>0</v>
      </c>
      <c r="K608" t="n">
        <v>0</v>
      </c>
      <c r="L608" t="n">
        <v>0</v>
      </c>
      <c r="M608" t="n">
        <v>0</v>
      </c>
      <c r="N608" t="n">
        <v>0</v>
      </c>
      <c r="O608" t="n">
        <v>0</v>
      </c>
      <c r="P608" t="n">
        <v>0</v>
      </c>
      <c r="Q608" t="n">
        <v>0</v>
      </c>
      <c r="R608" s="2" t="inlineStr"/>
    </row>
    <row r="609" ht="15" customHeight="1">
      <c r="A609" t="inlineStr">
        <is>
          <t>A 28416-2025</t>
        </is>
      </c>
      <c r="B609" s="1" t="n">
        <v>45819.35346064815</v>
      </c>
      <c r="C609" s="1" t="n">
        <v>45930</v>
      </c>
      <c r="D609" t="inlineStr">
        <is>
          <t>ÖSTERGÖTLANDS LÄN</t>
        </is>
      </c>
      <c r="E609" t="inlineStr">
        <is>
          <t>LINKÖPING</t>
        </is>
      </c>
      <c r="F609" t="inlineStr">
        <is>
          <t>Sveaskog</t>
        </is>
      </c>
      <c r="G609" t="n">
        <v>3.7</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45930</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45930</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29411-2025</t>
        </is>
      </c>
      <c r="B612" s="1" t="n">
        <v>45824.6219212963</v>
      </c>
      <c r="C612" s="1" t="n">
        <v>45930</v>
      </c>
      <c r="D612" t="inlineStr">
        <is>
          <t>ÖSTERGÖTLANDS LÄN</t>
        </is>
      </c>
      <c r="E612" t="inlineStr">
        <is>
          <t>LINKÖPING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32602-2022</t>
        </is>
      </c>
      <c r="B613" s="1" t="n">
        <v>44783.43192129629</v>
      </c>
      <c r="C613" s="1" t="n">
        <v>45930</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29599-2025</t>
        </is>
      </c>
      <c r="B614" s="1" t="n">
        <v>45825.41101851852</v>
      </c>
      <c r="C614" s="1" t="n">
        <v>45930</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30355-2025</t>
        </is>
      </c>
      <c r="B615" s="1" t="n">
        <v>45827</v>
      </c>
      <c r="C615" s="1" t="n">
        <v>45930</v>
      </c>
      <c r="D615" t="inlineStr">
        <is>
          <t>ÖSTERGÖTLANDS LÄN</t>
        </is>
      </c>
      <c r="E615" t="inlineStr">
        <is>
          <t>LINKÖPING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30353-2025</t>
        </is>
      </c>
      <c r="B616" s="1" t="n">
        <v>45827</v>
      </c>
      <c r="C616" s="1" t="n">
        <v>45930</v>
      </c>
      <c r="D616" t="inlineStr">
        <is>
          <t>ÖSTERGÖTLANDS LÄN</t>
        </is>
      </c>
      <c r="E616" t="inlineStr">
        <is>
          <t>LINKÖPING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13413-2023</t>
        </is>
      </c>
      <c r="B617" s="1" t="n">
        <v>45005.58341435185</v>
      </c>
      <c r="C617" s="1" t="n">
        <v>45930</v>
      </c>
      <c r="D617" t="inlineStr">
        <is>
          <t>ÖSTERGÖTLANDS LÄN</t>
        </is>
      </c>
      <c r="E617" t="inlineStr">
        <is>
          <t>LINKÖPING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63528-2023</t>
        </is>
      </c>
      <c r="B618" s="1" t="n">
        <v>45274.94810185185</v>
      </c>
      <c r="C618" s="1" t="n">
        <v>45930</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63638-2023</t>
        </is>
      </c>
      <c r="B619" s="1" t="n">
        <v>45275</v>
      </c>
      <c r="C619" s="1" t="n">
        <v>45930</v>
      </c>
      <c r="D619" t="inlineStr">
        <is>
          <t>ÖSTERGÖTLANDS LÄN</t>
        </is>
      </c>
      <c r="E619" t="inlineStr">
        <is>
          <t>LINKÖPING</t>
        </is>
      </c>
      <c r="F619" t="inlineStr">
        <is>
          <t>Övriga Aktiebolag</t>
        </is>
      </c>
      <c r="G619" t="n">
        <v>2.4</v>
      </c>
      <c r="H619" t="n">
        <v>0</v>
      </c>
      <c r="I619" t="n">
        <v>0</v>
      </c>
      <c r="J619" t="n">
        <v>0</v>
      </c>
      <c r="K619" t="n">
        <v>0</v>
      </c>
      <c r="L619" t="n">
        <v>0</v>
      </c>
      <c r="M619" t="n">
        <v>0</v>
      </c>
      <c r="N619" t="n">
        <v>0</v>
      </c>
      <c r="O619" t="n">
        <v>0</v>
      </c>
      <c r="P619" t="n">
        <v>0</v>
      </c>
      <c r="Q619" t="n">
        <v>0</v>
      </c>
      <c r="R619" s="2" t="inlineStr"/>
    </row>
    <row r="620" ht="15" customHeight="1">
      <c r="A620" t="inlineStr">
        <is>
          <t>A 63658-2023</t>
        </is>
      </c>
      <c r="B620" s="1" t="n">
        <v>45275</v>
      </c>
      <c r="C620" s="1" t="n">
        <v>45930</v>
      </c>
      <c r="D620" t="inlineStr">
        <is>
          <t>ÖSTERGÖTLANDS LÄN</t>
        </is>
      </c>
      <c r="E620" t="inlineStr">
        <is>
          <t>LINKÖPING</t>
        </is>
      </c>
      <c r="F620" t="inlineStr">
        <is>
          <t>Övriga Aktiebolag</t>
        </is>
      </c>
      <c r="G620" t="n">
        <v>1.5</v>
      </c>
      <c r="H620" t="n">
        <v>0</v>
      </c>
      <c r="I620" t="n">
        <v>0</v>
      </c>
      <c r="J620" t="n">
        <v>0</v>
      </c>
      <c r="K620" t="n">
        <v>0</v>
      </c>
      <c r="L620" t="n">
        <v>0</v>
      </c>
      <c r="M620" t="n">
        <v>0</v>
      </c>
      <c r="N620" t="n">
        <v>0</v>
      </c>
      <c r="O620" t="n">
        <v>0</v>
      </c>
      <c r="P620" t="n">
        <v>0</v>
      </c>
      <c r="Q620" t="n">
        <v>0</v>
      </c>
      <c r="R620" s="2" t="inlineStr"/>
    </row>
    <row r="621" ht="15" customHeight="1">
      <c r="A621" t="inlineStr">
        <is>
          <t>A 37683-2024</t>
        </is>
      </c>
      <c r="B621" s="1" t="n">
        <v>45541.59120370371</v>
      </c>
      <c r="C621" s="1" t="n">
        <v>45930</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7808-2022</t>
        </is>
      </c>
      <c r="B622" s="1" t="n">
        <v>44608</v>
      </c>
      <c r="C622" s="1" t="n">
        <v>45930</v>
      </c>
      <c r="D622" t="inlineStr">
        <is>
          <t>ÖSTERGÖTLANDS LÄN</t>
        </is>
      </c>
      <c r="E622" t="inlineStr">
        <is>
          <t>LINKÖPING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36336-2023</t>
        </is>
      </c>
      <c r="B623" s="1" t="n">
        <v>45152.45078703704</v>
      </c>
      <c r="C623" s="1" t="n">
        <v>45930</v>
      </c>
      <c r="D623" t="inlineStr">
        <is>
          <t>ÖSTERGÖTLANDS LÄN</t>
        </is>
      </c>
      <c r="E623" t="inlineStr">
        <is>
          <t>LINKÖPING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31581-2025</t>
        </is>
      </c>
      <c r="B624" s="1" t="n">
        <v>45833.6840162037</v>
      </c>
      <c r="C624" s="1" t="n">
        <v>45930</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31585-2025</t>
        </is>
      </c>
      <c r="B625" s="1" t="n">
        <v>45833.68815972222</v>
      </c>
      <c r="C625" s="1" t="n">
        <v>45930</v>
      </c>
      <c r="D625" t="inlineStr">
        <is>
          <t>ÖSTERGÖTLANDS LÄN</t>
        </is>
      </c>
      <c r="E625" t="inlineStr">
        <is>
          <t>LINKÖPING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56623-2024</t>
        </is>
      </c>
      <c r="B626" s="1" t="n">
        <v>45625</v>
      </c>
      <c r="C626" s="1" t="n">
        <v>45930</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32723-2025</t>
        </is>
      </c>
      <c r="B627" s="1" t="n">
        <v>45838</v>
      </c>
      <c r="C627" s="1" t="n">
        <v>45930</v>
      </c>
      <c r="D627" t="inlineStr">
        <is>
          <t>ÖSTERGÖTLANDS LÄN</t>
        </is>
      </c>
      <c r="E627" t="inlineStr">
        <is>
          <t>LINKÖPING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13011-2022</t>
        </is>
      </c>
      <c r="B628" s="1" t="n">
        <v>44643</v>
      </c>
      <c r="C628" s="1" t="n">
        <v>45930</v>
      </c>
      <c r="D628" t="inlineStr">
        <is>
          <t>ÖSTERGÖTLANDS LÄN</t>
        </is>
      </c>
      <c r="E628" t="inlineStr">
        <is>
          <t>LINKÖPING</t>
        </is>
      </c>
      <c r="G628" t="n">
        <v>3.7</v>
      </c>
      <c r="H628" t="n">
        <v>0</v>
      </c>
      <c r="I628" t="n">
        <v>0</v>
      </c>
      <c r="J628" t="n">
        <v>0</v>
      </c>
      <c r="K628" t="n">
        <v>0</v>
      </c>
      <c r="L628" t="n">
        <v>0</v>
      </c>
      <c r="M628" t="n">
        <v>0</v>
      </c>
      <c r="N628" t="n">
        <v>0</v>
      </c>
      <c r="O628" t="n">
        <v>0</v>
      </c>
      <c r="P628" t="n">
        <v>0</v>
      </c>
      <c r="Q628" t="n">
        <v>0</v>
      </c>
      <c r="R628" s="2" t="inlineStr"/>
    </row>
    <row r="629" ht="15" customHeight="1">
      <c r="A629" t="inlineStr">
        <is>
          <t>A 33947-2025</t>
        </is>
      </c>
      <c r="B629" s="1" t="n">
        <v>45842.65444444444</v>
      </c>
      <c r="C629" s="1" t="n">
        <v>45930</v>
      </c>
      <c r="D629" t="inlineStr">
        <is>
          <t>ÖSTERGÖTLANDS LÄN</t>
        </is>
      </c>
      <c r="E629" t="inlineStr">
        <is>
          <t>LINKÖPING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11595-2025</t>
        </is>
      </c>
      <c r="B630" s="1" t="n">
        <v>45727.41893518518</v>
      </c>
      <c r="C630" s="1" t="n">
        <v>45930</v>
      </c>
      <c r="D630" t="inlineStr">
        <is>
          <t>ÖSTERGÖTLANDS LÄN</t>
        </is>
      </c>
      <c r="E630" t="inlineStr">
        <is>
          <t>LINKÖPING</t>
        </is>
      </c>
      <c r="G630" t="n">
        <v>6.6</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45930</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36336-2022</t>
        </is>
      </c>
      <c r="B632" s="1" t="n">
        <v>44803</v>
      </c>
      <c r="C632" s="1" t="n">
        <v>45930</v>
      </c>
      <c r="D632" t="inlineStr">
        <is>
          <t>ÖSTERGÖTLANDS LÄN</t>
        </is>
      </c>
      <c r="E632" t="inlineStr">
        <is>
          <t>LINKÖPING</t>
        </is>
      </c>
      <c r="G632" t="n">
        <v>1.1</v>
      </c>
      <c r="H632" t="n">
        <v>0</v>
      </c>
      <c r="I632" t="n">
        <v>0</v>
      </c>
      <c r="J632" t="n">
        <v>0</v>
      </c>
      <c r="K632" t="n">
        <v>0</v>
      </c>
      <c r="L632" t="n">
        <v>0</v>
      </c>
      <c r="M632" t="n">
        <v>0</v>
      </c>
      <c r="N632" t="n">
        <v>0</v>
      </c>
      <c r="O632" t="n">
        <v>0</v>
      </c>
      <c r="P632" t="n">
        <v>0</v>
      </c>
      <c r="Q632" t="n">
        <v>0</v>
      </c>
      <c r="R632" s="2" t="inlineStr"/>
    </row>
    <row r="633" ht="15" customHeight="1">
      <c r="A633" t="inlineStr">
        <is>
          <t>A 48839-2022</t>
        </is>
      </c>
      <c r="B633" s="1" t="n">
        <v>44859</v>
      </c>
      <c r="C633" s="1" t="n">
        <v>45930</v>
      </c>
      <c r="D633" t="inlineStr">
        <is>
          <t>ÖSTERGÖTLANDS LÄN</t>
        </is>
      </c>
      <c r="E633" t="inlineStr">
        <is>
          <t>LINKÖPING</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62012-2024</t>
        </is>
      </c>
      <c r="B634" s="1" t="n">
        <v>45655.79679398148</v>
      </c>
      <c r="C634" s="1" t="n">
        <v>45930</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39074-2025</t>
        </is>
      </c>
      <c r="B635" s="1" t="n">
        <v>45888</v>
      </c>
      <c r="C635" s="1" t="n">
        <v>45930</v>
      </c>
      <c r="D635" t="inlineStr">
        <is>
          <t>ÖSTERGÖTLANDS LÄN</t>
        </is>
      </c>
      <c r="E635" t="inlineStr">
        <is>
          <t>LINKÖPING</t>
        </is>
      </c>
      <c r="G635" t="n">
        <v>2.9</v>
      </c>
      <c r="H635" t="n">
        <v>0</v>
      </c>
      <c r="I635" t="n">
        <v>0</v>
      </c>
      <c r="J635" t="n">
        <v>0</v>
      </c>
      <c r="K635" t="n">
        <v>0</v>
      </c>
      <c r="L635" t="n">
        <v>0</v>
      </c>
      <c r="M635" t="n">
        <v>0</v>
      </c>
      <c r="N635" t="n">
        <v>0</v>
      </c>
      <c r="O635" t="n">
        <v>0</v>
      </c>
      <c r="P635" t="n">
        <v>0</v>
      </c>
      <c r="Q635" t="n">
        <v>0</v>
      </c>
      <c r="R635" s="2" t="inlineStr"/>
    </row>
    <row r="636" ht="15" customHeight="1">
      <c r="A636" t="inlineStr">
        <is>
          <t>A 6387-2022</t>
        </is>
      </c>
      <c r="B636" s="1" t="n">
        <v>44600</v>
      </c>
      <c r="C636" s="1" t="n">
        <v>45930</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45930</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34641-2022</t>
        </is>
      </c>
      <c r="B638" s="1" t="n">
        <v>44795</v>
      </c>
      <c r="C638" s="1" t="n">
        <v>45930</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13687-2025</t>
        </is>
      </c>
      <c r="B639" s="1" t="n">
        <v>45737.31425925926</v>
      </c>
      <c r="C639" s="1" t="n">
        <v>45930</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13688-2025</t>
        </is>
      </c>
      <c r="B640" s="1" t="n">
        <v>45737.3153125</v>
      </c>
      <c r="C640" s="1" t="n">
        <v>45930</v>
      </c>
      <c r="D640" t="inlineStr">
        <is>
          <t>ÖSTERGÖTLANDS LÄN</t>
        </is>
      </c>
      <c r="E640" t="inlineStr">
        <is>
          <t>LINKÖPING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13695-2025</t>
        </is>
      </c>
      <c r="B641" s="1" t="n">
        <v>45737.32219907407</v>
      </c>
      <c r="C641" s="1" t="n">
        <v>45930</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38971-2025</t>
        </is>
      </c>
      <c r="B642" s="1" t="n">
        <v>45887.71827546296</v>
      </c>
      <c r="C642" s="1" t="n">
        <v>45930</v>
      </c>
      <c r="D642" t="inlineStr">
        <is>
          <t>ÖSTERGÖTLANDS LÄN</t>
        </is>
      </c>
      <c r="E642" t="inlineStr">
        <is>
          <t>LINKÖPING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52413-2023</t>
        </is>
      </c>
      <c r="B643" s="1" t="n">
        <v>45225.27950231481</v>
      </c>
      <c r="C643" s="1" t="n">
        <v>45930</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20469-2025</t>
        </is>
      </c>
      <c r="B644" s="1" t="n">
        <v>45775</v>
      </c>
      <c r="C644" s="1" t="n">
        <v>45930</v>
      </c>
      <c r="D644" t="inlineStr">
        <is>
          <t>ÖSTERGÖTLANDS LÄN</t>
        </is>
      </c>
      <c r="E644" t="inlineStr">
        <is>
          <t>LINKÖPING</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42054-2022</t>
        </is>
      </c>
      <c r="B645" s="1" t="n">
        <v>44830</v>
      </c>
      <c r="C645" s="1" t="n">
        <v>45930</v>
      </c>
      <c r="D645" t="inlineStr">
        <is>
          <t>ÖSTERGÖTLANDS LÄN</t>
        </is>
      </c>
      <c r="E645" t="inlineStr">
        <is>
          <t>LINKÖPING</t>
        </is>
      </c>
      <c r="G645" t="n">
        <v>1.7</v>
      </c>
      <c r="H645" t="n">
        <v>0</v>
      </c>
      <c r="I645" t="n">
        <v>0</v>
      </c>
      <c r="J645" t="n">
        <v>0</v>
      </c>
      <c r="K645" t="n">
        <v>0</v>
      </c>
      <c r="L645" t="n">
        <v>0</v>
      </c>
      <c r="M645" t="n">
        <v>0</v>
      </c>
      <c r="N645" t="n">
        <v>0</v>
      </c>
      <c r="O645" t="n">
        <v>0</v>
      </c>
      <c r="P645" t="n">
        <v>0</v>
      </c>
      <c r="Q645" t="n">
        <v>0</v>
      </c>
      <c r="R645" s="2" t="inlineStr"/>
    </row>
    <row r="646" ht="15" customHeight="1">
      <c r="A646" t="inlineStr">
        <is>
          <t>A 53797-2023</t>
        </is>
      </c>
      <c r="B646" s="1" t="n">
        <v>45230</v>
      </c>
      <c r="C646" s="1" t="n">
        <v>45930</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39438-2025</t>
        </is>
      </c>
      <c r="B647" s="1" t="n">
        <v>45889.68641203704</v>
      </c>
      <c r="C647" s="1" t="n">
        <v>45930</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22833-2023</t>
        </is>
      </c>
      <c r="B648" s="1" t="n">
        <v>45071</v>
      </c>
      <c r="C648" s="1" t="n">
        <v>45930</v>
      </c>
      <c r="D648" t="inlineStr">
        <is>
          <t>ÖSTERGÖTLANDS LÄN</t>
        </is>
      </c>
      <c r="E648" t="inlineStr">
        <is>
          <t>LINKÖPING</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17898-2022</t>
        </is>
      </c>
      <c r="B649" s="1" t="n">
        <v>44683</v>
      </c>
      <c r="C649" s="1" t="n">
        <v>45930</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62017-2024</t>
        </is>
      </c>
      <c r="B650" s="1" t="n">
        <v>45655.81140046296</v>
      </c>
      <c r="C650" s="1" t="n">
        <v>45930</v>
      </c>
      <c r="D650" t="inlineStr">
        <is>
          <t>ÖSTERGÖTLANDS LÄN</t>
        </is>
      </c>
      <c r="E650" t="inlineStr">
        <is>
          <t>LINKÖPING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33800-2023</t>
        </is>
      </c>
      <c r="B651" s="1" t="n">
        <v>45121</v>
      </c>
      <c r="C651" s="1" t="n">
        <v>45930</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47991-2023</t>
        </is>
      </c>
      <c r="B652" s="1" t="n">
        <v>45204.62655092592</v>
      </c>
      <c r="C652" s="1" t="n">
        <v>45930</v>
      </c>
      <c r="D652" t="inlineStr">
        <is>
          <t>ÖSTERGÖTLANDS LÄN</t>
        </is>
      </c>
      <c r="E652" t="inlineStr">
        <is>
          <t>LINKÖPING</t>
        </is>
      </c>
      <c r="F652" t="inlineStr">
        <is>
          <t>Allmännings- och besparingsskogar</t>
        </is>
      </c>
      <c r="G652" t="n">
        <v>7.3</v>
      </c>
      <c r="H652" t="n">
        <v>0</v>
      </c>
      <c r="I652" t="n">
        <v>0</v>
      </c>
      <c r="J652" t="n">
        <v>0</v>
      </c>
      <c r="K652" t="n">
        <v>0</v>
      </c>
      <c r="L652" t="n">
        <v>0</v>
      </c>
      <c r="M652" t="n">
        <v>0</v>
      </c>
      <c r="N652" t="n">
        <v>0</v>
      </c>
      <c r="O652" t="n">
        <v>0</v>
      </c>
      <c r="P652" t="n">
        <v>0</v>
      </c>
      <c r="Q652" t="n">
        <v>0</v>
      </c>
      <c r="R652" s="2" t="inlineStr"/>
    </row>
    <row r="653" ht="15" customHeight="1">
      <c r="A653" t="inlineStr">
        <is>
          <t>A 40169-2025</t>
        </is>
      </c>
      <c r="B653" s="1" t="n">
        <v>45894.62824074074</v>
      </c>
      <c r="C653" s="1" t="n">
        <v>45930</v>
      </c>
      <c r="D653" t="inlineStr">
        <is>
          <t>ÖSTERGÖTLANDS LÄN</t>
        </is>
      </c>
      <c r="E653" t="inlineStr">
        <is>
          <t>LINKÖPING</t>
        </is>
      </c>
      <c r="G653" t="n">
        <v>2.8</v>
      </c>
      <c r="H653" t="n">
        <v>0</v>
      </c>
      <c r="I653" t="n">
        <v>0</v>
      </c>
      <c r="J653" t="n">
        <v>0</v>
      </c>
      <c r="K653" t="n">
        <v>0</v>
      </c>
      <c r="L653" t="n">
        <v>0</v>
      </c>
      <c r="M653" t="n">
        <v>0</v>
      </c>
      <c r="N653" t="n">
        <v>0</v>
      </c>
      <c r="O653" t="n">
        <v>0</v>
      </c>
      <c r="P653" t="n">
        <v>0</v>
      </c>
      <c r="Q653" t="n">
        <v>0</v>
      </c>
      <c r="R653" s="2" t="inlineStr"/>
    </row>
    <row r="654" ht="15" customHeight="1">
      <c r="A654" t="inlineStr">
        <is>
          <t>A 12411-2022</t>
        </is>
      </c>
      <c r="B654" s="1" t="n">
        <v>44638.21601851852</v>
      </c>
      <c r="C654" s="1" t="n">
        <v>45930</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10492-2022</t>
        </is>
      </c>
      <c r="B655" s="1" t="n">
        <v>44623.6377199074</v>
      </c>
      <c r="C655" s="1" t="n">
        <v>45930</v>
      </c>
      <c r="D655" t="inlineStr">
        <is>
          <t>ÖSTERGÖTLANDS LÄN</t>
        </is>
      </c>
      <c r="E655" t="inlineStr">
        <is>
          <t>LINKÖPING</t>
        </is>
      </c>
      <c r="G655" t="n">
        <v>2.1</v>
      </c>
      <c r="H655" t="n">
        <v>0</v>
      </c>
      <c r="I655" t="n">
        <v>0</v>
      </c>
      <c r="J655" t="n">
        <v>0</v>
      </c>
      <c r="K655" t="n">
        <v>0</v>
      </c>
      <c r="L655" t="n">
        <v>0</v>
      </c>
      <c r="M655" t="n">
        <v>0</v>
      </c>
      <c r="N655" t="n">
        <v>0</v>
      </c>
      <c r="O655" t="n">
        <v>0</v>
      </c>
      <c r="P655" t="n">
        <v>0</v>
      </c>
      <c r="Q655" t="n">
        <v>0</v>
      </c>
      <c r="R655" s="2" t="inlineStr"/>
    </row>
    <row r="656" ht="15" customHeight="1">
      <c r="A656" t="inlineStr">
        <is>
          <t>A 7343-2025</t>
        </is>
      </c>
      <c r="B656" s="1" t="n">
        <v>45703.67853009259</v>
      </c>
      <c r="C656" s="1" t="n">
        <v>45930</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8967-2025</t>
        </is>
      </c>
      <c r="B657" s="1" t="n">
        <v>45712</v>
      </c>
      <c r="C657" s="1" t="n">
        <v>45930</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35427-2023</t>
        </is>
      </c>
      <c r="B658" s="1" t="n">
        <v>45146</v>
      </c>
      <c r="C658" s="1" t="n">
        <v>45930</v>
      </c>
      <c r="D658" t="inlineStr">
        <is>
          <t>ÖSTERGÖTLANDS LÄN</t>
        </is>
      </c>
      <c r="E658" t="inlineStr">
        <is>
          <t>LINKÖPING</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30468-2023</t>
        </is>
      </c>
      <c r="B659" s="1" t="n">
        <v>45111.58732638889</v>
      </c>
      <c r="C659" s="1" t="n">
        <v>45930</v>
      </c>
      <c r="D659" t="inlineStr">
        <is>
          <t>ÖSTERGÖTLANDS LÄN</t>
        </is>
      </c>
      <c r="E659" t="inlineStr">
        <is>
          <t>LINKÖPING</t>
        </is>
      </c>
      <c r="G659" t="n">
        <v>10.1</v>
      </c>
      <c r="H659" t="n">
        <v>0</v>
      </c>
      <c r="I659" t="n">
        <v>0</v>
      </c>
      <c r="J659" t="n">
        <v>0</v>
      </c>
      <c r="K659" t="n">
        <v>0</v>
      </c>
      <c r="L659" t="n">
        <v>0</v>
      </c>
      <c r="M659" t="n">
        <v>0</v>
      </c>
      <c r="N659" t="n">
        <v>0</v>
      </c>
      <c r="O659" t="n">
        <v>0</v>
      </c>
      <c r="P659" t="n">
        <v>0</v>
      </c>
      <c r="Q659" t="n">
        <v>0</v>
      </c>
      <c r="R659" s="2" t="inlineStr"/>
    </row>
    <row r="660" ht="15" customHeight="1">
      <c r="A660" t="inlineStr">
        <is>
          <t>A 20296-2025</t>
        </is>
      </c>
      <c r="B660" s="1" t="n">
        <v>45774.74922453704</v>
      </c>
      <c r="C660" s="1" t="n">
        <v>45930</v>
      </c>
      <c r="D660" t="inlineStr">
        <is>
          <t>ÖSTERGÖTLANDS LÄN</t>
        </is>
      </c>
      <c r="E660" t="inlineStr">
        <is>
          <t>LINKÖPING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56841-2023</t>
        </is>
      </c>
      <c r="B661" s="1" t="n">
        <v>45244</v>
      </c>
      <c r="C661" s="1" t="n">
        <v>45930</v>
      </c>
      <c r="D661" t="inlineStr">
        <is>
          <t>ÖSTERGÖTLANDS LÄN</t>
        </is>
      </c>
      <c r="E661" t="inlineStr">
        <is>
          <t>LINKÖPING</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53812-2023</t>
        </is>
      </c>
      <c r="B662" s="1" t="n">
        <v>45231.39583333334</v>
      </c>
      <c r="C662" s="1" t="n">
        <v>45930</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53830-2023</t>
        </is>
      </c>
      <c r="B663" s="1" t="n">
        <v>45230</v>
      </c>
      <c r="C663" s="1" t="n">
        <v>45930</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38715-2023</t>
        </is>
      </c>
      <c r="B664" s="1" t="n">
        <v>45160</v>
      </c>
      <c r="C664" s="1" t="n">
        <v>45930</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59948-2022</t>
        </is>
      </c>
      <c r="B665" s="1" t="n">
        <v>44909</v>
      </c>
      <c r="C665" s="1" t="n">
        <v>45930</v>
      </c>
      <c r="D665" t="inlineStr">
        <is>
          <t>ÖSTERGÖTLANDS LÄN</t>
        </is>
      </c>
      <c r="E665" t="inlineStr">
        <is>
          <t>LINKÖPING</t>
        </is>
      </c>
      <c r="G665" t="n">
        <v>6.7</v>
      </c>
      <c r="H665" t="n">
        <v>0</v>
      </c>
      <c r="I665" t="n">
        <v>0</v>
      </c>
      <c r="J665" t="n">
        <v>0</v>
      </c>
      <c r="K665" t="n">
        <v>0</v>
      </c>
      <c r="L665" t="n">
        <v>0</v>
      </c>
      <c r="M665" t="n">
        <v>0</v>
      </c>
      <c r="N665" t="n">
        <v>0</v>
      </c>
      <c r="O665" t="n">
        <v>0</v>
      </c>
      <c r="P665" t="n">
        <v>0</v>
      </c>
      <c r="Q665" t="n">
        <v>0</v>
      </c>
      <c r="R665" s="2" t="inlineStr"/>
    </row>
    <row r="666" ht="15" customHeight="1">
      <c r="A666" t="inlineStr">
        <is>
          <t>A 27766-2022</t>
        </is>
      </c>
      <c r="B666" s="1" t="n">
        <v>44743.53112268518</v>
      </c>
      <c r="C666" s="1" t="n">
        <v>45930</v>
      </c>
      <c r="D666" t="inlineStr">
        <is>
          <t>ÖSTERGÖTLANDS LÄN</t>
        </is>
      </c>
      <c r="E666" t="inlineStr">
        <is>
          <t>LINKÖPING</t>
        </is>
      </c>
      <c r="G666" t="n">
        <v>2</v>
      </c>
      <c r="H666" t="n">
        <v>0</v>
      </c>
      <c r="I666" t="n">
        <v>0</v>
      </c>
      <c r="J666" t="n">
        <v>0</v>
      </c>
      <c r="K666" t="n">
        <v>0</v>
      </c>
      <c r="L666" t="n">
        <v>0</v>
      </c>
      <c r="M666" t="n">
        <v>0</v>
      </c>
      <c r="N666" t="n">
        <v>0</v>
      </c>
      <c r="O666" t="n">
        <v>0</v>
      </c>
      <c r="P666" t="n">
        <v>0</v>
      </c>
      <c r="Q666" t="n">
        <v>0</v>
      </c>
      <c r="R666" s="2" t="inlineStr"/>
    </row>
    <row r="667" ht="15" customHeight="1">
      <c r="A667" t="inlineStr">
        <is>
          <t>A 48271-2023</t>
        </is>
      </c>
      <c r="B667" s="1" t="n">
        <v>45205</v>
      </c>
      <c r="C667" s="1" t="n">
        <v>45930</v>
      </c>
      <c r="D667" t="inlineStr">
        <is>
          <t>ÖSTERGÖTLANDS LÄN</t>
        </is>
      </c>
      <c r="E667" t="inlineStr">
        <is>
          <t>LINKÖPING</t>
        </is>
      </c>
      <c r="G667" t="n">
        <v>3</v>
      </c>
      <c r="H667" t="n">
        <v>0</v>
      </c>
      <c r="I667" t="n">
        <v>0</v>
      </c>
      <c r="J667" t="n">
        <v>0</v>
      </c>
      <c r="K667" t="n">
        <v>0</v>
      </c>
      <c r="L667" t="n">
        <v>0</v>
      </c>
      <c r="M667" t="n">
        <v>0</v>
      </c>
      <c r="N667" t="n">
        <v>0</v>
      </c>
      <c r="O667" t="n">
        <v>0</v>
      </c>
      <c r="P667" t="n">
        <v>0</v>
      </c>
      <c r="Q667" t="n">
        <v>0</v>
      </c>
      <c r="R667" s="2" t="inlineStr"/>
    </row>
    <row r="668" ht="15" customHeight="1">
      <c r="A668" t="inlineStr">
        <is>
          <t>A 13266-2025</t>
        </is>
      </c>
      <c r="B668" s="1" t="n">
        <v>45735.53318287037</v>
      </c>
      <c r="C668" s="1" t="n">
        <v>45930</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60001-2022</t>
        </is>
      </c>
      <c r="B669" s="1" t="n">
        <v>44909.47087962963</v>
      </c>
      <c r="C669" s="1" t="n">
        <v>45930</v>
      </c>
      <c r="D669" t="inlineStr">
        <is>
          <t>ÖSTERGÖTLANDS LÄN</t>
        </is>
      </c>
      <c r="E669" t="inlineStr">
        <is>
          <t>LINKÖPING</t>
        </is>
      </c>
      <c r="G669" t="n">
        <v>0.9</v>
      </c>
      <c r="H669" t="n">
        <v>0</v>
      </c>
      <c r="I669" t="n">
        <v>0</v>
      </c>
      <c r="J669" t="n">
        <v>0</v>
      </c>
      <c r="K669" t="n">
        <v>0</v>
      </c>
      <c r="L669" t="n">
        <v>0</v>
      </c>
      <c r="M669" t="n">
        <v>0</v>
      </c>
      <c r="N669" t="n">
        <v>0</v>
      </c>
      <c r="O669" t="n">
        <v>0</v>
      </c>
      <c r="P669" t="n">
        <v>0</v>
      </c>
      <c r="Q669" t="n">
        <v>0</v>
      </c>
      <c r="R669" s="2" t="inlineStr"/>
    </row>
    <row r="670" ht="15" customHeight="1">
      <c r="A670" t="inlineStr">
        <is>
          <t>A 39457-2023</t>
        </is>
      </c>
      <c r="B670" s="1" t="n">
        <v>45166</v>
      </c>
      <c r="C670" s="1" t="n">
        <v>45930</v>
      </c>
      <c r="D670" t="inlineStr">
        <is>
          <t>ÖSTERGÖTLANDS LÄN</t>
        </is>
      </c>
      <c r="E670" t="inlineStr">
        <is>
          <t>LINKÖPING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1657-2024</t>
        </is>
      </c>
      <c r="B671" s="1" t="n">
        <v>45306.82501157407</v>
      </c>
      <c r="C671" s="1" t="n">
        <v>45930</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30976-2022</t>
        </is>
      </c>
      <c r="B672" s="1" t="n">
        <v>44768</v>
      </c>
      <c r="C672" s="1" t="n">
        <v>45930</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30860-2022</t>
        </is>
      </c>
      <c r="B673" s="1" t="n">
        <v>44767</v>
      </c>
      <c r="C673" s="1" t="n">
        <v>45930</v>
      </c>
      <c r="D673" t="inlineStr">
        <is>
          <t>ÖSTERGÖTLANDS LÄN</t>
        </is>
      </c>
      <c r="E673" t="inlineStr">
        <is>
          <t>LINKÖPING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48186-2022</t>
        </is>
      </c>
      <c r="B674" s="1" t="n">
        <v>44858</v>
      </c>
      <c r="C674" s="1" t="n">
        <v>45930</v>
      </c>
      <c r="D674" t="inlineStr">
        <is>
          <t>ÖSTERGÖTLANDS LÄN</t>
        </is>
      </c>
      <c r="E674" t="inlineStr">
        <is>
          <t>LINKÖPING</t>
        </is>
      </c>
      <c r="G674" t="n">
        <v>1</v>
      </c>
      <c r="H674" t="n">
        <v>0</v>
      </c>
      <c r="I674" t="n">
        <v>0</v>
      </c>
      <c r="J674" t="n">
        <v>0</v>
      </c>
      <c r="K674" t="n">
        <v>0</v>
      </c>
      <c r="L674" t="n">
        <v>0</v>
      </c>
      <c r="M674" t="n">
        <v>0</v>
      </c>
      <c r="N674" t="n">
        <v>0</v>
      </c>
      <c r="O674" t="n">
        <v>0</v>
      </c>
      <c r="P674" t="n">
        <v>0</v>
      </c>
      <c r="Q674" t="n">
        <v>0</v>
      </c>
      <c r="R674" s="2" t="inlineStr"/>
    </row>
    <row r="675" ht="15" customHeight="1">
      <c r="A675" t="inlineStr">
        <is>
          <t>A 28266-2024</t>
        </is>
      </c>
      <c r="B675" s="1" t="n">
        <v>45477.43600694444</v>
      </c>
      <c r="C675" s="1" t="n">
        <v>45930</v>
      </c>
      <c r="D675" t="inlineStr">
        <is>
          <t>ÖSTERGÖTLANDS LÄN</t>
        </is>
      </c>
      <c r="E675" t="inlineStr">
        <is>
          <t>LINKÖPING</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31548-2022</t>
        </is>
      </c>
      <c r="B676" s="1" t="n">
        <v>44775.39832175926</v>
      </c>
      <c r="C676" s="1" t="n">
        <v>45930</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1211-2023</t>
        </is>
      </c>
      <c r="B677" s="1" t="n">
        <v>44930</v>
      </c>
      <c r="C677" s="1" t="n">
        <v>45930</v>
      </c>
      <c r="D677" t="inlineStr">
        <is>
          <t>ÖSTERGÖTLANDS LÄN</t>
        </is>
      </c>
      <c r="E677" t="inlineStr">
        <is>
          <t>LINKÖPING</t>
        </is>
      </c>
      <c r="F677" t="inlineStr">
        <is>
          <t>Övriga statliga verk och myndigheter</t>
        </is>
      </c>
      <c r="G677" t="n">
        <v>7.9</v>
      </c>
      <c r="H677" t="n">
        <v>0</v>
      </c>
      <c r="I677" t="n">
        <v>0</v>
      </c>
      <c r="J677" t="n">
        <v>0</v>
      </c>
      <c r="K677" t="n">
        <v>0</v>
      </c>
      <c r="L677" t="n">
        <v>0</v>
      </c>
      <c r="M677" t="n">
        <v>0</v>
      </c>
      <c r="N677" t="n">
        <v>0</v>
      </c>
      <c r="O677" t="n">
        <v>0</v>
      </c>
      <c r="P677" t="n">
        <v>0</v>
      </c>
      <c r="Q677" t="n">
        <v>0</v>
      </c>
      <c r="R677" s="2" t="inlineStr"/>
    </row>
    <row r="678" ht="15" customHeight="1">
      <c r="A678" t="inlineStr">
        <is>
          <t>A 51191-2022</t>
        </is>
      </c>
      <c r="B678" s="1" t="n">
        <v>44865</v>
      </c>
      <c r="C678" s="1" t="n">
        <v>45930</v>
      </c>
      <c r="D678" t="inlineStr">
        <is>
          <t>ÖSTERGÖTLANDS LÄN</t>
        </is>
      </c>
      <c r="E678" t="inlineStr">
        <is>
          <t>LINKÖPING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55632-2022</t>
        </is>
      </c>
      <c r="B679" s="1" t="n">
        <v>44888</v>
      </c>
      <c r="C679" s="1" t="n">
        <v>45930</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63669-2023</t>
        </is>
      </c>
      <c r="B680" s="1" t="n">
        <v>45275</v>
      </c>
      <c r="C680" s="1" t="n">
        <v>45930</v>
      </c>
      <c r="D680" t="inlineStr">
        <is>
          <t>ÖSTERGÖTLANDS LÄN</t>
        </is>
      </c>
      <c r="E680" t="inlineStr">
        <is>
          <t>LINKÖPING</t>
        </is>
      </c>
      <c r="F680" t="inlineStr">
        <is>
          <t>Övriga Aktiebolag</t>
        </is>
      </c>
      <c r="G680" t="n">
        <v>3</v>
      </c>
      <c r="H680" t="n">
        <v>0</v>
      </c>
      <c r="I680" t="n">
        <v>0</v>
      </c>
      <c r="J680" t="n">
        <v>0</v>
      </c>
      <c r="K680" t="n">
        <v>0</v>
      </c>
      <c r="L680" t="n">
        <v>0</v>
      </c>
      <c r="M680" t="n">
        <v>0</v>
      </c>
      <c r="N680" t="n">
        <v>0</v>
      </c>
      <c r="O680" t="n">
        <v>0</v>
      </c>
      <c r="P680" t="n">
        <v>0</v>
      </c>
      <c r="Q680" t="n">
        <v>0</v>
      </c>
      <c r="R680" s="2" t="inlineStr"/>
    </row>
    <row r="681" ht="15" customHeight="1">
      <c r="A681" t="inlineStr">
        <is>
          <t>A 12289-2025</t>
        </is>
      </c>
      <c r="B681" s="1" t="n">
        <v>45729</v>
      </c>
      <c r="C681" s="1" t="n">
        <v>45930</v>
      </c>
      <c r="D681" t="inlineStr">
        <is>
          <t>ÖSTERGÖTLANDS LÄN</t>
        </is>
      </c>
      <c r="E681" t="inlineStr">
        <is>
          <t>LINKÖPING</t>
        </is>
      </c>
      <c r="F681" t="inlineStr">
        <is>
          <t>Övriga statliga verk och myndigheter</t>
        </is>
      </c>
      <c r="G681" t="n">
        <v>6.5</v>
      </c>
      <c r="H681" t="n">
        <v>0</v>
      </c>
      <c r="I681" t="n">
        <v>0</v>
      </c>
      <c r="J681" t="n">
        <v>0</v>
      </c>
      <c r="K681" t="n">
        <v>0</v>
      </c>
      <c r="L681" t="n">
        <v>0</v>
      </c>
      <c r="M681" t="n">
        <v>0</v>
      </c>
      <c r="N681" t="n">
        <v>0</v>
      </c>
      <c r="O681" t="n">
        <v>0</v>
      </c>
      <c r="P681" t="n">
        <v>0</v>
      </c>
      <c r="Q681" t="n">
        <v>0</v>
      </c>
      <c r="R681" s="2" t="inlineStr"/>
    </row>
    <row r="682" ht="15" customHeight="1">
      <c r="A682" t="inlineStr">
        <is>
          <t>A 36657-2023</t>
        </is>
      </c>
      <c r="B682" s="1" t="n">
        <v>45153.5702662037</v>
      </c>
      <c r="C682" s="1" t="n">
        <v>45930</v>
      </c>
      <c r="D682" t="inlineStr">
        <is>
          <t>ÖSTERGÖTLANDS LÄN</t>
        </is>
      </c>
      <c r="E682" t="inlineStr">
        <is>
          <t>LINKÖPING</t>
        </is>
      </c>
      <c r="F682" t="inlineStr">
        <is>
          <t>Allmännings- och besparingsskogar</t>
        </is>
      </c>
      <c r="G682" t="n">
        <v>2</v>
      </c>
      <c r="H682" t="n">
        <v>0</v>
      </c>
      <c r="I682" t="n">
        <v>0</v>
      </c>
      <c r="J682" t="n">
        <v>0</v>
      </c>
      <c r="K682" t="n">
        <v>0</v>
      </c>
      <c r="L682" t="n">
        <v>0</v>
      </c>
      <c r="M682" t="n">
        <v>0</v>
      </c>
      <c r="N682" t="n">
        <v>0</v>
      </c>
      <c r="O682" t="n">
        <v>0</v>
      </c>
      <c r="P682" t="n">
        <v>0</v>
      </c>
      <c r="Q682" t="n">
        <v>0</v>
      </c>
      <c r="R682" s="2" t="inlineStr"/>
    </row>
    <row r="683" ht="15" customHeight="1">
      <c r="A683" t="inlineStr">
        <is>
          <t>A 19169-2023</t>
        </is>
      </c>
      <c r="B683" s="1" t="n">
        <v>45044</v>
      </c>
      <c r="C683" s="1" t="n">
        <v>45930</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1209-2023</t>
        </is>
      </c>
      <c r="B684" s="1" t="n">
        <v>44930</v>
      </c>
      <c r="C684" s="1" t="n">
        <v>45930</v>
      </c>
      <c r="D684" t="inlineStr">
        <is>
          <t>ÖSTERGÖTLANDS LÄN</t>
        </is>
      </c>
      <c r="E684" t="inlineStr">
        <is>
          <t>LINKÖPING</t>
        </is>
      </c>
      <c r="F684" t="inlineStr">
        <is>
          <t>Övriga statliga verk och myndigheter</t>
        </is>
      </c>
      <c r="G684" t="n">
        <v>25.8</v>
      </c>
      <c r="H684" t="n">
        <v>0</v>
      </c>
      <c r="I684" t="n">
        <v>0</v>
      </c>
      <c r="J684" t="n">
        <v>0</v>
      </c>
      <c r="K684" t="n">
        <v>0</v>
      </c>
      <c r="L684" t="n">
        <v>0</v>
      </c>
      <c r="M684" t="n">
        <v>0</v>
      </c>
      <c r="N684" t="n">
        <v>0</v>
      </c>
      <c r="O684" t="n">
        <v>0</v>
      </c>
      <c r="P684" t="n">
        <v>0</v>
      </c>
      <c r="Q684" t="n">
        <v>0</v>
      </c>
      <c r="R684" s="2" t="inlineStr"/>
    </row>
    <row r="685" ht="15" customHeight="1">
      <c r="A685" t="inlineStr">
        <is>
          <t>A 2085-2024</t>
        </is>
      </c>
      <c r="B685" s="1" t="n">
        <v>45309</v>
      </c>
      <c r="C685" s="1" t="n">
        <v>45930</v>
      </c>
      <c r="D685" t="inlineStr">
        <is>
          <t>ÖSTERGÖTLANDS LÄN</t>
        </is>
      </c>
      <c r="E685" t="inlineStr">
        <is>
          <t>LINKÖPING</t>
        </is>
      </c>
      <c r="G685" t="n">
        <v>4.5</v>
      </c>
      <c r="H685" t="n">
        <v>0</v>
      </c>
      <c r="I685" t="n">
        <v>0</v>
      </c>
      <c r="J685" t="n">
        <v>0</v>
      </c>
      <c r="K685" t="n">
        <v>0</v>
      </c>
      <c r="L685" t="n">
        <v>0</v>
      </c>
      <c r="M685" t="n">
        <v>0</v>
      </c>
      <c r="N685" t="n">
        <v>0</v>
      </c>
      <c r="O685" t="n">
        <v>0</v>
      </c>
      <c r="P685" t="n">
        <v>0</v>
      </c>
      <c r="Q685" t="n">
        <v>0</v>
      </c>
      <c r="R685" s="2" t="inlineStr"/>
    </row>
    <row r="686" ht="15" customHeight="1">
      <c r="A686" t="inlineStr">
        <is>
          <t>A 48-2024</t>
        </is>
      </c>
      <c r="B686" s="1" t="n">
        <v>45293</v>
      </c>
      <c r="C686" s="1" t="n">
        <v>45930</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56560-2023</t>
        </is>
      </c>
      <c r="B687" s="1" t="n">
        <v>45238</v>
      </c>
      <c r="C687" s="1" t="n">
        <v>45930</v>
      </c>
      <c r="D687" t="inlineStr">
        <is>
          <t>ÖSTERGÖTLANDS LÄN</t>
        </is>
      </c>
      <c r="E687" t="inlineStr">
        <is>
          <t>LINKÖPING</t>
        </is>
      </c>
      <c r="G687" t="n">
        <v>1.1</v>
      </c>
      <c r="H687" t="n">
        <v>0</v>
      </c>
      <c r="I687" t="n">
        <v>0</v>
      </c>
      <c r="J687" t="n">
        <v>0</v>
      </c>
      <c r="K687" t="n">
        <v>0</v>
      </c>
      <c r="L687" t="n">
        <v>0</v>
      </c>
      <c r="M687" t="n">
        <v>0</v>
      </c>
      <c r="N687" t="n">
        <v>0</v>
      </c>
      <c r="O687" t="n">
        <v>0</v>
      </c>
      <c r="P687" t="n">
        <v>0</v>
      </c>
      <c r="Q687" t="n">
        <v>0</v>
      </c>
      <c r="R687" s="2" t="inlineStr"/>
    </row>
    <row r="688">
      <c r="A688" t="inlineStr">
        <is>
          <t>A 19132-2023</t>
        </is>
      </c>
      <c r="B688" s="1" t="n">
        <v>45048.54754629629</v>
      </c>
      <c r="C688" s="1" t="n">
        <v>45930</v>
      </c>
      <c r="D688" t="inlineStr">
        <is>
          <t>ÖSTERGÖTLANDS LÄN</t>
        </is>
      </c>
      <c r="E688" t="inlineStr">
        <is>
          <t>LINKÖPING</t>
        </is>
      </c>
      <c r="G688" t="n">
        <v>1.1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2025-09-30T12:15:53Z</dcterms:created>
  <dcterms:modified xmlns:dcterms="http://purl.org/dc/terms/" xmlns:xsi="http://www.w3.org/2001/XMLSchema-instance" xsi:type="dcterms:W3CDTF">2025-09-30T12:15:54Z</dcterms:modified>
</cp:coreProperties>
</file>