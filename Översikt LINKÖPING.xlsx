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46091</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46091</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46091</v>
      </c>
      <c r="D10" t="inlineStr">
        <is>
          <t>ÖSTERGÖTLANDS LÄN</t>
        </is>
      </c>
      <c r="E10" t="inlineStr">
        <is>
          <t>LINKÖPING</t>
        </is>
      </c>
      <c r="G10" t="n">
        <v>3.3</v>
      </c>
      <c r="H10" t="n">
        <v>2</v>
      </c>
      <c r="I10" t="n">
        <v>2</v>
      </c>
      <c r="J10" t="n">
        <v>2</v>
      </c>
      <c r="K10" t="n">
        <v>1</v>
      </c>
      <c r="L10" t="n">
        <v>0</v>
      </c>
      <c r="M10" t="n">
        <v>0</v>
      </c>
      <c r="N10" t="n">
        <v>0</v>
      </c>
      <c r="O10" t="n">
        <v>3</v>
      </c>
      <c r="P10" t="n">
        <v>1</v>
      </c>
      <c r="Q10" t="n">
        <v>5</v>
      </c>
      <c r="R10" s="2" t="inlineStr">
        <is>
          <t>Knärot
Spillkråka
Tallticka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46091</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46091</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46091</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48329-2025</t>
        </is>
      </c>
      <c r="B14" s="1" t="n">
        <v>45932</v>
      </c>
      <c r="C14" s="1" t="n">
        <v>46091</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15475-2021</t>
        </is>
      </c>
      <c r="B15" s="1" t="n">
        <v>44285</v>
      </c>
      <c r="C15" s="1" t="n">
        <v>46091</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46091</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40469-2024</t>
        </is>
      </c>
      <c r="B17" s="1" t="n">
        <v>45555.53145833333</v>
      </c>
      <c r="C17" s="1" t="n">
        <v>46091</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577-2025</t>
        </is>
      </c>
      <c r="B18" s="1" t="n">
        <v>45664.56525462963</v>
      </c>
      <c r="C18" s="1" t="n">
        <v>46091</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49999-2025</t>
        </is>
      </c>
      <c r="B19" s="1" t="n">
        <v>45943.30185185185</v>
      </c>
      <c r="C19" s="1" t="n">
        <v>46091</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46091</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46091</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46091</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11097-2026</t>
        </is>
      </c>
      <c r="B23" s="1" t="n">
        <v>46079.64511574074</v>
      </c>
      <c r="C23" s="1" t="n">
        <v>46091</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11048-2026</t>
        </is>
      </c>
      <c r="B24" s="1" t="n">
        <v>46079.58841435185</v>
      </c>
      <c r="C24" s="1" t="n">
        <v>46091</v>
      </c>
      <c r="D24" t="inlineStr">
        <is>
          <t>ÖSTERGÖTLANDS LÄN</t>
        </is>
      </c>
      <c r="E24" t="inlineStr">
        <is>
          <t>LINKÖPING</t>
        </is>
      </c>
      <c r="G24" t="n">
        <v>4.1</v>
      </c>
      <c r="H24" t="n">
        <v>0</v>
      </c>
      <c r="I24" t="n">
        <v>3</v>
      </c>
      <c r="J24" t="n">
        <v>0</v>
      </c>
      <c r="K24" t="n">
        <v>0</v>
      </c>
      <c r="L24" t="n">
        <v>0</v>
      </c>
      <c r="M24" t="n">
        <v>0</v>
      </c>
      <c r="N24" t="n">
        <v>0</v>
      </c>
      <c r="O24" t="n">
        <v>0</v>
      </c>
      <c r="P24" t="n">
        <v>0</v>
      </c>
      <c r="Q24" t="n">
        <v>3</v>
      </c>
      <c r="R24" s="2" t="inlineStr">
        <is>
          <t>Svart trolldruva
Sårläka
Tibast</t>
        </is>
      </c>
      <c r="S24">
        <f>HYPERLINK("https://klasma.github.io/Logging_0580/artfynd/A 11048-2026 artfynd.xlsx", "A 11048-2026")</f>
        <v/>
      </c>
      <c r="T24">
        <f>HYPERLINK("https://klasma.github.io/Logging_0580/kartor/A 11048-2026 karta.png", "A 11048-2026")</f>
        <v/>
      </c>
      <c r="V24">
        <f>HYPERLINK("https://klasma.github.io/Logging_0580/klagomål/A 11048-2026 FSC-klagomål.docx", "A 11048-2026")</f>
        <v/>
      </c>
      <c r="W24">
        <f>HYPERLINK("https://klasma.github.io/Logging_0580/klagomålsmail/A 11048-2026 FSC-klagomål mail.docx", "A 11048-2026")</f>
        <v/>
      </c>
      <c r="X24">
        <f>HYPERLINK("https://klasma.github.io/Logging_0580/tillsyn/A 11048-2026 tillsynsbegäran.docx", "A 11048-2026")</f>
        <v/>
      </c>
      <c r="Y24">
        <f>HYPERLINK("https://klasma.github.io/Logging_0580/tillsynsmail/A 11048-2026 tillsynsbegäran mail.docx", "A 11048-2026")</f>
        <v/>
      </c>
    </row>
    <row r="25" ht="15" customHeight="1">
      <c r="A25" t="inlineStr">
        <is>
          <t>A 55341-2024</t>
        </is>
      </c>
      <c r="B25" s="1" t="n">
        <v>45621.71255787037</v>
      </c>
      <c r="C25" s="1" t="n">
        <v>46091</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46091</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46091</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46091</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46091</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21326-2025</t>
        </is>
      </c>
      <c r="B30" s="1" t="n">
        <v>45782.35407407407</v>
      </c>
      <c r="C30" s="1" t="n">
        <v>46091</v>
      </c>
      <c r="D30" t="inlineStr">
        <is>
          <t>ÖSTERGÖTLANDS LÄN</t>
        </is>
      </c>
      <c r="E30" t="inlineStr">
        <is>
          <t>LINKÖPING</t>
        </is>
      </c>
      <c r="G30" t="n">
        <v>4.9</v>
      </c>
      <c r="H30" t="n">
        <v>2</v>
      </c>
      <c r="I30" t="n">
        <v>0</v>
      </c>
      <c r="J30" t="n">
        <v>0</v>
      </c>
      <c r="K30" t="n">
        <v>0</v>
      </c>
      <c r="L30" t="n">
        <v>0</v>
      </c>
      <c r="M30" t="n">
        <v>0</v>
      </c>
      <c r="N30" t="n">
        <v>0</v>
      </c>
      <c r="O30" t="n">
        <v>0</v>
      </c>
      <c r="P30" t="n">
        <v>0</v>
      </c>
      <c r="Q30" t="n">
        <v>2</v>
      </c>
      <c r="R30" s="2" t="inlineStr">
        <is>
          <t>Blåsippa
Revlummer</t>
        </is>
      </c>
      <c r="S30">
        <f>HYPERLINK("https://klasma.github.io/Logging_0580/artfynd/A 21326-2025 artfynd.xlsx", "A 21326-2025")</f>
        <v/>
      </c>
      <c r="T30">
        <f>HYPERLINK("https://klasma.github.io/Logging_0580/kartor/A 21326-2025 karta.png", "A 21326-2025")</f>
        <v/>
      </c>
      <c r="V30">
        <f>HYPERLINK("https://klasma.github.io/Logging_0580/klagomål/A 21326-2025 FSC-klagomål.docx", "A 21326-2025")</f>
        <v/>
      </c>
      <c r="W30">
        <f>HYPERLINK("https://klasma.github.io/Logging_0580/klagomålsmail/A 21326-2025 FSC-klagomål mail.docx", "A 21326-2025")</f>
        <v/>
      </c>
      <c r="X30">
        <f>HYPERLINK("https://klasma.github.io/Logging_0580/tillsyn/A 21326-2025 tillsynsbegäran.docx", "A 21326-2025")</f>
        <v/>
      </c>
      <c r="Y30">
        <f>HYPERLINK("https://klasma.github.io/Logging_0580/tillsynsmail/A 21326-2025 tillsynsbegäran mail.docx", "A 21326-2025")</f>
        <v/>
      </c>
    </row>
    <row r="31" ht="15" customHeight="1">
      <c r="A31" t="inlineStr">
        <is>
          <t>A 58068-2021</t>
        </is>
      </c>
      <c r="B31" s="1" t="n">
        <v>44487</v>
      </c>
      <c r="C31" s="1" t="n">
        <v>46091</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58068-2021</t>
        </is>
      </c>
      <c r="B32" s="1" t="n">
        <v>44487</v>
      </c>
      <c r="C32" s="1" t="n">
        <v>46091</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27795-2025</t>
        </is>
      </c>
      <c r="B33" s="1" t="n">
        <v>45816.7908912037</v>
      </c>
      <c r="C33" s="1" t="n">
        <v>46091</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27981-2022</t>
        </is>
      </c>
      <c r="B34" s="1" t="n">
        <v>44745</v>
      </c>
      <c r="C34" s="1" t="n">
        <v>46091</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50048-2025</t>
        </is>
      </c>
      <c r="B35" s="1" t="n">
        <v>45941</v>
      </c>
      <c r="C35" s="1" t="n">
        <v>46091</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25985-2025</t>
        </is>
      </c>
      <c r="B36" s="1" t="n">
        <v>45804.64479166667</v>
      </c>
      <c r="C36" s="1" t="n">
        <v>46091</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42858-2023</t>
        </is>
      </c>
      <c r="B37" s="1" t="n">
        <v>45177</v>
      </c>
      <c r="C37" s="1" t="n">
        <v>46091</v>
      </c>
      <c r="D37" t="inlineStr">
        <is>
          <t>ÖSTERGÖTLANDS LÄN</t>
        </is>
      </c>
      <c r="E37" t="inlineStr">
        <is>
          <t>LINKÖPING</t>
        </is>
      </c>
      <c r="G37" t="n">
        <v>5.3</v>
      </c>
      <c r="H37" t="n">
        <v>1</v>
      </c>
      <c r="I37" t="n">
        <v>0</v>
      </c>
      <c r="J37" t="n">
        <v>1</v>
      </c>
      <c r="K37" t="n">
        <v>0</v>
      </c>
      <c r="L37" t="n">
        <v>0</v>
      </c>
      <c r="M37" t="n">
        <v>0</v>
      </c>
      <c r="N37" t="n">
        <v>0</v>
      </c>
      <c r="O37" t="n">
        <v>1</v>
      </c>
      <c r="P37" t="n">
        <v>0</v>
      </c>
      <c r="Q37" t="n">
        <v>2</v>
      </c>
      <c r="R37" s="2" t="inlineStr">
        <is>
          <t>Svinrot
Skogsödla</t>
        </is>
      </c>
      <c r="S37">
        <f>HYPERLINK("https://klasma.github.io/Logging_0580/artfynd/A 42858-2023 artfynd.xlsx", "A 42858-2023")</f>
        <v/>
      </c>
      <c r="T37">
        <f>HYPERLINK("https://klasma.github.io/Logging_0580/kartor/A 42858-2023 karta.png", "A 42858-2023")</f>
        <v/>
      </c>
      <c r="V37">
        <f>HYPERLINK("https://klasma.github.io/Logging_0580/klagomål/A 42858-2023 FSC-klagomål.docx", "A 42858-2023")</f>
        <v/>
      </c>
      <c r="W37">
        <f>HYPERLINK("https://klasma.github.io/Logging_0580/klagomålsmail/A 42858-2023 FSC-klagomål mail.docx", "A 42858-2023")</f>
        <v/>
      </c>
      <c r="X37">
        <f>HYPERLINK("https://klasma.github.io/Logging_0580/tillsyn/A 42858-2023 tillsynsbegäran.docx", "A 42858-2023")</f>
        <v/>
      </c>
      <c r="Y37">
        <f>HYPERLINK("https://klasma.github.io/Logging_0580/tillsynsmail/A 42858-2023 tillsynsbegäran mail.docx", "A 42858-2023")</f>
        <v/>
      </c>
    </row>
    <row r="38" ht="15" customHeight="1">
      <c r="A38" t="inlineStr">
        <is>
          <t>A 3912-2026</t>
        </is>
      </c>
      <c r="B38" s="1" t="n">
        <v>46043.71958333333</v>
      </c>
      <c r="C38" s="1" t="n">
        <v>46091</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11613-2025</t>
        </is>
      </c>
      <c r="B39" s="1" t="n">
        <v>45727.44623842592</v>
      </c>
      <c r="C39" s="1" t="n">
        <v>46091</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41751-2023</t>
        </is>
      </c>
      <c r="B40" s="1" t="n">
        <v>45176</v>
      </c>
      <c r="C40" s="1" t="n">
        <v>46091</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12494-2026</t>
        </is>
      </c>
      <c r="B41" s="1" t="n">
        <v>46090.56896990741</v>
      </c>
      <c r="C41" s="1" t="n">
        <v>46091</v>
      </c>
      <c r="D41" t="inlineStr">
        <is>
          <t>ÖSTERGÖTLANDS LÄN</t>
        </is>
      </c>
      <c r="E41" t="inlineStr">
        <is>
          <t>LINKÖPING</t>
        </is>
      </c>
      <c r="G41" t="n">
        <v>3.4</v>
      </c>
      <c r="H41" t="n">
        <v>0</v>
      </c>
      <c r="I41" t="n">
        <v>0</v>
      </c>
      <c r="J41" t="n">
        <v>1</v>
      </c>
      <c r="K41" t="n">
        <v>1</v>
      </c>
      <c r="L41" t="n">
        <v>0</v>
      </c>
      <c r="M41" t="n">
        <v>0</v>
      </c>
      <c r="N41" t="n">
        <v>0</v>
      </c>
      <c r="O41" t="n">
        <v>2</v>
      </c>
      <c r="P41" t="n">
        <v>1</v>
      </c>
      <c r="Q41" t="n">
        <v>2</v>
      </c>
      <c r="R41" s="2" t="inlineStr">
        <is>
          <t>Slåttergubbe
Svinrot</t>
        </is>
      </c>
      <c r="S41">
        <f>HYPERLINK("https://klasma.github.io/Logging_0580/artfynd/A 12494-2026 artfynd.xlsx", "A 12494-2026")</f>
        <v/>
      </c>
      <c r="T41">
        <f>HYPERLINK("https://klasma.github.io/Logging_0580/kartor/A 12494-2026 karta.png", "A 12494-2026")</f>
        <v/>
      </c>
      <c r="V41">
        <f>HYPERLINK("https://klasma.github.io/Logging_0580/klagomål/A 12494-2026 FSC-klagomål.docx", "A 12494-2026")</f>
        <v/>
      </c>
      <c r="W41">
        <f>HYPERLINK("https://klasma.github.io/Logging_0580/klagomålsmail/A 12494-2026 FSC-klagomål mail.docx", "A 12494-2026")</f>
        <v/>
      </c>
      <c r="X41">
        <f>HYPERLINK("https://klasma.github.io/Logging_0580/tillsyn/A 12494-2026 tillsynsbegäran.docx", "A 12494-2026")</f>
        <v/>
      </c>
      <c r="Y41">
        <f>HYPERLINK("https://klasma.github.io/Logging_0580/tillsynsmail/A 12494-2026 tillsynsbegäran mail.docx", "A 12494-2026")</f>
        <v/>
      </c>
    </row>
    <row r="42" ht="15" customHeight="1">
      <c r="A42" t="inlineStr">
        <is>
          <t>A 8818-2025</t>
        </is>
      </c>
      <c r="B42" s="1" t="n">
        <v>45712</v>
      </c>
      <c r="C42" s="1" t="n">
        <v>46091</v>
      </c>
      <c r="D42" t="inlineStr">
        <is>
          <t>ÖSTERGÖTLANDS LÄN</t>
        </is>
      </c>
      <c r="E42" t="inlineStr">
        <is>
          <t>LINKÖPING</t>
        </is>
      </c>
      <c r="F42" t="inlineStr">
        <is>
          <t>Kommuner</t>
        </is>
      </c>
      <c r="G42" t="n">
        <v>0.6</v>
      </c>
      <c r="H42" t="n">
        <v>0</v>
      </c>
      <c r="I42" t="n">
        <v>0</v>
      </c>
      <c r="J42" t="n">
        <v>1</v>
      </c>
      <c r="K42" t="n">
        <v>1</v>
      </c>
      <c r="L42" t="n">
        <v>0</v>
      </c>
      <c r="M42" t="n">
        <v>0</v>
      </c>
      <c r="N42" t="n">
        <v>0</v>
      </c>
      <c r="O42" t="n">
        <v>2</v>
      </c>
      <c r="P42" t="n">
        <v>1</v>
      </c>
      <c r="Q42" t="n">
        <v>2</v>
      </c>
      <c r="R42" s="2" t="inlineStr">
        <is>
          <t>Luddvicker
Klubbsprötad bastardsvärmare</t>
        </is>
      </c>
      <c r="S42">
        <f>HYPERLINK("https://klasma.github.io/Logging_0580/artfynd/A 8818-2025 artfynd.xlsx", "A 8818-2025")</f>
        <v/>
      </c>
      <c r="T42">
        <f>HYPERLINK("https://klasma.github.io/Logging_0580/kartor/A 8818-2025 karta.png", "A 8818-2025")</f>
        <v/>
      </c>
      <c r="V42">
        <f>HYPERLINK("https://klasma.github.io/Logging_0580/klagomål/A 8818-2025 FSC-klagomål.docx", "A 8818-2025")</f>
        <v/>
      </c>
      <c r="W42">
        <f>HYPERLINK("https://klasma.github.io/Logging_0580/klagomålsmail/A 8818-2025 FSC-klagomål mail.docx", "A 8818-2025")</f>
        <v/>
      </c>
      <c r="X42">
        <f>HYPERLINK("https://klasma.github.io/Logging_0580/tillsyn/A 8818-2025 tillsynsbegäran.docx", "A 8818-2025")</f>
        <v/>
      </c>
      <c r="Y42">
        <f>HYPERLINK("https://klasma.github.io/Logging_0580/tillsynsmail/A 8818-2025 tillsynsbegäran mail.docx", "A 8818-2025")</f>
        <v/>
      </c>
    </row>
    <row r="43" ht="15" customHeight="1">
      <c r="A43" t="inlineStr">
        <is>
          <t>A 14879-2024</t>
        </is>
      </c>
      <c r="B43" s="1" t="n">
        <v>45398</v>
      </c>
      <c r="C43" s="1" t="n">
        <v>46091</v>
      </c>
      <c r="D43" t="inlineStr">
        <is>
          <t>ÖSTERGÖTLANDS LÄN</t>
        </is>
      </c>
      <c r="E43" t="inlineStr">
        <is>
          <t>LINKÖPING</t>
        </is>
      </c>
      <c r="F43" t="inlineStr">
        <is>
          <t>Övriga Aktiebolag</t>
        </is>
      </c>
      <c r="G43" t="n">
        <v>1.7</v>
      </c>
      <c r="H43" t="n">
        <v>1</v>
      </c>
      <c r="I43" t="n">
        <v>1</v>
      </c>
      <c r="J43" t="n">
        <v>0</v>
      </c>
      <c r="K43" t="n">
        <v>0</v>
      </c>
      <c r="L43" t="n">
        <v>0</v>
      </c>
      <c r="M43" t="n">
        <v>0</v>
      </c>
      <c r="N43" t="n">
        <v>0</v>
      </c>
      <c r="O43" t="n">
        <v>0</v>
      </c>
      <c r="P43" t="n">
        <v>0</v>
      </c>
      <c r="Q43" t="n">
        <v>2</v>
      </c>
      <c r="R43" s="2" t="inlineStr">
        <is>
          <t>Svart trolldruva
Grönvit nattviol</t>
        </is>
      </c>
      <c r="S43">
        <f>HYPERLINK("https://klasma.github.io/Logging_0580/artfynd/A 14879-2024 artfynd.xlsx", "A 14879-2024")</f>
        <v/>
      </c>
      <c r="T43">
        <f>HYPERLINK("https://klasma.github.io/Logging_0580/kartor/A 14879-2024 karta.png", "A 14879-2024")</f>
        <v/>
      </c>
      <c r="V43">
        <f>HYPERLINK("https://klasma.github.io/Logging_0580/klagomål/A 14879-2024 FSC-klagomål.docx", "A 14879-2024")</f>
        <v/>
      </c>
      <c r="W43">
        <f>HYPERLINK("https://klasma.github.io/Logging_0580/klagomålsmail/A 14879-2024 FSC-klagomål mail.docx", "A 14879-2024")</f>
        <v/>
      </c>
      <c r="X43">
        <f>HYPERLINK("https://klasma.github.io/Logging_0580/tillsyn/A 14879-2024 tillsynsbegäran.docx", "A 14879-2024")</f>
        <v/>
      </c>
      <c r="Y43">
        <f>HYPERLINK("https://klasma.github.io/Logging_0580/tillsynsmail/A 14879-2024 tillsynsbegäran mail.docx", "A 14879-2024")</f>
        <v/>
      </c>
    </row>
    <row r="44" ht="15" customHeight="1">
      <c r="A44" t="inlineStr">
        <is>
          <t>A 55344-2024</t>
        </is>
      </c>
      <c r="B44" s="1" t="n">
        <v>45621.7202662037</v>
      </c>
      <c r="C44" s="1" t="n">
        <v>46091</v>
      </c>
      <c r="D44" t="inlineStr">
        <is>
          <t>ÖSTERGÖTLANDS LÄN</t>
        </is>
      </c>
      <c r="E44" t="inlineStr">
        <is>
          <t>LINKÖPING</t>
        </is>
      </c>
      <c r="G44" t="n">
        <v>6.6</v>
      </c>
      <c r="H44" t="n">
        <v>0</v>
      </c>
      <c r="I44" t="n">
        <v>0</v>
      </c>
      <c r="J44" t="n">
        <v>2</v>
      </c>
      <c r="K44" t="n">
        <v>0</v>
      </c>
      <c r="L44" t="n">
        <v>0</v>
      </c>
      <c r="M44" t="n">
        <v>0</v>
      </c>
      <c r="N44" t="n">
        <v>0</v>
      </c>
      <c r="O44" t="n">
        <v>2</v>
      </c>
      <c r="P44" t="n">
        <v>0</v>
      </c>
      <c r="Q44" t="n">
        <v>2</v>
      </c>
      <c r="R44" s="2" t="inlineStr">
        <is>
          <t>Kandelabersvamp
Stjärnnästing</t>
        </is>
      </c>
      <c r="S44">
        <f>HYPERLINK("https://klasma.github.io/Logging_0580/artfynd/A 55344-2024 artfynd.xlsx", "A 55344-2024")</f>
        <v/>
      </c>
      <c r="T44">
        <f>HYPERLINK("https://klasma.github.io/Logging_0580/kartor/A 55344-2024 karta.png", "A 55344-2024")</f>
        <v/>
      </c>
      <c r="V44">
        <f>HYPERLINK("https://klasma.github.io/Logging_0580/klagomål/A 55344-2024 FSC-klagomål.docx", "A 55344-2024")</f>
        <v/>
      </c>
      <c r="W44">
        <f>HYPERLINK("https://klasma.github.io/Logging_0580/klagomålsmail/A 55344-2024 FSC-klagomål mail.docx", "A 55344-2024")</f>
        <v/>
      </c>
      <c r="X44">
        <f>HYPERLINK("https://klasma.github.io/Logging_0580/tillsyn/A 55344-2024 tillsynsbegäran.docx", "A 55344-2024")</f>
        <v/>
      </c>
      <c r="Y44">
        <f>HYPERLINK("https://klasma.github.io/Logging_0580/tillsynsmail/A 55344-2024 tillsynsbegäran mail.docx", "A 55344-2024")</f>
        <v/>
      </c>
    </row>
    <row r="45" ht="15" customHeight="1">
      <c r="A45" t="inlineStr">
        <is>
          <t>A 20292-2025</t>
        </is>
      </c>
      <c r="B45" s="1" t="n">
        <v>45774.7449537037</v>
      </c>
      <c r="C45" s="1" t="n">
        <v>46091</v>
      </c>
      <c r="D45" t="inlineStr">
        <is>
          <t>ÖSTERGÖTLANDS LÄN</t>
        </is>
      </c>
      <c r="E45" t="inlineStr">
        <is>
          <t>LINKÖPING</t>
        </is>
      </c>
      <c r="G45" t="n">
        <v>8.4</v>
      </c>
      <c r="H45" t="n">
        <v>1</v>
      </c>
      <c r="I45" t="n">
        <v>1</v>
      </c>
      <c r="J45" t="n">
        <v>0</v>
      </c>
      <c r="K45" t="n">
        <v>0</v>
      </c>
      <c r="L45" t="n">
        <v>0</v>
      </c>
      <c r="M45" t="n">
        <v>0</v>
      </c>
      <c r="N45" t="n">
        <v>0</v>
      </c>
      <c r="O45" t="n">
        <v>0</v>
      </c>
      <c r="P45" t="n">
        <v>0</v>
      </c>
      <c r="Q45" t="n">
        <v>2</v>
      </c>
      <c r="R45" s="2" t="inlineStr">
        <is>
          <t>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row>
    <row r="46" ht="15" customHeight="1">
      <c r="A46" t="inlineStr">
        <is>
          <t>A 22040-2023</t>
        </is>
      </c>
      <c r="B46" s="1" t="n">
        <v>45068</v>
      </c>
      <c r="C46" s="1" t="n">
        <v>46091</v>
      </c>
      <c r="D46" t="inlineStr">
        <is>
          <t>ÖSTERGÖTLANDS LÄN</t>
        </is>
      </c>
      <c r="E46" t="inlineStr">
        <is>
          <t>LINKÖPING</t>
        </is>
      </c>
      <c r="F46" t="inlineStr">
        <is>
          <t>Kommuner</t>
        </is>
      </c>
      <c r="G46" t="n">
        <v>1</v>
      </c>
      <c r="H46" t="n">
        <v>1</v>
      </c>
      <c r="I46" t="n">
        <v>1</v>
      </c>
      <c r="J46" t="n">
        <v>0</v>
      </c>
      <c r="K46" t="n">
        <v>1</v>
      </c>
      <c r="L46" t="n">
        <v>0</v>
      </c>
      <c r="M46" t="n">
        <v>0</v>
      </c>
      <c r="N46" t="n">
        <v>0</v>
      </c>
      <c r="O46" t="n">
        <v>1</v>
      </c>
      <c r="P46" t="n">
        <v>1</v>
      </c>
      <c r="Q46" t="n">
        <v>2</v>
      </c>
      <c r="R46" s="2" t="inlineStr">
        <is>
          <t>Bombmurkla
Skarp dropptaggsvamp</t>
        </is>
      </c>
      <c r="S46">
        <f>HYPERLINK("https://klasma.github.io/Logging_0580/artfynd/A 22040-2023 artfynd.xlsx", "A 22040-2023")</f>
        <v/>
      </c>
      <c r="T46">
        <f>HYPERLINK("https://klasma.github.io/Logging_0580/kartor/A 22040-2023 karta.png", "A 22040-2023")</f>
        <v/>
      </c>
      <c r="V46">
        <f>HYPERLINK("https://klasma.github.io/Logging_0580/klagomål/A 22040-2023 FSC-klagomål.docx", "A 22040-2023")</f>
        <v/>
      </c>
      <c r="W46">
        <f>HYPERLINK("https://klasma.github.io/Logging_0580/klagomålsmail/A 22040-2023 FSC-klagomål mail.docx", "A 22040-2023")</f>
        <v/>
      </c>
      <c r="X46">
        <f>HYPERLINK("https://klasma.github.io/Logging_0580/tillsyn/A 22040-2023 tillsynsbegäran.docx", "A 22040-2023")</f>
        <v/>
      </c>
      <c r="Y46">
        <f>HYPERLINK("https://klasma.github.io/Logging_0580/tillsynsmail/A 22040-2023 tillsynsbegäran mail.docx", "A 22040-2023")</f>
        <v/>
      </c>
    </row>
    <row r="47" ht="15" customHeight="1">
      <c r="A47" t="inlineStr">
        <is>
          <t>A 50404-2023</t>
        </is>
      </c>
      <c r="B47" s="1" t="n">
        <v>45216</v>
      </c>
      <c r="C47" s="1" t="n">
        <v>46091</v>
      </c>
      <c r="D47" t="inlineStr">
        <is>
          <t>ÖSTERGÖTLANDS LÄN</t>
        </is>
      </c>
      <c r="E47" t="inlineStr">
        <is>
          <t>LINKÖPING</t>
        </is>
      </c>
      <c r="G47" t="n">
        <v>1.2</v>
      </c>
      <c r="H47" t="n">
        <v>1</v>
      </c>
      <c r="I47" t="n">
        <v>1</v>
      </c>
      <c r="J47" t="n">
        <v>0</v>
      </c>
      <c r="K47" t="n">
        <v>0</v>
      </c>
      <c r="L47" t="n">
        <v>0</v>
      </c>
      <c r="M47" t="n">
        <v>0</v>
      </c>
      <c r="N47" t="n">
        <v>0</v>
      </c>
      <c r="O47" t="n">
        <v>0</v>
      </c>
      <c r="P47" t="n">
        <v>0</v>
      </c>
      <c r="Q47" t="n">
        <v>2</v>
      </c>
      <c r="R47" s="2" t="inlineStr">
        <is>
          <t>Hasselticka
Gullviva</t>
        </is>
      </c>
      <c r="S47">
        <f>HYPERLINK("https://klasma.github.io/Logging_0580/artfynd/A 50404-2023 artfynd.xlsx", "A 50404-2023")</f>
        <v/>
      </c>
      <c r="T47">
        <f>HYPERLINK("https://klasma.github.io/Logging_0580/kartor/A 50404-2023 karta.png", "A 50404-2023")</f>
        <v/>
      </c>
      <c r="V47">
        <f>HYPERLINK("https://klasma.github.io/Logging_0580/klagomål/A 50404-2023 FSC-klagomål.docx", "A 50404-2023")</f>
        <v/>
      </c>
      <c r="W47">
        <f>HYPERLINK("https://klasma.github.io/Logging_0580/klagomålsmail/A 50404-2023 FSC-klagomål mail.docx", "A 50404-2023")</f>
        <v/>
      </c>
      <c r="X47">
        <f>HYPERLINK("https://klasma.github.io/Logging_0580/tillsyn/A 50404-2023 tillsynsbegäran.docx", "A 50404-2023")</f>
        <v/>
      </c>
      <c r="Y47">
        <f>HYPERLINK("https://klasma.github.io/Logging_0580/tillsynsmail/A 50404-2023 tillsynsbegäran mail.docx", "A 50404-2023")</f>
        <v/>
      </c>
    </row>
    <row r="48" ht="15" customHeight="1">
      <c r="A48" t="inlineStr">
        <is>
          <t>A 38129-2021</t>
        </is>
      </c>
      <c r="B48" s="1" t="n">
        <v>44405.37199074074</v>
      </c>
      <c r="C48" s="1" t="n">
        <v>46091</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46091</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46091</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46091</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46091</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46091</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46091</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17389-2021</t>
        </is>
      </c>
      <c r="B55" s="1" t="n">
        <v>44298.96792824074</v>
      </c>
      <c r="C55" s="1" t="n">
        <v>46091</v>
      </c>
      <c r="D55" t="inlineStr">
        <is>
          <t>ÖSTERGÖTLANDS LÄN</t>
        </is>
      </c>
      <c r="E55" t="inlineStr">
        <is>
          <t>LINKÖPING</t>
        </is>
      </c>
      <c r="G55" t="n">
        <v>5.1</v>
      </c>
      <c r="H55" t="n">
        <v>0</v>
      </c>
      <c r="I55" t="n">
        <v>1</v>
      </c>
      <c r="J55" t="n">
        <v>0</v>
      </c>
      <c r="K55" t="n">
        <v>0</v>
      </c>
      <c r="L55" t="n">
        <v>0</v>
      </c>
      <c r="M55" t="n">
        <v>0</v>
      </c>
      <c r="N55" t="n">
        <v>0</v>
      </c>
      <c r="O55" t="n">
        <v>0</v>
      </c>
      <c r="P55" t="n">
        <v>0</v>
      </c>
      <c r="Q55" t="n">
        <v>1</v>
      </c>
      <c r="R55" s="2" t="inlineStr">
        <is>
          <t>Blomkålssvamp</t>
        </is>
      </c>
      <c r="S55">
        <f>HYPERLINK("https://klasma.github.io/Logging_0580/artfynd/A 17389-2021 artfynd.xlsx", "A 17389-2021")</f>
        <v/>
      </c>
      <c r="T55">
        <f>HYPERLINK("https://klasma.github.io/Logging_0580/kartor/A 17389-2021 karta.png", "A 17389-2021")</f>
        <v/>
      </c>
      <c r="V55">
        <f>HYPERLINK("https://klasma.github.io/Logging_0580/klagomål/A 17389-2021 FSC-klagomål.docx", "A 17389-2021")</f>
        <v/>
      </c>
      <c r="W55">
        <f>HYPERLINK("https://klasma.github.io/Logging_0580/klagomålsmail/A 17389-2021 FSC-klagomål mail.docx", "A 17389-2021")</f>
        <v/>
      </c>
      <c r="X55">
        <f>HYPERLINK("https://klasma.github.io/Logging_0580/tillsyn/A 17389-2021 tillsynsbegäran.docx", "A 17389-2021")</f>
        <v/>
      </c>
      <c r="Y55">
        <f>HYPERLINK("https://klasma.github.io/Logging_0580/tillsynsmail/A 17389-2021 tillsynsbegäran mail.docx", "A 17389-2021")</f>
        <v/>
      </c>
    </row>
    <row r="56" ht="15" customHeight="1">
      <c r="A56" t="inlineStr">
        <is>
          <t>A 40315-2024</t>
        </is>
      </c>
      <c r="B56" s="1" t="n">
        <v>45554.7571875</v>
      </c>
      <c r="C56" s="1" t="n">
        <v>46091</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41749-2023</t>
        </is>
      </c>
      <c r="B57" s="1" t="n">
        <v>45176</v>
      </c>
      <c r="C57" s="1" t="n">
        <v>46091</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22526-2025</t>
        </is>
      </c>
      <c r="B58" s="1" t="n">
        <v>45786.78096064815</v>
      </c>
      <c r="C58" s="1" t="n">
        <v>46091</v>
      </c>
      <c r="D58" t="inlineStr">
        <is>
          <t>ÖSTERGÖTLANDS LÄN</t>
        </is>
      </c>
      <c r="E58" t="inlineStr">
        <is>
          <t>LINKÖPING</t>
        </is>
      </c>
      <c r="G58" t="n">
        <v>1.8</v>
      </c>
      <c r="H58" t="n">
        <v>1</v>
      </c>
      <c r="I58" t="n">
        <v>0</v>
      </c>
      <c r="J58" t="n">
        <v>1</v>
      </c>
      <c r="K58" t="n">
        <v>0</v>
      </c>
      <c r="L58" t="n">
        <v>0</v>
      </c>
      <c r="M58" t="n">
        <v>0</v>
      </c>
      <c r="N58" t="n">
        <v>0</v>
      </c>
      <c r="O58" t="n">
        <v>1</v>
      </c>
      <c r="P58" t="n">
        <v>0</v>
      </c>
      <c r="Q58" t="n">
        <v>1</v>
      </c>
      <c r="R58" s="2" t="inlineStr">
        <is>
          <t>Röd skogslilja</t>
        </is>
      </c>
      <c r="S58">
        <f>HYPERLINK("https://klasma.github.io/Logging_0580/artfynd/A 22526-2025 artfynd.xlsx", "A 22526-2025")</f>
        <v/>
      </c>
      <c r="T58">
        <f>HYPERLINK("https://klasma.github.io/Logging_0580/kartor/A 22526-2025 karta.png", "A 22526-2025")</f>
        <v/>
      </c>
      <c r="V58">
        <f>HYPERLINK("https://klasma.github.io/Logging_0580/klagomål/A 22526-2025 FSC-klagomål.docx", "A 22526-2025")</f>
        <v/>
      </c>
      <c r="W58">
        <f>HYPERLINK("https://klasma.github.io/Logging_0580/klagomålsmail/A 22526-2025 FSC-klagomål mail.docx", "A 22526-2025")</f>
        <v/>
      </c>
      <c r="X58">
        <f>HYPERLINK("https://klasma.github.io/Logging_0580/tillsyn/A 22526-2025 tillsynsbegäran.docx", "A 22526-2025")</f>
        <v/>
      </c>
      <c r="Y58">
        <f>HYPERLINK("https://klasma.github.io/Logging_0580/tillsynsmail/A 22526-2025 tillsynsbegäran mail.docx", "A 22526-2025")</f>
        <v/>
      </c>
    </row>
    <row r="59" ht="15" customHeight="1">
      <c r="A59" t="inlineStr">
        <is>
          <t>A 1213-2023</t>
        </is>
      </c>
      <c r="B59" s="1" t="n">
        <v>44930</v>
      </c>
      <c r="C59" s="1" t="n">
        <v>46091</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27403-2025</t>
        </is>
      </c>
      <c r="B60" s="1" t="n">
        <v>45812.72518518518</v>
      </c>
      <c r="C60" s="1" t="n">
        <v>46091</v>
      </c>
      <c r="D60" t="inlineStr">
        <is>
          <t>ÖSTERGÖTLANDS LÄN</t>
        </is>
      </c>
      <c r="E60" t="inlineStr">
        <is>
          <t>LINKÖPING</t>
        </is>
      </c>
      <c r="G60" t="n">
        <v>1.4</v>
      </c>
      <c r="H60" t="n">
        <v>0</v>
      </c>
      <c r="I60" t="n">
        <v>0</v>
      </c>
      <c r="J60" t="n">
        <v>1</v>
      </c>
      <c r="K60" t="n">
        <v>0</v>
      </c>
      <c r="L60" t="n">
        <v>0</v>
      </c>
      <c r="M60" t="n">
        <v>0</v>
      </c>
      <c r="N60" t="n">
        <v>0</v>
      </c>
      <c r="O60" t="n">
        <v>1</v>
      </c>
      <c r="P60" t="n">
        <v>0</v>
      </c>
      <c r="Q60" t="n">
        <v>1</v>
      </c>
      <c r="R60" s="2" t="inlineStr">
        <is>
          <t>Tallticka</t>
        </is>
      </c>
      <c r="S60">
        <f>HYPERLINK("https://klasma.github.io/Logging_0580/artfynd/A 27403-2025 artfynd.xlsx", "A 27403-2025")</f>
        <v/>
      </c>
      <c r="T60">
        <f>HYPERLINK("https://klasma.github.io/Logging_0580/kartor/A 27403-2025 karta.png", "A 27403-2025")</f>
        <v/>
      </c>
      <c r="V60">
        <f>HYPERLINK("https://klasma.github.io/Logging_0580/klagomål/A 27403-2025 FSC-klagomål.docx", "A 27403-2025")</f>
        <v/>
      </c>
      <c r="W60">
        <f>HYPERLINK("https://klasma.github.io/Logging_0580/klagomålsmail/A 27403-2025 FSC-klagomål mail.docx", "A 27403-2025")</f>
        <v/>
      </c>
      <c r="X60">
        <f>HYPERLINK("https://klasma.github.io/Logging_0580/tillsyn/A 27403-2025 tillsynsbegäran.docx", "A 27403-2025")</f>
        <v/>
      </c>
      <c r="Y60">
        <f>HYPERLINK("https://klasma.github.io/Logging_0580/tillsynsmail/A 27403-2025 tillsynsbegäran mail.docx", "A 27403-2025")</f>
        <v/>
      </c>
    </row>
    <row r="61" ht="15" customHeight="1">
      <c r="A61" t="inlineStr">
        <is>
          <t>A 43989-2025</t>
        </is>
      </c>
      <c r="B61" s="1" t="n">
        <v>45915.44128472222</v>
      </c>
      <c r="C61" s="1" t="n">
        <v>46091</v>
      </c>
      <c r="D61" t="inlineStr">
        <is>
          <t>ÖSTERGÖTLANDS LÄN</t>
        </is>
      </c>
      <c r="E61" t="inlineStr">
        <is>
          <t>LINKÖPING</t>
        </is>
      </c>
      <c r="F61" t="inlineStr">
        <is>
          <t>Allmännings- och besparingsskogar</t>
        </is>
      </c>
      <c r="G61" t="n">
        <v>3.5</v>
      </c>
      <c r="H61" t="n">
        <v>0</v>
      </c>
      <c r="I61" t="n">
        <v>0</v>
      </c>
      <c r="J61" t="n">
        <v>1</v>
      </c>
      <c r="K61" t="n">
        <v>0</v>
      </c>
      <c r="L61" t="n">
        <v>0</v>
      </c>
      <c r="M61" t="n">
        <v>0</v>
      </c>
      <c r="N61" t="n">
        <v>0</v>
      </c>
      <c r="O61" t="n">
        <v>1</v>
      </c>
      <c r="P61" t="n">
        <v>0</v>
      </c>
      <c r="Q61" t="n">
        <v>1</v>
      </c>
      <c r="R61" s="2" t="inlineStr">
        <is>
          <t>Kavelhirs</t>
        </is>
      </c>
      <c r="S61">
        <f>HYPERLINK("https://klasma.github.io/Logging_0580/artfynd/A 43989-2025 artfynd.xlsx", "A 43989-2025")</f>
        <v/>
      </c>
      <c r="T61">
        <f>HYPERLINK("https://klasma.github.io/Logging_0580/kartor/A 43989-2025 karta.png", "A 43989-2025")</f>
        <v/>
      </c>
      <c r="V61">
        <f>HYPERLINK("https://klasma.github.io/Logging_0580/klagomål/A 43989-2025 FSC-klagomål.docx", "A 43989-2025")</f>
        <v/>
      </c>
      <c r="W61">
        <f>HYPERLINK("https://klasma.github.io/Logging_0580/klagomålsmail/A 43989-2025 FSC-klagomål mail.docx", "A 43989-2025")</f>
        <v/>
      </c>
      <c r="X61">
        <f>HYPERLINK("https://klasma.github.io/Logging_0580/tillsyn/A 43989-2025 tillsynsbegäran.docx", "A 43989-2025")</f>
        <v/>
      </c>
      <c r="Y61">
        <f>HYPERLINK("https://klasma.github.io/Logging_0580/tillsynsmail/A 43989-2025 tillsynsbegäran mail.docx", "A 43989-2025")</f>
        <v/>
      </c>
    </row>
    <row r="62" ht="15" customHeight="1">
      <c r="A62" t="inlineStr">
        <is>
          <t>A 44760-2025</t>
        </is>
      </c>
      <c r="B62" s="1" t="n">
        <v>45917.71873842592</v>
      </c>
      <c r="C62" s="1" t="n">
        <v>46091</v>
      </c>
      <c r="D62" t="inlineStr">
        <is>
          <t>ÖSTERGÖTLANDS LÄN</t>
        </is>
      </c>
      <c r="E62" t="inlineStr">
        <is>
          <t>LINKÖPING</t>
        </is>
      </c>
      <c r="G62" t="n">
        <v>0.9</v>
      </c>
      <c r="H62" t="n">
        <v>0</v>
      </c>
      <c r="I62" t="n">
        <v>0</v>
      </c>
      <c r="J62" t="n">
        <v>1</v>
      </c>
      <c r="K62" t="n">
        <v>0</v>
      </c>
      <c r="L62" t="n">
        <v>0</v>
      </c>
      <c r="M62" t="n">
        <v>0</v>
      </c>
      <c r="N62" t="n">
        <v>0</v>
      </c>
      <c r="O62" t="n">
        <v>1</v>
      </c>
      <c r="P62" t="n">
        <v>0</v>
      </c>
      <c r="Q62" t="n">
        <v>1</v>
      </c>
      <c r="R62" s="2" t="inlineStr">
        <is>
          <t>Tallticka</t>
        </is>
      </c>
      <c r="S62">
        <f>HYPERLINK("https://klasma.github.io/Logging_0580/artfynd/A 44760-2025 artfynd.xlsx", "A 44760-2025")</f>
        <v/>
      </c>
      <c r="T62">
        <f>HYPERLINK("https://klasma.github.io/Logging_0580/kartor/A 44760-2025 karta.png", "A 44760-2025")</f>
        <v/>
      </c>
      <c r="V62">
        <f>HYPERLINK("https://klasma.github.io/Logging_0580/klagomål/A 44760-2025 FSC-klagomål.docx", "A 44760-2025")</f>
        <v/>
      </c>
      <c r="W62">
        <f>HYPERLINK("https://klasma.github.io/Logging_0580/klagomålsmail/A 44760-2025 FSC-klagomål mail.docx", "A 44760-2025")</f>
        <v/>
      </c>
      <c r="X62">
        <f>HYPERLINK("https://klasma.github.io/Logging_0580/tillsyn/A 44760-2025 tillsynsbegäran.docx", "A 44760-2025")</f>
        <v/>
      </c>
      <c r="Y62">
        <f>HYPERLINK("https://klasma.github.io/Logging_0580/tillsynsmail/A 44760-2025 tillsynsbegäran mail.docx", "A 44760-2025")</f>
        <v/>
      </c>
    </row>
    <row r="63" ht="15" customHeight="1">
      <c r="A63" t="inlineStr">
        <is>
          <t>A 50471-2024</t>
        </is>
      </c>
      <c r="B63" s="1" t="n">
        <v>45601.47166666666</v>
      </c>
      <c r="C63" s="1" t="n">
        <v>46091</v>
      </c>
      <c r="D63" t="inlineStr">
        <is>
          <t>ÖSTERGÖTLANDS LÄN</t>
        </is>
      </c>
      <c r="E63" t="inlineStr">
        <is>
          <t>LINKÖPING</t>
        </is>
      </c>
      <c r="F63" t="inlineStr">
        <is>
          <t>Övriga Aktiebolag</t>
        </is>
      </c>
      <c r="G63" t="n">
        <v>2</v>
      </c>
      <c r="H63" t="n">
        <v>0</v>
      </c>
      <c r="I63" t="n">
        <v>1</v>
      </c>
      <c r="J63" t="n">
        <v>0</v>
      </c>
      <c r="K63" t="n">
        <v>0</v>
      </c>
      <c r="L63" t="n">
        <v>0</v>
      </c>
      <c r="M63" t="n">
        <v>0</v>
      </c>
      <c r="N63" t="n">
        <v>0</v>
      </c>
      <c r="O63" t="n">
        <v>0</v>
      </c>
      <c r="P63" t="n">
        <v>0</v>
      </c>
      <c r="Q63" t="n">
        <v>1</v>
      </c>
      <c r="R63" s="2" t="inlineStr">
        <is>
          <t>Västlig hakmossa</t>
        </is>
      </c>
      <c r="S63">
        <f>HYPERLINK("https://klasma.github.io/Logging_0580/artfynd/A 50471-2024 artfynd.xlsx", "A 50471-2024")</f>
        <v/>
      </c>
      <c r="T63">
        <f>HYPERLINK("https://klasma.github.io/Logging_0580/kartor/A 50471-2024 karta.png", "A 50471-2024")</f>
        <v/>
      </c>
      <c r="V63">
        <f>HYPERLINK("https://klasma.github.io/Logging_0580/klagomål/A 50471-2024 FSC-klagomål.docx", "A 50471-2024")</f>
        <v/>
      </c>
      <c r="W63">
        <f>HYPERLINK("https://klasma.github.io/Logging_0580/klagomålsmail/A 50471-2024 FSC-klagomål mail.docx", "A 50471-2024")</f>
        <v/>
      </c>
      <c r="X63">
        <f>HYPERLINK("https://klasma.github.io/Logging_0580/tillsyn/A 50471-2024 tillsynsbegäran.docx", "A 50471-2024")</f>
        <v/>
      </c>
      <c r="Y63">
        <f>HYPERLINK("https://klasma.github.io/Logging_0580/tillsynsmail/A 50471-2024 tillsynsbegäran mail.docx", "A 50471-2024")</f>
        <v/>
      </c>
    </row>
    <row r="64" ht="15" customHeight="1">
      <c r="A64" t="inlineStr">
        <is>
          <t>A 29393-2025</t>
        </is>
      </c>
      <c r="B64" s="1" t="n">
        <v>45824.6057175926</v>
      </c>
      <c r="C64" s="1" t="n">
        <v>46091</v>
      </c>
      <c r="D64" t="inlineStr">
        <is>
          <t>ÖSTERGÖTLANDS LÄN</t>
        </is>
      </c>
      <c r="E64" t="inlineStr">
        <is>
          <t>LINKÖPING</t>
        </is>
      </c>
      <c r="F64" t="inlineStr">
        <is>
          <t>Sveaskog</t>
        </is>
      </c>
      <c r="G64" t="n">
        <v>24.6</v>
      </c>
      <c r="H64" t="n">
        <v>1</v>
      </c>
      <c r="I64" t="n">
        <v>0</v>
      </c>
      <c r="J64" t="n">
        <v>0</v>
      </c>
      <c r="K64" t="n">
        <v>1</v>
      </c>
      <c r="L64" t="n">
        <v>0</v>
      </c>
      <c r="M64" t="n">
        <v>0</v>
      </c>
      <c r="N64" t="n">
        <v>0</v>
      </c>
      <c r="O64" t="n">
        <v>1</v>
      </c>
      <c r="P64" t="n">
        <v>1</v>
      </c>
      <c r="Q64" t="n">
        <v>1</v>
      </c>
      <c r="R64" s="2" t="inlineStr">
        <is>
          <t>Skogsgås</t>
        </is>
      </c>
      <c r="S64">
        <f>HYPERLINK("https://klasma.github.io/Logging_0580/artfynd/A 29393-2025 artfynd.xlsx", "A 29393-2025")</f>
        <v/>
      </c>
      <c r="T64">
        <f>HYPERLINK("https://klasma.github.io/Logging_0580/kartor/A 29393-2025 karta.png", "A 29393-2025")</f>
        <v/>
      </c>
      <c r="V64">
        <f>HYPERLINK("https://klasma.github.io/Logging_0580/klagomål/A 29393-2025 FSC-klagomål.docx", "A 29393-2025")</f>
        <v/>
      </c>
      <c r="W64">
        <f>HYPERLINK("https://klasma.github.io/Logging_0580/klagomålsmail/A 29393-2025 FSC-klagomål mail.docx", "A 29393-2025")</f>
        <v/>
      </c>
      <c r="X64">
        <f>HYPERLINK("https://klasma.github.io/Logging_0580/tillsyn/A 29393-2025 tillsynsbegäran.docx", "A 29393-2025")</f>
        <v/>
      </c>
      <c r="Y64">
        <f>HYPERLINK("https://klasma.github.io/Logging_0580/tillsynsmail/A 29393-2025 tillsynsbegäran mail.docx", "A 29393-2025")</f>
        <v/>
      </c>
      <c r="Z64">
        <f>HYPERLINK("https://klasma.github.io/Logging_0580/fåglar/A 29393-2025 prioriterade fågelarter.docx", "A 29393-2025")</f>
        <v/>
      </c>
    </row>
    <row r="65" ht="15" customHeight="1">
      <c r="A65" t="inlineStr">
        <is>
          <t>A 48273-2025</t>
        </is>
      </c>
      <c r="B65" s="1" t="n">
        <v>45932</v>
      </c>
      <c r="C65" s="1" t="n">
        <v>46091</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50806-2023</t>
        </is>
      </c>
      <c r="B66" s="1" t="n">
        <v>45217</v>
      </c>
      <c r="C66" s="1" t="n">
        <v>46091</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48298-2025</t>
        </is>
      </c>
      <c r="B67" s="1" t="n">
        <v>45932</v>
      </c>
      <c r="C67" s="1" t="n">
        <v>46091</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46091</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48347-2025</t>
        </is>
      </c>
      <c r="B69" s="1" t="n">
        <v>45932</v>
      </c>
      <c r="C69" s="1" t="n">
        <v>46091</v>
      </c>
      <c r="D69" t="inlineStr">
        <is>
          <t>ÖSTERGÖTLANDS LÄN</t>
        </is>
      </c>
      <c r="E69" t="inlineStr">
        <is>
          <t>LINKÖPING</t>
        </is>
      </c>
      <c r="F69" t="inlineStr">
        <is>
          <t>Övriga Aktiebolag</t>
        </is>
      </c>
      <c r="G69" t="n">
        <v>0.9</v>
      </c>
      <c r="H69" t="n">
        <v>0</v>
      </c>
      <c r="I69" t="n">
        <v>0</v>
      </c>
      <c r="J69" t="n">
        <v>1</v>
      </c>
      <c r="K69" t="n">
        <v>0</v>
      </c>
      <c r="L69" t="n">
        <v>0</v>
      </c>
      <c r="M69" t="n">
        <v>0</v>
      </c>
      <c r="N69" t="n">
        <v>0</v>
      </c>
      <c r="O69" t="n">
        <v>1</v>
      </c>
      <c r="P69" t="n">
        <v>0</v>
      </c>
      <c r="Q69" t="n">
        <v>1</v>
      </c>
      <c r="R69" s="2" t="inlineStr">
        <is>
          <t>Igelkott</t>
        </is>
      </c>
      <c r="S69">
        <f>HYPERLINK("https://klasma.github.io/Logging_0580/artfynd/A 48347-2025 artfynd.xlsx", "A 48347-2025")</f>
        <v/>
      </c>
      <c r="T69">
        <f>HYPERLINK("https://klasma.github.io/Logging_0580/kartor/A 48347-2025 karta.png", "A 48347-2025")</f>
        <v/>
      </c>
      <c r="V69">
        <f>HYPERLINK("https://klasma.github.io/Logging_0580/klagomål/A 48347-2025 FSC-klagomål.docx", "A 48347-2025")</f>
        <v/>
      </c>
      <c r="W69">
        <f>HYPERLINK("https://klasma.github.io/Logging_0580/klagomålsmail/A 48347-2025 FSC-klagomål mail.docx", "A 48347-2025")</f>
        <v/>
      </c>
      <c r="X69">
        <f>HYPERLINK("https://klasma.github.io/Logging_0580/tillsyn/A 48347-2025 tillsynsbegäran.docx", "A 48347-2025")</f>
        <v/>
      </c>
      <c r="Y69">
        <f>HYPERLINK("https://klasma.github.io/Logging_0580/tillsynsmail/A 48347-2025 tillsynsbegäran mail.docx", "A 48347-2025")</f>
        <v/>
      </c>
    </row>
    <row r="70" ht="15" customHeight="1">
      <c r="A70" t="inlineStr">
        <is>
          <t>A 50034-2025</t>
        </is>
      </c>
      <c r="B70" s="1" t="n">
        <v>45941</v>
      </c>
      <c r="C70" s="1" t="n">
        <v>46091</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60573-2021</t>
        </is>
      </c>
      <c r="B71" s="1" t="n">
        <v>44496</v>
      </c>
      <c r="C71" s="1" t="n">
        <v>46091</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36723-2023</t>
        </is>
      </c>
      <c r="B72" s="1" t="n">
        <v>45153</v>
      </c>
      <c r="C72" s="1" t="n">
        <v>46091</v>
      </c>
      <c r="D72" t="inlineStr">
        <is>
          <t>ÖSTERGÖTLANDS LÄN</t>
        </is>
      </c>
      <c r="E72" t="inlineStr">
        <is>
          <t>LINKÖPING</t>
        </is>
      </c>
      <c r="F72" t="inlineStr">
        <is>
          <t>Allmännings- och besparingsskogar</t>
        </is>
      </c>
      <c r="G72" t="n">
        <v>9.9</v>
      </c>
      <c r="H72" t="n">
        <v>0</v>
      </c>
      <c r="I72" t="n">
        <v>0</v>
      </c>
      <c r="J72" t="n">
        <v>0</v>
      </c>
      <c r="K72" t="n">
        <v>1</v>
      </c>
      <c r="L72" t="n">
        <v>0</v>
      </c>
      <c r="M72" t="n">
        <v>0</v>
      </c>
      <c r="N72" t="n">
        <v>0</v>
      </c>
      <c r="O72" t="n">
        <v>1</v>
      </c>
      <c r="P72" t="n">
        <v>1</v>
      </c>
      <c r="Q72" t="n">
        <v>1</v>
      </c>
      <c r="R72" s="2" t="inlineStr">
        <is>
          <t>Bitter taggsvamp</t>
        </is>
      </c>
      <c r="S72">
        <f>HYPERLINK("https://klasma.github.io/Logging_0580/artfynd/A 36723-2023 artfynd.xlsx", "A 36723-2023")</f>
        <v/>
      </c>
      <c r="T72">
        <f>HYPERLINK("https://klasma.github.io/Logging_0580/kartor/A 36723-2023 karta.png", "A 36723-2023")</f>
        <v/>
      </c>
      <c r="V72">
        <f>HYPERLINK("https://klasma.github.io/Logging_0580/klagomål/A 36723-2023 FSC-klagomål.docx", "A 36723-2023")</f>
        <v/>
      </c>
      <c r="W72">
        <f>HYPERLINK("https://klasma.github.io/Logging_0580/klagomålsmail/A 36723-2023 FSC-klagomål mail.docx", "A 36723-2023")</f>
        <v/>
      </c>
      <c r="X72">
        <f>HYPERLINK("https://klasma.github.io/Logging_0580/tillsyn/A 36723-2023 tillsynsbegäran.docx", "A 36723-2023")</f>
        <v/>
      </c>
      <c r="Y72">
        <f>HYPERLINK("https://klasma.github.io/Logging_0580/tillsynsmail/A 36723-2023 tillsynsbegäran mail.docx", "A 36723-2023")</f>
        <v/>
      </c>
    </row>
    <row r="73" ht="15" customHeight="1">
      <c r="A73" t="inlineStr">
        <is>
          <t>A 56112-2025</t>
        </is>
      </c>
      <c r="B73" s="1" t="n">
        <v>45973.73625</v>
      </c>
      <c r="C73" s="1" t="n">
        <v>46091</v>
      </c>
      <c r="D73" t="inlineStr">
        <is>
          <t>ÖSTERGÖTLANDS LÄN</t>
        </is>
      </c>
      <c r="E73" t="inlineStr">
        <is>
          <t>LINKÖPING</t>
        </is>
      </c>
      <c r="G73" t="n">
        <v>0.6</v>
      </c>
      <c r="H73" t="n">
        <v>0</v>
      </c>
      <c r="I73" t="n">
        <v>0</v>
      </c>
      <c r="J73" t="n">
        <v>1</v>
      </c>
      <c r="K73" t="n">
        <v>0</v>
      </c>
      <c r="L73" t="n">
        <v>0</v>
      </c>
      <c r="M73" t="n">
        <v>0</v>
      </c>
      <c r="N73" t="n">
        <v>0</v>
      </c>
      <c r="O73" t="n">
        <v>1</v>
      </c>
      <c r="P73" t="n">
        <v>0</v>
      </c>
      <c r="Q73" t="n">
        <v>1</v>
      </c>
      <c r="R73" s="2" t="inlineStr">
        <is>
          <t>Solvända</t>
        </is>
      </c>
      <c r="S73">
        <f>HYPERLINK("https://klasma.github.io/Logging_0580/artfynd/A 56112-2025 artfynd.xlsx", "A 56112-2025")</f>
        <v/>
      </c>
      <c r="T73">
        <f>HYPERLINK("https://klasma.github.io/Logging_0580/kartor/A 56112-2025 karta.png", "A 56112-2025")</f>
        <v/>
      </c>
      <c r="V73">
        <f>HYPERLINK("https://klasma.github.io/Logging_0580/klagomål/A 56112-2025 FSC-klagomål.docx", "A 56112-2025")</f>
        <v/>
      </c>
      <c r="W73">
        <f>HYPERLINK("https://klasma.github.io/Logging_0580/klagomålsmail/A 56112-2025 FSC-klagomål mail.docx", "A 56112-2025")</f>
        <v/>
      </c>
      <c r="X73">
        <f>HYPERLINK("https://klasma.github.io/Logging_0580/tillsyn/A 56112-2025 tillsynsbegäran.docx", "A 56112-2025")</f>
        <v/>
      </c>
      <c r="Y73">
        <f>HYPERLINK("https://klasma.github.io/Logging_0580/tillsynsmail/A 56112-2025 tillsynsbegäran mail.docx", "A 56112-2025")</f>
        <v/>
      </c>
    </row>
    <row r="74" ht="15" customHeight="1">
      <c r="A74" t="inlineStr">
        <is>
          <t>A 5911-2022</t>
        </is>
      </c>
      <c r="B74" s="1" t="n">
        <v>44597</v>
      </c>
      <c r="C74" s="1" t="n">
        <v>46091</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59474-2025</t>
        </is>
      </c>
      <c r="B75" s="1" t="n">
        <v>45989.58512731481</v>
      </c>
      <c r="C75" s="1" t="n">
        <v>46091</v>
      </c>
      <c r="D75" t="inlineStr">
        <is>
          <t>ÖSTERGÖTLANDS LÄN</t>
        </is>
      </c>
      <c r="E75" t="inlineStr">
        <is>
          <t>LINKÖPING</t>
        </is>
      </c>
      <c r="G75" t="n">
        <v>8</v>
      </c>
      <c r="H75" t="n">
        <v>0</v>
      </c>
      <c r="I75" t="n">
        <v>1</v>
      </c>
      <c r="J75" t="n">
        <v>0</v>
      </c>
      <c r="K75" t="n">
        <v>0</v>
      </c>
      <c r="L75" t="n">
        <v>0</v>
      </c>
      <c r="M75" t="n">
        <v>0</v>
      </c>
      <c r="N75" t="n">
        <v>0</v>
      </c>
      <c r="O75" t="n">
        <v>0</v>
      </c>
      <c r="P75" t="n">
        <v>0</v>
      </c>
      <c r="Q75" t="n">
        <v>1</v>
      </c>
      <c r="R75" s="2" t="inlineStr">
        <is>
          <t>Fällmossa</t>
        </is>
      </c>
      <c r="S75">
        <f>HYPERLINK("https://klasma.github.io/Logging_0580/artfynd/A 59474-2025 artfynd.xlsx", "A 59474-2025")</f>
        <v/>
      </c>
      <c r="T75">
        <f>HYPERLINK("https://klasma.github.io/Logging_0580/kartor/A 59474-2025 karta.png", "A 59474-2025")</f>
        <v/>
      </c>
      <c r="V75">
        <f>HYPERLINK("https://klasma.github.io/Logging_0580/klagomål/A 59474-2025 FSC-klagomål.docx", "A 59474-2025")</f>
        <v/>
      </c>
      <c r="W75">
        <f>HYPERLINK("https://klasma.github.io/Logging_0580/klagomålsmail/A 59474-2025 FSC-klagomål mail.docx", "A 59474-2025")</f>
        <v/>
      </c>
      <c r="X75">
        <f>HYPERLINK("https://klasma.github.io/Logging_0580/tillsyn/A 59474-2025 tillsynsbegäran.docx", "A 59474-2025")</f>
        <v/>
      </c>
      <c r="Y75">
        <f>HYPERLINK("https://klasma.github.io/Logging_0580/tillsynsmail/A 59474-2025 tillsynsbegäran mail.docx", "A 59474-2025")</f>
        <v/>
      </c>
    </row>
    <row r="76" ht="15" customHeight="1">
      <c r="A76" t="inlineStr">
        <is>
          <t>A 56128-2022</t>
        </is>
      </c>
      <c r="B76" s="1" t="n">
        <v>44889</v>
      </c>
      <c r="C76" s="1" t="n">
        <v>46091</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60311-2025</t>
        </is>
      </c>
      <c r="B77" s="1" t="n">
        <v>45994</v>
      </c>
      <c r="C77" s="1" t="n">
        <v>46091</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54835-2023</t>
        </is>
      </c>
      <c r="B78" s="1" t="n">
        <v>45236</v>
      </c>
      <c r="C78" s="1" t="n">
        <v>46091</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34881-2023</t>
        </is>
      </c>
      <c r="B79" s="1" t="n">
        <v>45140</v>
      </c>
      <c r="C79" s="1" t="n">
        <v>46091</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19103-2021</t>
        </is>
      </c>
      <c r="B80" s="1" t="n">
        <v>44308</v>
      </c>
      <c r="C80" s="1" t="n">
        <v>46091</v>
      </c>
      <c r="D80" t="inlineStr">
        <is>
          <t>ÖSTERGÖTLANDS LÄN</t>
        </is>
      </c>
      <c r="E80" t="inlineStr">
        <is>
          <t>LINKÖPING</t>
        </is>
      </c>
      <c r="G80" t="n">
        <v>4.7</v>
      </c>
      <c r="H80" t="n">
        <v>0</v>
      </c>
      <c r="I80" t="n">
        <v>0</v>
      </c>
      <c r="J80" t="n">
        <v>1</v>
      </c>
      <c r="K80" t="n">
        <v>0</v>
      </c>
      <c r="L80" t="n">
        <v>0</v>
      </c>
      <c r="M80" t="n">
        <v>0</v>
      </c>
      <c r="N80" t="n">
        <v>0</v>
      </c>
      <c r="O80" t="n">
        <v>1</v>
      </c>
      <c r="P80" t="n">
        <v>0</v>
      </c>
      <c r="Q80" t="n">
        <v>1</v>
      </c>
      <c r="R80" s="2" t="inlineStr">
        <is>
          <t>Tallticka</t>
        </is>
      </c>
      <c r="S80">
        <f>HYPERLINK("https://klasma.github.io/Logging_0580/artfynd/A 19103-2021 artfynd.xlsx", "A 19103-2021")</f>
        <v/>
      </c>
      <c r="T80">
        <f>HYPERLINK("https://klasma.github.io/Logging_0580/kartor/A 19103-2021 karta.png", "A 19103-2021")</f>
        <v/>
      </c>
      <c r="V80">
        <f>HYPERLINK("https://klasma.github.io/Logging_0580/klagomål/A 19103-2021 FSC-klagomål.docx", "A 19103-2021")</f>
        <v/>
      </c>
      <c r="W80">
        <f>HYPERLINK("https://klasma.github.io/Logging_0580/klagomålsmail/A 19103-2021 FSC-klagomål mail.docx", "A 19103-2021")</f>
        <v/>
      </c>
      <c r="X80">
        <f>HYPERLINK("https://klasma.github.io/Logging_0580/tillsyn/A 19103-2021 tillsynsbegäran.docx", "A 19103-2021")</f>
        <v/>
      </c>
      <c r="Y80">
        <f>HYPERLINK("https://klasma.github.io/Logging_0580/tillsynsmail/A 19103-2021 tillsynsbegäran mail.docx", "A 19103-2021")</f>
        <v/>
      </c>
    </row>
    <row r="81" ht="15" customHeight="1">
      <c r="A81" t="inlineStr">
        <is>
          <t>A 45317-2023</t>
        </is>
      </c>
      <c r="B81" s="1" t="n">
        <v>45191.74868055555</v>
      </c>
      <c r="C81" s="1" t="n">
        <v>46091</v>
      </c>
      <c r="D81" t="inlineStr">
        <is>
          <t>ÖSTERGÖTLANDS LÄN</t>
        </is>
      </c>
      <c r="E81" t="inlineStr">
        <is>
          <t>LINKÖPING</t>
        </is>
      </c>
      <c r="F81" t="inlineStr">
        <is>
          <t>Allmännings- och besparingsskogar</t>
        </is>
      </c>
      <c r="G81" t="n">
        <v>29.3</v>
      </c>
      <c r="H81" t="n">
        <v>0</v>
      </c>
      <c r="I81" t="n">
        <v>0</v>
      </c>
      <c r="J81" t="n">
        <v>1</v>
      </c>
      <c r="K81" t="n">
        <v>0</v>
      </c>
      <c r="L81" t="n">
        <v>0</v>
      </c>
      <c r="M81" t="n">
        <v>0</v>
      </c>
      <c r="N81" t="n">
        <v>0</v>
      </c>
      <c r="O81" t="n">
        <v>1</v>
      </c>
      <c r="P81" t="n">
        <v>0</v>
      </c>
      <c r="Q81" t="n">
        <v>1</v>
      </c>
      <c r="R81" s="2" t="inlineStr">
        <is>
          <t>Svinrot</t>
        </is>
      </c>
      <c r="S81">
        <f>HYPERLINK("https://klasma.github.io/Logging_0580/artfynd/A 45317-2023 artfynd.xlsx", "A 45317-2023")</f>
        <v/>
      </c>
      <c r="T81">
        <f>HYPERLINK("https://klasma.github.io/Logging_0580/kartor/A 45317-2023 karta.png", "A 45317-2023")</f>
        <v/>
      </c>
      <c r="V81">
        <f>HYPERLINK("https://klasma.github.io/Logging_0580/klagomål/A 45317-2023 FSC-klagomål.docx", "A 45317-2023")</f>
        <v/>
      </c>
      <c r="W81">
        <f>HYPERLINK("https://klasma.github.io/Logging_0580/klagomålsmail/A 45317-2023 FSC-klagomål mail.docx", "A 45317-2023")</f>
        <v/>
      </c>
      <c r="X81">
        <f>HYPERLINK("https://klasma.github.io/Logging_0580/tillsyn/A 45317-2023 tillsynsbegäran.docx", "A 45317-2023")</f>
        <v/>
      </c>
      <c r="Y81">
        <f>HYPERLINK("https://klasma.github.io/Logging_0580/tillsynsmail/A 45317-2023 tillsynsbegäran mail.docx", "A 45317-2023")</f>
        <v/>
      </c>
    </row>
    <row r="82" ht="15" customHeight="1">
      <c r="A82" t="inlineStr">
        <is>
          <t>A 20295-2025</t>
        </is>
      </c>
      <c r="B82" s="1" t="n">
        <v>45774.74846064814</v>
      </c>
      <c r="C82" s="1" t="n">
        <v>46091</v>
      </c>
      <c r="D82" t="inlineStr">
        <is>
          <t>ÖSTERGÖTLANDS LÄN</t>
        </is>
      </c>
      <c r="E82" t="inlineStr">
        <is>
          <t>LINKÖPING</t>
        </is>
      </c>
      <c r="G82" t="n">
        <v>3</v>
      </c>
      <c r="H82" t="n">
        <v>0</v>
      </c>
      <c r="I82" t="n">
        <v>0</v>
      </c>
      <c r="J82" t="n">
        <v>1</v>
      </c>
      <c r="K82" t="n">
        <v>0</v>
      </c>
      <c r="L82" t="n">
        <v>0</v>
      </c>
      <c r="M82" t="n">
        <v>0</v>
      </c>
      <c r="N82" t="n">
        <v>0</v>
      </c>
      <c r="O82" t="n">
        <v>1</v>
      </c>
      <c r="P82" t="n">
        <v>0</v>
      </c>
      <c r="Q82" t="n">
        <v>1</v>
      </c>
      <c r="R82" s="2" t="inlineStr">
        <is>
          <t>Tallticka</t>
        </is>
      </c>
      <c r="S82">
        <f>HYPERLINK("https://klasma.github.io/Logging_0580/artfynd/A 20295-2025 artfynd.xlsx", "A 20295-2025")</f>
        <v/>
      </c>
      <c r="T82">
        <f>HYPERLINK("https://klasma.github.io/Logging_0580/kartor/A 20295-2025 karta.png", "A 20295-2025")</f>
        <v/>
      </c>
      <c r="V82">
        <f>HYPERLINK("https://klasma.github.io/Logging_0580/klagomål/A 20295-2025 FSC-klagomål.docx", "A 20295-2025")</f>
        <v/>
      </c>
      <c r="W82">
        <f>HYPERLINK("https://klasma.github.io/Logging_0580/klagomålsmail/A 20295-2025 FSC-klagomål mail.docx", "A 20295-2025")</f>
        <v/>
      </c>
      <c r="X82">
        <f>HYPERLINK("https://klasma.github.io/Logging_0580/tillsyn/A 20295-2025 tillsynsbegäran.docx", "A 20295-2025")</f>
        <v/>
      </c>
      <c r="Y82">
        <f>HYPERLINK("https://klasma.github.io/Logging_0580/tillsynsmail/A 20295-2025 tillsynsbegäran mail.docx", "A 20295-2025")</f>
        <v/>
      </c>
    </row>
    <row r="83" ht="15" customHeight="1">
      <c r="A83" t="inlineStr">
        <is>
          <t>A 37683-2024</t>
        </is>
      </c>
      <c r="B83" s="1" t="n">
        <v>45541.59120370371</v>
      </c>
      <c r="C83" s="1" t="n">
        <v>46091</v>
      </c>
      <c r="D83" t="inlineStr">
        <is>
          <t>ÖSTERGÖTLANDS LÄN</t>
        </is>
      </c>
      <c r="E83" t="inlineStr">
        <is>
          <t>LINKÖPING</t>
        </is>
      </c>
      <c r="G83" t="n">
        <v>0.6</v>
      </c>
      <c r="H83" t="n">
        <v>0</v>
      </c>
      <c r="I83" t="n">
        <v>1</v>
      </c>
      <c r="J83" t="n">
        <v>0</v>
      </c>
      <c r="K83" t="n">
        <v>0</v>
      </c>
      <c r="L83" t="n">
        <v>0</v>
      </c>
      <c r="M83" t="n">
        <v>0</v>
      </c>
      <c r="N83" t="n">
        <v>0</v>
      </c>
      <c r="O83" t="n">
        <v>0</v>
      </c>
      <c r="P83" t="n">
        <v>0</v>
      </c>
      <c r="Q83" t="n">
        <v>1</v>
      </c>
      <c r="R83" s="2" t="inlineStr">
        <is>
          <t>Tibast</t>
        </is>
      </c>
      <c r="S83">
        <f>HYPERLINK("https://klasma.github.io/Logging_0580/artfynd/A 37683-2024 artfynd.xlsx", "A 37683-2024")</f>
        <v/>
      </c>
      <c r="T83">
        <f>HYPERLINK("https://klasma.github.io/Logging_0580/kartor/A 37683-2024 karta.png", "A 37683-2024")</f>
        <v/>
      </c>
      <c r="V83">
        <f>HYPERLINK("https://klasma.github.io/Logging_0580/klagomål/A 37683-2024 FSC-klagomål.docx", "A 37683-2024")</f>
        <v/>
      </c>
      <c r="W83">
        <f>HYPERLINK("https://klasma.github.io/Logging_0580/klagomålsmail/A 37683-2024 FSC-klagomål mail.docx", "A 37683-2024")</f>
        <v/>
      </c>
      <c r="X83">
        <f>HYPERLINK("https://klasma.github.io/Logging_0580/tillsyn/A 37683-2024 tillsynsbegäran.docx", "A 37683-2024")</f>
        <v/>
      </c>
      <c r="Y83">
        <f>HYPERLINK("https://klasma.github.io/Logging_0580/tillsynsmail/A 37683-2024 tillsynsbegäran mail.docx", "A 37683-2024")</f>
        <v/>
      </c>
    </row>
    <row r="84" ht="15" customHeight="1">
      <c r="A84" t="inlineStr">
        <is>
          <t>A 35948-2023</t>
        </is>
      </c>
      <c r="B84" s="1" t="n">
        <v>45148</v>
      </c>
      <c r="C84" s="1" t="n">
        <v>46091</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56651-2023</t>
        </is>
      </c>
      <c r="B85" s="1" t="n">
        <v>45243</v>
      </c>
      <c r="C85" s="1" t="n">
        <v>46091</v>
      </c>
      <c r="D85" t="inlineStr">
        <is>
          <t>ÖSTERGÖTLANDS LÄN</t>
        </is>
      </c>
      <c r="E85" t="inlineStr">
        <is>
          <t>LINKÖPING</t>
        </is>
      </c>
      <c r="F85" t="inlineStr">
        <is>
          <t>Övriga Aktiebolag</t>
        </is>
      </c>
      <c r="G85" t="n">
        <v>2.3</v>
      </c>
      <c r="H85" t="n">
        <v>0</v>
      </c>
      <c r="I85" t="n">
        <v>0</v>
      </c>
      <c r="J85" t="n">
        <v>1</v>
      </c>
      <c r="K85" t="n">
        <v>0</v>
      </c>
      <c r="L85" t="n">
        <v>0</v>
      </c>
      <c r="M85" t="n">
        <v>0</v>
      </c>
      <c r="N85" t="n">
        <v>0</v>
      </c>
      <c r="O85" t="n">
        <v>1</v>
      </c>
      <c r="P85" t="n">
        <v>0</v>
      </c>
      <c r="Q85" t="n">
        <v>1</v>
      </c>
      <c r="R85" s="2" t="inlineStr">
        <is>
          <t>Gul dropplav</t>
        </is>
      </c>
      <c r="S85">
        <f>HYPERLINK("https://klasma.github.io/Logging_0580/artfynd/A 56651-2023 artfynd.xlsx", "A 56651-2023")</f>
        <v/>
      </c>
      <c r="T85">
        <f>HYPERLINK("https://klasma.github.io/Logging_0580/kartor/A 56651-2023 karta.png", "A 56651-2023")</f>
        <v/>
      </c>
      <c r="V85">
        <f>HYPERLINK("https://klasma.github.io/Logging_0580/klagomål/A 56651-2023 FSC-klagomål.docx", "A 56651-2023")</f>
        <v/>
      </c>
      <c r="W85">
        <f>HYPERLINK("https://klasma.github.io/Logging_0580/klagomålsmail/A 56651-2023 FSC-klagomål mail.docx", "A 56651-2023")</f>
        <v/>
      </c>
      <c r="X85">
        <f>HYPERLINK("https://klasma.github.io/Logging_0580/tillsyn/A 56651-2023 tillsynsbegäran.docx", "A 56651-2023")</f>
        <v/>
      </c>
      <c r="Y85">
        <f>HYPERLINK("https://klasma.github.io/Logging_0580/tillsynsmail/A 56651-2023 tillsynsbegäran mail.docx", "A 56651-2023")</f>
        <v/>
      </c>
    </row>
    <row r="86" ht="15" customHeight="1">
      <c r="A86" t="inlineStr">
        <is>
          <t>A 59948-2022</t>
        </is>
      </c>
      <c r="B86" s="1" t="n">
        <v>44909</v>
      </c>
      <c r="C86" s="1" t="n">
        <v>46091</v>
      </c>
      <c r="D86" t="inlineStr">
        <is>
          <t>ÖSTERGÖTLANDS LÄN</t>
        </is>
      </c>
      <c r="E86" t="inlineStr">
        <is>
          <t>LINKÖPING</t>
        </is>
      </c>
      <c r="G86" t="n">
        <v>6.7</v>
      </c>
      <c r="H86" t="n">
        <v>0</v>
      </c>
      <c r="I86" t="n">
        <v>0</v>
      </c>
      <c r="J86" t="n">
        <v>0</v>
      </c>
      <c r="K86" t="n">
        <v>0</v>
      </c>
      <c r="L86" t="n">
        <v>0</v>
      </c>
      <c r="M86" t="n">
        <v>1</v>
      </c>
      <c r="N86" t="n">
        <v>0</v>
      </c>
      <c r="O86" t="n">
        <v>1</v>
      </c>
      <c r="P86" t="n">
        <v>1</v>
      </c>
      <c r="Q86" t="n">
        <v>1</v>
      </c>
      <c r="R86" s="2" t="inlineStr">
        <is>
          <t>Skogsalm</t>
        </is>
      </c>
      <c r="S86">
        <f>HYPERLINK("https://klasma.github.io/Logging_0580/artfynd/A 59948-2022 artfynd.xlsx", "A 59948-2022")</f>
        <v/>
      </c>
      <c r="T86">
        <f>HYPERLINK("https://klasma.github.io/Logging_0580/kartor/A 59948-2022 karta.png", "A 59948-2022")</f>
        <v/>
      </c>
      <c r="V86">
        <f>HYPERLINK("https://klasma.github.io/Logging_0580/klagomål/A 59948-2022 FSC-klagomål.docx", "A 59948-2022")</f>
        <v/>
      </c>
      <c r="W86">
        <f>HYPERLINK("https://klasma.github.io/Logging_0580/klagomålsmail/A 59948-2022 FSC-klagomål mail.docx", "A 59948-2022")</f>
        <v/>
      </c>
      <c r="X86">
        <f>HYPERLINK("https://klasma.github.io/Logging_0580/tillsyn/A 59948-2022 tillsynsbegäran.docx", "A 59948-2022")</f>
        <v/>
      </c>
      <c r="Y86">
        <f>HYPERLINK("https://klasma.github.io/Logging_0580/tillsynsmail/A 59948-2022 tillsynsbegäran mail.docx", "A 59948-2022")</f>
        <v/>
      </c>
    </row>
    <row r="87" ht="15" customHeight="1">
      <c r="A87" t="inlineStr">
        <is>
          <t>A 39457-2023</t>
        </is>
      </c>
      <c r="B87" s="1" t="n">
        <v>45166</v>
      </c>
      <c r="C87" s="1" t="n">
        <v>46091</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62071-2023</t>
        </is>
      </c>
      <c r="B88" s="1" t="n">
        <v>45266.73542824074</v>
      </c>
      <c r="C88" s="1" t="n">
        <v>46091</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90-2024</t>
        </is>
      </c>
      <c r="B89" s="1" t="n">
        <v>45293</v>
      </c>
      <c r="C89" s="1" t="n">
        <v>46091</v>
      </c>
      <c r="D89" t="inlineStr">
        <is>
          <t>ÖSTERGÖTLANDS LÄN</t>
        </is>
      </c>
      <c r="E89" t="inlineStr">
        <is>
          <t>LINKÖPING</t>
        </is>
      </c>
      <c r="G89" t="n">
        <v>1.8</v>
      </c>
      <c r="H89" t="n">
        <v>0</v>
      </c>
      <c r="I89" t="n">
        <v>1</v>
      </c>
      <c r="J89" t="n">
        <v>0</v>
      </c>
      <c r="K89" t="n">
        <v>0</v>
      </c>
      <c r="L89" t="n">
        <v>0</v>
      </c>
      <c r="M89" t="n">
        <v>0</v>
      </c>
      <c r="N89" t="n">
        <v>0</v>
      </c>
      <c r="O89" t="n">
        <v>0</v>
      </c>
      <c r="P89" t="n">
        <v>0</v>
      </c>
      <c r="Q89" t="n">
        <v>1</v>
      </c>
      <c r="R89" s="2" t="inlineStr">
        <is>
          <t>Grov fjädermossa</t>
        </is>
      </c>
      <c r="S89">
        <f>HYPERLINK("https://klasma.github.io/Logging_0580/artfynd/A 90-2024 artfynd.xlsx", "A 90-2024")</f>
        <v/>
      </c>
      <c r="T89">
        <f>HYPERLINK("https://klasma.github.io/Logging_0580/kartor/A 90-2024 karta.png", "A 90-2024")</f>
        <v/>
      </c>
      <c r="V89">
        <f>HYPERLINK("https://klasma.github.io/Logging_0580/klagomål/A 90-2024 FSC-klagomål.docx", "A 90-2024")</f>
        <v/>
      </c>
      <c r="W89">
        <f>HYPERLINK("https://klasma.github.io/Logging_0580/klagomålsmail/A 90-2024 FSC-klagomål mail.docx", "A 90-2024")</f>
        <v/>
      </c>
      <c r="X89">
        <f>HYPERLINK("https://klasma.github.io/Logging_0580/tillsyn/A 90-2024 tillsynsbegäran.docx", "A 90-2024")</f>
        <v/>
      </c>
      <c r="Y89">
        <f>HYPERLINK("https://klasma.github.io/Logging_0580/tillsynsmail/A 90-2024 tillsynsbegäran mail.docx", "A 90-2024")</f>
        <v/>
      </c>
    </row>
    <row r="90" ht="15" customHeight="1">
      <c r="A90" t="inlineStr">
        <is>
          <t>A 17444-2025</t>
        </is>
      </c>
      <c r="B90" s="1" t="n">
        <v>45757.43452546297</v>
      </c>
      <c r="C90" s="1" t="n">
        <v>46091</v>
      </c>
      <c r="D90" t="inlineStr">
        <is>
          <t>ÖSTERGÖTLANDS LÄN</t>
        </is>
      </c>
      <c r="E90" t="inlineStr">
        <is>
          <t>LINKÖPING</t>
        </is>
      </c>
      <c r="G90" t="n">
        <v>1.3</v>
      </c>
      <c r="H90" t="n">
        <v>1</v>
      </c>
      <c r="I90" t="n">
        <v>0</v>
      </c>
      <c r="J90" t="n">
        <v>1</v>
      </c>
      <c r="K90" t="n">
        <v>0</v>
      </c>
      <c r="L90" t="n">
        <v>0</v>
      </c>
      <c r="M90" t="n">
        <v>0</v>
      </c>
      <c r="N90" t="n">
        <v>0</v>
      </c>
      <c r="O90" t="n">
        <v>1</v>
      </c>
      <c r="P90" t="n">
        <v>0</v>
      </c>
      <c r="Q90" t="n">
        <v>1</v>
      </c>
      <c r="R90" s="2" t="inlineStr">
        <is>
          <t>Dårgräsfjäril</t>
        </is>
      </c>
      <c r="S90">
        <f>HYPERLINK("https://klasma.github.io/Logging_0580/artfynd/A 17444-2025 artfynd.xlsx", "A 17444-2025")</f>
        <v/>
      </c>
      <c r="T90">
        <f>HYPERLINK("https://klasma.github.io/Logging_0580/kartor/A 17444-2025 karta.png", "A 17444-2025")</f>
        <v/>
      </c>
      <c r="V90">
        <f>HYPERLINK("https://klasma.github.io/Logging_0580/klagomål/A 17444-2025 FSC-klagomål.docx", "A 17444-2025")</f>
        <v/>
      </c>
      <c r="W90">
        <f>HYPERLINK("https://klasma.github.io/Logging_0580/klagomålsmail/A 17444-2025 FSC-klagomål mail.docx", "A 17444-2025")</f>
        <v/>
      </c>
      <c r="X90">
        <f>HYPERLINK("https://klasma.github.io/Logging_0580/tillsyn/A 17444-2025 tillsynsbegäran.docx", "A 17444-2025")</f>
        <v/>
      </c>
      <c r="Y90">
        <f>HYPERLINK("https://klasma.github.io/Logging_0580/tillsynsmail/A 17444-2025 tillsynsbegäran mail.docx", "A 17444-2025")</f>
        <v/>
      </c>
    </row>
    <row r="91" ht="15" customHeight="1">
      <c r="A91" t="inlineStr">
        <is>
          <t>A 40309-2024</t>
        </is>
      </c>
      <c r="B91" s="1" t="n">
        <v>45554.724375</v>
      </c>
      <c r="C91" s="1" t="n">
        <v>46091</v>
      </c>
      <c r="D91" t="inlineStr">
        <is>
          <t>ÖSTERGÖTLANDS LÄN</t>
        </is>
      </c>
      <c r="E91" t="inlineStr">
        <is>
          <t>LINKÖPING</t>
        </is>
      </c>
      <c r="F91" t="inlineStr">
        <is>
          <t>Allmännings- och besparingsskogar</t>
        </is>
      </c>
      <c r="G91" t="n">
        <v>6</v>
      </c>
      <c r="H91" t="n">
        <v>0</v>
      </c>
      <c r="I91" t="n">
        <v>0</v>
      </c>
      <c r="J91" t="n">
        <v>1</v>
      </c>
      <c r="K91" t="n">
        <v>0</v>
      </c>
      <c r="L91" t="n">
        <v>0</v>
      </c>
      <c r="M91" t="n">
        <v>0</v>
      </c>
      <c r="N91" t="n">
        <v>0</v>
      </c>
      <c r="O91" t="n">
        <v>1</v>
      </c>
      <c r="P91" t="n">
        <v>0</v>
      </c>
      <c r="Q91" t="n">
        <v>1</v>
      </c>
      <c r="R91" s="2" t="inlineStr">
        <is>
          <t>Garnlav</t>
        </is>
      </c>
      <c r="S91">
        <f>HYPERLINK("https://klasma.github.io/Logging_0580/artfynd/A 40309-2024 artfynd.xlsx", "A 40309-2024")</f>
        <v/>
      </c>
      <c r="T91">
        <f>HYPERLINK("https://klasma.github.io/Logging_0580/kartor/A 40309-2024 karta.png", "A 40309-2024")</f>
        <v/>
      </c>
      <c r="V91">
        <f>HYPERLINK("https://klasma.github.io/Logging_0580/klagomål/A 40309-2024 FSC-klagomål.docx", "A 40309-2024")</f>
        <v/>
      </c>
      <c r="W91">
        <f>HYPERLINK("https://klasma.github.io/Logging_0580/klagomålsmail/A 40309-2024 FSC-klagomål mail.docx", "A 40309-2024")</f>
        <v/>
      </c>
      <c r="X91">
        <f>HYPERLINK("https://klasma.github.io/Logging_0580/tillsyn/A 40309-2024 tillsynsbegäran.docx", "A 40309-2024")</f>
        <v/>
      </c>
      <c r="Y91">
        <f>HYPERLINK("https://klasma.github.io/Logging_0580/tillsynsmail/A 40309-2024 tillsynsbegäran mail.docx", "A 40309-2024")</f>
        <v/>
      </c>
    </row>
    <row r="92" ht="15" customHeight="1">
      <c r="A92" t="inlineStr">
        <is>
          <t>A 15290-2025</t>
        </is>
      </c>
      <c r="B92" s="1" t="n">
        <v>45745.45288194445</v>
      </c>
      <c r="C92" s="1" t="n">
        <v>46091</v>
      </c>
      <c r="D92" t="inlineStr">
        <is>
          <t>ÖSTERGÖTLANDS LÄN</t>
        </is>
      </c>
      <c r="E92" t="inlineStr">
        <is>
          <t>LINKÖPING</t>
        </is>
      </c>
      <c r="G92" t="n">
        <v>18.4</v>
      </c>
      <c r="H92" t="n">
        <v>1</v>
      </c>
      <c r="I92" t="n">
        <v>0</v>
      </c>
      <c r="J92" t="n">
        <v>1</v>
      </c>
      <c r="K92" t="n">
        <v>0</v>
      </c>
      <c r="L92" t="n">
        <v>0</v>
      </c>
      <c r="M92" t="n">
        <v>0</v>
      </c>
      <c r="N92" t="n">
        <v>0</v>
      </c>
      <c r="O92" t="n">
        <v>1</v>
      </c>
      <c r="P92" t="n">
        <v>0</v>
      </c>
      <c r="Q92" t="n">
        <v>1</v>
      </c>
      <c r="R92" s="2" t="inlineStr">
        <is>
          <t>Havsörn</t>
        </is>
      </c>
      <c r="S92">
        <f>HYPERLINK("https://klasma.github.io/Logging_0580/artfynd/A 15290-2025 artfynd.xlsx", "A 15290-2025")</f>
        <v/>
      </c>
      <c r="T92">
        <f>HYPERLINK("https://klasma.github.io/Logging_0580/kartor/A 15290-2025 karta.png", "A 15290-2025")</f>
        <v/>
      </c>
      <c r="V92">
        <f>HYPERLINK("https://klasma.github.io/Logging_0580/klagomål/A 15290-2025 FSC-klagomål.docx", "A 15290-2025")</f>
        <v/>
      </c>
      <c r="W92">
        <f>HYPERLINK("https://klasma.github.io/Logging_0580/klagomålsmail/A 15290-2025 FSC-klagomål mail.docx", "A 15290-2025")</f>
        <v/>
      </c>
      <c r="X92">
        <f>HYPERLINK("https://klasma.github.io/Logging_0580/tillsyn/A 15290-2025 tillsynsbegäran.docx", "A 15290-2025")</f>
        <v/>
      </c>
      <c r="Y92">
        <f>HYPERLINK("https://klasma.github.io/Logging_0580/tillsynsmail/A 15290-2025 tillsynsbegäran mail.docx", "A 15290-2025")</f>
        <v/>
      </c>
      <c r="Z92">
        <f>HYPERLINK("https://klasma.github.io/Logging_0580/fåglar/A 15290-2025 prioriterade fågelarter.docx", "A 15290-2025")</f>
        <v/>
      </c>
    </row>
    <row r="93" ht="15" customHeight="1">
      <c r="A93" t="inlineStr">
        <is>
          <t>A 1716-2023</t>
        </is>
      </c>
      <c r="B93" s="1" t="n">
        <v>44938</v>
      </c>
      <c r="C93" s="1" t="n">
        <v>46091</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1716-2023 artfynd.xlsx", "A 1716-2023")</f>
        <v/>
      </c>
      <c r="T93">
        <f>HYPERLINK("https://klasma.github.io/Logging_0580/kartor/A 1716-2023 karta.png", "A 1716-2023")</f>
        <v/>
      </c>
      <c r="V93">
        <f>HYPERLINK("https://klasma.github.io/Logging_0580/klagomål/A 1716-2023 FSC-klagomål.docx", "A 1716-2023")</f>
        <v/>
      </c>
      <c r="W93">
        <f>HYPERLINK("https://klasma.github.io/Logging_0580/klagomålsmail/A 1716-2023 FSC-klagomål mail.docx", "A 1716-2023")</f>
        <v/>
      </c>
      <c r="X93">
        <f>HYPERLINK("https://klasma.github.io/Logging_0580/tillsyn/A 1716-2023 tillsynsbegäran.docx", "A 1716-2023")</f>
        <v/>
      </c>
      <c r="Y93">
        <f>HYPERLINK("https://klasma.github.io/Logging_0580/tillsynsmail/A 1716-2023 tillsynsbegäran mail.docx", "A 1716-2023")</f>
        <v/>
      </c>
    </row>
    <row r="94" ht="15" customHeight="1">
      <c r="A94" t="inlineStr">
        <is>
          <t>A 931-2025</t>
        </is>
      </c>
      <c r="B94" s="1" t="n">
        <v>45665.88498842593</v>
      </c>
      <c r="C94" s="1" t="n">
        <v>46091</v>
      </c>
      <c r="D94" t="inlineStr">
        <is>
          <t>ÖSTERGÖTLANDS LÄN</t>
        </is>
      </c>
      <c r="E94" t="inlineStr">
        <is>
          <t>LINKÖPING</t>
        </is>
      </c>
      <c r="F94" t="inlineStr">
        <is>
          <t>Övriga Aktiebolag</t>
        </is>
      </c>
      <c r="G94" t="n">
        <v>0.8</v>
      </c>
      <c r="H94" t="n">
        <v>0</v>
      </c>
      <c r="I94" t="n">
        <v>0</v>
      </c>
      <c r="J94" t="n">
        <v>1</v>
      </c>
      <c r="K94" t="n">
        <v>0</v>
      </c>
      <c r="L94" t="n">
        <v>0</v>
      </c>
      <c r="M94" t="n">
        <v>0</v>
      </c>
      <c r="N94" t="n">
        <v>0</v>
      </c>
      <c r="O94" t="n">
        <v>1</v>
      </c>
      <c r="P94" t="n">
        <v>0</v>
      </c>
      <c r="Q94" t="n">
        <v>1</v>
      </c>
      <c r="R94" s="2" t="inlineStr">
        <is>
          <t>Tallticka</t>
        </is>
      </c>
      <c r="S94">
        <f>HYPERLINK("https://klasma.github.io/Logging_0580/artfynd/A 931-2025 artfynd.xlsx", "A 931-2025")</f>
        <v/>
      </c>
      <c r="T94">
        <f>HYPERLINK("https://klasma.github.io/Logging_0580/kartor/A 931-2025 karta.png", "A 931-2025")</f>
        <v/>
      </c>
      <c r="V94">
        <f>HYPERLINK("https://klasma.github.io/Logging_0580/klagomål/A 931-2025 FSC-klagomål.docx", "A 931-2025")</f>
        <v/>
      </c>
      <c r="W94">
        <f>HYPERLINK("https://klasma.github.io/Logging_0580/klagomålsmail/A 931-2025 FSC-klagomål mail.docx", "A 931-2025")</f>
        <v/>
      </c>
      <c r="X94">
        <f>HYPERLINK("https://klasma.github.io/Logging_0580/tillsyn/A 931-2025 tillsynsbegäran.docx", "A 931-2025")</f>
        <v/>
      </c>
      <c r="Y94">
        <f>HYPERLINK("https://klasma.github.io/Logging_0580/tillsynsmail/A 931-2025 tillsynsbegäran mail.docx", "A 931-2025")</f>
        <v/>
      </c>
    </row>
    <row r="95" ht="15" customHeight="1">
      <c r="A95" t="inlineStr">
        <is>
          <t>A 126-2024</t>
        </is>
      </c>
      <c r="B95" s="1" t="n">
        <v>45294</v>
      </c>
      <c r="C95" s="1" t="n">
        <v>46091</v>
      </c>
      <c r="D95" t="inlineStr">
        <is>
          <t>ÖSTERGÖTLANDS LÄN</t>
        </is>
      </c>
      <c r="E95" t="inlineStr">
        <is>
          <t>LINKÖPING</t>
        </is>
      </c>
      <c r="G95" t="n">
        <v>1</v>
      </c>
      <c r="H95" t="n">
        <v>0</v>
      </c>
      <c r="I95" t="n">
        <v>1</v>
      </c>
      <c r="J95" t="n">
        <v>0</v>
      </c>
      <c r="K95" t="n">
        <v>0</v>
      </c>
      <c r="L95" t="n">
        <v>0</v>
      </c>
      <c r="M95" t="n">
        <v>0</v>
      </c>
      <c r="N95" t="n">
        <v>0</v>
      </c>
      <c r="O95" t="n">
        <v>0</v>
      </c>
      <c r="P95" t="n">
        <v>0</v>
      </c>
      <c r="Q95" t="n">
        <v>1</v>
      </c>
      <c r="R95" s="2" t="inlineStr">
        <is>
          <t>Blåmossa</t>
        </is>
      </c>
      <c r="S95">
        <f>HYPERLINK("https://klasma.github.io/Logging_0580/artfynd/A 126-2024 artfynd.xlsx", "A 126-2024")</f>
        <v/>
      </c>
      <c r="T95">
        <f>HYPERLINK("https://klasma.github.io/Logging_0580/kartor/A 126-2024 karta.png", "A 126-2024")</f>
        <v/>
      </c>
      <c r="V95">
        <f>HYPERLINK("https://klasma.github.io/Logging_0580/klagomål/A 126-2024 FSC-klagomål.docx", "A 126-2024")</f>
        <v/>
      </c>
      <c r="W95">
        <f>HYPERLINK("https://klasma.github.io/Logging_0580/klagomålsmail/A 126-2024 FSC-klagomål mail.docx", "A 126-2024")</f>
        <v/>
      </c>
      <c r="X95">
        <f>HYPERLINK("https://klasma.github.io/Logging_0580/tillsyn/A 126-2024 tillsynsbegäran.docx", "A 126-2024")</f>
        <v/>
      </c>
      <c r="Y95">
        <f>HYPERLINK("https://klasma.github.io/Logging_0580/tillsynsmail/A 126-2024 tillsynsbegäran mail.docx", "A 126-2024")</f>
        <v/>
      </c>
    </row>
    <row r="96" ht="15" customHeight="1">
      <c r="A96" t="inlineStr">
        <is>
          <t>A 3395-2023</t>
        </is>
      </c>
      <c r="B96" s="1" t="n">
        <v>44949</v>
      </c>
      <c r="C96" s="1" t="n">
        <v>46091</v>
      </c>
      <c r="D96" t="inlineStr">
        <is>
          <t>ÖSTERGÖTLANDS LÄN</t>
        </is>
      </c>
      <c r="E96" t="inlineStr">
        <is>
          <t>LINKÖPING</t>
        </is>
      </c>
      <c r="G96" t="n">
        <v>2</v>
      </c>
      <c r="H96" t="n">
        <v>0</v>
      </c>
      <c r="I96" t="n">
        <v>0</v>
      </c>
      <c r="J96" t="n">
        <v>1</v>
      </c>
      <c r="K96" t="n">
        <v>0</v>
      </c>
      <c r="L96" t="n">
        <v>0</v>
      </c>
      <c r="M96" t="n">
        <v>0</v>
      </c>
      <c r="N96" t="n">
        <v>0</v>
      </c>
      <c r="O96" t="n">
        <v>1</v>
      </c>
      <c r="P96" t="n">
        <v>0</v>
      </c>
      <c r="Q96" t="n">
        <v>1</v>
      </c>
      <c r="R96" s="2" t="inlineStr">
        <is>
          <t>Sommarfibbla</t>
        </is>
      </c>
      <c r="S96">
        <f>HYPERLINK("https://klasma.github.io/Logging_0580/artfynd/A 3395-2023 artfynd.xlsx", "A 3395-2023")</f>
        <v/>
      </c>
      <c r="T96">
        <f>HYPERLINK("https://klasma.github.io/Logging_0580/kartor/A 3395-2023 karta.png", "A 3395-2023")</f>
        <v/>
      </c>
      <c r="V96">
        <f>HYPERLINK("https://klasma.github.io/Logging_0580/klagomål/A 3395-2023 FSC-klagomål.docx", "A 3395-2023")</f>
        <v/>
      </c>
      <c r="W96">
        <f>HYPERLINK("https://klasma.github.io/Logging_0580/klagomålsmail/A 3395-2023 FSC-klagomål mail.docx", "A 3395-2023")</f>
        <v/>
      </c>
      <c r="X96">
        <f>HYPERLINK("https://klasma.github.io/Logging_0580/tillsyn/A 3395-2023 tillsynsbegäran.docx", "A 3395-2023")</f>
        <v/>
      </c>
      <c r="Y96">
        <f>HYPERLINK("https://klasma.github.io/Logging_0580/tillsynsmail/A 3395-2023 tillsynsbegäran mail.docx", "A 3395-2023")</f>
        <v/>
      </c>
    </row>
    <row r="97" ht="15" customHeight="1">
      <c r="A97" t="inlineStr">
        <is>
          <t>A 3397-2023</t>
        </is>
      </c>
      <c r="B97" s="1" t="n">
        <v>44949</v>
      </c>
      <c r="C97" s="1" t="n">
        <v>46091</v>
      </c>
      <c r="D97" t="inlineStr">
        <is>
          <t>ÖSTERGÖTLANDS LÄN</t>
        </is>
      </c>
      <c r="E97" t="inlineStr">
        <is>
          <t>LINKÖPING</t>
        </is>
      </c>
      <c r="G97" t="n">
        <v>4.1</v>
      </c>
      <c r="H97" t="n">
        <v>0</v>
      </c>
      <c r="I97" t="n">
        <v>0</v>
      </c>
      <c r="J97" t="n">
        <v>1</v>
      </c>
      <c r="K97" t="n">
        <v>0</v>
      </c>
      <c r="L97" t="n">
        <v>0</v>
      </c>
      <c r="M97" t="n">
        <v>0</v>
      </c>
      <c r="N97" t="n">
        <v>0</v>
      </c>
      <c r="O97" t="n">
        <v>1</v>
      </c>
      <c r="P97" t="n">
        <v>0</v>
      </c>
      <c r="Q97" t="n">
        <v>1</v>
      </c>
      <c r="R97" s="2" t="inlineStr">
        <is>
          <t>Svinrot</t>
        </is>
      </c>
      <c r="S97">
        <f>HYPERLINK("https://klasma.github.io/Logging_0580/artfynd/A 3397-2023 artfynd.xlsx", "A 3397-2023")</f>
        <v/>
      </c>
      <c r="T97">
        <f>HYPERLINK("https://klasma.github.io/Logging_0580/kartor/A 3397-2023 karta.png", "A 3397-2023")</f>
        <v/>
      </c>
      <c r="V97">
        <f>HYPERLINK("https://klasma.github.io/Logging_0580/klagomål/A 3397-2023 FSC-klagomål.docx", "A 3397-2023")</f>
        <v/>
      </c>
      <c r="W97">
        <f>HYPERLINK("https://klasma.github.io/Logging_0580/klagomålsmail/A 3397-2023 FSC-klagomål mail.docx", "A 3397-2023")</f>
        <v/>
      </c>
      <c r="X97">
        <f>HYPERLINK("https://klasma.github.io/Logging_0580/tillsyn/A 3397-2023 tillsynsbegäran.docx", "A 3397-2023")</f>
        <v/>
      </c>
      <c r="Y97">
        <f>HYPERLINK("https://klasma.github.io/Logging_0580/tillsynsmail/A 3397-2023 tillsynsbegäran mail.docx", "A 3397-2023")</f>
        <v/>
      </c>
    </row>
    <row r="98" ht="15" customHeight="1">
      <c r="A98" t="inlineStr">
        <is>
          <t>A 38881-2021</t>
        </is>
      </c>
      <c r="B98" s="1" t="n">
        <v>44411.46893518518</v>
      </c>
      <c r="C98" s="1" t="n">
        <v>46091</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46091</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46091</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46091</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46091</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46091</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46091</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46091</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46091</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46091</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46091</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46091</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46091</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46091</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46091</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46091</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46091</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46091</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46091</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46091</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46091</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46091</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46091</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46091</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46091</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46091</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46091</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46091</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46091</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46091</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46091</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46091</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46091</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46091</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46091</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46091</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29470-2022</t>
        </is>
      </c>
      <c r="B134" s="1" t="n">
        <v>44753</v>
      </c>
      <c r="C134" s="1" t="n">
        <v>46091</v>
      </c>
      <c r="D134" t="inlineStr">
        <is>
          <t>ÖSTERGÖTLANDS LÄN</t>
        </is>
      </c>
      <c r="E134" t="inlineStr">
        <is>
          <t>LINKÖPING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46091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46091</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46091</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46091</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46091</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46091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46091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46091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46091</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46091</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46091</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46091</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46091</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46091</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46091</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46091</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46091</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46091</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46091</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46091</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46091</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46091</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46091</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46091</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46091</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46091</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46091</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46091</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46091</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46091</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46091</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46091</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46091</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46091</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46091</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46091</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46091</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46091</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46091</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46091</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46091</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46091</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46091</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46091</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46091</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5605-2022</t>
        </is>
      </c>
      <c r="B180" s="1" t="n">
        <v>44595</v>
      </c>
      <c r="C180" s="1" t="n">
        <v>46091</v>
      </c>
      <c r="D180" t="inlineStr">
        <is>
          <t>ÖSTERGÖTLANDS LÄN</t>
        </is>
      </c>
      <c r="E180" t="inlineStr">
        <is>
          <t>LINKÖPING</t>
        </is>
      </c>
      <c r="F180" t="inlineStr">
        <is>
          <t>Övriga statliga verk och myndigheter</t>
        </is>
      </c>
      <c r="G180" t="n">
        <v>3</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46091</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46091</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46091</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46091</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46091</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46091</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46091</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46091</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46091</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46091</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46091</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46091</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46091</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46091</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46091</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46091</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46091</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46091</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38235-2022</t>
        </is>
      </c>
      <c r="B199" s="1" t="n">
        <v>44812</v>
      </c>
      <c r="C199" s="1" t="n">
        <v>46091</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39021-2021</t>
        </is>
      </c>
      <c r="B200" s="1" t="n">
        <v>44412</v>
      </c>
      <c r="C200" s="1" t="n">
        <v>46091</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12035-2025</t>
        </is>
      </c>
      <c r="B201" s="1" t="n">
        <v>45728.64946759259</v>
      </c>
      <c r="C201" s="1" t="n">
        <v>46091</v>
      </c>
      <c r="D201" t="inlineStr">
        <is>
          <t>ÖSTERGÖTLANDS LÄN</t>
        </is>
      </c>
      <c r="E201" t="inlineStr">
        <is>
          <t>LINKÖPING</t>
        </is>
      </c>
      <c r="G201" t="n">
        <v>3.7</v>
      </c>
      <c r="H201" t="n">
        <v>0</v>
      </c>
      <c r="I201" t="n">
        <v>0</v>
      </c>
      <c r="J201" t="n">
        <v>0</v>
      </c>
      <c r="K201" t="n">
        <v>0</v>
      </c>
      <c r="L201" t="n">
        <v>0</v>
      </c>
      <c r="M201" t="n">
        <v>0</v>
      </c>
      <c r="N201" t="n">
        <v>0</v>
      </c>
      <c r="O201" t="n">
        <v>0</v>
      </c>
      <c r="P201" t="n">
        <v>0</v>
      </c>
      <c r="Q201" t="n">
        <v>0</v>
      </c>
      <c r="R201" s="2" t="inlineStr"/>
    </row>
    <row r="202" ht="15" customHeight="1">
      <c r="A202" t="inlineStr">
        <is>
          <t>A 51484-2023</t>
        </is>
      </c>
      <c r="B202" s="1" t="n">
        <v>45222</v>
      </c>
      <c r="C202" s="1" t="n">
        <v>46091</v>
      </c>
      <c r="D202" t="inlineStr">
        <is>
          <t>ÖSTERGÖTLANDS LÄN</t>
        </is>
      </c>
      <c r="E202" t="inlineStr">
        <is>
          <t>LINKÖPING</t>
        </is>
      </c>
      <c r="F202" t="inlineStr">
        <is>
          <t>Övriga Aktiebolag</t>
        </is>
      </c>
      <c r="G202" t="n">
        <v>7.7</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46091</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46091</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46091</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46091</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17157-2024</t>
        </is>
      </c>
      <c r="B207" s="1" t="n">
        <v>45412.70567129629</v>
      </c>
      <c r="C207" s="1" t="n">
        <v>46091</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9434-2024</t>
        </is>
      </c>
      <c r="B208" s="1" t="n">
        <v>45359</v>
      </c>
      <c r="C208" s="1" t="n">
        <v>46091</v>
      </c>
      <c r="D208" t="inlineStr">
        <is>
          <t>ÖSTERGÖTLANDS LÄN</t>
        </is>
      </c>
      <c r="E208" t="inlineStr">
        <is>
          <t>LINKÖPING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12428-2024</t>
        </is>
      </c>
      <c r="B209" s="1" t="n">
        <v>45379</v>
      </c>
      <c r="C209" s="1" t="n">
        <v>46091</v>
      </c>
      <c r="D209" t="inlineStr">
        <is>
          <t>ÖSTERGÖTLANDS LÄN</t>
        </is>
      </c>
      <c r="E209" t="inlineStr">
        <is>
          <t>LINKÖPING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13689-2025</t>
        </is>
      </c>
      <c r="B210" s="1" t="n">
        <v>45737.31590277778</v>
      </c>
      <c r="C210" s="1" t="n">
        <v>46091</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13696-2025</t>
        </is>
      </c>
      <c r="B211" s="1" t="n">
        <v>45737.32273148148</v>
      </c>
      <c r="C211" s="1" t="n">
        <v>46091</v>
      </c>
      <c r="D211" t="inlineStr">
        <is>
          <t>ÖSTERGÖTLANDS LÄN</t>
        </is>
      </c>
      <c r="E211" t="inlineStr">
        <is>
          <t>LINKÖPING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46225-2021</t>
        </is>
      </c>
      <c r="B212" s="1" t="n">
        <v>44442</v>
      </c>
      <c r="C212" s="1" t="n">
        <v>46091</v>
      </c>
      <c r="D212" t="inlineStr">
        <is>
          <t>ÖSTERGÖTLANDS LÄN</t>
        </is>
      </c>
      <c r="E212" t="inlineStr">
        <is>
          <t>LINKÖPING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54428-2022</t>
        </is>
      </c>
      <c r="B213" s="1" t="n">
        <v>44882.57643518518</v>
      </c>
      <c r="C213" s="1" t="n">
        <v>46091</v>
      </c>
      <c r="D213" t="inlineStr">
        <is>
          <t>ÖSTERGÖTLANDS LÄN</t>
        </is>
      </c>
      <c r="E213" t="inlineStr">
        <is>
          <t>LINKÖPING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10407-2025</t>
        </is>
      </c>
      <c r="B214" s="1" t="n">
        <v>45720.62863425926</v>
      </c>
      <c r="C214" s="1" t="n">
        <v>46091</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21155-2025</t>
        </is>
      </c>
      <c r="B215" s="1" t="n">
        <v>45779.37586805555</v>
      </c>
      <c r="C215" s="1" t="n">
        <v>46091</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11790-2024</t>
        </is>
      </c>
      <c r="B216" s="1" t="n">
        <v>45374</v>
      </c>
      <c r="C216" s="1" t="n">
        <v>46091</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48962-2022</t>
        </is>
      </c>
      <c r="B217" s="1" t="n">
        <v>44860.31635416667</v>
      </c>
      <c r="C217" s="1" t="n">
        <v>46091</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21165-2025</t>
        </is>
      </c>
      <c r="B218" s="1" t="n">
        <v>45779.39417824074</v>
      </c>
      <c r="C218" s="1" t="n">
        <v>46091</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53647-2021</t>
        </is>
      </c>
      <c r="B219" s="1" t="n">
        <v>44469</v>
      </c>
      <c r="C219" s="1" t="n">
        <v>46091</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22772-2024</t>
        </is>
      </c>
      <c r="B220" s="1" t="n">
        <v>45448.46712962963</v>
      </c>
      <c r="C220" s="1" t="n">
        <v>46091</v>
      </c>
      <c r="D220" t="inlineStr">
        <is>
          <t>ÖSTERGÖTLANDS LÄN</t>
        </is>
      </c>
      <c r="E220" t="inlineStr">
        <is>
          <t>LINKÖPING</t>
        </is>
      </c>
      <c r="F220" t="inlineStr">
        <is>
          <t>Sveaskog</t>
        </is>
      </c>
      <c r="G220" t="n">
        <v>3</v>
      </c>
      <c r="H220" t="n">
        <v>0</v>
      </c>
      <c r="I220" t="n">
        <v>0</v>
      </c>
      <c r="J220" t="n">
        <v>0</v>
      </c>
      <c r="K220" t="n">
        <v>0</v>
      </c>
      <c r="L220" t="n">
        <v>0</v>
      </c>
      <c r="M220" t="n">
        <v>0</v>
      </c>
      <c r="N220" t="n">
        <v>0</v>
      </c>
      <c r="O220" t="n">
        <v>0</v>
      </c>
      <c r="P220" t="n">
        <v>0</v>
      </c>
      <c r="Q220" t="n">
        <v>0</v>
      </c>
      <c r="R220" s="2" t="inlineStr"/>
    </row>
    <row r="221" ht="15" customHeight="1">
      <c r="A221" t="inlineStr">
        <is>
          <t>A 18916-2024</t>
        </is>
      </c>
      <c r="B221" s="1" t="n">
        <v>45427.39541666667</v>
      </c>
      <c r="C221" s="1" t="n">
        <v>46091</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51802-2025</t>
        </is>
      </c>
      <c r="B222" s="1" t="n">
        <v>45950</v>
      </c>
      <c r="C222" s="1" t="n">
        <v>46091</v>
      </c>
      <c r="D222" t="inlineStr">
        <is>
          <t>ÖSTERGÖTLANDS LÄN</t>
        </is>
      </c>
      <c r="E222" t="inlineStr">
        <is>
          <t>LINKÖPING</t>
        </is>
      </c>
      <c r="F222" t="inlineStr">
        <is>
          <t>Övriga Aktiebolag</t>
        </is>
      </c>
      <c r="G222" t="n">
        <v>2</v>
      </c>
      <c r="H222" t="n">
        <v>0</v>
      </c>
      <c r="I222" t="n">
        <v>0</v>
      </c>
      <c r="J222" t="n">
        <v>0</v>
      </c>
      <c r="K222" t="n">
        <v>0</v>
      </c>
      <c r="L222" t="n">
        <v>0</v>
      </c>
      <c r="M222" t="n">
        <v>0</v>
      </c>
      <c r="N222" t="n">
        <v>0</v>
      </c>
      <c r="O222" t="n">
        <v>0</v>
      </c>
      <c r="P222" t="n">
        <v>0</v>
      </c>
      <c r="Q222" t="n">
        <v>0</v>
      </c>
      <c r="R222" s="2" t="inlineStr"/>
    </row>
    <row r="223" ht="15" customHeight="1">
      <c r="A223" t="inlineStr">
        <is>
          <t>A 24586-2024</t>
        </is>
      </c>
      <c r="B223" s="1" t="n">
        <v>45460.46664351852</v>
      </c>
      <c r="C223" s="1" t="n">
        <v>46091</v>
      </c>
      <c r="D223" t="inlineStr">
        <is>
          <t>ÖSTERGÖTLANDS LÄN</t>
        </is>
      </c>
      <c r="E223" t="inlineStr">
        <is>
          <t>LINKÖPING</t>
        </is>
      </c>
      <c r="G223" t="n">
        <v>4</v>
      </c>
      <c r="H223" t="n">
        <v>0</v>
      </c>
      <c r="I223" t="n">
        <v>0</v>
      </c>
      <c r="J223" t="n">
        <v>0</v>
      </c>
      <c r="K223" t="n">
        <v>0</v>
      </c>
      <c r="L223" t="n">
        <v>0</v>
      </c>
      <c r="M223" t="n">
        <v>0</v>
      </c>
      <c r="N223" t="n">
        <v>0</v>
      </c>
      <c r="O223" t="n">
        <v>0</v>
      </c>
      <c r="P223" t="n">
        <v>0</v>
      </c>
      <c r="Q223" t="n">
        <v>0</v>
      </c>
      <c r="R223" s="2" t="inlineStr"/>
    </row>
    <row r="224" ht="15" customHeight="1">
      <c r="A224" t="inlineStr">
        <is>
          <t>A 17124-2025</t>
        </is>
      </c>
      <c r="B224" s="1" t="n">
        <v>45755.69678240741</v>
      </c>
      <c r="C224" s="1" t="n">
        <v>46091</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17126-2025</t>
        </is>
      </c>
      <c r="B225" s="1" t="n">
        <v>45755.70814814815</v>
      </c>
      <c r="C225" s="1" t="n">
        <v>46091</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17143-2025</t>
        </is>
      </c>
      <c r="B226" s="1" t="n">
        <v>45755.92731481481</v>
      </c>
      <c r="C226" s="1" t="n">
        <v>46091</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3008-2023</t>
        </is>
      </c>
      <c r="B227" s="1" t="n">
        <v>44945.79784722222</v>
      </c>
      <c r="C227" s="1" t="n">
        <v>46091</v>
      </c>
      <c r="D227" t="inlineStr">
        <is>
          <t>ÖSTERGÖTLANDS LÄN</t>
        </is>
      </c>
      <c r="E227" t="inlineStr">
        <is>
          <t>LINKÖPING</t>
        </is>
      </c>
      <c r="G227" t="n">
        <v>19.3</v>
      </c>
      <c r="H227" t="n">
        <v>0</v>
      </c>
      <c r="I227" t="n">
        <v>0</v>
      </c>
      <c r="J227" t="n">
        <v>0</v>
      </c>
      <c r="K227" t="n">
        <v>0</v>
      </c>
      <c r="L227" t="n">
        <v>0</v>
      </c>
      <c r="M227" t="n">
        <v>0</v>
      </c>
      <c r="N227" t="n">
        <v>0</v>
      </c>
      <c r="O227" t="n">
        <v>0</v>
      </c>
      <c r="P227" t="n">
        <v>0</v>
      </c>
      <c r="Q227" t="n">
        <v>0</v>
      </c>
      <c r="R227" s="2" t="inlineStr"/>
    </row>
    <row r="228" ht="15" customHeight="1">
      <c r="A228" t="inlineStr">
        <is>
          <t>A 39017-2021</t>
        </is>
      </c>
      <c r="B228" s="1" t="n">
        <v>44412</v>
      </c>
      <c r="C228" s="1" t="n">
        <v>46091</v>
      </c>
      <c r="D228" t="inlineStr">
        <is>
          <t>ÖSTERGÖTLANDS LÄN</t>
        </is>
      </c>
      <c r="E228" t="inlineStr">
        <is>
          <t>LINKÖPING</t>
        </is>
      </c>
      <c r="F228" t="inlineStr">
        <is>
          <t>Övriga statliga verk och myndigheter</t>
        </is>
      </c>
      <c r="G228" t="n">
        <v>0.8</v>
      </c>
      <c r="H228" t="n">
        <v>0</v>
      </c>
      <c r="I228" t="n">
        <v>0</v>
      </c>
      <c r="J228" t="n">
        <v>0</v>
      </c>
      <c r="K228" t="n">
        <v>0</v>
      </c>
      <c r="L228" t="n">
        <v>0</v>
      </c>
      <c r="M228" t="n">
        <v>0</v>
      </c>
      <c r="N228" t="n">
        <v>0</v>
      </c>
      <c r="O228" t="n">
        <v>0</v>
      </c>
      <c r="P228" t="n">
        <v>0</v>
      </c>
      <c r="Q228" t="n">
        <v>0</v>
      </c>
      <c r="R228" s="2" t="inlineStr"/>
    </row>
    <row r="229" ht="15" customHeight="1">
      <c r="A229" t="inlineStr">
        <is>
          <t>A 55345-2021</t>
        </is>
      </c>
      <c r="B229" s="1" t="n">
        <v>44475</v>
      </c>
      <c r="C229" s="1" t="n">
        <v>46091</v>
      </c>
      <c r="D229" t="inlineStr">
        <is>
          <t>ÖSTERGÖTLANDS LÄN</t>
        </is>
      </c>
      <c r="E229" t="inlineStr">
        <is>
          <t>LINKÖPING</t>
        </is>
      </c>
      <c r="G229" t="n">
        <v>5.7</v>
      </c>
      <c r="H229" t="n">
        <v>0</v>
      </c>
      <c r="I229" t="n">
        <v>0</v>
      </c>
      <c r="J229" t="n">
        <v>0</v>
      </c>
      <c r="K229" t="n">
        <v>0</v>
      </c>
      <c r="L229" t="n">
        <v>0</v>
      </c>
      <c r="M229" t="n">
        <v>0</v>
      </c>
      <c r="N229" t="n">
        <v>0</v>
      </c>
      <c r="O229" t="n">
        <v>0</v>
      </c>
      <c r="P229" t="n">
        <v>0</v>
      </c>
      <c r="Q229" t="n">
        <v>0</v>
      </c>
      <c r="R229" s="2" t="inlineStr"/>
    </row>
    <row r="230" ht="15" customHeight="1">
      <c r="A230" t="inlineStr">
        <is>
          <t>A 16820-2024</t>
        </is>
      </c>
      <c r="B230" s="1" t="n">
        <v>45411.46809027778</v>
      </c>
      <c r="C230" s="1" t="n">
        <v>46091</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57752-2023</t>
        </is>
      </c>
      <c r="B231" s="1" t="n">
        <v>45246.78474537037</v>
      </c>
      <c r="C231" s="1" t="n">
        <v>46091</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30980-2022</t>
        </is>
      </c>
      <c r="B232" s="1" t="n">
        <v>44768</v>
      </c>
      <c r="C232" s="1" t="n">
        <v>46091</v>
      </c>
      <c r="D232" t="inlineStr">
        <is>
          <t>ÖSTERGÖTLANDS LÄN</t>
        </is>
      </c>
      <c r="E232" t="inlineStr">
        <is>
          <t>LINKÖPING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61281-2021</t>
        </is>
      </c>
      <c r="B233" s="1" t="n">
        <v>44498.60736111111</v>
      </c>
      <c r="C233" s="1" t="n">
        <v>46091</v>
      </c>
      <c r="D233" t="inlineStr">
        <is>
          <t>ÖSTERGÖTLANDS LÄN</t>
        </is>
      </c>
      <c r="E233" t="inlineStr">
        <is>
          <t>LINKÖPING</t>
        </is>
      </c>
      <c r="G233" t="n">
        <v>4.5</v>
      </c>
      <c r="H233" t="n">
        <v>0</v>
      </c>
      <c r="I233" t="n">
        <v>0</v>
      </c>
      <c r="J233" t="n">
        <v>0</v>
      </c>
      <c r="K233" t="n">
        <v>0</v>
      </c>
      <c r="L233" t="n">
        <v>0</v>
      </c>
      <c r="M233" t="n">
        <v>0</v>
      </c>
      <c r="N233" t="n">
        <v>0</v>
      </c>
      <c r="O233" t="n">
        <v>0</v>
      </c>
      <c r="P233" t="n">
        <v>0</v>
      </c>
      <c r="Q233" t="n">
        <v>0</v>
      </c>
      <c r="R233" s="2" t="inlineStr"/>
    </row>
    <row r="234" ht="15" customHeight="1">
      <c r="A234" t="inlineStr">
        <is>
          <t>A 63935-2021</t>
        </is>
      </c>
      <c r="B234" s="1" t="n">
        <v>44509</v>
      </c>
      <c r="C234" s="1" t="n">
        <v>46091</v>
      </c>
      <c r="D234" t="inlineStr">
        <is>
          <t>ÖSTERGÖTLANDS LÄN</t>
        </is>
      </c>
      <c r="E234" t="inlineStr">
        <is>
          <t>LINKÖPING</t>
        </is>
      </c>
      <c r="F234" t="inlineStr">
        <is>
          <t>Övriga statliga verk och myndigheter</t>
        </is>
      </c>
      <c r="G234" t="n">
        <v>2.8</v>
      </c>
      <c r="H234" t="n">
        <v>0</v>
      </c>
      <c r="I234" t="n">
        <v>0</v>
      </c>
      <c r="J234" t="n">
        <v>0</v>
      </c>
      <c r="K234" t="n">
        <v>0</v>
      </c>
      <c r="L234" t="n">
        <v>0</v>
      </c>
      <c r="M234" t="n">
        <v>0</v>
      </c>
      <c r="N234" t="n">
        <v>0</v>
      </c>
      <c r="O234" t="n">
        <v>0</v>
      </c>
      <c r="P234" t="n">
        <v>0</v>
      </c>
      <c r="Q234" t="n">
        <v>0</v>
      </c>
      <c r="R234" s="2" t="inlineStr"/>
    </row>
    <row r="235" ht="15" customHeight="1">
      <c r="A235" t="inlineStr">
        <is>
          <t>A 24351-2024</t>
        </is>
      </c>
      <c r="B235" s="1" t="n">
        <v>45457.59011574074</v>
      </c>
      <c r="C235" s="1" t="n">
        <v>46091</v>
      </c>
      <c r="D235" t="inlineStr">
        <is>
          <t>ÖSTERGÖTLANDS LÄN</t>
        </is>
      </c>
      <c r="E235" t="inlineStr">
        <is>
          <t>LINKÖPING</t>
        </is>
      </c>
      <c r="G235" t="n">
        <v>11.9</v>
      </c>
      <c r="H235" t="n">
        <v>0</v>
      </c>
      <c r="I235" t="n">
        <v>0</v>
      </c>
      <c r="J235" t="n">
        <v>0</v>
      </c>
      <c r="K235" t="n">
        <v>0</v>
      </c>
      <c r="L235" t="n">
        <v>0</v>
      </c>
      <c r="M235" t="n">
        <v>0</v>
      </c>
      <c r="N235" t="n">
        <v>0</v>
      </c>
      <c r="O235" t="n">
        <v>0</v>
      </c>
      <c r="P235" t="n">
        <v>0</v>
      </c>
      <c r="Q235" t="n">
        <v>0</v>
      </c>
      <c r="R235" s="2" t="inlineStr"/>
    </row>
    <row r="236" ht="15" customHeight="1">
      <c r="A236" t="inlineStr">
        <is>
          <t>A 9473-2024</t>
        </is>
      </c>
      <c r="B236" s="1" t="n">
        <v>45359.55474537037</v>
      </c>
      <c r="C236" s="1" t="n">
        <v>46091</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25292-2021</t>
        </is>
      </c>
      <c r="B237" s="1" t="n">
        <v>44342</v>
      </c>
      <c r="C237" s="1" t="n">
        <v>46091</v>
      </c>
      <c r="D237" t="inlineStr">
        <is>
          <t>ÖSTERGÖTLANDS LÄN</t>
        </is>
      </c>
      <c r="E237" t="inlineStr">
        <is>
          <t>LINKÖPING</t>
        </is>
      </c>
      <c r="F237" t="inlineStr">
        <is>
          <t>Övriga Aktiebolag</t>
        </is>
      </c>
      <c r="G237" t="n">
        <v>12.8</v>
      </c>
      <c r="H237" t="n">
        <v>0</v>
      </c>
      <c r="I237" t="n">
        <v>0</v>
      </c>
      <c r="J237" t="n">
        <v>0</v>
      </c>
      <c r="K237" t="n">
        <v>0</v>
      </c>
      <c r="L237" t="n">
        <v>0</v>
      </c>
      <c r="M237" t="n">
        <v>0</v>
      </c>
      <c r="N237" t="n">
        <v>0</v>
      </c>
      <c r="O237" t="n">
        <v>0</v>
      </c>
      <c r="P237" t="n">
        <v>0</v>
      </c>
      <c r="Q237" t="n">
        <v>0</v>
      </c>
      <c r="R237" s="2" t="inlineStr"/>
    </row>
    <row r="238" ht="15" customHeight="1">
      <c r="A238" t="inlineStr">
        <is>
          <t>A 52111-2025</t>
        </is>
      </c>
      <c r="B238" s="1" t="n">
        <v>45952.69527777778</v>
      </c>
      <c r="C238" s="1" t="n">
        <v>46091</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10797-2024</t>
        </is>
      </c>
      <c r="B239" s="1" t="n">
        <v>45369.6190162037</v>
      </c>
      <c r="C239" s="1" t="n">
        <v>46091</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62501-2023</t>
        </is>
      </c>
      <c r="B240" s="1" t="n">
        <v>45268</v>
      </c>
      <c r="C240" s="1" t="n">
        <v>46091</v>
      </c>
      <c r="D240" t="inlineStr">
        <is>
          <t>ÖSTERGÖTLANDS LÄN</t>
        </is>
      </c>
      <c r="E240" t="inlineStr">
        <is>
          <t>LINKÖPING</t>
        </is>
      </c>
      <c r="G240" t="n">
        <v>7.4</v>
      </c>
      <c r="H240" t="n">
        <v>0</v>
      </c>
      <c r="I240" t="n">
        <v>0</v>
      </c>
      <c r="J240" t="n">
        <v>0</v>
      </c>
      <c r="K240" t="n">
        <v>0</v>
      </c>
      <c r="L240" t="n">
        <v>0</v>
      </c>
      <c r="M240" t="n">
        <v>0</v>
      </c>
      <c r="N240" t="n">
        <v>0</v>
      </c>
      <c r="O240" t="n">
        <v>0</v>
      </c>
      <c r="P240" t="n">
        <v>0</v>
      </c>
      <c r="Q240" t="n">
        <v>0</v>
      </c>
      <c r="R240" s="2" t="inlineStr"/>
    </row>
    <row r="241" ht="15" customHeight="1">
      <c r="A241" t="inlineStr">
        <is>
          <t>A 58947-2022</t>
        </is>
      </c>
      <c r="B241" s="1" t="n">
        <v>44903.64769675926</v>
      </c>
      <c r="C241" s="1" t="n">
        <v>46091</v>
      </c>
      <c r="D241" t="inlineStr">
        <is>
          <t>ÖSTERGÖTLANDS LÄN</t>
        </is>
      </c>
      <c r="E241" t="inlineStr">
        <is>
          <t>LINKÖPING</t>
        </is>
      </c>
      <c r="G241" t="n">
        <v>4</v>
      </c>
      <c r="H241" t="n">
        <v>0</v>
      </c>
      <c r="I241" t="n">
        <v>0</v>
      </c>
      <c r="J241" t="n">
        <v>0</v>
      </c>
      <c r="K241" t="n">
        <v>0</v>
      </c>
      <c r="L241" t="n">
        <v>0</v>
      </c>
      <c r="M241" t="n">
        <v>0</v>
      </c>
      <c r="N241" t="n">
        <v>0</v>
      </c>
      <c r="O241" t="n">
        <v>0</v>
      </c>
      <c r="P241" t="n">
        <v>0</v>
      </c>
      <c r="Q241" t="n">
        <v>0</v>
      </c>
      <c r="R241" s="2" t="inlineStr"/>
    </row>
    <row r="242" ht="15" customHeight="1">
      <c r="A242" t="inlineStr">
        <is>
          <t>A 22264-2025</t>
        </is>
      </c>
      <c r="B242" s="1" t="n">
        <v>45785</v>
      </c>
      <c r="C242" s="1" t="n">
        <v>46091</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49979-2022</t>
        </is>
      </c>
      <c r="B243" s="1" t="n">
        <v>44865</v>
      </c>
      <c r="C243" s="1" t="n">
        <v>46091</v>
      </c>
      <c r="D243" t="inlineStr">
        <is>
          <t>ÖSTERGÖTLANDS LÄN</t>
        </is>
      </c>
      <c r="E243" t="inlineStr">
        <is>
          <t>LINKÖPING</t>
        </is>
      </c>
      <c r="F243" t="inlineStr">
        <is>
          <t>Övriga Aktiebolag</t>
        </is>
      </c>
      <c r="G243" t="n">
        <v>11.4</v>
      </c>
      <c r="H243" t="n">
        <v>0</v>
      </c>
      <c r="I243" t="n">
        <v>0</v>
      </c>
      <c r="J243" t="n">
        <v>0</v>
      </c>
      <c r="K243" t="n">
        <v>0</v>
      </c>
      <c r="L243" t="n">
        <v>0</v>
      </c>
      <c r="M243" t="n">
        <v>0</v>
      </c>
      <c r="N243" t="n">
        <v>0</v>
      </c>
      <c r="O243" t="n">
        <v>0</v>
      </c>
      <c r="P243" t="n">
        <v>0</v>
      </c>
      <c r="Q243" t="n">
        <v>0</v>
      </c>
      <c r="R243" s="2" t="inlineStr"/>
    </row>
    <row r="244" ht="15" customHeight="1">
      <c r="A244" t="inlineStr">
        <is>
          <t>A 53827-2023</t>
        </is>
      </c>
      <c r="B244" s="1" t="n">
        <v>45230</v>
      </c>
      <c r="C244" s="1" t="n">
        <v>46091</v>
      </c>
      <c r="D244" t="inlineStr">
        <is>
          <t>ÖSTERGÖTLANDS LÄN</t>
        </is>
      </c>
      <c r="E244" t="inlineStr">
        <is>
          <t>LINKÖPING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940-2023</t>
        </is>
      </c>
      <c r="B245" s="1" t="n">
        <v>44933</v>
      </c>
      <c r="C245" s="1" t="n">
        <v>46091</v>
      </c>
      <c r="D245" t="inlineStr">
        <is>
          <t>ÖSTERGÖTLANDS LÄN</t>
        </is>
      </c>
      <c r="E245" t="inlineStr">
        <is>
          <t>LINKÖPING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6859-2024</t>
        </is>
      </c>
      <c r="B246" s="1" t="n">
        <v>45342</v>
      </c>
      <c r="C246" s="1" t="n">
        <v>46091</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38580-2024</t>
        </is>
      </c>
      <c r="B247" s="1" t="n">
        <v>45546.64825231482</v>
      </c>
      <c r="C247" s="1" t="n">
        <v>46091</v>
      </c>
      <c r="D247" t="inlineStr">
        <is>
          <t>ÖSTERGÖTLANDS LÄN</t>
        </is>
      </c>
      <c r="E247" t="inlineStr">
        <is>
          <t>LINKÖPING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7992-2023</t>
        </is>
      </c>
      <c r="B248" s="1" t="n">
        <v>44970</v>
      </c>
      <c r="C248" s="1" t="n">
        <v>46091</v>
      </c>
      <c r="D248" t="inlineStr">
        <is>
          <t>ÖSTERGÖTLANDS LÄN</t>
        </is>
      </c>
      <c r="E248" t="inlineStr">
        <is>
          <t>LINKÖPING</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572-2025</t>
        </is>
      </c>
      <c r="B249" s="1" t="n">
        <v>45664.56349537037</v>
      </c>
      <c r="C249" s="1" t="n">
        <v>46091</v>
      </c>
      <c r="D249" t="inlineStr">
        <is>
          <t>ÖSTERGÖTLANDS LÄN</t>
        </is>
      </c>
      <c r="E249" t="inlineStr">
        <is>
          <t>LINKÖPING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45819-2024</t>
        </is>
      </c>
      <c r="B250" s="1" t="n">
        <v>45579.7454050926</v>
      </c>
      <c r="C250" s="1" t="n">
        <v>46091</v>
      </c>
      <c r="D250" t="inlineStr">
        <is>
          <t>ÖSTERGÖTLANDS LÄN</t>
        </is>
      </c>
      <c r="E250" t="inlineStr">
        <is>
          <t>LINKÖPING</t>
        </is>
      </c>
      <c r="G250" t="n">
        <v>5</v>
      </c>
      <c r="H250" t="n">
        <v>0</v>
      </c>
      <c r="I250" t="n">
        <v>0</v>
      </c>
      <c r="J250" t="n">
        <v>0</v>
      </c>
      <c r="K250" t="n">
        <v>0</v>
      </c>
      <c r="L250" t="n">
        <v>0</v>
      </c>
      <c r="M250" t="n">
        <v>0</v>
      </c>
      <c r="N250" t="n">
        <v>0</v>
      </c>
      <c r="O250" t="n">
        <v>0</v>
      </c>
      <c r="P250" t="n">
        <v>0</v>
      </c>
      <c r="Q250" t="n">
        <v>0</v>
      </c>
      <c r="R250" s="2" t="inlineStr"/>
    </row>
    <row r="251" ht="15" customHeight="1">
      <c r="A251" t="inlineStr">
        <is>
          <t>A 22364-2025</t>
        </is>
      </c>
      <c r="B251" s="1" t="n">
        <v>45786.46930555555</v>
      </c>
      <c r="C251" s="1" t="n">
        <v>46091</v>
      </c>
      <c r="D251" t="inlineStr">
        <is>
          <t>ÖSTERGÖTLANDS LÄN</t>
        </is>
      </c>
      <c r="E251" t="inlineStr">
        <is>
          <t>LINKÖPING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39074-2025</t>
        </is>
      </c>
      <c r="B252" s="1" t="n">
        <v>45888</v>
      </c>
      <c r="C252" s="1" t="n">
        <v>46091</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3041-2024</t>
        </is>
      </c>
      <c r="B253" s="1" t="n">
        <v>45316.34875</v>
      </c>
      <c r="C253" s="1" t="n">
        <v>46091</v>
      </c>
      <c r="D253" t="inlineStr">
        <is>
          <t>ÖSTERGÖTLANDS LÄN</t>
        </is>
      </c>
      <c r="E253" t="inlineStr">
        <is>
          <t>LINKÖPING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44287-2024</t>
        </is>
      </c>
      <c r="B254" s="1" t="n">
        <v>45573.50582175926</v>
      </c>
      <c r="C254" s="1" t="n">
        <v>46091</v>
      </c>
      <c r="D254" t="inlineStr">
        <is>
          <t>ÖSTERGÖTLANDS LÄN</t>
        </is>
      </c>
      <c r="E254" t="inlineStr">
        <is>
          <t>LINKÖPING</t>
        </is>
      </c>
      <c r="G254" t="n">
        <v>12.7</v>
      </c>
      <c r="H254" t="n">
        <v>0</v>
      </c>
      <c r="I254" t="n">
        <v>0</v>
      </c>
      <c r="J254" t="n">
        <v>0</v>
      </c>
      <c r="K254" t="n">
        <v>0</v>
      </c>
      <c r="L254" t="n">
        <v>0</v>
      </c>
      <c r="M254" t="n">
        <v>0</v>
      </c>
      <c r="N254" t="n">
        <v>0</v>
      </c>
      <c r="O254" t="n">
        <v>0</v>
      </c>
      <c r="P254" t="n">
        <v>0</v>
      </c>
      <c r="Q254" t="n">
        <v>0</v>
      </c>
      <c r="R254" s="2" t="inlineStr"/>
    </row>
    <row r="255" ht="15" customHeight="1">
      <c r="A255" t="inlineStr">
        <is>
          <t>A 3530-2024</t>
        </is>
      </c>
      <c r="B255" s="1" t="n">
        <v>45320.54717592592</v>
      </c>
      <c r="C255" s="1" t="n">
        <v>46091</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29312-2024</t>
        </is>
      </c>
      <c r="B256" s="1" t="n">
        <v>45483</v>
      </c>
      <c r="C256" s="1" t="n">
        <v>46091</v>
      </c>
      <c r="D256" t="inlineStr">
        <is>
          <t>ÖSTERGÖTLANDS LÄN</t>
        </is>
      </c>
      <c r="E256" t="inlineStr">
        <is>
          <t>LINKÖPING</t>
        </is>
      </c>
      <c r="G256" t="n">
        <v>2.1</v>
      </c>
      <c r="H256" t="n">
        <v>0</v>
      </c>
      <c r="I256" t="n">
        <v>0</v>
      </c>
      <c r="J256" t="n">
        <v>0</v>
      </c>
      <c r="K256" t="n">
        <v>0</v>
      </c>
      <c r="L256" t="n">
        <v>0</v>
      </c>
      <c r="M256" t="n">
        <v>0</v>
      </c>
      <c r="N256" t="n">
        <v>0</v>
      </c>
      <c r="O256" t="n">
        <v>0</v>
      </c>
      <c r="P256" t="n">
        <v>0</v>
      </c>
      <c r="Q256" t="n">
        <v>0</v>
      </c>
      <c r="R256" s="2" t="inlineStr"/>
    </row>
    <row r="257" ht="15" customHeight="1">
      <c r="A257" t="inlineStr">
        <is>
          <t>A 38971-2025</t>
        </is>
      </c>
      <c r="B257" s="1" t="n">
        <v>45887.71827546296</v>
      </c>
      <c r="C257" s="1" t="n">
        <v>46091</v>
      </c>
      <c r="D257" t="inlineStr">
        <is>
          <t>ÖSTERGÖTLANDS LÄN</t>
        </is>
      </c>
      <c r="E257" t="inlineStr">
        <is>
          <t>LINKÖPING</t>
        </is>
      </c>
      <c r="G257" t="n">
        <v>3.9</v>
      </c>
      <c r="H257" t="n">
        <v>0</v>
      </c>
      <c r="I257" t="n">
        <v>0</v>
      </c>
      <c r="J257" t="n">
        <v>0</v>
      </c>
      <c r="K257" t="n">
        <v>0</v>
      </c>
      <c r="L257" t="n">
        <v>0</v>
      </c>
      <c r="M257" t="n">
        <v>0</v>
      </c>
      <c r="N257" t="n">
        <v>0</v>
      </c>
      <c r="O257" t="n">
        <v>0</v>
      </c>
      <c r="P257" t="n">
        <v>0</v>
      </c>
      <c r="Q257" t="n">
        <v>0</v>
      </c>
      <c r="R257" s="2" t="inlineStr"/>
    </row>
    <row r="258" ht="15" customHeight="1">
      <c r="A258" t="inlineStr">
        <is>
          <t>A 72567-2021</t>
        </is>
      </c>
      <c r="B258" s="1" t="n">
        <v>44546.45023148148</v>
      </c>
      <c r="C258" s="1" t="n">
        <v>46091</v>
      </c>
      <c r="D258" t="inlineStr">
        <is>
          <t>ÖSTERGÖTLANDS LÄN</t>
        </is>
      </c>
      <c r="E258" t="inlineStr">
        <is>
          <t>LINKÖPING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62686-2023</t>
        </is>
      </c>
      <c r="B259" s="1" t="n">
        <v>45271</v>
      </c>
      <c r="C259" s="1" t="n">
        <v>46091</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27264-2025</t>
        </is>
      </c>
      <c r="B260" s="1" t="n">
        <v>45812.4794212963</v>
      </c>
      <c r="C260" s="1" t="n">
        <v>46091</v>
      </c>
      <c r="D260" t="inlineStr">
        <is>
          <t>ÖSTERGÖTLANDS LÄN</t>
        </is>
      </c>
      <c r="E260" t="inlineStr">
        <is>
          <t>LINKÖPING</t>
        </is>
      </c>
      <c r="G260" t="n">
        <v>2.6</v>
      </c>
      <c r="H260" t="n">
        <v>0</v>
      </c>
      <c r="I260" t="n">
        <v>0</v>
      </c>
      <c r="J260" t="n">
        <v>0</v>
      </c>
      <c r="K260" t="n">
        <v>0</v>
      </c>
      <c r="L260" t="n">
        <v>0</v>
      </c>
      <c r="M260" t="n">
        <v>0</v>
      </c>
      <c r="N260" t="n">
        <v>0</v>
      </c>
      <c r="O260" t="n">
        <v>0</v>
      </c>
      <c r="P260" t="n">
        <v>0</v>
      </c>
      <c r="Q260" t="n">
        <v>0</v>
      </c>
      <c r="R260" s="2" t="inlineStr"/>
    </row>
    <row r="261" ht="15" customHeight="1">
      <c r="A261" t="inlineStr">
        <is>
          <t>A 55345-2021</t>
        </is>
      </c>
      <c r="B261" s="1" t="n">
        <v>44475</v>
      </c>
      <c r="C261" s="1" t="n">
        <v>46091</v>
      </c>
      <c r="D261" t="inlineStr">
        <is>
          <t>ÖSTERGÖTLANDS LÄN</t>
        </is>
      </c>
      <c r="E261" t="inlineStr">
        <is>
          <t>LINKÖPING</t>
        </is>
      </c>
      <c r="G261" t="n">
        <v>5.7</v>
      </c>
      <c r="H261" t="n">
        <v>0</v>
      </c>
      <c r="I261" t="n">
        <v>0</v>
      </c>
      <c r="J261" t="n">
        <v>0</v>
      </c>
      <c r="K261" t="n">
        <v>0</v>
      </c>
      <c r="L261" t="n">
        <v>0</v>
      </c>
      <c r="M261" t="n">
        <v>0</v>
      </c>
      <c r="N261" t="n">
        <v>0</v>
      </c>
      <c r="O261" t="n">
        <v>0</v>
      </c>
      <c r="P261" t="n">
        <v>0</v>
      </c>
      <c r="Q261" t="n">
        <v>0</v>
      </c>
      <c r="R261" s="2" t="inlineStr"/>
    </row>
    <row r="262" ht="15" customHeight="1">
      <c r="A262" t="inlineStr">
        <is>
          <t>A 63489-2023</t>
        </is>
      </c>
      <c r="B262" s="1" t="n">
        <v>45274.66761574074</v>
      </c>
      <c r="C262" s="1" t="n">
        <v>46091</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39438-2025</t>
        </is>
      </c>
      <c r="B263" s="1" t="n">
        <v>45889.68641203704</v>
      </c>
      <c r="C263" s="1" t="n">
        <v>46091</v>
      </c>
      <c r="D263" t="inlineStr">
        <is>
          <t>ÖSTERGÖTLANDS LÄN</t>
        </is>
      </c>
      <c r="E263" t="inlineStr">
        <is>
          <t>LINKÖPING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23120-2025</t>
        </is>
      </c>
      <c r="B264" s="1" t="n">
        <v>45791.37481481482</v>
      </c>
      <c r="C264" s="1" t="n">
        <v>46091</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70-2024</t>
        </is>
      </c>
      <c r="B265" s="1" t="n">
        <v>45293</v>
      </c>
      <c r="C265" s="1" t="n">
        <v>46091</v>
      </c>
      <c r="D265" t="inlineStr">
        <is>
          <t>ÖSTERGÖTLANDS LÄN</t>
        </is>
      </c>
      <c r="E265" t="inlineStr">
        <is>
          <t>LINKÖPING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6782-2024</t>
        </is>
      </c>
      <c r="B266" s="1" t="n">
        <v>45342</v>
      </c>
      <c r="C266" s="1" t="n">
        <v>46091</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617-2024</t>
        </is>
      </c>
      <c r="B267" s="1" t="n">
        <v>45299.66028935185</v>
      </c>
      <c r="C267" s="1" t="n">
        <v>46091</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670-2024</t>
        </is>
      </c>
      <c r="B268" s="1" t="n">
        <v>45300.3408912037</v>
      </c>
      <c r="C268" s="1" t="n">
        <v>46091</v>
      </c>
      <c r="D268" t="inlineStr">
        <is>
          <t>ÖSTERGÖTLANDS LÄN</t>
        </is>
      </c>
      <c r="E268" t="inlineStr">
        <is>
          <t>LINKÖPING</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52125-2022</t>
        </is>
      </c>
      <c r="B269" s="1" t="n">
        <v>44873</v>
      </c>
      <c r="C269" s="1" t="n">
        <v>46091</v>
      </c>
      <c r="D269" t="inlineStr">
        <is>
          <t>ÖSTERGÖTLANDS LÄN</t>
        </is>
      </c>
      <c r="E269" t="inlineStr">
        <is>
          <t>LINKÖPING</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40169-2025</t>
        </is>
      </c>
      <c r="B270" s="1" t="n">
        <v>45894.62824074074</v>
      </c>
      <c r="C270" s="1" t="n">
        <v>46091</v>
      </c>
      <c r="D270" t="inlineStr">
        <is>
          <t>ÖSTERGÖTLANDS LÄN</t>
        </is>
      </c>
      <c r="E270" t="inlineStr">
        <is>
          <t>LINKÖPING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48699-2024</t>
        </is>
      </c>
      <c r="B271" s="1" t="n">
        <v>45593.52091435185</v>
      </c>
      <c r="C271" s="1" t="n">
        <v>46091</v>
      </c>
      <c r="D271" t="inlineStr">
        <is>
          <t>ÖSTERGÖTLANDS LÄN</t>
        </is>
      </c>
      <c r="E271" t="inlineStr">
        <is>
          <t>LINKÖPING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1084-2023</t>
        </is>
      </c>
      <c r="B272" s="1" t="n">
        <v>44929</v>
      </c>
      <c r="C272" s="1" t="n">
        <v>46091</v>
      </c>
      <c r="D272" t="inlineStr">
        <is>
          <t>ÖSTERGÖTLANDS LÄN</t>
        </is>
      </c>
      <c r="E272" t="inlineStr">
        <is>
          <t>LINKÖPING</t>
        </is>
      </c>
      <c r="G272" t="n">
        <v>10.4</v>
      </c>
      <c r="H272" t="n">
        <v>0</v>
      </c>
      <c r="I272" t="n">
        <v>0</v>
      </c>
      <c r="J272" t="n">
        <v>0</v>
      </c>
      <c r="K272" t="n">
        <v>0</v>
      </c>
      <c r="L272" t="n">
        <v>0</v>
      </c>
      <c r="M272" t="n">
        <v>0</v>
      </c>
      <c r="N272" t="n">
        <v>0</v>
      </c>
      <c r="O272" t="n">
        <v>0</v>
      </c>
      <c r="P272" t="n">
        <v>0</v>
      </c>
      <c r="Q272" t="n">
        <v>0</v>
      </c>
      <c r="R272" s="2" t="inlineStr"/>
    </row>
    <row r="273" ht="15" customHeight="1">
      <c r="A273" t="inlineStr">
        <is>
          <t>A 29859-2024</t>
        </is>
      </c>
      <c r="B273" s="1" t="n">
        <v>45485.6846412037</v>
      </c>
      <c r="C273" s="1" t="n">
        <v>46091</v>
      </c>
      <c r="D273" t="inlineStr">
        <is>
          <t>ÖSTERGÖTLANDS LÄN</t>
        </is>
      </c>
      <c r="E273" t="inlineStr">
        <is>
          <t>LINKÖPING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51571-2024</t>
        </is>
      </c>
      <c r="B274" s="1" t="n">
        <v>45604</v>
      </c>
      <c r="C274" s="1" t="n">
        <v>46091</v>
      </c>
      <c r="D274" t="inlineStr">
        <is>
          <t>ÖSTERGÖTLANDS LÄN</t>
        </is>
      </c>
      <c r="E274" t="inlineStr">
        <is>
          <t>LINKÖPING</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223-2024</t>
        </is>
      </c>
      <c r="B275" s="1" t="n">
        <v>45294.72739583333</v>
      </c>
      <c r="C275" s="1" t="n">
        <v>46091</v>
      </c>
      <c r="D275" t="inlineStr">
        <is>
          <t>ÖSTERGÖTLANDS LÄN</t>
        </is>
      </c>
      <c r="E275" t="inlineStr">
        <is>
          <t>LINKÖPING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227-2024</t>
        </is>
      </c>
      <c r="B276" s="1" t="n">
        <v>45294.73603009259</v>
      </c>
      <c r="C276" s="1" t="n">
        <v>46091</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13911-2025</t>
        </is>
      </c>
      <c r="B277" s="1" t="n">
        <v>45737.64784722222</v>
      </c>
      <c r="C277" s="1" t="n">
        <v>46091</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23768-2025</t>
        </is>
      </c>
      <c r="B278" s="1" t="n">
        <v>45793.47493055555</v>
      </c>
      <c r="C278" s="1" t="n">
        <v>46091</v>
      </c>
      <c r="D278" t="inlineStr">
        <is>
          <t>ÖSTERGÖTLANDS LÄN</t>
        </is>
      </c>
      <c r="E278" t="inlineStr">
        <is>
          <t>LINKÖPING</t>
        </is>
      </c>
      <c r="G278" t="n">
        <v>3.4</v>
      </c>
      <c r="H278" t="n">
        <v>0</v>
      </c>
      <c r="I278" t="n">
        <v>0</v>
      </c>
      <c r="J278" t="n">
        <v>0</v>
      </c>
      <c r="K278" t="n">
        <v>0</v>
      </c>
      <c r="L278" t="n">
        <v>0</v>
      </c>
      <c r="M278" t="n">
        <v>0</v>
      </c>
      <c r="N278" t="n">
        <v>0</v>
      </c>
      <c r="O278" t="n">
        <v>0</v>
      </c>
      <c r="P278" t="n">
        <v>0</v>
      </c>
      <c r="Q278" t="n">
        <v>0</v>
      </c>
      <c r="R278" s="2" t="inlineStr"/>
    </row>
    <row r="279" ht="15" customHeight="1">
      <c r="A279" t="inlineStr">
        <is>
          <t>A 56917-2022</t>
        </is>
      </c>
      <c r="B279" s="1" t="n">
        <v>44894</v>
      </c>
      <c r="C279" s="1" t="n">
        <v>46091</v>
      </c>
      <c r="D279" t="inlineStr">
        <is>
          <t>ÖSTERGÖTLANDS LÄN</t>
        </is>
      </c>
      <c r="E279" t="inlineStr">
        <is>
          <t>LINKÖPING</t>
        </is>
      </c>
      <c r="G279" t="n">
        <v>2.2</v>
      </c>
      <c r="H279" t="n">
        <v>0</v>
      </c>
      <c r="I279" t="n">
        <v>0</v>
      </c>
      <c r="J279" t="n">
        <v>0</v>
      </c>
      <c r="K279" t="n">
        <v>0</v>
      </c>
      <c r="L279" t="n">
        <v>0</v>
      </c>
      <c r="M279" t="n">
        <v>0</v>
      </c>
      <c r="N279" t="n">
        <v>0</v>
      </c>
      <c r="O279" t="n">
        <v>0</v>
      </c>
      <c r="P279" t="n">
        <v>0</v>
      </c>
      <c r="Q279" t="n">
        <v>0</v>
      </c>
      <c r="R279" s="2" t="inlineStr"/>
    </row>
    <row r="280" ht="15" customHeight="1">
      <c r="A280" t="inlineStr">
        <is>
          <t>A 1265-2023</t>
        </is>
      </c>
      <c r="B280" s="1" t="n">
        <v>44936</v>
      </c>
      <c r="C280" s="1" t="n">
        <v>46091</v>
      </c>
      <c r="D280" t="inlineStr">
        <is>
          <t>ÖSTERGÖTLANDS LÄN</t>
        </is>
      </c>
      <c r="E280" t="inlineStr">
        <is>
          <t>LINKÖPING</t>
        </is>
      </c>
      <c r="G280" t="n">
        <v>2.3</v>
      </c>
      <c r="H280" t="n">
        <v>0</v>
      </c>
      <c r="I280" t="n">
        <v>0</v>
      </c>
      <c r="J280" t="n">
        <v>0</v>
      </c>
      <c r="K280" t="n">
        <v>0</v>
      </c>
      <c r="L280" t="n">
        <v>0</v>
      </c>
      <c r="M280" t="n">
        <v>0</v>
      </c>
      <c r="N280" t="n">
        <v>0</v>
      </c>
      <c r="O280" t="n">
        <v>0</v>
      </c>
      <c r="P280" t="n">
        <v>0</v>
      </c>
      <c r="Q280" t="n">
        <v>0</v>
      </c>
      <c r="R280" s="2" t="inlineStr"/>
    </row>
    <row r="281" ht="15" customHeight="1">
      <c r="A281" t="inlineStr">
        <is>
          <t>A 1362-2023</t>
        </is>
      </c>
      <c r="B281" s="1" t="n">
        <v>44931</v>
      </c>
      <c r="C281" s="1" t="n">
        <v>46091</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54034-2022</t>
        </is>
      </c>
      <c r="B282" s="1" t="n">
        <v>44881</v>
      </c>
      <c r="C282" s="1" t="n">
        <v>46091</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55493-2021</t>
        </is>
      </c>
      <c r="B283" s="1" t="n">
        <v>44475.61988425926</v>
      </c>
      <c r="C283" s="1" t="n">
        <v>46091</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6054-2022</t>
        </is>
      </c>
      <c r="B284" s="1" t="n">
        <v>44599.53623842593</v>
      </c>
      <c r="C284" s="1" t="n">
        <v>46091</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25119-2023</t>
        </is>
      </c>
      <c r="B285" s="1" t="n">
        <v>45086.42326388889</v>
      </c>
      <c r="C285" s="1" t="n">
        <v>46091</v>
      </c>
      <c r="D285" t="inlineStr">
        <is>
          <t>ÖSTERGÖTLANDS LÄN</t>
        </is>
      </c>
      <c r="E285" t="inlineStr">
        <is>
          <t>LINKÖPING</t>
        </is>
      </c>
      <c r="G285" t="n">
        <v>3.2</v>
      </c>
      <c r="H285" t="n">
        <v>0</v>
      </c>
      <c r="I285" t="n">
        <v>0</v>
      </c>
      <c r="J285" t="n">
        <v>0</v>
      </c>
      <c r="K285" t="n">
        <v>0</v>
      </c>
      <c r="L285" t="n">
        <v>0</v>
      </c>
      <c r="M285" t="n">
        <v>0</v>
      </c>
      <c r="N285" t="n">
        <v>0</v>
      </c>
      <c r="O285" t="n">
        <v>0</v>
      </c>
      <c r="P285" t="n">
        <v>0</v>
      </c>
      <c r="Q285" t="n">
        <v>0</v>
      </c>
      <c r="R285" s="2" t="inlineStr"/>
    </row>
    <row r="286" ht="15" customHeight="1">
      <c r="A286" t="inlineStr">
        <is>
          <t>A 41706-2025</t>
        </is>
      </c>
      <c r="B286" s="1" t="n">
        <v>45902.42209490741</v>
      </c>
      <c r="C286" s="1" t="n">
        <v>46091</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4456-2024</t>
        </is>
      </c>
      <c r="B287" s="1" t="n">
        <v>45327.52847222222</v>
      </c>
      <c r="C287" s="1" t="n">
        <v>46091</v>
      </c>
      <c r="D287" t="inlineStr">
        <is>
          <t>ÖSTERGÖTLANDS LÄN</t>
        </is>
      </c>
      <c r="E287" t="inlineStr">
        <is>
          <t>LINKÖPING</t>
        </is>
      </c>
      <c r="G287" t="n">
        <v>2.7</v>
      </c>
      <c r="H287" t="n">
        <v>0</v>
      </c>
      <c r="I287" t="n">
        <v>0</v>
      </c>
      <c r="J287" t="n">
        <v>0</v>
      </c>
      <c r="K287" t="n">
        <v>0</v>
      </c>
      <c r="L287" t="n">
        <v>0</v>
      </c>
      <c r="M287" t="n">
        <v>0</v>
      </c>
      <c r="N287" t="n">
        <v>0</v>
      </c>
      <c r="O287" t="n">
        <v>0</v>
      </c>
      <c r="P287" t="n">
        <v>0</v>
      </c>
      <c r="Q287" t="n">
        <v>0</v>
      </c>
      <c r="R287" s="2" t="inlineStr"/>
    </row>
    <row r="288" ht="15" customHeight="1">
      <c r="A288" t="inlineStr">
        <is>
          <t>A 58114-2021</t>
        </is>
      </c>
      <c r="B288" s="1" t="n">
        <v>44487</v>
      </c>
      <c r="C288" s="1" t="n">
        <v>46091</v>
      </c>
      <c r="D288" t="inlineStr">
        <is>
          <t>ÖSTERGÖTLANDS LÄN</t>
        </is>
      </c>
      <c r="E288" t="inlineStr">
        <is>
          <t>LINKÖPING</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52800-2025</t>
        </is>
      </c>
      <c r="B289" s="1" t="n">
        <v>45957.44152777778</v>
      </c>
      <c r="C289" s="1" t="n">
        <v>46091</v>
      </c>
      <c r="D289" t="inlineStr">
        <is>
          <t>ÖSTERGÖTLANDS LÄN</t>
        </is>
      </c>
      <c r="E289" t="inlineStr">
        <is>
          <t>LINKÖPING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52802-2025</t>
        </is>
      </c>
      <c r="B290" s="1" t="n">
        <v>45957.44295138889</v>
      </c>
      <c r="C290" s="1" t="n">
        <v>46091</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41511-2025</t>
        </is>
      </c>
      <c r="B291" s="1" t="n">
        <v>45901.53839120371</v>
      </c>
      <c r="C291" s="1" t="n">
        <v>46091</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52892-2024</t>
        </is>
      </c>
      <c r="B292" s="1" t="n">
        <v>45610</v>
      </c>
      <c r="C292" s="1" t="n">
        <v>46091</v>
      </c>
      <c r="D292" t="inlineStr">
        <is>
          <t>ÖSTERGÖTLANDS LÄN</t>
        </is>
      </c>
      <c r="E292" t="inlineStr">
        <is>
          <t>LINKÖPING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3042-2024</t>
        </is>
      </c>
      <c r="B293" s="1" t="n">
        <v>45316.35028935185</v>
      </c>
      <c r="C293" s="1" t="n">
        <v>46091</v>
      </c>
      <c r="D293" t="inlineStr">
        <is>
          <t>ÖSTERGÖTLANDS LÄN</t>
        </is>
      </c>
      <c r="E293" t="inlineStr">
        <is>
          <t>LINKÖPING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29293-2025</t>
        </is>
      </c>
      <c r="B294" s="1" t="n">
        <v>45824</v>
      </c>
      <c r="C294" s="1" t="n">
        <v>46091</v>
      </c>
      <c r="D294" t="inlineStr">
        <is>
          <t>ÖSTERGÖTLANDS LÄN</t>
        </is>
      </c>
      <c r="E294" t="inlineStr">
        <is>
          <t>LINKÖPING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44280-2024</t>
        </is>
      </c>
      <c r="B295" s="1" t="n">
        <v>45573.49461805556</v>
      </c>
      <c r="C295" s="1" t="n">
        <v>46091</v>
      </c>
      <c r="D295" t="inlineStr">
        <is>
          <t>ÖSTERGÖTLANDS LÄN</t>
        </is>
      </c>
      <c r="E295" t="inlineStr">
        <is>
          <t>LINKÖPING</t>
        </is>
      </c>
      <c r="G295" t="n">
        <v>5.3</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44945.79784722222</v>
      </c>
      <c r="C296" s="1" t="n">
        <v>46091</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55736-2022</t>
        </is>
      </c>
      <c r="B297" s="1" t="n">
        <v>44888</v>
      </c>
      <c r="C297" s="1" t="n">
        <v>46091</v>
      </c>
      <c r="D297" t="inlineStr">
        <is>
          <t>ÖSTERGÖTLANDS LÄN</t>
        </is>
      </c>
      <c r="E297" t="inlineStr">
        <is>
          <t>LINKÖPING</t>
        </is>
      </c>
      <c r="G297" t="n">
        <v>5.5</v>
      </c>
      <c r="H297" t="n">
        <v>0</v>
      </c>
      <c r="I297" t="n">
        <v>0</v>
      </c>
      <c r="J297" t="n">
        <v>0</v>
      </c>
      <c r="K297" t="n">
        <v>0</v>
      </c>
      <c r="L297" t="n">
        <v>0</v>
      </c>
      <c r="M297" t="n">
        <v>0</v>
      </c>
      <c r="N297" t="n">
        <v>0</v>
      </c>
      <c r="O297" t="n">
        <v>0</v>
      </c>
      <c r="P297" t="n">
        <v>0</v>
      </c>
      <c r="Q297" t="n">
        <v>0</v>
      </c>
      <c r="R297" s="2" t="inlineStr"/>
    </row>
    <row r="298" ht="15" customHeight="1">
      <c r="A298" t="inlineStr">
        <is>
          <t>A 42623-2025</t>
        </is>
      </c>
      <c r="B298" s="1" t="n">
        <v>45905</v>
      </c>
      <c r="C298" s="1" t="n">
        <v>46091</v>
      </c>
      <c r="D298" t="inlineStr">
        <is>
          <t>ÖSTERGÖTLANDS LÄN</t>
        </is>
      </c>
      <c r="E298" t="inlineStr">
        <is>
          <t>LINKÖPING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25996-2025</t>
        </is>
      </c>
      <c r="B299" s="1" t="n">
        <v>45804.65851851852</v>
      </c>
      <c r="C299" s="1" t="n">
        <v>46091</v>
      </c>
      <c r="D299" t="inlineStr">
        <is>
          <t>ÖSTERGÖTLANDS LÄN</t>
        </is>
      </c>
      <c r="E299" t="inlineStr">
        <is>
          <t>LINKÖPING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30434-2024</t>
        </is>
      </c>
      <c r="B300" s="1" t="n">
        <v>45491.69811342593</v>
      </c>
      <c r="C300" s="1" t="n">
        <v>46091</v>
      </c>
      <c r="D300" t="inlineStr">
        <is>
          <t>ÖSTERGÖTLANDS LÄN</t>
        </is>
      </c>
      <c r="E300" t="inlineStr">
        <is>
          <t>LINKÖPING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42624-2025</t>
        </is>
      </c>
      <c r="B301" s="1" t="n">
        <v>45905</v>
      </c>
      <c r="C301" s="1" t="n">
        <v>46091</v>
      </c>
      <c r="D301" t="inlineStr">
        <is>
          <t>ÖSTERGÖTLANDS LÄN</t>
        </is>
      </c>
      <c r="E301" t="inlineStr">
        <is>
          <t>LINKÖPING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42626-2025</t>
        </is>
      </c>
      <c r="B302" s="1" t="n">
        <v>45905</v>
      </c>
      <c r="C302" s="1" t="n">
        <v>46091</v>
      </c>
      <c r="D302" t="inlineStr">
        <is>
          <t>ÖSTERGÖTLANDS LÄN</t>
        </is>
      </c>
      <c r="E302" t="inlineStr">
        <is>
          <t>LINKÖPING</t>
        </is>
      </c>
      <c r="G302" t="n">
        <v>3.6</v>
      </c>
      <c r="H302" t="n">
        <v>0</v>
      </c>
      <c r="I302" t="n">
        <v>0</v>
      </c>
      <c r="J302" t="n">
        <v>0</v>
      </c>
      <c r="K302" t="n">
        <v>0</v>
      </c>
      <c r="L302" t="n">
        <v>0</v>
      </c>
      <c r="M302" t="n">
        <v>0</v>
      </c>
      <c r="N302" t="n">
        <v>0</v>
      </c>
      <c r="O302" t="n">
        <v>0</v>
      </c>
      <c r="P302" t="n">
        <v>0</v>
      </c>
      <c r="Q302" t="n">
        <v>0</v>
      </c>
      <c r="R302" s="2" t="inlineStr"/>
    </row>
    <row r="303" ht="15" customHeight="1">
      <c r="A303" t="inlineStr">
        <is>
          <t>A 11084-2022</t>
        </is>
      </c>
      <c r="B303" s="1" t="n">
        <v>44628</v>
      </c>
      <c r="C303" s="1" t="n">
        <v>46091</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26002-2025</t>
        </is>
      </c>
      <c r="B304" s="1" t="n">
        <v>45804.66534722222</v>
      </c>
      <c r="C304" s="1" t="n">
        <v>46091</v>
      </c>
      <c r="D304" t="inlineStr">
        <is>
          <t>ÖSTERGÖTLANDS LÄN</t>
        </is>
      </c>
      <c r="E304" t="inlineStr">
        <is>
          <t>LINKÖPING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52740-2025</t>
        </is>
      </c>
      <c r="B305" s="1" t="n">
        <v>45957.37747685185</v>
      </c>
      <c r="C305" s="1" t="n">
        <v>46091</v>
      </c>
      <c r="D305" t="inlineStr">
        <is>
          <t>ÖSTERGÖTLANDS LÄN</t>
        </is>
      </c>
      <c r="E305" t="inlineStr">
        <is>
          <t>LINKÖPING</t>
        </is>
      </c>
      <c r="G305" t="n">
        <v>3.7</v>
      </c>
      <c r="H305" t="n">
        <v>0</v>
      </c>
      <c r="I305" t="n">
        <v>0</v>
      </c>
      <c r="J305" t="n">
        <v>0</v>
      </c>
      <c r="K305" t="n">
        <v>0</v>
      </c>
      <c r="L305" t="n">
        <v>0</v>
      </c>
      <c r="M305" t="n">
        <v>0</v>
      </c>
      <c r="N305" t="n">
        <v>0</v>
      </c>
      <c r="O305" t="n">
        <v>0</v>
      </c>
      <c r="P305" t="n">
        <v>0</v>
      </c>
      <c r="Q305" t="n">
        <v>0</v>
      </c>
      <c r="R305" s="2" t="inlineStr"/>
    </row>
    <row r="306" ht="15" customHeight="1">
      <c r="A306" t="inlineStr">
        <is>
          <t>A 52743-2025</t>
        </is>
      </c>
      <c r="B306" s="1" t="n">
        <v>45957.38039351852</v>
      </c>
      <c r="C306" s="1" t="n">
        <v>46091</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52807-2025</t>
        </is>
      </c>
      <c r="B307" s="1" t="n">
        <v>45957.44837962963</v>
      </c>
      <c r="C307" s="1" t="n">
        <v>46091</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57745-2022</t>
        </is>
      </c>
      <c r="B308" s="1" t="n">
        <v>44897.58119212963</v>
      </c>
      <c r="C308" s="1" t="n">
        <v>46091</v>
      </c>
      <c r="D308" t="inlineStr">
        <is>
          <t>ÖSTERGÖTLANDS LÄN</t>
        </is>
      </c>
      <c r="E308" t="inlineStr">
        <is>
          <t>LINKÖPING</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14520-2025</t>
        </is>
      </c>
      <c r="B309" s="1" t="n">
        <v>45741</v>
      </c>
      <c r="C309" s="1" t="n">
        <v>46091</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56064-2022</t>
        </is>
      </c>
      <c r="B310" s="1" t="n">
        <v>44889.59107638889</v>
      </c>
      <c r="C310" s="1" t="n">
        <v>46091</v>
      </c>
      <c r="D310" t="inlineStr">
        <is>
          <t>ÖSTERGÖTLANDS LÄN</t>
        </is>
      </c>
      <c r="E310" t="inlineStr">
        <is>
          <t>LINKÖPING</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40502-2024</t>
        </is>
      </c>
      <c r="B311" s="1" t="n">
        <v>45555.57263888889</v>
      </c>
      <c r="C311" s="1" t="n">
        <v>46091</v>
      </c>
      <c r="D311" t="inlineStr">
        <is>
          <t>ÖSTERGÖTLANDS LÄN</t>
        </is>
      </c>
      <c r="E311" t="inlineStr">
        <is>
          <t>LINKÖPING</t>
        </is>
      </c>
      <c r="F311" t="inlineStr">
        <is>
          <t>Allmännings- och besparingsskogar</t>
        </is>
      </c>
      <c r="G311" t="n">
        <v>17.5</v>
      </c>
      <c r="H311" t="n">
        <v>0</v>
      </c>
      <c r="I311" t="n">
        <v>0</v>
      </c>
      <c r="J311" t="n">
        <v>0</v>
      </c>
      <c r="K311" t="n">
        <v>0</v>
      </c>
      <c r="L311" t="n">
        <v>0</v>
      </c>
      <c r="M311" t="n">
        <v>0</v>
      </c>
      <c r="N311" t="n">
        <v>0</v>
      </c>
      <c r="O311" t="n">
        <v>0</v>
      </c>
      <c r="P311" t="n">
        <v>0</v>
      </c>
      <c r="Q311" t="n">
        <v>0</v>
      </c>
      <c r="R311" s="2" t="inlineStr"/>
    </row>
    <row r="312" ht="15" customHeight="1">
      <c r="A312" t="inlineStr">
        <is>
          <t>A 43755-2025</t>
        </is>
      </c>
      <c r="B312" s="1" t="n">
        <v>45912.47329861111</v>
      </c>
      <c r="C312" s="1" t="n">
        <v>46091</v>
      </c>
      <c r="D312" t="inlineStr">
        <is>
          <t>ÖSTERGÖTLANDS LÄN</t>
        </is>
      </c>
      <c r="E312" t="inlineStr">
        <is>
          <t>LINKÖPING</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44155-2024</t>
        </is>
      </c>
      <c r="B313" s="1" t="n">
        <v>45572.68226851852</v>
      </c>
      <c r="C313" s="1" t="n">
        <v>46091</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43753-2025</t>
        </is>
      </c>
      <c r="B314" s="1" t="n">
        <v>45912.4715625</v>
      </c>
      <c r="C314" s="1" t="n">
        <v>46091</v>
      </c>
      <c r="D314" t="inlineStr">
        <is>
          <t>ÖSTERGÖTLANDS LÄN</t>
        </is>
      </c>
      <c r="E314" t="inlineStr">
        <is>
          <t>LINKÖPING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43758-2025</t>
        </is>
      </c>
      <c r="B315" s="1" t="n">
        <v>45912.47711805555</v>
      </c>
      <c r="C315" s="1" t="n">
        <v>46091</v>
      </c>
      <c r="D315" t="inlineStr">
        <is>
          <t>ÖSTERGÖTLANDS LÄN</t>
        </is>
      </c>
      <c r="E315" t="inlineStr">
        <is>
          <t>LINKÖPING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44170-2025</t>
        </is>
      </c>
      <c r="B316" s="1" t="n">
        <v>45915.59864583334</v>
      </c>
      <c r="C316" s="1" t="n">
        <v>46091</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42997-2021</t>
        </is>
      </c>
      <c r="B317" s="1" t="n">
        <v>44431.45556712963</v>
      </c>
      <c r="C317" s="1" t="n">
        <v>46091</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44759-2025</t>
        </is>
      </c>
      <c r="B318" s="1" t="n">
        <v>45917.7152662037</v>
      </c>
      <c r="C318" s="1" t="n">
        <v>46091</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44764-2025</t>
        </is>
      </c>
      <c r="B319" s="1" t="n">
        <v>45917.72821759259</v>
      </c>
      <c r="C319" s="1" t="n">
        <v>46091</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14028-2024</t>
        </is>
      </c>
      <c r="B320" s="1" t="n">
        <v>45392</v>
      </c>
      <c r="C320" s="1" t="n">
        <v>46091</v>
      </c>
      <c r="D320" t="inlineStr">
        <is>
          <t>ÖSTERGÖTLANDS LÄN</t>
        </is>
      </c>
      <c r="E320" t="inlineStr">
        <is>
          <t>LINKÖPING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45112-2025</t>
        </is>
      </c>
      <c r="B321" s="1" t="n">
        <v>45919</v>
      </c>
      <c r="C321" s="1" t="n">
        <v>46091</v>
      </c>
      <c r="D321" t="inlineStr">
        <is>
          <t>ÖSTERGÖTLANDS LÄN</t>
        </is>
      </c>
      <c r="E321" t="inlineStr">
        <is>
          <t>LINKÖPING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28200-2025</t>
        </is>
      </c>
      <c r="B322" s="1" t="n">
        <v>45818.4428125</v>
      </c>
      <c r="C322" s="1" t="n">
        <v>46091</v>
      </c>
      <c r="D322" t="inlineStr">
        <is>
          <t>ÖSTERGÖTLANDS LÄN</t>
        </is>
      </c>
      <c r="E322" t="inlineStr">
        <is>
          <t>LINKÖPING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14667-2024</t>
        </is>
      </c>
      <c r="B323" s="1" t="n">
        <v>45397.42005787037</v>
      </c>
      <c r="C323" s="1" t="n">
        <v>46091</v>
      </c>
      <c r="D323" t="inlineStr">
        <is>
          <t>ÖSTERGÖTLANDS LÄN</t>
        </is>
      </c>
      <c r="E323" t="inlineStr">
        <is>
          <t>LINKÖPING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27950-2025</t>
        </is>
      </c>
      <c r="B324" s="1" t="n">
        <v>45817.52960648148</v>
      </c>
      <c r="C324" s="1" t="n">
        <v>46091</v>
      </c>
      <c r="D324" t="inlineStr">
        <is>
          <t>ÖSTERGÖTLANDS LÄN</t>
        </is>
      </c>
      <c r="E324" t="inlineStr">
        <is>
          <t>LINKÖPING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2697-2023</t>
        </is>
      </c>
      <c r="B325" s="1" t="n">
        <v>44944</v>
      </c>
      <c r="C325" s="1" t="n">
        <v>46091</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45634-2025</t>
        </is>
      </c>
      <c r="B326" s="1" t="n">
        <v>45922.85089120371</v>
      </c>
      <c r="C326" s="1" t="n">
        <v>46091</v>
      </c>
      <c r="D326" t="inlineStr">
        <is>
          <t>ÖSTERGÖTLANDS LÄN</t>
        </is>
      </c>
      <c r="E326" t="inlineStr">
        <is>
          <t>LINKÖPING</t>
        </is>
      </c>
      <c r="F326" t="inlineStr">
        <is>
          <t>Övriga Aktiebolag</t>
        </is>
      </c>
      <c r="G326" t="n">
        <v>0.3</v>
      </c>
      <c r="H326" t="n">
        <v>0</v>
      </c>
      <c r="I326" t="n">
        <v>0</v>
      </c>
      <c r="J326" t="n">
        <v>0</v>
      </c>
      <c r="K326" t="n">
        <v>0</v>
      </c>
      <c r="L326" t="n">
        <v>0</v>
      </c>
      <c r="M326" t="n">
        <v>0</v>
      </c>
      <c r="N326" t="n">
        <v>0</v>
      </c>
      <c r="O326" t="n">
        <v>0</v>
      </c>
      <c r="P326" t="n">
        <v>0</v>
      </c>
      <c r="Q326" t="n">
        <v>0</v>
      </c>
      <c r="R326" s="2" t="inlineStr"/>
    </row>
    <row r="327" ht="15" customHeight="1">
      <c r="A327" t="inlineStr">
        <is>
          <t>A 53641-2023</t>
        </is>
      </c>
      <c r="B327" s="1" t="n">
        <v>45230</v>
      </c>
      <c r="C327" s="1" t="n">
        <v>46091</v>
      </c>
      <c r="D327" t="inlineStr">
        <is>
          <t>ÖSTERGÖTLANDS LÄN</t>
        </is>
      </c>
      <c r="E327" t="inlineStr">
        <is>
          <t>LINKÖPING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45792-2025</t>
        </is>
      </c>
      <c r="B328" s="1" t="n">
        <v>45923.56998842592</v>
      </c>
      <c r="C328" s="1" t="n">
        <v>46091</v>
      </c>
      <c r="D328" t="inlineStr">
        <is>
          <t>ÖSTERGÖTLANDS LÄN</t>
        </is>
      </c>
      <c r="E328" t="inlineStr">
        <is>
          <t>LINKÖPING</t>
        </is>
      </c>
      <c r="G328" t="n">
        <v>2.6</v>
      </c>
      <c r="H328" t="n">
        <v>0</v>
      </c>
      <c r="I328" t="n">
        <v>0</v>
      </c>
      <c r="J328" t="n">
        <v>0</v>
      </c>
      <c r="K328" t="n">
        <v>0</v>
      </c>
      <c r="L328" t="n">
        <v>0</v>
      </c>
      <c r="M328" t="n">
        <v>0</v>
      </c>
      <c r="N328" t="n">
        <v>0</v>
      </c>
      <c r="O328" t="n">
        <v>0</v>
      </c>
      <c r="P328" t="n">
        <v>0</v>
      </c>
      <c r="Q328" t="n">
        <v>0</v>
      </c>
      <c r="R328" s="2" t="inlineStr"/>
    </row>
    <row r="329" ht="15" customHeight="1">
      <c r="A329" t="inlineStr">
        <is>
          <t>A 48707-2023</t>
        </is>
      </c>
      <c r="B329" s="1" t="n">
        <v>45202</v>
      </c>
      <c r="C329" s="1" t="n">
        <v>46091</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27797-2025</t>
        </is>
      </c>
      <c r="B330" s="1" t="n">
        <v>45816.80521990741</v>
      </c>
      <c r="C330" s="1" t="n">
        <v>46091</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27798-2025</t>
        </is>
      </c>
      <c r="B331" s="1" t="n">
        <v>45816.81532407407</v>
      </c>
      <c r="C331" s="1" t="n">
        <v>46091</v>
      </c>
      <c r="D331" t="inlineStr">
        <is>
          <t>ÖSTERGÖTLANDS LÄN</t>
        </is>
      </c>
      <c r="E331" t="inlineStr">
        <is>
          <t>LINKÖPING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53411-2023</t>
        </is>
      </c>
      <c r="B332" s="1" t="n">
        <v>45229.81049768518</v>
      </c>
      <c r="C332" s="1" t="n">
        <v>46091</v>
      </c>
      <c r="D332" t="inlineStr">
        <is>
          <t>ÖSTERGÖTLANDS LÄN</t>
        </is>
      </c>
      <c r="E332" t="inlineStr">
        <is>
          <t>LINKÖPING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45804-2025</t>
        </is>
      </c>
      <c r="B333" s="1" t="n">
        <v>45923.5819675926</v>
      </c>
      <c r="C333" s="1" t="n">
        <v>46091</v>
      </c>
      <c r="D333" t="inlineStr">
        <is>
          <t>ÖSTERGÖTLANDS LÄN</t>
        </is>
      </c>
      <c r="E333" t="inlineStr">
        <is>
          <t>LINKÖPING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56741-2023</t>
        </is>
      </c>
      <c r="B334" s="1" t="n">
        <v>45244</v>
      </c>
      <c r="C334" s="1" t="n">
        <v>46091</v>
      </c>
      <c r="D334" t="inlineStr">
        <is>
          <t>ÖSTERGÖTLANDS LÄN</t>
        </is>
      </c>
      <c r="E334" t="inlineStr">
        <is>
          <t>LINKÖPING</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28209-2025</t>
        </is>
      </c>
      <c r="B335" s="1" t="n">
        <v>45818.45112268518</v>
      </c>
      <c r="C335" s="1" t="n">
        <v>46091</v>
      </c>
      <c r="D335" t="inlineStr">
        <is>
          <t>ÖSTERGÖTLANDS LÄN</t>
        </is>
      </c>
      <c r="E335" t="inlineStr">
        <is>
          <t>LINKÖPING</t>
        </is>
      </c>
      <c r="G335" t="n">
        <v>4.2</v>
      </c>
      <c r="H335" t="n">
        <v>0</v>
      </c>
      <c r="I335" t="n">
        <v>0</v>
      </c>
      <c r="J335" t="n">
        <v>0</v>
      </c>
      <c r="K335" t="n">
        <v>0</v>
      </c>
      <c r="L335" t="n">
        <v>0</v>
      </c>
      <c r="M335" t="n">
        <v>0</v>
      </c>
      <c r="N335" t="n">
        <v>0</v>
      </c>
      <c r="O335" t="n">
        <v>0</v>
      </c>
      <c r="P335" t="n">
        <v>0</v>
      </c>
      <c r="Q335" t="n">
        <v>0</v>
      </c>
      <c r="R335" s="2" t="inlineStr"/>
    </row>
    <row r="336" ht="15" customHeight="1">
      <c r="A336" t="inlineStr">
        <is>
          <t>A 56792-2023</t>
        </is>
      </c>
      <c r="B336" s="1" t="n">
        <v>45244</v>
      </c>
      <c r="C336" s="1" t="n">
        <v>46091</v>
      </c>
      <c r="D336" t="inlineStr">
        <is>
          <t>ÖSTERGÖTLANDS LÄN</t>
        </is>
      </c>
      <c r="E336" t="inlineStr">
        <is>
          <t>LINKÖPING</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28204-2025</t>
        </is>
      </c>
      <c r="B337" s="1" t="n">
        <v>45818.4477662037</v>
      </c>
      <c r="C337" s="1" t="n">
        <v>46091</v>
      </c>
      <c r="D337" t="inlineStr">
        <is>
          <t>ÖSTERGÖTLANDS LÄN</t>
        </is>
      </c>
      <c r="E337" t="inlineStr">
        <is>
          <t>LINKÖPING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46428-2025</t>
        </is>
      </c>
      <c r="B338" s="1" t="n">
        <v>45925.60758101852</v>
      </c>
      <c r="C338" s="1" t="n">
        <v>46091</v>
      </c>
      <c r="D338" t="inlineStr">
        <is>
          <t>ÖSTERGÖTLANDS LÄN</t>
        </is>
      </c>
      <c r="E338" t="inlineStr">
        <is>
          <t>LINKÖPING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3007-2023</t>
        </is>
      </c>
      <c r="B339" s="1" t="n">
        <v>44945</v>
      </c>
      <c r="C339" s="1" t="n">
        <v>46091</v>
      </c>
      <c r="D339" t="inlineStr">
        <is>
          <t>ÖSTERGÖTLANDS LÄN</t>
        </is>
      </c>
      <c r="E339" t="inlineStr">
        <is>
          <t>LINKÖPING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40338-2024</t>
        </is>
      </c>
      <c r="B340" s="1" t="n">
        <v>45555.32940972222</v>
      </c>
      <c r="C340" s="1" t="n">
        <v>46091</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3013-2023</t>
        </is>
      </c>
      <c r="B341" s="1" t="n">
        <v>44945.8092824074</v>
      </c>
      <c r="C341" s="1" t="n">
        <v>46091</v>
      </c>
      <c r="D341" t="inlineStr">
        <is>
          <t>ÖSTERGÖTLANDS LÄN</t>
        </is>
      </c>
      <c r="E341" t="inlineStr">
        <is>
          <t>LINKÖPING</t>
        </is>
      </c>
      <c r="G341" t="n">
        <v>5.2</v>
      </c>
      <c r="H341" t="n">
        <v>0</v>
      </c>
      <c r="I341" t="n">
        <v>0</v>
      </c>
      <c r="J341" t="n">
        <v>0</v>
      </c>
      <c r="K341" t="n">
        <v>0</v>
      </c>
      <c r="L341" t="n">
        <v>0</v>
      </c>
      <c r="M341" t="n">
        <v>0</v>
      </c>
      <c r="N341" t="n">
        <v>0</v>
      </c>
      <c r="O341" t="n">
        <v>0</v>
      </c>
      <c r="P341" t="n">
        <v>0</v>
      </c>
      <c r="Q341" t="n">
        <v>0</v>
      </c>
      <c r="R341" s="2" t="inlineStr"/>
    </row>
    <row r="342" ht="15" customHeight="1">
      <c r="A342" t="inlineStr">
        <is>
          <t>A 55945-2024</t>
        </is>
      </c>
      <c r="B342" s="1" t="n">
        <v>45623.61754629629</v>
      </c>
      <c r="C342" s="1" t="n">
        <v>46091</v>
      </c>
      <c r="D342" t="inlineStr">
        <is>
          <t>ÖSTERGÖTLANDS LÄN</t>
        </is>
      </c>
      <c r="E342" t="inlineStr">
        <is>
          <t>LINKÖPING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28398-2025</t>
        </is>
      </c>
      <c r="B343" s="1" t="n">
        <v>45819.34208333334</v>
      </c>
      <c r="C343" s="1" t="n">
        <v>46091</v>
      </c>
      <c r="D343" t="inlineStr">
        <is>
          <t>ÖSTERGÖTLANDS LÄN</t>
        </is>
      </c>
      <c r="E343" t="inlineStr">
        <is>
          <t>LINKÖPING</t>
        </is>
      </c>
      <c r="F343" t="inlineStr">
        <is>
          <t>Sveaskog</t>
        </is>
      </c>
      <c r="G343" t="n">
        <v>7.9</v>
      </c>
      <c r="H343" t="n">
        <v>0</v>
      </c>
      <c r="I343" t="n">
        <v>0</v>
      </c>
      <c r="J343" t="n">
        <v>0</v>
      </c>
      <c r="K343" t="n">
        <v>0</v>
      </c>
      <c r="L343" t="n">
        <v>0</v>
      </c>
      <c r="M343" t="n">
        <v>0</v>
      </c>
      <c r="N343" t="n">
        <v>0</v>
      </c>
      <c r="O343" t="n">
        <v>0</v>
      </c>
      <c r="P343" t="n">
        <v>0</v>
      </c>
      <c r="Q343" t="n">
        <v>0</v>
      </c>
      <c r="R343" s="2" t="inlineStr"/>
    </row>
    <row r="344" ht="15" customHeight="1">
      <c r="A344" t="inlineStr">
        <is>
          <t>A 46426-2025</t>
        </is>
      </c>
      <c r="B344" s="1" t="n">
        <v>45925.6012962963</v>
      </c>
      <c r="C344" s="1" t="n">
        <v>46091</v>
      </c>
      <c r="D344" t="inlineStr">
        <is>
          <t>ÖSTERGÖTLANDS LÄN</t>
        </is>
      </c>
      <c r="E344" t="inlineStr">
        <is>
          <t>LINKÖPING</t>
        </is>
      </c>
      <c r="G344" t="n">
        <v>4.4</v>
      </c>
      <c r="H344" t="n">
        <v>0</v>
      </c>
      <c r="I344" t="n">
        <v>0</v>
      </c>
      <c r="J344" t="n">
        <v>0</v>
      </c>
      <c r="K344" t="n">
        <v>0</v>
      </c>
      <c r="L344" t="n">
        <v>0</v>
      </c>
      <c r="M344" t="n">
        <v>0</v>
      </c>
      <c r="N344" t="n">
        <v>0</v>
      </c>
      <c r="O344" t="n">
        <v>0</v>
      </c>
      <c r="P344" t="n">
        <v>0</v>
      </c>
      <c r="Q344" t="n">
        <v>0</v>
      </c>
      <c r="R344" s="2" t="inlineStr"/>
    </row>
    <row r="345" ht="15" customHeight="1">
      <c r="A345" t="inlineStr">
        <is>
          <t>A 1993-2023</t>
        </is>
      </c>
      <c r="B345" s="1" t="n">
        <v>44939</v>
      </c>
      <c r="C345" s="1" t="n">
        <v>46091</v>
      </c>
      <c r="D345" t="inlineStr">
        <is>
          <t>ÖSTERGÖTLANDS LÄN</t>
        </is>
      </c>
      <c r="E345" t="inlineStr">
        <is>
          <t>LINKÖPING</t>
        </is>
      </c>
      <c r="G345" t="n">
        <v>3.7</v>
      </c>
      <c r="H345" t="n">
        <v>0</v>
      </c>
      <c r="I345" t="n">
        <v>0</v>
      </c>
      <c r="J345" t="n">
        <v>0</v>
      </c>
      <c r="K345" t="n">
        <v>0</v>
      </c>
      <c r="L345" t="n">
        <v>0</v>
      </c>
      <c r="M345" t="n">
        <v>0</v>
      </c>
      <c r="N345" t="n">
        <v>0</v>
      </c>
      <c r="O345" t="n">
        <v>0</v>
      </c>
      <c r="P345" t="n">
        <v>0</v>
      </c>
      <c r="Q345" t="n">
        <v>0</v>
      </c>
      <c r="R345" s="2" t="inlineStr"/>
    </row>
    <row r="346" ht="15" customHeight="1">
      <c r="A346" t="inlineStr">
        <is>
          <t>A 2618-2023</t>
        </is>
      </c>
      <c r="B346" s="1" t="n">
        <v>44944.35847222222</v>
      </c>
      <c r="C346" s="1" t="n">
        <v>46091</v>
      </c>
      <c r="D346" t="inlineStr">
        <is>
          <t>ÖSTERGÖTLANDS LÄN</t>
        </is>
      </c>
      <c r="E346" t="inlineStr">
        <is>
          <t>LINKÖPING</t>
        </is>
      </c>
      <c r="G346" t="n">
        <v>4.3</v>
      </c>
      <c r="H346" t="n">
        <v>0</v>
      </c>
      <c r="I346" t="n">
        <v>0</v>
      </c>
      <c r="J346" t="n">
        <v>0</v>
      </c>
      <c r="K346" t="n">
        <v>0</v>
      </c>
      <c r="L346" t="n">
        <v>0</v>
      </c>
      <c r="M346" t="n">
        <v>0</v>
      </c>
      <c r="N346" t="n">
        <v>0</v>
      </c>
      <c r="O346" t="n">
        <v>0</v>
      </c>
      <c r="P346" t="n">
        <v>0</v>
      </c>
      <c r="Q346" t="n">
        <v>0</v>
      </c>
      <c r="R346" s="2" t="inlineStr"/>
    </row>
    <row r="347" ht="15" customHeight="1">
      <c r="A347" t="inlineStr">
        <is>
          <t>A 10203-2023</t>
        </is>
      </c>
      <c r="B347" s="1" t="n">
        <v>44986.55711805556</v>
      </c>
      <c r="C347" s="1" t="n">
        <v>46091</v>
      </c>
      <c r="D347" t="inlineStr">
        <is>
          <t>ÖSTERGÖTLANDS LÄN</t>
        </is>
      </c>
      <c r="E347" t="inlineStr">
        <is>
          <t>LINKÖPING</t>
        </is>
      </c>
      <c r="G347" t="n">
        <v>3.3</v>
      </c>
      <c r="H347" t="n">
        <v>0</v>
      </c>
      <c r="I347" t="n">
        <v>0</v>
      </c>
      <c r="J347" t="n">
        <v>0</v>
      </c>
      <c r="K347" t="n">
        <v>0</v>
      </c>
      <c r="L347" t="n">
        <v>0</v>
      </c>
      <c r="M347" t="n">
        <v>0</v>
      </c>
      <c r="N347" t="n">
        <v>0</v>
      </c>
      <c r="O347" t="n">
        <v>0</v>
      </c>
      <c r="P347" t="n">
        <v>0</v>
      </c>
      <c r="Q347" t="n">
        <v>0</v>
      </c>
      <c r="R347" s="2" t="inlineStr"/>
    </row>
    <row r="348" ht="15" customHeight="1">
      <c r="A348" t="inlineStr">
        <is>
          <t>A 46377-2025</t>
        </is>
      </c>
      <c r="B348" s="1" t="n">
        <v>45925.51773148148</v>
      </c>
      <c r="C348" s="1" t="n">
        <v>46091</v>
      </c>
      <c r="D348" t="inlineStr">
        <is>
          <t>ÖSTERGÖTLANDS LÄN</t>
        </is>
      </c>
      <c r="E348" t="inlineStr">
        <is>
          <t>LINKÖPING</t>
        </is>
      </c>
      <c r="G348" t="n">
        <v>3.1</v>
      </c>
      <c r="H348" t="n">
        <v>0</v>
      </c>
      <c r="I348" t="n">
        <v>0</v>
      </c>
      <c r="J348" t="n">
        <v>0</v>
      </c>
      <c r="K348" t="n">
        <v>0</v>
      </c>
      <c r="L348" t="n">
        <v>0</v>
      </c>
      <c r="M348" t="n">
        <v>0</v>
      </c>
      <c r="N348" t="n">
        <v>0</v>
      </c>
      <c r="O348" t="n">
        <v>0</v>
      </c>
      <c r="P348" t="n">
        <v>0</v>
      </c>
      <c r="Q348" t="n">
        <v>0</v>
      </c>
      <c r="R348" s="2" t="inlineStr"/>
    </row>
    <row r="349" ht="15" customHeight="1">
      <c r="A349" t="inlineStr">
        <is>
          <t>A 34889-2023</t>
        </is>
      </c>
      <c r="B349" s="1" t="n">
        <v>45140</v>
      </c>
      <c r="C349" s="1" t="n">
        <v>46091</v>
      </c>
      <c r="D349" t="inlineStr">
        <is>
          <t>ÖSTERGÖTLANDS LÄN</t>
        </is>
      </c>
      <c r="E349" t="inlineStr">
        <is>
          <t>LINKÖPING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34928-2023</t>
        </is>
      </c>
      <c r="B350" s="1" t="n">
        <v>45142</v>
      </c>
      <c r="C350" s="1" t="n">
        <v>46091</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28416-2025</t>
        </is>
      </c>
      <c r="B351" s="1" t="n">
        <v>45819.35346064815</v>
      </c>
      <c r="C351" s="1" t="n">
        <v>46091</v>
      </c>
      <c r="D351" t="inlineStr">
        <is>
          <t>ÖSTERGÖTLANDS LÄN</t>
        </is>
      </c>
      <c r="E351" t="inlineStr">
        <is>
          <t>LINKÖPING</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1268-2023</t>
        </is>
      </c>
      <c r="B352" s="1" t="n">
        <v>44936</v>
      </c>
      <c r="C352" s="1" t="n">
        <v>46091</v>
      </c>
      <c r="D352" t="inlineStr">
        <is>
          <t>ÖSTERGÖTLANDS LÄN</t>
        </is>
      </c>
      <c r="E352" t="inlineStr">
        <is>
          <t>LINKÖPING</t>
        </is>
      </c>
      <c r="G352" t="n">
        <v>4.6</v>
      </c>
      <c r="H352" t="n">
        <v>0</v>
      </c>
      <c r="I352" t="n">
        <v>0</v>
      </c>
      <c r="J352" t="n">
        <v>0</v>
      </c>
      <c r="K352" t="n">
        <v>0</v>
      </c>
      <c r="L352" t="n">
        <v>0</v>
      </c>
      <c r="M352" t="n">
        <v>0</v>
      </c>
      <c r="N352" t="n">
        <v>0</v>
      </c>
      <c r="O352" t="n">
        <v>0</v>
      </c>
      <c r="P352" t="n">
        <v>0</v>
      </c>
      <c r="Q352" t="n">
        <v>0</v>
      </c>
      <c r="R352" s="2" t="inlineStr"/>
    </row>
    <row r="353" ht="15" customHeight="1">
      <c r="A353" t="inlineStr">
        <is>
          <t>A 47304-2025</t>
        </is>
      </c>
      <c r="B353" s="1" t="n">
        <v>45930.52037037037</v>
      </c>
      <c r="C353" s="1" t="n">
        <v>46091</v>
      </c>
      <c r="D353" t="inlineStr">
        <is>
          <t>ÖSTERGÖTLANDS LÄN</t>
        </is>
      </c>
      <c r="E353" t="inlineStr">
        <is>
          <t>LINKÖPING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29027-2025</t>
        </is>
      </c>
      <c r="B354" s="1" t="n">
        <v>45821.4375462963</v>
      </c>
      <c r="C354" s="1" t="n">
        <v>46091</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47233-2025</t>
        </is>
      </c>
      <c r="B355" s="1" t="n">
        <v>45930.40612268518</v>
      </c>
      <c r="C355" s="1" t="n">
        <v>46091</v>
      </c>
      <c r="D355" t="inlineStr">
        <is>
          <t>ÖSTERGÖTLANDS LÄN</t>
        </is>
      </c>
      <c r="E355" t="inlineStr">
        <is>
          <t>LINKÖPING</t>
        </is>
      </c>
      <c r="G355" t="n">
        <v>4.3</v>
      </c>
      <c r="H355" t="n">
        <v>0</v>
      </c>
      <c r="I355" t="n">
        <v>0</v>
      </c>
      <c r="J355" t="n">
        <v>0</v>
      </c>
      <c r="K355" t="n">
        <v>0</v>
      </c>
      <c r="L355" t="n">
        <v>0</v>
      </c>
      <c r="M355" t="n">
        <v>0</v>
      </c>
      <c r="N355" t="n">
        <v>0</v>
      </c>
      <c r="O355" t="n">
        <v>0</v>
      </c>
      <c r="P355" t="n">
        <v>0</v>
      </c>
      <c r="Q355" t="n">
        <v>0</v>
      </c>
      <c r="R355" s="2" t="inlineStr"/>
    </row>
    <row r="356" ht="15" customHeight="1">
      <c r="A356" t="inlineStr">
        <is>
          <t>A 29411-2025</t>
        </is>
      </c>
      <c r="B356" s="1" t="n">
        <v>45824.6219212963</v>
      </c>
      <c r="C356" s="1" t="n">
        <v>46091</v>
      </c>
      <c r="D356" t="inlineStr">
        <is>
          <t>ÖSTERGÖTLANDS LÄN</t>
        </is>
      </c>
      <c r="E356" t="inlineStr">
        <is>
          <t>LINKÖPING</t>
        </is>
      </c>
      <c r="F356" t="inlineStr">
        <is>
          <t>Sveaskog</t>
        </is>
      </c>
      <c r="G356" t="n">
        <v>0.6</v>
      </c>
      <c r="H356" t="n">
        <v>0</v>
      </c>
      <c r="I356" t="n">
        <v>0</v>
      </c>
      <c r="J356" t="n">
        <v>0</v>
      </c>
      <c r="K356" t="n">
        <v>0</v>
      </c>
      <c r="L356" t="n">
        <v>0</v>
      </c>
      <c r="M356" t="n">
        <v>0</v>
      </c>
      <c r="N356" t="n">
        <v>0</v>
      </c>
      <c r="O356" t="n">
        <v>0</v>
      </c>
      <c r="P356" t="n">
        <v>0</v>
      </c>
      <c r="Q356" t="n">
        <v>0</v>
      </c>
      <c r="R356" s="2" t="inlineStr"/>
    </row>
    <row r="357" ht="15" customHeight="1">
      <c r="A357" t="inlineStr">
        <is>
          <t>A 54333-2025</t>
        </is>
      </c>
      <c r="B357" s="1" t="n">
        <v>45965.35090277778</v>
      </c>
      <c r="C357" s="1" t="n">
        <v>46091</v>
      </c>
      <c r="D357" t="inlineStr">
        <is>
          <t>ÖSTERGÖTLANDS LÄN</t>
        </is>
      </c>
      <c r="E357" t="inlineStr">
        <is>
          <t>LINKÖPING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46847-2025</t>
        </is>
      </c>
      <c r="B358" s="1" t="n">
        <v>45928.69971064815</v>
      </c>
      <c r="C358" s="1" t="n">
        <v>46091</v>
      </c>
      <c r="D358" t="inlineStr">
        <is>
          <t>ÖSTERGÖTLANDS LÄN</t>
        </is>
      </c>
      <c r="E358" t="inlineStr">
        <is>
          <t>LINKÖPING</t>
        </is>
      </c>
      <c r="G358" t="n">
        <v>4.6</v>
      </c>
      <c r="H358" t="n">
        <v>0</v>
      </c>
      <c r="I358" t="n">
        <v>0</v>
      </c>
      <c r="J358" t="n">
        <v>0</v>
      </c>
      <c r="K358" t="n">
        <v>0</v>
      </c>
      <c r="L358" t="n">
        <v>0</v>
      </c>
      <c r="M358" t="n">
        <v>0</v>
      </c>
      <c r="N358" t="n">
        <v>0</v>
      </c>
      <c r="O358" t="n">
        <v>0</v>
      </c>
      <c r="P358" t="n">
        <v>0</v>
      </c>
      <c r="Q358" t="n">
        <v>0</v>
      </c>
      <c r="R358" s="2" t="inlineStr"/>
    </row>
    <row r="359" ht="15" customHeight="1">
      <c r="A359" t="inlineStr">
        <is>
          <t>A 49747-2024</t>
        </is>
      </c>
      <c r="B359" s="1" t="n">
        <v>45596</v>
      </c>
      <c r="C359" s="1" t="n">
        <v>46091</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48343-2025</t>
        </is>
      </c>
      <c r="B360" s="1" t="n">
        <v>45932</v>
      </c>
      <c r="C360" s="1" t="n">
        <v>46091</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47606-2025</t>
        </is>
      </c>
      <c r="B361" s="1" t="n">
        <v>45931.46402777778</v>
      </c>
      <c r="C361" s="1" t="n">
        <v>46091</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31725-2022</t>
        </is>
      </c>
      <c r="B362" s="1" t="n">
        <v>44776.48541666667</v>
      </c>
      <c r="C362" s="1" t="n">
        <v>46091</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29599-2025</t>
        </is>
      </c>
      <c r="B363" s="1" t="n">
        <v>45825.41101851852</v>
      </c>
      <c r="C363" s="1" t="n">
        <v>46091</v>
      </c>
      <c r="D363" t="inlineStr">
        <is>
          <t>ÖSTERGÖTLANDS LÄN</t>
        </is>
      </c>
      <c r="E363" t="inlineStr">
        <is>
          <t>LINKÖPING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48254-2025</t>
        </is>
      </c>
      <c r="B364" s="1" t="n">
        <v>45932</v>
      </c>
      <c r="C364" s="1" t="n">
        <v>46091</v>
      </c>
      <c r="D364" t="inlineStr">
        <is>
          <t>ÖSTERGÖTLANDS LÄN</t>
        </is>
      </c>
      <c r="E364" t="inlineStr">
        <is>
          <t>LINKÖPING</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48266-2025</t>
        </is>
      </c>
      <c r="B365" s="1" t="n">
        <v>45932</v>
      </c>
      <c r="C365" s="1" t="n">
        <v>46091</v>
      </c>
      <c r="D365" t="inlineStr">
        <is>
          <t>ÖSTERGÖTLANDS LÄN</t>
        </is>
      </c>
      <c r="E365" t="inlineStr">
        <is>
          <t>LINKÖPING</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2389-2023</t>
        </is>
      </c>
      <c r="B366" s="1" t="n">
        <v>44942</v>
      </c>
      <c r="C366" s="1" t="n">
        <v>46091</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54332-2025</t>
        </is>
      </c>
      <c r="B367" s="1" t="n">
        <v>45965.34915509259</v>
      </c>
      <c r="C367" s="1" t="n">
        <v>46091</v>
      </c>
      <c r="D367" t="inlineStr">
        <is>
          <t>ÖSTERGÖTLANDS LÄN</t>
        </is>
      </c>
      <c r="E367" t="inlineStr">
        <is>
          <t>LINKÖPING</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3627-2023</t>
        </is>
      </c>
      <c r="B368" s="1" t="n">
        <v>44950.64782407408</v>
      </c>
      <c r="C368" s="1" t="n">
        <v>46091</v>
      </c>
      <c r="D368" t="inlineStr">
        <is>
          <t>ÖSTERGÖTLANDS LÄN</t>
        </is>
      </c>
      <c r="E368" t="inlineStr">
        <is>
          <t>LINKÖPING</t>
        </is>
      </c>
      <c r="G368" t="n">
        <v>3.1</v>
      </c>
      <c r="H368" t="n">
        <v>0</v>
      </c>
      <c r="I368" t="n">
        <v>0</v>
      </c>
      <c r="J368" t="n">
        <v>0</v>
      </c>
      <c r="K368" t="n">
        <v>0</v>
      </c>
      <c r="L368" t="n">
        <v>0</v>
      </c>
      <c r="M368" t="n">
        <v>0</v>
      </c>
      <c r="N368" t="n">
        <v>0</v>
      </c>
      <c r="O368" t="n">
        <v>0</v>
      </c>
      <c r="P368" t="n">
        <v>0</v>
      </c>
      <c r="Q368" t="n">
        <v>0</v>
      </c>
      <c r="R368" s="2" t="inlineStr"/>
    </row>
    <row r="369" ht="15" customHeight="1">
      <c r="A369" t="inlineStr">
        <is>
          <t>A 62687-2023</t>
        </is>
      </c>
      <c r="B369" s="1" t="n">
        <v>45271</v>
      </c>
      <c r="C369" s="1" t="n">
        <v>46091</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30355-2025</t>
        </is>
      </c>
      <c r="B370" s="1" t="n">
        <v>45827</v>
      </c>
      <c r="C370" s="1" t="n">
        <v>46091</v>
      </c>
      <c r="D370" t="inlineStr">
        <is>
          <t>ÖSTERGÖTLANDS LÄN</t>
        </is>
      </c>
      <c r="E370" t="inlineStr">
        <is>
          <t>LINKÖPING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18891-2022</t>
        </is>
      </c>
      <c r="B371" s="1" t="n">
        <v>44690</v>
      </c>
      <c r="C371" s="1" t="n">
        <v>46091</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30353-2025</t>
        </is>
      </c>
      <c r="B372" s="1" t="n">
        <v>45827</v>
      </c>
      <c r="C372" s="1" t="n">
        <v>46091</v>
      </c>
      <c r="D372" t="inlineStr">
        <is>
          <t>ÖSTERGÖTLANDS LÄN</t>
        </is>
      </c>
      <c r="E372" t="inlineStr">
        <is>
          <t>LINKÖPING</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49605-2025</t>
        </is>
      </c>
      <c r="B373" s="1" t="n">
        <v>45938</v>
      </c>
      <c r="C373" s="1" t="n">
        <v>46091</v>
      </c>
      <c r="D373" t="inlineStr">
        <is>
          <t>ÖSTERGÖTLANDS LÄN</t>
        </is>
      </c>
      <c r="E373" t="inlineStr">
        <is>
          <t>LINKÖPING</t>
        </is>
      </c>
      <c r="F373" t="inlineStr">
        <is>
          <t>Övriga Aktiebolag</t>
        </is>
      </c>
      <c r="G373" t="n">
        <v>3.3</v>
      </c>
      <c r="H373" t="n">
        <v>0</v>
      </c>
      <c r="I373" t="n">
        <v>0</v>
      </c>
      <c r="J373" t="n">
        <v>0</v>
      </c>
      <c r="K373" t="n">
        <v>0</v>
      </c>
      <c r="L373" t="n">
        <v>0</v>
      </c>
      <c r="M373" t="n">
        <v>0</v>
      </c>
      <c r="N373" t="n">
        <v>0</v>
      </c>
      <c r="O373" t="n">
        <v>0</v>
      </c>
      <c r="P373" t="n">
        <v>0</v>
      </c>
      <c r="Q373" t="n">
        <v>0</v>
      </c>
      <c r="R373" s="2" t="inlineStr"/>
    </row>
    <row r="374" ht="15" customHeight="1">
      <c r="A374" t="inlineStr">
        <is>
          <t>A 54329-2025</t>
        </is>
      </c>
      <c r="B374" s="1" t="n">
        <v>45965.34706018519</v>
      </c>
      <c r="C374" s="1" t="n">
        <v>46091</v>
      </c>
      <c r="D374" t="inlineStr">
        <is>
          <t>ÖSTERGÖTLANDS LÄN</t>
        </is>
      </c>
      <c r="E374" t="inlineStr">
        <is>
          <t>LINKÖPING</t>
        </is>
      </c>
      <c r="F374" t="inlineStr">
        <is>
          <t>Sveaskog</t>
        </is>
      </c>
      <c r="G374" t="n">
        <v>5.1</v>
      </c>
      <c r="H374" t="n">
        <v>0</v>
      </c>
      <c r="I374" t="n">
        <v>0</v>
      </c>
      <c r="J374" t="n">
        <v>0</v>
      </c>
      <c r="K374" t="n">
        <v>0</v>
      </c>
      <c r="L374" t="n">
        <v>0</v>
      </c>
      <c r="M374" t="n">
        <v>0</v>
      </c>
      <c r="N374" t="n">
        <v>0</v>
      </c>
      <c r="O374" t="n">
        <v>0</v>
      </c>
      <c r="P374" t="n">
        <v>0</v>
      </c>
      <c r="Q374" t="n">
        <v>0</v>
      </c>
      <c r="R374" s="2" t="inlineStr"/>
    </row>
    <row r="375" ht="15" customHeight="1">
      <c r="A375" t="inlineStr">
        <is>
          <t>A 49647-2025</t>
        </is>
      </c>
      <c r="B375" s="1" t="n">
        <v>45938</v>
      </c>
      <c r="C375" s="1" t="n">
        <v>46091</v>
      </c>
      <c r="D375" t="inlineStr">
        <is>
          <t>ÖSTERGÖTLANDS LÄN</t>
        </is>
      </c>
      <c r="E375" t="inlineStr">
        <is>
          <t>LINKÖPING</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26620-2023</t>
        </is>
      </c>
      <c r="B376" s="1" t="n">
        <v>45092.70390046296</v>
      </c>
      <c r="C376" s="1" t="n">
        <v>46091</v>
      </c>
      <c r="D376" t="inlineStr">
        <is>
          <t>ÖSTERGÖTLANDS LÄN</t>
        </is>
      </c>
      <c r="E376" t="inlineStr">
        <is>
          <t>LINKÖPING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49633-2025</t>
        </is>
      </c>
      <c r="B377" s="1" t="n">
        <v>45938</v>
      </c>
      <c r="C377" s="1" t="n">
        <v>46091</v>
      </c>
      <c r="D377" t="inlineStr">
        <is>
          <t>ÖSTERGÖTLANDS LÄN</t>
        </is>
      </c>
      <c r="E377" t="inlineStr">
        <is>
          <t>LINKÖPING</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49663-2025</t>
        </is>
      </c>
      <c r="B378" s="1" t="n">
        <v>45938</v>
      </c>
      <c r="C378" s="1" t="n">
        <v>46091</v>
      </c>
      <c r="D378" t="inlineStr">
        <is>
          <t>ÖSTERGÖTLANDS LÄN</t>
        </is>
      </c>
      <c r="E378" t="inlineStr">
        <is>
          <t>LINKÖPING</t>
        </is>
      </c>
      <c r="F378" t="inlineStr">
        <is>
          <t>Övriga Aktiebolag</t>
        </is>
      </c>
      <c r="G378" t="n">
        <v>1.2</v>
      </c>
      <c r="H378" t="n">
        <v>0</v>
      </c>
      <c r="I378" t="n">
        <v>0</v>
      </c>
      <c r="J378" t="n">
        <v>0</v>
      </c>
      <c r="K378" t="n">
        <v>0</v>
      </c>
      <c r="L378" t="n">
        <v>0</v>
      </c>
      <c r="M378" t="n">
        <v>0</v>
      </c>
      <c r="N378" t="n">
        <v>0</v>
      </c>
      <c r="O378" t="n">
        <v>0</v>
      </c>
      <c r="P378" t="n">
        <v>0</v>
      </c>
      <c r="Q378" t="n">
        <v>0</v>
      </c>
      <c r="R378" s="2" t="inlineStr"/>
    </row>
    <row r="379" ht="15" customHeight="1">
      <c r="A379" t="inlineStr">
        <is>
          <t>A 49455-2025</t>
        </is>
      </c>
      <c r="B379" s="1" t="n">
        <v>45938</v>
      </c>
      <c r="C379" s="1" t="n">
        <v>46091</v>
      </c>
      <c r="D379" t="inlineStr">
        <is>
          <t>ÖSTERGÖTLANDS LÄN</t>
        </is>
      </c>
      <c r="E379" t="inlineStr">
        <is>
          <t>LINKÖPING</t>
        </is>
      </c>
      <c r="F379" t="inlineStr">
        <is>
          <t>Övriga Aktiebolag</t>
        </is>
      </c>
      <c r="G379" t="n">
        <v>5.9</v>
      </c>
      <c r="H379" t="n">
        <v>0</v>
      </c>
      <c r="I379" t="n">
        <v>0</v>
      </c>
      <c r="J379" t="n">
        <v>0</v>
      </c>
      <c r="K379" t="n">
        <v>0</v>
      </c>
      <c r="L379" t="n">
        <v>0</v>
      </c>
      <c r="M379" t="n">
        <v>0</v>
      </c>
      <c r="N379" t="n">
        <v>0</v>
      </c>
      <c r="O379" t="n">
        <v>0</v>
      </c>
      <c r="P379" t="n">
        <v>0</v>
      </c>
      <c r="Q379" t="n">
        <v>0</v>
      </c>
      <c r="R379" s="2" t="inlineStr"/>
    </row>
    <row r="380" ht="15" customHeight="1">
      <c r="A380" t="inlineStr">
        <is>
          <t>A 49652-2025</t>
        </is>
      </c>
      <c r="B380" s="1" t="n">
        <v>45938</v>
      </c>
      <c r="C380" s="1" t="n">
        <v>46091</v>
      </c>
      <c r="D380" t="inlineStr">
        <is>
          <t>ÖSTERGÖTLANDS LÄN</t>
        </is>
      </c>
      <c r="E380" t="inlineStr">
        <is>
          <t>LINKÖPING</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49654-2025</t>
        </is>
      </c>
      <c r="B381" s="1" t="n">
        <v>45938</v>
      </c>
      <c r="C381" s="1" t="n">
        <v>46091</v>
      </c>
      <c r="D381" t="inlineStr">
        <is>
          <t>ÖSTERGÖTLANDS LÄN</t>
        </is>
      </c>
      <c r="E381" t="inlineStr">
        <is>
          <t>LINKÖPING</t>
        </is>
      </c>
      <c r="F381" t="inlineStr">
        <is>
          <t>Övriga Aktiebolag</t>
        </is>
      </c>
      <c r="G381" t="n">
        <v>3.1</v>
      </c>
      <c r="H381" t="n">
        <v>0</v>
      </c>
      <c r="I381" t="n">
        <v>0</v>
      </c>
      <c r="J381" t="n">
        <v>0</v>
      </c>
      <c r="K381" t="n">
        <v>0</v>
      </c>
      <c r="L381" t="n">
        <v>0</v>
      </c>
      <c r="M381" t="n">
        <v>0</v>
      </c>
      <c r="N381" t="n">
        <v>0</v>
      </c>
      <c r="O381" t="n">
        <v>0</v>
      </c>
      <c r="P381" t="n">
        <v>0</v>
      </c>
      <c r="Q381" t="n">
        <v>0</v>
      </c>
      <c r="R381" s="2" t="inlineStr"/>
    </row>
    <row r="382" ht="15" customHeight="1">
      <c r="A382" t="inlineStr">
        <is>
          <t>A 49619-2025</t>
        </is>
      </c>
      <c r="B382" s="1" t="n">
        <v>45938</v>
      </c>
      <c r="C382" s="1" t="n">
        <v>46091</v>
      </c>
      <c r="D382" t="inlineStr">
        <is>
          <t>ÖSTERGÖTLANDS LÄN</t>
        </is>
      </c>
      <c r="E382" t="inlineStr">
        <is>
          <t>LINKÖPING</t>
        </is>
      </c>
      <c r="F382" t="inlineStr">
        <is>
          <t>Övriga Aktiebolag</t>
        </is>
      </c>
      <c r="G382" t="n">
        <v>2.3</v>
      </c>
      <c r="H382" t="n">
        <v>0</v>
      </c>
      <c r="I382" t="n">
        <v>0</v>
      </c>
      <c r="J382" t="n">
        <v>0</v>
      </c>
      <c r="K382" t="n">
        <v>0</v>
      </c>
      <c r="L382" t="n">
        <v>0</v>
      </c>
      <c r="M382" t="n">
        <v>0</v>
      </c>
      <c r="N382" t="n">
        <v>0</v>
      </c>
      <c r="O382" t="n">
        <v>0</v>
      </c>
      <c r="P382" t="n">
        <v>0</v>
      </c>
      <c r="Q382" t="n">
        <v>0</v>
      </c>
      <c r="R382" s="2" t="inlineStr"/>
    </row>
    <row r="383" ht="15" customHeight="1">
      <c r="A383" t="inlineStr">
        <is>
          <t>A 49629-2025</t>
        </is>
      </c>
      <c r="B383" s="1" t="n">
        <v>45938</v>
      </c>
      <c r="C383" s="1" t="n">
        <v>46091</v>
      </c>
      <c r="D383" t="inlineStr">
        <is>
          <t>ÖSTERGÖTLANDS LÄN</t>
        </is>
      </c>
      <c r="E383" t="inlineStr">
        <is>
          <t>LINKÖPING</t>
        </is>
      </c>
      <c r="F383" t="inlineStr">
        <is>
          <t>Övriga Aktiebolag</t>
        </is>
      </c>
      <c r="G383" t="n">
        <v>4.5</v>
      </c>
      <c r="H383" t="n">
        <v>0</v>
      </c>
      <c r="I383" t="n">
        <v>0</v>
      </c>
      <c r="J383" t="n">
        <v>0</v>
      </c>
      <c r="K383" t="n">
        <v>0</v>
      </c>
      <c r="L383" t="n">
        <v>0</v>
      </c>
      <c r="M383" t="n">
        <v>0</v>
      </c>
      <c r="N383" t="n">
        <v>0</v>
      </c>
      <c r="O383" t="n">
        <v>0</v>
      </c>
      <c r="P383" t="n">
        <v>0</v>
      </c>
      <c r="Q383" t="n">
        <v>0</v>
      </c>
      <c r="R383" s="2" t="inlineStr"/>
    </row>
    <row r="384" ht="15" customHeight="1">
      <c r="A384" t="inlineStr">
        <is>
          <t>A 49650-2025</t>
        </is>
      </c>
      <c r="B384" s="1" t="n">
        <v>45938</v>
      </c>
      <c r="C384" s="1" t="n">
        <v>46091</v>
      </c>
      <c r="D384" t="inlineStr">
        <is>
          <t>ÖSTERGÖTLANDS LÄN</t>
        </is>
      </c>
      <c r="E384" t="inlineStr">
        <is>
          <t>LINKÖPING</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56180-2024</t>
        </is>
      </c>
      <c r="B385" s="1" t="n">
        <v>45624.56611111111</v>
      </c>
      <c r="C385" s="1" t="n">
        <v>46091</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49632-2025</t>
        </is>
      </c>
      <c r="B386" s="1" t="n">
        <v>45938</v>
      </c>
      <c r="C386" s="1" t="n">
        <v>46091</v>
      </c>
      <c r="D386" t="inlineStr">
        <is>
          <t>ÖSTERGÖTLANDS LÄN</t>
        </is>
      </c>
      <c r="E386" t="inlineStr">
        <is>
          <t>LINKÖPING</t>
        </is>
      </c>
      <c r="F386" t="inlineStr">
        <is>
          <t>Övriga Aktiebolag</t>
        </is>
      </c>
      <c r="G386" t="n">
        <v>1.6</v>
      </c>
      <c r="H386" t="n">
        <v>0</v>
      </c>
      <c r="I386" t="n">
        <v>0</v>
      </c>
      <c r="J386" t="n">
        <v>0</v>
      </c>
      <c r="K386" t="n">
        <v>0</v>
      </c>
      <c r="L386" t="n">
        <v>0</v>
      </c>
      <c r="M386" t="n">
        <v>0</v>
      </c>
      <c r="N386" t="n">
        <v>0</v>
      </c>
      <c r="O386" t="n">
        <v>0</v>
      </c>
      <c r="P386" t="n">
        <v>0</v>
      </c>
      <c r="Q386" t="n">
        <v>0</v>
      </c>
      <c r="R386" s="2" t="inlineStr"/>
    </row>
    <row r="387" ht="15" customHeight="1">
      <c r="A387" t="inlineStr">
        <is>
          <t>A 49615-2025</t>
        </is>
      </c>
      <c r="B387" s="1" t="n">
        <v>45938</v>
      </c>
      <c r="C387" s="1" t="n">
        <v>46091</v>
      </c>
      <c r="D387" t="inlineStr">
        <is>
          <t>ÖSTERGÖTLANDS LÄN</t>
        </is>
      </c>
      <c r="E387" t="inlineStr">
        <is>
          <t>LINKÖPING</t>
        </is>
      </c>
      <c r="F387" t="inlineStr">
        <is>
          <t>Övriga Aktiebolag</t>
        </is>
      </c>
      <c r="G387" t="n">
        <v>1.6</v>
      </c>
      <c r="H387" t="n">
        <v>0</v>
      </c>
      <c r="I387" t="n">
        <v>0</v>
      </c>
      <c r="J387" t="n">
        <v>0</v>
      </c>
      <c r="K387" t="n">
        <v>0</v>
      </c>
      <c r="L387" t="n">
        <v>0</v>
      </c>
      <c r="M387" t="n">
        <v>0</v>
      </c>
      <c r="N387" t="n">
        <v>0</v>
      </c>
      <c r="O387" t="n">
        <v>0</v>
      </c>
      <c r="P387" t="n">
        <v>0</v>
      </c>
      <c r="Q387" t="n">
        <v>0</v>
      </c>
      <c r="R387" s="2" t="inlineStr"/>
    </row>
    <row r="388" ht="15" customHeight="1">
      <c r="A388" t="inlineStr">
        <is>
          <t>A 938-2023</t>
        </is>
      </c>
      <c r="B388" s="1" t="n">
        <v>44933</v>
      </c>
      <c r="C388" s="1" t="n">
        <v>46091</v>
      </c>
      <c r="D388" t="inlineStr">
        <is>
          <t>ÖSTERGÖTLANDS LÄN</t>
        </is>
      </c>
      <c r="E388" t="inlineStr">
        <is>
          <t>LINKÖPING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25418-2023</t>
        </is>
      </c>
      <c r="B389" s="1" t="n">
        <v>45089</v>
      </c>
      <c r="C389" s="1" t="n">
        <v>46091</v>
      </c>
      <c r="D389" t="inlineStr">
        <is>
          <t>ÖSTERGÖTLANDS LÄN</t>
        </is>
      </c>
      <c r="E389" t="inlineStr">
        <is>
          <t>LINKÖPING</t>
        </is>
      </c>
      <c r="F389" t="inlineStr">
        <is>
          <t>Övriga Aktiebolag</t>
        </is>
      </c>
      <c r="G389" t="n">
        <v>2.4</v>
      </c>
      <c r="H389" t="n">
        <v>0</v>
      </c>
      <c r="I389" t="n">
        <v>0</v>
      </c>
      <c r="J389" t="n">
        <v>0</v>
      </c>
      <c r="K389" t="n">
        <v>0</v>
      </c>
      <c r="L389" t="n">
        <v>0</v>
      </c>
      <c r="M389" t="n">
        <v>0</v>
      </c>
      <c r="N389" t="n">
        <v>0</v>
      </c>
      <c r="O389" t="n">
        <v>0</v>
      </c>
      <c r="P389" t="n">
        <v>0</v>
      </c>
      <c r="Q389" t="n">
        <v>0</v>
      </c>
      <c r="R389" s="2" t="inlineStr"/>
    </row>
    <row r="390" ht="15" customHeight="1">
      <c r="A390" t="inlineStr">
        <is>
          <t>A 60007-2022</t>
        </is>
      </c>
      <c r="B390" s="1" t="n">
        <v>44909.47282407407</v>
      </c>
      <c r="C390" s="1" t="n">
        <v>46091</v>
      </c>
      <c r="D390" t="inlineStr">
        <is>
          <t>ÖSTERGÖTLANDS LÄN</t>
        </is>
      </c>
      <c r="E390" t="inlineStr">
        <is>
          <t>LINKÖPING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31581-2025</t>
        </is>
      </c>
      <c r="B391" s="1" t="n">
        <v>45833.6840162037</v>
      </c>
      <c r="C391" s="1" t="n">
        <v>46091</v>
      </c>
      <c r="D391" t="inlineStr">
        <is>
          <t>ÖSTERGÖTLANDS LÄN</t>
        </is>
      </c>
      <c r="E391" t="inlineStr">
        <is>
          <t>LINKÖPING</t>
        </is>
      </c>
      <c r="G391" t="n">
        <v>2.6</v>
      </c>
      <c r="H391" t="n">
        <v>0</v>
      </c>
      <c r="I391" t="n">
        <v>0</v>
      </c>
      <c r="J391" t="n">
        <v>0</v>
      </c>
      <c r="K391" t="n">
        <v>0</v>
      </c>
      <c r="L391" t="n">
        <v>0</v>
      </c>
      <c r="M391" t="n">
        <v>0</v>
      </c>
      <c r="N391" t="n">
        <v>0</v>
      </c>
      <c r="O391" t="n">
        <v>0</v>
      </c>
      <c r="P391" t="n">
        <v>0</v>
      </c>
      <c r="Q391" t="n">
        <v>0</v>
      </c>
      <c r="R391" s="2" t="inlineStr"/>
    </row>
    <row r="392" ht="15" customHeight="1">
      <c r="A392" t="inlineStr">
        <is>
          <t>A 31585-2025</t>
        </is>
      </c>
      <c r="B392" s="1" t="n">
        <v>45833.68815972222</v>
      </c>
      <c r="C392" s="1" t="n">
        <v>46091</v>
      </c>
      <c r="D392" t="inlineStr">
        <is>
          <t>ÖSTERGÖTLANDS LÄN</t>
        </is>
      </c>
      <c r="E392" t="inlineStr">
        <is>
          <t>LINKÖPING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11601-2023</t>
        </is>
      </c>
      <c r="B393" s="1" t="n">
        <v>44994</v>
      </c>
      <c r="C393" s="1" t="n">
        <v>46091</v>
      </c>
      <c r="D393" t="inlineStr">
        <is>
          <t>ÖSTERGÖTLANDS LÄN</t>
        </is>
      </c>
      <c r="E393" t="inlineStr">
        <is>
          <t>LINKÖPING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40983-2025</t>
        </is>
      </c>
      <c r="B394" s="1" t="n">
        <v>45898</v>
      </c>
      <c r="C394" s="1" t="n">
        <v>46091</v>
      </c>
      <c r="D394" t="inlineStr">
        <is>
          <t>ÖSTERGÖTLANDS LÄN</t>
        </is>
      </c>
      <c r="E394" t="inlineStr">
        <is>
          <t>LINKÖPING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32723-2025</t>
        </is>
      </c>
      <c r="B395" s="1" t="n">
        <v>45838</v>
      </c>
      <c r="C395" s="1" t="n">
        <v>46091</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50056-2025</t>
        </is>
      </c>
      <c r="B396" s="1" t="n">
        <v>45941</v>
      </c>
      <c r="C396" s="1" t="n">
        <v>46091</v>
      </c>
      <c r="D396" t="inlineStr">
        <is>
          <t>ÖSTERGÖTLANDS LÄN</t>
        </is>
      </c>
      <c r="E396" t="inlineStr">
        <is>
          <t>LINKÖPING</t>
        </is>
      </c>
      <c r="G396" t="n">
        <v>0.3</v>
      </c>
      <c r="H396" t="n">
        <v>0</v>
      </c>
      <c r="I396" t="n">
        <v>0</v>
      </c>
      <c r="J396" t="n">
        <v>0</v>
      </c>
      <c r="K396" t="n">
        <v>0</v>
      </c>
      <c r="L396" t="n">
        <v>0</v>
      </c>
      <c r="M396" t="n">
        <v>0</v>
      </c>
      <c r="N396" t="n">
        <v>0</v>
      </c>
      <c r="O396" t="n">
        <v>0</v>
      </c>
      <c r="P396" t="n">
        <v>0</v>
      </c>
      <c r="Q396" t="n">
        <v>0</v>
      </c>
      <c r="R396" s="2" t="inlineStr"/>
    </row>
    <row r="397" ht="15" customHeight="1">
      <c r="A397" t="inlineStr">
        <is>
          <t>A 1260-2023</t>
        </is>
      </c>
      <c r="B397" s="1" t="n">
        <v>44936</v>
      </c>
      <c r="C397" s="1" t="n">
        <v>46091</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7702-2023</t>
        </is>
      </c>
      <c r="B398" s="1" t="n">
        <v>44967</v>
      </c>
      <c r="C398" s="1" t="n">
        <v>46091</v>
      </c>
      <c r="D398" t="inlineStr">
        <is>
          <t>ÖSTERGÖTLANDS LÄN</t>
        </is>
      </c>
      <c r="E398" t="inlineStr">
        <is>
          <t>LINKÖPING</t>
        </is>
      </c>
      <c r="F398" t="inlineStr">
        <is>
          <t>Övriga statliga verk och myndigheter</t>
        </is>
      </c>
      <c r="G398" t="n">
        <v>8</v>
      </c>
      <c r="H398" t="n">
        <v>0</v>
      </c>
      <c r="I398" t="n">
        <v>0</v>
      </c>
      <c r="J398" t="n">
        <v>0</v>
      </c>
      <c r="K398" t="n">
        <v>0</v>
      </c>
      <c r="L398" t="n">
        <v>0</v>
      </c>
      <c r="M398" t="n">
        <v>0</v>
      </c>
      <c r="N398" t="n">
        <v>0</v>
      </c>
      <c r="O398" t="n">
        <v>0</v>
      </c>
      <c r="P398" t="n">
        <v>0</v>
      </c>
      <c r="Q398" t="n">
        <v>0</v>
      </c>
      <c r="R398" s="2" t="inlineStr"/>
    </row>
    <row r="399" ht="15" customHeight="1">
      <c r="A399" t="inlineStr">
        <is>
          <t>A 674-2024</t>
        </is>
      </c>
      <c r="B399" s="1" t="n">
        <v>45300.34408564815</v>
      </c>
      <c r="C399" s="1" t="n">
        <v>46091</v>
      </c>
      <c r="D399" t="inlineStr">
        <is>
          <t>ÖSTERGÖTLANDS LÄN</t>
        </is>
      </c>
      <c r="E399" t="inlineStr">
        <is>
          <t>LINKÖPING</t>
        </is>
      </c>
      <c r="F399" t="inlineStr">
        <is>
          <t>Sveaskog</t>
        </is>
      </c>
      <c r="G399" t="n">
        <v>2.9</v>
      </c>
      <c r="H399" t="n">
        <v>0</v>
      </c>
      <c r="I399" t="n">
        <v>0</v>
      </c>
      <c r="J399" t="n">
        <v>0</v>
      </c>
      <c r="K399" t="n">
        <v>0</v>
      </c>
      <c r="L399" t="n">
        <v>0</v>
      </c>
      <c r="M399" t="n">
        <v>0</v>
      </c>
      <c r="N399" t="n">
        <v>0</v>
      </c>
      <c r="O399" t="n">
        <v>0</v>
      </c>
      <c r="P399" t="n">
        <v>0</v>
      </c>
      <c r="Q399" t="n">
        <v>0</v>
      </c>
      <c r="R399" s="2" t="inlineStr"/>
    </row>
    <row r="400" ht="15" customHeight="1">
      <c r="A400" t="inlineStr">
        <is>
          <t>A 63684-2023</t>
        </is>
      </c>
      <c r="B400" s="1" t="n">
        <v>45275</v>
      </c>
      <c r="C400" s="1" t="n">
        <v>46091</v>
      </c>
      <c r="D400" t="inlineStr">
        <is>
          <t>ÖSTERGÖTLANDS LÄN</t>
        </is>
      </c>
      <c r="E400" t="inlineStr">
        <is>
          <t>LINKÖPING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167-2024</t>
        </is>
      </c>
      <c r="B401" s="1" t="n">
        <v>45294</v>
      </c>
      <c r="C401" s="1" t="n">
        <v>46091</v>
      </c>
      <c r="D401" t="inlineStr">
        <is>
          <t>ÖSTERGÖTLANDS LÄN</t>
        </is>
      </c>
      <c r="E401" t="inlineStr">
        <is>
          <t>LINKÖPING</t>
        </is>
      </c>
      <c r="F401" t="inlineStr">
        <is>
          <t>Allmännings- och besparingsskogar</t>
        </is>
      </c>
      <c r="G401" t="n">
        <v>11.6</v>
      </c>
      <c r="H401" t="n">
        <v>0</v>
      </c>
      <c r="I401" t="n">
        <v>0</v>
      </c>
      <c r="J401" t="n">
        <v>0</v>
      </c>
      <c r="K401" t="n">
        <v>0</v>
      </c>
      <c r="L401" t="n">
        <v>0</v>
      </c>
      <c r="M401" t="n">
        <v>0</v>
      </c>
      <c r="N401" t="n">
        <v>0</v>
      </c>
      <c r="O401" t="n">
        <v>0</v>
      </c>
      <c r="P401" t="n">
        <v>0</v>
      </c>
      <c r="Q401" t="n">
        <v>0</v>
      </c>
      <c r="R401" s="2" t="inlineStr"/>
    </row>
    <row r="402" ht="15" customHeight="1">
      <c r="A402" t="inlineStr">
        <is>
          <t>A 50667-2025</t>
        </is>
      </c>
      <c r="B402" s="1" t="n">
        <v>45945</v>
      </c>
      <c r="C402" s="1" t="n">
        <v>46091</v>
      </c>
      <c r="D402" t="inlineStr">
        <is>
          <t>ÖSTERGÖTLANDS LÄN</t>
        </is>
      </c>
      <c r="E402" t="inlineStr">
        <is>
          <t>LINKÖPING</t>
        </is>
      </c>
      <c r="G402" t="n">
        <v>3.3</v>
      </c>
      <c r="H402" t="n">
        <v>0</v>
      </c>
      <c r="I402" t="n">
        <v>0</v>
      </c>
      <c r="J402" t="n">
        <v>0</v>
      </c>
      <c r="K402" t="n">
        <v>0</v>
      </c>
      <c r="L402" t="n">
        <v>0</v>
      </c>
      <c r="M402" t="n">
        <v>0</v>
      </c>
      <c r="N402" t="n">
        <v>0</v>
      </c>
      <c r="O402" t="n">
        <v>0</v>
      </c>
      <c r="P402" t="n">
        <v>0</v>
      </c>
      <c r="Q402" t="n">
        <v>0</v>
      </c>
      <c r="R402" s="2" t="inlineStr"/>
    </row>
    <row r="403" ht="15" customHeight="1">
      <c r="A403" t="inlineStr">
        <is>
          <t>A 36725-2023</t>
        </is>
      </c>
      <c r="B403" s="1" t="n">
        <v>45153.68471064815</v>
      </c>
      <c r="C403" s="1" t="n">
        <v>46091</v>
      </c>
      <c r="D403" t="inlineStr">
        <is>
          <t>ÖSTERGÖTLANDS LÄN</t>
        </is>
      </c>
      <c r="E403" t="inlineStr">
        <is>
          <t>LINKÖPING</t>
        </is>
      </c>
      <c r="F403" t="inlineStr">
        <is>
          <t>Allmännings- och besparingsskogar</t>
        </is>
      </c>
      <c r="G403" t="n">
        <v>2.6</v>
      </c>
      <c r="H403" t="n">
        <v>0</v>
      </c>
      <c r="I403" t="n">
        <v>0</v>
      </c>
      <c r="J403" t="n">
        <v>0</v>
      </c>
      <c r="K403" t="n">
        <v>0</v>
      </c>
      <c r="L403" t="n">
        <v>0</v>
      </c>
      <c r="M403" t="n">
        <v>0</v>
      </c>
      <c r="N403" t="n">
        <v>0</v>
      </c>
      <c r="O403" t="n">
        <v>0</v>
      </c>
      <c r="P403" t="n">
        <v>0</v>
      </c>
      <c r="Q403" t="n">
        <v>0</v>
      </c>
      <c r="R403" s="2" t="inlineStr"/>
    </row>
    <row r="404" ht="15" customHeight="1">
      <c r="A404" t="inlineStr">
        <is>
          <t>A 55109-2025</t>
        </is>
      </c>
      <c r="B404" s="1" t="n">
        <v>45968.37731481482</v>
      </c>
      <c r="C404" s="1" t="n">
        <v>46091</v>
      </c>
      <c r="D404" t="inlineStr">
        <is>
          <t>ÖSTERGÖTLANDS LÄN</t>
        </is>
      </c>
      <c r="E404" t="inlineStr">
        <is>
          <t>LINKÖPING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27343-2023</t>
        </is>
      </c>
      <c r="B405" s="1" t="n">
        <v>45096</v>
      </c>
      <c r="C405" s="1" t="n">
        <v>46091</v>
      </c>
      <c r="D405" t="inlineStr">
        <is>
          <t>ÖSTERGÖTLANDS LÄN</t>
        </is>
      </c>
      <c r="E405" t="inlineStr">
        <is>
          <t>LINKÖPING</t>
        </is>
      </c>
      <c r="F405" t="inlineStr">
        <is>
          <t>Allmännings- och besparingsskogar</t>
        </is>
      </c>
      <c r="G405" t="n">
        <v>6.9</v>
      </c>
      <c r="H405" t="n">
        <v>0</v>
      </c>
      <c r="I405" t="n">
        <v>0</v>
      </c>
      <c r="J405" t="n">
        <v>0</v>
      </c>
      <c r="K405" t="n">
        <v>0</v>
      </c>
      <c r="L405" t="n">
        <v>0</v>
      </c>
      <c r="M405" t="n">
        <v>0</v>
      </c>
      <c r="N405" t="n">
        <v>0</v>
      </c>
      <c r="O405" t="n">
        <v>0</v>
      </c>
      <c r="P405" t="n">
        <v>0</v>
      </c>
      <c r="Q405" t="n">
        <v>0</v>
      </c>
      <c r="R405" s="2" t="inlineStr"/>
    </row>
    <row r="406" ht="15" customHeight="1">
      <c r="A406" t="inlineStr">
        <is>
          <t>A 55165-2025</t>
        </is>
      </c>
      <c r="B406" s="1" t="n">
        <v>45968.48194444444</v>
      </c>
      <c r="C406" s="1" t="n">
        <v>46091</v>
      </c>
      <c r="D406" t="inlineStr">
        <is>
          <t>ÖSTERGÖTLANDS LÄN</t>
        </is>
      </c>
      <c r="E406" t="inlineStr">
        <is>
          <t>LINKÖPING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22774-2024</t>
        </is>
      </c>
      <c r="B407" s="1" t="n">
        <v>45448.46924768519</v>
      </c>
      <c r="C407" s="1" t="n">
        <v>46091</v>
      </c>
      <c r="D407" t="inlineStr">
        <is>
          <t>ÖSTERGÖTLANDS LÄN</t>
        </is>
      </c>
      <c r="E407" t="inlineStr">
        <is>
          <t>LINKÖPING</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22778-2024</t>
        </is>
      </c>
      <c r="B408" s="1" t="n">
        <v>45448.47233796296</v>
      </c>
      <c r="C408" s="1" t="n">
        <v>46091</v>
      </c>
      <c r="D408" t="inlineStr">
        <is>
          <t>ÖSTERGÖTLANDS LÄN</t>
        </is>
      </c>
      <c r="E408" t="inlineStr">
        <is>
          <t>LINKÖPING</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55102-2025</t>
        </is>
      </c>
      <c r="B409" s="1" t="n">
        <v>45968.35410879629</v>
      </c>
      <c r="C409" s="1" t="n">
        <v>46091</v>
      </c>
      <c r="D409" t="inlineStr">
        <is>
          <t>ÖSTERGÖTLANDS LÄN</t>
        </is>
      </c>
      <c r="E409" t="inlineStr">
        <is>
          <t>LINKÖPING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55132-2025</t>
        </is>
      </c>
      <c r="B410" s="1" t="n">
        <v>45968.41912037037</v>
      </c>
      <c r="C410" s="1" t="n">
        <v>46091</v>
      </c>
      <c r="D410" t="inlineStr">
        <is>
          <t>ÖSTERGÖTLANDS LÄN</t>
        </is>
      </c>
      <c r="E410" t="inlineStr">
        <is>
          <t>LINKÖPING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34864-2023</t>
        </is>
      </c>
      <c r="B411" s="1" t="n">
        <v>45141</v>
      </c>
      <c r="C411" s="1" t="n">
        <v>46091</v>
      </c>
      <c r="D411" t="inlineStr">
        <is>
          <t>ÖSTERGÖTLANDS LÄN</t>
        </is>
      </c>
      <c r="E411" t="inlineStr">
        <is>
          <t>LINKÖPING</t>
        </is>
      </c>
      <c r="G411" t="n">
        <v>3.3</v>
      </c>
      <c r="H411" t="n">
        <v>0</v>
      </c>
      <c r="I411" t="n">
        <v>0</v>
      </c>
      <c r="J411" t="n">
        <v>0</v>
      </c>
      <c r="K411" t="n">
        <v>0</v>
      </c>
      <c r="L411" t="n">
        <v>0</v>
      </c>
      <c r="M411" t="n">
        <v>0</v>
      </c>
      <c r="N411" t="n">
        <v>0</v>
      </c>
      <c r="O411" t="n">
        <v>0</v>
      </c>
      <c r="P411" t="n">
        <v>0</v>
      </c>
      <c r="Q411" t="n">
        <v>0</v>
      </c>
      <c r="R411" s="2" t="inlineStr"/>
    </row>
    <row r="412" ht="15" customHeight="1">
      <c r="A412" t="inlineStr">
        <is>
          <t>A 52531-2023</t>
        </is>
      </c>
      <c r="B412" s="1" t="n">
        <v>45225</v>
      </c>
      <c r="C412" s="1" t="n">
        <v>46091</v>
      </c>
      <c r="D412" t="inlineStr">
        <is>
          <t>ÖSTERGÖTLANDS LÄN</t>
        </is>
      </c>
      <c r="E412" t="inlineStr">
        <is>
          <t>LINKÖPING</t>
        </is>
      </c>
      <c r="F412" t="inlineStr">
        <is>
          <t>Övriga Aktiebolag</t>
        </is>
      </c>
      <c r="G412" t="n">
        <v>1</v>
      </c>
      <c r="H412" t="n">
        <v>0</v>
      </c>
      <c r="I412" t="n">
        <v>0</v>
      </c>
      <c r="J412" t="n">
        <v>0</v>
      </c>
      <c r="K412" t="n">
        <v>0</v>
      </c>
      <c r="L412" t="n">
        <v>0</v>
      </c>
      <c r="M412" t="n">
        <v>0</v>
      </c>
      <c r="N412" t="n">
        <v>0</v>
      </c>
      <c r="O412" t="n">
        <v>0</v>
      </c>
      <c r="P412" t="n">
        <v>0</v>
      </c>
      <c r="Q412" t="n">
        <v>0</v>
      </c>
      <c r="R412" s="2" t="inlineStr"/>
    </row>
    <row r="413" ht="15" customHeight="1">
      <c r="A413" t="inlineStr">
        <is>
          <t>A 34930-2023</t>
        </is>
      </c>
      <c r="B413" s="1" t="n">
        <v>45142</v>
      </c>
      <c r="C413" s="1" t="n">
        <v>46091</v>
      </c>
      <c r="D413" t="inlineStr">
        <is>
          <t>ÖSTERGÖTLANDS LÄN</t>
        </is>
      </c>
      <c r="E413" t="inlineStr">
        <is>
          <t>LINKÖPING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33947-2025</t>
        </is>
      </c>
      <c r="B414" s="1" t="n">
        <v>45842.65444444444</v>
      </c>
      <c r="C414" s="1" t="n">
        <v>46091</v>
      </c>
      <c r="D414" t="inlineStr">
        <is>
          <t>ÖSTERGÖTLANDS LÄN</t>
        </is>
      </c>
      <c r="E414" t="inlineStr">
        <is>
          <t>LINKÖPING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30985-2022</t>
        </is>
      </c>
      <c r="B415" s="1" t="n">
        <v>44768</v>
      </c>
      <c r="C415" s="1" t="n">
        <v>46091</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62012-2024</t>
        </is>
      </c>
      <c r="B416" s="1" t="n">
        <v>45655.79679398148</v>
      </c>
      <c r="C416" s="1" t="n">
        <v>46091</v>
      </c>
      <c r="D416" t="inlineStr">
        <is>
          <t>ÖSTERGÖTLANDS LÄN</t>
        </is>
      </c>
      <c r="E416" t="inlineStr">
        <is>
          <t>LINKÖPING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53529-2024</t>
        </is>
      </c>
      <c r="B417" s="1" t="n">
        <v>45614</v>
      </c>
      <c r="C417" s="1" t="n">
        <v>46091</v>
      </c>
      <c r="D417" t="inlineStr">
        <is>
          <t>ÖSTERGÖTLANDS LÄN</t>
        </is>
      </c>
      <c r="E417" t="inlineStr">
        <is>
          <t>LINKÖPING</t>
        </is>
      </c>
      <c r="G417" t="n">
        <v>6.7</v>
      </c>
      <c r="H417" t="n">
        <v>0</v>
      </c>
      <c r="I417" t="n">
        <v>0</v>
      </c>
      <c r="J417" t="n">
        <v>0</v>
      </c>
      <c r="K417" t="n">
        <v>0</v>
      </c>
      <c r="L417" t="n">
        <v>0</v>
      </c>
      <c r="M417" t="n">
        <v>0</v>
      </c>
      <c r="N417" t="n">
        <v>0</v>
      </c>
      <c r="O417" t="n">
        <v>0</v>
      </c>
      <c r="P417" t="n">
        <v>0</v>
      </c>
      <c r="Q417" t="n">
        <v>0</v>
      </c>
      <c r="R417" s="2" t="inlineStr"/>
    </row>
    <row r="418" ht="15" customHeight="1">
      <c r="A418" t="inlineStr">
        <is>
          <t>A 59642-2024</t>
        </is>
      </c>
      <c r="B418" s="1" t="n">
        <v>45639.31511574074</v>
      </c>
      <c r="C418" s="1" t="n">
        <v>46091</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15748-2025</t>
        </is>
      </c>
      <c r="B419" s="1" t="n">
        <v>45748.55282407408</v>
      </c>
      <c r="C419" s="1" t="n">
        <v>46091</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31792-2021</t>
        </is>
      </c>
      <c r="B420" s="1" t="n">
        <v>44369</v>
      </c>
      <c r="C420" s="1" t="n">
        <v>46091</v>
      </c>
      <c r="D420" t="inlineStr">
        <is>
          <t>ÖSTERGÖTLANDS LÄN</t>
        </is>
      </c>
      <c r="E420" t="inlineStr">
        <is>
          <t>LINKÖPING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25097-2023</t>
        </is>
      </c>
      <c r="B421" s="1" t="n">
        <v>45086</v>
      </c>
      <c r="C421" s="1" t="n">
        <v>46091</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35735-2023</t>
        </is>
      </c>
      <c r="B422" s="1" t="n">
        <v>45147</v>
      </c>
      <c r="C422" s="1" t="n">
        <v>46091</v>
      </c>
      <c r="D422" t="inlineStr">
        <is>
          <t>ÖSTERGÖTLANDS LÄN</t>
        </is>
      </c>
      <c r="E422" t="inlineStr">
        <is>
          <t>LINKÖPING</t>
        </is>
      </c>
      <c r="G422" t="n">
        <v>2.8</v>
      </c>
      <c r="H422" t="n">
        <v>0</v>
      </c>
      <c r="I422" t="n">
        <v>0</v>
      </c>
      <c r="J422" t="n">
        <v>0</v>
      </c>
      <c r="K422" t="n">
        <v>0</v>
      </c>
      <c r="L422" t="n">
        <v>0</v>
      </c>
      <c r="M422" t="n">
        <v>0</v>
      </c>
      <c r="N422" t="n">
        <v>0</v>
      </c>
      <c r="O422" t="n">
        <v>0</v>
      </c>
      <c r="P422" t="n">
        <v>0</v>
      </c>
      <c r="Q422" t="n">
        <v>0</v>
      </c>
      <c r="R422" s="2" t="inlineStr"/>
    </row>
    <row r="423" ht="15" customHeight="1">
      <c r="A423" t="inlineStr">
        <is>
          <t>A 16462-2021</t>
        </is>
      </c>
      <c r="B423" s="1" t="n">
        <v>44293</v>
      </c>
      <c r="C423" s="1" t="n">
        <v>46091</v>
      </c>
      <c r="D423" t="inlineStr">
        <is>
          <t>ÖSTERGÖTLANDS LÄN</t>
        </is>
      </c>
      <c r="E423" t="inlineStr">
        <is>
          <t>LINKÖPING</t>
        </is>
      </c>
      <c r="F423" t="inlineStr">
        <is>
          <t>Allmännings- och besparingsskogar</t>
        </is>
      </c>
      <c r="G423" t="n">
        <v>24.7</v>
      </c>
      <c r="H423" t="n">
        <v>0</v>
      </c>
      <c r="I423" t="n">
        <v>0</v>
      </c>
      <c r="J423" t="n">
        <v>0</v>
      </c>
      <c r="K423" t="n">
        <v>0</v>
      </c>
      <c r="L423" t="n">
        <v>0</v>
      </c>
      <c r="M423" t="n">
        <v>0</v>
      </c>
      <c r="N423" t="n">
        <v>0</v>
      </c>
      <c r="O423" t="n">
        <v>0</v>
      </c>
      <c r="P423" t="n">
        <v>0</v>
      </c>
      <c r="Q423" t="n">
        <v>0</v>
      </c>
      <c r="R423" s="2" t="inlineStr"/>
    </row>
    <row r="424" ht="15" customHeight="1">
      <c r="A424" t="inlineStr">
        <is>
          <t>A 56105-2025</t>
        </is>
      </c>
      <c r="B424" s="1" t="n">
        <v>45973.72855324074</v>
      </c>
      <c r="C424" s="1" t="n">
        <v>46091</v>
      </c>
      <c r="D424" t="inlineStr">
        <is>
          <t>ÖSTERGÖTLANDS LÄN</t>
        </is>
      </c>
      <c r="E424" t="inlineStr">
        <is>
          <t>LINKÖPING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25776-2021</t>
        </is>
      </c>
      <c r="B425" s="1" t="n">
        <v>44343</v>
      </c>
      <c r="C425" s="1" t="n">
        <v>46091</v>
      </c>
      <c r="D425" t="inlineStr">
        <is>
          <t>ÖSTERGÖTLANDS LÄN</t>
        </is>
      </c>
      <c r="E425" t="inlineStr">
        <is>
          <t>LINKÖPING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30856-2022</t>
        </is>
      </c>
      <c r="B426" s="1" t="n">
        <v>44767</v>
      </c>
      <c r="C426" s="1" t="n">
        <v>46091</v>
      </c>
      <c r="D426" t="inlineStr">
        <is>
          <t>ÖSTERGÖTLANDS LÄN</t>
        </is>
      </c>
      <c r="E426" t="inlineStr">
        <is>
          <t>LINKÖPING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20469-2025</t>
        </is>
      </c>
      <c r="B427" s="1" t="n">
        <v>45775</v>
      </c>
      <c r="C427" s="1" t="n">
        <v>46091</v>
      </c>
      <c r="D427" t="inlineStr">
        <is>
          <t>ÖSTERGÖTLANDS LÄN</t>
        </is>
      </c>
      <c r="E427" t="inlineStr">
        <is>
          <t>LINKÖPING</t>
        </is>
      </c>
      <c r="F427" t="inlineStr">
        <is>
          <t>Kyrkan</t>
        </is>
      </c>
      <c r="G427" t="n">
        <v>6.1</v>
      </c>
      <c r="H427" t="n">
        <v>0</v>
      </c>
      <c r="I427" t="n">
        <v>0</v>
      </c>
      <c r="J427" t="n">
        <v>0</v>
      </c>
      <c r="K427" t="n">
        <v>0</v>
      </c>
      <c r="L427" t="n">
        <v>0</v>
      </c>
      <c r="M427" t="n">
        <v>0</v>
      </c>
      <c r="N427" t="n">
        <v>0</v>
      </c>
      <c r="O427" t="n">
        <v>0</v>
      </c>
      <c r="P427" t="n">
        <v>0</v>
      </c>
      <c r="Q427" t="n">
        <v>0</v>
      </c>
      <c r="R427" s="2" t="inlineStr"/>
    </row>
    <row r="428" ht="15" customHeight="1">
      <c r="A428" t="inlineStr">
        <is>
          <t>A 19187-2021</t>
        </is>
      </c>
      <c r="B428" s="1" t="n">
        <v>44308</v>
      </c>
      <c r="C428" s="1" t="n">
        <v>46091</v>
      </c>
      <c r="D428" t="inlineStr">
        <is>
          <t>ÖSTERGÖTLANDS LÄN</t>
        </is>
      </c>
      <c r="E428" t="inlineStr">
        <is>
          <t>LINKÖPING</t>
        </is>
      </c>
      <c r="F428" t="inlineStr">
        <is>
          <t>Allmännings- och besparingsskogar</t>
        </is>
      </c>
      <c r="G428" t="n">
        <v>20</v>
      </c>
      <c r="H428" t="n">
        <v>0</v>
      </c>
      <c r="I428" t="n">
        <v>0</v>
      </c>
      <c r="J428" t="n">
        <v>0</v>
      </c>
      <c r="K428" t="n">
        <v>0</v>
      </c>
      <c r="L428" t="n">
        <v>0</v>
      </c>
      <c r="M428" t="n">
        <v>0</v>
      </c>
      <c r="N428" t="n">
        <v>0</v>
      </c>
      <c r="O428" t="n">
        <v>0</v>
      </c>
      <c r="P428" t="n">
        <v>0</v>
      </c>
      <c r="Q428" t="n">
        <v>0</v>
      </c>
      <c r="R428" s="2" t="inlineStr"/>
    </row>
    <row r="429" ht="15" customHeight="1">
      <c r="A429" t="inlineStr">
        <is>
          <t>A 56403-2025</t>
        </is>
      </c>
      <c r="B429" s="1" t="n">
        <v>45974</v>
      </c>
      <c r="C429" s="1" t="n">
        <v>46091</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39219-2021</t>
        </is>
      </c>
      <c r="B430" s="1" t="n">
        <v>44413</v>
      </c>
      <c r="C430" s="1" t="n">
        <v>46091</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39224-2021</t>
        </is>
      </c>
      <c r="B431" s="1" t="n">
        <v>44413</v>
      </c>
      <c r="C431" s="1" t="n">
        <v>46091</v>
      </c>
      <c r="D431" t="inlineStr">
        <is>
          <t>ÖSTERGÖTLANDS LÄN</t>
        </is>
      </c>
      <c r="E431" t="inlineStr">
        <is>
          <t>LINKÖPING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33800-2023</t>
        </is>
      </c>
      <c r="B432" s="1" t="n">
        <v>45121</v>
      </c>
      <c r="C432" s="1" t="n">
        <v>46091</v>
      </c>
      <c r="D432" t="inlineStr">
        <is>
          <t>ÖSTERGÖTLANDS LÄN</t>
        </is>
      </c>
      <c r="E432" t="inlineStr">
        <is>
          <t>LINKÖPING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47991-2023</t>
        </is>
      </c>
      <c r="B433" s="1" t="n">
        <v>45204.62655092592</v>
      </c>
      <c r="C433" s="1" t="n">
        <v>46091</v>
      </c>
      <c r="D433" t="inlineStr">
        <is>
          <t>ÖSTERGÖTLANDS LÄN</t>
        </is>
      </c>
      <c r="E433" t="inlineStr">
        <is>
          <t>LINKÖPING</t>
        </is>
      </c>
      <c r="F433" t="inlineStr">
        <is>
          <t>Allmännings- och besparingsskogar</t>
        </is>
      </c>
      <c r="G433" t="n">
        <v>7.3</v>
      </c>
      <c r="H433" t="n">
        <v>0</v>
      </c>
      <c r="I433" t="n">
        <v>0</v>
      </c>
      <c r="J433" t="n">
        <v>0</v>
      </c>
      <c r="K433" t="n">
        <v>0</v>
      </c>
      <c r="L433" t="n">
        <v>0</v>
      </c>
      <c r="M433" t="n">
        <v>0</v>
      </c>
      <c r="N433" t="n">
        <v>0</v>
      </c>
      <c r="O433" t="n">
        <v>0</v>
      </c>
      <c r="P433" t="n">
        <v>0</v>
      </c>
      <c r="Q433" t="n">
        <v>0</v>
      </c>
      <c r="R433" s="2" t="inlineStr"/>
    </row>
    <row r="434" ht="15" customHeight="1">
      <c r="A434" t="inlineStr">
        <is>
          <t>A 35178-2025</t>
        </is>
      </c>
      <c r="B434" s="1" t="n">
        <v>45852.91939814815</v>
      </c>
      <c r="C434" s="1" t="n">
        <v>46091</v>
      </c>
      <c r="D434" t="inlineStr">
        <is>
          <t>ÖSTERGÖTLANDS LÄN</t>
        </is>
      </c>
      <c r="E434" t="inlineStr">
        <is>
          <t>LINKÖPING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35174-2025</t>
        </is>
      </c>
      <c r="B435" s="1" t="n">
        <v>45852.90648148148</v>
      </c>
      <c r="C435" s="1" t="n">
        <v>46091</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26007-2025</t>
        </is>
      </c>
      <c r="B436" s="1" t="n">
        <v>45804.67081018518</v>
      </c>
      <c r="C436" s="1" t="n">
        <v>46091</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43934-2023</t>
        </is>
      </c>
      <c r="B437" s="1" t="n">
        <v>45187</v>
      </c>
      <c r="C437" s="1" t="n">
        <v>46091</v>
      </c>
      <c r="D437" t="inlineStr">
        <is>
          <t>ÖSTERGÖTLANDS LÄN</t>
        </is>
      </c>
      <c r="E437" t="inlineStr">
        <is>
          <t>LINKÖPING</t>
        </is>
      </c>
      <c r="F437" t="inlineStr">
        <is>
          <t>Övriga Aktiebolag</t>
        </is>
      </c>
      <c r="G437" t="n">
        <v>3.8</v>
      </c>
      <c r="H437" t="n">
        <v>0</v>
      </c>
      <c r="I437" t="n">
        <v>0</v>
      </c>
      <c r="J437" t="n">
        <v>0</v>
      </c>
      <c r="K437" t="n">
        <v>0</v>
      </c>
      <c r="L437" t="n">
        <v>0</v>
      </c>
      <c r="M437" t="n">
        <v>0</v>
      </c>
      <c r="N437" t="n">
        <v>0</v>
      </c>
      <c r="O437" t="n">
        <v>0</v>
      </c>
      <c r="P437" t="n">
        <v>0</v>
      </c>
      <c r="Q437" t="n">
        <v>0</v>
      </c>
      <c r="R437" s="2" t="inlineStr"/>
    </row>
    <row r="438" ht="15" customHeight="1">
      <c r="A438" t="inlineStr">
        <is>
          <t>A 35179-2025</t>
        </is>
      </c>
      <c r="B438" s="1" t="n">
        <v>45852.93737268518</v>
      </c>
      <c r="C438" s="1" t="n">
        <v>46091</v>
      </c>
      <c r="D438" t="inlineStr">
        <is>
          <t>ÖSTERGÖTLANDS LÄN</t>
        </is>
      </c>
      <c r="E438" t="inlineStr">
        <is>
          <t>LINKÖPING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35180-2025</t>
        </is>
      </c>
      <c r="B439" s="1" t="n">
        <v>45852.9413425926</v>
      </c>
      <c r="C439" s="1" t="n">
        <v>46091</v>
      </c>
      <c r="D439" t="inlineStr">
        <is>
          <t>ÖSTERGÖTLANDS LÄN</t>
        </is>
      </c>
      <c r="E439" t="inlineStr">
        <is>
          <t>LINKÖPING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35747-2025</t>
        </is>
      </c>
      <c r="B440" s="1" t="n">
        <v>45860.56385416666</v>
      </c>
      <c r="C440" s="1" t="n">
        <v>46091</v>
      </c>
      <c r="D440" t="inlineStr">
        <is>
          <t>ÖSTERGÖTLANDS LÄN</t>
        </is>
      </c>
      <c r="E440" t="inlineStr">
        <is>
          <t>LINKÖPING</t>
        </is>
      </c>
      <c r="G440" t="n">
        <v>2.4</v>
      </c>
      <c r="H440" t="n">
        <v>0</v>
      </c>
      <c r="I440" t="n">
        <v>0</v>
      </c>
      <c r="J440" t="n">
        <v>0</v>
      </c>
      <c r="K440" t="n">
        <v>0</v>
      </c>
      <c r="L440" t="n">
        <v>0</v>
      </c>
      <c r="M440" t="n">
        <v>0</v>
      </c>
      <c r="N440" t="n">
        <v>0</v>
      </c>
      <c r="O440" t="n">
        <v>0</v>
      </c>
      <c r="P440" t="n">
        <v>0</v>
      </c>
      <c r="Q440" t="n">
        <v>0</v>
      </c>
      <c r="R440" s="2" t="inlineStr"/>
    </row>
    <row r="441" ht="15" customHeight="1">
      <c r="A441" t="inlineStr">
        <is>
          <t>A 35745-2025</t>
        </is>
      </c>
      <c r="B441" s="1" t="n">
        <v>45860.54739583333</v>
      </c>
      <c r="C441" s="1" t="n">
        <v>46091</v>
      </c>
      <c r="D441" t="inlineStr">
        <is>
          <t>ÖSTERGÖTLANDS LÄN</t>
        </is>
      </c>
      <c r="E441" t="inlineStr">
        <is>
          <t>LINKÖPING</t>
        </is>
      </c>
      <c r="G441" t="n">
        <v>4.4</v>
      </c>
      <c r="H441" t="n">
        <v>0</v>
      </c>
      <c r="I441" t="n">
        <v>0</v>
      </c>
      <c r="J441" t="n">
        <v>0</v>
      </c>
      <c r="K441" t="n">
        <v>0</v>
      </c>
      <c r="L441" t="n">
        <v>0</v>
      </c>
      <c r="M441" t="n">
        <v>0</v>
      </c>
      <c r="N441" t="n">
        <v>0</v>
      </c>
      <c r="O441" t="n">
        <v>0</v>
      </c>
      <c r="P441" t="n">
        <v>0</v>
      </c>
      <c r="Q441" t="n">
        <v>0</v>
      </c>
      <c r="R441" s="2" t="inlineStr"/>
    </row>
    <row r="442" ht="15" customHeight="1">
      <c r="A442" t="inlineStr">
        <is>
          <t>A 35757-2025</t>
        </is>
      </c>
      <c r="B442" s="1" t="n">
        <v>45860.59876157407</v>
      </c>
      <c r="C442" s="1" t="n">
        <v>46091</v>
      </c>
      <c r="D442" t="inlineStr">
        <is>
          <t>ÖSTERGÖTLANDS LÄN</t>
        </is>
      </c>
      <c r="E442" t="inlineStr">
        <is>
          <t>LINKÖPING</t>
        </is>
      </c>
      <c r="G442" t="n">
        <v>5.7</v>
      </c>
      <c r="H442" t="n">
        <v>0</v>
      </c>
      <c r="I442" t="n">
        <v>0</v>
      </c>
      <c r="J442" t="n">
        <v>0</v>
      </c>
      <c r="K442" t="n">
        <v>0</v>
      </c>
      <c r="L442" t="n">
        <v>0</v>
      </c>
      <c r="M442" t="n">
        <v>0</v>
      </c>
      <c r="N442" t="n">
        <v>0</v>
      </c>
      <c r="O442" t="n">
        <v>0</v>
      </c>
      <c r="P442" t="n">
        <v>0</v>
      </c>
      <c r="Q442" t="n">
        <v>0</v>
      </c>
      <c r="R442" s="2" t="inlineStr"/>
    </row>
    <row r="443" ht="15" customHeight="1">
      <c r="A443" t="inlineStr">
        <is>
          <t>A 35759-2025</t>
        </is>
      </c>
      <c r="B443" s="1" t="n">
        <v>45860</v>
      </c>
      <c r="C443" s="1" t="n">
        <v>46091</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56113-2025</t>
        </is>
      </c>
      <c r="B444" s="1" t="n">
        <v>45973.73924768518</v>
      </c>
      <c r="C444" s="1" t="n">
        <v>46091</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56704-2025</t>
        </is>
      </c>
      <c r="B445" s="1" t="n">
        <v>45977.50608796296</v>
      </c>
      <c r="C445" s="1" t="n">
        <v>46091</v>
      </c>
      <c r="D445" t="inlineStr">
        <is>
          <t>ÖSTERGÖTLANDS LÄN</t>
        </is>
      </c>
      <c r="E445" t="inlineStr">
        <is>
          <t>LINKÖPING</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7354-2025</t>
        </is>
      </c>
      <c r="B446" s="1" t="n">
        <v>45704.41174768518</v>
      </c>
      <c r="C446" s="1" t="n">
        <v>46091</v>
      </c>
      <c r="D446" t="inlineStr">
        <is>
          <t>ÖSTERGÖTLANDS LÄN</t>
        </is>
      </c>
      <c r="E446" t="inlineStr">
        <is>
          <t>LINKÖPING</t>
        </is>
      </c>
      <c r="G446" t="n">
        <v>4.8</v>
      </c>
      <c r="H446" t="n">
        <v>0</v>
      </c>
      <c r="I446" t="n">
        <v>0</v>
      </c>
      <c r="J446" t="n">
        <v>0</v>
      </c>
      <c r="K446" t="n">
        <v>0</v>
      </c>
      <c r="L446" t="n">
        <v>0</v>
      </c>
      <c r="M446" t="n">
        <v>0</v>
      </c>
      <c r="N446" t="n">
        <v>0</v>
      </c>
      <c r="O446" t="n">
        <v>0</v>
      </c>
      <c r="P446" t="n">
        <v>0</v>
      </c>
      <c r="Q446" t="n">
        <v>0</v>
      </c>
      <c r="R446" s="2" t="inlineStr"/>
    </row>
    <row r="447" ht="15" customHeight="1">
      <c r="A447" t="inlineStr">
        <is>
          <t>A 63935-2021</t>
        </is>
      </c>
      <c r="B447" s="1" t="n">
        <v>44509</v>
      </c>
      <c r="C447" s="1" t="n">
        <v>46091</v>
      </c>
      <c r="D447" t="inlineStr">
        <is>
          <t>ÖSTERGÖTLANDS LÄN</t>
        </is>
      </c>
      <c r="E447" t="inlineStr">
        <is>
          <t>LINKÖPING</t>
        </is>
      </c>
      <c r="F447" t="inlineStr">
        <is>
          <t>Övriga statliga verk och myndigheter</t>
        </is>
      </c>
      <c r="G447" t="n">
        <v>2.8</v>
      </c>
      <c r="H447" t="n">
        <v>0</v>
      </c>
      <c r="I447" t="n">
        <v>0</v>
      </c>
      <c r="J447" t="n">
        <v>0</v>
      </c>
      <c r="K447" t="n">
        <v>0</v>
      </c>
      <c r="L447" t="n">
        <v>0</v>
      </c>
      <c r="M447" t="n">
        <v>0</v>
      </c>
      <c r="N447" t="n">
        <v>0</v>
      </c>
      <c r="O447" t="n">
        <v>0</v>
      </c>
      <c r="P447" t="n">
        <v>0</v>
      </c>
      <c r="Q447" t="n">
        <v>0</v>
      </c>
      <c r="R447" s="2" t="inlineStr"/>
    </row>
    <row r="448" ht="15" customHeight="1">
      <c r="A448" t="inlineStr">
        <is>
          <t>A 40810-2022</t>
        </is>
      </c>
      <c r="B448" s="1" t="n">
        <v>44824</v>
      </c>
      <c r="C448" s="1" t="n">
        <v>46091</v>
      </c>
      <c r="D448" t="inlineStr">
        <is>
          <t>ÖSTERGÖTLANDS LÄN</t>
        </is>
      </c>
      <c r="E448" t="inlineStr">
        <is>
          <t>LINKÖPING</t>
        </is>
      </c>
      <c r="G448" t="n">
        <v>2.8</v>
      </c>
      <c r="H448" t="n">
        <v>0</v>
      </c>
      <c r="I448" t="n">
        <v>0</v>
      </c>
      <c r="J448" t="n">
        <v>0</v>
      </c>
      <c r="K448" t="n">
        <v>0</v>
      </c>
      <c r="L448" t="n">
        <v>0</v>
      </c>
      <c r="M448" t="n">
        <v>0</v>
      </c>
      <c r="N448" t="n">
        <v>0</v>
      </c>
      <c r="O448" t="n">
        <v>0</v>
      </c>
      <c r="P448" t="n">
        <v>0</v>
      </c>
      <c r="Q448" t="n">
        <v>0</v>
      </c>
      <c r="R448" s="2" t="inlineStr"/>
    </row>
    <row r="449" ht="15" customHeight="1">
      <c r="A449" t="inlineStr">
        <is>
          <t>A 20298-2025</t>
        </is>
      </c>
      <c r="B449" s="1" t="n">
        <v>45774.75024305555</v>
      </c>
      <c r="C449" s="1" t="n">
        <v>46091</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14576-2023</t>
        </is>
      </c>
      <c r="B450" s="1" t="n">
        <v>45013</v>
      </c>
      <c r="C450" s="1" t="n">
        <v>46091</v>
      </c>
      <c r="D450" t="inlineStr">
        <is>
          <t>ÖSTERGÖTLANDS LÄN</t>
        </is>
      </c>
      <c r="E450" t="inlineStr">
        <is>
          <t>LINKÖPING</t>
        </is>
      </c>
      <c r="G450" t="n">
        <v>3.2</v>
      </c>
      <c r="H450" t="n">
        <v>0</v>
      </c>
      <c r="I450" t="n">
        <v>0</v>
      </c>
      <c r="J450" t="n">
        <v>0</v>
      </c>
      <c r="K450" t="n">
        <v>0</v>
      </c>
      <c r="L450" t="n">
        <v>0</v>
      </c>
      <c r="M450" t="n">
        <v>0</v>
      </c>
      <c r="N450" t="n">
        <v>0</v>
      </c>
      <c r="O450" t="n">
        <v>0</v>
      </c>
      <c r="P450" t="n">
        <v>0</v>
      </c>
      <c r="Q450" t="n">
        <v>0</v>
      </c>
      <c r="R450" s="2" t="inlineStr"/>
    </row>
    <row r="451" ht="15" customHeight="1">
      <c r="A451" t="inlineStr">
        <is>
          <t>A 12089-2025</t>
        </is>
      </c>
      <c r="B451" s="1" t="n">
        <v>45729</v>
      </c>
      <c r="C451" s="1" t="n">
        <v>46091</v>
      </c>
      <c r="D451" t="inlineStr">
        <is>
          <t>ÖSTERGÖTLANDS LÄN</t>
        </is>
      </c>
      <c r="E451" t="inlineStr">
        <is>
          <t>LINKÖPING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37057-2025</t>
        </is>
      </c>
      <c r="B452" s="1" t="n">
        <v>45875.37489583333</v>
      </c>
      <c r="C452" s="1" t="n">
        <v>46091</v>
      </c>
      <c r="D452" t="inlineStr">
        <is>
          <t>ÖSTERGÖTLANDS LÄN</t>
        </is>
      </c>
      <c r="E452" t="inlineStr">
        <is>
          <t>LINKÖPING</t>
        </is>
      </c>
      <c r="G452" t="n">
        <v>3.3</v>
      </c>
      <c r="H452" t="n">
        <v>0</v>
      </c>
      <c r="I452" t="n">
        <v>0</v>
      </c>
      <c r="J452" t="n">
        <v>0</v>
      </c>
      <c r="K452" t="n">
        <v>0</v>
      </c>
      <c r="L452" t="n">
        <v>0</v>
      </c>
      <c r="M452" t="n">
        <v>0</v>
      </c>
      <c r="N452" t="n">
        <v>0</v>
      </c>
      <c r="O452" t="n">
        <v>0</v>
      </c>
      <c r="P452" t="n">
        <v>0</v>
      </c>
      <c r="Q452" t="n">
        <v>0</v>
      </c>
      <c r="R452" s="2" t="inlineStr"/>
    </row>
    <row r="453" ht="15" customHeight="1">
      <c r="A453" t="inlineStr">
        <is>
          <t>A 62321-2022</t>
        </is>
      </c>
      <c r="B453" s="1" t="n">
        <v>44916</v>
      </c>
      <c r="C453" s="1" t="n">
        <v>46091</v>
      </c>
      <c r="D453" t="inlineStr">
        <is>
          <t>ÖSTERGÖTLANDS LÄN</t>
        </is>
      </c>
      <c r="E453" t="inlineStr">
        <is>
          <t>LINKÖPING</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25829-2025</t>
        </is>
      </c>
      <c r="B454" s="1" t="n">
        <v>45804.44505787037</v>
      </c>
      <c r="C454" s="1" t="n">
        <v>46091</v>
      </c>
      <c r="D454" t="inlineStr">
        <is>
          <t>ÖSTERGÖTLANDS LÄN</t>
        </is>
      </c>
      <c r="E454" t="inlineStr">
        <is>
          <t>LINKÖPING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43475-2024</t>
        </is>
      </c>
      <c r="B455" s="1" t="n">
        <v>45568</v>
      </c>
      <c r="C455" s="1" t="n">
        <v>46091</v>
      </c>
      <c r="D455" t="inlineStr">
        <is>
          <t>ÖSTERGÖTLANDS LÄN</t>
        </is>
      </c>
      <c r="E455" t="inlineStr">
        <is>
          <t>LINKÖPING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17103-2025</t>
        </is>
      </c>
      <c r="B456" s="1" t="n">
        <v>45755.66143518518</v>
      </c>
      <c r="C456" s="1" t="n">
        <v>46091</v>
      </c>
      <c r="D456" t="inlineStr">
        <is>
          <t>ÖSTERGÖTLANDS LÄN</t>
        </is>
      </c>
      <c r="E456" t="inlineStr">
        <is>
          <t>LINKÖPING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30551-2023</t>
        </is>
      </c>
      <c r="B457" s="1" t="n">
        <v>45111</v>
      </c>
      <c r="C457" s="1" t="n">
        <v>46091</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50784-2022</t>
        </is>
      </c>
      <c r="B458" s="1" t="n">
        <v>44862</v>
      </c>
      <c r="C458" s="1" t="n">
        <v>46091</v>
      </c>
      <c r="D458" t="inlineStr">
        <is>
          <t>ÖSTERGÖTLANDS LÄN</t>
        </is>
      </c>
      <c r="E458" t="inlineStr">
        <is>
          <t>LINKÖPING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22043-2023</t>
        </is>
      </c>
      <c r="B459" s="1" t="n">
        <v>45069.39050925926</v>
      </c>
      <c r="C459" s="1" t="n">
        <v>46091</v>
      </c>
      <c r="D459" t="inlineStr">
        <is>
          <t>ÖSTERGÖTLANDS LÄN</t>
        </is>
      </c>
      <c r="E459" t="inlineStr">
        <is>
          <t>LINKÖPING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49656-2021</t>
        </is>
      </c>
      <c r="B460" s="1" t="n">
        <v>44454</v>
      </c>
      <c r="C460" s="1" t="n">
        <v>46091</v>
      </c>
      <c r="D460" t="inlineStr">
        <is>
          <t>ÖSTERGÖTLANDS LÄN</t>
        </is>
      </c>
      <c r="E460" t="inlineStr">
        <is>
          <t>LINKÖPING</t>
        </is>
      </c>
      <c r="G460" t="n">
        <v>2.3</v>
      </c>
      <c r="H460" t="n">
        <v>0</v>
      </c>
      <c r="I460" t="n">
        <v>0</v>
      </c>
      <c r="J460" t="n">
        <v>0</v>
      </c>
      <c r="K460" t="n">
        <v>0</v>
      </c>
      <c r="L460" t="n">
        <v>0</v>
      </c>
      <c r="M460" t="n">
        <v>0</v>
      </c>
      <c r="N460" t="n">
        <v>0</v>
      </c>
      <c r="O460" t="n">
        <v>0</v>
      </c>
      <c r="P460" t="n">
        <v>0</v>
      </c>
      <c r="Q460" t="n">
        <v>0</v>
      </c>
      <c r="R460" s="2" t="inlineStr"/>
    </row>
    <row r="461" ht="15" customHeight="1">
      <c r="A461" t="inlineStr">
        <is>
          <t>A 30465-2023</t>
        </is>
      </c>
      <c r="B461" s="1" t="n">
        <v>45111</v>
      </c>
      <c r="C461" s="1" t="n">
        <v>46091</v>
      </c>
      <c r="D461" t="inlineStr">
        <is>
          <t>ÖSTERGÖTLANDS LÄN</t>
        </is>
      </c>
      <c r="E461" t="inlineStr">
        <is>
          <t>LINKÖPING</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55004-2025</t>
        </is>
      </c>
      <c r="B462" s="1" t="n">
        <v>45967</v>
      </c>
      <c r="C462" s="1" t="n">
        <v>46091</v>
      </c>
      <c r="D462" t="inlineStr">
        <is>
          <t>ÖSTERGÖTLANDS LÄN</t>
        </is>
      </c>
      <c r="E462" t="inlineStr">
        <is>
          <t>LINKÖPING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30521-2024</t>
        </is>
      </c>
      <c r="B463" s="1" t="n">
        <v>45492</v>
      </c>
      <c r="C463" s="1" t="n">
        <v>46091</v>
      </c>
      <c r="D463" t="inlineStr">
        <is>
          <t>ÖSTERGÖTLANDS LÄN</t>
        </is>
      </c>
      <c r="E463" t="inlineStr">
        <is>
          <t>LINKÖPING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40618-2021</t>
        </is>
      </c>
      <c r="B464" s="1" t="n">
        <v>44420.49575231481</v>
      </c>
      <c r="C464" s="1" t="n">
        <v>46091</v>
      </c>
      <c r="D464" t="inlineStr">
        <is>
          <t>ÖSTERGÖTLANDS LÄN</t>
        </is>
      </c>
      <c r="E464" t="inlineStr">
        <is>
          <t>LINKÖPING</t>
        </is>
      </c>
      <c r="G464" t="n">
        <v>2.3</v>
      </c>
      <c r="H464" t="n">
        <v>0</v>
      </c>
      <c r="I464" t="n">
        <v>0</v>
      </c>
      <c r="J464" t="n">
        <v>0</v>
      </c>
      <c r="K464" t="n">
        <v>0</v>
      </c>
      <c r="L464" t="n">
        <v>0</v>
      </c>
      <c r="M464" t="n">
        <v>0</v>
      </c>
      <c r="N464" t="n">
        <v>0</v>
      </c>
      <c r="O464" t="n">
        <v>0</v>
      </c>
      <c r="P464" t="n">
        <v>0</v>
      </c>
      <c r="Q464" t="n">
        <v>0</v>
      </c>
      <c r="R464" s="2" t="inlineStr"/>
    </row>
    <row r="465" ht="15" customHeight="1">
      <c r="A465" t="inlineStr">
        <is>
          <t>A 23735-2023</t>
        </is>
      </c>
      <c r="B465" s="1" t="n">
        <v>45077</v>
      </c>
      <c r="C465" s="1" t="n">
        <v>46091</v>
      </c>
      <c r="D465" t="inlineStr">
        <is>
          <t>ÖSTERGÖTLANDS LÄN</t>
        </is>
      </c>
      <c r="E465" t="inlineStr">
        <is>
          <t>LINKÖPING</t>
        </is>
      </c>
      <c r="G465" t="n">
        <v>1.7</v>
      </c>
      <c r="H465" t="n">
        <v>0</v>
      </c>
      <c r="I465" t="n">
        <v>0</v>
      </c>
      <c r="J465" t="n">
        <v>0</v>
      </c>
      <c r="K465" t="n">
        <v>0</v>
      </c>
      <c r="L465" t="n">
        <v>0</v>
      </c>
      <c r="M465" t="n">
        <v>0</v>
      </c>
      <c r="N465" t="n">
        <v>0</v>
      </c>
      <c r="O465" t="n">
        <v>0</v>
      </c>
      <c r="P465" t="n">
        <v>0</v>
      </c>
      <c r="Q465" t="n">
        <v>0</v>
      </c>
      <c r="R465" s="2" t="inlineStr"/>
    </row>
    <row r="466" ht="15" customHeight="1">
      <c r="A466" t="inlineStr">
        <is>
          <t>A 350-2022</t>
        </is>
      </c>
      <c r="B466" s="1" t="n">
        <v>44565</v>
      </c>
      <c r="C466" s="1" t="n">
        <v>46091</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4256-2022</t>
        </is>
      </c>
      <c r="B467" s="1" t="n">
        <v>44588</v>
      </c>
      <c r="C467" s="1" t="n">
        <v>46091</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59205-2025</t>
        </is>
      </c>
      <c r="B468" s="1" t="n">
        <v>45988.60721064815</v>
      </c>
      <c r="C468" s="1" t="n">
        <v>46091</v>
      </c>
      <c r="D468" t="inlineStr">
        <is>
          <t>ÖSTERGÖTLANDS LÄN</t>
        </is>
      </c>
      <c r="E468" t="inlineStr">
        <is>
          <t>LINKÖPING</t>
        </is>
      </c>
      <c r="F468" t="inlineStr">
        <is>
          <t>Sveaskog</t>
        </is>
      </c>
      <c r="G468" t="n">
        <v>11.3</v>
      </c>
      <c r="H468" t="n">
        <v>0</v>
      </c>
      <c r="I468" t="n">
        <v>0</v>
      </c>
      <c r="J468" t="n">
        <v>0</v>
      </c>
      <c r="K468" t="n">
        <v>0</v>
      </c>
      <c r="L468" t="n">
        <v>0</v>
      </c>
      <c r="M468" t="n">
        <v>0</v>
      </c>
      <c r="N468" t="n">
        <v>0</v>
      </c>
      <c r="O468" t="n">
        <v>0</v>
      </c>
      <c r="P468" t="n">
        <v>0</v>
      </c>
      <c r="Q468" t="n">
        <v>0</v>
      </c>
      <c r="R468" s="2" t="inlineStr"/>
    </row>
    <row r="469" ht="15" customHeight="1">
      <c r="A469" t="inlineStr">
        <is>
          <t>A 25948-2023</t>
        </is>
      </c>
      <c r="B469" s="1" t="n">
        <v>45090</v>
      </c>
      <c r="C469" s="1" t="n">
        <v>46091</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58802-2025</t>
        </is>
      </c>
      <c r="B470" s="1" t="n">
        <v>45986.8768287037</v>
      </c>
      <c r="C470" s="1" t="n">
        <v>46091</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38046-2025</t>
        </is>
      </c>
      <c r="B471" s="1" t="n">
        <v>45882.39939814815</v>
      </c>
      <c r="C471" s="1" t="n">
        <v>46091</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33867-2023</t>
        </is>
      </c>
      <c r="B472" s="1" t="n">
        <v>45133.94640046296</v>
      </c>
      <c r="C472" s="1" t="n">
        <v>46091</v>
      </c>
      <c r="D472" t="inlineStr">
        <is>
          <t>ÖSTERGÖTLANDS LÄN</t>
        </is>
      </c>
      <c r="E472" t="inlineStr">
        <is>
          <t>LINKÖPING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59472-2025</t>
        </is>
      </c>
      <c r="B473" s="1" t="n">
        <v>45989.58321759259</v>
      </c>
      <c r="C473" s="1" t="n">
        <v>46091</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24462-2023</t>
        </is>
      </c>
      <c r="B474" s="1" t="n">
        <v>45082</v>
      </c>
      <c r="C474" s="1" t="n">
        <v>46091</v>
      </c>
      <c r="D474" t="inlineStr">
        <is>
          <t>ÖSTERGÖTLANDS LÄN</t>
        </is>
      </c>
      <c r="E474" t="inlineStr">
        <is>
          <t>LINKÖPING</t>
        </is>
      </c>
      <c r="G474" t="n">
        <v>3.5</v>
      </c>
      <c r="H474" t="n">
        <v>0</v>
      </c>
      <c r="I474" t="n">
        <v>0</v>
      </c>
      <c r="J474" t="n">
        <v>0</v>
      </c>
      <c r="K474" t="n">
        <v>0</v>
      </c>
      <c r="L474" t="n">
        <v>0</v>
      </c>
      <c r="M474" t="n">
        <v>0</v>
      </c>
      <c r="N474" t="n">
        <v>0</v>
      </c>
      <c r="O474" t="n">
        <v>0</v>
      </c>
      <c r="P474" t="n">
        <v>0</v>
      </c>
      <c r="Q474" t="n">
        <v>0</v>
      </c>
      <c r="R474" s="2" t="inlineStr"/>
    </row>
    <row r="475" ht="15" customHeight="1">
      <c r="A475" t="inlineStr">
        <is>
          <t>A 48829-2023</t>
        </is>
      </c>
      <c r="B475" s="1" t="n">
        <v>45209.38177083333</v>
      </c>
      <c r="C475" s="1" t="n">
        <v>46091</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38231-2022</t>
        </is>
      </c>
      <c r="B476" s="1" t="n">
        <v>44812</v>
      </c>
      <c r="C476" s="1" t="n">
        <v>46091</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60087-2025</t>
        </is>
      </c>
      <c r="B477" s="1" t="n">
        <v>45993.71726851852</v>
      </c>
      <c r="C477" s="1" t="n">
        <v>46091</v>
      </c>
      <c r="D477" t="inlineStr">
        <is>
          <t>ÖSTERGÖTLANDS LÄN</t>
        </is>
      </c>
      <c r="E477" t="inlineStr">
        <is>
          <t>LINKÖPING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50799-2022</t>
        </is>
      </c>
      <c r="B478" s="1" t="n">
        <v>44862</v>
      </c>
      <c r="C478" s="1" t="n">
        <v>46091</v>
      </c>
      <c r="D478" t="inlineStr">
        <is>
          <t>ÖSTERGÖTLANDS LÄN</t>
        </is>
      </c>
      <c r="E478" t="inlineStr">
        <is>
          <t>LINKÖPING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40431-2024</t>
        </is>
      </c>
      <c r="B479" s="1" t="n">
        <v>45555.47070601852</v>
      </c>
      <c r="C479" s="1" t="n">
        <v>46091</v>
      </c>
      <c r="D479" t="inlineStr">
        <is>
          <t>ÖSTERGÖTLANDS LÄN</t>
        </is>
      </c>
      <c r="E479" t="inlineStr">
        <is>
          <t>LINKÖPING</t>
        </is>
      </c>
      <c r="F479" t="inlineStr">
        <is>
          <t>Allmännings- och besparingsskogar</t>
        </is>
      </c>
      <c r="G479" t="n">
        <v>2.9</v>
      </c>
      <c r="H479" t="n">
        <v>0</v>
      </c>
      <c r="I479" t="n">
        <v>0</v>
      </c>
      <c r="J479" t="n">
        <v>0</v>
      </c>
      <c r="K479" t="n">
        <v>0</v>
      </c>
      <c r="L479" t="n">
        <v>0</v>
      </c>
      <c r="M479" t="n">
        <v>0</v>
      </c>
      <c r="N479" t="n">
        <v>0</v>
      </c>
      <c r="O479" t="n">
        <v>0</v>
      </c>
      <c r="P479" t="n">
        <v>0</v>
      </c>
      <c r="Q479" t="n">
        <v>0</v>
      </c>
      <c r="R479" s="2" t="inlineStr"/>
    </row>
    <row r="480" ht="15" customHeight="1">
      <c r="A480" t="inlineStr">
        <is>
          <t>A 60284-2025</t>
        </is>
      </c>
      <c r="B480" s="1" t="n">
        <v>45994.64373842593</v>
      </c>
      <c r="C480" s="1" t="n">
        <v>46091</v>
      </c>
      <c r="D480" t="inlineStr">
        <is>
          <t>ÖSTERGÖTLANDS LÄN</t>
        </is>
      </c>
      <c r="E480" t="inlineStr">
        <is>
          <t>LINKÖPING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267-2023</t>
        </is>
      </c>
      <c r="B481" s="1" t="n">
        <v>44928.80907407407</v>
      </c>
      <c r="C481" s="1" t="n">
        <v>46091</v>
      </c>
      <c r="D481" t="inlineStr">
        <is>
          <t>ÖSTERGÖTLANDS LÄN</t>
        </is>
      </c>
      <c r="E481" t="inlineStr">
        <is>
          <t>LINKÖPING</t>
        </is>
      </c>
      <c r="G481" t="n">
        <v>2.7</v>
      </c>
      <c r="H481" t="n">
        <v>0</v>
      </c>
      <c r="I481" t="n">
        <v>0</v>
      </c>
      <c r="J481" t="n">
        <v>0</v>
      </c>
      <c r="K481" t="n">
        <v>0</v>
      </c>
      <c r="L481" t="n">
        <v>0</v>
      </c>
      <c r="M481" t="n">
        <v>0</v>
      </c>
      <c r="N481" t="n">
        <v>0</v>
      </c>
      <c r="O481" t="n">
        <v>0</v>
      </c>
      <c r="P481" t="n">
        <v>0</v>
      </c>
      <c r="Q481" t="n">
        <v>0</v>
      </c>
      <c r="R481" s="2" t="inlineStr"/>
    </row>
    <row r="482" ht="15" customHeight="1">
      <c r="A482" t="inlineStr">
        <is>
          <t>A 26618-2023</t>
        </is>
      </c>
      <c r="B482" s="1" t="n">
        <v>45092.70306712963</v>
      </c>
      <c r="C482" s="1" t="n">
        <v>46091</v>
      </c>
      <c r="D482" t="inlineStr">
        <is>
          <t>ÖSTERGÖTLANDS LÄN</t>
        </is>
      </c>
      <c r="E482" t="inlineStr">
        <is>
          <t>LINKÖPING</t>
        </is>
      </c>
      <c r="G482" t="n">
        <v>6.9</v>
      </c>
      <c r="H482" t="n">
        <v>0</v>
      </c>
      <c r="I482" t="n">
        <v>0</v>
      </c>
      <c r="J482" t="n">
        <v>0</v>
      </c>
      <c r="K482" t="n">
        <v>0</v>
      </c>
      <c r="L482" t="n">
        <v>0</v>
      </c>
      <c r="M482" t="n">
        <v>0</v>
      </c>
      <c r="N482" t="n">
        <v>0</v>
      </c>
      <c r="O482" t="n">
        <v>0</v>
      </c>
      <c r="P482" t="n">
        <v>0</v>
      </c>
      <c r="Q482" t="n">
        <v>0</v>
      </c>
      <c r="R482" s="2" t="inlineStr"/>
    </row>
    <row r="483" ht="15" customHeight="1">
      <c r="A483" t="inlineStr">
        <is>
          <t>A 60306-2025</t>
        </is>
      </c>
      <c r="B483" s="1" t="n">
        <v>45994.68326388889</v>
      </c>
      <c r="C483" s="1" t="n">
        <v>46091</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63665-2023</t>
        </is>
      </c>
      <c r="B484" s="1" t="n">
        <v>45275</v>
      </c>
      <c r="C484" s="1" t="n">
        <v>46091</v>
      </c>
      <c r="D484" t="inlineStr">
        <is>
          <t>ÖSTERGÖTLANDS LÄN</t>
        </is>
      </c>
      <c r="E484" t="inlineStr">
        <is>
          <t>LINKÖPING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60703-2025</t>
        </is>
      </c>
      <c r="B485" s="1" t="n">
        <v>45996.6052662037</v>
      </c>
      <c r="C485" s="1" t="n">
        <v>46091</v>
      </c>
      <c r="D485" t="inlineStr">
        <is>
          <t>ÖSTERGÖTLANDS LÄN</t>
        </is>
      </c>
      <c r="E485" t="inlineStr">
        <is>
          <t>LINKÖPING</t>
        </is>
      </c>
      <c r="F485" t="inlineStr">
        <is>
          <t>Övriga Aktiebolag</t>
        </is>
      </c>
      <c r="G485" t="n">
        <v>1.3</v>
      </c>
      <c r="H485" t="n">
        <v>0</v>
      </c>
      <c r="I485" t="n">
        <v>0</v>
      </c>
      <c r="J485" t="n">
        <v>0</v>
      </c>
      <c r="K485" t="n">
        <v>0</v>
      </c>
      <c r="L485" t="n">
        <v>0</v>
      </c>
      <c r="M485" t="n">
        <v>0</v>
      </c>
      <c r="N485" t="n">
        <v>0</v>
      </c>
      <c r="O485" t="n">
        <v>0</v>
      </c>
      <c r="P485" t="n">
        <v>0</v>
      </c>
      <c r="Q485" t="n">
        <v>0</v>
      </c>
      <c r="R485" s="2" t="inlineStr"/>
    </row>
    <row r="486" ht="15" customHeight="1">
      <c r="A486" t="inlineStr">
        <is>
          <t>A 30429-2024</t>
        </is>
      </c>
      <c r="B486" s="1" t="n">
        <v>45491.68972222223</v>
      </c>
      <c r="C486" s="1" t="n">
        <v>46091</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30435-2024</t>
        </is>
      </c>
      <c r="B487" s="1" t="n">
        <v>45491.69962962963</v>
      </c>
      <c r="C487" s="1" t="n">
        <v>46091</v>
      </c>
      <c r="D487" t="inlineStr">
        <is>
          <t>ÖSTERGÖTLANDS LÄN</t>
        </is>
      </c>
      <c r="E487" t="inlineStr">
        <is>
          <t>LINKÖPING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53816-2023</t>
        </is>
      </c>
      <c r="B488" s="1" t="n">
        <v>45231.40012731482</v>
      </c>
      <c r="C488" s="1" t="n">
        <v>46091</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36557-2023</t>
        </is>
      </c>
      <c r="B489" s="1" t="n">
        <v>45153</v>
      </c>
      <c r="C489" s="1" t="n">
        <v>46091</v>
      </c>
      <c r="D489" t="inlineStr">
        <is>
          <t>ÖSTERGÖTLANDS LÄN</t>
        </is>
      </c>
      <c r="E489" t="inlineStr">
        <is>
          <t>LINKÖPING</t>
        </is>
      </c>
      <c r="F489" t="inlineStr">
        <is>
          <t>Övriga Aktiebolag</t>
        </is>
      </c>
      <c r="G489" t="n">
        <v>3.1</v>
      </c>
      <c r="H489" t="n">
        <v>0</v>
      </c>
      <c r="I489" t="n">
        <v>0</v>
      </c>
      <c r="J489" t="n">
        <v>0</v>
      </c>
      <c r="K489" t="n">
        <v>0</v>
      </c>
      <c r="L489" t="n">
        <v>0</v>
      </c>
      <c r="M489" t="n">
        <v>0</v>
      </c>
      <c r="N489" t="n">
        <v>0</v>
      </c>
      <c r="O489" t="n">
        <v>0</v>
      </c>
      <c r="P489" t="n">
        <v>0</v>
      </c>
      <c r="Q489" t="n">
        <v>0</v>
      </c>
      <c r="R489" s="2" t="inlineStr"/>
    </row>
    <row r="490" ht="15" customHeight="1">
      <c r="A490" t="inlineStr">
        <is>
          <t>A 6599-2023</t>
        </is>
      </c>
      <c r="B490" s="1" t="n">
        <v>44966.52603009259</v>
      </c>
      <c r="C490" s="1" t="n">
        <v>46091</v>
      </c>
      <c r="D490" t="inlineStr">
        <is>
          <t>ÖSTERGÖTLANDS LÄN</t>
        </is>
      </c>
      <c r="E490" t="inlineStr">
        <is>
          <t>LINKÖPING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43473-2024</t>
        </is>
      </c>
      <c r="B491" s="1" t="n">
        <v>45568</v>
      </c>
      <c r="C491" s="1" t="n">
        <v>46091</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61230-2025</t>
        </is>
      </c>
      <c r="B492" s="1" t="n">
        <v>46000.63111111111</v>
      </c>
      <c r="C492" s="1" t="n">
        <v>46091</v>
      </c>
      <c r="D492" t="inlineStr">
        <is>
          <t>ÖSTERGÖTLANDS LÄN</t>
        </is>
      </c>
      <c r="E492" t="inlineStr">
        <is>
          <t>LINKÖPING</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60866-2025</t>
        </is>
      </c>
      <c r="B493" s="1" t="n">
        <v>45999</v>
      </c>
      <c r="C493" s="1" t="n">
        <v>46091</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61643-2025</t>
        </is>
      </c>
      <c r="B494" s="1" t="n">
        <v>46002.43575231481</v>
      </c>
      <c r="C494" s="1" t="n">
        <v>46091</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61532-2021</t>
        </is>
      </c>
      <c r="B495" s="1" t="n">
        <v>44501</v>
      </c>
      <c r="C495" s="1" t="n">
        <v>46091</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3374-2023</t>
        </is>
      </c>
      <c r="B496" s="1" t="n">
        <v>44949</v>
      </c>
      <c r="C496" s="1" t="n">
        <v>46091</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224-2024</t>
        </is>
      </c>
      <c r="B497" s="1" t="n">
        <v>45294</v>
      </c>
      <c r="C497" s="1" t="n">
        <v>46091</v>
      </c>
      <c r="D497" t="inlineStr">
        <is>
          <t>ÖSTERGÖTLANDS LÄN</t>
        </is>
      </c>
      <c r="E497" t="inlineStr">
        <is>
          <t>LINKÖPING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6726-2024</t>
        </is>
      </c>
      <c r="B498" s="1" t="n">
        <v>45341</v>
      </c>
      <c r="C498" s="1" t="n">
        <v>46091</v>
      </c>
      <c r="D498" t="inlineStr">
        <is>
          <t>ÖSTERGÖTLANDS LÄN</t>
        </is>
      </c>
      <c r="E498" t="inlineStr">
        <is>
          <t>LINKÖPING</t>
        </is>
      </c>
      <c r="G498" t="n">
        <v>2.7</v>
      </c>
      <c r="H498" t="n">
        <v>0</v>
      </c>
      <c r="I498" t="n">
        <v>0</v>
      </c>
      <c r="J498" t="n">
        <v>0</v>
      </c>
      <c r="K498" t="n">
        <v>0</v>
      </c>
      <c r="L498" t="n">
        <v>0</v>
      </c>
      <c r="M498" t="n">
        <v>0</v>
      </c>
      <c r="N498" t="n">
        <v>0</v>
      </c>
      <c r="O498" t="n">
        <v>0</v>
      </c>
      <c r="P498" t="n">
        <v>0</v>
      </c>
      <c r="Q498" t="n">
        <v>0</v>
      </c>
      <c r="R498" s="2" t="inlineStr"/>
    </row>
    <row r="499" ht="15" customHeight="1">
      <c r="A499" t="inlineStr">
        <is>
          <t>A 61447-2025</t>
        </is>
      </c>
      <c r="B499" s="1" t="n">
        <v>46001.57554398148</v>
      </c>
      <c r="C499" s="1" t="n">
        <v>46091</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61645-2025</t>
        </is>
      </c>
      <c r="B500" s="1" t="n">
        <v>46002.43697916667</v>
      </c>
      <c r="C500" s="1" t="n">
        <v>46091</v>
      </c>
      <c r="D500" t="inlineStr">
        <is>
          <t>ÖSTERGÖTLANDS LÄN</t>
        </is>
      </c>
      <c r="E500" t="inlineStr">
        <is>
          <t>LINKÖPING</t>
        </is>
      </c>
      <c r="G500" t="n">
        <v>1.9</v>
      </c>
      <c r="H500" t="n">
        <v>0</v>
      </c>
      <c r="I500" t="n">
        <v>0</v>
      </c>
      <c r="J500" t="n">
        <v>0</v>
      </c>
      <c r="K500" t="n">
        <v>0</v>
      </c>
      <c r="L500" t="n">
        <v>0</v>
      </c>
      <c r="M500" t="n">
        <v>0</v>
      </c>
      <c r="N500" t="n">
        <v>0</v>
      </c>
      <c r="O500" t="n">
        <v>0</v>
      </c>
      <c r="P500" t="n">
        <v>0</v>
      </c>
      <c r="Q500" t="n">
        <v>0</v>
      </c>
      <c r="R500" s="2" t="inlineStr"/>
    </row>
    <row r="501" ht="15" customHeight="1">
      <c r="A501" t="inlineStr">
        <is>
          <t>A 53814-2023</t>
        </is>
      </c>
      <c r="B501" s="1" t="n">
        <v>45231</v>
      </c>
      <c r="C501" s="1" t="n">
        <v>46091</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61899-2025</t>
        </is>
      </c>
      <c r="B502" s="1" t="n">
        <v>46003.46635416667</v>
      </c>
      <c r="C502" s="1" t="n">
        <v>46091</v>
      </c>
      <c r="D502" t="inlineStr">
        <is>
          <t>ÖSTERGÖTLANDS LÄN</t>
        </is>
      </c>
      <c r="E502" t="inlineStr">
        <is>
          <t>LINKÖPING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62791-2025</t>
        </is>
      </c>
      <c r="B503" s="1" t="n">
        <v>46008.63266203704</v>
      </c>
      <c r="C503" s="1" t="n">
        <v>46091</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5099-2026</t>
        </is>
      </c>
      <c r="B504" s="1" t="n">
        <v>46049.56158564815</v>
      </c>
      <c r="C504" s="1" t="n">
        <v>46091</v>
      </c>
      <c r="D504" t="inlineStr">
        <is>
          <t>ÖSTERGÖTLANDS LÄN</t>
        </is>
      </c>
      <c r="E504" t="inlineStr">
        <is>
          <t>LINKÖPING</t>
        </is>
      </c>
      <c r="G504" t="n">
        <v>5</v>
      </c>
      <c r="H504" t="n">
        <v>0</v>
      </c>
      <c r="I504" t="n">
        <v>0</v>
      </c>
      <c r="J504" t="n">
        <v>0</v>
      </c>
      <c r="K504" t="n">
        <v>0</v>
      </c>
      <c r="L504" t="n">
        <v>0</v>
      </c>
      <c r="M504" t="n">
        <v>0</v>
      </c>
      <c r="N504" t="n">
        <v>0</v>
      </c>
      <c r="O504" t="n">
        <v>0</v>
      </c>
      <c r="P504" t="n">
        <v>0</v>
      </c>
      <c r="Q504" t="n">
        <v>0</v>
      </c>
      <c r="R504" s="2" t="inlineStr"/>
    </row>
    <row r="505" ht="15" customHeight="1">
      <c r="A505" t="inlineStr">
        <is>
          <t>A 60004-2022</t>
        </is>
      </c>
      <c r="B505" s="1" t="n">
        <v>44909.47206018519</v>
      </c>
      <c r="C505" s="1" t="n">
        <v>46091</v>
      </c>
      <c r="D505" t="inlineStr">
        <is>
          <t>ÖSTERGÖTLANDS LÄN</t>
        </is>
      </c>
      <c r="E505" t="inlineStr">
        <is>
          <t>LINKÖPING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52796-2023</t>
        </is>
      </c>
      <c r="B506" s="1" t="n">
        <v>45219</v>
      </c>
      <c r="C506" s="1" t="n">
        <v>46091</v>
      </c>
      <c r="D506" t="inlineStr">
        <is>
          <t>ÖSTERGÖTLANDS LÄN</t>
        </is>
      </c>
      <c r="E506" t="inlineStr">
        <is>
          <t>LINKÖPING</t>
        </is>
      </c>
      <c r="F506" t="inlineStr">
        <is>
          <t>Övriga statliga verk och myndigheter</t>
        </is>
      </c>
      <c r="G506" t="n">
        <v>3.9</v>
      </c>
      <c r="H506" t="n">
        <v>0</v>
      </c>
      <c r="I506" t="n">
        <v>0</v>
      </c>
      <c r="J506" t="n">
        <v>0</v>
      </c>
      <c r="K506" t="n">
        <v>0</v>
      </c>
      <c r="L506" t="n">
        <v>0</v>
      </c>
      <c r="M506" t="n">
        <v>0</v>
      </c>
      <c r="N506" t="n">
        <v>0</v>
      </c>
      <c r="O506" t="n">
        <v>0</v>
      </c>
      <c r="P506" t="n">
        <v>0</v>
      </c>
      <c r="Q506" t="n">
        <v>0</v>
      </c>
      <c r="R506" s="2" t="inlineStr"/>
    </row>
    <row r="507" ht="15" customHeight="1">
      <c r="A507" t="inlineStr">
        <is>
          <t>A 50743-2023</t>
        </is>
      </c>
      <c r="B507" s="1" t="n">
        <v>45217</v>
      </c>
      <c r="C507" s="1" t="n">
        <v>46091</v>
      </c>
      <c r="D507" t="inlineStr">
        <is>
          <t>ÖSTERGÖTLANDS LÄN</t>
        </is>
      </c>
      <c r="E507" t="inlineStr">
        <is>
          <t>LINKÖPING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45771-2023</t>
        </is>
      </c>
      <c r="B508" s="1" t="n">
        <v>45195.4384375</v>
      </c>
      <c r="C508" s="1" t="n">
        <v>46091</v>
      </c>
      <c r="D508" t="inlineStr">
        <is>
          <t>ÖSTERGÖTLANDS LÄN</t>
        </is>
      </c>
      <c r="E508" t="inlineStr">
        <is>
          <t>LINKÖPING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62686-2025</t>
        </is>
      </c>
      <c r="B509" s="1" t="n">
        <v>46008.46769675926</v>
      </c>
      <c r="C509" s="1" t="n">
        <v>46091</v>
      </c>
      <c r="D509" t="inlineStr">
        <is>
          <t>ÖSTERGÖTLANDS LÄN</t>
        </is>
      </c>
      <c r="E509" t="inlineStr">
        <is>
          <t>LINKÖPING</t>
        </is>
      </c>
      <c r="G509" t="n">
        <v>7.6</v>
      </c>
      <c r="H509" t="n">
        <v>0</v>
      </c>
      <c r="I509" t="n">
        <v>0</v>
      </c>
      <c r="J509" t="n">
        <v>0</v>
      </c>
      <c r="K509" t="n">
        <v>0</v>
      </c>
      <c r="L509" t="n">
        <v>0</v>
      </c>
      <c r="M509" t="n">
        <v>0</v>
      </c>
      <c r="N509" t="n">
        <v>0</v>
      </c>
      <c r="O509" t="n">
        <v>0</v>
      </c>
      <c r="P509" t="n">
        <v>0</v>
      </c>
      <c r="Q509" t="n">
        <v>0</v>
      </c>
      <c r="R509" s="2" t="inlineStr"/>
    </row>
    <row r="510" ht="15" customHeight="1">
      <c r="A510" t="inlineStr">
        <is>
          <t>A 63554-2023</t>
        </is>
      </c>
      <c r="B510" s="1" t="n">
        <v>45275</v>
      </c>
      <c r="C510" s="1" t="n">
        <v>46091</v>
      </c>
      <c r="D510" t="inlineStr">
        <is>
          <t>ÖSTERGÖTLANDS LÄN</t>
        </is>
      </c>
      <c r="E510" t="inlineStr">
        <is>
          <t>LINKÖPING</t>
        </is>
      </c>
      <c r="G510" t="n">
        <v>4.3</v>
      </c>
      <c r="H510" t="n">
        <v>0</v>
      </c>
      <c r="I510" t="n">
        <v>0</v>
      </c>
      <c r="J510" t="n">
        <v>0</v>
      </c>
      <c r="K510" t="n">
        <v>0</v>
      </c>
      <c r="L510" t="n">
        <v>0</v>
      </c>
      <c r="M510" t="n">
        <v>0</v>
      </c>
      <c r="N510" t="n">
        <v>0</v>
      </c>
      <c r="O510" t="n">
        <v>0</v>
      </c>
      <c r="P510" t="n">
        <v>0</v>
      </c>
      <c r="Q510" t="n">
        <v>0</v>
      </c>
      <c r="R510" s="2" t="inlineStr"/>
    </row>
    <row r="511" ht="15" customHeight="1">
      <c r="A511" t="inlineStr">
        <is>
          <t>A 30111-2024</t>
        </is>
      </c>
      <c r="B511" s="1" t="n">
        <v>45489.46947916667</v>
      </c>
      <c r="C511" s="1" t="n">
        <v>46091</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30119-2024</t>
        </is>
      </c>
      <c r="B512" s="1" t="n">
        <v>45489</v>
      </c>
      <c r="C512" s="1" t="n">
        <v>46091</v>
      </c>
      <c r="D512" t="inlineStr">
        <is>
          <t>ÖSTERGÖTLANDS LÄN</t>
        </is>
      </c>
      <c r="E512" t="inlineStr">
        <is>
          <t>LINKÖPING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62515-2025</t>
        </is>
      </c>
      <c r="B513" s="1" t="n">
        <v>46007.60548611111</v>
      </c>
      <c r="C513" s="1" t="n">
        <v>46091</v>
      </c>
      <c r="D513" t="inlineStr">
        <is>
          <t>ÖSTERGÖTLANDS LÄN</t>
        </is>
      </c>
      <c r="E513" t="inlineStr">
        <is>
          <t>LINKÖPING</t>
        </is>
      </c>
      <c r="G513" t="n">
        <v>2.2</v>
      </c>
      <c r="H513" t="n">
        <v>0</v>
      </c>
      <c r="I513" t="n">
        <v>0</v>
      </c>
      <c r="J513" t="n">
        <v>0</v>
      </c>
      <c r="K513" t="n">
        <v>0</v>
      </c>
      <c r="L513" t="n">
        <v>0</v>
      </c>
      <c r="M513" t="n">
        <v>0</v>
      </c>
      <c r="N513" t="n">
        <v>0</v>
      </c>
      <c r="O513" t="n">
        <v>0</v>
      </c>
      <c r="P513" t="n">
        <v>0</v>
      </c>
      <c r="Q513" t="n">
        <v>0</v>
      </c>
      <c r="R513" s="2" t="inlineStr"/>
    </row>
    <row r="514" ht="15" customHeight="1">
      <c r="A514" t="inlineStr">
        <is>
          <t>A 6206-2024</t>
        </is>
      </c>
      <c r="B514" s="1" t="n">
        <v>45337.5977662037</v>
      </c>
      <c r="C514" s="1" t="n">
        <v>46091</v>
      </c>
      <c r="D514" t="inlineStr">
        <is>
          <t>ÖSTERGÖTLANDS LÄN</t>
        </is>
      </c>
      <c r="E514" t="inlineStr">
        <is>
          <t>LINKÖPING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5545-2026</t>
        </is>
      </c>
      <c r="B515" s="1" t="n">
        <v>46050.70089120371</v>
      </c>
      <c r="C515" s="1" t="n">
        <v>46091</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15714-2024</t>
        </is>
      </c>
      <c r="B516" s="1" t="n">
        <v>45404.48288194444</v>
      </c>
      <c r="C516" s="1" t="n">
        <v>46091</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63147-2025</t>
        </is>
      </c>
      <c r="B517" s="1" t="n">
        <v>46010.35003472222</v>
      </c>
      <c r="C517" s="1" t="n">
        <v>46091</v>
      </c>
      <c r="D517" t="inlineStr">
        <is>
          <t>ÖSTERGÖTLANDS LÄN</t>
        </is>
      </c>
      <c r="E517" t="inlineStr">
        <is>
          <t>LINKÖPING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30481-2023</t>
        </is>
      </c>
      <c r="B518" s="1" t="n">
        <v>45111</v>
      </c>
      <c r="C518" s="1" t="n">
        <v>46091</v>
      </c>
      <c r="D518" t="inlineStr">
        <is>
          <t>ÖSTERGÖTLANDS LÄN</t>
        </is>
      </c>
      <c r="E518" t="inlineStr">
        <is>
          <t>LINKÖPING</t>
        </is>
      </c>
      <c r="F518" t="inlineStr">
        <is>
          <t>Övriga Aktiebolag</t>
        </is>
      </c>
      <c r="G518" t="n">
        <v>2</v>
      </c>
      <c r="H518" t="n">
        <v>0</v>
      </c>
      <c r="I518" t="n">
        <v>0</v>
      </c>
      <c r="J518" t="n">
        <v>0</v>
      </c>
      <c r="K518" t="n">
        <v>0</v>
      </c>
      <c r="L518" t="n">
        <v>0</v>
      </c>
      <c r="M518" t="n">
        <v>0</v>
      </c>
      <c r="N518" t="n">
        <v>0</v>
      </c>
      <c r="O518" t="n">
        <v>0</v>
      </c>
      <c r="P518" t="n">
        <v>0</v>
      </c>
      <c r="Q518" t="n">
        <v>0</v>
      </c>
      <c r="R518" s="2" t="inlineStr"/>
    </row>
    <row r="519" ht="15" customHeight="1">
      <c r="A519" t="inlineStr">
        <is>
          <t>A 74160-2021</t>
        </is>
      </c>
      <c r="B519" s="1" t="n">
        <v>44558</v>
      </c>
      <c r="C519" s="1" t="n">
        <v>46091</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63144-2025</t>
        </is>
      </c>
      <c r="B520" s="1" t="n">
        <v>46010.34716435185</v>
      </c>
      <c r="C520" s="1" t="n">
        <v>46091</v>
      </c>
      <c r="D520" t="inlineStr">
        <is>
          <t>ÖSTERGÖTLANDS LÄN</t>
        </is>
      </c>
      <c r="E520" t="inlineStr">
        <is>
          <t>LINKÖPING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63559-2023</t>
        </is>
      </c>
      <c r="B521" s="1" t="n">
        <v>45275.35924768518</v>
      </c>
      <c r="C521" s="1" t="n">
        <v>46091</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23491-2024</t>
        </is>
      </c>
      <c r="B522" s="1" t="n">
        <v>45453</v>
      </c>
      <c r="C522" s="1" t="n">
        <v>46091</v>
      </c>
      <c r="D522" t="inlineStr">
        <is>
          <t>ÖSTERGÖTLANDS LÄN</t>
        </is>
      </c>
      <c r="E522" t="inlineStr">
        <is>
          <t>LINKÖPING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29309-2024</t>
        </is>
      </c>
      <c r="B523" s="1" t="n">
        <v>45483</v>
      </c>
      <c r="C523" s="1" t="n">
        <v>46091</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29411-2023</t>
        </is>
      </c>
      <c r="B524" s="1" t="n">
        <v>45106.46225694445</v>
      </c>
      <c r="C524" s="1" t="n">
        <v>46091</v>
      </c>
      <c r="D524" t="inlineStr">
        <is>
          <t>ÖSTERGÖTLANDS LÄN</t>
        </is>
      </c>
      <c r="E524" t="inlineStr">
        <is>
          <t>LINKÖPING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29412-2023</t>
        </is>
      </c>
      <c r="B525" s="1" t="n">
        <v>45106.46359953703</v>
      </c>
      <c r="C525" s="1" t="n">
        <v>46091</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29413-2023</t>
        </is>
      </c>
      <c r="B526" s="1" t="n">
        <v>45106.46465277778</v>
      </c>
      <c r="C526" s="1" t="n">
        <v>46091</v>
      </c>
      <c r="D526" t="inlineStr">
        <is>
          <t>ÖSTERGÖTLANDS LÄN</t>
        </is>
      </c>
      <c r="E526" t="inlineStr">
        <is>
          <t>LINKÖPING</t>
        </is>
      </c>
      <c r="G526" t="n">
        <v>8</v>
      </c>
      <c r="H526" t="n">
        <v>0</v>
      </c>
      <c r="I526" t="n">
        <v>0</v>
      </c>
      <c r="J526" t="n">
        <v>0</v>
      </c>
      <c r="K526" t="n">
        <v>0</v>
      </c>
      <c r="L526" t="n">
        <v>0</v>
      </c>
      <c r="M526" t="n">
        <v>0</v>
      </c>
      <c r="N526" t="n">
        <v>0</v>
      </c>
      <c r="O526" t="n">
        <v>0</v>
      </c>
      <c r="P526" t="n">
        <v>0</v>
      </c>
      <c r="Q526" t="n">
        <v>0</v>
      </c>
      <c r="R526" s="2" t="inlineStr"/>
    </row>
    <row r="527" ht="15" customHeight="1">
      <c r="A527" t="inlineStr">
        <is>
          <t>A 24151-2024</t>
        </is>
      </c>
      <c r="B527" s="1" t="n">
        <v>45456.67717592593</v>
      </c>
      <c r="C527" s="1" t="n">
        <v>46091</v>
      </c>
      <c r="D527" t="inlineStr">
        <is>
          <t>ÖSTERGÖTLANDS LÄN</t>
        </is>
      </c>
      <c r="E527" t="inlineStr">
        <is>
          <t>LINKÖPING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63845-2021</t>
        </is>
      </c>
      <c r="B528" s="1" t="n">
        <v>44509</v>
      </c>
      <c r="C528" s="1" t="n">
        <v>46091</v>
      </c>
      <c r="D528" t="inlineStr">
        <is>
          <t>ÖSTERGÖTLANDS LÄN</t>
        </is>
      </c>
      <c r="E528" t="inlineStr">
        <is>
          <t>LINKÖPING</t>
        </is>
      </c>
      <c r="G528" t="n">
        <v>5</v>
      </c>
      <c r="H528" t="n">
        <v>0</v>
      </c>
      <c r="I528" t="n">
        <v>0</v>
      </c>
      <c r="J528" t="n">
        <v>0</v>
      </c>
      <c r="K528" t="n">
        <v>0</v>
      </c>
      <c r="L528" t="n">
        <v>0</v>
      </c>
      <c r="M528" t="n">
        <v>0</v>
      </c>
      <c r="N528" t="n">
        <v>0</v>
      </c>
      <c r="O528" t="n">
        <v>0</v>
      </c>
      <c r="P528" t="n">
        <v>0</v>
      </c>
      <c r="Q528" t="n">
        <v>0</v>
      </c>
      <c r="R528" s="2" t="inlineStr"/>
    </row>
    <row r="529" ht="15" customHeight="1">
      <c r="A529" t="inlineStr">
        <is>
          <t>A 6384-2026</t>
        </is>
      </c>
      <c r="B529" s="1" t="n">
        <v>46055.63732638889</v>
      </c>
      <c r="C529" s="1" t="n">
        <v>46091</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17785-2023</t>
        </is>
      </c>
      <c r="B530" s="1" t="n">
        <v>45037.55094907407</v>
      </c>
      <c r="C530" s="1" t="n">
        <v>46091</v>
      </c>
      <c r="D530" t="inlineStr">
        <is>
          <t>ÖSTERGÖTLANDS LÄN</t>
        </is>
      </c>
      <c r="E530" t="inlineStr">
        <is>
          <t>LINKÖPING</t>
        </is>
      </c>
      <c r="F530" t="inlineStr">
        <is>
          <t>Allmännings- och besparingsskogar</t>
        </is>
      </c>
      <c r="G530" t="n">
        <v>3.1</v>
      </c>
      <c r="H530" t="n">
        <v>0</v>
      </c>
      <c r="I530" t="n">
        <v>0</v>
      </c>
      <c r="J530" t="n">
        <v>0</v>
      </c>
      <c r="K530" t="n">
        <v>0</v>
      </c>
      <c r="L530" t="n">
        <v>0</v>
      </c>
      <c r="M530" t="n">
        <v>0</v>
      </c>
      <c r="N530" t="n">
        <v>0</v>
      </c>
      <c r="O530" t="n">
        <v>0</v>
      </c>
      <c r="P530" t="n">
        <v>0</v>
      </c>
      <c r="Q530" t="n">
        <v>0</v>
      </c>
      <c r="R530" s="2" t="inlineStr"/>
    </row>
    <row r="531" ht="15" customHeight="1">
      <c r="A531" t="inlineStr">
        <is>
          <t>A 32346-2023</t>
        </is>
      </c>
      <c r="B531" s="1" t="n">
        <v>45120</v>
      </c>
      <c r="C531" s="1" t="n">
        <v>46091</v>
      </c>
      <c r="D531" t="inlineStr">
        <is>
          <t>ÖSTERGÖTLANDS LÄN</t>
        </is>
      </c>
      <c r="E531" t="inlineStr">
        <is>
          <t>LINKÖPING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1627-2023</t>
        </is>
      </c>
      <c r="B532" s="1" t="n">
        <v>44937</v>
      </c>
      <c r="C532" s="1" t="n">
        <v>46091</v>
      </c>
      <c r="D532" t="inlineStr">
        <is>
          <t>ÖSTERGÖTLANDS LÄN</t>
        </is>
      </c>
      <c r="E532" t="inlineStr">
        <is>
          <t>LINKÖPING</t>
        </is>
      </c>
      <c r="G532" t="n">
        <v>10.8</v>
      </c>
      <c r="H532" t="n">
        <v>0</v>
      </c>
      <c r="I532" t="n">
        <v>0</v>
      </c>
      <c r="J532" t="n">
        <v>0</v>
      </c>
      <c r="K532" t="n">
        <v>0</v>
      </c>
      <c r="L532" t="n">
        <v>0</v>
      </c>
      <c r="M532" t="n">
        <v>0</v>
      </c>
      <c r="N532" t="n">
        <v>0</v>
      </c>
      <c r="O532" t="n">
        <v>0</v>
      </c>
      <c r="P532" t="n">
        <v>0</v>
      </c>
      <c r="Q532" t="n">
        <v>0</v>
      </c>
      <c r="R532" s="2" t="inlineStr"/>
    </row>
    <row r="533" ht="15" customHeight="1">
      <c r="A533" t="inlineStr">
        <is>
          <t>A 6164-2026</t>
        </is>
      </c>
      <c r="B533" s="1" t="n">
        <v>46055.32596064815</v>
      </c>
      <c r="C533" s="1" t="n">
        <v>46091</v>
      </c>
      <c r="D533" t="inlineStr">
        <is>
          <t>ÖSTERGÖTLANDS LÄN</t>
        </is>
      </c>
      <c r="E533" t="inlineStr">
        <is>
          <t>LINKÖPING</t>
        </is>
      </c>
      <c r="G533" t="n">
        <v>0.4</v>
      </c>
      <c r="H533" t="n">
        <v>0</v>
      </c>
      <c r="I533" t="n">
        <v>0</v>
      </c>
      <c r="J533" t="n">
        <v>0</v>
      </c>
      <c r="K533" t="n">
        <v>0</v>
      </c>
      <c r="L533" t="n">
        <v>0</v>
      </c>
      <c r="M533" t="n">
        <v>0</v>
      </c>
      <c r="N533" t="n">
        <v>0</v>
      </c>
      <c r="O533" t="n">
        <v>0</v>
      </c>
      <c r="P533" t="n">
        <v>0</v>
      </c>
      <c r="Q533" t="n">
        <v>0</v>
      </c>
      <c r="R533" s="2" t="inlineStr"/>
    </row>
    <row r="534" ht="15" customHeight="1">
      <c r="A534" t="inlineStr">
        <is>
          <t>A 16665-2023</t>
        </is>
      </c>
      <c r="B534" s="1" t="n">
        <v>45030.5583912037</v>
      </c>
      <c r="C534" s="1" t="n">
        <v>46091</v>
      </c>
      <c r="D534" t="inlineStr">
        <is>
          <t>ÖSTERGÖTLANDS LÄN</t>
        </is>
      </c>
      <c r="E534" t="inlineStr">
        <is>
          <t>LINKÖPING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60860-2024</t>
        </is>
      </c>
      <c r="B535" s="1" t="n">
        <v>45644.6893287037</v>
      </c>
      <c r="C535" s="1" t="n">
        <v>46091</v>
      </c>
      <c r="D535" t="inlineStr">
        <is>
          <t>ÖSTERGÖTLANDS LÄN</t>
        </is>
      </c>
      <c r="E535" t="inlineStr">
        <is>
          <t>LINKÖPING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31640-2023</t>
        </is>
      </c>
      <c r="B536" s="1" t="n">
        <v>45117</v>
      </c>
      <c r="C536" s="1" t="n">
        <v>46091</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16213-2025</t>
        </is>
      </c>
      <c r="B537" s="1" t="n">
        <v>45750.62740740741</v>
      </c>
      <c r="C537" s="1" t="n">
        <v>46091</v>
      </c>
      <c r="D537" t="inlineStr">
        <is>
          <t>ÖSTERGÖTLANDS LÄN</t>
        </is>
      </c>
      <c r="E537" t="inlineStr">
        <is>
          <t>LINKÖPING</t>
        </is>
      </c>
      <c r="G537" t="n">
        <v>3.4</v>
      </c>
      <c r="H537" t="n">
        <v>0</v>
      </c>
      <c r="I537" t="n">
        <v>0</v>
      </c>
      <c r="J537" t="n">
        <v>0</v>
      </c>
      <c r="K537" t="n">
        <v>0</v>
      </c>
      <c r="L537" t="n">
        <v>0</v>
      </c>
      <c r="M537" t="n">
        <v>0</v>
      </c>
      <c r="N537" t="n">
        <v>0</v>
      </c>
      <c r="O537" t="n">
        <v>0</v>
      </c>
      <c r="P537" t="n">
        <v>0</v>
      </c>
      <c r="Q537" t="n">
        <v>0</v>
      </c>
      <c r="R537" s="2" t="inlineStr"/>
    </row>
    <row r="538" ht="15" customHeight="1">
      <c r="A538" t="inlineStr">
        <is>
          <t>A 7133-2026</t>
        </is>
      </c>
      <c r="B538" s="1" t="n">
        <v>46057</v>
      </c>
      <c r="C538" s="1" t="n">
        <v>46091</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34872-2023</t>
        </is>
      </c>
      <c r="B539" s="1" t="n">
        <v>45140</v>
      </c>
      <c r="C539" s="1" t="n">
        <v>46091</v>
      </c>
      <c r="D539" t="inlineStr">
        <is>
          <t>ÖSTERGÖTLANDS LÄN</t>
        </is>
      </c>
      <c r="E539" t="inlineStr">
        <is>
          <t>LINKÖPING</t>
        </is>
      </c>
      <c r="G539" t="n">
        <v>4.8</v>
      </c>
      <c r="H539" t="n">
        <v>0</v>
      </c>
      <c r="I539" t="n">
        <v>0</v>
      </c>
      <c r="J539" t="n">
        <v>0</v>
      </c>
      <c r="K539" t="n">
        <v>0</v>
      </c>
      <c r="L539" t="n">
        <v>0</v>
      </c>
      <c r="M539" t="n">
        <v>0</v>
      </c>
      <c r="N539" t="n">
        <v>0</v>
      </c>
      <c r="O539" t="n">
        <v>0</v>
      </c>
      <c r="P539" t="n">
        <v>0</v>
      </c>
      <c r="Q539" t="n">
        <v>0</v>
      </c>
      <c r="R539" s="2" t="inlineStr"/>
    </row>
    <row r="540" ht="15" customHeight="1">
      <c r="A540" t="inlineStr">
        <is>
          <t>A 33000-2023</t>
        </is>
      </c>
      <c r="B540" s="1" t="n">
        <v>45125</v>
      </c>
      <c r="C540" s="1" t="n">
        <v>46091</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2997-2025</t>
        </is>
      </c>
      <c r="B541" s="1" t="n">
        <v>45678.54631944445</v>
      </c>
      <c r="C541" s="1" t="n">
        <v>46091</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31534-2023</t>
        </is>
      </c>
      <c r="B542" s="1" t="n">
        <v>45116</v>
      </c>
      <c r="C542" s="1" t="n">
        <v>46091</v>
      </c>
      <c r="D542" t="inlineStr">
        <is>
          <t>ÖSTERGÖTLANDS LÄN</t>
        </is>
      </c>
      <c r="E542" t="inlineStr">
        <is>
          <t>LINKÖPING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26803-2024</t>
        </is>
      </c>
      <c r="B543" s="1" t="n">
        <v>45470</v>
      </c>
      <c r="C543" s="1" t="n">
        <v>46091</v>
      </c>
      <c r="D543" t="inlineStr">
        <is>
          <t>ÖSTERGÖTLANDS LÄN</t>
        </is>
      </c>
      <c r="E543" t="inlineStr">
        <is>
          <t>LINKÖPING</t>
        </is>
      </c>
      <c r="F543" t="inlineStr">
        <is>
          <t>Allmännings- och besparingsskogar</t>
        </is>
      </c>
      <c r="G543" t="n">
        <v>4.5</v>
      </c>
      <c r="H543" t="n">
        <v>0</v>
      </c>
      <c r="I543" t="n">
        <v>0</v>
      </c>
      <c r="J543" t="n">
        <v>0</v>
      </c>
      <c r="K543" t="n">
        <v>0</v>
      </c>
      <c r="L543" t="n">
        <v>0</v>
      </c>
      <c r="M543" t="n">
        <v>0</v>
      </c>
      <c r="N543" t="n">
        <v>0</v>
      </c>
      <c r="O543" t="n">
        <v>0</v>
      </c>
      <c r="P543" t="n">
        <v>0</v>
      </c>
      <c r="Q543" t="n">
        <v>0</v>
      </c>
      <c r="R543" s="2" t="inlineStr"/>
    </row>
    <row r="544" ht="15" customHeight="1">
      <c r="A544" t="inlineStr">
        <is>
          <t>A 45806-2024</t>
        </is>
      </c>
      <c r="B544" s="1" t="n">
        <v>45579.69619212963</v>
      </c>
      <c r="C544" s="1" t="n">
        <v>46091</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37154-2023</t>
        </is>
      </c>
      <c r="B545" s="1" t="n">
        <v>45155</v>
      </c>
      <c r="C545" s="1" t="n">
        <v>46091</v>
      </c>
      <c r="D545" t="inlineStr">
        <is>
          <t>ÖSTERGÖTLANDS LÄN</t>
        </is>
      </c>
      <c r="E545" t="inlineStr">
        <is>
          <t>LINKÖPING</t>
        </is>
      </c>
      <c r="G545" t="n">
        <v>1.7</v>
      </c>
      <c r="H545" t="n">
        <v>0</v>
      </c>
      <c r="I545" t="n">
        <v>0</v>
      </c>
      <c r="J545" t="n">
        <v>0</v>
      </c>
      <c r="K545" t="n">
        <v>0</v>
      </c>
      <c r="L545" t="n">
        <v>0</v>
      </c>
      <c r="M545" t="n">
        <v>0</v>
      </c>
      <c r="N545" t="n">
        <v>0</v>
      </c>
      <c r="O545" t="n">
        <v>0</v>
      </c>
      <c r="P545" t="n">
        <v>0</v>
      </c>
      <c r="Q545" t="n">
        <v>0</v>
      </c>
      <c r="R545" s="2" t="inlineStr"/>
    </row>
    <row r="546" ht="15" customHeight="1">
      <c r="A546" t="inlineStr">
        <is>
          <t>A 11330-2023</t>
        </is>
      </c>
      <c r="B546" s="1" t="n">
        <v>44993.24648148148</v>
      </c>
      <c r="C546" s="1" t="n">
        <v>46091</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42000-2023</t>
        </is>
      </c>
      <c r="B547" s="1" t="n">
        <v>45177</v>
      </c>
      <c r="C547" s="1" t="n">
        <v>46091</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32602-2022</t>
        </is>
      </c>
      <c r="B548" s="1" t="n">
        <v>44783.43192129629</v>
      </c>
      <c r="C548" s="1" t="n">
        <v>46091</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13413-2023</t>
        </is>
      </c>
      <c r="B549" s="1" t="n">
        <v>45005.58341435185</v>
      </c>
      <c r="C549" s="1" t="n">
        <v>46091</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63528-2023</t>
        </is>
      </c>
      <c r="B550" s="1" t="n">
        <v>45274.94810185185</v>
      </c>
      <c r="C550" s="1" t="n">
        <v>46091</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63638-2023</t>
        </is>
      </c>
      <c r="B551" s="1" t="n">
        <v>45275</v>
      </c>
      <c r="C551" s="1" t="n">
        <v>46091</v>
      </c>
      <c r="D551" t="inlineStr">
        <is>
          <t>ÖSTERGÖTLANDS LÄN</t>
        </is>
      </c>
      <c r="E551" t="inlineStr">
        <is>
          <t>LINKÖPING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63658-2023</t>
        </is>
      </c>
      <c r="B552" s="1" t="n">
        <v>45275</v>
      </c>
      <c r="C552" s="1" t="n">
        <v>46091</v>
      </c>
      <c r="D552" t="inlineStr">
        <is>
          <t>ÖSTERGÖTLANDS LÄN</t>
        </is>
      </c>
      <c r="E552" t="inlineStr">
        <is>
          <t>LINKÖPING</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7808-2022</t>
        </is>
      </c>
      <c r="B553" s="1" t="n">
        <v>44608</v>
      </c>
      <c r="C553" s="1" t="n">
        <v>46091</v>
      </c>
      <c r="D553" t="inlineStr">
        <is>
          <t>ÖSTERGÖTLANDS LÄN</t>
        </is>
      </c>
      <c r="E553" t="inlineStr">
        <is>
          <t>LINKÖPING</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36336-2023</t>
        </is>
      </c>
      <c r="B554" s="1" t="n">
        <v>45152.45078703704</v>
      </c>
      <c r="C554" s="1" t="n">
        <v>46091</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56623-2024</t>
        </is>
      </c>
      <c r="B555" s="1" t="n">
        <v>45625</v>
      </c>
      <c r="C555" s="1" t="n">
        <v>46091</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13011-2022</t>
        </is>
      </c>
      <c r="B556" s="1" t="n">
        <v>44643</v>
      </c>
      <c r="C556" s="1" t="n">
        <v>46091</v>
      </c>
      <c r="D556" t="inlineStr">
        <is>
          <t>ÖSTERGÖTLANDS LÄN</t>
        </is>
      </c>
      <c r="E556" t="inlineStr">
        <is>
          <t>LINKÖPING</t>
        </is>
      </c>
      <c r="G556" t="n">
        <v>3.7</v>
      </c>
      <c r="H556" t="n">
        <v>0</v>
      </c>
      <c r="I556" t="n">
        <v>0</v>
      </c>
      <c r="J556" t="n">
        <v>0</v>
      </c>
      <c r="K556" t="n">
        <v>0</v>
      </c>
      <c r="L556" t="n">
        <v>0</v>
      </c>
      <c r="M556" t="n">
        <v>0</v>
      </c>
      <c r="N556" t="n">
        <v>0</v>
      </c>
      <c r="O556" t="n">
        <v>0</v>
      </c>
      <c r="P556" t="n">
        <v>0</v>
      </c>
      <c r="Q556" t="n">
        <v>0</v>
      </c>
      <c r="R556" s="2" t="inlineStr"/>
    </row>
    <row r="557" ht="15" customHeight="1">
      <c r="A557" t="inlineStr">
        <is>
          <t>A 11595-2025</t>
        </is>
      </c>
      <c r="B557" s="1" t="n">
        <v>45727.41893518518</v>
      </c>
      <c r="C557" s="1" t="n">
        <v>46091</v>
      </c>
      <c r="D557" t="inlineStr">
        <is>
          <t>ÖSTERGÖTLANDS LÄN</t>
        </is>
      </c>
      <c r="E557" t="inlineStr">
        <is>
          <t>LINKÖPING</t>
        </is>
      </c>
      <c r="G557" t="n">
        <v>6.6</v>
      </c>
      <c r="H557" t="n">
        <v>0</v>
      </c>
      <c r="I557" t="n">
        <v>0</v>
      </c>
      <c r="J557" t="n">
        <v>0</v>
      </c>
      <c r="K557" t="n">
        <v>0</v>
      </c>
      <c r="L557" t="n">
        <v>0</v>
      </c>
      <c r="M557" t="n">
        <v>0</v>
      </c>
      <c r="N557" t="n">
        <v>0</v>
      </c>
      <c r="O557" t="n">
        <v>0</v>
      </c>
      <c r="P557" t="n">
        <v>0</v>
      </c>
      <c r="Q557" t="n">
        <v>0</v>
      </c>
      <c r="R557" s="2" t="inlineStr"/>
    </row>
    <row r="558" ht="15" customHeight="1">
      <c r="A558" t="inlineStr">
        <is>
          <t>A 50508-2024</t>
        </is>
      </c>
      <c r="B558" s="1" t="n">
        <v>45601.53907407408</v>
      </c>
      <c r="C558" s="1" t="n">
        <v>46091</v>
      </c>
      <c r="D558" t="inlineStr">
        <is>
          <t>ÖSTERGÖTLANDS LÄN</t>
        </is>
      </c>
      <c r="E558" t="inlineStr">
        <is>
          <t>LINKÖPING</t>
        </is>
      </c>
      <c r="F558" t="inlineStr">
        <is>
          <t>Övriga Aktiebolag</t>
        </is>
      </c>
      <c r="G558" t="n">
        <v>2</v>
      </c>
      <c r="H558" t="n">
        <v>0</v>
      </c>
      <c r="I558" t="n">
        <v>0</v>
      </c>
      <c r="J558" t="n">
        <v>0</v>
      </c>
      <c r="K558" t="n">
        <v>0</v>
      </c>
      <c r="L558" t="n">
        <v>0</v>
      </c>
      <c r="M558" t="n">
        <v>0</v>
      </c>
      <c r="N558" t="n">
        <v>0</v>
      </c>
      <c r="O558" t="n">
        <v>0</v>
      </c>
      <c r="P558" t="n">
        <v>0</v>
      </c>
      <c r="Q558" t="n">
        <v>0</v>
      </c>
      <c r="R558" s="2" t="inlineStr"/>
    </row>
    <row r="559" ht="15" customHeight="1">
      <c r="A559" t="inlineStr">
        <is>
          <t>A 927-2026</t>
        </is>
      </c>
      <c r="B559" s="1" t="n">
        <v>46030.50560185185</v>
      </c>
      <c r="C559" s="1" t="n">
        <v>46091</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856-2026</t>
        </is>
      </c>
      <c r="B560" s="1" t="n">
        <v>46030.40644675926</v>
      </c>
      <c r="C560" s="1" t="n">
        <v>46091</v>
      </c>
      <c r="D560" t="inlineStr">
        <is>
          <t>ÖSTERGÖTLANDS LÄN</t>
        </is>
      </c>
      <c r="E560" t="inlineStr">
        <is>
          <t>LINKÖPING</t>
        </is>
      </c>
      <c r="G560" t="n">
        <v>6.4</v>
      </c>
      <c r="H560" t="n">
        <v>0</v>
      </c>
      <c r="I560" t="n">
        <v>0</v>
      </c>
      <c r="J560" t="n">
        <v>0</v>
      </c>
      <c r="K560" t="n">
        <v>0</v>
      </c>
      <c r="L560" t="n">
        <v>0</v>
      </c>
      <c r="M560" t="n">
        <v>0</v>
      </c>
      <c r="N560" t="n">
        <v>0</v>
      </c>
      <c r="O560" t="n">
        <v>0</v>
      </c>
      <c r="P560" t="n">
        <v>0</v>
      </c>
      <c r="Q560" t="n">
        <v>0</v>
      </c>
      <c r="R560" s="2" t="inlineStr"/>
    </row>
    <row r="561" ht="15" customHeight="1">
      <c r="A561" t="inlineStr">
        <is>
          <t>A 860-2026</t>
        </is>
      </c>
      <c r="B561" s="1" t="n">
        <v>46030.41974537037</v>
      </c>
      <c r="C561" s="1" t="n">
        <v>46091</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873-2026</t>
        </is>
      </c>
      <c r="B562" s="1" t="n">
        <v>46030.43818287037</v>
      </c>
      <c r="C562" s="1" t="n">
        <v>46091</v>
      </c>
      <c r="D562" t="inlineStr">
        <is>
          <t>ÖSTERGÖTLANDS LÄN</t>
        </is>
      </c>
      <c r="E562" t="inlineStr">
        <is>
          <t>LINKÖPING</t>
        </is>
      </c>
      <c r="G562" t="n">
        <v>4.1</v>
      </c>
      <c r="H562" t="n">
        <v>0</v>
      </c>
      <c r="I562" t="n">
        <v>0</v>
      </c>
      <c r="J562" t="n">
        <v>0</v>
      </c>
      <c r="K562" t="n">
        <v>0</v>
      </c>
      <c r="L562" t="n">
        <v>0</v>
      </c>
      <c r="M562" t="n">
        <v>0</v>
      </c>
      <c r="N562" t="n">
        <v>0</v>
      </c>
      <c r="O562" t="n">
        <v>0</v>
      </c>
      <c r="P562" t="n">
        <v>0</v>
      </c>
      <c r="Q562" t="n">
        <v>0</v>
      </c>
      <c r="R562" s="2" t="inlineStr"/>
    </row>
    <row r="563" ht="15" customHeight="1">
      <c r="A563" t="inlineStr">
        <is>
          <t>A 36336-2022</t>
        </is>
      </c>
      <c r="B563" s="1" t="n">
        <v>44803</v>
      </c>
      <c r="C563" s="1" t="n">
        <v>46091</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48839-2022</t>
        </is>
      </c>
      <c r="B564" s="1" t="n">
        <v>44859</v>
      </c>
      <c r="C564" s="1" t="n">
        <v>46091</v>
      </c>
      <c r="D564" t="inlineStr">
        <is>
          <t>ÖSTERGÖTLANDS LÄN</t>
        </is>
      </c>
      <c r="E564" t="inlineStr">
        <is>
          <t>LINKÖPING</t>
        </is>
      </c>
      <c r="F564" t="inlineStr">
        <is>
          <t>Övriga Aktiebolag</t>
        </is>
      </c>
      <c r="G564" t="n">
        <v>0.6</v>
      </c>
      <c r="H564" t="n">
        <v>0</v>
      </c>
      <c r="I564" t="n">
        <v>0</v>
      </c>
      <c r="J564" t="n">
        <v>0</v>
      </c>
      <c r="K564" t="n">
        <v>0</v>
      </c>
      <c r="L564" t="n">
        <v>0</v>
      </c>
      <c r="M564" t="n">
        <v>0</v>
      </c>
      <c r="N564" t="n">
        <v>0</v>
      </c>
      <c r="O564" t="n">
        <v>0</v>
      </c>
      <c r="P564" t="n">
        <v>0</v>
      </c>
      <c r="Q564" t="n">
        <v>0</v>
      </c>
      <c r="R564" s="2" t="inlineStr"/>
    </row>
    <row r="565" ht="15" customHeight="1">
      <c r="A565" t="inlineStr">
        <is>
          <t>A 858-2026</t>
        </is>
      </c>
      <c r="B565" s="1" t="n">
        <v>46030.41200231481</v>
      </c>
      <c r="C565" s="1" t="n">
        <v>46091</v>
      </c>
      <c r="D565" t="inlineStr">
        <is>
          <t>ÖSTERGÖTLANDS LÄN</t>
        </is>
      </c>
      <c r="E565" t="inlineStr">
        <is>
          <t>LINKÖPING</t>
        </is>
      </c>
      <c r="G565" t="n">
        <v>1.9</v>
      </c>
      <c r="H565" t="n">
        <v>0</v>
      </c>
      <c r="I565" t="n">
        <v>0</v>
      </c>
      <c r="J565" t="n">
        <v>0</v>
      </c>
      <c r="K565" t="n">
        <v>0</v>
      </c>
      <c r="L565" t="n">
        <v>0</v>
      </c>
      <c r="M565" t="n">
        <v>0</v>
      </c>
      <c r="N565" t="n">
        <v>0</v>
      </c>
      <c r="O565" t="n">
        <v>0</v>
      </c>
      <c r="P565" t="n">
        <v>0</v>
      </c>
      <c r="Q565" t="n">
        <v>0</v>
      </c>
      <c r="R565" s="2" t="inlineStr"/>
    </row>
    <row r="566" ht="15" customHeight="1">
      <c r="A566" t="inlineStr">
        <is>
          <t>A 940-2026</t>
        </is>
      </c>
      <c r="B566" s="1" t="n">
        <v>46030.53052083333</v>
      </c>
      <c r="C566" s="1" t="n">
        <v>46091</v>
      </c>
      <c r="D566" t="inlineStr">
        <is>
          <t>ÖSTERGÖTLANDS LÄN</t>
        </is>
      </c>
      <c r="E566" t="inlineStr">
        <is>
          <t>LINKÖPING</t>
        </is>
      </c>
      <c r="F566" t="inlineStr">
        <is>
          <t>Allmännings- och besparingsskogar</t>
        </is>
      </c>
      <c r="G566" t="n">
        <v>2.9</v>
      </c>
      <c r="H566" t="n">
        <v>0</v>
      </c>
      <c r="I566" t="n">
        <v>0</v>
      </c>
      <c r="J566" t="n">
        <v>0</v>
      </c>
      <c r="K566" t="n">
        <v>0</v>
      </c>
      <c r="L566" t="n">
        <v>0</v>
      </c>
      <c r="M566" t="n">
        <v>0</v>
      </c>
      <c r="N566" t="n">
        <v>0</v>
      </c>
      <c r="O566" t="n">
        <v>0</v>
      </c>
      <c r="P566" t="n">
        <v>0</v>
      </c>
      <c r="Q566" t="n">
        <v>0</v>
      </c>
      <c r="R566" s="2" t="inlineStr"/>
    </row>
    <row r="567" ht="15" customHeight="1">
      <c r="A567" t="inlineStr">
        <is>
          <t>A 944-2026</t>
        </is>
      </c>
      <c r="B567" s="1" t="n">
        <v>46030.53461805556</v>
      </c>
      <c r="C567" s="1" t="n">
        <v>46091</v>
      </c>
      <c r="D567" t="inlineStr">
        <is>
          <t>ÖSTERGÖTLANDS LÄN</t>
        </is>
      </c>
      <c r="E567" t="inlineStr">
        <is>
          <t>LINKÖPING</t>
        </is>
      </c>
      <c r="F567" t="inlineStr">
        <is>
          <t>Allmännings- och besparingsskogar</t>
        </is>
      </c>
      <c r="G567" t="n">
        <v>0.9</v>
      </c>
      <c r="H567" t="n">
        <v>0</v>
      </c>
      <c r="I567" t="n">
        <v>0</v>
      </c>
      <c r="J567" t="n">
        <v>0</v>
      </c>
      <c r="K567" t="n">
        <v>0</v>
      </c>
      <c r="L567" t="n">
        <v>0</v>
      </c>
      <c r="M567" t="n">
        <v>0</v>
      </c>
      <c r="N567" t="n">
        <v>0</v>
      </c>
      <c r="O567" t="n">
        <v>0</v>
      </c>
      <c r="P567" t="n">
        <v>0</v>
      </c>
      <c r="Q567" t="n">
        <v>0</v>
      </c>
      <c r="R567" s="2" t="inlineStr"/>
    </row>
    <row r="568" ht="15" customHeight="1">
      <c r="A568" t="inlineStr">
        <is>
          <t>A 6387-2022</t>
        </is>
      </c>
      <c r="B568" s="1" t="n">
        <v>44600</v>
      </c>
      <c r="C568" s="1" t="n">
        <v>46091</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859-2026</t>
        </is>
      </c>
      <c r="B569" s="1" t="n">
        <v>46030.41450231482</v>
      </c>
      <c r="C569" s="1" t="n">
        <v>46091</v>
      </c>
      <c r="D569" t="inlineStr">
        <is>
          <t>ÖSTERGÖTLANDS LÄN</t>
        </is>
      </c>
      <c r="E569" t="inlineStr">
        <is>
          <t>LINKÖPING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34641-2022</t>
        </is>
      </c>
      <c r="B570" s="1" t="n">
        <v>44795</v>
      </c>
      <c r="C570" s="1" t="n">
        <v>46091</v>
      </c>
      <c r="D570" t="inlineStr">
        <is>
          <t>ÖSTERGÖTLANDS LÄN</t>
        </is>
      </c>
      <c r="E570" t="inlineStr">
        <is>
          <t>LINKÖPING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13687-2025</t>
        </is>
      </c>
      <c r="B571" s="1" t="n">
        <v>45737.31425925926</v>
      </c>
      <c r="C571" s="1" t="n">
        <v>46091</v>
      </c>
      <c r="D571" t="inlineStr">
        <is>
          <t>ÖSTERGÖTLANDS LÄN</t>
        </is>
      </c>
      <c r="E571" t="inlineStr">
        <is>
          <t>LINKÖPING</t>
        </is>
      </c>
      <c r="G571" t="n">
        <v>2.7</v>
      </c>
      <c r="H571" t="n">
        <v>0</v>
      </c>
      <c r="I571" t="n">
        <v>0</v>
      </c>
      <c r="J571" t="n">
        <v>0</v>
      </c>
      <c r="K571" t="n">
        <v>0</v>
      </c>
      <c r="L571" t="n">
        <v>0</v>
      </c>
      <c r="M571" t="n">
        <v>0</v>
      </c>
      <c r="N571" t="n">
        <v>0</v>
      </c>
      <c r="O571" t="n">
        <v>0</v>
      </c>
      <c r="P571" t="n">
        <v>0</v>
      </c>
      <c r="Q571" t="n">
        <v>0</v>
      </c>
      <c r="R571" s="2" t="inlineStr"/>
    </row>
    <row r="572" ht="15" customHeight="1">
      <c r="A572" t="inlineStr">
        <is>
          <t>A 13695-2025</t>
        </is>
      </c>
      <c r="B572" s="1" t="n">
        <v>45737.32219907407</v>
      </c>
      <c r="C572" s="1" t="n">
        <v>46091</v>
      </c>
      <c r="D572" t="inlineStr">
        <is>
          <t>ÖSTERGÖTLANDS LÄN</t>
        </is>
      </c>
      <c r="E572" t="inlineStr">
        <is>
          <t>LINKÖPING</t>
        </is>
      </c>
      <c r="G572" t="n">
        <v>5.3</v>
      </c>
      <c r="H572" t="n">
        <v>0</v>
      </c>
      <c r="I572" t="n">
        <v>0</v>
      </c>
      <c r="J572" t="n">
        <v>0</v>
      </c>
      <c r="K572" t="n">
        <v>0</v>
      </c>
      <c r="L572" t="n">
        <v>0</v>
      </c>
      <c r="M572" t="n">
        <v>0</v>
      </c>
      <c r="N572" t="n">
        <v>0</v>
      </c>
      <c r="O572" t="n">
        <v>0</v>
      </c>
      <c r="P572" t="n">
        <v>0</v>
      </c>
      <c r="Q572" t="n">
        <v>0</v>
      </c>
      <c r="R572" s="2" t="inlineStr"/>
    </row>
    <row r="573" ht="15" customHeight="1">
      <c r="A573" t="inlineStr">
        <is>
          <t>A 1223-2026</t>
        </is>
      </c>
      <c r="B573" s="1" t="n">
        <v>46031.40233796297</v>
      </c>
      <c r="C573" s="1" t="n">
        <v>46091</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52413-2023</t>
        </is>
      </c>
      <c r="B574" s="1" t="n">
        <v>45225.27950231481</v>
      </c>
      <c r="C574" s="1" t="n">
        <v>46091</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42054-2022</t>
        </is>
      </c>
      <c r="B575" s="1" t="n">
        <v>44830</v>
      </c>
      <c r="C575" s="1" t="n">
        <v>46091</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53797-2023</t>
        </is>
      </c>
      <c r="B576" s="1" t="n">
        <v>45230</v>
      </c>
      <c r="C576" s="1" t="n">
        <v>46091</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22833-2023</t>
        </is>
      </c>
      <c r="B577" s="1" t="n">
        <v>45071</v>
      </c>
      <c r="C577" s="1" t="n">
        <v>46091</v>
      </c>
      <c r="D577" t="inlineStr">
        <is>
          <t>ÖSTERGÖTLANDS LÄN</t>
        </is>
      </c>
      <c r="E577" t="inlineStr">
        <is>
          <t>LINKÖPING</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17898-2022</t>
        </is>
      </c>
      <c r="B578" s="1" t="n">
        <v>44683</v>
      </c>
      <c r="C578" s="1" t="n">
        <v>46091</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62017-2024</t>
        </is>
      </c>
      <c r="B579" s="1" t="n">
        <v>45655.81140046296</v>
      </c>
      <c r="C579" s="1" t="n">
        <v>46091</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12411-2022</t>
        </is>
      </c>
      <c r="B580" s="1" t="n">
        <v>44638.21601851852</v>
      </c>
      <c r="C580" s="1" t="n">
        <v>46091</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10492-2022</t>
        </is>
      </c>
      <c r="B581" s="1" t="n">
        <v>44623.6377199074</v>
      </c>
      <c r="C581" s="1" t="n">
        <v>46091</v>
      </c>
      <c r="D581" t="inlineStr">
        <is>
          <t>ÖSTERGÖTLANDS LÄN</t>
        </is>
      </c>
      <c r="E581" t="inlineStr">
        <is>
          <t>LINKÖPING</t>
        </is>
      </c>
      <c r="G581" t="n">
        <v>2.1</v>
      </c>
      <c r="H581" t="n">
        <v>0</v>
      </c>
      <c r="I581" t="n">
        <v>0</v>
      </c>
      <c r="J581" t="n">
        <v>0</v>
      </c>
      <c r="K581" t="n">
        <v>0</v>
      </c>
      <c r="L581" t="n">
        <v>0</v>
      </c>
      <c r="M581" t="n">
        <v>0</v>
      </c>
      <c r="N581" t="n">
        <v>0</v>
      </c>
      <c r="O581" t="n">
        <v>0</v>
      </c>
      <c r="P581" t="n">
        <v>0</v>
      </c>
      <c r="Q581" t="n">
        <v>0</v>
      </c>
      <c r="R581" s="2" t="inlineStr"/>
    </row>
    <row r="582" ht="15" customHeight="1">
      <c r="A582" t="inlineStr">
        <is>
          <t>A 10756-2026</t>
        </is>
      </c>
      <c r="B582" s="1" t="n">
        <v>46078.55412037037</v>
      </c>
      <c r="C582" s="1" t="n">
        <v>46091</v>
      </c>
      <c r="D582" t="inlineStr">
        <is>
          <t>ÖSTERGÖTLANDS LÄN</t>
        </is>
      </c>
      <c r="E582" t="inlineStr">
        <is>
          <t>LINKÖPING</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2030-2026</t>
        </is>
      </c>
      <c r="B583" s="1" t="n">
        <v>46035.73590277778</v>
      </c>
      <c r="C583" s="1" t="n">
        <v>46091</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7343-2025</t>
        </is>
      </c>
      <c r="B584" s="1" t="n">
        <v>45703.67853009259</v>
      </c>
      <c r="C584" s="1" t="n">
        <v>46091</v>
      </c>
      <c r="D584" t="inlineStr">
        <is>
          <t>ÖSTERGÖTLANDS LÄN</t>
        </is>
      </c>
      <c r="E584" t="inlineStr">
        <is>
          <t>LINKÖPING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8967-2025</t>
        </is>
      </c>
      <c r="B585" s="1" t="n">
        <v>45712</v>
      </c>
      <c r="C585" s="1" t="n">
        <v>46091</v>
      </c>
      <c r="D585" t="inlineStr">
        <is>
          <t>ÖSTERGÖTLANDS LÄN</t>
        </is>
      </c>
      <c r="E585" t="inlineStr">
        <is>
          <t>LINKÖPING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2031-2026</t>
        </is>
      </c>
      <c r="B586" s="1" t="n">
        <v>46035.74182870371</v>
      </c>
      <c r="C586" s="1" t="n">
        <v>46091</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35427-2023</t>
        </is>
      </c>
      <c r="B587" s="1" t="n">
        <v>45146</v>
      </c>
      <c r="C587" s="1" t="n">
        <v>46091</v>
      </c>
      <c r="D587" t="inlineStr">
        <is>
          <t>ÖSTERGÖTLANDS LÄN</t>
        </is>
      </c>
      <c r="E587" t="inlineStr">
        <is>
          <t>LINKÖPING</t>
        </is>
      </c>
      <c r="F587" t="inlineStr">
        <is>
          <t>Övriga Aktiebolag</t>
        </is>
      </c>
      <c r="G587" t="n">
        <v>2.5</v>
      </c>
      <c r="H587" t="n">
        <v>0</v>
      </c>
      <c r="I587" t="n">
        <v>0</v>
      </c>
      <c r="J587" t="n">
        <v>0</v>
      </c>
      <c r="K587" t="n">
        <v>0</v>
      </c>
      <c r="L587" t="n">
        <v>0</v>
      </c>
      <c r="M587" t="n">
        <v>0</v>
      </c>
      <c r="N587" t="n">
        <v>0</v>
      </c>
      <c r="O587" t="n">
        <v>0</v>
      </c>
      <c r="P587" t="n">
        <v>0</v>
      </c>
      <c r="Q587" t="n">
        <v>0</v>
      </c>
      <c r="R587" s="2" t="inlineStr"/>
    </row>
    <row r="588" ht="15" customHeight="1">
      <c r="A588" t="inlineStr">
        <is>
          <t>A 30468-2023</t>
        </is>
      </c>
      <c r="B588" s="1" t="n">
        <v>45111.58732638889</v>
      </c>
      <c r="C588" s="1" t="n">
        <v>46091</v>
      </c>
      <c r="D588" t="inlineStr">
        <is>
          <t>ÖSTERGÖTLANDS LÄN</t>
        </is>
      </c>
      <c r="E588" t="inlineStr">
        <is>
          <t>LINKÖPING</t>
        </is>
      </c>
      <c r="G588" t="n">
        <v>10.1</v>
      </c>
      <c r="H588" t="n">
        <v>0</v>
      </c>
      <c r="I588" t="n">
        <v>0</v>
      </c>
      <c r="J588" t="n">
        <v>0</v>
      </c>
      <c r="K588" t="n">
        <v>0</v>
      </c>
      <c r="L588" t="n">
        <v>0</v>
      </c>
      <c r="M588" t="n">
        <v>0</v>
      </c>
      <c r="N588" t="n">
        <v>0</v>
      </c>
      <c r="O588" t="n">
        <v>0</v>
      </c>
      <c r="P588" t="n">
        <v>0</v>
      </c>
      <c r="Q588" t="n">
        <v>0</v>
      </c>
      <c r="R588" s="2" t="inlineStr"/>
    </row>
    <row r="589" ht="15" customHeight="1">
      <c r="A589" t="inlineStr">
        <is>
          <t>A 20296-2025</t>
        </is>
      </c>
      <c r="B589" s="1" t="n">
        <v>45774.74922453704</v>
      </c>
      <c r="C589" s="1" t="n">
        <v>46091</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10477-2026</t>
        </is>
      </c>
      <c r="B590" s="1" t="n">
        <v>46077.4871875</v>
      </c>
      <c r="C590" s="1" t="n">
        <v>46091</v>
      </c>
      <c r="D590" t="inlineStr">
        <is>
          <t>ÖSTERGÖTLANDS LÄN</t>
        </is>
      </c>
      <c r="E590" t="inlineStr">
        <is>
          <t>LINKÖPING</t>
        </is>
      </c>
      <c r="G590" t="n">
        <v>9.6</v>
      </c>
      <c r="H590" t="n">
        <v>0</v>
      </c>
      <c r="I590" t="n">
        <v>0</v>
      </c>
      <c r="J590" t="n">
        <v>0</v>
      </c>
      <c r="K590" t="n">
        <v>0</v>
      </c>
      <c r="L590" t="n">
        <v>0</v>
      </c>
      <c r="M590" t="n">
        <v>0</v>
      </c>
      <c r="N590" t="n">
        <v>0</v>
      </c>
      <c r="O590" t="n">
        <v>0</v>
      </c>
      <c r="P590" t="n">
        <v>0</v>
      </c>
      <c r="Q590" t="n">
        <v>0</v>
      </c>
      <c r="R590" s="2" t="inlineStr"/>
    </row>
    <row r="591" ht="15" customHeight="1">
      <c r="A591" t="inlineStr">
        <is>
          <t>A 10479-2026</t>
        </is>
      </c>
      <c r="B591" s="1" t="n">
        <v>46077.49231481482</v>
      </c>
      <c r="C591" s="1" t="n">
        <v>46091</v>
      </c>
      <c r="D591" t="inlineStr">
        <is>
          <t>ÖSTERGÖTLANDS LÄN</t>
        </is>
      </c>
      <c r="E591" t="inlineStr">
        <is>
          <t>LINKÖPING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56841-2023</t>
        </is>
      </c>
      <c r="B592" s="1" t="n">
        <v>45244</v>
      </c>
      <c r="C592" s="1" t="n">
        <v>46091</v>
      </c>
      <c r="D592" t="inlineStr">
        <is>
          <t>ÖSTERGÖTLANDS LÄN</t>
        </is>
      </c>
      <c r="E592" t="inlineStr">
        <is>
          <t>LINKÖPING</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11033-2026</t>
        </is>
      </c>
      <c r="B593" s="1" t="n">
        <v>46079.57361111111</v>
      </c>
      <c r="C593" s="1" t="n">
        <v>46091</v>
      </c>
      <c r="D593" t="inlineStr">
        <is>
          <t>ÖSTERGÖTLANDS LÄN</t>
        </is>
      </c>
      <c r="E593" t="inlineStr">
        <is>
          <t>LINKÖPING</t>
        </is>
      </c>
      <c r="G593" t="n">
        <v>7.9</v>
      </c>
      <c r="H593" t="n">
        <v>0</v>
      </c>
      <c r="I593" t="n">
        <v>0</v>
      </c>
      <c r="J593" t="n">
        <v>0</v>
      </c>
      <c r="K593" t="n">
        <v>0</v>
      </c>
      <c r="L593" t="n">
        <v>0</v>
      </c>
      <c r="M593" t="n">
        <v>0</v>
      </c>
      <c r="N593" t="n">
        <v>0</v>
      </c>
      <c r="O593" t="n">
        <v>0</v>
      </c>
      <c r="P593" t="n">
        <v>0</v>
      </c>
      <c r="Q593" t="n">
        <v>0</v>
      </c>
      <c r="R593" s="2" t="inlineStr"/>
    </row>
    <row r="594" ht="15" customHeight="1">
      <c r="A594" t="inlineStr">
        <is>
          <t>A 11036-2026</t>
        </is>
      </c>
      <c r="B594" s="1" t="n">
        <v>46079.57836805555</v>
      </c>
      <c r="C594" s="1" t="n">
        <v>46091</v>
      </c>
      <c r="D594" t="inlineStr">
        <is>
          <t>ÖSTERGÖTLANDS LÄN</t>
        </is>
      </c>
      <c r="E594" t="inlineStr">
        <is>
          <t>LINKÖPING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3045-2026</t>
        </is>
      </c>
      <c r="B595" s="1" t="n">
        <v>46038.74047453704</v>
      </c>
      <c r="C595" s="1" t="n">
        <v>46091</v>
      </c>
      <c r="D595" t="inlineStr">
        <is>
          <t>ÖSTERGÖTLANDS LÄN</t>
        </is>
      </c>
      <c r="E595" t="inlineStr">
        <is>
          <t>LINKÖPING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11057-2026</t>
        </is>
      </c>
      <c r="B596" s="1" t="n">
        <v>46079.59515046296</v>
      </c>
      <c r="C596" s="1" t="n">
        <v>46091</v>
      </c>
      <c r="D596" t="inlineStr">
        <is>
          <t>ÖSTERGÖTLANDS LÄN</t>
        </is>
      </c>
      <c r="E596" t="inlineStr">
        <is>
          <t>LINKÖPING</t>
        </is>
      </c>
      <c r="G596" t="n">
        <v>2.9</v>
      </c>
      <c r="H596" t="n">
        <v>0</v>
      </c>
      <c r="I596" t="n">
        <v>0</v>
      </c>
      <c r="J596" t="n">
        <v>0</v>
      </c>
      <c r="K596" t="n">
        <v>0</v>
      </c>
      <c r="L596" t="n">
        <v>0</v>
      </c>
      <c r="M596" t="n">
        <v>0</v>
      </c>
      <c r="N596" t="n">
        <v>0</v>
      </c>
      <c r="O596" t="n">
        <v>0</v>
      </c>
      <c r="P596" t="n">
        <v>0</v>
      </c>
      <c r="Q596" t="n">
        <v>0</v>
      </c>
      <c r="R596" s="2" t="inlineStr"/>
    </row>
    <row r="597" ht="15" customHeight="1">
      <c r="A597" t="inlineStr">
        <is>
          <t>A 53812-2023</t>
        </is>
      </c>
      <c r="B597" s="1" t="n">
        <v>45231.39583333334</v>
      </c>
      <c r="C597" s="1" t="n">
        <v>46091</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53830-2023</t>
        </is>
      </c>
      <c r="B598" s="1" t="n">
        <v>45230</v>
      </c>
      <c r="C598" s="1" t="n">
        <v>46091</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3044-2026</t>
        </is>
      </c>
      <c r="B599" s="1" t="n">
        <v>46038.73855324074</v>
      </c>
      <c r="C599" s="1" t="n">
        <v>46091</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38715-2023</t>
        </is>
      </c>
      <c r="B600" s="1" t="n">
        <v>45160</v>
      </c>
      <c r="C600" s="1" t="n">
        <v>46091</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11169-2026</t>
        </is>
      </c>
      <c r="B601" s="1" t="n">
        <v>46080.37020833333</v>
      </c>
      <c r="C601" s="1" t="n">
        <v>46091</v>
      </c>
      <c r="D601" t="inlineStr">
        <is>
          <t>ÖSTERGÖTLANDS LÄN</t>
        </is>
      </c>
      <c r="E601" t="inlineStr">
        <is>
          <t>LINKÖPING</t>
        </is>
      </c>
      <c r="G601" t="n">
        <v>1.3</v>
      </c>
      <c r="H601" t="n">
        <v>0</v>
      </c>
      <c r="I601" t="n">
        <v>0</v>
      </c>
      <c r="J601" t="n">
        <v>0</v>
      </c>
      <c r="K601" t="n">
        <v>0</v>
      </c>
      <c r="L601" t="n">
        <v>0</v>
      </c>
      <c r="M601" t="n">
        <v>0</v>
      </c>
      <c r="N601" t="n">
        <v>0</v>
      </c>
      <c r="O601" t="n">
        <v>0</v>
      </c>
      <c r="P601" t="n">
        <v>0</v>
      </c>
      <c r="Q601" t="n">
        <v>0</v>
      </c>
      <c r="R601" s="2" t="inlineStr"/>
    </row>
    <row r="602" ht="15" customHeight="1">
      <c r="A602" t="inlineStr">
        <is>
          <t>A 3043-2026</t>
        </is>
      </c>
      <c r="B602" s="1" t="n">
        <v>46038.73675925926</v>
      </c>
      <c r="C602" s="1" t="n">
        <v>46091</v>
      </c>
      <c r="D602" t="inlineStr">
        <is>
          <t>ÖSTERGÖTLANDS LÄN</t>
        </is>
      </c>
      <c r="E602" t="inlineStr">
        <is>
          <t>LINKÖPING</t>
        </is>
      </c>
      <c r="G602" t="n">
        <v>2.5</v>
      </c>
      <c r="H602" t="n">
        <v>0</v>
      </c>
      <c r="I602" t="n">
        <v>0</v>
      </c>
      <c r="J602" t="n">
        <v>0</v>
      </c>
      <c r="K602" t="n">
        <v>0</v>
      </c>
      <c r="L602" t="n">
        <v>0</v>
      </c>
      <c r="M602" t="n">
        <v>0</v>
      </c>
      <c r="N602" t="n">
        <v>0</v>
      </c>
      <c r="O602" t="n">
        <v>0</v>
      </c>
      <c r="P602" t="n">
        <v>0</v>
      </c>
      <c r="Q602" t="n">
        <v>0</v>
      </c>
      <c r="R602" s="2" t="inlineStr"/>
    </row>
    <row r="603" ht="15" customHeight="1">
      <c r="A603" t="inlineStr">
        <is>
          <t>A 3046-2026</t>
        </is>
      </c>
      <c r="B603" s="1" t="n">
        <v>46038.74182870371</v>
      </c>
      <c r="C603" s="1" t="n">
        <v>46091</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10764-2026</t>
        </is>
      </c>
      <c r="B604" s="1" t="n">
        <v>46078</v>
      </c>
      <c r="C604" s="1" t="n">
        <v>46091</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27766-2022</t>
        </is>
      </c>
      <c r="B605" s="1" t="n">
        <v>44743.53112268518</v>
      </c>
      <c r="C605" s="1" t="n">
        <v>46091</v>
      </c>
      <c r="D605" t="inlineStr">
        <is>
          <t>ÖSTERGÖTLANDS LÄN</t>
        </is>
      </c>
      <c r="E605" t="inlineStr">
        <is>
          <t>LINKÖPING</t>
        </is>
      </c>
      <c r="G605" t="n">
        <v>2</v>
      </c>
      <c r="H605" t="n">
        <v>0</v>
      </c>
      <c r="I605" t="n">
        <v>0</v>
      </c>
      <c r="J605" t="n">
        <v>0</v>
      </c>
      <c r="K605" t="n">
        <v>0</v>
      </c>
      <c r="L605" t="n">
        <v>0</v>
      </c>
      <c r="M605" t="n">
        <v>0</v>
      </c>
      <c r="N605" t="n">
        <v>0</v>
      </c>
      <c r="O605" t="n">
        <v>0</v>
      </c>
      <c r="P605" t="n">
        <v>0</v>
      </c>
      <c r="Q605" t="n">
        <v>0</v>
      </c>
      <c r="R605" s="2" t="inlineStr"/>
    </row>
    <row r="606" ht="15" customHeight="1">
      <c r="A606" t="inlineStr">
        <is>
          <t>A 48271-2023</t>
        </is>
      </c>
      <c r="B606" s="1" t="n">
        <v>45205</v>
      </c>
      <c r="C606" s="1" t="n">
        <v>46091</v>
      </c>
      <c r="D606" t="inlineStr">
        <is>
          <t>ÖSTERGÖTLANDS LÄN</t>
        </is>
      </c>
      <c r="E606" t="inlineStr">
        <is>
          <t>LINKÖPING</t>
        </is>
      </c>
      <c r="G606" t="n">
        <v>3</v>
      </c>
      <c r="H606" t="n">
        <v>0</v>
      </c>
      <c r="I606" t="n">
        <v>0</v>
      </c>
      <c r="J606" t="n">
        <v>0</v>
      </c>
      <c r="K606" t="n">
        <v>0</v>
      </c>
      <c r="L606" t="n">
        <v>0</v>
      </c>
      <c r="M606" t="n">
        <v>0</v>
      </c>
      <c r="N606" t="n">
        <v>0</v>
      </c>
      <c r="O606" t="n">
        <v>0</v>
      </c>
      <c r="P606" t="n">
        <v>0</v>
      </c>
      <c r="Q606" t="n">
        <v>0</v>
      </c>
      <c r="R606" s="2" t="inlineStr"/>
    </row>
    <row r="607" ht="15" customHeight="1">
      <c r="A607" t="inlineStr">
        <is>
          <t>A 13266-2025</t>
        </is>
      </c>
      <c r="B607" s="1" t="n">
        <v>45735.53318287037</v>
      </c>
      <c r="C607" s="1" t="n">
        <v>46091</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60001-2022</t>
        </is>
      </c>
      <c r="B608" s="1" t="n">
        <v>44909.47087962963</v>
      </c>
      <c r="C608" s="1" t="n">
        <v>46091</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11891-2026</t>
        </is>
      </c>
      <c r="B609" s="1" t="n">
        <v>46085.5197800926</v>
      </c>
      <c r="C609" s="1" t="n">
        <v>46091</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1657-2024</t>
        </is>
      </c>
      <c r="B610" s="1" t="n">
        <v>45306.82501157407</v>
      </c>
      <c r="C610" s="1" t="n">
        <v>46091</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11888-2026</t>
        </is>
      </c>
      <c r="B611" s="1" t="n">
        <v>46085.51813657407</v>
      </c>
      <c r="C611" s="1" t="n">
        <v>46091</v>
      </c>
      <c r="D611" t="inlineStr">
        <is>
          <t>ÖSTERGÖTLANDS LÄN</t>
        </is>
      </c>
      <c r="E611" t="inlineStr">
        <is>
          <t>LINKÖPING</t>
        </is>
      </c>
      <c r="G611" t="n">
        <v>3.6</v>
      </c>
      <c r="H611" t="n">
        <v>0</v>
      </c>
      <c r="I611" t="n">
        <v>0</v>
      </c>
      <c r="J611" t="n">
        <v>0</v>
      </c>
      <c r="K611" t="n">
        <v>0</v>
      </c>
      <c r="L611" t="n">
        <v>0</v>
      </c>
      <c r="M611" t="n">
        <v>0</v>
      </c>
      <c r="N611" t="n">
        <v>0</v>
      </c>
      <c r="O611" t="n">
        <v>0</v>
      </c>
      <c r="P611" t="n">
        <v>0</v>
      </c>
      <c r="Q611" t="n">
        <v>0</v>
      </c>
      <c r="R611" s="2" t="inlineStr"/>
    </row>
    <row r="612" ht="15" customHeight="1">
      <c r="A612" t="inlineStr">
        <is>
          <t>A 30976-2022</t>
        </is>
      </c>
      <c r="B612" s="1" t="n">
        <v>44768</v>
      </c>
      <c r="C612" s="1" t="n">
        <v>46091</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30860-2022</t>
        </is>
      </c>
      <c r="B613" s="1" t="n">
        <v>44767</v>
      </c>
      <c r="C613" s="1" t="n">
        <v>46091</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48186-2022</t>
        </is>
      </c>
      <c r="B614" s="1" t="n">
        <v>44858</v>
      </c>
      <c r="C614" s="1" t="n">
        <v>46091</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28266-2024</t>
        </is>
      </c>
      <c r="B615" s="1" t="n">
        <v>45477.43600694444</v>
      </c>
      <c r="C615" s="1" t="n">
        <v>46091</v>
      </c>
      <c r="D615" t="inlineStr">
        <is>
          <t>ÖSTERGÖTLANDS LÄN</t>
        </is>
      </c>
      <c r="E615" t="inlineStr">
        <is>
          <t>LINKÖPING</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12255-2026</t>
        </is>
      </c>
      <c r="B616" s="1" t="n">
        <v>46087.46630787037</v>
      </c>
      <c r="C616" s="1" t="n">
        <v>46091</v>
      </c>
      <c r="D616" t="inlineStr">
        <is>
          <t>ÖSTERGÖTLANDS LÄN</t>
        </is>
      </c>
      <c r="E616" t="inlineStr">
        <is>
          <t>LINKÖPING</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31548-2022</t>
        </is>
      </c>
      <c r="B617" s="1" t="n">
        <v>44775.39832175926</v>
      </c>
      <c r="C617" s="1" t="n">
        <v>46091</v>
      </c>
      <c r="D617" t="inlineStr">
        <is>
          <t>ÖSTERGÖTLANDS LÄN</t>
        </is>
      </c>
      <c r="E617" t="inlineStr">
        <is>
          <t>LINKÖPING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1211-2023</t>
        </is>
      </c>
      <c r="B618" s="1" t="n">
        <v>44930</v>
      </c>
      <c r="C618" s="1" t="n">
        <v>46091</v>
      </c>
      <c r="D618" t="inlineStr">
        <is>
          <t>ÖSTERGÖTLANDS LÄN</t>
        </is>
      </c>
      <c r="E618" t="inlineStr">
        <is>
          <t>LINKÖPING</t>
        </is>
      </c>
      <c r="F618" t="inlineStr">
        <is>
          <t>Övriga statliga verk och myndigheter</t>
        </is>
      </c>
      <c r="G618" t="n">
        <v>7.9</v>
      </c>
      <c r="H618" t="n">
        <v>0</v>
      </c>
      <c r="I618" t="n">
        <v>0</v>
      </c>
      <c r="J618" t="n">
        <v>0</v>
      </c>
      <c r="K618" t="n">
        <v>0</v>
      </c>
      <c r="L618" t="n">
        <v>0</v>
      </c>
      <c r="M618" t="n">
        <v>0</v>
      </c>
      <c r="N618" t="n">
        <v>0</v>
      </c>
      <c r="O618" t="n">
        <v>0</v>
      </c>
      <c r="P618" t="n">
        <v>0</v>
      </c>
      <c r="Q618" t="n">
        <v>0</v>
      </c>
      <c r="R618" s="2" t="inlineStr"/>
    </row>
    <row r="619" ht="15" customHeight="1">
      <c r="A619" t="inlineStr">
        <is>
          <t>A 51191-2022</t>
        </is>
      </c>
      <c r="B619" s="1" t="n">
        <v>44865</v>
      </c>
      <c r="C619" s="1" t="n">
        <v>46091</v>
      </c>
      <c r="D619" t="inlineStr">
        <is>
          <t>ÖSTERGÖTLANDS LÄN</t>
        </is>
      </c>
      <c r="E619" t="inlineStr">
        <is>
          <t>LINKÖPING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55632-2022</t>
        </is>
      </c>
      <c r="B620" s="1" t="n">
        <v>44888</v>
      </c>
      <c r="C620" s="1" t="n">
        <v>46091</v>
      </c>
      <c r="D620" t="inlineStr">
        <is>
          <t>ÖSTERGÖTLANDS LÄN</t>
        </is>
      </c>
      <c r="E620" t="inlineStr">
        <is>
          <t>LINKÖPING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38886-2024</t>
        </is>
      </c>
      <c r="B621" s="1" t="n">
        <v>45547.66443287037</v>
      </c>
      <c r="C621" s="1" t="n">
        <v>46091</v>
      </c>
      <c r="D621" t="inlineStr">
        <is>
          <t>ÖSTERGÖTLANDS LÄN</t>
        </is>
      </c>
      <c r="E621" t="inlineStr">
        <is>
          <t>LINKÖPING</t>
        </is>
      </c>
      <c r="G621" t="n">
        <v>5.3</v>
      </c>
      <c r="H621" t="n">
        <v>0</v>
      </c>
      <c r="I621" t="n">
        <v>0</v>
      </c>
      <c r="J621" t="n">
        <v>0</v>
      </c>
      <c r="K621" t="n">
        <v>0</v>
      </c>
      <c r="L621" t="n">
        <v>0</v>
      </c>
      <c r="M621" t="n">
        <v>0</v>
      </c>
      <c r="N621" t="n">
        <v>0</v>
      </c>
      <c r="O621" t="n">
        <v>0</v>
      </c>
      <c r="P621" t="n">
        <v>0</v>
      </c>
      <c r="Q621" t="n">
        <v>0</v>
      </c>
      <c r="R621" s="2" t="inlineStr"/>
    </row>
    <row r="622" ht="15" customHeight="1">
      <c r="A622" t="inlineStr">
        <is>
          <t>A 63669-2023</t>
        </is>
      </c>
      <c r="B622" s="1" t="n">
        <v>45275</v>
      </c>
      <c r="C622" s="1" t="n">
        <v>46091</v>
      </c>
      <c r="D622" t="inlineStr">
        <is>
          <t>ÖSTERGÖTLANDS LÄN</t>
        </is>
      </c>
      <c r="E622" t="inlineStr">
        <is>
          <t>LINKÖPING</t>
        </is>
      </c>
      <c r="F622" t="inlineStr">
        <is>
          <t>Övriga Aktiebolag</t>
        </is>
      </c>
      <c r="G622" t="n">
        <v>3</v>
      </c>
      <c r="H622" t="n">
        <v>0</v>
      </c>
      <c r="I622" t="n">
        <v>0</v>
      </c>
      <c r="J622" t="n">
        <v>0</v>
      </c>
      <c r="K622" t="n">
        <v>0</v>
      </c>
      <c r="L622" t="n">
        <v>0</v>
      </c>
      <c r="M622" t="n">
        <v>0</v>
      </c>
      <c r="N622" t="n">
        <v>0</v>
      </c>
      <c r="O622" t="n">
        <v>0</v>
      </c>
      <c r="P622" t="n">
        <v>0</v>
      </c>
      <c r="Q622" t="n">
        <v>0</v>
      </c>
      <c r="R622" s="2" t="inlineStr"/>
    </row>
    <row r="623" ht="15" customHeight="1">
      <c r="A623" t="inlineStr">
        <is>
          <t>A 12289-2025</t>
        </is>
      </c>
      <c r="B623" s="1" t="n">
        <v>45729</v>
      </c>
      <c r="C623" s="1" t="n">
        <v>46091</v>
      </c>
      <c r="D623" t="inlineStr">
        <is>
          <t>ÖSTERGÖTLANDS LÄN</t>
        </is>
      </c>
      <c r="E623" t="inlineStr">
        <is>
          <t>LINKÖPING</t>
        </is>
      </c>
      <c r="F623" t="inlineStr">
        <is>
          <t>Övriga statliga verk och myndigheter</t>
        </is>
      </c>
      <c r="G623" t="n">
        <v>6.5</v>
      </c>
      <c r="H623" t="n">
        <v>0</v>
      </c>
      <c r="I623" t="n">
        <v>0</v>
      </c>
      <c r="J623" t="n">
        <v>0</v>
      </c>
      <c r="K623" t="n">
        <v>0</v>
      </c>
      <c r="L623" t="n">
        <v>0</v>
      </c>
      <c r="M623" t="n">
        <v>0</v>
      </c>
      <c r="N623" t="n">
        <v>0</v>
      </c>
      <c r="O623" t="n">
        <v>0</v>
      </c>
      <c r="P623" t="n">
        <v>0</v>
      </c>
      <c r="Q623" t="n">
        <v>0</v>
      </c>
      <c r="R623" s="2" t="inlineStr"/>
    </row>
    <row r="624" ht="15" customHeight="1">
      <c r="A624" t="inlineStr">
        <is>
          <t>A 36657-2023</t>
        </is>
      </c>
      <c r="B624" s="1" t="n">
        <v>45153.5702662037</v>
      </c>
      <c r="C624" s="1" t="n">
        <v>46091</v>
      </c>
      <c r="D624" t="inlineStr">
        <is>
          <t>ÖSTERGÖTLANDS LÄN</t>
        </is>
      </c>
      <c r="E624" t="inlineStr">
        <is>
          <t>LINKÖPING</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19169-2023</t>
        </is>
      </c>
      <c r="B625" s="1" t="n">
        <v>45044</v>
      </c>
      <c r="C625" s="1" t="n">
        <v>46091</v>
      </c>
      <c r="D625" t="inlineStr">
        <is>
          <t>ÖSTERGÖTLANDS LÄN</t>
        </is>
      </c>
      <c r="E625" t="inlineStr">
        <is>
          <t>LINKÖPING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12482-2026</t>
        </is>
      </c>
      <c r="B626" s="1" t="n">
        <v>46090.56292824074</v>
      </c>
      <c r="C626" s="1" t="n">
        <v>46091</v>
      </c>
      <c r="D626" t="inlineStr">
        <is>
          <t>ÖSTERGÖTLANDS LÄN</t>
        </is>
      </c>
      <c r="E626" t="inlineStr">
        <is>
          <t>LINKÖPING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12486-2026</t>
        </is>
      </c>
      <c r="B627" s="1" t="n">
        <v>46090.56501157407</v>
      </c>
      <c r="C627" s="1" t="n">
        <v>46091</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1209-2023</t>
        </is>
      </c>
      <c r="B628" s="1" t="n">
        <v>44930</v>
      </c>
      <c r="C628" s="1" t="n">
        <v>46091</v>
      </c>
      <c r="D628" t="inlineStr">
        <is>
          <t>ÖSTERGÖTLANDS LÄN</t>
        </is>
      </c>
      <c r="E628" t="inlineStr">
        <is>
          <t>LINKÖPING</t>
        </is>
      </c>
      <c r="F628" t="inlineStr">
        <is>
          <t>Övriga statliga verk och myndigheter</t>
        </is>
      </c>
      <c r="G628" t="n">
        <v>25.8</v>
      </c>
      <c r="H628" t="n">
        <v>0</v>
      </c>
      <c r="I628" t="n">
        <v>0</v>
      </c>
      <c r="J628" t="n">
        <v>0</v>
      </c>
      <c r="K628" t="n">
        <v>0</v>
      </c>
      <c r="L628" t="n">
        <v>0</v>
      </c>
      <c r="M628" t="n">
        <v>0</v>
      </c>
      <c r="N628" t="n">
        <v>0</v>
      </c>
      <c r="O628" t="n">
        <v>0</v>
      </c>
      <c r="P628" t="n">
        <v>0</v>
      </c>
      <c r="Q628" t="n">
        <v>0</v>
      </c>
      <c r="R628" s="2" t="inlineStr"/>
    </row>
    <row r="629" ht="15" customHeight="1">
      <c r="A629" t="inlineStr">
        <is>
          <t>A 2085-2024</t>
        </is>
      </c>
      <c r="B629" s="1" t="n">
        <v>45309</v>
      </c>
      <c r="C629" s="1" t="n">
        <v>46091</v>
      </c>
      <c r="D629" t="inlineStr">
        <is>
          <t>ÖSTERGÖTLANDS LÄN</t>
        </is>
      </c>
      <c r="E629" t="inlineStr">
        <is>
          <t>LINKÖPING</t>
        </is>
      </c>
      <c r="G629" t="n">
        <v>4.5</v>
      </c>
      <c r="H629" t="n">
        <v>0</v>
      </c>
      <c r="I629" t="n">
        <v>0</v>
      </c>
      <c r="J629" t="n">
        <v>0</v>
      </c>
      <c r="K629" t="n">
        <v>0</v>
      </c>
      <c r="L629" t="n">
        <v>0</v>
      </c>
      <c r="M629" t="n">
        <v>0</v>
      </c>
      <c r="N629" t="n">
        <v>0</v>
      </c>
      <c r="O629" t="n">
        <v>0</v>
      </c>
      <c r="P629" t="n">
        <v>0</v>
      </c>
      <c r="Q629" t="n">
        <v>0</v>
      </c>
      <c r="R629" s="2" t="inlineStr"/>
    </row>
    <row r="630" ht="15" customHeight="1">
      <c r="A630" t="inlineStr">
        <is>
          <t>A 12251-2026</t>
        </is>
      </c>
      <c r="B630" s="1" t="n">
        <v>46087.45278935185</v>
      </c>
      <c r="C630" s="1" t="n">
        <v>46091</v>
      </c>
      <c r="D630" t="inlineStr">
        <is>
          <t>ÖSTERGÖTLANDS LÄN</t>
        </is>
      </c>
      <c r="E630" t="inlineStr">
        <is>
          <t>LINKÖPING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48-2024</t>
        </is>
      </c>
      <c r="B631" s="1" t="n">
        <v>45293</v>
      </c>
      <c r="C631" s="1" t="n">
        <v>46091</v>
      </c>
      <c r="D631" t="inlineStr">
        <is>
          <t>ÖSTERGÖTLANDS LÄN</t>
        </is>
      </c>
      <c r="E631" t="inlineStr">
        <is>
          <t>LINKÖPING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4469-2026</t>
        </is>
      </c>
      <c r="B632" s="1" t="n">
        <v>46045.65662037037</v>
      </c>
      <c r="C632" s="1" t="n">
        <v>46091</v>
      </c>
      <c r="D632" t="inlineStr">
        <is>
          <t>ÖSTERGÖTLANDS LÄN</t>
        </is>
      </c>
      <c r="E632" t="inlineStr">
        <is>
          <t>LINKÖPING</t>
        </is>
      </c>
      <c r="F632" t="inlineStr">
        <is>
          <t>Övriga Aktiebolag</t>
        </is>
      </c>
      <c r="G632" t="n">
        <v>3.8</v>
      </c>
      <c r="H632" t="n">
        <v>0</v>
      </c>
      <c r="I632" t="n">
        <v>0</v>
      </c>
      <c r="J632" t="n">
        <v>0</v>
      </c>
      <c r="K632" t="n">
        <v>0</v>
      </c>
      <c r="L632" t="n">
        <v>0</v>
      </c>
      <c r="M632" t="n">
        <v>0</v>
      </c>
      <c r="N632" t="n">
        <v>0</v>
      </c>
      <c r="O632" t="n">
        <v>0</v>
      </c>
      <c r="P632" t="n">
        <v>0</v>
      </c>
      <c r="Q632" t="n">
        <v>0</v>
      </c>
      <c r="R632" s="2" t="inlineStr"/>
    </row>
    <row r="633" ht="15" customHeight="1">
      <c r="A633" t="inlineStr">
        <is>
          <t>A 12254-2026</t>
        </is>
      </c>
      <c r="B633" s="1" t="n">
        <v>46087.46196759259</v>
      </c>
      <c r="C633" s="1" t="n">
        <v>46091</v>
      </c>
      <c r="D633" t="inlineStr">
        <is>
          <t>ÖSTERGÖTLANDS LÄN</t>
        </is>
      </c>
      <c r="E633" t="inlineStr">
        <is>
          <t>LINKÖPING</t>
        </is>
      </c>
      <c r="G633" t="n">
        <v>10.4</v>
      </c>
      <c r="H633" t="n">
        <v>0</v>
      </c>
      <c r="I633" t="n">
        <v>0</v>
      </c>
      <c r="J633" t="n">
        <v>0</v>
      </c>
      <c r="K633" t="n">
        <v>0</v>
      </c>
      <c r="L633" t="n">
        <v>0</v>
      </c>
      <c r="M633" t="n">
        <v>0</v>
      </c>
      <c r="N633" t="n">
        <v>0</v>
      </c>
      <c r="O633" t="n">
        <v>0</v>
      </c>
      <c r="P633" t="n">
        <v>0</v>
      </c>
      <c r="Q633" t="n">
        <v>0</v>
      </c>
      <c r="R633" s="2" t="inlineStr"/>
    </row>
    <row r="634" ht="15" customHeight="1">
      <c r="A634" t="inlineStr">
        <is>
          <t>A 12247-2026</t>
        </is>
      </c>
      <c r="B634" s="1" t="n">
        <v>46087.44436342592</v>
      </c>
      <c r="C634" s="1" t="n">
        <v>46091</v>
      </c>
      <c r="D634" t="inlineStr">
        <is>
          <t>ÖSTERGÖTLANDS LÄN</t>
        </is>
      </c>
      <c r="E634" t="inlineStr">
        <is>
          <t>LINKÖPING</t>
        </is>
      </c>
      <c r="G634" t="n">
        <v>0.9</v>
      </c>
      <c r="H634" t="n">
        <v>0</v>
      </c>
      <c r="I634" t="n">
        <v>0</v>
      </c>
      <c r="J634" t="n">
        <v>0</v>
      </c>
      <c r="K634" t="n">
        <v>0</v>
      </c>
      <c r="L634" t="n">
        <v>0</v>
      </c>
      <c r="M634" t="n">
        <v>0</v>
      </c>
      <c r="N634" t="n">
        <v>0</v>
      </c>
      <c r="O634" t="n">
        <v>0</v>
      </c>
      <c r="P634" t="n">
        <v>0</v>
      </c>
      <c r="Q634" t="n">
        <v>0</v>
      </c>
      <c r="R634" s="2" t="inlineStr"/>
    </row>
    <row r="635" ht="15" customHeight="1">
      <c r="A635" t="inlineStr">
        <is>
          <t>A 56560-2023</t>
        </is>
      </c>
      <c r="B635" s="1" t="n">
        <v>45238</v>
      </c>
      <c r="C635" s="1" t="n">
        <v>46091</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19132-2023</t>
        </is>
      </c>
      <c r="B636" s="1" t="n">
        <v>45048.54754629629</v>
      </c>
      <c r="C636" s="1" t="n">
        <v>46091</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52412-2023</t>
        </is>
      </c>
      <c r="B637" s="1" t="n">
        <v>45225.27888888889</v>
      </c>
      <c r="C637" s="1" t="n">
        <v>46091</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62492-2023</t>
        </is>
      </c>
      <c r="B638" s="1" t="n">
        <v>45268.58987268519</v>
      </c>
      <c r="C638" s="1" t="n">
        <v>46091</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38230-2023</t>
        </is>
      </c>
      <c r="B639" s="1" t="n">
        <v>45161.55373842592</v>
      </c>
      <c r="C639" s="1" t="n">
        <v>46091</v>
      </c>
      <c r="D639" t="inlineStr">
        <is>
          <t>ÖSTERGÖTLANDS LÄN</t>
        </is>
      </c>
      <c r="E639" t="inlineStr">
        <is>
          <t>LINKÖPING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56756-2023</t>
        </is>
      </c>
      <c r="B640" s="1" t="n">
        <v>45244</v>
      </c>
      <c r="C640" s="1" t="n">
        <v>46091</v>
      </c>
      <c r="D640" t="inlineStr">
        <is>
          <t>ÖSTERGÖTLANDS LÄN</t>
        </is>
      </c>
      <c r="E640" t="inlineStr">
        <is>
          <t>LINKÖPING</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11590-2023</t>
        </is>
      </c>
      <c r="B641" s="1" t="n">
        <v>44994.36689814815</v>
      </c>
      <c r="C641" s="1" t="n">
        <v>46091</v>
      </c>
      <c r="D641" t="inlineStr">
        <is>
          <t>ÖSTERGÖTLANDS LÄN</t>
        </is>
      </c>
      <c r="E641" t="inlineStr">
        <is>
          <t>LINKÖPING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10461-2023</t>
        </is>
      </c>
      <c r="B642" s="1" t="n">
        <v>44987.5969212963</v>
      </c>
      <c r="C642" s="1" t="n">
        <v>46091</v>
      </c>
      <c r="D642" t="inlineStr">
        <is>
          <t>ÖSTERGÖTLANDS LÄN</t>
        </is>
      </c>
      <c r="E642" t="inlineStr">
        <is>
          <t>LINKÖPING</t>
        </is>
      </c>
      <c r="G642" t="n">
        <v>7.8</v>
      </c>
      <c r="H642" t="n">
        <v>0</v>
      </c>
      <c r="I642" t="n">
        <v>0</v>
      </c>
      <c r="J642" t="n">
        <v>0</v>
      </c>
      <c r="K642" t="n">
        <v>0</v>
      </c>
      <c r="L642" t="n">
        <v>0</v>
      </c>
      <c r="M642" t="n">
        <v>0</v>
      </c>
      <c r="N642" t="n">
        <v>0</v>
      </c>
      <c r="O642" t="n">
        <v>0</v>
      </c>
      <c r="P642" t="n">
        <v>0</v>
      </c>
      <c r="Q642" t="n">
        <v>0</v>
      </c>
      <c r="R642" s="2" t="inlineStr"/>
    </row>
    <row r="643" ht="15" customHeight="1">
      <c r="A643" t="inlineStr">
        <is>
          <t>A 41345-2021</t>
        </is>
      </c>
      <c r="B643" s="1" t="n">
        <v>44424.61851851852</v>
      </c>
      <c r="C643" s="1" t="n">
        <v>46091</v>
      </c>
      <c r="D643" t="inlineStr">
        <is>
          <t>ÖSTERGÖTLANDS LÄN</t>
        </is>
      </c>
      <c r="E643" t="inlineStr">
        <is>
          <t>LINKÖPING</t>
        </is>
      </c>
      <c r="F643" t="inlineStr">
        <is>
          <t>Sveaskog</t>
        </is>
      </c>
      <c r="G643" t="n">
        <v>6.3</v>
      </c>
      <c r="H643" t="n">
        <v>0</v>
      </c>
      <c r="I643" t="n">
        <v>0</v>
      </c>
      <c r="J643" t="n">
        <v>0</v>
      </c>
      <c r="K643" t="n">
        <v>0</v>
      </c>
      <c r="L643" t="n">
        <v>0</v>
      </c>
      <c r="M643" t="n">
        <v>0</v>
      </c>
      <c r="N643" t="n">
        <v>0</v>
      </c>
      <c r="O643" t="n">
        <v>0</v>
      </c>
      <c r="P643" t="n">
        <v>0</v>
      </c>
      <c r="Q643" t="n">
        <v>0</v>
      </c>
      <c r="R643" s="2" t="inlineStr"/>
    </row>
    <row r="644" ht="15" customHeight="1">
      <c r="A644" t="inlineStr">
        <is>
          <t>A 61307-2021</t>
        </is>
      </c>
      <c r="B644" s="1" t="n">
        <v>44498.63928240741</v>
      </c>
      <c r="C644" s="1" t="n">
        <v>46091</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61325-2021</t>
        </is>
      </c>
      <c r="B645" s="1" t="n">
        <v>44498.66814814815</v>
      </c>
      <c r="C645" s="1" t="n">
        <v>46091</v>
      </c>
      <c r="D645" t="inlineStr">
        <is>
          <t>ÖSTERGÖTLANDS LÄN</t>
        </is>
      </c>
      <c r="E645" t="inlineStr">
        <is>
          <t>LINKÖPING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60010-2022</t>
        </is>
      </c>
      <c r="B646" s="1" t="n">
        <v>44909.4740625</v>
      </c>
      <c r="C646" s="1" t="n">
        <v>46091</v>
      </c>
      <c r="D646" t="inlineStr">
        <is>
          <t>ÖSTERGÖTLANDS LÄN</t>
        </is>
      </c>
      <c r="E646" t="inlineStr">
        <is>
          <t>LINKÖPING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30518-2024</t>
        </is>
      </c>
      <c r="B647" s="1" t="n">
        <v>45492</v>
      </c>
      <c r="C647" s="1" t="n">
        <v>46091</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4908-2023</t>
        </is>
      </c>
      <c r="B648" s="1" t="n">
        <v>44958</v>
      </c>
      <c r="C648" s="1" t="n">
        <v>46091</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37715-2022</t>
        </is>
      </c>
      <c r="B649" s="1" t="n">
        <v>44810</v>
      </c>
      <c r="C649" s="1" t="n">
        <v>46091</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3011-2023</t>
        </is>
      </c>
      <c r="B650" s="1" t="n">
        <v>44945</v>
      </c>
      <c r="C650" s="1" t="n">
        <v>46091</v>
      </c>
      <c r="D650" t="inlineStr">
        <is>
          <t>ÖSTERGÖTLANDS LÄN</t>
        </is>
      </c>
      <c r="E650" t="inlineStr">
        <is>
          <t>LINKÖPING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45442-2024</t>
        </is>
      </c>
      <c r="B651" s="1" t="n">
        <v>45576.64189814815</v>
      </c>
      <c r="C651" s="1" t="n">
        <v>46091</v>
      </c>
      <c r="D651" t="inlineStr">
        <is>
          <t>ÖSTERGÖTLANDS LÄN</t>
        </is>
      </c>
      <c r="E651" t="inlineStr">
        <is>
          <t>LINKÖPING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3432-2023</t>
        </is>
      </c>
      <c r="B652" s="1" t="n">
        <v>44949</v>
      </c>
      <c r="C652" s="1" t="n">
        <v>46091</v>
      </c>
      <c r="D652" t="inlineStr">
        <is>
          <t>ÖSTERGÖTLANDS LÄN</t>
        </is>
      </c>
      <c r="E652" t="inlineStr">
        <is>
          <t>LINKÖPING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60472-2022</t>
        </is>
      </c>
      <c r="B653" s="1" t="n">
        <v>44911.41037037037</v>
      </c>
      <c r="C653" s="1" t="n">
        <v>46091</v>
      </c>
      <c r="D653" t="inlineStr">
        <is>
          <t>ÖSTERGÖTLANDS LÄN</t>
        </is>
      </c>
      <c r="E653" t="inlineStr">
        <is>
          <t>LINKÖPING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12720-2022</t>
        </is>
      </c>
      <c r="B654" s="1" t="n">
        <v>44641</v>
      </c>
      <c r="C654" s="1" t="n">
        <v>46091</v>
      </c>
      <c r="D654" t="inlineStr">
        <is>
          <t>ÖSTERGÖTLANDS LÄN</t>
        </is>
      </c>
      <c r="E654" t="inlineStr">
        <is>
          <t>LINKÖPING</t>
        </is>
      </c>
      <c r="F654" t="inlineStr">
        <is>
          <t>Övriga Aktiebolag</t>
        </is>
      </c>
      <c r="G654" t="n">
        <v>2</v>
      </c>
      <c r="H654" t="n">
        <v>0</v>
      </c>
      <c r="I654" t="n">
        <v>0</v>
      </c>
      <c r="J654" t="n">
        <v>0</v>
      </c>
      <c r="K654" t="n">
        <v>0</v>
      </c>
      <c r="L654" t="n">
        <v>0</v>
      </c>
      <c r="M654" t="n">
        <v>0</v>
      </c>
      <c r="N654" t="n">
        <v>0</v>
      </c>
      <c r="O654" t="n">
        <v>0</v>
      </c>
      <c r="P654" t="n">
        <v>0</v>
      </c>
      <c r="Q654" t="n">
        <v>0</v>
      </c>
      <c r="R654" s="2" t="inlineStr"/>
    </row>
    <row r="655" ht="15" customHeight="1">
      <c r="A655" t="inlineStr">
        <is>
          <t>A 45831-2024</t>
        </is>
      </c>
      <c r="B655" s="1" t="n">
        <v>45579.90508101852</v>
      </c>
      <c r="C655" s="1" t="n">
        <v>46091</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57396-2021</t>
        </is>
      </c>
      <c r="B656" s="1" t="n">
        <v>44483.56151620371</v>
      </c>
      <c r="C656" s="1" t="n">
        <v>46091</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22842-2023</t>
        </is>
      </c>
      <c r="B657" s="1" t="n">
        <v>45071</v>
      </c>
      <c r="C657" s="1" t="n">
        <v>46091</v>
      </c>
      <c r="D657" t="inlineStr">
        <is>
          <t>ÖSTERGÖTLANDS LÄN</t>
        </is>
      </c>
      <c r="E657" t="inlineStr">
        <is>
          <t>LINKÖPING</t>
        </is>
      </c>
      <c r="F657" t="inlineStr">
        <is>
          <t>Kommuner</t>
        </is>
      </c>
      <c r="G657" t="n">
        <v>1.3</v>
      </c>
      <c r="H657" t="n">
        <v>0</v>
      </c>
      <c r="I657" t="n">
        <v>0</v>
      </c>
      <c r="J657" t="n">
        <v>0</v>
      </c>
      <c r="K657" t="n">
        <v>0</v>
      </c>
      <c r="L657" t="n">
        <v>0</v>
      </c>
      <c r="M657" t="n">
        <v>0</v>
      </c>
      <c r="N657" t="n">
        <v>0</v>
      </c>
      <c r="O657" t="n">
        <v>0</v>
      </c>
      <c r="P657" t="n">
        <v>0</v>
      </c>
      <c r="Q657" t="n">
        <v>0</v>
      </c>
      <c r="R657" s="2" t="inlineStr"/>
    </row>
    <row r="658" ht="15" customHeight="1">
      <c r="A658" t="inlineStr">
        <is>
          <t>A 50386-2021</t>
        </is>
      </c>
      <c r="B658" s="1" t="n">
        <v>44459</v>
      </c>
      <c r="C658" s="1" t="n">
        <v>46091</v>
      </c>
      <c r="D658" t="inlineStr">
        <is>
          <t>ÖSTERGÖTLANDS LÄN</t>
        </is>
      </c>
      <c r="E658" t="inlineStr">
        <is>
          <t>LINKÖPING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35781-2023</t>
        </is>
      </c>
      <c r="B659" s="1" t="n">
        <v>45147</v>
      </c>
      <c r="C659" s="1" t="n">
        <v>46091</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22770-2024</t>
        </is>
      </c>
      <c r="B660" s="1" t="n">
        <v>45448.4634375</v>
      </c>
      <c r="C660" s="1" t="n">
        <v>46091</v>
      </c>
      <c r="D660" t="inlineStr">
        <is>
          <t>ÖSTERGÖTLANDS LÄN</t>
        </is>
      </c>
      <c r="E660" t="inlineStr">
        <is>
          <t>LINKÖPING</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11671-2023</t>
        </is>
      </c>
      <c r="B661" s="1" t="n">
        <v>44994.48125</v>
      </c>
      <c r="C661" s="1" t="n">
        <v>46091</v>
      </c>
      <c r="D661" t="inlineStr">
        <is>
          <t>ÖSTERGÖTLANDS LÄN</t>
        </is>
      </c>
      <c r="E661" t="inlineStr">
        <is>
          <t>LINKÖPING</t>
        </is>
      </c>
      <c r="G661" t="n">
        <v>2.6</v>
      </c>
      <c r="H661" t="n">
        <v>0</v>
      </c>
      <c r="I661" t="n">
        <v>0</v>
      </c>
      <c r="J661" t="n">
        <v>0</v>
      </c>
      <c r="K661" t="n">
        <v>0</v>
      </c>
      <c r="L661" t="n">
        <v>0</v>
      </c>
      <c r="M661" t="n">
        <v>0</v>
      </c>
      <c r="N661" t="n">
        <v>0</v>
      </c>
      <c r="O661" t="n">
        <v>0</v>
      </c>
      <c r="P661" t="n">
        <v>0</v>
      </c>
      <c r="Q661" t="n">
        <v>0</v>
      </c>
      <c r="R661" s="2" t="inlineStr"/>
    </row>
    <row r="662" ht="15" customHeight="1">
      <c r="A662" t="inlineStr">
        <is>
          <t>A 54425-2022</t>
        </is>
      </c>
      <c r="B662" s="1" t="n">
        <v>44882.57453703704</v>
      </c>
      <c r="C662" s="1" t="n">
        <v>46091</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30547-2023</t>
        </is>
      </c>
      <c r="B663" s="1" t="n">
        <v>45111.75905092592</v>
      </c>
      <c r="C663" s="1" t="n">
        <v>46091</v>
      </c>
      <c r="D663" t="inlineStr">
        <is>
          <t>ÖSTERGÖTLANDS LÄN</t>
        </is>
      </c>
      <c r="E663" t="inlineStr">
        <is>
          <t>LINKÖPING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24904-2024</t>
        </is>
      </c>
      <c r="B664" s="1" t="n">
        <v>45461</v>
      </c>
      <c r="C664" s="1" t="n">
        <v>46091</v>
      </c>
      <c r="D664" t="inlineStr">
        <is>
          <t>ÖSTERGÖTLANDS LÄN</t>
        </is>
      </c>
      <c r="E664" t="inlineStr">
        <is>
          <t>LINKÖPING</t>
        </is>
      </c>
      <c r="G664" t="n">
        <v>3.8</v>
      </c>
      <c r="H664" t="n">
        <v>0</v>
      </c>
      <c r="I664" t="n">
        <v>0</v>
      </c>
      <c r="J664" t="n">
        <v>0</v>
      </c>
      <c r="K664" t="n">
        <v>0</v>
      </c>
      <c r="L664" t="n">
        <v>0</v>
      </c>
      <c r="M664" t="n">
        <v>0</v>
      </c>
      <c r="N664" t="n">
        <v>0</v>
      </c>
      <c r="O664" t="n">
        <v>0</v>
      </c>
      <c r="P664" t="n">
        <v>0</v>
      </c>
      <c r="Q664" t="n">
        <v>0</v>
      </c>
      <c r="R664" s="2" t="inlineStr"/>
    </row>
    <row r="665" ht="15" customHeight="1">
      <c r="A665" t="inlineStr">
        <is>
          <t>A 26788-2022</t>
        </is>
      </c>
      <c r="B665" s="1" t="n">
        <v>44740</v>
      </c>
      <c r="C665" s="1" t="n">
        <v>46091</v>
      </c>
      <c r="D665" t="inlineStr">
        <is>
          <t>ÖSTERGÖTLANDS LÄN</t>
        </is>
      </c>
      <c r="E665" t="inlineStr">
        <is>
          <t>LINKÖPING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15121-2022</t>
        </is>
      </c>
      <c r="B666" s="1" t="n">
        <v>44658</v>
      </c>
      <c r="C666" s="1" t="n">
        <v>46091</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51919-2024</t>
        </is>
      </c>
      <c r="B667" s="1" t="n">
        <v>45607.60791666667</v>
      </c>
      <c r="C667" s="1" t="n">
        <v>46091</v>
      </c>
      <c r="D667" t="inlineStr">
        <is>
          <t>ÖSTERGÖTLANDS LÄN</t>
        </is>
      </c>
      <c r="E667" t="inlineStr">
        <is>
          <t>LINKÖPING</t>
        </is>
      </c>
      <c r="G667" t="n">
        <v>2.5</v>
      </c>
      <c r="H667" t="n">
        <v>0</v>
      </c>
      <c r="I667" t="n">
        <v>0</v>
      </c>
      <c r="J667" t="n">
        <v>0</v>
      </c>
      <c r="K667" t="n">
        <v>0</v>
      </c>
      <c r="L667" t="n">
        <v>0</v>
      </c>
      <c r="M667" t="n">
        <v>0</v>
      </c>
      <c r="N667" t="n">
        <v>0</v>
      </c>
      <c r="O667" t="n">
        <v>0</v>
      </c>
      <c r="P667" t="n">
        <v>0</v>
      </c>
      <c r="Q667" t="n">
        <v>0</v>
      </c>
      <c r="R667" s="2" t="inlineStr"/>
    </row>
    <row r="668" ht="15" customHeight="1">
      <c r="A668" t="inlineStr">
        <is>
          <t>A 55009-2023</t>
        </is>
      </c>
      <c r="B668" s="1" t="n">
        <v>45237</v>
      </c>
      <c r="C668" s="1" t="n">
        <v>46091</v>
      </c>
      <c r="D668" t="inlineStr">
        <is>
          <t>ÖSTERGÖTLANDS LÄN</t>
        </is>
      </c>
      <c r="E668" t="inlineStr">
        <is>
          <t>LINKÖPING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20291-2025</t>
        </is>
      </c>
      <c r="B669" s="1" t="n">
        <v>45774.74288194445</v>
      </c>
      <c r="C669" s="1" t="n">
        <v>46091</v>
      </c>
      <c r="D669" t="inlineStr">
        <is>
          <t>ÖSTERGÖTLANDS LÄN</t>
        </is>
      </c>
      <c r="E669" t="inlineStr">
        <is>
          <t>LINKÖPING</t>
        </is>
      </c>
      <c r="G669" t="n">
        <v>2.3</v>
      </c>
      <c r="H669" t="n">
        <v>0</v>
      </c>
      <c r="I669" t="n">
        <v>0</v>
      </c>
      <c r="J669" t="n">
        <v>0</v>
      </c>
      <c r="K669" t="n">
        <v>0</v>
      </c>
      <c r="L669" t="n">
        <v>0</v>
      </c>
      <c r="M669" t="n">
        <v>0</v>
      </c>
      <c r="N669" t="n">
        <v>0</v>
      </c>
      <c r="O669" t="n">
        <v>0</v>
      </c>
      <c r="P669" t="n">
        <v>0</v>
      </c>
      <c r="Q669" t="n">
        <v>0</v>
      </c>
      <c r="R669" s="2" t="inlineStr"/>
    </row>
    <row r="670" ht="15" customHeight="1">
      <c r="A670" t="inlineStr">
        <is>
          <t>A 20293-2025</t>
        </is>
      </c>
      <c r="B670" s="1" t="n">
        <v>45774.74611111111</v>
      </c>
      <c r="C670" s="1" t="n">
        <v>46091</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660-2023</t>
        </is>
      </c>
      <c r="B671" s="1" t="n">
        <v>44930</v>
      </c>
      <c r="C671" s="1" t="n">
        <v>46091</v>
      </c>
      <c r="D671" t="inlineStr">
        <is>
          <t>ÖSTERGÖTLANDS LÄN</t>
        </is>
      </c>
      <c r="E671" t="inlineStr">
        <is>
          <t>LINKÖPING</t>
        </is>
      </c>
      <c r="F671" t="inlineStr">
        <is>
          <t>Kyrkan</t>
        </is>
      </c>
      <c r="G671" t="n">
        <v>1.6</v>
      </c>
      <c r="H671" t="n">
        <v>0</v>
      </c>
      <c r="I671" t="n">
        <v>0</v>
      </c>
      <c r="J671" t="n">
        <v>0</v>
      </c>
      <c r="K671" t="n">
        <v>0</v>
      </c>
      <c r="L671" t="n">
        <v>0</v>
      </c>
      <c r="M671" t="n">
        <v>0</v>
      </c>
      <c r="N671" t="n">
        <v>0</v>
      </c>
      <c r="O671" t="n">
        <v>0</v>
      </c>
      <c r="P671" t="n">
        <v>0</v>
      </c>
      <c r="Q671" t="n">
        <v>0</v>
      </c>
      <c r="R671" s="2" t="inlineStr"/>
    </row>
    <row r="672" ht="15" customHeight="1">
      <c r="A672" t="inlineStr">
        <is>
          <t>A 64694-2023</t>
        </is>
      </c>
      <c r="B672" s="1" t="n">
        <v>45281</v>
      </c>
      <c r="C672" s="1" t="n">
        <v>46091</v>
      </c>
      <c r="D672" t="inlineStr">
        <is>
          <t>ÖSTERGÖTLANDS LÄN</t>
        </is>
      </c>
      <c r="E672" t="inlineStr">
        <is>
          <t>LINKÖPING</t>
        </is>
      </c>
      <c r="F672" t="inlineStr">
        <is>
          <t>Övriga statliga verk och myndigheter</t>
        </is>
      </c>
      <c r="G672" t="n">
        <v>4.9</v>
      </c>
      <c r="H672" t="n">
        <v>0</v>
      </c>
      <c r="I672" t="n">
        <v>0</v>
      </c>
      <c r="J672" t="n">
        <v>0</v>
      </c>
      <c r="K672" t="n">
        <v>0</v>
      </c>
      <c r="L672" t="n">
        <v>0</v>
      </c>
      <c r="M672" t="n">
        <v>0</v>
      </c>
      <c r="N672" t="n">
        <v>0</v>
      </c>
      <c r="O672" t="n">
        <v>0</v>
      </c>
      <c r="P672" t="n">
        <v>0</v>
      </c>
      <c r="Q672" t="n">
        <v>0</v>
      </c>
      <c r="R672" s="2" t="inlineStr"/>
    </row>
    <row r="673" ht="15" customHeight="1">
      <c r="A673" t="inlineStr">
        <is>
          <t>A 63487-2023</t>
        </is>
      </c>
      <c r="B673" s="1" t="n">
        <v>45274.66712962963</v>
      </c>
      <c r="C673" s="1" t="n">
        <v>46091</v>
      </c>
      <c r="D673" t="inlineStr">
        <is>
          <t>ÖSTERGÖTLANDS LÄN</t>
        </is>
      </c>
      <c r="E673" t="inlineStr">
        <is>
          <t>LINKÖPING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20455-2024</t>
        </is>
      </c>
      <c r="B674" s="1" t="n">
        <v>45435.65314814815</v>
      </c>
      <c r="C674" s="1" t="n">
        <v>46091</v>
      </c>
      <c r="D674" t="inlineStr">
        <is>
          <t>ÖSTERGÖTLANDS LÄN</t>
        </is>
      </c>
      <c r="E674" t="inlineStr">
        <is>
          <t>LINKÖPING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30471-2023</t>
        </is>
      </c>
      <c r="B675" s="1" t="n">
        <v>45111.58931712963</v>
      </c>
      <c r="C675" s="1" t="n">
        <v>46091</v>
      </c>
      <c r="D675" t="inlineStr">
        <is>
          <t>ÖSTERGÖTLANDS LÄN</t>
        </is>
      </c>
      <c r="E675" t="inlineStr">
        <is>
          <t>LINKÖPING</t>
        </is>
      </c>
      <c r="G675" t="n">
        <v>2.9</v>
      </c>
      <c r="H675" t="n">
        <v>0</v>
      </c>
      <c r="I675" t="n">
        <v>0</v>
      </c>
      <c r="J675" t="n">
        <v>0</v>
      </c>
      <c r="K675" t="n">
        <v>0</v>
      </c>
      <c r="L675" t="n">
        <v>0</v>
      </c>
      <c r="M675" t="n">
        <v>0</v>
      </c>
      <c r="N675" t="n">
        <v>0</v>
      </c>
      <c r="O675" t="n">
        <v>0</v>
      </c>
      <c r="P675" t="n">
        <v>0</v>
      </c>
      <c r="Q675" t="n">
        <v>0</v>
      </c>
      <c r="R675" s="2" t="inlineStr"/>
    </row>
    <row r="676" ht="15" customHeight="1">
      <c r="A676" t="inlineStr">
        <is>
          <t>A 14093-2024</t>
        </is>
      </c>
      <c r="B676" s="1" t="n">
        <v>45392.60278935185</v>
      </c>
      <c r="C676" s="1" t="n">
        <v>46091</v>
      </c>
      <c r="D676" t="inlineStr">
        <is>
          <t>ÖSTERGÖTLANDS LÄN</t>
        </is>
      </c>
      <c r="E676" t="inlineStr">
        <is>
          <t>LINKÖPING</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63304-2021</t>
        </is>
      </c>
      <c r="B677" s="1" t="n">
        <v>44508.4396412037</v>
      </c>
      <c r="C677" s="1" t="n">
        <v>46091</v>
      </c>
      <c r="D677" t="inlineStr">
        <is>
          <t>ÖSTERGÖTLANDS LÄN</t>
        </is>
      </c>
      <c r="E677" t="inlineStr">
        <is>
          <t>LINKÖPING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19362-2023</t>
        </is>
      </c>
      <c r="B678" s="1" t="n">
        <v>45049</v>
      </c>
      <c r="C678" s="1" t="n">
        <v>46091</v>
      </c>
      <c r="D678" t="inlineStr">
        <is>
          <t>ÖSTERGÖTLANDS LÄN</t>
        </is>
      </c>
      <c r="E678" t="inlineStr">
        <is>
          <t>LINKÖPING</t>
        </is>
      </c>
      <c r="G678" t="n">
        <v>0.1</v>
      </c>
      <c r="H678" t="n">
        <v>0</v>
      </c>
      <c r="I678" t="n">
        <v>0</v>
      </c>
      <c r="J678" t="n">
        <v>0</v>
      </c>
      <c r="K678" t="n">
        <v>0</v>
      </c>
      <c r="L678" t="n">
        <v>0</v>
      </c>
      <c r="M678" t="n">
        <v>0</v>
      </c>
      <c r="N678" t="n">
        <v>0</v>
      </c>
      <c r="O678" t="n">
        <v>0</v>
      </c>
      <c r="P678" t="n">
        <v>0</v>
      </c>
      <c r="Q678" t="n">
        <v>0</v>
      </c>
      <c r="R678" s="2" t="inlineStr"/>
    </row>
    <row r="679" ht="15" customHeight="1">
      <c r="A679" t="inlineStr">
        <is>
          <t>A 35463-2023</t>
        </is>
      </c>
      <c r="B679" s="1" t="n">
        <v>45146</v>
      </c>
      <c r="C679" s="1" t="n">
        <v>46091</v>
      </c>
      <c r="D679" t="inlineStr">
        <is>
          <t>ÖSTERGÖTLANDS LÄN</t>
        </is>
      </c>
      <c r="E679" t="inlineStr">
        <is>
          <t>LINKÖPING</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16111-2022</t>
        </is>
      </c>
      <c r="B680" s="1" t="n">
        <v>44665</v>
      </c>
      <c r="C680" s="1" t="n">
        <v>46091</v>
      </c>
      <c r="D680" t="inlineStr">
        <is>
          <t>ÖSTERGÖTLANDS LÄN</t>
        </is>
      </c>
      <c r="E680" t="inlineStr">
        <is>
          <t>LINKÖPING</t>
        </is>
      </c>
      <c r="F680" t="inlineStr">
        <is>
          <t>Övriga Aktiebolag</t>
        </is>
      </c>
      <c r="G680" t="n">
        <v>2.9</v>
      </c>
      <c r="H680" t="n">
        <v>0</v>
      </c>
      <c r="I680" t="n">
        <v>0</v>
      </c>
      <c r="J680" t="n">
        <v>0</v>
      </c>
      <c r="K680" t="n">
        <v>0</v>
      </c>
      <c r="L680" t="n">
        <v>0</v>
      </c>
      <c r="M680" t="n">
        <v>0</v>
      </c>
      <c r="N680" t="n">
        <v>0</v>
      </c>
      <c r="O680" t="n">
        <v>0</v>
      </c>
      <c r="P680" t="n">
        <v>0</v>
      </c>
      <c r="Q680" t="n">
        <v>0</v>
      </c>
      <c r="R680" s="2" t="inlineStr"/>
    </row>
    <row r="681" ht="15" customHeight="1">
      <c r="A681" t="inlineStr">
        <is>
          <t>A 31635-2023</t>
        </is>
      </c>
      <c r="B681" s="1" t="n">
        <v>45105</v>
      </c>
      <c r="C681" s="1" t="n">
        <v>46091</v>
      </c>
      <c r="D681" t="inlineStr">
        <is>
          <t>ÖSTERGÖTLANDS LÄN</t>
        </is>
      </c>
      <c r="E681" t="inlineStr">
        <is>
          <t>LINKÖPING</t>
        </is>
      </c>
      <c r="F681" t="inlineStr">
        <is>
          <t>Övriga statliga verk och myndigheter</t>
        </is>
      </c>
      <c r="G681" t="n">
        <v>4.6</v>
      </c>
      <c r="H681" t="n">
        <v>0</v>
      </c>
      <c r="I681" t="n">
        <v>0</v>
      </c>
      <c r="J681" t="n">
        <v>0</v>
      </c>
      <c r="K681" t="n">
        <v>0</v>
      </c>
      <c r="L681" t="n">
        <v>0</v>
      </c>
      <c r="M681" t="n">
        <v>0</v>
      </c>
      <c r="N681" t="n">
        <v>0</v>
      </c>
      <c r="O681" t="n">
        <v>0</v>
      </c>
      <c r="P681" t="n">
        <v>0</v>
      </c>
      <c r="Q681" t="n">
        <v>0</v>
      </c>
      <c r="R681" s="2" t="inlineStr"/>
    </row>
    <row r="682" ht="15" customHeight="1">
      <c r="A682" t="inlineStr">
        <is>
          <t>A 49928-2024</t>
        </is>
      </c>
      <c r="B682" s="1" t="n">
        <v>45597.57811342592</v>
      </c>
      <c r="C682" s="1" t="n">
        <v>46091</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54845-2023</t>
        </is>
      </c>
      <c r="B683" s="1" t="n">
        <v>45236</v>
      </c>
      <c r="C683" s="1" t="n">
        <v>46091</v>
      </c>
      <c r="D683" t="inlineStr">
        <is>
          <t>ÖSTERGÖTLANDS LÄN</t>
        </is>
      </c>
      <c r="E683" t="inlineStr">
        <is>
          <t>LINKÖPING</t>
        </is>
      </c>
      <c r="F683" t="inlineStr">
        <is>
          <t>Övriga Aktiebolag</t>
        </is>
      </c>
      <c r="G683" t="n">
        <v>5.7</v>
      </c>
      <c r="H683" t="n">
        <v>0</v>
      </c>
      <c r="I683" t="n">
        <v>0</v>
      </c>
      <c r="J683" t="n">
        <v>0</v>
      </c>
      <c r="K683" t="n">
        <v>0</v>
      </c>
      <c r="L683" t="n">
        <v>0</v>
      </c>
      <c r="M683" t="n">
        <v>0</v>
      </c>
      <c r="N683" t="n">
        <v>0</v>
      </c>
      <c r="O683" t="n">
        <v>0</v>
      </c>
      <c r="P683" t="n">
        <v>0</v>
      </c>
      <c r="Q683" t="n">
        <v>0</v>
      </c>
      <c r="R683" s="2" t="inlineStr"/>
    </row>
    <row r="684" ht="15" customHeight="1">
      <c r="A684" t="inlineStr">
        <is>
          <t>A 46687-2021</t>
        </is>
      </c>
      <c r="B684" s="1" t="n">
        <v>44445</v>
      </c>
      <c r="C684" s="1" t="n">
        <v>46091</v>
      </c>
      <c r="D684" t="inlineStr">
        <is>
          <t>ÖSTERGÖTLANDS LÄN</t>
        </is>
      </c>
      <c r="E684" t="inlineStr">
        <is>
          <t>LINKÖPING</t>
        </is>
      </c>
      <c r="F684" t="inlineStr">
        <is>
          <t>Övriga statliga verk och myndigheter</t>
        </is>
      </c>
      <c r="G684" t="n">
        <v>2.3</v>
      </c>
      <c r="H684" t="n">
        <v>0</v>
      </c>
      <c r="I684" t="n">
        <v>0</v>
      </c>
      <c r="J684" t="n">
        <v>0</v>
      </c>
      <c r="K684" t="n">
        <v>0</v>
      </c>
      <c r="L684" t="n">
        <v>0</v>
      </c>
      <c r="M684" t="n">
        <v>0</v>
      </c>
      <c r="N684" t="n">
        <v>0</v>
      </c>
      <c r="O684" t="n">
        <v>0</v>
      </c>
      <c r="P684" t="n">
        <v>0</v>
      </c>
      <c r="Q684" t="n">
        <v>0</v>
      </c>
      <c r="R684" s="2" t="inlineStr"/>
    </row>
    <row r="685" ht="15" customHeight="1">
      <c r="A685" t="inlineStr">
        <is>
          <t>A 30855-2022</t>
        </is>
      </c>
      <c r="B685" s="1" t="n">
        <v>44767</v>
      </c>
      <c r="C685" s="1" t="n">
        <v>46091</v>
      </c>
      <c r="D685" t="inlineStr">
        <is>
          <t>ÖSTERGÖTLANDS LÄN</t>
        </is>
      </c>
      <c r="E685" t="inlineStr">
        <is>
          <t>LINKÖPING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1355-2023</t>
        </is>
      </c>
      <c r="B686" s="1" t="n">
        <v>44931</v>
      </c>
      <c r="C686" s="1" t="n">
        <v>46091</v>
      </c>
      <c r="D686" t="inlineStr">
        <is>
          <t>ÖSTERGÖTLANDS LÄN</t>
        </is>
      </c>
      <c r="E686" t="inlineStr">
        <is>
          <t>LINKÖPING</t>
        </is>
      </c>
      <c r="G686" t="n">
        <v>4</v>
      </c>
      <c r="H686" t="n">
        <v>0</v>
      </c>
      <c r="I686" t="n">
        <v>0</v>
      </c>
      <c r="J686" t="n">
        <v>0</v>
      </c>
      <c r="K686" t="n">
        <v>0</v>
      </c>
      <c r="L686" t="n">
        <v>0</v>
      </c>
      <c r="M686" t="n">
        <v>0</v>
      </c>
      <c r="N686" t="n">
        <v>0</v>
      </c>
      <c r="O686" t="n">
        <v>0</v>
      </c>
      <c r="P686" t="n">
        <v>0</v>
      </c>
      <c r="Q686" t="n">
        <v>0</v>
      </c>
      <c r="R686" s="2" t="inlineStr"/>
    </row>
    <row r="687" ht="15" customHeight="1">
      <c r="A687" t="inlineStr">
        <is>
          <t>A 27844-2024</t>
        </is>
      </c>
      <c r="B687" s="1" t="n">
        <v>45475.63047453704</v>
      </c>
      <c r="C687" s="1" t="n">
        <v>46091</v>
      </c>
      <c r="D687" t="inlineStr">
        <is>
          <t>ÖSTERGÖTLANDS LÄN</t>
        </is>
      </c>
      <c r="E687" t="inlineStr">
        <is>
          <t>LINKÖPING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10741-2023</t>
        </is>
      </c>
      <c r="B688" s="1" t="n">
        <v>44988.70084490741</v>
      </c>
      <c r="C688" s="1" t="n">
        <v>46091</v>
      </c>
      <c r="D688" t="inlineStr">
        <is>
          <t>ÖSTERGÖTLANDS LÄN</t>
        </is>
      </c>
      <c r="E688" t="inlineStr">
        <is>
          <t>LINKÖPING</t>
        </is>
      </c>
      <c r="F688" t="inlineStr">
        <is>
          <t>Allmännings- och besparingsskogar</t>
        </is>
      </c>
      <c r="G688" t="n">
        <v>11.2</v>
      </c>
      <c r="H688" t="n">
        <v>0</v>
      </c>
      <c r="I688" t="n">
        <v>0</v>
      </c>
      <c r="J688" t="n">
        <v>0</v>
      </c>
      <c r="K688" t="n">
        <v>0</v>
      </c>
      <c r="L688" t="n">
        <v>0</v>
      </c>
      <c r="M688" t="n">
        <v>0</v>
      </c>
      <c r="N688" t="n">
        <v>0</v>
      </c>
      <c r="O688" t="n">
        <v>0</v>
      </c>
      <c r="P688" t="n">
        <v>0</v>
      </c>
      <c r="Q688" t="n">
        <v>0</v>
      </c>
      <c r="R688" s="2" t="inlineStr"/>
    </row>
    <row r="689" ht="15" customHeight="1">
      <c r="A689" t="inlineStr">
        <is>
          <t>A 50963-2021</t>
        </is>
      </c>
      <c r="B689" s="1" t="n">
        <v>44460</v>
      </c>
      <c r="C689" s="1" t="n">
        <v>46091</v>
      </c>
      <c r="D689" t="inlineStr">
        <is>
          <t>ÖSTERGÖTLANDS LÄN</t>
        </is>
      </c>
      <c r="E689" t="inlineStr">
        <is>
          <t>LINKÖPING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45821-2024</t>
        </is>
      </c>
      <c r="B690" s="1" t="n">
        <v>45579.75803240741</v>
      </c>
      <c r="C690" s="1" t="n">
        <v>46091</v>
      </c>
      <c r="D690" t="inlineStr">
        <is>
          <t>ÖSTERGÖTLANDS LÄN</t>
        </is>
      </c>
      <c r="E690" t="inlineStr">
        <is>
          <t>LINKÖPING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61936-2023</t>
        </is>
      </c>
      <c r="B691" s="1" t="n">
        <v>45266.54534722222</v>
      </c>
      <c r="C691" s="1" t="n">
        <v>46091</v>
      </c>
      <c r="D691" t="inlineStr">
        <is>
          <t>ÖSTERGÖTLANDS LÄN</t>
        </is>
      </c>
      <c r="E691" t="inlineStr">
        <is>
          <t>LINKÖPING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1263-2024</t>
        </is>
      </c>
      <c r="B692" s="1" t="n">
        <v>45302</v>
      </c>
      <c r="C692" s="1" t="n">
        <v>46091</v>
      </c>
      <c r="D692" t="inlineStr">
        <is>
          <t>ÖSTERGÖTLANDS LÄN</t>
        </is>
      </c>
      <c r="E692" t="inlineStr">
        <is>
          <t>LINKÖPING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24464-2023</t>
        </is>
      </c>
      <c r="B693" s="1" t="n">
        <v>45082.58068287037</v>
      </c>
      <c r="C693" s="1" t="n">
        <v>46091</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48389-2024</t>
        </is>
      </c>
      <c r="B694" s="1" t="n">
        <v>45590.59991898148</v>
      </c>
      <c r="C694" s="1" t="n">
        <v>46091</v>
      </c>
      <c r="D694" t="inlineStr">
        <is>
          <t>ÖSTERGÖTLANDS LÄN</t>
        </is>
      </c>
      <c r="E694" t="inlineStr">
        <is>
          <t>LINKÖPING</t>
        </is>
      </c>
      <c r="G694" t="n">
        <v>2.6</v>
      </c>
      <c r="H694" t="n">
        <v>0</v>
      </c>
      <c r="I694" t="n">
        <v>0</v>
      </c>
      <c r="J694" t="n">
        <v>0</v>
      </c>
      <c r="K694" t="n">
        <v>0</v>
      </c>
      <c r="L694" t="n">
        <v>0</v>
      </c>
      <c r="M694" t="n">
        <v>0</v>
      </c>
      <c r="N694" t="n">
        <v>0</v>
      </c>
      <c r="O694" t="n">
        <v>0</v>
      </c>
      <c r="P694" t="n">
        <v>0</v>
      </c>
      <c r="Q694" t="n">
        <v>0</v>
      </c>
      <c r="R694" s="2" t="inlineStr"/>
    </row>
    <row r="695" ht="15" customHeight="1">
      <c r="A695" t="inlineStr">
        <is>
          <t>A 61281-2021</t>
        </is>
      </c>
      <c r="B695" s="1" t="n">
        <v>44498.60736111111</v>
      </c>
      <c r="C695" s="1" t="n">
        <v>46091</v>
      </c>
      <c r="D695" t="inlineStr">
        <is>
          <t>ÖSTERGÖTLANDS LÄN</t>
        </is>
      </c>
      <c r="E695" t="inlineStr">
        <is>
          <t>LINKÖPING</t>
        </is>
      </c>
      <c r="G695" t="n">
        <v>4.5</v>
      </c>
      <c r="H695" t="n">
        <v>0</v>
      </c>
      <c r="I695" t="n">
        <v>0</v>
      </c>
      <c r="J695" t="n">
        <v>0</v>
      </c>
      <c r="K695" t="n">
        <v>0</v>
      </c>
      <c r="L695" t="n">
        <v>0</v>
      </c>
      <c r="M695" t="n">
        <v>0</v>
      </c>
      <c r="N695" t="n">
        <v>0</v>
      </c>
      <c r="O695" t="n">
        <v>0</v>
      </c>
      <c r="P695" t="n">
        <v>0</v>
      </c>
      <c r="Q695" t="n">
        <v>0</v>
      </c>
      <c r="R695" s="2" t="inlineStr"/>
    </row>
    <row r="696" ht="15" customHeight="1">
      <c r="A696" t="inlineStr">
        <is>
          <t>A 6369-2023</t>
        </is>
      </c>
      <c r="B696" s="1" t="n">
        <v>44965.61106481482</v>
      </c>
      <c r="C696" s="1" t="n">
        <v>46091</v>
      </c>
      <c r="D696" t="inlineStr">
        <is>
          <t>ÖSTERGÖTLANDS LÄN</t>
        </is>
      </c>
      <c r="E696" t="inlineStr">
        <is>
          <t>LINKÖPING</t>
        </is>
      </c>
      <c r="G696" t="n">
        <v>4</v>
      </c>
      <c r="H696" t="n">
        <v>0</v>
      </c>
      <c r="I696" t="n">
        <v>0</v>
      </c>
      <c r="J696" t="n">
        <v>0</v>
      </c>
      <c r="K696" t="n">
        <v>0</v>
      </c>
      <c r="L696" t="n">
        <v>0</v>
      </c>
      <c r="M696" t="n">
        <v>0</v>
      </c>
      <c r="N696" t="n">
        <v>0</v>
      </c>
      <c r="O696" t="n">
        <v>0</v>
      </c>
      <c r="P696" t="n">
        <v>0</v>
      </c>
      <c r="Q696" t="n">
        <v>0</v>
      </c>
      <c r="R696" s="2" t="inlineStr"/>
    </row>
    <row r="697" ht="15" customHeight="1">
      <c r="A697" t="inlineStr">
        <is>
          <t>A 10094-2024</t>
        </is>
      </c>
      <c r="B697" s="1" t="n">
        <v>45364</v>
      </c>
      <c r="C697" s="1" t="n">
        <v>46091</v>
      </c>
      <c r="D697" t="inlineStr">
        <is>
          <t>ÖSTERGÖTLANDS LÄN</t>
        </is>
      </c>
      <c r="E697" t="inlineStr">
        <is>
          <t>LINKÖPING</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1207-2023</t>
        </is>
      </c>
      <c r="B698" s="1" t="n">
        <v>44930</v>
      </c>
      <c r="C698" s="1" t="n">
        <v>46091</v>
      </c>
      <c r="D698" t="inlineStr">
        <is>
          <t>ÖSTERGÖTLANDS LÄN</t>
        </is>
      </c>
      <c r="E698" t="inlineStr">
        <is>
          <t>LINKÖPING</t>
        </is>
      </c>
      <c r="F698" t="inlineStr">
        <is>
          <t>Övriga statliga verk och myndigheter</t>
        </is>
      </c>
      <c r="G698" t="n">
        <v>32.8</v>
      </c>
      <c r="H698" t="n">
        <v>0</v>
      </c>
      <c r="I698" t="n">
        <v>0</v>
      </c>
      <c r="J698" t="n">
        <v>0</v>
      </c>
      <c r="K698" t="n">
        <v>0</v>
      </c>
      <c r="L698" t="n">
        <v>0</v>
      </c>
      <c r="M698" t="n">
        <v>0</v>
      </c>
      <c r="N698" t="n">
        <v>0</v>
      </c>
      <c r="O698" t="n">
        <v>0</v>
      </c>
      <c r="P698" t="n">
        <v>0</v>
      </c>
      <c r="Q698" t="n">
        <v>0</v>
      </c>
      <c r="R698" s="2" t="inlineStr"/>
    </row>
    <row r="699" ht="15" customHeight="1">
      <c r="A699" t="inlineStr">
        <is>
          <t>A 62015-2024</t>
        </is>
      </c>
      <c r="B699" s="1" t="n">
        <v>45655.80457175926</v>
      </c>
      <c r="C699" s="1" t="n">
        <v>46091</v>
      </c>
      <c r="D699" t="inlineStr">
        <is>
          <t>ÖSTERGÖTLANDS LÄN</t>
        </is>
      </c>
      <c r="E699" t="inlineStr">
        <is>
          <t>LINKÖPING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62020-2024</t>
        </is>
      </c>
      <c r="B700" s="1" t="n">
        <v>45655.83563657408</v>
      </c>
      <c r="C700" s="1" t="n">
        <v>46091</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62021-2024</t>
        </is>
      </c>
      <c r="B701" s="1" t="n">
        <v>45655.84232638889</v>
      </c>
      <c r="C701" s="1" t="n">
        <v>46091</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27891-2021</t>
        </is>
      </c>
      <c r="B702" s="1" t="n">
        <v>44354.65108796296</v>
      </c>
      <c r="C702" s="1" t="n">
        <v>46091</v>
      </c>
      <c r="D702" t="inlineStr">
        <is>
          <t>ÖSTERGÖTLANDS LÄN</t>
        </is>
      </c>
      <c r="E702" t="inlineStr">
        <is>
          <t>LINKÖPING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57391-2023</t>
        </is>
      </c>
      <c r="B703" s="1" t="n">
        <v>45245</v>
      </c>
      <c r="C703" s="1" t="n">
        <v>46091</v>
      </c>
      <c r="D703" t="inlineStr">
        <is>
          <t>ÖSTERGÖTLANDS LÄN</t>
        </is>
      </c>
      <c r="E703" t="inlineStr">
        <is>
          <t>LINKÖPING</t>
        </is>
      </c>
      <c r="F703" t="inlineStr">
        <is>
          <t>Övriga Aktiebolag</t>
        </is>
      </c>
      <c r="G703" t="n">
        <v>1.7</v>
      </c>
      <c r="H703" t="n">
        <v>0</v>
      </c>
      <c r="I703" t="n">
        <v>0</v>
      </c>
      <c r="J703" t="n">
        <v>0</v>
      </c>
      <c r="K703" t="n">
        <v>0</v>
      </c>
      <c r="L703" t="n">
        <v>0</v>
      </c>
      <c r="M703" t="n">
        <v>0</v>
      </c>
      <c r="N703" t="n">
        <v>0</v>
      </c>
      <c r="O703" t="n">
        <v>0</v>
      </c>
      <c r="P703" t="n">
        <v>0</v>
      </c>
      <c r="Q703" t="n">
        <v>0</v>
      </c>
      <c r="R703" s="2" t="inlineStr"/>
    </row>
    <row r="704" ht="15" customHeight="1">
      <c r="A704" t="inlineStr">
        <is>
          <t>A 20294-2025</t>
        </is>
      </c>
      <c r="B704" s="1" t="n">
        <v>45774.74667824074</v>
      </c>
      <c r="C704" s="1" t="n">
        <v>46091</v>
      </c>
      <c r="D704" t="inlineStr">
        <is>
          <t>ÖSTERGÖTLANDS LÄN</t>
        </is>
      </c>
      <c r="E704" t="inlineStr">
        <is>
          <t>LINKÖPING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60013-2022</t>
        </is>
      </c>
      <c r="B705" s="1" t="n">
        <v>44909.47482638889</v>
      </c>
      <c r="C705" s="1" t="n">
        <v>46091</v>
      </c>
      <c r="D705" t="inlineStr">
        <is>
          <t>ÖSTERGÖTLANDS LÄN</t>
        </is>
      </c>
      <c r="E705" t="inlineStr">
        <is>
          <t>LINKÖPING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3007-2025</t>
        </is>
      </c>
      <c r="B706" s="1" t="n">
        <v>45678.56328703704</v>
      </c>
      <c r="C706" s="1" t="n">
        <v>46091</v>
      </c>
      <c r="D706" t="inlineStr">
        <is>
          <t>ÖSTERGÖTLANDS LÄN</t>
        </is>
      </c>
      <c r="E706" t="inlineStr">
        <is>
          <t>LINKÖPING</t>
        </is>
      </c>
      <c r="G706" t="n">
        <v>3.1</v>
      </c>
      <c r="H706" t="n">
        <v>0</v>
      </c>
      <c r="I706" t="n">
        <v>0</v>
      </c>
      <c r="J706" t="n">
        <v>0</v>
      </c>
      <c r="K706" t="n">
        <v>0</v>
      </c>
      <c r="L706" t="n">
        <v>0</v>
      </c>
      <c r="M706" t="n">
        <v>0</v>
      </c>
      <c r="N706" t="n">
        <v>0</v>
      </c>
      <c r="O706" t="n">
        <v>0</v>
      </c>
      <c r="P706" t="n">
        <v>0</v>
      </c>
      <c r="Q706" t="n">
        <v>0</v>
      </c>
      <c r="R706" s="2" t="inlineStr"/>
    </row>
    <row r="707" ht="15" customHeight="1">
      <c r="A707" t="inlineStr">
        <is>
          <t>A 34877-2023</t>
        </is>
      </c>
      <c r="B707" s="1" t="n">
        <v>45140</v>
      </c>
      <c r="C707" s="1" t="n">
        <v>46091</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1924-2024</t>
        </is>
      </c>
      <c r="B708" s="1" t="n">
        <v>45308</v>
      </c>
      <c r="C708" s="1" t="n">
        <v>46091</v>
      </c>
      <c r="D708" t="inlineStr">
        <is>
          <t>ÖSTERGÖTLANDS LÄN</t>
        </is>
      </c>
      <c r="E708" t="inlineStr">
        <is>
          <t>LINKÖPING</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34558-2022</t>
        </is>
      </c>
      <c r="B709" s="1" t="n">
        <v>44794.57594907407</v>
      </c>
      <c r="C709" s="1" t="n">
        <v>46091</v>
      </c>
      <c r="D709" t="inlineStr">
        <is>
          <t>ÖSTERGÖTLANDS LÄN</t>
        </is>
      </c>
      <c r="E709" t="inlineStr">
        <is>
          <t>LINKÖPING</t>
        </is>
      </c>
      <c r="G709" t="n">
        <v>2.2</v>
      </c>
      <c r="H709" t="n">
        <v>0</v>
      </c>
      <c r="I709" t="n">
        <v>0</v>
      </c>
      <c r="J709" t="n">
        <v>0</v>
      </c>
      <c r="K709" t="n">
        <v>0</v>
      </c>
      <c r="L709" t="n">
        <v>0</v>
      </c>
      <c r="M709" t="n">
        <v>0</v>
      </c>
      <c r="N709" t="n">
        <v>0</v>
      </c>
      <c r="O709" t="n">
        <v>0</v>
      </c>
      <c r="P709" t="n">
        <v>0</v>
      </c>
      <c r="Q709" t="n">
        <v>0</v>
      </c>
      <c r="R709" s="2" t="inlineStr"/>
    </row>
    <row r="710" ht="15" customHeight="1">
      <c r="A710" t="inlineStr">
        <is>
          <t>A 168-2024</t>
        </is>
      </c>
      <c r="B710" s="1" t="n">
        <v>45294</v>
      </c>
      <c r="C710" s="1" t="n">
        <v>46091</v>
      </c>
      <c r="D710" t="inlineStr">
        <is>
          <t>ÖSTERGÖTLANDS LÄN</t>
        </is>
      </c>
      <c r="E710" t="inlineStr">
        <is>
          <t>LINKÖPING</t>
        </is>
      </c>
      <c r="F710" t="inlineStr">
        <is>
          <t>Allmännings- och besparingsskogar</t>
        </is>
      </c>
      <c r="G710" t="n">
        <v>8.9</v>
      </c>
      <c r="H710" t="n">
        <v>0</v>
      </c>
      <c r="I710" t="n">
        <v>0</v>
      </c>
      <c r="J710" t="n">
        <v>0</v>
      </c>
      <c r="K710" t="n">
        <v>0</v>
      </c>
      <c r="L710" t="n">
        <v>0</v>
      </c>
      <c r="M710" t="n">
        <v>0</v>
      </c>
      <c r="N710" t="n">
        <v>0</v>
      </c>
      <c r="O710" t="n">
        <v>0</v>
      </c>
      <c r="P710" t="n">
        <v>0</v>
      </c>
      <c r="Q710" t="n">
        <v>0</v>
      </c>
      <c r="R710" s="2" t="inlineStr"/>
    </row>
    <row r="711" ht="15" customHeight="1">
      <c r="A711" t="inlineStr">
        <is>
          <t>A 15658-2023</t>
        </is>
      </c>
      <c r="B711" s="1" t="n">
        <v>45021.41194444444</v>
      </c>
      <c r="C711" s="1" t="n">
        <v>46091</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30433-2024</t>
        </is>
      </c>
      <c r="B712" s="1" t="n">
        <v>45491.69741898148</v>
      </c>
      <c r="C712" s="1" t="n">
        <v>46091</v>
      </c>
      <c r="D712" t="inlineStr">
        <is>
          <t>ÖSTERGÖTLANDS LÄN</t>
        </is>
      </c>
      <c r="E712" t="inlineStr">
        <is>
          <t>LINKÖPING</t>
        </is>
      </c>
      <c r="G712" t="n">
        <v>1.7</v>
      </c>
      <c r="H712" t="n">
        <v>0</v>
      </c>
      <c r="I712" t="n">
        <v>0</v>
      </c>
      <c r="J712" t="n">
        <v>0</v>
      </c>
      <c r="K712" t="n">
        <v>0</v>
      </c>
      <c r="L712" t="n">
        <v>0</v>
      </c>
      <c r="M712" t="n">
        <v>0</v>
      </c>
      <c r="N712" t="n">
        <v>0</v>
      </c>
      <c r="O712" t="n">
        <v>0</v>
      </c>
      <c r="P712" t="n">
        <v>0</v>
      </c>
      <c r="Q712" t="n">
        <v>0</v>
      </c>
      <c r="R712" s="2" t="inlineStr"/>
    </row>
    <row r="713" ht="15" customHeight="1">
      <c r="A713" t="inlineStr">
        <is>
          <t>A 52220-2023</t>
        </is>
      </c>
      <c r="B713" s="1" t="n">
        <v>45217</v>
      </c>
      <c r="C713" s="1" t="n">
        <v>46091</v>
      </c>
      <c r="D713" t="inlineStr">
        <is>
          <t>ÖSTERGÖTLANDS LÄN</t>
        </is>
      </c>
      <c r="E713" t="inlineStr">
        <is>
          <t>LINKÖPING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52225-2023</t>
        </is>
      </c>
      <c r="B714" s="1" t="n">
        <v>45217</v>
      </c>
      <c r="C714" s="1" t="n">
        <v>46091</v>
      </c>
      <c r="D714" t="inlineStr">
        <is>
          <t>ÖSTERGÖTLANDS LÄN</t>
        </is>
      </c>
      <c r="E714" t="inlineStr">
        <is>
          <t>LINKÖPING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19464-2024</t>
        </is>
      </c>
      <c r="B715" s="1" t="n">
        <v>45429</v>
      </c>
      <c r="C715" s="1" t="n">
        <v>46091</v>
      </c>
      <c r="D715" t="inlineStr">
        <is>
          <t>ÖSTERGÖTLANDS LÄN</t>
        </is>
      </c>
      <c r="E715" t="inlineStr">
        <is>
          <t>LINKÖPING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42044-2023</t>
        </is>
      </c>
      <c r="B716" s="1" t="n">
        <v>45177</v>
      </c>
      <c r="C716" s="1" t="n">
        <v>46091</v>
      </c>
      <c r="D716" t="inlineStr">
        <is>
          <t>ÖSTERGÖTLANDS LÄN</t>
        </is>
      </c>
      <c r="E716" t="inlineStr">
        <is>
          <t>LINKÖPING</t>
        </is>
      </c>
      <c r="G716" t="n">
        <v>3.9</v>
      </c>
      <c r="H716" t="n">
        <v>0</v>
      </c>
      <c r="I716" t="n">
        <v>0</v>
      </c>
      <c r="J716" t="n">
        <v>0</v>
      </c>
      <c r="K716" t="n">
        <v>0</v>
      </c>
      <c r="L716" t="n">
        <v>0</v>
      </c>
      <c r="M716" t="n">
        <v>0</v>
      </c>
      <c r="N716" t="n">
        <v>0</v>
      </c>
      <c r="O716" t="n">
        <v>0</v>
      </c>
      <c r="P716" t="n">
        <v>0</v>
      </c>
      <c r="Q716" t="n">
        <v>0</v>
      </c>
      <c r="R716" s="2" t="inlineStr"/>
    </row>
    <row r="717" ht="15" customHeight="1">
      <c r="A717" t="inlineStr">
        <is>
          <t>A 630-2024</t>
        </is>
      </c>
      <c r="B717" s="1" t="n">
        <v>45299.67736111111</v>
      </c>
      <c r="C717" s="1" t="n">
        <v>46091</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21782-2024</t>
        </is>
      </c>
      <c r="B718" s="1" t="n">
        <v>45442.63368055555</v>
      </c>
      <c r="C718" s="1" t="n">
        <v>46091</v>
      </c>
      <c r="D718" t="inlineStr">
        <is>
          <t>ÖSTERGÖTLANDS LÄN</t>
        </is>
      </c>
      <c r="E718" t="inlineStr">
        <is>
          <t>LINKÖPING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57766-2023</t>
        </is>
      </c>
      <c r="B719" s="1" t="n">
        <v>45246</v>
      </c>
      <c r="C719" s="1" t="n">
        <v>46091</v>
      </c>
      <c r="D719" t="inlineStr">
        <is>
          <t>ÖSTERGÖTLANDS LÄN</t>
        </is>
      </c>
      <c r="E719" t="inlineStr">
        <is>
          <t>LINKÖPING</t>
        </is>
      </c>
      <c r="F719" t="inlineStr">
        <is>
          <t>Allmännings- och besparingsskogar</t>
        </is>
      </c>
      <c r="G719" t="n">
        <v>12.8</v>
      </c>
      <c r="H719" t="n">
        <v>0</v>
      </c>
      <c r="I719" t="n">
        <v>0</v>
      </c>
      <c r="J719" t="n">
        <v>0</v>
      </c>
      <c r="K719" t="n">
        <v>0</v>
      </c>
      <c r="L719" t="n">
        <v>0</v>
      </c>
      <c r="M719" t="n">
        <v>0</v>
      </c>
      <c r="N719" t="n">
        <v>0</v>
      </c>
      <c r="O719" t="n">
        <v>0</v>
      </c>
      <c r="P719" t="n">
        <v>0</v>
      </c>
      <c r="Q719" t="n">
        <v>0</v>
      </c>
      <c r="R719" s="2" t="inlineStr"/>
    </row>
    <row r="720" ht="15" customHeight="1">
      <c r="A720" t="inlineStr">
        <is>
          <t>A 27186-2021</t>
        </is>
      </c>
      <c r="B720" s="1" t="n">
        <v>44350.67715277777</v>
      </c>
      <c r="C720" s="1" t="n">
        <v>46091</v>
      </c>
      <c r="D720" t="inlineStr">
        <is>
          <t>ÖSTERGÖTLANDS LÄN</t>
        </is>
      </c>
      <c r="E720" t="inlineStr">
        <is>
          <t>LINKÖPING</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10194-2023</t>
        </is>
      </c>
      <c r="B721" s="1" t="n">
        <v>44986.52277777778</v>
      </c>
      <c r="C721" s="1" t="n">
        <v>46091</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55944-2024</t>
        </is>
      </c>
      <c r="B722" s="1" t="n">
        <v>45623.61640046296</v>
      </c>
      <c r="C722" s="1" t="n">
        <v>46091</v>
      </c>
      <c r="D722" t="inlineStr">
        <is>
          <t>ÖSTERGÖTLANDS LÄN</t>
        </is>
      </c>
      <c r="E722" t="inlineStr">
        <is>
          <t>LINKÖPING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55947-2024</t>
        </is>
      </c>
      <c r="B723" s="1" t="n">
        <v>45623</v>
      </c>
      <c r="C723" s="1" t="n">
        <v>46091</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47703-2023</t>
        </is>
      </c>
      <c r="B724" s="1" t="n">
        <v>45203</v>
      </c>
      <c r="C724" s="1" t="n">
        <v>46091</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51559-2024</t>
        </is>
      </c>
      <c r="B725" s="1" t="n">
        <v>45604.61431712963</v>
      </c>
      <c r="C725" s="1" t="n">
        <v>46091</v>
      </c>
      <c r="D725" t="inlineStr">
        <is>
          <t>ÖSTERGÖTLANDS LÄN</t>
        </is>
      </c>
      <c r="E725" t="inlineStr">
        <is>
          <t>LINKÖPING</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62353-2022</t>
        </is>
      </c>
      <c r="B726" s="1" t="n">
        <v>44923</v>
      </c>
      <c r="C726" s="1" t="n">
        <v>46091</v>
      </c>
      <c r="D726" t="inlineStr">
        <is>
          <t>ÖSTERGÖTLANDS LÄN</t>
        </is>
      </c>
      <c r="E726" t="inlineStr">
        <is>
          <t>LINKÖPING</t>
        </is>
      </c>
      <c r="F726" t="inlineStr">
        <is>
          <t>Allmännings- och besparingsskogar</t>
        </is>
      </c>
      <c r="G726" t="n">
        <v>1.7</v>
      </c>
      <c r="H726" t="n">
        <v>0</v>
      </c>
      <c r="I726" t="n">
        <v>0</v>
      </c>
      <c r="J726" t="n">
        <v>0</v>
      </c>
      <c r="K726" t="n">
        <v>0</v>
      </c>
      <c r="L726" t="n">
        <v>0</v>
      </c>
      <c r="M726" t="n">
        <v>0</v>
      </c>
      <c r="N726" t="n">
        <v>0</v>
      </c>
      <c r="O726" t="n">
        <v>0</v>
      </c>
      <c r="P726" t="n">
        <v>0</v>
      </c>
      <c r="Q726" t="n">
        <v>0</v>
      </c>
      <c r="R726" s="2" t="inlineStr"/>
    </row>
    <row r="727" ht="15" customHeight="1">
      <c r="A727" t="inlineStr">
        <is>
          <t>A 15754-2025</t>
        </is>
      </c>
      <c r="B727" s="1" t="n">
        <v>45748.56105324074</v>
      </c>
      <c r="C727" s="1" t="n">
        <v>46091</v>
      </c>
      <c r="D727" t="inlineStr">
        <is>
          <t>ÖSTERGÖTLANDS LÄN</t>
        </is>
      </c>
      <c r="E727" t="inlineStr">
        <is>
          <t>LINKÖPING</t>
        </is>
      </c>
      <c r="G727" t="n">
        <v>1.7</v>
      </c>
      <c r="H727" t="n">
        <v>0</v>
      </c>
      <c r="I727" t="n">
        <v>0</v>
      </c>
      <c r="J727" t="n">
        <v>0</v>
      </c>
      <c r="K727" t="n">
        <v>0</v>
      </c>
      <c r="L727" t="n">
        <v>0</v>
      </c>
      <c r="M727" t="n">
        <v>0</v>
      </c>
      <c r="N727" t="n">
        <v>0</v>
      </c>
      <c r="O727" t="n">
        <v>0</v>
      </c>
      <c r="P727" t="n">
        <v>0</v>
      </c>
      <c r="Q727" t="n">
        <v>0</v>
      </c>
      <c r="R727" s="2" t="inlineStr"/>
    </row>
    <row r="728" ht="15" customHeight="1">
      <c r="A728" t="inlineStr">
        <is>
          <t>A 4298-2023</t>
        </is>
      </c>
      <c r="B728" s="1" t="n">
        <v>44953</v>
      </c>
      <c r="C728" s="1" t="n">
        <v>46091</v>
      </c>
      <c r="D728" t="inlineStr">
        <is>
          <t>ÖSTERGÖTLANDS LÄN</t>
        </is>
      </c>
      <c r="E728" t="inlineStr">
        <is>
          <t>LINKÖPING</t>
        </is>
      </c>
      <c r="G728" t="n">
        <v>2.8</v>
      </c>
      <c r="H728" t="n">
        <v>0</v>
      </c>
      <c r="I728" t="n">
        <v>0</v>
      </c>
      <c r="J728" t="n">
        <v>0</v>
      </c>
      <c r="K728" t="n">
        <v>0</v>
      </c>
      <c r="L728" t="n">
        <v>0</v>
      </c>
      <c r="M728" t="n">
        <v>0</v>
      </c>
      <c r="N728" t="n">
        <v>0</v>
      </c>
      <c r="O728" t="n">
        <v>0</v>
      </c>
      <c r="P728" t="n">
        <v>0</v>
      </c>
      <c r="Q728" t="n">
        <v>0</v>
      </c>
      <c r="R728" s="2" t="inlineStr"/>
    </row>
    <row r="729" ht="15" customHeight="1">
      <c r="A729" t="inlineStr">
        <is>
          <t>A 18145-2021</t>
        </is>
      </c>
      <c r="B729" s="1" t="n">
        <v>44302</v>
      </c>
      <c r="C729" s="1" t="n">
        <v>46091</v>
      </c>
      <c r="D729" t="inlineStr">
        <is>
          <t>ÖSTERGÖTLANDS LÄN</t>
        </is>
      </c>
      <c r="E729" t="inlineStr">
        <is>
          <t>LINKÖPING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25568-2024</t>
        </is>
      </c>
      <c r="B730" s="1" t="n">
        <v>45463.58699074074</v>
      </c>
      <c r="C730" s="1" t="n">
        <v>46091</v>
      </c>
      <c r="D730" t="inlineStr">
        <is>
          <t>ÖSTERGÖTLANDS LÄN</t>
        </is>
      </c>
      <c r="E730" t="inlineStr">
        <is>
          <t>LINKÖPING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38136-2023</t>
        </is>
      </c>
      <c r="B731" s="1" t="n">
        <v>45161.37310185185</v>
      </c>
      <c r="C731" s="1" t="n">
        <v>46091</v>
      </c>
      <c r="D731" t="inlineStr">
        <is>
          <t>ÖSTERGÖTLANDS LÄN</t>
        </is>
      </c>
      <c r="E731" t="inlineStr">
        <is>
          <t>LINKÖPING</t>
        </is>
      </c>
      <c r="G731" t="n">
        <v>5.6</v>
      </c>
      <c r="H731" t="n">
        <v>0</v>
      </c>
      <c r="I731" t="n">
        <v>0</v>
      </c>
      <c r="J731" t="n">
        <v>0</v>
      </c>
      <c r="K731" t="n">
        <v>0</v>
      </c>
      <c r="L731" t="n">
        <v>0</v>
      </c>
      <c r="M731" t="n">
        <v>0</v>
      </c>
      <c r="N731" t="n">
        <v>0</v>
      </c>
      <c r="O731" t="n">
        <v>0</v>
      </c>
      <c r="P731" t="n">
        <v>0</v>
      </c>
      <c r="Q731" t="n">
        <v>0</v>
      </c>
      <c r="R731" s="2" t="inlineStr"/>
    </row>
    <row r="732" ht="15" customHeight="1">
      <c r="A732" t="inlineStr">
        <is>
          <t>A 12317-2025</t>
        </is>
      </c>
      <c r="B732" s="1" t="n">
        <v>45729.8487037037</v>
      </c>
      <c r="C732" s="1" t="n">
        <v>46091</v>
      </c>
      <c r="D732" t="inlineStr">
        <is>
          <t>ÖSTERGÖTLANDS LÄN</t>
        </is>
      </c>
      <c r="E732" t="inlineStr">
        <is>
          <t>LINKÖPING</t>
        </is>
      </c>
      <c r="G732" t="n">
        <v>8</v>
      </c>
      <c r="H732" t="n">
        <v>0</v>
      </c>
      <c r="I732" t="n">
        <v>0</v>
      </c>
      <c r="J732" t="n">
        <v>0</v>
      </c>
      <c r="K732" t="n">
        <v>0</v>
      </c>
      <c r="L732" t="n">
        <v>0</v>
      </c>
      <c r="M732" t="n">
        <v>0</v>
      </c>
      <c r="N732" t="n">
        <v>0</v>
      </c>
      <c r="O732" t="n">
        <v>0</v>
      </c>
      <c r="P732" t="n">
        <v>0</v>
      </c>
      <c r="Q732" t="n">
        <v>0</v>
      </c>
      <c r="R732" s="2" t="inlineStr"/>
    </row>
    <row r="733" ht="15" customHeight="1">
      <c r="A733" t="inlineStr">
        <is>
          <t>A 14528-2025</t>
        </is>
      </c>
      <c r="B733" s="1" t="n">
        <v>45741</v>
      </c>
      <c r="C733" s="1" t="n">
        <v>46091</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61649-2023</t>
        </is>
      </c>
      <c r="B734" s="1" t="n">
        <v>45265</v>
      </c>
      <c r="C734" s="1" t="n">
        <v>46091</v>
      </c>
      <c r="D734" t="inlineStr">
        <is>
          <t>ÖSTERGÖTLANDS LÄN</t>
        </is>
      </c>
      <c r="E734" t="inlineStr">
        <is>
          <t>LINKÖPING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60985-2023</t>
        </is>
      </c>
      <c r="B735" s="1" t="n">
        <v>45261.48429398148</v>
      </c>
      <c r="C735" s="1" t="n">
        <v>46091</v>
      </c>
      <c r="D735" t="inlineStr">
        <is>
          <t>ÖSTERGÖTLANDS LÄN</t>
        </is>
      </c>
      <c r="E735" t="inlineStr">
        <is>
          <t>LINKÖPING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421-2024</t>
        </is>
      </c>
      <c r="B736" s="1" t="n">
        <v>45296.51877314815</v>
      </c>
      <c r="C736" s="1" t="n">
        <v>46091</v>
      </c>
      <c r="D736" t="inlineStr">
        <is>
          <t>ÖSTERGÖTLANDS LÄN</t>
        </is>
      </c>
      <c r="E736" t="inlineStr">
        <is>
          <t>LINKÖPING</t>
        </is>
      </c>
      <c r="G736" t="n">
        <v>3.7</v>
      </c>
      <c r="H736" t="n">
        <v>0</v>
      </c>
      <c r="I736" t="n">
        <v>0</v>
      </c>
      <c r="J736" t="n">
        <v>0</v>
      </c>
      <c r="K736" t="n">
        <v>0</v>
      </c>
      <c r="L736" t="n">
        <v>0</v>
      </c>
      <c r="M736" t="n">
        <v>0</v>
      </c>
      <c r="N736" t="n">
        <v>0</v>
      </c>
      <c r="O736" t="n">
        <v>0</v>
      </c>
      <c r="P736" t="n">
        <v>0</v>
      </c>
      <c r="Q736" t="n">
        <v>0</v>
      </c>
      <c r="R736" s="2" t="inlineStr"/>
    </row>
    <row r="737" ht="15" customHeight="1">
      <c r="A737" t="inlineStr">
        <is>
          <t>A 51405-2023</t>
        </is>
      </c>
      <c r="B737" s="1" t="n">
        <v>45219</v>
      </c>
      <c r="C737" s="1" t="n">
        <v>46091</v>
      </c>
      <c r="D737" t="inlineStr">
        <is>
          <t>ÖSTERGÖTLANDS LÄN</t>
        </is>
      </c>
      <c r="E737" t="inlineStr">
        <is>
          <t>LINKÖPING</t>
        </is>
      </c>
      <c r="F737" t="inlineStr">
        <is>
          <t>Övriga Aktiebolag</t>
        </is>
      </c>
      <c r="G737" t="n">
        <v>3</v>
      </c>
      <c r="H737" t="n">
        <v>0</v>
      </c>
      <c r="I737" t="n">
        <v>0</v>
      </c>
      <c r="J737" t="n">
        <v>0</v>
      </c>
      <c r="K737" t="n">
        <v>0</v>
      </c>
      <c r="L737" t="n">
        <v>0</v>
      </c>
      <c r="M737" t="n">
        <v>0</v>
      </c>
      <c r="N737" t="n">
        <v>0</v>
      </c>
      <c r="O737" t="n">
        <v>0</v>
      </c>
      <c r="P737" t="n">
        <v>0</v>
      </c>
      <c r="Q737" t="n">
        <v>0</v>
      </c>
      <c r="R737" s="2" t="inlineStr"/>
    </row>
    <row r="738" ht="15" customHeight="1">
      <c r="A738" t="inlineStr">
        <is>
          <t>A 53639-2023</t>
        </is>
      </c>
      <c r="B738" s="1" t="n">
        <v>45230.59686342593</v>
      </c>
      <c r="C738" s="1" t="n">
        <v>46091</v>
      </c>
      <c r="D738" t="inlineStr">
        <is>
          <t>ÖSTERGÖTLANDS LÄN</t>
        </is>
      </c>
      <c r="E738" t="inlineStr">
        <is>
          <t>LINKÖPING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24467-2023</t>
        </is>
      </c>
      <c r="B739" s="1" t="n">
        <v>45082</v>
      </c>
      <c r="C739" s="1" t="n">
        <v>46091</v>
      </c>
      <c r="D739" t="inlineStr">
        <is>
          <t>ÖSTERGÖTLANDS LÄN</t>
        </is>
      </c>
      <c r="E739" t="inlineStr">
        <is>
          <t>LINKÖPING</t>
        </is>
      </c>
      <c r="G739" t="n">
        <v>2.4</v>
      </c>
      <c r="H739" t="n">
        <v>0</v>
      </c>
      <c r="I739" t="n">
        <v>0</v>
      </c>
      <c r="J739" t="n">
        <v>0</v>
      </c>
      <c r="K739" t="n">
        <v>0</v>
      </c>
      <c r="L739" t="n">
        <v>0</v>
      </c>
      <c r="M739" t="n">
        <v>0</v>
      </c>
      <c r="N739" t="n">
        <v>0</v>
      </c>
      <c r="O739" t="n">
        <v>0</v>
      </c>
      <c r="P739" t="n">
        <v>0</v>
      </c>
      <c r="Q739" t="n">
        <v>0</v>
      </c>
      <c r="R739" s="2" t="inlineStr"/>
    </row>
    <row r="740" ht="15" customHeight="1">
      <c r="A740" t="inlineStr">
        <is>
          <t>A 62488-2023</t>
        </is>
      </c>
      <c r="B740" s="1" t="n">
        <v>45268.5847337963</v>
      </c>
      <c r="C740" s="1" t="n">
        <v>46091</v>
      </c>
      <c r="D740" t="inlineStr">
        <is>
          <t>ÖSTERGÖTLANDS LÄN</t>
        </is>
      </c>
      <c r="E740" t="inlineStr">
        <is>
          <t>LINKÖPING</t>
        </is>
      </c>
      <c r="G740" t="n">
        <v>4.1</v>
      </c>
      <c r="H740" t="n">
        <v>0</v>
      </c>
      <c r="I740" t="n">
        <v>0</v>
      </c>
      <c r="J740" t="n">
        <v>0</v>
      </c>
      <c r="K740" t="n">
        <v>0</v>
      </c>
      <c r="L740" t="n">
        <v>0</v>
      </c>
      <c r="M740" t="n">
        <v>0</v>
      </c>
      <c r="N740" t="n">
        <v>0</v>
      </c>
      <c r="O740" t="n">
        <v>0</v>
      </c>
      <c r="P740" t="n">
        <v>0</v>
      </c>
      <c r="Q740" t="n">
        <v>0</v>
      </c>
      <c r="R740" s="2" t="inlineStr"/>
    </row>
    <row r="741" ht="15" customHeight="1">
      <c r="A741" t="inlineStr">
        <is>
          <t>A 62495-2023</t>
        </is>
      </c>
      <c r="B741" s="1" t="n">
        <v>45268.59717592593</v>
      </c>
      <c r="C741" s="1" t="n">
        <v>46091</v>
      </c>
      <c r="D741" t="inlineStr">
        <is>
          <t>ÖSTERGÖTLANDS LÄN</t>
        </is>
      </c>
      <c r="E741" t="inlineStr">
        <is>
          <t>LINKÖPING</t>
        </is>
      </c>
      <c r="G741" t="n">
        <v>4.1</v>
      </c>
      <c r="H741" t="n">
        <v>0</v>
      </c>
      <c r="I741" t="n">
        <v>0</v>
      </c>
      <c r="J741" t="n">
        <v>0</v>
      </c>
      <c r="K741" t="n">
        <v>0</v>
      </c>
      <c r="L741" t="n">
        <v>0</v>
      </c>
      <c r="M741" t="n">
        <v>0</v>
      </c>
      <c r="N741" t="n">
        <v>0</v>
      </c>
      <c r="O741" t="n">
        <v>0</v>
      </c>
      <c r="P741" t="n">
        <v>0</v>
      </c>
      <c r="Q741" t="n">
        <v>0</v>
      </c>
      <c r="R741" s="2" t="inlineStr"/>
    </row>
    <row r="742" ht="15" customHeight="1">
      <c r="A742" t="inlineStr">
        <is>
          <t>A 10198-2023</t>
        </is>
      </c>
      <c r="B742" s="1" t="n">
        <v>44986.54665509259</v>
      </c>
      <c r="C742" s="1" t="n">
        <v>46091</v>
      </c>
      <c r="D742" t="inlineStr">
        <is>
          <t>ÖSTERGÖTLANDS LÄN</t>
        </is>
      </c>
      <c r="E742" t="inlineStr">
        <is>
          <t>LINKÖPING</t>
        </is>
      </c>
      <c r="G742" t="n">
        <v>4.6</v>
      </c>
      <c r="H742" t="n">
        <v>0</v>
      </c>
      <c r="I742" t="n">
        <v>0</v>
      </c>
      <c r="J742" t="n">
        <v>0</v>
      </c>
      <c r="K742" t="n">
        <v>0</v>
      </c>
      <c r="L742" t="n">
        <v>0</v>
      </c>
      <c r="M742" t="n">
        <v>0</v>
      </c>
      <c r="N742" t="n">
        <v>0</v>
      </c>
      <c r="O742" t="n">
        <v>0</v>
      </c>
      <c r="P742" t="n">
        <v>0</v>
      </c>
      <c r="Q742" t="n">
        <v>0</v>
      </c>
      <c r="R742" s="2" t="inlineStr"/>
    </row>
    <row r="743" ht="15" customHeight="1">
      <c r="A743" t="inlineStr">
        <is>
          <t>A 22771-2024</t>
        </is>
      </c>
      <c r="B743" s="1" t="n">
        <v>45448.46574074074</v>
      </c>
      <c r="C743" s="1" t="n">
        <v>46091</v>
      </c>
      <c r="D743" t="inlineStr">
        <is>
          <t>ÖSTERGÖTLANDS LÄN</t>
        </is>
      </c>
      <c r="E743" t="inlineStr">
        <is>
          <t>LINKÖPING</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17128-2025</t>
        </is>
      </c>
      <c r="B744" s="1" t="n">
        <v>45755.72622685185</v>
      </c>
      <c r="C744" s="1" t="n">
        <v>46091</v>
      </c>
      <c r="D744" t="inlineStr">
        <is>
          <t>ÖSTERGÖTLANDS LÄN</t>
        </is>
      </c>
      <c r="E744" t="inlineStr">
        <is>
          <t>LINKÖPING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62018-2024</t>
        </is>
      </c>
      <c r="B745" s="1" t="n">
        <v>45655.81387731482</v>
      </c>
      <c r="C745" s="1" t="n">
        <v>46091</v>
      </c>
      <c r="D745" t="inlineStr">
        <is>
          <t>ÖSTERGÖTLANDS LÄN</t>
        </is>
      </c>
      <c r="E745" t="inlineStr">
        <is>
          <t>LINKÖPING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62073-2023</t>
        </is>
      </c>
      <c r="B746" s="1" t="n">
        <v>45266.73844907407</v>
      </c>
      <c r="C746" s="1" t="n">
        <v>46091</v>
      </c>
      <c r="D746" t="inlineStr">
        <is>
          <t>ÖSTERGÖTLANDS LÄN</t>
        </is>
      </c>
      <c r="E746" t="inlineStr">
        <is>
          <t>LINKÖPING</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672-2024</t>
        </is>
      </c>
      <c r="B747" s="1" t="n">
        <v>45300</v>
      </c>
      <c r="C747" s="1" t="n">
        <v>46091</v>
      </c>
      <c r="D747" t="inlineStr">
        <is>
          <t>ÖSTERGÖTLANDS LÄN</t>
        </is>
      </c>
      <c r="E747" t="inlineStr">
        <is>
          <t>LINKÖPING</t>
        </is>
      </c>
      <c r="F747" t="inlineStr">
        <is>
          <t>Sveaskog</t>
        </is>
      </c>
      <c r="G747" t="n">
        <v>4.5</v>
      </c>
      <c r="H747" t="n">
        <v>0</v>
      </c>
      <c r="I747" t="n">
        <v>0</v>
      </c>
      <c r="J747" t="n">
        <v>0</v>
      </c>
      <c r="K747" t="n">
        <v>0</v>
      </c>
      <c r="L747" t="n">
        <v>0</v>
      </c>
      <c r="M747" t="n">
        <v>0</v>
      </c>
      <c r="N747" t="n">
        <v>0</v>
      </c>
      <c r="O747" t="n">
        <v>0</v>
      </c>
      <c r="P747" t="n">
        <v>0</v>
      </c>
      <c r="Q747" t="n">
        <v>0</v>
      </c>
      <c r="R747" s="2" t="inlineStr"/>
    </row>
    <row r="748" ht="15" customHeight="1">
      <c r="A748" t="inlineStr">
        <is>
          <t>A 42832-2023</t>
        </is>
      </c>
      <c r="B748" s="1" t="n">
        <v>45182.38091435185</v>
      </c>
      <c r="C748" s="1" t="n">
        <v>46091</v>
      </c>
      <c r="D748" t="inlineStr">
        <is>
          <t>ÖSTERGÖTLANDS LÄN</t>
        </is>
      </c>
      <c r="E748" t="inlineStr">
        <is>
          <t>LINKÖPING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5872-2025</t>
        </is>
      </c>
      <c r="B749" s="1" t="n">
        <v>45695.36659722222</v>
      </c>
      <c r="C749" s="1" t="n">
        <v>46091</v>
      </c>
      <c r="D749" t="inlineStr">
        <is>
          <t>ÖSTERGÖTLANDS LÄN</t>
        </is>
      </c>
      <c r="E749" t="inlineStr">
        <is>
          <t>LINKÖPING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59674-2024</t>
        </is>
      </c>
      <c r="B750" s="1" t="n">
        <v>45639</v>
      </c>
      <c r="C750" s="1" t="n">
        <v>46091</v>
      </c>
      <c r="D750" t="inlineStr">
        <is>
          <t>ÖSTERGÖTLANDS LÄN</t>
        </is>
      </c>
      <c r="E750" t="inlineStr">
        <is>
          <t>LINKÖPING</t>
        </is>
      </c>
      <c r="G750" t="n">
        <v>6.3</v>
      </c>
      <c r="H750" t="n">
        <v>0</v>
      </c>
      <c r="I750" t="n">
        <v>0</v>
      </c>
      <c r="J750" t="n">
        <v>0</v>
      </c>
      <c r="K750" t="n">
        <v>0</v>
      </c>
      <c r="L750" t="n">
        <v>0</v>
      </c>
      <c r="M750" t="n">
        <v>0</v>
      </c>
      <c r="N750" t="n">
        <v>0</v>
      </c>
      <c r="O750" t="n">
        <v>0</v>
      </c>
      <c r="P750" t="n">
        <v>0</v>
      </c>
      <c r="Q750" t="n">
        <v>0</v>
      </c>
      <c r="R750" s="2" t="inlineStr"/>
    </row>
    <row r="751" ht="15" customHeight="1">
      <c r="A751" t="inlineStr">
        <is>
          <t>A 59576-2024</t>
        </is>
      </c>
      <c r="B751" s="1" t="n">
        <v>45638.66378472222</v>
      </c>
      <c r="C751" s="1" t="n">
        <v>46091</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51583-2024</t>
        </is>
      </c>
      <c r="B752" s="1" t="n">
        <v>45604.6397337963</v>
      </c>
      <c r="C752" s="1" t="n">
        <v>46091</v>
      </c>
      <c r="D752" t="inlineStr">
        <is>
          <t>ÖSTERGÖTLANDS LÄN</t>
        </is>
      </c>
      <c r="E752" t="inlineStr">
        <is>
          <t>LINKÖPING</t>
        </is>
      </c>
      <c r="F752" t="inlineStr">
        <is>
          <t>Övriga Aktiebolag</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62019-2024</t>
        </is>
      </c>
      <c r="B753" s="1" t="n">
        <v>45655.82</v>
      </c>
      <c r="C753" s="1" t="n">
        <v>46091</v>
      </c>
      <c r="D753" t="inlineStr">
        <is>
          <t>ÖSTERGÖTLANDS LÄN</t>
        </is>
      </c>
      <c r="E753" t="inlineStr">
        <is>
          <t>LINKÖPING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38317-2024</t>
        </is>
      </c>
      <c r="B754" s="1" t="n">
        <v>45545.65766203704</v>
      </c>
      <c r="C754" s="1" t="n">
        <v>46091</v>
      </c>
      <c r="D754" t="inlineStr">
        <is>
          <t>ÖSTERGÖTLANDS LÄN</t>
        </is>
      </c>
      <c r="E754" t="inlineStr">
        <is>
          <t>LINKÖPING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50182-2023</t>
        </is>
      </c>
      <c r="B755" s="1" t="n">
        <v>45208</v>
      </c>
      <c r="C755" s="1" t="n">
        <v>46091</v>
      </c>
      <c r="D755" t="inlineStr">
        <is>
          <t>ÖSTERGÖTLANDS LÄN</t>
        </is>
      </c>
      <c r="E755" t="inlineStr">
        <is>
          <t>LINKÖPING</t>
        </is>
      </c>
      <c r="G755" t="n">
        <v>2.5</v>
      </c>
      <c r="H755" t="n">
        <v>0</v>
      </c>
      <c r="I755" t="n">
        <v>0</v>
      </c>
      <c r="J755" t="n">
        <v>0</v>
      </c>
      <c r="K755" t="n">
        <v>0</v>
      </c>
      <c r="L755" t="n">
        <v>0</v>
      </c>
      <c r="M755" t="n">
        <v>0</v>
      </c>
      <c r="N755" t="n">
        <v>0</v>
      </c>
      <c r="O755" t="n">
        <v>0</v>
      </c>
      <c r="P755" t="n">
        <v>0</v>
      </c>
      <c r="Q755" t="n">
        <v>0</v>
      </c>
      <c r="R755" s="2" t="inlineStr"/>
    </row>
    <row r="756">
      <c r="A756" t="inlineStr">
        <is>
          <t>A 1844-2025</t>
        </is>
      </c>
      <c r="B756" s="1" t="n">
        <v>45671.57730324074</v>
      </c>
      <c r="C756" s="1" t="n">
        <v>46091</v>
      </c>
      <c r="D756" t="inlineStr">
        <is>
          <t>ÖSTERGÖTLANDS LÄN</t>
        </is>
      </c>
      <c r="E756" t="inlineStr">
        <is>
          <t>LINKÖPING</t>
        </is>
      </c>
      <c r="G756" t="n">
        <v>2</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2026-03-10T11:11:39Z</dcterms:created>
  <dcterms:modified xmlns:dcterms="http://purl.org/dc/terms/" xmlns:xsi="http://www.w3.org/2001/XMLSchema-instance" xsi:type="dcterms:W3CDTF">2026-03-10T11:11:40Z</dcterms:modified>
</cp:coreProperties>
</file>