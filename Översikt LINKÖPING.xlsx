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46039</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46039</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46039</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55683-2025</t>
        </is>
      </c>
      <c r="B12" s="1" t="n">
        <v>45972.4255324074</v>
      </c>
      <c r="C12" s="1" t="n">
        <v>46039</v>
      </c>
      <c r="D12" t="inlineStr">
        <is>
          <t>ÖSTERGÖTLANDS LÄN</t>
        </is>
      </c>
      <c r="E12" t="inlineStr">
        <is>
          <t>LINKÖPING</t>
        </is>
      </c>
      <c r="G12" t="n">
        <v>3.3</v>
      </c>
      <c r="H12" t="n">
        <v>2</v>
      </c>
      <c r="I12" t="n">
        <v>2</v>
      </c>
      <c r="J12" t="n">
        <v>1</v>
      </c>
      <c r="K12" t="n">
        <v>1</v>
      </c>
      <c r="L12" t="n">
        <v>0</v>
      </c>
      <c r="M12" t="n">
        <v>0</v>
      </c>
      <c r="N12" t="n">
        <v>0</v>
      </c>
      <c r="O12" t="n">
        <v>2</v>
      </c>
      <c r="P12" t="n">
        <v>1</v>
      </c>
      <c r="Q12" t="n">
        <v>4</v>
      </c>
      <c r="R12" s="2" t="inlineStr">
        <is>
          <t>Knärot
Spillkråka
Björksplintborre
Flagellkvastmossa</t>
        </is>
      </c>
      <c r="S12">
        <f>HYPERLINK("https://klasma.github.io/Logging_0580/artfynd/A 55683-2025 artfynd.xlsx", "A 55683-2025")</f>
        <v/>
      </c>
      <c r="T12">
        <f>HYPERLINK("https://klasma.github.io/Logging_0580/kartor/A 55683-2025 karta.png", "A 55683-2025")</f>
        <v/>
      </c>
      <c r="U12">
        <f>HYPERLINK("https://klasma.github.io/Logging_0580/knärot/A 55683-2025 karta knärot.png", "A 55683-2025")</f>
        <v/>
      </c>
      <c r="V12">
        <f>HYPERLINK("https://klasma.github.io/Logging_0580/klagomål/A 55683-2025 FSC-klagomål.docx", "A 55683-2025")</f>
        <v/>
      </c>
      <c r="W12">
        <f>HYPERLINK("https://klasma.github.io/Logging_0580/klagomålsmail/A 55683-2025 FSC-klagomål mail.docx", "A 55683-2025")</f>
        <v/>
      </c>
      <c r="X12">
        <f>HYPERLINK("https://klasma.github.io/Logging_0580/tillsyn/A 55683-2025 tillsynsbegäran.docx", "A 55683-2025")</f>
        <v/>
      </c>
      <c r="Y12">
        <f>HYPERLINK("https://klasma.github.io/Logging_0580/tillsynsmail/A 55683-2025 tillsynsbegäran mail.docx", "A 55683-2025")</f>
        <v/>
      </c>
      <c r="Z12">
        <f>HYPERLINK("https://klasma.github.io/Logging_0580/fåglar/A 55683-2025 prioriterade fågelarter.docx", "A 55683-2025")</f>
        <v/>
      </c>
    </row>
    <row r="13" ht="15" customHeight="1">
      <c r="A13" t="inlineStr">
        <is>
          <t>A 40469-2024</t>
        </is>
      </c>
      <c r="B13" s="1" t="n">
        <v>45555.53145833333</v>
      </c>
      <c r="C13" s="1" t="n">
        <v>46039</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17502-2022</t>
        </is>
      </c>
      <c r="B14" s="1" t="n">
        <v>44679</v>
      </c>
      <c r="C14" s="1" t="n">
        <v>46039</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46039</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46039</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17275-2025</t>
        </is>
      </c>
      <c r="B17" s="1" t="n">
        <v>45756.55734953703</v>
      </c>
      <c r="C17" s="1" t="n">
        <v>46039</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46039</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46039</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46039</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46039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46039</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58068-2021</t>
        </is>
      </c>
      <c r="B23" s="1" t="n">
        <v>44487</v>
      </c>
      <c r="C23" s="1" t="n">
        <v>46039</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20297-2025</t>
        </is>
      </c>
      <c r="B24" s="1" t="n">
        <v>45774.74971064815</v>
      </c>
      <c r="C24" s="1" t="n">
        <v>46039</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46039</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38913-2023</t>
        </is>
      </c>
      <c r="B26" s="1" t="n">
        <v>45163</v>
      </c>
      <c r="C26" s="1" t="n">
        <v>46039</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50048-2025</t>
        </is>
      </c>
      <c r="B27" s="1" t="n">
        <v>45941</v>
      </c>
      <c r="C27" s="1" t="n">
        <v>46039</v>
      </c>
      <c r="D27" t="inlineStr">
        <is>
          <t>ÖSTERGÖTLANDS LÄN</t>
        </is>
      </c>
      <c r="E27" t="inlineStr">
        <is>
          <t>LINKÖPING</t>
        </is>
      </c>
      <c r="G27" t="n">
        <v>2.4</v>
      </c>
      <c r="H27" t="n">
        <v>2</v>
      </c>
      <c r="I27" t="n">
        <v>0</v>
      </c>
      <c r="J27" t="n">
        <v>1</v>
      </c>
      <c r="K27" t="n">
        <v>0</v>
      </c>
      <c r="L27" t="n">
        <v>0</v>
      </c>
      <c r="M27" t="n">
        <v>0</v>
      </c>
      <c r="N27" t="n">
        <v>0</v>
      </c>
      <c r="O27" t="n">
        <v>1</v>
      </c>
      <c r="P27" t="n">
        <v>0</v>
      </c>
      <c r="Q27" t="n">
        <v>2</v>
      </c>
      <c r="R27" s="2" t="inlineStr">
        <is>
          <t>Gulsparv
Trädlärka</t>
        </is>
      </c>
      <c r="S27">
        <f>HYPERLINK("https://klasma.github.io/Logging_0580/artfynd/A 50048-2025 artfynd.xlsx", "A 50048-2025")</f>
        <v/>
      </c>
      <c r="T27">
        <f>HYPERLINK("https://klasma.github.io/Logging_0580/kartor/A 50048-2025 karta.png", "A 50048-2025")</f>
        <v/>
      </c>
      <c r="V27">
        <f>HYPERLINK("https://klasma.github.io/Logging_0580/klagomål/A 50048-2025 FSC-klagomål.docx", "A 50048-2025")</f>
        <v/>
      </c>
      <c r="W27">
        <f>HYPERLINK("https://klasma.github.io/Logging_0580/klagomålsmail/A 50048-2025 FSC-klagomål mail.docx", "A 50048-2025")</f>
        <v/>
      </c>
      <c r="X27">
        <f>HYPERLINK("https://klasma.github.io/Logging_0580/tillsyn/A 50048-2025 tillsynsbegäran.docx", "A 50048-2025")</f>
        <v/>
      </c>
      <c r="Y27">
        <f>HYPERLINK("https://klasma.github.io/Logging_0580/tillsynsmail/A 50048-2025 tillsynsbegäran mail.docx", "A 50048-2025")</f>
        <v/>
      </c>
      <c r="Z27">
        <f>HYPERLINK("https://klasma.github.io/Logging_0580/fåglar/A 50048-2025 prioriterade fågelarter.docx", "A 50048-2025")</f>
        <v/>
      </c>
    </row>
    <row r="28" ht="15" customHeight="1">
      <c r="A28" t="inlineStr">
        <is>
          <t>A 42858-2023</t>
        </is>
      </c>
      <c r="B28" s="1" t="n">
        <v>45177</v>
      </c>
      <c r="C28" s="1" t="n">
        <v>46039</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11613-2025</t>
        </is>
      </c>
      <c r="B29" s="1" t="n">
        <v>45727.44623842592</v>
      </c>
      <c r="C29" s="1" t="n">
        <v>46039</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58068-2021</t>
        </is>
      </c>
      <c r="B30" s="1" t="n">
        <v>44487</v>
      </c>
      <c r="C30" s="1" t="n">
        <v>46039</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46039</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8818-2025</t>
        </is>
      </c>
      <c r="B32" s="1" t="n">
        <v>45712</v>
      </c>
      <c r="C32" s="1" t="n">
        <v>46039</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14879-2024</t>
        </is>
      </c>
      <c r="B33" s="1" t="n">
        <v>45398</v>
      </c>
      <c r="C33" s="1" t="n">
        <v>46039</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27981-2022</t>
        </is>
      </c>
      <c r="B34" s="1" t="n">
        <v>44745</v>
      </c>
      <c r="C34" s="1" t="n">
        <v>46039</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55344-2024</t>
        </is>
      </c>
      <c r="B35" s="1" t="n">
        <v>45621.7202662037</v>
      </c>
      <c r="C35" s="1" t="n">
        <v>46039</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46039</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22040-2023</t>
        </is>
      </c>
      <c r="B37" s="1" t="n">
        <v>45068</v>
      </c>
      <c r="C37" s="1" t="n">
        <v>46039</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50404-2023</t>
        </is>
      </c>
      <c r="B38" s="1" t="n">
        <v>45216</v>
      </c>
      <c r="C38" s="1" t="n">
        <v>46039</v>
      </c>
      <c r="D38" t="inlineStr">
        <is>
          <t>ÖSTERGÖTLANDS LÄN</t>
        </is>
      </c>
      <c r="E38" t="inlineStr">
        <is>
          <t>LINKÖPING</t>
        </is>
      </c>
      <c r="G38" t="n">
        <v>1.2</v>
      </c>
      <c r="H38" t="n">
        <v>1</v>
      </c>
      <c r="I38" t="n">
        <v>1</v>
      </c>
      <c r="J38" t="n">
        <v>0</v>
      </c>
      <c r="K38" t="n">
        <v>0</v>
      </c>
      <c r="L38" t="n">
        <v>0</v>
      </c>
      <c r="M38" t="n">
        <v>0</v>
      </c>
      <c r="N38" t="n">
        <v>0</v>
      </c>
      <c r="O38" t="n">
        <v>0</v>
      </c>
      <c r="P38" t="n">
        <v>0</v>
      </c>
      <c r="Q38" t="n">
        <v>2</v>
      </c>
      <c r="R38" s="2" t="inlineStr">
        <is>
          <t>Hasselticka
Gullviva</t>
        </is>
      </c>
      <c r="S38">
        <f>HYPERLINK("https://klasma.github.io/Logging_0580/artfynd/A 50404-2023 artfynd.xlsx", "A 50404-2023")</f>
        <v/>
      </c>
      <c r="T38">
        <f>HYPERLINK("https://klasma.github.io/Logging_0580/kartor/A 50404-2023 karta.png", "A 50404-2023")</f>
        <v/>
      </c>
      <c r="V38">
        <f>HYPERLINK("https://klasma.github.io/Logging_0580/klagomål/A 50404-2023 FSC-klagomål.docx", "A 50404-2023")</f>
        <v/>
      </c>
      <c r="W38">
        <f>HYPERLINK("https://klasma.github.io/Logging_0580/klagomålsmail/A 50404-2023 FSC-klagomål mail.docx", "A 50404-2023")</f>
        <v/>
      </c>
      <c r="X38">
        <f>HYPERLINK("https://klasma.github.io/Logging_0580/tillsyn/A 50404-2023 tillsynsbegäran.docx", "A 50404-2023")</f>
        <v/>
      </c>
      <c r="Y38">
        <f>HYPERLINK("https://klasma.github.io/Logging_0580/tillsynsmail/A 50404-2023 tillsynsbegäran mail.docx", "A 50404-2023")</f>
        <v/>
      </c>
    </row>
    <row r="39" ht="15" customHeight="1">
      <c r="A39" t="inlineStr">
        <is>
          <t>A 21326-2025</t>
        </is>
      </c>
      <c r="B39" s="1" t="n">
        <v>45782.35407407407</v>
      </c>
      <c r="C39" s="1" t="n">
        <v>46039</v>
      </c>
      <c r="D39" t="inlineStr">
        <is>
          <t>ÖSTERGÖTLANDS LÄN</t>
        </is>
      </c>
      <c r="E39" t="inlineStr">
        <is>
          <t>LINKÖPING</t>
        </is>
      </c>
      <c r="G39" t="n">
        <v>4.9</v>
      </c>
      <c r="H39" t="n">
        <v>2</v>
      </c>
      <c r="I39" t="n">
        <v>0</v>
      </c>
      <c r="J39" t="n">
        <v>0</v>
      </c>
      <c r="K39" t="n">
        <v>0</v>
      </c>
      <c r="L39" t="n">
        <v>0</v>
      </c>
      <c r="M39" t="n">
        <v>0</v>
      </c>
      <c r="N39" t="n">
        <v>0</v>
      </c>
      <c r="O39" t="n">
        <v>0</v>
      </c>
      <c r="P39" t="n">
        <v>0</v>
      </c>
      <c r="Q39" t="n">
        <v>2</v>
      </c>
      <c r="R39" s="2" t="inlineStr">
        <is>
          <t>Blåsippa
Revlummer</t>
        </is>
      </c>
      <c r="S39">
        <f>HYPERLINK("https://klasma.github.io/Logging_0580/artfynd/A 21326-2025 artfynd.xlsx", "A 21326-2025")</f>
        <v/>
      </c>
      <c r="T39">
        <f>HYPERLINK("https://klasma.github.io/Logging_0580/kartor/A 21326-2025 karta.png", "A 21326-2025")</f>
        <v/>
      </c>
      <c r="V39">
        <f>HYPERLINK("https://klasma.github.io/Logging_0580/klagomål/A 21326-2025 FSC-klagomål.docx", "A 21326-2025")</f>
        <v/>
      </c>
      <c r="W39">
        <f>HYPERLINK("https://klasma.github.io/Logging_0580/klagomålsmail/A 21326-2025 FSC-klagomål mail.docx", "A 21326-2025")</f>
        <v/>
      </c>
      <c r="X39">
        <f>HYPERLINK("https://klasma.github.io/Logging_0580/tillsyn/A 21326-2025 tillsynsbegäran.docx", "A 21326-2025")</f>
        <v/>
      </c>
      <c r="Y39">
        <f>HYPERLINK("https://klasma.github.io/Logging_0580/tillsynsmail/A 21326-2025 tillsynsbegäran mail.docx", "A 21326-2025")</f>
        <v/>
      </c>
    </row>
    <row r="40" ht="15" customHeight="1">
      <c r="A40" t="inlineStr">
        <is>
          <t>A 27795-2025</t>
        </is>
      </c>
      <c r="B40" s="1" t="n">
        <v>45816.7908912037</v>
      </c>
      <c r="C40" s="1" t="n">
        <v>46039</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46039</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46039</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46039</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46039</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46039</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46039</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46039</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46039</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5911-2022</t>
        </is>
      </c>
      <c r="B49" s="1" t="n">
        <v>44597</v>
      </c>
      <c r="C49" s="1" t="n">
        <v>46039</v>
      </c>
      <c r="D49" t="inlineStr">
        <is>
          <t>ÖSTERGÖTLANDS LÄN</t>
        </is>
      </c>
      <c r="E49" t="inlineStr">
        <is>
          <t>LINKÖPING</t>
        </is>
      </c>
      <c r="G49" t="n">
        <v>3.5</v>
      </c>
      <c r="H49" t="n">
        <v>0</v>
      </c>
      <c r="I49" t="n">
        <v>0</v>
      </c>
      <c r="J49" t="n">
        <v>1</v>
      </c>
      <c r="K49" t="n">
        <v>0</v>
      </c>
      <c r="L49" t="n">
        <v>0</v>
      </c>
      <c r="M49" t="n">
        <v>0</v>
      </c>
      <c r="N49" t="n">
        <v>0</v>
      </c>
      <c r="O49" t="n">
        <v>1</v>
      </c>
      <c r="P49" t="n">
        <v>0</v>
      </c>
      <c r="Q49" t="n">
        <v>1</v>
      </c>
      <c r="R49" s="2" t="inlineStr">
        <is>
          <t>Spindelört</t>
        </is>
      </c>
      <c r="S49">
        <f>HYPERLINK("https://klasma.github.io/Logging_0580/artfynd/A 5911-2022 artfynd.xlsx", "A 5911-2022")</f>
        <v/>
      </c>
      <c r="T49">
        <f>HYPERLINK("https://klasma.github.io/Logging_0580/kartor/A 5911-2022 karta.png", "A 5911-2022")</f>
        <v/>
      </c>
      <c r="V49">
        <f>HYPERLINK("https://klasma.github.io/Logging_0580/klagomål/A 5911-2022 FSC-klagomål.docx", "A 5911-2022")</f>
        <v/>
      </c>
      <c r="W49">
        <f>HYPERLINK("https://klasma.github.io/Logging_0580/klagomålsmail/A 5911-2022 FSC-klagomål mail.docx", "A 5911-2022")</f>
        <v/>
      </c>
      <c r="X49">
        <f>HYPERLINK("https://klasma.github.io/Logging_0580/tillsyn/A 5911-2022 tillsynsbegäran.docx", "A 5911-2022")</f>
        <v/>
      </c>
      <c r="Y49">
        <f>HYPERLINK("https://klasma.github.io/Logging_0580/tillsynsmail/A 5911-2022 tillsynsbegäran mail.docx", "A 5911-2022")</f>
        <v/>
      </c>
    </row>
    <row r="50" ht="15" customHeight="1">
      <c r="A50" t="inlineStr">
        <is>
          <t>A 22526-2025</t>
        </is>
      </c>
      <c r="B50" s="1" t="n">
        <v>45786.78096064815</v>
      </c>
      <c r="C50" s="1" t="n">
        <v>46039</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Röd skogslilja</t>
        </is>
      </c>
      <c r="S50">
        <f>HYPERLINK("https://klasma.github.io/Logging_0580/artfynd/A 22526-2025 artfynd.xlsx", "A 22526-2025")</f>
        <v/>
      </c>
      <c r="T50">
        <f>HYPERLINK("https://klasma.github.io/Logging_0580/kartor/A 22526-2025 karta.png", "A 22526-2025")</f>
        <v/>
      </c>
      <c r="V50">
        <f>HYPERLINK("https://klasma.github.io/Logging_0580/klagomål/A 22526-2025 FSC-klagomål.docx", "A 22526-2025")</f>
        <v/>
      </c>
      <c r="W50">
        <f>HYPERLINK("https://klasma.github.io/Logging_0580/klagomålsmail/A 22526-2025 FSC-klagomål mail.docx", "A 22526-2025")</f>
        <v/>
      </c>
      <c r="X50">
        <f>HYPERLINK("https://klasma.github.io/Logging_0580/tillsyn/A 22526-2025 tillsynsbegäran.docx", "A 22526-2025")</f>
        <v/>
      </c>
      <c r="Y50">
        <f>HYPERLINK("https://klasma.github.io/Logging_0580/tillsynsmail/A 22526-2025 tillsynsbegäran mail.docx", "A 22526-2025")</f>
        <v/>
      </c>
    </row>
    <row r="51" ht="15" customHeight="1">
      <c r="A51" t="inlineStr">
        <is>
          <t>A 56128-2022</t>
        </is>
      </c>
      <c r="B51" s="1" t="n">
        <v>44889</v>
      </c>
      <c r="C51" s="1" t="n">
        <v>46039</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17389-2021</t>
        </is>
      </c>
      <c r="B52" s="1" t="n">
        <v>44298.96792824074</v>
      </c>
      <c r="C52" s="1" t="n">
        <v>46039</v>
      </c>
      <c r="D52" t="inlineStr">
        <is>
          <t>ÖSTERGÖTLANDS LÄN</t>
        </is>
      </c>
      <c r="E52" t="inlineStr">
        <is>
          <t>LINKÖPING</t>
        </is>
      </c>
      <c r="G52" t="n">
        <v>5.1</v>
      </c>
      <c r="H52" t="n">
        <v>0</v>
      </c>
      <c r="I52" t="n">
        <v>1</v>
      </c>
      <c r="J52" t="n">
        <v>0</v>
      </c>
      <c r="K52" t="n">
        <v>0</v>
      </c>
      <c r="L52" t="n">
        <v>0</v>
      </c>
      <c r="M52" t="n">
        <v>0</v>
      </c>
      <c r="N52" t="n">
        <v>0</v>
      </c>
      <c r="O52" t="n">
        <v>0</v>
      </c>
      <c r="P52" t="n">
        <v>0</v>
      </c>
      <c r="Q52" t="n">
        <v>1</v>
      </c>
      <c r="R52" s="2" t="inlineStr">
        <is>
          <t>Blomkålssvamp</t>
        </is>
      </c>
      <c r="S52">
        <f>HYPERLINK("https://klasma.github.io/Logging_0580/artfynd/A 17389-2021 artfynd.xlsx", "A 17389-2021")</f>
        <v/>
      </c>
      <c r="T52">
        <f>HYPERLINK("https://klasma.github.io/Logging_0580/kartor/A 17389-2021 karta.png", "A 17389-2021")</f>
        <v/>
      </c>
      <c r="V52">
        <f>HYPERLINK("https://klasma.github.io/Logging_0580/klagomål/A 17389-2021 FSC-klagomål.docx", "A 17389-2021")</f>
        <v/>
      </c>
      <c r="W52">
        <f>HYPERLINK("https://klasma.github.io/Logging_0580/klagomålsmail/A 17389-2021 FSC-klagomål mail.docx", "A 17389-2021")</f>
        <v/>
      </c>
      <c r="X52">
        <f>HYPERLINK("https://klasma.github.io/Logging_0580/tillsyn/A 17389-2021 tillsynsbegäran.docx", "A 17389-2021")</f>
        <v/>
      </c>
      <c r="Y52">
        <f>HYPERLINK("https://klasma.github.io/Logging_0580/tillsynsmail/A 17389-2021 tillsynsbegäran mail.docx", "A 17389-2021")</f>
        <v/>
      </c>
    </row>
    <row r="53" ht="15" customHeight="1">
      <c r="A53" t="inlineStr">
        <is>
          <t>A 40315-2024</t>
        </is>
      </c>
      <c r="B53" s="1" t="n">
        <v>45554.7571875</v>
      </c>
      <c r="C53" s="1" t="n">
        <v>46039</v>
      </c>
      <c r="D53" t="inlineStr">
        <is>
          <t>ÖSTERGÖTLANDS LÄN</t>
        </is>
      </c>
      <c r="E53" t="inlineStr">
        <is>
          <t>LINKÖPING</t>
        </is>
      </c>
      <c r="F53" t="inlineStr">
        <is>
          <t>Allmännings- och besparingsskogar</t>
        </is>
      </c>
      <c r="G53" t="n">
        <v>15.8</v>
      </c>
      <c r="H53" t="n">
        <v>0</v>
      </c>
      <c r="I53" t="n">
        <v>0</v>
      </c>
      <c r="J53" t="n">
        <v>0</v>
      </c>
      <c r="K53" t="n">
        <v>0</v>
      </c>
      <c r="L53" t="n">
        <v>0</v>
      </c>
      <c r="M53" t="n">
        <v>1</v>
      </c>
      <c r="N53" t="n">
        <v>0</v>
      </c>
      <c r="O53" t="n">
        <v>1</v>
      </c>
      <c r="P53" t="n">
        <v>1</v>
      </c>
      <c r="Q53" t="n">
        <v>1</v>
      </c>
      <c r="R53" s="2" t="inlineStr">
        <is>
          <t>Skogsalm</t>
        </is>
      </c>
      <c r="S53">
        <f>HYPERLINK("https://klasma.github.io/Logging_0580/artfynd/A 40315-2024 artfynd.xlsx", "A 40315-2024")</f>
        <v/>
      </c>
      <c r="T53">
        <f>HYPERLINK("https://klasma.github.io/Logging_0580/kartor/A 40315-2024 karta.png", "A 40315-2024")</f>
        <v/>
      </c>
      <c r="V53">
        <f>HYPERLINK("https://klasma.github.io/Logging_0580/klagomål/A 40315-2024 FSC-klagomål.docx", "A 40315-2024")</f>
        <v/>
      </c>
      <c r="W53">
        <f>HYPERLINK("https://klasma.github.io/Logging_0580/klagomålsmail/A 40315-2024 FSC-klagomål mail.docx", "A 40315-2024")</f>
        <v/>
      </c>
      <c r="X53">
        <f>HYPERLINK("https://klasma.github.io/Logging_0580/tillsyn/A 40315-2024 tillsynsbegäran.docx", "A 40315-2024")</f>
        <v/>
      </c>
      <c r="Y53">
        <f>HYPERLINK("https://klasma.github.io/Logging_0580/tillsynsmail/A 40315-2024 tillsynsbegäran mail.docx", "A 40315-2024")</f>
        <v/>
      </c>
    </row>
    <row r="54" ht="15" customHeight="1">
      <c r="A54" t="inlineStr">
        <is>
          <t>A 59474-2025</t>
        </is>
      </c>
      <c r="B54" s="1" t="n">
        <v>45989.58512731481</v>
      </c>
      <c r="C54" s="1" t="n">
        <v>46039</v>
      </c>
      <c r="D54" t="inlineStr">
        <is>
          <t>ÖSTERGÖTLANDS LÄN</t>
        </is>
      </c>
      <c r="E54" t="inlineStr">
        <is>
          <t>LINKÖPING</t>
        </is>
      </c>
      <c r="G54" t="n">
        <v>8</v>
      </c>
      <c r="H54" t="n">
        <v>0</v>
      </c>
      <c r="I54" t="n">
        <v>1</v>
      </c>
      <c r="J54" t="n">
        <v>0</v>
      </c>
      <c r="K54" t="n">
        <v>0</v>
      </c>
      <c r="L54" t="n">
        <v>0</v>
      </c>
      <c r="M54" t="n">
        <v>0</v>
      </c>
      <c r="N54" t="n">
        <v>0</v>
      </c>
      <c r="O54" t="n">
        <v>0</v>
      </c>
      <c r="P54" t="n">
        <v>0</v>
      </c>
      <c r="Q54" t="n">
        <v>1</v>
      </c>
      <c r="R54" s="2" t="inlineStr">
        <is>
          <t>Fällmossa</t>
        </is>
      </c>
      <c r="S54">
        <f>HYPERLINK("https://klasma.github.io/Logging_0580/artfynd/A 59474-2025 artfynd.xlsx", "A 59474-2025")</f>
        <v/>
      </c>
      <c r="T54">
        <f>HYPERLINK("https://klasma.github.io/Logging_0580/kartor/A 59474-2025 karta.png", "A 59474-2025")</f>
        <v/>
      </c>
      <c r="V54">
        <f>HYPERLINK("https://klasma.github.io/Logging_0580/klagomål/A 59474-2025 FSC-klagomål.docx", "A 59474-2025")</f>
        <v/>
      </c>
      <c r="W54">
        <f>HYPERLINK("https://klasma.github.io/Logging_0580/klagomålsmail/A 59474-2025 FSC-klagomål mail.docx", "A 59474-2025")</f>
        <v/>
      </c>
      <c r="X54">
        <f>HYPERLINK("https://klasma.github.io/Logging_0580/tillsyn/A 59474-2025 tillsynsbegäran.docx", "A 59474-2025")</f>
        <v/>
      </c>
      <c r="Y54">
        <f>HYPERLINK("https://klasma.github.io/Logging_0580/tillsynsmail/A 59474-2025 tillsynsbegäran mail.docx", "A 59474-2025")</f>
        <v/>
      </c>
    </row>
    <row r="55" ht="15" customHeight="1">
      <c r="A55" t="inlineStr">
        <is>
          <t>A 43989-2025</t>
        </is>
      </c>
      <c r="B55" s="1" t="n">
        <v>45915.44128472222</v>
      </c>
      <c r="C55" s="1" t="n">
        <v>46039</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54835-2023</t>
        </is>
      </c>
      <c r="B56" s="1" t="n">
        <v>45236</v>
      </c>
      <c r="C56" s="1" t="n">
        <v>46039</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44760-2025</t>
        </is>
      </c>
      <c r="B57" s="1" t="n">
        <v>45917.71873842592</v>
      </c>
      <c r="C57" s="1" t="n">
        <v>46039</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60311-2025</t>
        </is>
      </c>
      <c r="B58" s="1" t="n">
        <v>45994</v>
      </c>
      <c r="C58" s="1" t="n">
        <v>46039</v>
      </c>
      <c r="D58" t="inlineStr">
        <is>
          <t>ÖSTERGÖTLANDS LÄN</t>
        </is>
      </c>
      <c r="E58" t="inlineStr">
        <is>
          <t>LINKÖPING</t>
        </is>
      </c>
      <c r="G58" t="n">
        <v>1.9</v>
      </c>
      <c r="H58" t="n">
        <v>0</v>
      </c>
      <c r="I58" t="n">
        <v>0</v>
      </c>
      <c r="J58" t="n">
        <v>1</v>
      </c>
      <c r="K58" t="n">
        <v>0</v>
      </c>
      <c r="L58" t="n">
        <v>0</v>
      </c>
      <c r="M58" t="n">
        <v>0</v>
      </c>
      <c r="N58" t="n">
        <v>0</v>
      </c>
      <c r="O58" t="n">
        <v>1</v>
      </c>
      <c r="P58" t="n">
        <v>0</v>
      </c>
      <c r="Q58" t="n">
        <v>1</v>
      </c>
      <c r="R58" s="2" t="inlineStr">
        <is>
          <t>Gammelekslav</t>
        </is>
      </c>
      <c r="S58">
        <f>HYPERLINK("https://klasma.github.io/Logging_0580/artfynd/A 60311-2025 artfynd.xlsx", "A 60311-2025")</f>
        <v/>
      </c>
      <c r="T58">
        <f>HYPERLINK("https://klasma.github.io/Logging_0580/kartor/A 60311-2025 karta.png", "A 60311-2025")</f>
        <v/>
      </c>
      <c r="V58">
        <f>HYPERLINK("https://klasma.github.io/Logging_0580/klagomål/A 60311-2025 FSC-klagomål.docx", "A 60311-2025")</f>
        <v/>
      </c>
      <c r="W58">
        <f>HYPERLINK("https://klasma.github.io/Logging_0580/klagomålsmail/A 60311-2025 FSC-klagomål mail.docx", "A 60311-2025")</f>
        <v/>
      </c>
      <c r="X58">
        <f>HYPERLINK("https://klasma.github.io/Logging_0580/tillsyn/A 60311-2025 tillsynsbegäran.docx", "A 60311-2025")</f>
        <v/>
      </c>
      <c r="Y58">
        <f>HYPERLINK("https://klasma.github.io/Logging_0580/tillsynsmail/A 60311-2025 tillsynsbegäran mail.docx", "A 60311-2025")</f>
        <v/>
      </c>
    </row>
    <row r="59" ht="15" customHeight="1">
      <c r="A59" t="inlineStr">
        <is>
          <t>A 34881-2023</t>
        </is>
      </c>
      <c r="B59" s="1" t="n">
        <v>45140</v>
      </c>
      <c r="C59" s="1" t="n">
        <v>46039</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Tallticka</t>
        </is>
      </c>
      <c r="S59">
        <f>HYPERLINK("https://klasma.github.io/Logging_0580/artfynd/A 34881-2023 artfynd.xlsx", "A 34881-2023")</f>
        <v/>
      </c>
      <c r="T59">
        <f>HYPERLINK("https://klasma.github.io/Logging_0580/kartor/A 34881-2023 karta.png", "A 34881-2023")</f>
        <v/>
      </c>
      <c r="U59">
        <f>HYPERLINK("https://klasma.github.io/Logging_0580/knärot/A 34881-2023 karta knärot.png", "A 34881-2023")</f>
        <v/>
      </c>
      <c r="V59">
        <f>HYPERLINK("https://klasma.github.io/Logging_0580/klagomål/A 34881-2023 FSC-klagomål.docx", "A 34881-2023")</f>
        <v/>
      </c>
      <c r="W59">
        <f>HYPERLINK("https://klasma.github.io/Logging_0580/klagomålsmail/A 34881-2023 FSC-klagomål mail.docx", "A 34881-2023")</f>
        <v/>
      </c>
      <c r="X59">
        <f>HYPERLINK("https://klasma.github.io/Logging_0580/tillsyn/A 34881-2023 tillsynsbegäran.docx", "A 34881-2023")</f>
        <v/>
      </c>
      <c r="Y59">
        <f>HYPERLINK("https://klasma.github.io/Logging_0580/tillsynsmail/A 34881-2023 tillsynsbegäran mail.docx", "A 34881-2023")</f>
        <v/>
      </c>
    </row>
    <row r="60" ht="15" customHeight="1">
      <c r="A60" t="inlineStr">
        <is>
          <t>A 19103-2021</t>
        </is>
      </c>
      <c r="B60" s="1" t="n">
        <v>44308</v>
      </c>
      <c r="C60" s="1" t="n">
        <v>46039</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45317-2023</t>
        </is>
      </c>
      <c r="B61" s="1" t="n">
        <v>45191.74868055555</v>
      </c>
      <c r="C61" s="1" t="n">
        <v>46039</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48273-2025</t>
        </is>
      </c>
      <c r="B62" s="1" t="n">
        <v>45932</v>
      </c>
      <c r="C62" s="1" t="n">
        <v>46039</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46039</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48353-2025</t>
        </is>
      </c>
      <c r="B64" s="1" t="n">
        <v>45932</v>
      </c>
      <c r="C64" s="1" t="n">
        <v>46039</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20295-2025</t>
        </is>
      </c>
      <c r="B65" s="1" t="n">
        <v>45774.74846064814</v>
      </c>
      <c r="C65" s="1" t="n">
        <v>46039</v>
      </c>
      <c r="D65" t="inlineStr">
        <is>
          <t>ÖSTERGÖTLANDS LÄN</t>
        </is>
      </c>
      <c r="E65" t="inlineStr">
        <is>
          <t>LINKÖPING</t>
        </is>
      </c>
      <c r="G65" t="n">
        <v>3</v>
      </c>
      <c r="H65" t="n">
        <v>0</v>
      </c>
      <c r="I65" t="n">
        <v>0</v>
      </c>
      <c r="J65" t="n">
        <v>1</v>
      </c>
      <c r="K65" t="n">
        <v>0</v>
      </c>
      <c r="L65" t="n">
        <v>0</v>
      </c>
      <c r="M65" t="n">
        <v>0</v>
      </c>
      <c r="N65" t="n">
        <v>0</v>
      </c>
      <c r="O65" t="n">
        <v>1</v>
      </c>
      <c r="P65" t="n">
        <v>0</v>
      </c>
      <c r="Q65" t="n">
        <v>1</v>
      </c>
      <c r="R65" s="2" t="inlineStr">
        <is>
          <t>Tallticka</t>
        </is>
      </c>
      <c r="S65">
        <f>HYPERLINK("https://klasma.github.io/Logging_0580/artfynd/A 20295-2025 artfynd.xlsx", "A 20295-2025")</f>
        <v/>
      </c>
      <c r="T65">
        <f>HYPERLINK("https://klasma.github.io/Logging_0580/kartor/A 20295-2025 karta.png", "A 20295-2025")</f>
        <v/>
      </c>
      <c r="V65">
        <f>HYPERLINK("https://klasma.github.io/Logging_0580/klagomål/A 20295-2025 FSC-klagomål.docx", "A 20295-2025")</f>
        <v/>
      </c>
      <c r="W65">
        <f>HYPERLINK("https://klasma.github.io/Logging_0580/klagomålsmail/A 20295-2025 FSC-klagomål mail.docx", "A 20295-2025")</f>
        <v/>
      </c>
      <c r="X65">
        <f>HYPERLINK("https://klasma.github.io/Logging_0580/tillsyn/A 20295-2025 tillsynsbegäran.docx", "A 20295-2025")</f>
        <v/>
      </c>
      <c r="Y65">
        <f>HYPERLINK("https://klasma.github.io/Logging_0580/tillsynsmail/A 20295-2025 tillsynsbegäran mail.docx", "A 20295-2025")</f>
        <v/>
      </c>
    </row>
    <row r="66" ht="15" customHeight="1">
      <c r="A66" t="inlineStr">
        <is>
          <t>A 48347-2025</t>
        </is>
      </c>
      <c r="B66" s="1" t="n">
        <v>45932</v>
      </c>
      <c r="C66" s="1" t="n">
        <v>46039</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37683-2024</t>
        </is>
      </c>
      <c r="B67" s="1" t="n">
        <v>45541.59120370371</v>
      </c>
      <c r="C67" s="1" t="n">
        <v>46039</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35948-2023</t>
        </is>
      </c>
      <c r="B68" s="1" t="n">
        <v>45148</v>
      </c>
      <c r="C68" s="1" t="n">
        <v>46039</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50034-2025</t>
        </is>
      </c>
      <c r="B69" s="1" t="n">
        <v>45941</v>
      </c>
      <c r="C69" s="1" t="n">
        <v>46039</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56651-2023</t>
        </is>
      </c>
      <c r="B70" s="1" t="n">
        <v>45243</v>
      </c>
      <c r="C70" s="1" t="n">
        <v>46039</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59948-2022</t>
        </is>
      </c>
      <c r="B71" s="1" t="n">
        <v>44909</v>
      </c>
      <c r="C71" s="1" t="n">
        <v>46039</v>
      </c>
      <c r="D71" t="inlineStr">
        <is>
          <t>ÖSTERGÖTLANDS LÄN</t>
        </is>
      </c>
      <c r="E71" t="inlineStr">
        <is>
          <t>LINKÖPING</t>
        </is>
      </c>
      <c r="G71" t="n">
        <v>6.7</v>
      </c>
      <c r="H71" t="n">
        <v>0</v>
      </c>
      <c r="I71" t="n">
        <v>0</v>
      </c>
      <c r="J71" t="n">
        <v>0</v>
      </c>
      <c r="K71" t="n">
        <v>0</v>
      </c>
      <c r="L71" t="n">
        <v>0</v>
      </c>
      <c r="M71" t="n">
        <v>1</v>
      </c>
      <c r="N71" t="n">
        <v>0</v>
      </c>
      <c r="O71" t="n">
        <v>1</v>
      </c>
      <c r="P71" t="n">
        <v>1</v>
      </c>
      <c r="Q71" t="n">
        <v>1</v>
      </c>
      <c r="R71" s="2" t="inlineStr">
        <is>
          <t>Skogsalm</t>
        </is>
      </c>
      <c r="S71">
        <f>HYPERLINK("https://klasma.github.io/Logging_0580/artfynd/A 59948-2022 artfynd.xlsx", "A 59948-2022")</f>
        <v/>
      </c>
      <c r="T71">
        <f>HYPERLINK("https://klasma.github.io/Logging_0580/kartor/A 59948-2022 karta.png", "A 59948-2022")</f>
        <v/>
      </c>
      <c r="V71">
        <f>HYPERLINK("https://klasma.github.io/Logging_0580/klagomål/A 59948-2022 FSC-klagomål.docx", "A 59948-2022")</f>
        <v/>
      </c>
      <c r="W71">
        <f>HYPERLINK("https://klasma.github.io/Logging_0580/klagomålsmail/A 59948-2022 FSC-klagomål mail.docx", "A 59948-2022")</f>
        <v/>
      </c>
      <c r="X71">
        <f>HYPERLINK("https://klasma.github.io/Logging_0580/tillsyn/A 59948-2022 tillsynsbegäran.docx", "A 59948-2022")</f>
        <v/>
      </c>
      <c r="Y71">
        <f>HYPERLINK("https://klasma.github.io/Logging_0580/tillsynsmail/A 59948-2022 tillsynsbegäran mail.docx", "A 59948-2022")</f>
        <v/>
      </c>
    </row>
    <row r="72" ht="15" customHeight="1">
      <c r="A72" t="inlineStr">
        <is>
          <t>A 39457-2023</t>
        </is>
      </c>
      <c r="B72" s="1" t="n">
        <v>45166</v>
      </c>
      <c r="C72" s="1" t="n">
        <v>46039</v>
      </c>
      <c r="D72" t="inlineStr">
        <is>
          <t>ÖSTERGÖTLANDS LÄN</t>
        </is>
      </c>
      <c r="E72" t="inlineStr">
        <is>
          <t>LINKÖPING</t>
        </is>
      </c>
      <c r="G72" t="n">
        <v>2.1</v>
      </c>
      <c r="H72" t="n">
        <v>1</v>
      </c>
      <c r="I72" t="n">
        <v>0</v>
      </c>
      <c r="J72" t="n">
        <v>0</v>
      </c>
      <c r="K72" t="n">
        <v>0</v>
      </c>
      <c r="L72" t="n">
        <v>0</v>
      </c>
      <c r="M72" t="n">
        <v>0</v>
      </c>
      <c r="N72" t="n">
        <v>0</v>
      </c>
      <c r="O72" t="n">
        <v>0</v>
      </c>
      <c r="P72" t="n">
        <v>0</v>
      </c>
      <c r="Q72" t="n">
        <v>1</v>
      </c>
      <c r="R72" s="2" t="inlineStr">
        <is>
          <t>Sparvuggla</t>
        </is>
      </c>
      <c r="S72">
        <f>HYPERLINK("https://klasma.github.io/Logging_0580/artfynd/A 39457-2023 artfynd.xlsx", "A 39457-2023")</f>
        <v/>
      </c>
      <c r="T72">
        <f>HYPERLINK("https://klasma.github.io/Logging_0580/kartor/A 39457-2023 karta.png", "A 39457-2023")</f>
        <v/>
      </c>
      <c r="V72">
        <f>HYPERLINK("https://klasma.github.io/Logging_0580/klagomål/A 39457-2023 FSC-klagomål.docx", "A 39457-2023")</f>
        <v/>
      </c>
      <c r="W72">
        <f>HYPERLINK("https://klasma.github.io/Logging_0580/klagomålsmail/A 39457-2023 FSC-klagomål mail.docx", "A 39457-2023")</f>
        <v/>
      </c>
      <c r="X72">
        <f>HYPERLINK("https://klasma.github.io/Logging_0580/tillsyn/A 39457-2023 tillsynsbegäran.docx", "A 39457-2023")</f>
        <v/>
      </c>
      <c r="Y72">
        <f>HYPERLINK("https://klasma.github.io/Logging_0580/tillsynsmail/A 39457-2023 tillsynsbegäran mail.docx", "A 39457-2023")</f>
        <v/>
      </c>
      <c r="Z72">
        <f>HYPERLINK("https://klasma.github.io/Logging_0580/fåglar/A 39457-2023 prioriterade fågelarter.docx", "A 39457-2023")</f>
        <v/>
      </c>
    </row>
    <row r="73" ht="15" customHeight="1">
      <c r="A73" t="inlineStr">
        <is>
          <t>A 62071-2023</t>
        </is>
      </c>
      <c r="B73" s="1" t="n">
        <v>45266.73542824074</v>
      </c>
      <c r="C73" s="1" t="n">
        <v>46039</v>
      </c>
      <c r="D73" t="inlineStr">
        <is>
          <t>ÖSTERGÖTLANDS LÄN</t>
        </is>
      </c>
      <c r="E73" t="inlineStr">
        <is>
          <t>LINKÖPING</t>
        </is>
      </c>
      <c r="G73" t="n">
        <v>6.5</v>
      </c>
      <c r="H73" t="n">
        <v>0</v>
      </c>
      <c r="I73" t="n">
        <v>0</v>
      </c>
      <c r="J73" t="n">
        <v>1</v>
      </c>
      <c r="K73" t="n">
        <v>0</v>
      </c>
      <c r="L73" t="n">
        <v>0</v>
      </c>
      <c r="M73" t="n">
        <v>0</v>
      </c>
      <c r="N73" t="n">
        <v>0</v>
      </c>
      <c r="O73" t="n">
        <v>1</v>
      </c>
      <c r="P73" t="n">
        <v>0</v>
      </c>
      <c r="Q73" t="n">
        <v>1</v>
      </c>
      <c r="R73" s="2" t="inlineStr">
        <is>
          <t>Svinrot</t>
        </is>
      </c>
      <c r="S73">
        <f>HYPERLINK("https://klasma.github.io/Logging_0580/artfynd/A 62071-2023 artfynd.xlsx", "A 62071-2023")</f>
        <v/>
      </c>
      <c r="T73">
        <f>HYPERLINK("https://klasma.github.io/Logging_0580/kartor/A 62071-2023 karta.png", "A 62071-2023")</f>
        <v/>
      </c>
      <c r="V73">
        <f>HYPERLINK("https://klasma.github.io/Logging_0580/klagomål/A 62071-2023 FSC-klagomål.docx", "A 62071-2023")</f>
        <v/>
      </c>
      <c r="W73">
        <f>HYPERLINK("https://klasma.github.io/Logging_0580/klagomålsmail/A 62071-2023 FSC-klagomål mail.docx", "A 62071-2023")</f>
        <v/>
      </c>
      <c r="X73">
        <f>HYPERLINK("https://klasma.github.io/Logging_0580/tillsyn/A 62071-2023 tillsynsbegäran.docx", "A 62071-2023")</f>
        <v/>
      </c>
      <c r="Y73">
        <f>HYPERLINK("https://klasma.github.io/Logging_0580/tillsynsmail/A 62071-2023 tillsynsbegäran mail.docx", "A 62071-2023")</f>
        <v/>
      </c>
    </row>
    <row r="74" ht="15" customHeight="1">
      <c r="A74" t="inlineStr">
        <is>
          <t>A 90-2024</t>
        </is>
      </c>
      <c r="B74" s="1" t="n">
        <v>45293</v>
      </c>
      <c r="C74" s="1" t="n">
        <v>46039</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1213-2023</t>
        </is>
      </c>
      <c r="B75" s="1" t="n">
        <v>44930</v>
      </c>
      <c r="C75" s="1" t="n">
        <v>46039</v>
      </c>
      <c r="D75" t="inlineStr">
        <is>
          <t>ÖSTERGÖTLANDS LÄN</t>
        </is>
      </c>
      <c r="E75" t="inlineStr">
        <is>
          <t>LINKÖPING</t>
        </is>
      </c>
      <c r="F75" t="inlineStr">
        <is>
          <t>Övriga statliga verk och myndigheter</t>
        </is>
      </c>
      <c r="G75" t="n">
        <v>17.8</v>
      </c>
      <c r="H75" t="n">
        <v>0</v>
      </c>
      <c r="I75" t="n">
        <v>1</v>
      </c>
      <c r="J75" t="n">
        <v>0</v>
      </c>
      <c r="K75" t="n">
        <v>0</v>
      </c>
      <c r="L75" t="n">
        <v>0</v>
      </c>
      <c r="M75" t="n">
        <v>0</v>
      </c>
      <c r="N75" t="n">
        <v>0</v>
      </c>
      <c r="O75" t="n">
        <v>0</v>
      </c>
      <c r="P75" t="n">
        <v>0</v>
      </c>
      <c r="Q75" t="n">
        <v>1</v>
      </c>
      <c r="R75" s="2" t="inlineStr">
        <is>
          <t>Stubbspretmossa</t>
        </is>
      </c>
      <c r="S75">
        <f>HYPERLINK("https://klasma.github.io/Logging_0580/artfynd/A 1213-2023 artfynd.xlsx", "A 1213-2023")</f>
        <v/>
      </c>
      <c r="T75">
        <f>HYPERLINK("https://klasma.github.io/Logging_0580/kartor/A 1213-2023 karta.png", "A 1213-2023")</f>
        <v/>
      </c>
      <c r="V75">
        <f>HYPERLINK("https://klasma.github.io/Logging_0580/klagomål/A 1213-2023 FSC-klagomål.docx", "A 1213-2023")</f>
        <v/>
      </c>
      <c r="W75">
        <f>HYPERLINK("https://klasma.github.io/Logging_0580/klagomålsmail/A 1213-2023 FSC-klagomål mail.docx", "A 1213-2023")</f>
        <v/>
      </c>
      <c r="X75">
        <f>HYPERLINK("https://klasma.github.io/Logging_0580/tillsyn/A 1213-2023 tillsynsbegäran.docx", "A 1213-2023")</f>
        <v/>
      </c>
      <c r="Y75">
        <f>HYPERLINK("https://klasma.github.io/Logging_0580/tillsynsmail/A 1213-2023 tillsynsbegäran mail.docx", "A 1213-2023")</f>
        <v/>
      </c>
    </row>
    <row r="76" ht="15" customHeight="1">
      <c r="A76" t="inlineStr">
        <is>
          <t>A 17444-2025</t>
        </is>
      </c>
      <c r="B76" s="1" t="n">
        <v>45757.43452546297</v>
      </c>
      <c r="C76" s="1" t="n">
        <v>46039</v>
      </c>
      <c r="D76" t="inlineStr">
        <is>
          <t>ÖSTERGÖTLANDS LÄN</t>
        </is>
      </c>
      <c r="E76" t="inlineStr">
        <is>
          <t>LINKÖPING</t>
        </is>
      </c>
      <c r="G76" t="n">
        <v>1.3</v>
      </c>
      <c r="H76" t="n">
        <v>1</v>
      </c>
      <c r="I76" t="n">
        <v>0</v>
      </c>
      <c r="J76" t="n">
        <v>1</v>
      </c>
      <c r="K76" t="n">
        <v>0</v>
      </c>
      <c r="L76" t="n">
        <v>0</v>
      </c>
      <c r="M76" t="n">
        <v>0</v>
      </c>
      <c r="N76" t="n">
        <v>0</v>
      </c>
      <c r="O76" t="n">
        <v>1</v>
      </c>
      <c r="P76" t="n">
        <v>0</v>
      </c>
      <c r="Q76" t="n">
        <v>1</v>
      </c>
      <c r="R76" s="2" t="inlineStr">
        <is>
          <t>Dårgräsfjäril</t>
        </is>
      </c>
      <c r="S76">
        <f>HYPERLINK("https://klasma.github.io/Logging_0580/artfynd/A 17444-2025 artfynd.xlsx", "A 17444-2025")</f>
        <v/>
      </c>
      <c r="T76">
        <f>HYPERLINK("https://klasma.github.io/Logging_0580/kartor/A 17444-2025 karta.png", "A 17444-2025")</f>
        <v/>
      </c>
      <c r="V76">
        <f>HYPERLINK("https://klasma.github.io/Logging_0580/klagomål/A 17444-2025 FSC-klagomål.docx", "A 17444-2025")</f>
        <v/>
      </c>
      <c r="W76">
        <f>HYPERLINK("https://klasma.github.io/Logging_0580/klagomålsmail/A 17444-2025 FSC-klagomål mail.docx", "A 17444-2025")</f>
        <v/>
      </c>
      <c r="X76">
        <f>HYPERLINK("https://klasma.github.io/Logging_0580/tillsyn/A 17444-2025 tillsynsbegäran.docx", "A 17444-2025")</f>
        <v/>
      </c>
      <c r="Y76">
        <f>HYPERLINK("https://klasma.github.io/Logging_0580/tillsynsmail/A 17444-2025 tillsynsbegäran mail.docx", "A 17444-2025")</f>
        <v/>
      </c>
    </row>
    <row r="77" ht="15" customHeight="1">
      <c r="A77" t="inlineStr">
        <is>
          <t>A 56112-2025</t>
        </is>
      </c>
      <c r="B77" s="1" t="n">
        <v>45973.73625</v>
      </c>
      <c r="C77" s="1" t="n">
        <v>46039</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40309-2024</t>
        </is>
      </c>
      <c r="B78" s="1" t="n">
        <v>45554.724375</v>
      </c>
      <c r="C78" s="1" t="n">
        <v>46039</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50471-2024</t>
        </is>
      </c>
      <c r="B79" s="1" t="n">
        <v>45601.47166666666</v>
      </c>
      <c r="C79" s="1" t="n">
        <v>46039</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50806-2023</t>
        </is>
      </c>
      <c r="B80" s="1" t="n">
        <v>45217</v>
      </c>
      <c r="C80" s="1" t="n">
        <v>46039</v>
      </c>
      <c r="D80" t="inlineStr">
        <is>
          <t>ÖSTERGÖTLANDS LÄN</t>
        </is>
      </c>
      <c r="E80" t="inlineStr">
        <is>
          <t>LINKÖPING</t>
        </is>
      </c>
      <c r="F80" t="inlineStr">
        <is>
          <t>Övriga Aktiebolag</t>
        </is>
      </c>
      <c r="G80" t="n">
        <v>0.7</v>
      </c>
      <c r="H80" t="n">
        <v>1</v>
      </c>
      <c r="I80" t="n">
        <v>0</v>
      </c>
      <c r="J80" t="n">
        <v>0</v>
      </c>
      <c r="K80" t="n">
        <v>0</v>
      </c>
      <c r="L80" t="n">
        <v>0</v>
      </c>
      <c r="M80" t="n">
        <v>0</v>
      </c>
      <c r="N80" t="n">
        <v>0</v>
      </c>
      <c r="O80" t="n">
        <v>0</v>
      </c>
      <c r="P80" t="n">
        <v>0</v>
      </c>
      <c r="Q80" t="n">
        <v>1</v>
      </c>
      <c r="R80" s="2" t="inlineStr">
        <is>
          <t>Gullviva</t>
        </is>
      </c>
      <c r="S80">
        <f>HYPERLINK("https://klasma.github.io/Logging_0580/artfynd/A 50806-2023 artfynd.xlsx", "A 50806-2023")</f>
        <v/>
      </c>
      <c r="T80">
        <f>HYPERLINK("https://klasma.github.io/Logging_0580/kartor/A 50806-2023 karta.png", "A 50806-2023")</f>
        <v/>
      </c>
      <c r="V80">
        <f>HYPERLINK("https://klasma.github.io/Logging_0580/klagomål/A 50806-2023 FSC-klagomål.docx", "A 50806-2023")</f>
        <v/>
      </c>
      <c r="W80">
        <f>HYPERLINK("https://klasma.github.io/Logging_0580/klagomålsmail/A 50806-2023 FSC-klagomål mail.docx", "A 50806-2023")</f>
        <v/>
      </c>
      <c r="X80">
        <f>HYPERLINK("https://klasma.github.io/Logging_0580/tillsyn/A 50806-2023 tillsynsbegäran.docx", "A 50806-2023")</f>
        <v/>
      </c>
      <c r="Y80">
        <f>HYPERLINK("https://klasma.github.io/Logging_0580/tillsynsmail/A 50806-2023 tillsynsbegäran mail.docx", "A 50806-2023")</f>
        <v/>
      </c>
    </row>
    <row r="81" ht="15" customHeight="1">
      <c r="A81" t="inlineStr">
        <is>
          <t>A 15290-2025</t>
        </is>
      </c>
      <c r="B81" s="1" t="n">
        <v>45745.45288194445</v>
      </c>
      <c r="C81" s="1" t="n">
        <v>46039</v>
      </c>
      <c r="D81" t="inlineStr">
        <is>
          <t>ÖSTERGÖTLANDS LÄN</t>
        </is>
      </c>
      <c r="E81" t="inlineStr">
        <is>
          <t>LINKÖPING</t>
        </is>
      </c>
      <c r="G81" t="n">
        <v>18.4</v>
      </c>
      <c r="H81" t="n">
        <v>1</v>
      </c>
      <c r="I81" t="n">
        <v>0</v>
      </c>
      <c r="J81" t="n">
        <v>1</v>
      </c>
      <c r="K81" t="n">
        <v>0</v>
      </c>
      <c r="L81" t="n">
        <v>0</v>
      </c>
      <c r="M81" t="n">
        <v>0</v>
      </c>
      <c r="N81" t="n">
        <v>0</v>
      </c>
      <c r="O81" t="n">
        <v>1</v>
      </c>
      <c r="P81" t="n">
        <v>0</v>
      </c>
      <c r="Q81" t="n">
        <v>1</v>
      </c>
      <c r="R81" s="2" t="inlineStr">
        <is>
          <t>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60573-2021</t>
        </is>
      </c>
      <c r="B82" s="1" t="n">
        <v>44496</v>
      </c>
      <c r="C82" s="1" t="n">
        <v>46039</v>
      </c>
      <c r="D82" t="inlineStr">
        <is>
          <t>ÖSTERGÖTLANDS LÄN</t>
        </is>
      </c>
      <c r="E82" t="inlineStr">
        <is>
          <t>LINKÖPING</t>
        </is>
      </c>
      <c r="F82" t="inlineStr">
        <is>
          <t>Övriga Aktiebolag</t>
        </is>
      </c>
      <c r="G82" t="n">
        <v>5.6</v>
      </c>
      <c r="H82" t="n">
        <v>0</v>
      </c>
      <c r="I82" t="n">
        <v>0</v>
      </c>
      <c r="J82" t="n">
        <v>1</v>
      </c>
      <c r="K82" t="n">
        <v>0</v>
      </c>
      <c r="L82" t="n">
        <v>0</v>
      </c>
      <c r="M82" t="n">
        <v>0</v>
      </c>
      <c r="N82" t="n">
        <v>0</v>
      </c>
      <c r="O82" t="n">
        <v>1</v>
      </c>
      <c r="P82" t="n">
        <v>0</v>
      </c>
      <c r="Q82" t="n">
        <v>1</v>
      </c>
      <c r="R82" s="2" t="inlineStr">
        <is>
          <t>Sommarfibbla</t>
        </is>
      </c>
      <c r="S82">
        <f>HYPERLINK("https://klasma.github.io/Logging_0580/artfynd/A 60573-2021 artfynd.xlsx", "A 60573-2021")</f>
        <v/>
      </c>
      <c r="T82">
        <f>HYPERLINK("https://klasma.github.io/Logging_0580/kartor/A 60573-2021 karta.png", "A 60573-2021")</f>
        <v/>
      </c>
      <c r="V82">
        <f>HYPERLINK("https://klasma.github.io/Logging_0580/klagomål/A 60573-2021 FSC-klagomål.docx", "A 60573-2021")</f>
        <v/>
      </c>
      <c r="W82">
        <f>HYPERLINK("https://klasma.github.io/Logging_0580/klagomålsmail/A 60573-2021 FSC-klagomål mail.docx", "A 60573-2021")</f>
        <v/>
      </c>
      <c r="X82">
        <f>HYPERLINK("https://klasma.github.io/Logging_0580/tillsyn/A 60573-2021 tillsynsbegäran.docx", "A 60573-2021")</f>
        <v/>
      </c>
      <c r="Y82">
        <f>HYPERLINK("https://klasma.github.io/Logging_0580/tillsynsmail/A 60573-2021 tillsynsbegäran mail.docx", "A 60573-2021")</f>
        <v/>
      </c>
    </row>
    <row r="83" ht="15" customHeight="1">
      <c r="A83" t="inlineStr">
        <is>
          <t>A 1716-2023</t>
        </is>
      </c>
      <c r="B83" s="1" t="n">
        <v>44938</v>
      </c>
      <c r="C83" s="1" t="n">
        <v>46039</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46039</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46039</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46039</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46039</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41749-2023</t>
        </is>
      </c>
      <c r="B88" s="1" t="n">
        <v>45176</v>
      </c>
      <c r="C88" s="1" t="n">
        <v>46039</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27403-2025</t>
        </is>
      </c>
      <c r="B89" s="1" t="n">
        <v>45812.72518518518</v>
      </c>
      <c r="C89" s="1" t="n">
        <v>46039</v>
      </c>
      <c r="D89" t="inlineStr">
        <is>
          <t>ÖSTERGÖTLANDS LÄN</t>
        </is>
      </c>
      <c r="E89" t="inlineStr">
        <is>
          <t>LINKÖPING</t>
        </is>
      </c>
      <c r="G89" t="n">
        <v>1.4</v>
      </c>
      <c r="H89" t="n">
        <v>0</v>
      </c>
      <c r="I89" t="n">
        <v>0</v>
      </c>
      <c r="J89" t="n">
        <v>1</v>
      </c>
      <c r="K89" t="n">
        <v>0</v>
      </c>
      <c r="L89" t="n">
        <v>0</v>
      </c>
      <c r="M89" t="n">
        <v>0</v>
      </c>
      <c r="N89" t="n">
        <v>0</v>
      </c>
      <c r="O89" t="n">
        <v>1</v>
      </c>
      <c r="P89" t="n">
        <v>0</v>
      </c>
      <c r="Q89" t="n">
        <v>1</v>
      </c>
      <c r="R89" s="2" t="inlineStr">
        <is>
          <t>Tallticka</t>
        </is>
      </c>
      <c r="S89">
        <f>HYPERLINK("https://klasma.github.io/Logging_0580/artfynd/A 27403-2025 artfynd.xlsx", "A 27403-2025")</f>
        <v/>
      </c>
      <c r="T89">
        <f>HYPERLINK("https://klasma.github.io/Logging_0580/kartor/A 27403-2025 karta.png", "A 27403-2025")</f>
        <v/>
      </c>
      <c r="V89">
        <f>HYPERLINK("https://klasma.github.io/Logging_0580/klagomål/A 27403-2025 FSC-klagomål.docx", "A 27403-2025")</f>
        <v/>
      </c>
      <c r="W89">
        <f>HYPERLINK("https://klasma.github.io/Logging_0580/klagomålsmail/A 27403-2025 FSC-klagomål mail.docx", "A 27403-2025")</f>
        <v/>
      </c>
      <c r="X89">
        <f>HYPERLINK("https://klasma.github.io/Logging_0580/tillsyn/A 27403-2025 tillsynsbegäran.docx", "A 27403-2025")</f>
        <v/>
      </c>
      <c r="Y89">
        <f>HYPERLINK("https://klasma.github.io/Logging_0580/tillsynsmail/A 27403-2025 tillsynsbegäran mail.docx", "A 27403-2025")</f>
        <v/>
      </c>
    </row>
    <row r="90" ht="15" customHeight="1">
      <c r="A90" t="inlineStr">
        <is>
          <t>A 36723-2023</t>
        </is>
      </c>
      <c r="B90" s="1" t="n">
        <v>45153</v>
      </c>
      <c r="C90" s="1" t="n">
        <v>46039</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46039</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46039</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46039</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46039</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46039</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46039</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46039</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46039</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46039</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46039</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46039</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46039</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46039</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46039</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46039</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46039</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46039</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46039</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46039</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46039</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46039</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46039</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46039</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46039</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46039</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46039</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46039</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46039</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46039</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46039</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46039</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46039</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46039</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46039</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46039</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46039</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46039</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46039</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46039</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46039</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46039</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46039</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46039</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46039</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46039</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46039</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46039</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46039</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46039</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46039</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46039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46039</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46039</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46039</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46039</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46039</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46039</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46039</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58266-2021</t>
        </is>
      </c>
      <c r="B152" s="1" t="n">
        <v>44487</v>
      </c>
      <c r="C152" s="1" t="n">
        <v>46039</v>
      </c>
      <c r="D152" t="inlineStr">
        <is>
          <t>ÖSTERGÖTLANDS LÄN</t>
        </is>
      </c>
      <c r="E152" t="inlineStr">
        <is>
          <t>LINKÖPING</t>
        </is>
      </c>
      <c r="F152" t="inlineStr">
        <is>
          <t>Övriga Aktiebolag</t>
        </is>
      </c>
      <c r="G152" t="n">
        <v>3.2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46039</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46039</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46039</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46039</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46039</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46039</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46039</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46039</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46039</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46039</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46039</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46039</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46039</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46039</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46039</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46039</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46039</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46039</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46039</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46039</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46039</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46039</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46039</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46039</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46039</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46039</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46039</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46039</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46039</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46039</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46039</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33891-2021</t>
        </is>
      </c>
      <c r="B184" s="1" t="n">
        <v>44378</v>
      </c>
      <c r="C184" s="1" t="n">
        <v>46039</v>
      </c>
      <c r="D184" t="inlineStr">
        <is>
          <t>ÖSTERGÖTLANDS LÄN</t>
        </is>
      </c>
      <c r="E184" t="inlineStr">
        <is>
          <t>LINKÖPING</t>
        </is>
      </c>
      <c r="G184" t="n">
        <v>5.1</v>
      </c>
      <c r="H184" t="n">
        <v>0</v>
      </c>
      <c r="I184" t="n">
        <v>0</v>
      </c>
      <c r="J184" t="n">
        <v>0</v>
      </c>
      <c r="K184" t="n">
        <v>0</v>
      </c>
      <c r="L184" t="n">
        <v>0</v>
      </c>
      <c r="M184" t="n">
        <v>0</v>
      </c>
      <c r="N184" t="n">
        <v>0</v>
      </c>
      <c r="O184" t="n">
        <v>0</v>
      </c>
      <c r="P184" t="n">
        <v>0</v>
      </c>
      <c r="Q184" t="n">
        <v>0</v>
      </c>
      <c r="R184" s="2" t="inlineStr"/>
    </row>
    <row r="185" ht="15" customHeight="1">
      <c r="A185" t="inlineStr">
        <is>
          <t>A 19254-2021</t>
        </is>
      </c>
      <c r="B185" s="1" t="n">
        <v>44309.38962962963</v>
      </c>
      <c r="C185" s="1" t="n">
        <v>46039</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46039</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46039</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46039</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46039</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46039</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46039</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46039</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46039</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46039</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3008-2023</t>
        </is>
      </c>
      <c r="B195" s="1" t="n">
        <v>44945.79784722222</v>
      </c>
      <c r="C195" s="1" t="n">
        <v>46039</v>
      </c>
      <c r="D195" t="inlineStr">
        <is>
          <t>ÖSTERGÖTLANDS LÄN</t>
        </is>
      </c>
      <c r="E195" t="inlineStr">
        <is>
          <t>LINKÖPING</t>
        </is>
      </c>
      <c r="G195" t="n">
        <v>19.3</v>
      </c>
      <c r="H195" t="n">
        <v>0</v>
      </c>
      <c r="I195" t="n">
        <v>0</v>
      </c>
      <c r="J195" t="n">
        <v>0</v>
      </c>
      <c r="K195" t="n">
        <v>0</v>
      </c>
      <c r="L195" t="n">
        <v>0</v>
      </c>
      <c r="M195" t="n">
        <v>0</v>
      </c>
      <c r="N195" t="n">
        <v>0</v>
      </c>
      <c r="O195" t="n">
        <v>0</v>
      </c>
      <c r="P195" t="n">
        <v>0</v>
      </c>
      <c r="Q195" t="n">
        <v>0</v>
      </c>
      <c r="R195" s="2" t="inlineStr"/>
    </row>
    <row r="196" ht="15" customHeight="1">
      <c r="A196" t="inlineStr">
        <is>
          <t>A 55345-2021</t>
        </is>
      </c>
      <c r="B196" s="1" t="n">
        <v>44475</v>
      </c>
      <c r="C196" s="1" t="n">
        <v>46039</v>
      </c>
      <c r="D196" t="inlineStr">
        <is>
          <t>ÖSTERGÖTLANDS LÄN</t>
        </is>
      </c>
      <c r="E196" t="inlineStr">
        <is>
          <t>LINKÖPING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46039</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46039</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46039</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46039</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46039</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61281-2021</t>
        </is>
      </c>
      <c r="B202" s="1" t="n">
        <v>44498.60736111111</v>
      </c>
      <c r="C202" s="1" t="n">
        <v>46039</v>
      </c>
      <c r="D202" t="inlineStr">
        <is>
          <t>ÖSTERGÖTLANDS LÄN</t>
        </is>
      </c>
      <c r="E202" t="inlineStr">
        <is>
          <t>LINKÖPING</t>
        </is>
      </c>
      <c r="G202" t="n">
        <v>4.5</v>
      </c>
      <c r="H202" t="n">
        <v>0</v>
      </c>
      <c r="I202" t="n">
        <v>0</v>
      </c>
      <c r="J202" t="n">
        <v>0</v>
      </c>
      <c r="K202" t="n">
        <v>0</v>
      </c>
      <c r="L202" t="n">
        <v>0</v>
      </c>
      <c r="M202" t="n">
        <v>0</v>
      </c>
      <c r="N202" t="n">
        <v>0</v>
      </c>
      <c r="O202" t="n">
        <v>0</v>
      </c>
      <c r="P202" t="n">
        <v>0</v>
      </c>
      <c r="Q202" t="n">
        <v>0</v>
      </c>
      <c r="R202" s="2" t="inlineStr"/>
    </row>
    <row r="203" ht="15" customHeight="1">
      <c r="A203" t="inlineStr">
        <is>
          <t>A 63935-2021</t>
        </is>
      </c>
      <c r="B203" s="1" t="n">
        <v>44509</v>
      </c>
      <c r="C203" s="1" t="n">
        <v>46039</v>
      </c>
      <c r="D203" t="inlineStr">
        <is>
          <t>ÖSTERGÖTLANDS LÄN</t>
        </is>
      </c>
      <c r="E203" t="inlineStr">
        <is>
          <t>LINKÖPING</t>
        </is>
      </c>
      <c r="F203" t="inlineStr">
        <is>
          <t>Övriga statliga verk och myndigheter</t>
        </is>
      </c>
      <c r="G203" t="n">
        <v>2.8</v>
      </c>
      <c r="H203" t="n">
        <v>0</v>
      </c>
      <c r="I203" t="n">
        <v>0</v>
      </c>
      <c r="J203" t="n">
        <v>0</v>
      </c>
      <c r="K203" t="n">
        <v>0</v>
      </c>
      <c r="L203" t="n">
        <v>0</v>
      </c>
      <c r="M203" t="n">
        <v>0</v>
      </c>
      <c r="N203" t="n">
        <v>0</v>
      </c>
      <c r="O203" t="n">
        <v>0</v>
      </c>
      <c r="P203" t="n">
        <v>0</v>
      </c>
      <c r="Q203" t="n">
        <v>0</v>
      </c>
      <c r="R203" s="2" t="inlineStr"/>
    </row>
    <row r="204" ht="15" customHeight="1">
      <c r="A204" t="inlineStr">
        <is>
          <t>A 25292-2021</t>
        </is>
      </c>
      <c r="B204" s="1" t="n">
        <v>44342</v>
      </c>
      <c r="C204" s="1" t="n">
        <v>46039</v>
      </c>
      <c r="D204" t="inlineStr">
        <is>
          <t>ÖSTERGÖTLANDS LÄN</t>
        </is>
      </c>
      <c r="E204" t="inlineStr">
        <is>
          <t>LINKÖPING</t>
        </is>
      </c>
      <c r="F204" t="inlineStr">
        <is>
          <t>Övriga Aktiebolag</t>
        </is>
      </c>
      <c r="G204" t="n">
        <v>12.8</v>
      </c>
      <c r="H204" t="n">
        <v>0</v>
      </c>
      <c r="I204" t="n">
        <v>0</v>
      </c>
      <c r="J204" t="n">
        <v>0</v>
      </c>
      <c r="K204" t="n">
        <v>0</v>
      </c>
      <c r="L204" t="n">
        <v>0</v>
      </c>
      <c r="M204" t="n">
        <v>0</v>
      </c>
      <c r="N204" t="n">
        <v>0</v>
      </c>
      <c r="O204" t="n">
        <v>0</v>
      </c>
      <c r="P204" t="n">
        <v>0</v>
      </c>
      <c r="Q204" t="n">
        <v>0</v>
      </c>
      <c r="R204" s="2" t="inlineStr"/>
    </row>
    <row r="205" ht="15" customHeight="1">
      <c r="A205" t="inlineStr">
        <is>
          <t>A 62321-2022</t>
        </is>
      </c>
      <c r="B205" s="1" t="n">
        <v>44916</v>
      </c>
      <c r="C205" s="1" t="n">
        <v>46039</v>
      </c>
      <c r="D205" t="inlineStr">
        <is>
          <t>ÖSTERGÖTLANDS LÄN</t>
        </is>
      </c>
      <c r="E205" t="inlineStr">
        <is>
          <t>LINKÖPING</t>
        </is>
      </c>
      <c r="F205" t="inlineStr">
        <is>
          <t>Kommuner</t>
        </is>
      </c>
      <c r="G205" t="n">
        <v>5.3</v>
      </c>
      <c r="H205" t="n">
        <v>0</v>
      </c>
      <c r="I205" t="n">
        <v>0</v>
      </c>
      <c r="J205" t="n">
        <v>0</v>
      </c>
      <c r="K205" t="n">
        <v>0</v>
      </c>
      <c r="L205" t="n">
        <v>0</v>
      </c>
      <c r="M205" t="n">
        <v>0</v>
      </c>
      <c r="N205" t="n">
        <v>0</v>
      </c>
      <c r="O205" t="n">
        <v>0</v>
      </c>
      <c r="P205" t="n">
        <v>0</v>
      </c>
      <c r="Q205" t="n">
        <v>0</v>
      </c>
      <c r="R205" s="2" t="inlineStr"/>
    </row>
    <row r="206" ht="15" customHeight="1">
      <c r="A206" t="inlineStr">
        <is>
          <t>A 43475-2024</t>
        </is>
      </c>
      <c r="B206" s="1" t="n">
        <v>45568</v>
      </c>
      <c r="C206" s="1" t="n">
        <v>46039</v>
      </c>
      <c r="D206" t="inlineStr">
        <is>
          <t>ÖSTERGÖTLANDS LÄN</t>
        </is>
      </c>
      <c r="E206" t="inlineStr">
        <is>
          <t>LINKÖPING</t>
        </is>
      </c>
      <c r="G206" t="n">
        <v>3.2</v>
      </c>
      <c r="H206" t="n">
        <v>0</v>
      </c>
      <c r="I206" t="n">
        <v>0</v>
      </c>
      <c r="J206" t="n">
        <v>0</v>
      </c>
      <c r="K206" t="n">
        <v>0</v>
      </c>
      <c r="L206" t="n">
        <v>0</v>
      </c>
      <c r="M206" t="n">
        <v>0</v>
      </c>
      <c r="N206" t="n">
        <v>0</v>
      </c>
      <c r="O206" t="n">
        <v>0</v>
      </c>
      <c r="P206" t="n">
        <v>0</v>
      </c>
      <c r="Q206" t="n">
        <v>0</v>
      </c>
      <c r="R206" s="2" t="inlineStr"/>
    </row>
    <row r="207" ht="15" customHeight="1">
      <c r="A207" t="inlineStr">
        <is>
          <t>A 17103-2025</t>
        </is>
      </c>
      <c r="B207" s="1" t="n">
        <v>45755.66143518518</v>
      </c>
      <c r="C207" s="1" t="n">
        <v>46039</v>
      </c>
      <c r="D207" t="inlineStr">
        <is>
          <t>ÖSTERGÖTLANDS LÄN</t>
        </is>
      </c>
      <c r="E207" t="inlineStr">
        <is>
          <t>LINKÖPING</t>
        </is>
      </c>
      <c r="G207" t="n">
        <v>1.9</v>
      </c>
      <c r="H207" t="n">
        <v>0</v>
      </c>
      <c r="I207" t="n">
        <v>0</v>
      </c>
      <c r="J207" t="n">
        <v>0</v>
      </c>
      <c r="K207" t="n">
        <v>0</v>
      </c>
      <c r="L207" t="n">
        <v>0</v>
      </c>
      <c r="M207" t="n">
        <v>0</v>
      </c>
      <c r="N207" t="n">
        <v>0</v>
      </c>
      <c r="O207" t="n">
        <v>0</v>
      </c>
      <c r="P207" t="n">
        <v>0</v>
      </c>
      <c r="Q207" t="n">
        <v>0</v>
      </c>
      <c r="R207" s="2" t="inlineStr"/>
    </row>
    <row r="208" ht="15" customHeight="1">
      <c r="A208" t="inlineStr">
        <is>
          <t>A 30551-2023</t>
        </is>
      </c>
      <c r="B208" s="1" t="n">
        <v>45111</v>
      </c>
      <c r="C208" s="1" t="n">
        <v>46039</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50784-2022</t>
        </is>
      </c>
      <c r="B209" s="1" t="n">
        <v>44862</v>
      </c>
      <c r="C209" s="1" t="n">
        <v>46039</v>
      </c>
      <c r="D209" t="inlineStr">
        <is>
          <t>ÖSTERGÖTLANDS LÄN</t>
        </is>
      </c>
      <c r="E209" t="inlineStr">
        <is>
          <t>LINKÖPING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22043-2023</t>
        </is>
      </c>
      <c r="B210" s="1" t="n">
        <v>45069.39050925926</v>
      </c>
      <c r="C210" s="1" t="n">
        <v>46039</v>
      </c>
      <c r="D210" t="inlineStr">
        <is>
          <t>ÖSTERGÖTLANDS LÄN</t>
        </is>
      </c>
      <c r="E210" t="inlineStr">
        <is>
          <t>LINKÖPING</t>
        </is>
      </c>
      <c r="G210" t="n">
        <v>5.9</v>
      </c>
      <c r="H210" t="n">
        <v>0</v>
      </c>
      <c r="I210" t="n">
        <v>0</v>
      </c>
      <c r="J210" t="n">
        <v>0</v>
      </c>
      <c r="K210" t="n">
        <v>0</v>
      </c>
      <c r="L210" t="n">
        <v>0</v>
      </c>
      <c r="M210" t="n">
        <v>0</v>
      </c>
      <c r="N210" t="n">
        <v>0</v>
      </c>
      <c r="O210" t="n">
        <v>0</v>
      </c>
      <c r="P210" t="n">
        <v>0</v>
      </c>
      <c r="Q210" t="n">
        <v>0</v>
      </c>
      <c r="R210" s="2" t="inlineStr"/>
    </row>
    <row r="211" ht="15" customHeight="1">
      <c r="A211" t="inlineStr">
        <is>
          <t>A 37057-2025</t>
        </is>
      </c>
      <c r="B211" s="1" t="n">
        <v>45875.37489583333</v>
      </c>
      <c r="C211" s="1" t="n">
        <v>46039</v>
      </c>
      <c r="D211" t="inlineStr">
        <is>
          <t>ÖSTERGÖTLANDS LÄN</t>
        </is>
      </c>
      <c r="E211" t="inlineStr">
        <is>
          <t>LINKÖPING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32255-2021</t>
        </is>
      </c>
      <c r="B212" s="1" t="n">
        <v>44371.45949074074</v>
      </c>
      <c r="C212" s="1" t="n">
        <v>46039</v>
      </c>
      <c r="D212" t="inlineStr">
        <is>
          <t>ÖSTERGÖTLANDS LÄN</t>
        </is>
      </c>
      <c r="E212" t="inlineStr">
        <is>
          <t>LINKÖPING</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39074-2025</t>
        </is>
      </c>
      <c r="B213" s="1" t="n">
        <v>45888</v>
      </c>
      <c r="C213" s="1" t="n">
        <v>46039</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49656-2021</t>
        </is>
      </c>
      <c r="B214" s="1" t="n">
        <v>44454</v>
      </c>
      <c r="C214" s="1" t="n">
        <v>46039</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30465-2023</t>
        </is>
      </c>
      <c r="B215" s="1" t="n">
        <v>45111</v>
      </c>
      <c r="C215" s="1" t="n">
        <v>46039</v>
      </c>
      <c r="D215" t="inlineStr">
        <is>
          <t>ÖSTERGÖTLANDS LÄN</t>
        </is>
      </c>
      <c r="E215" t="inlineStr">
        <is>
          <t>LINKÖPING</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38235-2022</t>
        </is>
      </c>
      <c r="B216" s="1" t="n">
        <v>44812</v>
      </c>
      <c r="C216" s="1" t="n">
        <v>46039</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34880-2022</t>
        </is>
      </c>
      <c r="B217" s="1" t="n">
        <v>44796</v>
      </c>
      <c r="C217" s="1" t="n">
        <v>46039</v>
      </c>
      <c r="D217" t="inlineStr">
        <is>
          <t>ÖSTERGÖTLANDS LÄN</t>
        </is>
      </c>
      <c r="E217" t="inlineStr">
        <is>
          <t>LINKÖPING</t>
        </is>
      </c>
      <c r="F217" t="inlineStr">
        <is>
          <t>Övriga statliga verk och myndigheter</t>
        </is>
      </c>
      <c r="G217" t="n">
        <v>4</v>
      </c>
      <c r="H217" t="n">
        <v>0</v>
      </c>
      <c r="I217" t="n">
        <v>0</v>
      </c>
      <c r="J217" t="n">
        <v>0</v>
      </c>
      <c r="K217" t="n">
        <v>0</v>
      </c>
      <c r="L217" t="n">
        <v>0</v>
      </c>
      <c r="M217" t="n">
        <v>0</v>
      </c>
      <c r="N217" t="n">
        <v>0</v>
      </c>
      <c r="O217" t="n">
        <v>0</v>
      </c>
      <c r="P217" t="n">
        <v>0</v>
      </c>
      <c r="Q217" t="n">
        <v>0</v>
      </c>
      <c r="R217" s="2" t="inlineStr"/>
    </row>
    <row r="218" ht="15" customHeight="1">
      <c r="A218" t="inlineStr">
        <is>
          <t>A 48042-2022</t>
        </is>
      </c>
      <c r="B218" s="1" t="n">
        <v>44855</v>
      </c>
      <c r="C218" s="1" t="n">
        <v>46039</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30521-2024</t>
        </is>
      </c>
      <c r="B219" s="1" t="n">
        <v>45492</v>
      </c>
      <c r="C219" s="1" t="n">
        <v>46039</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40618-2021</t>
        </is>
      </c>
      <c r="B220" s="1" t="n">
        <v>44420.49575231481</v>
      </c>
      <c r="C220" s="1" t="n">
        <v>46039</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25829-2025</t>
        </is>
      </c>
      <c r="B221" s="1" t="n">
        <v>45804.44505787037</v>
      </c>
      <c r="C221" s="1" t="n">
        <v>46039</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23735-2023</t>
        </is>
      </c>
      <c r="B222" s="1" t="n">
        <v>45077</v>
      </c>
      <c r="C222" s="1" t="n">
        <v>46039</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350-2022</t>
        </is>
      </c>
      <c r="B223" s="1" t="n">
        <v>44565</v>
      </c>
      <c r="C223" s="1" t="n">
        <v>46039</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38971-2025</t>
        </is>
      </c>
      <c r="B224" s="1" t="n">
        <v>45887.71827546296</v>
      </c>
      <c r="C224" s="1" t="n">
        <v>46039</v>
      </c>
      <c r="D224" t="inlineStr">
        <is>
          <t>ÖSTERGÖTLANDS LÄN</t>
        </is>
      </c>
      <c r="E224" t="inlineStr">
        <is>
          <t>LINKÖPING</t>
        </is>
      </c>
      <c r="G224" t="n">
        <v>3.9</v>
      </c>
      <c r="H224" t="n">
        <v>0</v>
      </c>
      <c r="I224" t="n">
        <v>0</v>
      </c>
      <c r="J224" t="n">
        <v>0</v>
      </c>
      <c r="K224" t="n">
        <v>0</v>
      </c>
      <c r="L224" t="n">
        <v>0</v>
      </c>
      <c r="M224" t="n">
        <v>0</v>
      </c>
      <c r="N224" t="n">
        <v>0</v>
      </c>
      <c r="O224" t="n">
        <v>0</v>
      </c>
      <c r="P224" t="n">
        <v>0</v>
      </c>
      <c r="Q224" t="n">
        <v>0</v>
      </c>
      <c r="R224" s="2" t="inlineStr"/>
    </row>
    <row r="225" ht="15" customHeight="1">
      <c r="A225" t="inlineStr">
        <is>
          <t>A 72567-2021</t>
        </is>
      </c>
      <c r="B225" s="1" t="n">
        <v>44546.45023148148</v>
      </c>
      <c r="C225" s="1" t="n">
        <v>46039</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4256-2022</t>
        </is>
      </c>
      <c r="B226" s="1" t="n">
        <v>44588</v>
      </c>
      <c r="C226" s="1" t="n">
        <v>46039</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25948-2023</t>
        </is>
      </c>
      <c r="B227" s="1" t="n">
        <v>45090</v>
      </c>
      <c r="C227" s="1" t="n">
        <v>46039</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27264-2025</t>
        </is>
      </c>
      <c r="B228" s="1" t="n">
        <v>45812.4794212963</v>
      </c>
      <c r="C228" s="1" t="n">
        <v>46039</v>
      </c>
      <c r="D228" t="inlineStr">
        <is>
          <t>ÖSTERGÖTLANDS LÄN</t>
        </is>
      </c>
      <c r="E228" t="inlineStr">
        <is>
          <t>LINKÖPING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33867-2023</t>
        </is>
      </c>
      <c r="B229" s="1" t="n">
        <v>45133.94640046296</v>
      </c>
      <c r="C229" s="1" t="n">
        <v>46039</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39438-2025</t>
        </is>
      </c>
      <c r="B230" s="1" t="n">
        <v>45889.68641203704</v>
      </c>
      <c r="C230" s="1" t="n">
        <v>46039</v>
      </c>
      <c r="D230" t="inlineStr">
        <is>
          <t>ÖSTERGÖTLANDS LÄN</t>
        </is>
      </c>
      <c r="E230" t="inlineStr">
        <is>
          <t>LINKÖPING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10407-2025</t>
        </is>
      </c>
      <c r="B231" s="1" t="n">
        <v>45720.62863425926</v>
      </c>
      <c r="C231" s="1" t="n">
        <v>46039</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24462-2023</t>
        </is>
      </c>
      <c r="B232" s="1" t="n">
        <v>45082</v>
      </c>
      <c r="C232" s="1" t="n">
        <v>46039</v>
      </c>
      <c r="D232" t="inlineStr">
        <is>
          <t>ÖSTERGÖTLANDS LÄN</t>
        </is>
      </c>
      <c r="E232" t="inlineStr">
        <is>
          <t>LINKÖPING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39021-2021</t>
        </is>
      </c>
      <c r="B233" s="1" t="n">
        <v>44412</v>
      </c>
      <c r="C233" s="1" t="n">
        <v>46039</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40169-2025</t>
        </is>
      </c>
      <c r="B234" s="1" t="n">
        <v>45894.62824074074</v>
      </c>
      <c r="C234" s="1" t="n">
        <v>46039</v>
      </c>
      <c r="D234" t="inlineStr">
        <is>
          <t>ÖSTERGÖTLANDS LÄN</t>
        </is>
      </c>
      <c r="E234" t="inlineStr">
        <is>
          <t>LINKÖPING</t>
        </is>
      </c>
      <c r="G234" t="n">
        <v>2.8</v>
      </c>
      <c r="H234" t="n">
        <v>0</v>
      </c>
      <c r="I234" t="n">
        <v>0</v>
      </c>
      <c r="J234" t="n">
        <v>0</v>
      </c>
      <c r="K234" t="n">
        <v>0</v>
      </c>
      <c r="L234" t="n">
        <v>0</v>
      </c>
      <c r="M234" t="n">
        <v>0</v>
      </c>
      <c r="N234" t="n">
        <v>0</v>
      </c>
      <c r="O234" t="n">
        <v>0</v>
      </c>
      <c r="P234" t="n">
        <v>0</v>
      </c>
      <c r="Q234" t="n">
        <v>0</v>
      </c>
      <c r="R234" s="2" t="inlineStr"/>
    </row>
    <row r="235" ht="15" customHeight="1">
      <c r="A235" t="inlineStr">
        <is>
          <t>A 48829-2023</t>
        </is>
      </c>
      <c r="B235" s="1" t="n">
        <v>45209.38177083333</v>
      </c>
      <c r="C235" s="1" t="n">
        <v>46039</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38046-2025</t>
        </is>
      </c>
      <c r="B236" s="1" t="n">
        <v>45882.39939814815</v>
      </c>
      <c r="C236" s="1" t="n">
        <v>46039</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12035-2025</t>
        </is>
      </c>
      <c r="B237" s="1" t="n">
        <v>45728.64946759259</v>
      </c>
      <c r="C237" s="1" t="n">
        <v>46039</v>
      </c>
      <c r="D237" t="inlineStr">
        <is>
          <t>ÖSTERGÖTLANDS LÄN</t>
        </is>
      </c>
      <c r="E237" t="inlineStr">
        <is>
          <t>LINKÖPING</t>
        </is>
      </c>
      <c r="G237" t="n">
        <v>3.7</v>
      </c>
      <c r="H237" t="n">
        <v>0</v>
      </c>
      <c r="I237" t="n">
        <v>0</v>
      </c>
      <c r="J237" t="n">
        <v>0</v>
      </c>
      <c r="K237" t="n">
        <v>0</v>
      </c>
      <c r="L237" t="n">
        <v>0</v>
      </c>
      <c r="M237" t="n">
        <v>0</v>
      </c>
      <c r="N237" t="n">
        <v>0</v>
      </c>
      <c r="O237" t="n">
        <v>0</v>
      </c>
      <c r="P237" t="n">
        <v>0</v>
      </c>
      <c r="Q237" t="n">
        <v>0</v>
      </c>
      <c r="R237" s="2" t="inlineStr"/>
    </row>
    <row r="238" ht="15" customHeight="1">
      <c r="A238" t="inlineStr">
        <is>
          <t>A 38231-2022</t>
        </is>
      </c>
      <c r="B238" s="1" t="n">
        <v>44812</v>
      </c>
      <c r="C238" s="1" t="n">
        <v>46039</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50799-2022</t>
        </is>
      </c>
      <c r="B239" s="1" t="n">
        <v>44862</v>
      </c>
      <c r="C239" s="1" t="n">
        <v>46039</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40431-2024</t>
        </is>
      </c>
      <c r="B240" s="1" t="n">
        <v>45555.47070601852</v>
      </c>
      <c r="C240" s="1" t="n">
        <v>46039</v>
      </c>
      <c r="D240" t="inlineStr">
        <is>
          <t>ÖSTERGÖTLANDS LÄN</t>
        </is>
      </c>
      <c r="E240" t="inlineStr">
        <is>
          <t>LINKÖPING</t>
        </is>
      </c>
      <c r="F240" t="inlineStr">
        <is>
          <t>Allmännings- och besparingsskogar</t>
        </is>
      </c>
      <c r="G240" t="n">
        <v>2.9</v>
      </c>
      <c r="H240" t="n">
        <v>0</v>
      </c>
      <c r="I240" t="n">
        <v>0</v>
      </c>
      <c r="J240" t="n">
        <v>0</v>
      </c>
      <c r="K240" t="n">
        <v>0</v>
      </c>
      <c r="L240" t="n">
        <v>0</v>
      </c>
      <c r="M240" t="n">
        <v>0</v>
      </c>
      <c r="N240" t="n">
        <v>0</v>
      </c>
      <c r="O240" t="n">
        <v>0</v>
      </c>
      <c r="P240" t="n">
        <v>0</v>
      </c>
      <c r="Q240" t="n">
        <v>0</v>
      </c>
      <c r="R240" s="2" t="inlineStr"/>
    </row>
    <row r="241" ht="15" customHeight="1">
      <c r="A241" t="inlineStr">
        <is>
          <t>A 267-2023</t>
        </is>
      </c>
      <c r="B241" s="1" t="n">
        <v>44928.80907407407</v>
      </c>
      <c r="C241" s="1" t="n">
        <v>46039</v>
      </c>
      <c r="D241" t="inlineStr">
        <is>
          <t>ÖSTERGÖTLANDS LÄN</t>
        </is>
      </c>
      <c r="E241" t="inlineStr">
        <is>
          <t>LINKÖPING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26618-2023</t>
        </is>
      </c>
      <c r="B242" s="1" t="n">
        <v>45092.70306712963</v>
      </c>
      <c r="C242" s="1" t="n">
        <v>46039</v>
      </c>
      <c r="D242" t="inlineStr">
        <is>
          <t>ÖSTERGÖTLANDS LÄN</t>
        </is>
      </c>
      <c r="E242" t="inlineStr">
        <is>
          <t>LINKÖPING</t>
        </is>
      </c>
      <c r="G242" t="n">
        <v>6.9</v>
      </c>
      <c r="H242" t="n">
        <v>0</v>
      </c>
      <c r="I242" t="n">
        <v>0</v>
      </c>
      <c r="J242" t="n">
        <v>0</v>
      </c>
      <c r="K242" t="n">
        <v>0</v>
      </c>
      <c r="L242" t="n">
        <v>0</v>
      </c>
      <c r="M242" t="n">
        <v>0</v>
      </c>
      <c r="N242" t="n">
        <v>0</v>
      </c>
      <c r="O242" t="n">
        <v>0</v>
      </c>
      <c r="P242" t="n">
        <v>0</v>
      </c>
      <c r="Q242" t="n">
        <v>0</v>
      </c>
      <c r="R242" s="2" t="inlineStr"/>
    </row>
    <row r="243" ht="15" customHeight="1">
      <c r="A243" t="inlineStr">
        <is>
          <t>A 63665-2023</t>
        </is>
      </c>
      <c r="B243" s="1" t="n">
        <v>45275</v>
      </c>
      <c r="C243" s="1" t="n">
        <v>46039</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30429-2024</t>
        </is>
      </c>
      <c r="B244" s="1" t="n">
        <v>45491.68972222223</v>
      </c>
      <c r="C244" s="1" t="n">
        <v>46039</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30435-2024</t>
        </is>
      </c>
      <c r="B245" s="1" t="n">
        <v>45491.69962962963</v>
      </c>
      <c r="C245" s="1" t="n">
        <v>46039</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53816-2023</t>
        </is>
      </c>
      <c r="B246" s="1" t="n">
        <v>45231.40012731482</v>
      </c>
      <c r="C246" s="1" t="n">
        <v>46039</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36557-2023</t>
        </is>
      </c>
      <c r="B247" s="1" t="n">
        <v>45153</v>
      </c>
      <c r="C247" s="1" t="n">
        <v>46039</v>
      </c>
      <c r="D247" t="inlineStr">
        <is>
          <t>ÖSTERGÖTLANDS LÄN</t>
        </is>
      </c>
      <c r="E247" t="inlineStr">
        <is>
          <t>LINKÖPING</t>
        </is>
      </c>
      <c r="F247" t="inlineStr">
        <is>
          <t>Övriga Aktiebolag</t>
        </is>
      </c>
      <c r="G247" t="n">
        <v>3.1</v>
      </c>
      <c r="H247" t="n">
        <v>0</v>
      </c>
      <c r="I247" t="n">
        <v>0</v>
      </c>
      <c r="J247" t="n">
        <v>0</v>
      </c>
      <c r="K247" t="n">
        <v>0</v>
      </c>
      <c r="L247" t="n">
        <v>0</v>
      </c>
      <c r="M247" t="n">
        <v>0</v>
      </c>
      <c r="N247" t="n">
        <v>0</v>
      </c>
      <c r="O247" t="n">
        <v>0</v>
      </c>
      <c r="P247" t="n">
        <v>0</v>
      </c>
      <c r="Q247" t="n">
        <v>0</v>
      </c>
      <c r="R247" s="2" t="inlineStr"/>
    </row>
    <row r="248" ht="15" customHeight="1">
      <c r="A248" t="inlineStr">
        <is>
          <t>A 6599-2023</t>
        </is>
      </c>
      <c r="B248" s="1" t="n">
        <v>44966.52603009259</v>
      </c>
      <c r="C248" s="1" t="n">
        <v>46039</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43473-2024</t>
        </is>
      </c>
      <c r="B249" s="1" t="n">
        <v>45568</v>
      </c>
      <c r="C249" s="1" t="n">
        <v>46039</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51484-2023</t>
        </is>
      </c>
      <c r="B250" s="1" t="n">
        <v>45222</v>
      </c>
      <c r="C250" s="1" t="n">
        <v>46039</v>
      </c>
      <c r="D250" t="inlineStr">
        <is>
          <t>ÖSTERGÖTLANDS LÄN</t>
        </is>
      </c>
      <c r="E250" t="inlineStr">
        <is>
          <t>LINKÖPING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41706-2025</t>
        </is>
      </c>
      <c r="B251" s="1" t="n">
        <v>45902.42209490741</v>
      </c>
      <c r="C251" s="1" t="n">
        <v>46039</v>
      </c>
      <c r="D251" t="inlineStr">
        <is>
          <t>ÖSTERGÖTLANDS LÄN</t>
        </is>
      </c>
      <c r="E251" t="inlineStr">
        <is>
          <t>LINKÖPING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9434-2024</t>
        </is>
      </c>
      <c r="B252" s="1" t="n">
        <v>45359</v>
      </c>
      <c r="C252" s="1" t="n">
        <v>46039</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63678-2023</t>
        </is>
      </c>
      <c r="B253" s="1" t="n">
        <v>45275.64769675926</v>
      </c>
      <c r="C253" s="1" t="n">
        <v>46039</v>
      </c>
      <c r="D253" t="inlineStr">
        <is>
          <t>ÖSTERGÖTLANDS LÄN</t>
        </is>
      </c>
      <c r="E253" t="inlineStr">
        <is>
          <t>LINKÖPING</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63688-2023</t>
        </is>
      </c>
      <c r="B254" s="1" t="n">
        <v>45275</v>
      </c>
      <c r="C254" s="1" t="n">
        <v>46039</v>
      </c>
      <c r="D254" t="inlineStr">
        <is>
          <t>ÖSTERGÖTLANDS LÄN</t>
        </is>
      </c>
      <c r="E254" t="inlineStr">
        <is>
          <t>LINKÖPING</t>
        </is>
      </c>
      <c r="F254" t="inlineStr">
        <is>
          <t>Övriga Aktiebolag</t>
        </is>
      </c>
      <c r="G254" t="n">
        <v>2.4</v>
      </c>
      <c r="H254" t="n">
        <v>0</v>
      </c>
      <c r="I254" t="n">
        <v>0</v>
      </c>
      <c r="J254" t="n">
        <v>0</v>
      </c>
      <c r="K254" t="n">
        <v>0</v>
      </c>
      <c r="L254" t="n">
        <v>0</v>
      </c>
      <c r="M254" t="n">
        <v>0</v>
      </c>
      <c r="N254" t="n">
        <v>0</v>
      </c>
      <c r="O254" t="n">
        <v>0</v>
      </c>
      <c r="P254" t="n">
        <v>0</v>
      </c>
      <c r="Q254" t="n">
        <v>0</v>
      </c>
      <c r="R254" s="2" t="inlineStr"/>
    </row>
    <row r="255" ht="15" customHeight="1">
      <c r="A255" t="inlineStr">
        <is>
          <t>A 63691-2023</t>
        </is>
      </c>
      <c r="B255" s="1" t="n">
        <v>45275</v>
      </c>
      <c r="C255" s="1" t="n">
        <v>46039</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34557-2022</t>
        </is>
      </c>
      <c r="B256" s="1" t="n">
        <v>44794.57074074074</v>
      </c>
      <c r="C256" s="1" t="n">
        <v>46039</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41511-2025</t>
        </is>
      </c>
      <c r="B257" s="1" t="n">
        <v>45901.53839120371</v>
      </c>
      <c r="C257" s="1" t="n">
        <v>46039</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17157-2024</t>
        </is>
      </c>
      <c r="B258" s="1" t="n">
        <v>45412.70567129629</v>
      </c>
      <c r="C258" s="1" t="n">
        <v>46039</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3042-2024</t>
        </is>
      </c>
      <c r="B259" s="1" t="n">
        <v>45316.35028935185</v>
      </c>
      <c r="C259" s="1" t="n">
        <v>46039</v>
      </c>
      <c r="D259" t="inlineStr">
        <is>
          <t>ÖSTERGÖTLANDS LÄN</t>
        </is>
      </c>
      <c r="E259" t="inlineStr">
        <is>
          <t>LINKÖPING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29293-2025</t>
        </is>
      </c>
      <c r="B260" s="1" t="n">
        <v>45824</v>
      </c>
      <c r="C260" s="1" t="n">
        <v>46039</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61532-2021</t>
        </is>
      </c>
      <c r="B261" s="1" t="n">
        <v>44501</v>
      </c>
      <c r="C261" s="1" t="n">
        <v>46039</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3374-2023</t>
        </is>
      </c>
      <c r="B262" s="1" t="n">
        <v>44949</v>
      </c>
      <c r="C262" s="1" t="n">
        <v>46039</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224-2024</t>
        </is>
      </c>
      <c r="B263" s="1" t="n">
        <v>45294</v>
      </c>
      <c r="C263" s="1" t="n">
        <v>46039</v>
      </c>
      <c r="D263" t="inlineStr">
        <is>
          <t>ÖSTERGÖTLANDS LÄN</t>
        </is>
      </c>
      <c r="E263" t="inlineStr">
        <is>
          <t>LINKÖPING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6726-2024</t>
        </is>
      </c>
      <c r="B264" s="1" t="n">
        <v>45341</v>
      </c>
      <c r="C264" s="1" t="n">
        <v>46039</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13689-2025</t>
        </is>
      </c>
      <c r="B265" s="1" t="n">
        <v>45737.31590277778</v>
      </c>
      <c r="C265" s="1" t="n">
        <v>46039</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13696-2025</t>
        </is>
      </c>
      <c r="B266" s="1" t="n">
        <v>45737.32273148148</v>
      </c>
      <c r="C266" s="1" t="n">
        <v>46039</v>
      </c>
      <c r="D266" t="inlineStr">
        <is>
          <t>ÖSTERGÖTLANDS LÄN</t>
        </is>
      </c>
      <c r="E266" t="inlineStr">
        <is>
          <t>LINKÖPING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12428-2024</t>
        </is>
      </c>
      <c r="B267" s="1" t="n">
        <v>45379</v>
      </c>
      <c r="C267" s="1" t="n">
        <v>46039</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42623-2025</t>
        </is>
      </c>
      <c r="B268" s="1" t="n">
        <v>45905</v>
      </c>
      <c r="C268" s="1" t="n">
        <v>46039</v>
      </c>
      <c r="D268" t="inlineStr">
        <is>
          <t>ÖSTERGÖTLANDS LÄN</t>
        </is>
      </c>
      <c r="E268" t="inlineStr">
        <is>
          <t>LINKÖPING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55004-2025</t>
        </is>
      </c>
      <c r="B269" s="1" t="n">
        <v>45967</v>
      </c>
      <c r="C269" s="1" t="n">
        <v>46039</v>
      </c>
      <c r="D269" t="inlineStr">
        <is>
          <t>ÖSTERGÖTLANDS LÄN</t>
        </is>
      </c>
      <c r="E269" t="inlineStr">
        <is>
          <t>LINKÖPING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53814-2023</t>
        </is>
      </c>
      <c r="B270" s="1" t="n">
        <v>45231</v>
      </c>
      <c r="C270" s="1" t="n">
        <v>46039</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42624-2025</t>
        </is>
      </c>
      <c r="B271" s="1" t="n">
        <v>45905</v>
      </c>
      <c r="C271" s="1" t="n">
        <v>46039</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42626-2025</t>
        </is>
      </c>
      <c r="B272" s="1" t="n">
        <v>45905</v>
      </c>
      <c r="C272" s="1" t="n">
        <v>46039</v>
      </c>
      <c r="D272" t="inlineStr">
        <is>
          <t>ÖSTERGÖTLANDS LÄN</t>
        </is>
      </c>
      <c r="E272" t="inlineStr">
        <is>
          <t>LINKÖPING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927-2026</t>
        </is>
      </c>
      <c r="B273" s="1" t="n">
        <v>46030.50560185185</v>
      </c>
      <c r="C273" s="1" t="n">
        <v>46039</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856-2026</t>
        </is>
      </c>
      <c r="B274" s="1" t="n">
        <v>46030.40644675926</v>
      </c>
      <c r="C274" s="1" t="n">
        <v>46039</v>
      </c>
      <c r="D274" t="inlineStr">
        <is>
          <t>ÖSTERGÖTLANDS LÄN</t>
        </is>
      </c>
      <c r="E274" t="inlineStr">
        <is>
          <t>LINKÖPING</t>
        </is>
      </c>
      <c r="G274" t="n">
        <v>6.4</v>
      </c>
      <c r="H274" t="n">
        <v>0</v>
      </c>
      <c r="I274" t="n">
        <v>0</v>
      </c>
      <c r="J274" t="n">
        <v>0</v>
      </c>
      <c r="K274" t="n">
        <v>0</v>
      </c>
      <c r="L274" t="n">
        <v>0</v>
      </c>
      <c r="M274" t="n">
        <v>0</v>
      </c>
      <c r="N274" t="n">
        <v>0</v>
      </c>
      <c r="O274" t="n">
        <v>0</v>
      </c>
      <c r="P274" t="n">
        <v>0</v>
      </c>
      <c r="Q274" t="n">
        <v>0</v>
      </c>
      <c r="R274" s="2" t="inlineStr"/>
    </row>
    <row r="275" ht="15" customHeight="1">
      <c r="A275" t="inlineStr">
        <is>
          <t>A 46225-2021</t>
        </is>
      </c>
      <c r="B275" s="1" t="n">
        <v>44442</v>
      </c>
      <c r="C275" s="1" t="n">
        <v>46039</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54428-2022</t>
        </is>
      </c>
      <c r="B276" s="1" t="n">
        <v>44882.57643518518</v>
      </c>
      <c r="C276" s="1" t="n">
        <v>46039</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60004-2022</t>
        </is>
      </c>
      <c r="B277" s="1" t="n">
        <v>44909.47206018519</v>
      </c>
      <c r="C277" s="1" t="n">
        <v>46039</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859-2026</t>
        </is>
      </c>
      <c r="B278" s="1" t="n">
        <v>46030.41450231482</v>
      </c>
      <c r="C278" s="1" t="n">
        <v>46039</v>
      </c>
      <c r="D278" t="inlineStr">
        <is>
          <t>ÖSTERGÖTLANDS LÄN</t>
        </is>
      </c>
      <c r="E278" t="inlineStr">
        <is>
          <t>LINKÖPING</t>
        </is>
      </c>
      <c r="G278" t="n">
        <v>0.2</v>
      </c>
      <c r="H278" t="n">
        <v>0</v>
      </c>
      <c r="I278" t="n">
        <v>0</v>
      </c>
      <c r="J278" t="n">
        <v>0</v>
      </c>
      <c r="K278" t="n">
        <v>0</v>
      </c>
      <c r="L278" t="n">
        <v>0</v>
      </c>
      <c r="M278" t="n">
        <v>0</v>
      </c>
      <c r="N278" t="n">
        <v>0</v>
      </c>
      <c r="O278" t="n">
        <v>0</v>
      </c>
      <c r="P278" t="n">
        <v>0</v>
      </c>
      <c r="Q278" t="n">
        <v>0</v>
      </c>
      <c r="R278" s="2" t="inlineStr"/>
    </row>
    <row r="279" ht="15" customHeight="1">
      <c r="A279" t="inlineStr">
        <is>
          <t>A 52796-2023</t>
        </is>
      </c>
      <c r="B279" s="1" t="n">
        <v>45219</v>
      </c>
      <c r="C279" s="1" t="n">
        <v>46039</v>
      </c>
      <c r="D279" t="inlineStr">
        <is>
          <t>ÖSTERGÖTLANDS LÄN</t>
        </is>
      </c>
      <c r="E279" t="inlineStr">
        <is>
          <t>LINKÖPING</t>
        </is>
      </c>
      <c r="F279" t="inlineStr">
        <is>
          <t>Övriga statliga verk och myndigheter</t>
        </is>
      </c>
      <c r="G279" t="n">
        <v>3.9</v>
      </c>
      <c r="H279" t="n">
        <v>0</v>
      </c>
      <c r="I279" t="n">
        <v>0</v>
      </c>
      <c r="J279" t="n">
        <v>0</v>
      </c>
      <c r="K279" t="n">
        <v>0</v>
      </c>
      <c r="L279" t="n">
        <v>0</v>
      </c>
      <c r="M279" t="n">
        <v>0</v>
      </c>
      <c r="N279" t="n">
        <v>0</v>
      </c>
      <c r="O279" t="n">
        <v>0</v>
      </c>
      <c r="P279" t="n">
        <v>0</v>
      </c>
      <c r="Q279" t="n">
        <v>0</v>
      </c>
      <c r="R279" s="2" t="inlineStr"/>
    </row>
    <row r="280" ht="15" customHeight="1">
      <c r="A280" t="inlineStr">
        <is>
          <t>A 50743-2023</t>
        </is>
      </c>
      <c r="B280" s="1" t="n">
        <v>45217</v>
      </c>
      <c r="C280" s="1" t="n">
        <v>46039</v>
      </c>
      <c r="D280" t="inlineStr">
        <is>
          <t>ÖSTERGÖTLANDS LÄN</t>
        </is>
      </c>
      <c r="E280" t="inlineStr">
        <is>
          <t>LINKÖPING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11790-2024</t>
        </is>
      </c>
      <c r="B281" s="1" t="n">
        <v>45374</v>
      </c>
      <c r="C281" s="1" t="n">
        <v>46039</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48962-2022</t>
        </is>
      </c>
      <c r="B282" s="1" t="n">
        <v>44860.31635416667</v>
      </c>
      <c r="C282" s="1" t="n">
        <v>46039</v>
      </c>
      <c r="D282" t="inlineStr">
        <is>
          <t>ÖSTERGÖTLANDS LÄN</t>
        </is>
      </c>
      <c r="E282" t="inlineStr">
        <is>
          <t>LINKÖPING</t>
        </is>
      </c>
      <c r="G282" t="n">
        <v>2.9</v>
      </c>
      <c r="H282" t="n">
        <v>0</v>
      </c>
      <c r="I282" t="n">
        <v>0</v>
      </c>
      <c r="J282" t="n">
        <v>0</v>
      </c>
      <c r="K282" t="n">
        <v>0</v>
      </c>
      <c r="L282" t="n">
        <v>0</v>
      </c>
      <c r="M282" t="n">
        <v>0</v>
      </c>
      <c r="N282" t="n">
        <v>0</v>
      </c>
      <c r="O282" t="n">
        <v>0</v>
      </c>
      <c r="P282" t="n">
        <v>0</v>
      </c>
      <c r="Q282" t="n">
        <v>0</v>
      </c>
      <c r="R282" s="2" t="inlineStr"/>
    </row>
    <row r="283" ht="15" customHeight="1">
      <c r="A283" t="inlineStr">
        <is>
          <t>A 53647-2021</t>
        </is>
      </c>
      <c r="B283" s="1" t="n">
        <v>44469</v>
      </c>
      <c r="C283" s="1" t="n">
        <v>46039</v>
      </c>
      <c r="D283" t="inlineStr">
        <is>
          <t>ÖSTERGÖTLANDS LÄN</t>
        </is>
      </c>
      <c r="E283" t="inlineStr">
        <is>
          <t>LINKÖPING</t>
        </is>
      </c>
      <c r="G283" t="n">
        <v>2.3</v>
      </c>
      <c r="H283" t="n">
        <v>0</v>
      </c>
      <c r="I283" t="n">
        <v>0</v>
      </c>
      <c r="J283" t="n">
        <v>0</v>
      </c>
      <c r="K283" t="n">
        <v>0</v>
      </c>
      <c r="L283" t="n">
        <v>0</v>
      </c>
      <c r="M283" t="n">
        <v>0</v>
      </c>
      <c r="N283" t="n">
        <v>0</v>
      </c>
      <c r="O283" t="n">
        <v>0</v>
      </c>
      <c r="P283" t="n">
        <v>0</v>
      </c>
      <c r="Q283" t="n">
        <v>0</v>
      </c>
      <c r="R283" s="2" t="inlineStr"/>
    </row>
    <row r="284" ht="15" customHeight="1">
      <c r="A284" t="inlineStr">
        <is>
          <t>A 22772-2024</t>
        </is>
      </c>
      <c r="B284" s="1" t="n">
        <v>45448.46712962963</v>
      </c>
      <c r="C284" s="1" t="n">
        <v>46039</v>
      </c>
      <c r="D284" t="inlineStr">
        <is>
          <t>ÖSTERGÖTLANDS LÄN</t>
        </is>
      </c>
      <c r="E284" t="inlineStr">
        <is>
          <t>LINKÖPING</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18916-2024</t>
        </is>
      </c>
      <c r="B285" s="1" t="n">
        <v>45427.39541666667</v>
      </c>
      <c r="C285" s="1" t="n">
        <v>46039</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45771-2023</t>
        </is>
      </c>
      <c r="B286" s="1" t="n">
        <v>45195.4384375</v>
      </c>
      <c r="C286" s="1" t="n">
        <v>46039</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24586-2024</t>
        </is>
      </c>
      <c r="B287" s="1" t="n">
        <v>45460.46664351852</v>
      </c>
      <c r="C287" s="1" t="n">
        <v>46039</v>
      </c>
      <c r="D287" t="inlineStr">
        <is>
          <t>ÖSTERGÖTLANDS LÄN</t>
        </is>
      </c>
      <c r="E287" t="inlineStr">
        <is>
          <t>LINKÖPING</t>
        </is>
      </c>
      <c r="G287" t="n">
        <v>4</v>
      </c>
      <c r="H287" t="n">
        <v>0</v>
      </c>
      <c r="I287" t="n">
        <v>0</v>
      </c>
      <c r="J287" t="n">
        <v>0</v>
      </c>
      <c r="K287" t="n">
        <v>0</v>
      </c>
      <c r="L287" t="n">
        <v>0</v>
      </c>
      <c r="M287" t="n">
        <v>0</v>
      </c>
      <c r="N287" t="n">
        <v>0</v>
      </c>
      <c r="O287" t="n">
        <v>0</v>
      </c>
      <c r="P287" t="n">
        <v>0</v>
      </c>
      <c r="Q287" t="n">
        <v>0</v>
      </c>
      <c r="R287" s="2" t="inlineStr"/>
    </row>
    <row r="288" ht="15" customHeight="1">
      <c r="A288" t="inlineStr">
        <is>
          <t>A 17124-2025</t>
        </is>
      </c>
      <c r="B288" s="1" t="n">
        <v>45755.69678240741</v>
      </c>
      <c r="C288" s="1" t="n">
        <v>46039</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17126-2025</t>
        </is>
      </c>
      <c r="B289" s="1" t="n">
        <v>45755.70814814815</v>
      </c>
      <c r="C289" s="1" t="n">
        <v>46039</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17143-2025</t>
        </is>
      </c>
      <c r="B290" s="1" t="n">
        <v>45755.92731481481</v>
      </c>
      <c r="C290" s="1" t="n">
        <v>46039</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60866-2025</t>
        </is>
      </c>
      <c r="B291" s="1" t="n">
        <v>45999</v>
      </c>
      <c r="C291" s="1" t="n">
        <v>46039</v>
      </c>
      <c r="D291" t="inlineStr">
        <is>
          <t>ÖSTERGÖTLANDS LÄN</t>
        </is>
      </c>
      <c r="E291" t="inlineStr">
        <is>
          <t>LINKÖPING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59205-2025</t>
        </is>
      </c>
      <c r="B292" s="1" t="n">
        <v>45988.60721064815</v>
      </c>
      <c r="C292" s="1" t="n">
        <v>46039</v>
      </c>
      <c r="D292" t="inlineStr">
        <is>
          <t>ÖSTERGÖTLANDS LÄN</t>
        </is>
      </c>
      <c r="E292" t="inlineStr">
        <is>
          <t>LINKÖPING</t>
        </is>
      </c>
      <c r="F292" t="inlineStr">
        <is>
          <t>Sveaskog</t>
        </is>
      </c>
      <c r="G292" t="n">
        <v>11.3</v>
      </c>
      <c r="H292" t="n">
        <v>0</v>
      </c>
      <c r="I292" t="n">
        <v>0</v>
      </c>
      <c r="J292" t="n">
        <v>0</v>
      </c>
      <c r="K292" t="n">
        <v>0</v>
      </c>
      <c r="L292" t="n">
        <v>0</v>
      </c>
      <c r="M292" t="n">
        <v>0</v>
      </c>
      <c r="N292" t="n">
        <v>0</v>
      </c>
      <c r="O292" t="n">
        <v>0</v>
      </c>
      <c r="P292" t="n">
        <v>0</v>
      </c>
      <c r="Q292" t="n">
        <v>0</v>
      </c>
      <c r="R292" s="2" t="inlineStr"/>
    </row>
    <row r="293" ht="15" customHeight="1">
      <c r="A293" t="inlineStr">
        <is>
          <t>A 873-2026</t>
        </is>
      </c>
      <c r="B293" s="1" t="n">
        <v>46030.43818287037</v>
      </c>
      <c r="C293" s="1" t="n">
        <v>46039</v>
      </c>
      <c r="D293" t="inlineStr">
        <is>
          <t>ÖSTERGÖTLANDS LÄN</t>
        </is>
      </c>
      <c r="E293" t="inlineStr">
        <is>
          <t>LINKÖPING</t>
        </is>
      </c>
      <c r="G293" t="n">
        <v>4.1</v>
      </c>
      <c r="H293" t="n">
        <v>0</v>
      </c>
      <c r="I293" t="n">
        <v>0</v>
      </c>
      <c r="J293" t="n">
        <v>0</v>
      </c>
      <c r="K293" t="n">
        <v>0</v>
      </c>
      <c r="L293" t="n">
        <v>0</v>
      </c>
      <c r="M293" t="n">
        <v>0</v>
      </c>
      <c r="N293" t="n">
        <v>0</v>
      </c>
      <c r="O293" t="n">
        <v>0</v>
      </c>
      <c r="P293" t="n">
        <v>0</v>
      </c>
      <c r="Q293" t="n">
        <v>0</v>
      </c>
      <c r="R293" s="2" t="inlineStr"/>
    </row>
    <row r="294" ht="15" customHeight="1">
      <c r="A294" t="inlineStr">
        <is>
          <t>A 63554-2023</t>
        </is>
      </c>
      <c r="B294" s="1" t="n">
        <v>45275</v>
      </c>
      <c r="C294" s="1" t="n">
        <v>46039</v>
      </c>
      <c r="D294" t="inlineStr">
        <is>
          <t>ÖSTERGÖTLANDS LÄN</t>
        </is>
      </c>
      <c r="E294" t="inlineStr">
        <is>
          <t>LINKÖPING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30111-2024</t>
        </is>
      </c>
      <c r="B295" s="1" t="n">
        <v>45489.46947916667</v>
      </c>
      <c r="C295" s="1" t="n">
        <v>46039</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30119-2024</t>
        </is>
      </c>
      <c r="B296" s="1" t="n">
        <v>45489</v>
      </c>
      <c r="C296" s="1" t="n">
        <v>46039</v>
      </c>
      <c r="D296" t="inlineStr">
        <is>
          <t>ÖSTERGÖTLANDS LÄN</t>
        </is>
      </c>
      <c r="E296" t="inlineStr">
        <is>
          <t>LINKÖPING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6206-2024</t>
        </is>
      </c>
      <c r="B297" s="1" t="n">
        <v>45337.5977662037</v>
      </c>
      <c r="C297" s="1" t="n">
        <v>46039</v>
      </c>
      <c r="D297" t="inlineStr">
        <is>
          <t>ÖSTERGÖTLANDS LÄN</t>
        </is>
      </c>
      <c r="E297" t="inlineStr">
        <is>
          <t>LINKÖPING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39017-2021</t>
        </is>
      </c>
      <c r="B298" s="1" t="n">
        <v>44412</v>
      </c>
      <c r="C298" s="1" t="n">
        <v>46039</v>
      </c>
      <c r="D298" t="inlineStr">
        <is>
          <t>ÖSTERGÖTLANDS LÄN</t>
        </is>
      </c>
      <c r="E298" t="inlineStr">
        <is>
          <t>LINKÖPING</t>
        </is>
      </c>
      <c r="F298" t="inlineStr">
        <is>
          <t>Övriga statliga verk och myndigheter</t>
        </is>
      </c>
      <c r="G298" t="n">
        <v>0.8</v>
      </c>
      <c r="H298" t="n">
        <v>0</v>
      </c>
      <c r="I298" t="n">
        <v>0</v>
      </c>
      <c r="J298" t="n">
        <v>0</v>
      </c>
      <c r="K298" t="n">
        <v>0</v>
      </c>
      <c r="L298" t="n">
        <v>0</v>
      </c>
      <c r="M298" t="n">
        <v>0</v>
      </c>
      <c r="N298" t="n">
        <v>0</v>
      </c>
      <c r="O298" t="n">
        <v>0</v>
      </c>
      <c r="P298" t="n">
        <v>0</v>
      </c>
      <c r="Q298" t="n">
        <v>0</v>
      </c>
      <c r="R298" s="2" t="inlineStr"/>
    </row>
    <row r="299" ht="15" customHeight="1">
      <c r="A299" t="inlineStr">
        <is>
          <t>A 16820-2024</t>
        </is>
      </c>
      <c r="B299" s="1" t="n">
        <v>45411.46809027778</v>
      </c>
      <c r="C299" s="1" t="n">
        <v>46039</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58802-2025</t>
        </is>
      </c>
      <c r="B300" s="1" t="n">
        <v>45986.8768287037</v>
      </c>
      <c r="C300" s="1" t="n">
        <v>46039</v>
      </c>
      <c r="D300" t="inlineStr">
        <is>
          <t>ÖSTERGÖTLANDS LÄN</t>
        </is>
      </c>
      <c r="E300" t="inlineStr">
        <is>
          <t>LINKÖPING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858-2026</t>
        </is>
      </c>
      <c r="B301" s="1" t="n">
        <v>46030.41200231481</v>
      </c>
      <c r="C301" s="1" t="n">
        <v>46039</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860-2026</t>
        </is>
      </c>
      <c r="B302" s="1" t="n">
        <v>46030.41974537037</v>
      </c>
      <c r="C302" s="1" t="n">
        <v>46039</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940-2026</t>
        </is>
      </c>
      <c r="B303" s="1" t="n">
        <v>46030.53052083333</v>
      </c>
      <c r="C303" s="1" t="n">
        <v>46039</v>
      </c>
      <c r="D303" t="inlineStr">
        <is>
          <t>ÖSTERGÖTLANDS LÄN</t>
        </is>
      </c>
      <c r="E303" t="inlineStr">
        <is>
          <t>LINKÖPING</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944-2026</t>
        </is>
      </c>
      <c r="B304" s="1" t="n">
        <v>46030.53461805556</v>
      </c>
      <c r="C304" s="1" t="n">
        <v>46039</v>
      </c>
      <c r="D304" t="inlineStr">
        <is>
          <t>ÖSTERGÖTLANDS LÄN</t>
        </is>
      </c>
      <c r="E304" t="inlineStr">
        <is>
          <t>LINKÖPING</t>
        </is>
      </c>
      <c r="F304" t="inlineStr">
        <is>
          <t>Allmännings- och besparingsskogar</t>
        </is>
      </c>
      <c r="G304" t="n">
        <v>0.9</v>
      </c>
      <c r="H304" t="n">
        <v>0</v>
      </c>
      <c r="I304" t="n">
        <v>0</v>
      </c>
      <c r="J304" t="n">
        <v>0</v>
      </c>
      <c r="K304" t="n">
        <v>0</v>
      </c>
      <c r="L304" t="n">
        <v>0</v>
      </c>
      <c r="M304" t="n">
        <v>0</v>
      </c>
      <c r="N304" t="n">
        <v>0</v>
      </c>
      <c r="O304" t="n">
        <v>0</v>
      </c>
      <c r="P304" t="n">
        <v>0</v>
      </c>
      <c r="Q304" t="n">
        <v>0</v>
      </c>
      <c r="R304" s="2" t="inlineStr"/>
    </row>
    <row r="305" ht="15" customHeight="1">
      <c r="A305" t="inlineStr">
        <is>
          <t>A 15714-2024</t>
        </is>
      </c>
      <c r="B305" s="1" t="n">
        <v>45404.48288194444</v>
      </c>
      <c r="C305" s="1" t="n">
        <v>46039</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30481-2023</t>
        </is>
      </c>
      <c r="B306" s="1" t="n">
        <v>45111</v>
      </c>
      <c r="C306" s="1" t="n">
        <v>46039</v>
      </c>
      <c r="D306" t="inlineStr">
        <is>
          <t>ÖSTERGÖTLANDS LÄN</t>
        </is>
      </c>
      <c r="E306" t="inlineStr">
        <is>
          <t>LINKÖPING</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30980-2022</t>
        </is>
      </c>
      <c r="B307" s="1" t="n">
        <v>44768</v>
      </c>
      <c r="C307" s="1" t="n">
        <v>46039</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24351-2024</t>
        </is>
      </c>
      <c r="B308" s="1" t="n">
        <v>45457.59011574074</v>
      </c>
      <c r="C308" s="1" t="n">
        <v>46039</v>
      </c>
      <c r="D308" t="inlineStr">
        <is>
          <t>ÖSTERGÖTLANDS LÄN</t>
        </is>
      </c>
      <c r="E308" t="inlineStr">
        <is>
          <t>LINKÖPING</t>
        </is>
      </c>
      <c r="G308" t="n">
        <v>11.9</v>
      </c>
      <c r="H308" t="n">
        <v>0</v>
      </c>
      <c r="I308" t="n">
        <v>0</v>
      </c>
      <c r="J308" t="n">
        <v>0</v>
      </c>
      <c r="K308" t="n">
        <v>0</v>
      </c>
      <c r="L308" t="n">
        <v>0</v>
      </c>
      <c r="M308" t="n">
        <v>0</v>
      </c>
      <c r="N308" t="n">
        <v>0</v>
      </c>
      <c r="O308" t="n">
        <v>0</v>
      </c>
      <c r="P308" t="n">
        <v>0</v>
      </c>
      <c r="Q308" t="n">
        <v>0</v>
      </c>
      <c r="R308" s="2" t="inlineStr"/>
    </row>
    <row r="309" ht="15" customHeight="1">
      <c r="A309" t="inlineStr">
        <is>
          <t>A 74160-2021</t>
        </is>
      </c>
      <c r="B309" s="1" t="n">
        <v>44558</v>
      </c>
      <c r="C309" s="1" t="n">
        <v>46039</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62501-2023</t>
        </is>
      </c>
      <c r="B310" s="1" t="n">
        <v>45268</v>
      </c>
      <c r="C310" s="1" t="n">
        <v>46039</v>
      </c>
      <c r="D310" t="inlineStr">
        <is>
          <t>ÖSTERGÖTLANDS LÄN</t>
        </is>
      </c>
      <c r="E310" t="inlineStr">
        <is>
          <t>LINKÖPING</t>
        </is>
      </c>
      <c r="G310" t="n">
        <v>7.4</v>
      </c>
      <c r="H310" t="n">
        <v>0</v>
      </c>
      <c r="I310" t="n">
        <v>0</v>
      </c>
      <c r="J310" t="n">
        <v>0</v>
      </c>
      <c r="K310" t="n">
        <v>0</v>
      </c>
      <c r="L310" t="n">
        <v>0</v>
      </c>
      <c r="M310" t="n">
        <v>0</v>
      </c>
      <c r="N310" t="n">
        <v>0</v>
      </c>
      <c r="O310" t="n">
        <v>0</v>
      </c>
      <c r="P310" t="n">
        <v>0</v>
      </c>
      <c r="Q310" t="n">
        <v>0</v>
      </c>
      <c r="R310" s="2" t="inlineStr"/>
    </row>
    <row r="311" ht="15" customHeight="1">
      <c r="A311" t="inlineStr">
        <is>
          <t>A 58947-2022</t>
        </is>
      </c>
      <c r="B311" s="1" t="n">
        <v>44903.64769675926</v>
      </c>
      <c r="C311" s="1" t="n">
        <v>46039</v>
      </c>
      <c r="D311" t="inlineStr">
        <is>
          <t>ÖSTERGÖTLANDS LÄN</t>
        </is>
      </c>
      <c r="E311" t="inlineStr">
        <is>
          <t>LINKÖPING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59472-2025</t>
        </is>
      </c>
      <c r="B312" s="1" t="n">
        <v>45989.58321759259</v>
      </c>
      <c r="C312" s="1" t="n">
        <v>46039</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63559-2023</t>
        </is>
      </c>
      <c r="B313" s="1" t="n">
        <v>45275.35924768518</v>
      </c>
      <c r="C313" s="1" t="n">
        <v>46039</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49979-2022</t>
        </is>
      </c>
      <c r="B314" s="1" t="n">
        <v>44865</v>
      </c>
      <c r="C314" s="1" t="n">
        <v>46039</v>
      </c>
      <c r="D314" t="inlineStr">
        <is>
          <t>ÖSTERGÖTLANDS LÄN</t>
        </is>
      </c>
      <c r="E314" t="inlineStr">
        <is>
          <t>LINKÖPING</t>
        </is>
      </c>
      <c r="F314" t="inlineStr">
        <is>
          <t>Övriga Aktiebolag</t>
        </is>
      </c>
      <c r="G314" t="n">
        <v>11.4</v>
      </c>
      <c r="H314" t="n">
        <v>0</v>
      </c>
      <c r="I314" t="n">
        <v>0</v>
      </c>
      <c r="J314" t="n">
        <v>0</v>
      </c>
      <c r="K314" t="n">
        <v>0</v>
      </c>
      <c r="L314" t="n">
        <v>0</v>
      </c>
      <c r="M314" t="n">
        <v>0</v>
      </c>
      <c r="N314" t="n">
        <v>0</v>
      </c>
      <c r="O314" t="n">
        <v>0</v>
      </c>
      <c r="P314" t="n">
        <v>0</v>
      </c>
      <c r="Q314" t="n">
        <v>0</v>
      </c>
      <c r="R314" s="2" t="inlineStr"/>
    </row>
    <row r="315" ht="15" customHeight="1">
      <c r="A315" t="inlineStr">
        <is>
          <t>A 23491-2024</t>
        </is>
      </c>
      <c r="B315" s="1" t="n">
        <v>45453</v>
      </c>
      <c r="C315" s="1" t="n">
        <v>46039</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46039</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29309-2024</t>
        </is>
      </c>
      <c r="B317" s="1" t="n">
        <v>45483</v>
      </c>
      <c r="C317" s="1" t="n">
        <v>46039</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29411-2023</t>
        </is>
      </c>
      <c r="B318" s="1" t="n">
        <v>45106.46225694445</v>
      </c>
      <c r="C318" s="1" t="n">
        <v>46039</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29412-2023</t>
        </is>
      </c>
      <c r="B319" s="1" t="n">
        <v>45106.46359953703</v>
      </c>
      <c r="C319" s="1" t="n">
        <v>46039</v>
      </c>
      <c r="D319" t="inlineStr">
        <is>
          <t>ÖSTERGÖTLANDS LÄN</t>
        </is>
      </c>
      <c r="E319" t="inlineStr">
        <is>
          <t>LINKÖPING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29413-2023</t>
        </is>
      </c>
      <c r="B320" s="1" t="n">
        <v>45106.46465277778</v>
      </c>
      <c r="C320" s="1" t="n">
        <v>46039</v>
      </c>
      <c r="D320" t="inlineStr">
        <is>
          <t>ÖSTERGÖTLANDS LÄN</t>
        </is>
      </c>
      <c r="E320" t="inlineStr">
        <is>
          <t>LINKÖPING</t>
        </is>
      </c>
      <c r="G320" t="n">
        <v>8</v>
      </c>
      <c r="H320" t="n">
        <v>0</v>
      </c>
      <c r="I320" t="n">
        <v>0</v>
      </c>
      <c r="J320" t="n">
        <v>0</v>
      </c>
      <c r="K320" t="n">
        <v>0</v>
      </c>
      <c r="L320" t="n">
        <v>0</v>
      </c>
      <c r="M320" t="n">
        <v>0</v>
      </c>
      <c r="N320" t="n">
        <v>0</v>
      </c>
      <c r="O320" t="n">
        <v>0</v>
      </c>
      <c r="P320" t="n">
        <v>0</v>
      </c>
      <c r="Q320" t="n">
        <v>0</v>
      </c>
      <c r="R320" s="2" t="inlineStr"/>
    </row>
    <row r="321" ht="15" customHeight="1">
      <c r="A321" t="inlineStr">
        <is>
          <t>A 43753-2025</t>
        </is>
      </c>
      <c r="B321" s="1" t="n">
        <v>45912.4715625</v>
      </c>
      <c r="C321" s="1" t="n">
        <v>46039</v>
      </c>
      <c r="D321" t="inlineStr">
        <is>
          <t>ÖSTERGÖTLANDS LÄN</t>
        </is>
      </c>
      <c r="E321" t="inlineStr">
        <is>
          <t>LINKÖPING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43758-2025</t>
        </is>
      </c>
      <c r="B322" s="1" t="n">
        <v>45912.47711805555</v>
      </c>
      <c r="C322" s="1" t="n">
        <v>46039</v>
      </c>
      <c r="D322" t="inlineStr">
        <is>
          <t>ÖSTERGÖTLANDS LÄN</t>
        </is>
      </c>
      <c r="E322" t="inlineStr">
        <is>
          <t>LINKÖPING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44170-2025</t>
        </is>
      </c>
      <c r="B323" s="1" t="n">
        <v>45915.59864583334</v>
      </c>
      <c r="C323" s="1" t="n">
        <v>46039</v>
      </c>
      <c r="D323" t="inlineStr">
        <is>
          <t>ÖSTERGÖTLANDS LÄN</t>
        </is>
      </c>
      <c r="E323" t="inlineStr">
        <is>
          <t>LINKÖPING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24151-2024</t>
        </is>
      </c>
      <c r="B324" s="1" t="n">
        <v>45456.67717592593</v>
      </c>
      <c r="C324" s="1" t="n">
        <v>46039</v>
      </c>
      <c r="D324" t="inlineStr">
        <is>
          <t>ÖSTERGÖTLANDS LÄN</t>
        </is>
      </c>
      <c r="E324" t="inlineStr">
        <is>
          <t>LINKÖPING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53827-2023</t>
        </is>
      </c>
      <c r="B325" s="1" t="n">
        <v>45230</v>
      </c>
      <c r="C325" s="1" t="n">
        <v>46039</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63845-2021</t>
        </is>
      </c>
      <c r="B326" s="1" t="n">
        <v>44509</v>
      </c>
      <c r="C326" s="1" t="n">
        <v>46039</v>
      </c>
      <c r="D326" t="inlineStr">
        <is>
          <t>ÖSTERGÖTLANDS LÄN</t>
        </is>
      </c>
      <c r="E326" t="inlineStr">
        <is>
          <t>LINKÖPING</t>
        </is>
      </c>
      <c r="G326" t="n">
        <v>5</v>
      </c>
      <c r="H326" t="n">
        <v>0</v>
      </c>
      <c r="I326" t="n">
        <v>0</v>
      </c>
      <c r="J326" t="n">
        <v>0</v>
      </c>
      <c r="K326" t="n">
        <v>0</v>
      </c>
      <c r="L326" t="n">
        <v>0</v>
      </c>
      <c r="M326" t="n">
        <v>0</v>
      </c>
      <c r="N326" t="n">
        <v>0</v>
      </c>
      <c r="O326" t="n">
        <v>0</v>
      </c>
      <c r="P326" t="n">
        <v>0</v>
      </c>
      <c r="Q326" t="n">
        <v>0</v>
      </c>
      <c r="R326" s="2" t="inlineStr"/>
    </row>
    <row r="327" ht="15" customHeight="1">
      <c r="A327" t="inlineStr">
        <is>
          <t>A 1223-2026</t>
        </is>
      </c>
      <c r="B327" s="1" t="n">
        <v>46031.40233796297</v>
      </c>
      <c r="C327" s="1" t="n">
        <v>46039</v>
      </c>
      <c r="D327" t="inlineStr">
        <is>
          <t>ÖSTERGÖTLANDS LÄN</t>
        </is>
      </c>
      <c r="E327" t="inlineStr">
        <is>
          <t>LINKÖPING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17785-2023</t>
        </is>
      </c>
      <c r="B328" s="1" t="n">
        <v>45037.55094907407</v>
      </c>
      <c r="C328" s="1" t="n">
        <v>46039</v>
      </c>
      <c r="D328" t="inlineStr">
        <is>
          <t>ÖSTERGÖTLANDS LÄN</t>
        </is>
      </c>
      <c r="E328" t="inlineStr">
        <is>
          <t>LINKÖPING</t>
        </is>
      </c>
      <c r="F328" t="inlineStr">
        <is>
          <t>Allmännings- och besparingsskogar</t>
        </is>
      </c>
      <c r="G328" t="n">
        <v>3.1</v>
      </c>
      <c r="H328" t="n">
        <v>0</v>
      </c>
      <c r="I328" t="n">
        <v>0</v>
      </c>
      <c r="J328" t="n">
        <v>0</v>
      </c>
      <c r="K328" t="n">
        <v>0</v>
      </c>
      <c r="L328" t="n">
        <v>0</v>
      </c>
      <c r="M328" t="n">
        <v>0</v>
      </c>
      <c r="N328" t="n">
        <v>0</v>
      </c>
      <c r="O328" t="n">
        <v>0</v>
      </c>
      <c r="P328" t="n">
        <v>0</v>
      </c>
      <c r="Q328" t="n">
        <v>0</v>
      </c>
      <c r="R328" s="2" t="inlineStr"/>
    </row>
    <row r="329" ht="15" customHeight="1">
      <c r="A329" t="inlineStr">
        <is>
          <t>A 32346-2023</t>
        </is>
      </c>
      <c r="B329" s="1" t="n">
        <v>45120</v>
      </c>
      <c r="C329" s="1" t="n">
        <v>46039</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1627-2023</t>
        </is>
      </c>
      <c r="B330" s="1" t="n">
        <v>44937</v>
      </c>
      <c r="C330" s="1" t="n">
        <v>46039</v>
      </c>
      <c r="D330" t="inlineStr">
        <is>
          <t>ÖSTERGÖTLANDS LÄN</t>
        </is>
      </c>
      <c r="E330" t="inlineStr">
        <is>
          <t>LINKÖPING</t>
        </is>
      </c>
      <c r="G330" t="n">
        <v>10.8</v>
      </c>
      <c r="H330" t="n">
        <v>0</v>
      </c>
      <c r="I330" t="n">
        <v>0</v>
      </c>
      <c r="J330" t="n">
        <v>0</v>
      </c>
      <c r="K330" t="n">
        <v>0</v>
      </c>
      <c r="L330" t="n">
        <v>0</v>
      </c>
      <c r="M330" t="n">
        <v>0</v>
      </c>
      <c r="N330" t="n">
        <v>0</v>
      </c>
      <c r="O330" t="n">
        <v>0</v>
      </c>
      <c r="P330" t="n">
        <v>0</v>
      </c>
      <c r="Q330" t="n">
        <v>0</v>
      </c>
      <c r="R330" s="2" t="inlineStr"/>
    </row>
    <row r="331" ht="15" customHeight="1">
      <c r="A331" t="inlineStr">
        <is>
          <t>A 60087-2025</t>
        </is>
      </c>
      <c r="B331" s="1" t="n">
        <v>45993.71726851852</v>
      </c>
      <c r="C331" s="1" t="n">
        <v>46039</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44759-2025</t>
        </is>
      </c>
      <c r="B332" s="1" t="n">
        <v>45917.7152662037</v>
      </c>
      <c r="C332" s="1" t="n">
        <v>46039</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44764-2025</t>
        </is>
      </c>
      <c r="B333" s="1" t="n">
        <v>45917.72821759259</v>
      </c>
      <c r="C333" s="1" t="n">
        <v>46039</v>
      </c>
      <c r="D333" t="inlineStr">
        <is>
          <t>ÖSTERGÖTLANDS LÄN</t>
        </is>
      </c>
      <c r="E333" t="inlineStr">
        <is>
          <t>LINKÖPING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16665-2023</t>
        </is>
      </c>
      <c r="B334" s="1" t="n">
        <v>45030.5583912037</v>
      </c>
      <c r="C334" s="1" t="n">
        <v>46039</v>
      </c>
      <c r="D334" t="inlineStr">
        <is>
          <t>ÖSTERGÖTLANDS LÄN</t>
        </is>
      </c>
      <c r="E334" t="inlineStr">
        <is>
          <t>LINKÖPING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60860-2024</t>
        </is>
      </c>
      <c r="B335" s="1" t="n">
        <v>45644.6893287037</v>
      </c>
      <c r="C335" s="1" t="n">
        <v>46039</v>
      </c>
      <c r="D335" t="inlineStr">
        <is>
          <t>ÖSTERGÖTLANDS LÄN</t>
        </is>
      </c>
      <c r="E335" t="inlineStr">
        <is>
          <t>LINKÖPING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60284-2025</t>
        </is>
      </c>
      <c r="B336" s="1" t="n">
        <v>45994.64373842593</v>
      </c>
      <c r="C336" s="1" t="n">
        <v>46039</v>
      </c>
      <c r="D336" t="inlineStr">
        <is>
          <t>ÖSTERGÖTLANDS LÄN</t>
        </is>
      </c>
      <c r="E336" t="inlineStr">
        <is>
          <t>LINKÖPING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31640-2023</t>
        </is>
      </c>
      <c r="B337" s="1" t="n">
        <v>45117</v>
      </c>
      <c r="C337" s="1" t="n">
        <v>46039</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16213-2025</t>
        </is>
      </c>
      <c r="B338" s="1" t="n">
        <v>45750.62740740741</v>
      </c>
      <c r="C338" s="1" t="n">
        <v>46039</v>
      </c>
      <c r="D338" t="inlineStr">
        <is>
          <t>ÖSTERGÖTLANDS LÄN</t>
        </is>
      </c>
      <c r="E338" t="inlineStr">
        <is>
          <t>LINKÖPING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34872-2023</t>
        </is>
      </c>
      <c r="B339" s="1" t="n">
        <v>45140</v>
      </c>
      <c r="C339" s="1" t="n">
        <v>46039</v>
      </c>
      <c r="D339" t="inlineStr">
        <is>
          <t>ÖSTERGÖTLANDS LÄN</t>
        </is>
      </c>
      <c r="E339" t="inlineStr">
        <is>
          <t>LINKÖPING</t>
        </is>
      </c>
      <c r="G339" t="n">
        <v>4.8</v>
      </c>
      <c r="H339" t="n">
        <v>0</v>
      </c>
      <c r="I339" t="n">
        <v>0</v>
      </c>
      <c r="J339" t="n">
        <v>0</v>
      </c>
      <c r="K339" t="n">
        <v>0</v>
      </c>
      <c r="L339" t="n">
        <v>0</v>
      </c>
      <c r="M339" t="n">
        <v>0</v>
      </c>
      <c r="N339" t="n">
        <v>0</v>
      </c>
      <c r="O339" t="n">
        <v>0</v>
      </c>
      <c r="P339" t="n">
        <v>0</v>
      </c>
      <c r="Q339" t="n">
        <v>0</v>
      </c>
      <c r="R339" s="2" t="inlineStr"/>
    </row>
    <row r="340" ht="15" customHeight="1">
      <c r="A340" t="inlineStr">
        <is>
          <t>A 33000-2023</t>
        </is>
      </c>
      <c r="B340" s="1" t="n">
        <v>45125</v>
      </c>
      <c r="C340" s="1" t="n">
        <v>46039</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60306-2025</t>
        </is>
      </c>
      <c r="B341" s="1" t="n">
        <v>45994.68326388889</v>
      </c>
      <c r="C341" s="1" t="n">
        <v>46039</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2030-2026</t>
        </is>
      </c>
      <c r="B342" s="1" t="n">
        <v>46035.73590277778</v>
      </c>
      <c r="C342" s="1" t="n">
        <v>46039</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45112-2025</t>
        </is>
      </c>
      <c r="B343" s="1" t="n">
        <v>45919</v>
      </c>
      <c r="C343" s="1" t="n">
        <v>46039</v>
      </c>
      <c r="D343" t="inlineStr">
        <is>
          <t>ÖSTERGÖTLANDS LÄN</t>
        </is>
      </c>
      <c r="E343" t="inlineStr">
        <is>
          <t>LINKÖPING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940-2023</t>
        </is>
      </c>
      <c r="B344" s="1" t="n">
        <v>44933</v>
      </c>
      <c r="C344" s="1" t="n">
        <v>46039</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2031-2026</t>
        </is>
      </c>
      <c r="B345" s="1" t="n">
        <v>46035.74182870371</v>
      </c>
      <c r="C345" s="1" t="n">
        <v>46039</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2997-2025</t>
        </is>
      </c>
      <c r="B346" s="1" t="n">
        <v>45678.54631944445</v>
      </c>
      <c r="C346" s="1" t="n">
        <v>46039</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31534-2023</t>
        </is>
      </c>
      <c r="B347" s="1" t="n">
        <v>45116</v>
      </c>
      <c r="C347" s="1" t="n">
        <v>46039</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3044-2026</t>
        </is>
      </c>
      <c r="B348" s="1" t="n">
        <v>46038.73855324074</v>
      </c>
      <c r="C348" s="1" t="n">
        <v>46039</v>
      </c>
      <c r="D348" t="inlineStr">
        <is>
          <t>ÖSTERGÖTLANDS LÄN</t>
        </is>
      </c>
      <c r="E348" t="inlineStr">
        <is>
          <t>LINKÖPING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26803-2024</t>
        </is>
      </c>
      <c r="B349" s="1" t="n">
        <v>45470</v>
      </c>
      <c r="C349" s="1" t="n">
        <v>46039</v>
      </c>
      <c r="D349" t="inlineStr">
        <is>
          <t>ÖSTERGÖTLANDS LÄN</t>
        </is>
      </c>
      <c r="E349" t="inlineStr">
        <is>
          <t>LINKÖPING</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45634-2025</t>
        </is>
      </c>
      <c r="B350" s="1" t="n">
        <v>45922.85089120371</v>
      </c>
      <c r="C350" s="1" t="n">
        <v>46039</v>
      </c>
      <c r="D350" t="inlineStr">
        <is>
          <t>ÖSTERGÖTLANDS LÄN</t>
        </is>
      </c>
      <c r="E350" t="inlineStr">
        <is>
          <t>LINKÖPING</t>
        </is>
      </c>
      <c r="F350" t="inlineStr">
        <is>
          <t>Övriga Aktiebolag</t>
        </is>
      </c>
      <c r="G350" t="n">
        <v>0.3</v>
      </c>
      <c r="H350" t="n">
        <v>0</v>
      </c>
      <c r="I350" t="n">
        <v>0</v>
      </c>
      <c r="J350" t="n">
        <v>0</v>
      </c>
      <c r="K350" t="n">
        <v>0</v>
      </c>
      <c r="L350" t="n">
        <v>0</v>
      </c>
      <c r="M350" t="n">
        <v>0</v>
      </c>
      <c r="N350" t="n">
        <v>0</v>
      </c>
      <c r="O350" t="n">
        <v>0</v>
      </c>
      <c r="P350" t="n">
        <v>0</v>
      </c>
      <c r="Q350" t="n">
        <v>0</v>
      </c>
      <c r="R350" s="2" t="inlineStr"/>
    </row>
    <row r="351" ht="15" customHeight="1">
      <c r="A351" t="inlineStr">
        <is>
          <t>A 45806-2024</t>
        </is>
      </c>
      <c r="B351" s="1" t="n">
        <v>45579.69619212963</v>
      </c>
      <c r="C351" s="1" t="n">
        <v>46039</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45792-2025</t>
        </is>
      </c>
      <c r="B352" s="1" t="n">
        <v>45923.56998842592</v>
      </c>
      <c r="C352" s="1" t="n">
        <v>46039</v>
      </c>
      <c r="D352" t="inlineStr">
        <is>
          <t>ÖSTERGÖTLANDS LÄN</t>
        </is>
      </c>
      <c r="E352" t="inlineStr">
        <is>
          <t>LINKÖPING</t>
        </is>
      </c>
      <c r="G352" t="n">
        <v>2.6</v>
      </c>
      <c r="H352" t="n">
        <v>0</v>
      </c>
      <c r="I352" t="n">
        <v>0</v>
      </c>
      <c r="J352" t="n">
        <v>0</v>
      </c>
      <c r="K352" t="n">
        <v>0</v>
      </c>
      <c r="L352" t="n">
        <v>0</v>
      </c>
      <c r="M352" t="n">
        <v>0</v>
      </c>
      <c r="N352" t="n">
        <v>0</v>
      </c>
      <c r="O352" t="n">
        <v>0</v>
      </c>
      <c r="P352" t="n">
        <v>0</v>
      </c>
      <c r="Q352" t="n">
        <v>0</v>
      </c>
      <c r="R352" s="2" t="inlineStr"/>
    </row>
    <row r="353" ht="15" customHeight="1">
      <c r="A353" t="inlineStr">
        <is>
          <t>A 3045-2026</t>
        </is>
      </c>
      <c r="B353" s="1" t="n">
        <v>46038.74047453704</v>
      </c>
      <c r="C353" s="1" t="n">
        <v>46039</v>
      </c>
      <c r="D353" t="inlineStr">
        <is>
          <t>ÖSTERGÖTLANDS LÄN</t>
        </is>
      </c>
      <c r="E353" t="inlineStr">
        <is>
          <t>LINKÖPING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45804-2025</t>
        </is>
      </c>
      <c r="B354" s="1" t="n">
        <v>45923.5819675926</v>
      </c>
      <c r="C354" s="1" t="n">
        <v>46039</v>
      </c>
      <c r="D354" t="inlineStr">
        <is>
          <t>ÖSTERGÖTLANDS LÄN</t>
        </is>
      </c>
      <c r="E354" t="inlineStr">
        <is>
          <t>LINKÖPING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37154-2023</t>
        </is>
      </c>
      <c r="B355" s="1" t="n">
        <v>45155</v>
      </c>
      <c r="C355" s="1" t="n">
        <v>46039</v>
      </c>
      <c r="D355" t="inlineStr">
        <is>
          <t>ÖSTERGÖTLANDS LÄN</t>
        </is>
      </c>
      <c r="E355" t="inlineStr">
        <is>
          <t>LINKÖPING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46428-2025</t>
        </is>
      </c>
      <c r="B356" s="1" t="n">
        <v>45925.60758101852</v>
      </c>
      <c r="C356" s="1" t="n">
        <v>46039</v>
      </c>
      <c r="D356" t="inlineStr">
        <is>
          <t>ÖSTERGÖTLANDS LÄN</t>
        </is>
      </c>
      <c r="E356" t="inlineStr">
        <is>
          <t>LINKÖPING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11330-2023</t>
        </is>
      </c>
      <c r="B357" s="1" t="n">
        <v>44993.24648148148</v>
      </c>
      <c r="C357" s="1" t="n">
        <v>46039</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46426-2025</t>
        </is>
      </c>
      <c r="B358" s="1" t="n">
        <v>45925.6012962963</v>
      </c>
      <c r="C358" s="1" t="n">
        <v>46039</v>
      </c>
      <c r="D358" t="inlineStr">
        <is>
          <t>ÖSTERGÖTLANDS LÄN</t>
        </is>
      </c>
      <c r="E358" t="inlineStr">
        <is>
          <t>LINKÖPING</t>
        </is>
      </c>
      <c r="G358" t="n">
        <v>4.4</v>
      </c>
      <c r="H358" t="n">
        <v>0</v>
      </c>
      <c r="I358" t="n">
        <v>0</v>
      </c>
      <c r="J358" t="n">
        <v>0</v>
      </c>
      <c r="K358" t="n">
        <v>0</v>
      </c>
      <c r="L358" t="n">
        <v>0</v>
      </c>
      <c r="M358" t="n">
        <v>0</v>
      </c>
      <c r="N358" t="n">
        <v>0</v>
      </c>
      <c r="O358" t="n">
        <v>0</v>
      </c>
      <c r="P358" t="n">
        <v>0</v>
      </c>
      <c r="Q358" t="n">
        <v>0</v>
      </c>
      <c r="R358" s="2" t="inlineStr"/>
    </row>
    <row r="359" ht="15" customHeight="1">
      <c r="A359" t="inlineStr">
        <is>
          <t>A 42000-2023</t>
        </is>
      </c>
      <c r="B359" s="1" t="n">
        <v>45177</v>
      </c>
      <c r="C359" s="1" t="n">
        <v>46039</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60703-2025</t>
        </is>
      </c>
      <c r="B360" s="1" t="n">
        <v>45996.6052662037</v>
      </c>
      <c r="C360" s="1" t="n">
        <v>46039</v>
      </c>
      <c r="D360" t="inlineStr">
        <is>
          <t>ÖSTERGÖTLANDS LÄN</t>
        </is>
      </c>
      <c r="E360" t="inlineStr">
        <is>
          <t>LINKÖPING</t>
        </is>
      </c>
      <c r="F360" t="inlineStr">
        <is>
          <t>Övriga Aktiebolag</t>
        </is>
      </c>
      <c r="G360" t="n">
        <v>1.3</v>
      </c>
      <c r="H360" t="n">
        <v>0</v>
      </c>
      <c r="I360" t="n">
        <v>0</v>
      </c>
      <c r="J360" t="n">
        <v>0</v>
      </c>
      <c r="K360" t="n">
        <v>0</v>
      </c>
      <c r="L360" t="n">
        <v>0</v>
      </c>
      <c r="M360" t="n">
        <v>0</v>
      </c>
      <c r="N360" t="n">
        <v>0</v>
      </c>
      <c r="O360" t="n">
        <v>0</v>
      </c>
      <c r="P360" t="n">
        <v>0</v>
      </c>
      <c r="Q360" t="n">
        <v>0</v>
      </c>
      <c r="R360" s="2" t="inlineStr"/>
    </row>
    <row r="361" ht="15" customHeight="1">
      <c r="A361" t="inlineStr">
        <is>
          <t>A 3043-2026</t>
        </is>
      </c>
      <c r="B361" s="1" t="n">
        <v>46038.73675925926</v>
      </c>
      <c r="C361" s="1" t="n">
        <v>46039</v>
      </c>
      <c r="D361" t="inlineStr">
        <is>
          <t>ÖSTERGÖTLANDS LÄN</t>
        </is>
      </c>
      <c r="E361" t="inlineStr">
        <is>
          <t>LINKÖPING</t>
        </is>
      </c>
      <c r="G361" t="n">
        <v>2.5</v>
      </c>
      <c r="H361" t="n">
        <v>0</v>
      </c>
      <c r="I361" t="n">
        <v>0</v>
      </c>
      <c r="J361" t="n">
        <v>0</v>
      </c>
      <c r="K361" t="n">
        <v>0</v>
      </c>
      <c r="L361" t="n">
        <v>0</v>
      </c>
      <c r="M361" t="n">
        <v>0</v>
      </c>
      <c r="N361" t="n">
        <v>0</v>
      </c>
      <c r="O361" t="n">
        <v>0</v>
      </c>
      <c r="P361" t="n">
        <v>0</v>
      </c>
      <c r="Q361" t="n">
        <v>0</v>
      </c>
      <c r="R361" s="2" t="inlineStr"/>
    </row>
    <row r="362" ht="15" customHeight="1">
      <c r="A362" t="inlineStr">
        <is>
          <t>A 3046-2026</t>
        </is>
      </c>
      <c r="B362" s="1" t="n">
        <v>46038.74182870371</v>
      </c>
      <c r="C362" s="1" t="n">
        <v>46039</v>
      </c>
      <c r="D362" t="inlineStr">
        <is>
          <t>ÖSTERGÖTLANDS LÄN</t>
        </is>
      </c>
      <c r="E362" t="inlineStr">
        <is>
          <t>LINKÖPING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46377-2025</t>
        </is>
      </c>
      <c r="B363" s="1" t="n">
        <v>45925.51773148148</v>
      </c>
      <c r="C363" s="1" t="n">
        <v>46039</v>
      </c>
      <c r="D363" t="inlineStr">
        <is>
          <t>ÖSTERGÖTLANDS LÄN</t>
        </is>
      </c>
      <c r="E363" t="inlineStr">
        <is>
          <t>LINKÖPING</t>
        </is>
      </c>
      <c r="G363" t="n">
        <v>3.1</v>
      </c>
      <c r="H363" t="n">
        <v>0</v>
      </c>
      <c r="I363" t="n">
        <v>0</v>
      </c>
      <c r="J363" t="n">
        <v>0</v>
      </c>
      <c r="K363" t="n">
        <v>0</v>
      </c>
      <c r="L363" t="n">
        <v>0</v>
      </c>
      <c r="M363" t="n">
        <v>0</v>
      </c>
      <c r="N363" t="n">
        <v>0</v>
      </c>
      <c r="O363" t="n">
        <v>0</v>
      </c>
      <c r="P363" t="n">
        <v>0</v>
      </c>
      <c r="Q363" t="n">
        <v>0</v>
      </c>
      <c r="R363" s="2" t="inlineStr"/>
    </row>
    <row r="364" ht="15" customHeight="1">
      <c r="A364" t="inlineStr">
        <is>
          <t>A 7992-2023</t>
        </is>
      </c>
      <c r="B364" s="1" t="n">
        <v>44970</v>
      </c>
      <c r="C364" s="1" t="n">
        <v>46039</v>
      </c>
      <c r="D364" t="inlineStr">
        <is>
          <t>ÖSTERGÖTLANDS LÄN</t>
        </is>
      </c>
      <c r="E364" t="inlineStr">
        <is>
          <t>LINKÖPING</t>
        </is>
      </c>
      <c r="F364" t="inlineStr">
        <is>
          <t>Kommuner</t>
        </is>
      </c>
      <c r="G364" t="n">
        <v>1</v>
      </c>
      <c r="H364" t="n">
        <v>0</v>
      </c>
      <c r="I364" t="n">
        <v>0</v>
      </c>
      <c r="J364" t="n">
        <v>0</v>
      </c>
      <c r="K364" t="n">
        <v>0</v>
      </c>
      <c r="L364" t="n">
        <v>0</v>
      </c>
      <c r="M364" t="n">
        <v>0</v>
      </c>
      <c r="N364" t="n">
        <v>0</v>
      </c>
      <c r="O364" t="n">
        <v>0</v>
      </c>
      <c r="P364" t="n">
        <v>0</v>
      </c>
      <c r="Q364" t="n">
        <v>0</v>
      </c>
      <c r="R364" s="2" t="inlineStr"/>
    </row>
    <row r="365" ht="15" customHeight="1">
      <c r="A365" t="inlineStr">
        <is>
          <t>A 45819-2024</t>
        </is>
      </c>
      <c r="B365" s="1" t="n">
        <v>45579.7454050926</v>
      </c>
      <c r="C365" s="1" t="n">
        <v>46039</v>
      </c>
      <c r="D365" t="inlineStr">
        <is>
          <t>ÖSTERGÖTLANDS LÄN</t>
        </is>
      </c>
      <c r="E365" t="inlineStr">
        <is>
          <t>LINKÖPING</t>
        </is>
      </c>
      <c r="G365" t="n">
        <v>5</v>
      </c>
      <c r="H365" t="n">
        <v>0</v>
      </c>
      <c r="I365" t="n">
        <v>0</v>
      </c>
      <c r="J365" t="n">
        <v>0</v>
      </c>
      <c r="K365" t="n">
        <v>0</v>
      </c>
      <c r="L365" t="n">
        <v>0</v>
      </c>
      <c r="M365" t="n">
        <v>0</v>
      </c>
      <c r="N365" t="n">
        <v>0</v>
      </c>
      <c r="O365" t="n">
        <v>0</v>
      </c>
      <c r="P365" t="n">
        <v>0</v>
      </c>
      <c r="Q365" t="n">
        <v>0</v>
      </c>
      <c r="R365" s="2" t="inlineStr"/>
    </row>
    <row r="366" ht="15" customHeight="1">
      <c r="A366" t="inlineStr">
        <is>
          <t>A 3041-2024</t>
        </is>
      </c>
      <c r="B366" s="1" t="n">
        <v>45316.34875</v>
      </c>
      <c r="C366" s="1" t="n">
        <v>46039</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32602-2022</t>
        </is>
      </c>
      <c r="B367" s="1" t="n">
        <v>44783.43192129629</v>
      </c>
      <c r="C367" s="1" t="n">
        <v>46039</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47304-2025</t>
        </is>
      </c>
      <c r="B368" s="1" t="n">
        <v>45930.52037037037</v>
      </c>
      <c r="C368" s="1" t="n">
        <v>46039</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47233-2025</t>
        </is>
      </c>
      <c r="B369" s="1" t="n">
        <v>45930.40612268518</v>
      </c>
      <c r="C369" s="1" t="n">
        <v>46039</v>
      </c>
      <c r="D369" t="inlineStr">
        <is>
          <t>ÖSTERGÖTLANDS LÄN</t>
        </is>
      </c>
      <c r="E369" t="inlineStr">
        <is>
          <t>LINKÖPING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46847-2025</t>
        </is>
      </c>
      <c r="B370" s="1" t="n">
        <v>45928.69971064815</v>
      </c>
      <c r="C370" s="1" t="n">
        <v>46039</v>
      </c>
      <c r="D370" t="inlineStr">
        <is>
          <t>ÖSTERGÖTLANDS LÄN</t>
        </is>
      </c>
      <c r="E370" t="inlineStr">
        <is>
          <t>LINKÖPING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48343-2025</t>
        </is>
      </c>
      <c r="B371" s="1" t="n">
        <v>45932</v>
      </c>
      <c r="C371" s="1" t="n">
        <v>46039</v>
      </c>
      <c r="D371" t="inlineStr">
        <is>
          <t>ÖSTERGÖTLANDS LÄN</t>
        </is>
      </c>
      <c r="E371" t="inlineStr">
        <is>
          <t>LINKÖPING</t>
        </is>
      </c>
      <c r="F371" t="inlineStr">
        <is>
          <t>Övriga Aktiebolag</t>
        </is>
      </c>
      <c r="G371" t="n">
        <v>2</v>
      </c>
      <c r="H371" t="n">
        <v>0</v>
      </c>
      <c r="I371" t="n">
        <v>0</v>
      </c>
      <c r="J371" t="n">
        <v>0</v>
      </c>
      <c r="K371" t="n">
        <v>0</v>
      </c>
      <c r="L371" t="n">
        <v>0</v>
      </c>
      <c r="M371" t="n">
        <v>0</v>
      </c>
      <c r="N371" t="n">
        <v>0</v>
      </c>
      <c r="O371" t="n">
        <v>0</v>
      </c>
      <c r="P371" t="n">
        <v>0</v>
      </c>
      <c r="Q371" t="n">
        <v>0</v>
      </c>
      <c r="R371" s="2" t="inlineStr"/>
    </row>
    <row r="372" ht="15" customHeight="1">
      <c r="A372" t="inlineStr">
        <is>
          <t>A 47606-2025</t>
        </is>
      </c>
      <c r="B372" s="1" t="n">
        <v>45931.46402777778</v>
      </c>
      <c r="C372" s="1" t="n">
        <v>46039</v>
      </c>
      <c r="D372" t="inlineStr">
        <is>
          <t>ÖSTERGÖTLANDS LÄN</t>
        </is>
      </c>
      <c r="E372" t="inlineStr">
        <is>
          <t>LINKÖPING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48254-2025</t>
        </is>
      </c>
      <c r="B373" s="1" t="n">
        <v>45932</v>
      </c>
      <c r="C373" s="1" t="n">
        <v>46039</v>
      </c>
      <c r="D373" t="inlineStr">
        <is>
          <t>ÖSTERGÖTLANDS LÄN</t>
        </is>
      </c>
      <c r="E373" t="inlineStr">
        <is>
          <t>LINKÖPING</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48266-2025</t>
        </is>
      </c>
      <c r="B374" s="1" t="n">
        <v>45932</v>
      </c>
      <c r="C374" s="1" t="n">
        <v>46039</v>
      </c>
      <c r="D374" t="inlineStr">
        <is>
          <t>ÖSTERGÖTLANDS LÄN</t>
        </is>
      </c>
      <c r="E374" t="inlineStr">
        <is>
          <t>LINKÖPING</t>
        </is>
      </c>
      <c r="F374" t="inlineStr">
        <is>
          <t>Övriga Aktiebolag</t>
        </is>
      </c>
      <c r="G374" t="n">
        <v>0.5</v>
      </c>
      <c r="H374" t="n">
        <v>0</v>
      </c>
      <c r="I374" t="n">
        <v>0</v>
      </c>
      <c r="J374" t="n">
        <v>0</v>
      </c>
      <c r="K374" t="n">
        <v>0</v>
      </c>
      <c r="L374" t="n">
        <v>0</v>
      </c>
      <c r="M374" t="n">
        <v>0</v>
      </c>
      <c r="N374" t="n">
        <v>0</v>
      </c>
      <c r="O374" t="n">
        <v>0</v>
      </c>
      <c r="P374" t="n">
        <v>0</v>
      </c>
      <c r="Q374" t="n">
        <v>0</v>
      </c>
      <c r="R374" s="2" t="inlineStr"/>
    </row>
    <row r="375" ht="15" customHeight="1">
      <c r="A375" t="inlineStr">
        <is>
          <t>A 13413-2023</t>
        </is>
      </c>
      <c r="B375" s="1" t="n">
        <v>45005.58341435185</v>
      </c>
      <c r="C375" s="1" t="n">
        <v>46039</v>
      </c>
      <c r="D375" t="inlineStr">
        <is>
          <t>ÖSTERGÖTLANDS LÄN</t>
        </is>
      </c>
      <c r="E375" t="inlineStr">
        <is>
          <t>LINKÖPING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63528-2023</t>
        </is>
      </c>
      <c r="B376" s="1" t="n">
        <v>45274.94810185185</v>
      </c>
      <c r="C376" s="1" t="n">
        <v>46039</v>
      </c>
      <c r="D376" t="inlineStr">
        <is>
          <t>ÖSTERGÖTLANDS LÄN</t>
        </is>
      </c>
      <c r="E376" t="inlineStr">
        <is>
          <t>LINKÖPING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63638-2023</t>
        </is>
      </c>
      <c r="B377" s="1" t="n">
        <v>45275</v>
      </c>
      <c r="C377" s="1" t="n">
        <v>46039</v>
      </c>
      <c r="D377" t="inlineStr">
        <is>
          <t>ÖSTERGÖTLANDS LÄN</t>
        </is>
      </c>
      <c r="E377" t="inlineStr">
        <is>
          <t>LINKÖPING</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63658-2023</t>
        </is>
      </c>
      <c r="B378" s="1" t="n">
        <v>45275</v>
      </c>
      <c r="C378" s="1" t="n">
        <v>46039</v>
      </c>
      <c r="D378" t="inlineStr">
        <is>
          <t>ÖSTERGÖTLANDS LÄN</t>
        </is>
      </c>
      <c r="E378" t="inlineStr">
        <is>
          <t>LINKÖPING</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7808-2022</t>
        </is>
      </c>
      <c r="B379" s="1" t="n">
        <v>44608</v>
      </c>
      <c r="C379" s="1" t="n">
        <v>46039</v>
      </c>
      <c r="D379" t="inlineStr">
        <is>
          <t>ÖSTERGÖTLANDS LÄN</t>
        </is>
      </c>
      <c r="E379" t="inlineStr">
        <is>
          <t>LINKÖPING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36336-2023</t>
        </is>
      </c>
      <c r="B380" s="1" t="n">
        <v>45152.45078703704</v>
      </c>
      <c r="C380" s="1" t="n">
        <v>46039</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56623-2024</t>
        </is>
      </c>
      <c r="B381" s="1" t="n">
        <v>45625</v>
      </c>
      <c r="C381" s="1" t="n">
        <v>46039</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3530-2024</t>
        </is>
      </c>
      <c r="B382" s="1" t="n">
        <v>45320.54717592592</v>
      </c>
      <c r="C382" s="1" t="n">
        <v>46039</v>
      </c>
      <c r="D382" t="inlineStr">
        <is>
          <t>ÖSTERGÖTLANDS LÄN</t>
        </is>
      </c>
      <c r="E382" t="inlineStr">
        <is>
          <t>LINKÖPING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49605-2025</t>
        </is>
      </c>
      <c r="B383" s="1" t="n">
        <v>45938</v>
      </c>
      <c r="C383" s="1" t="n">
        <v>46039</v>
      </c>
      <c r="D383" t="inlineStr">
        <is>
          <t>ÖSTERGÖTLANDS LÄN</t>
        </is>
      </c>
      <c r="E383" t="inlineStr">
        <is>
          <t>LINKÖPING</t>
        </is>
      </c>
      <c r="F383" t="inlineStr">
        <is>
          <t>Övriga Aktiebolag</t>
        </is>
      </c>
      <c r="G383" t="n">
        <v>3.3</v>
      </c>
      <c r="H383" t="n">
        <v>0</v>
      </c>
      <c r="I383" t="n">
        <v>0</v>
      </c>
      <c r="J383" t="n">
        <v>0</v>
      </c>
      <c r="K383" t="n">
        <v>0</v>
      </c>
      <c r="L383" t="n">
        <v>0</v>
      </c>
      <c r="M383" t="n">
        <v>0</v>
      </c>
      <c r="N383" t="n">
        <v>0</v>
      </c>
      <c r="O383" t="n">
        <v>0</v>
      </c>
      <c r="P383" t="n">
        <v>0</v>
      </c>
      <c r="Q383" t="n">
        <v>0</v>
      </c>
      <c r="R383" s="2" t="inlineStr"/>
    </row>
    <row r="384" ht="15" customHeight="1">
      <c r="A384" t="inlineStr">
        <is>
          <t>A 13011-2022</t>
        </is>
      </c>
      <c r="B384" s="1" t="n">
        <v>44643</v>
      </c>
      <c r="C384" s="1" t="n">
        <v>46039</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49647-2025</t>
        </is>
      </c>
      <c r="B385" s="1" t="n">
        <v>45938</v>
      </c>
      <c r="C385" s="1" t="n">
        <v>46039</v>
      </c>
      <c r="D385" t="inlineStr">
        <is>
          <t>ÖSTERGÖTLANDS LÄN</t>
        </is>
      </c>
      <c r="E385" t="inlineStr">
        <is>
          <t>LINKÖPING</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11595-2025</t>
        </is>
      </c>
      <c r="B386" s="1" t="n">
        <v>45727.41893518518</v>
      </c>
      <c r="C386" s="1" t="n">
        <v>46039</v>
      </c>
      <c r="D386" t="inlineStr">
        <is>
          <t>ÖSTERGÖTLANDS LÄN</t>
        </is>
      </c>
      <c r="E386" t="inlineStr">
        <is>
          <t>LINKÖPING</t>
        </is>
      </c>
      <c r="G386" t="n">
        <v>6.6</v>
      </c>
      <c r="H386" t="n">
        <v>0</v>
      </c>
      <c r="I386" t="n">
        <v>0</v>
      </c>
      <c r="J386" t="n">
        <v>0</v>
      </c>
      <c r="K386" t="n">
        <v>0</v>
      </c>
      <c r="L386" t="n">
        <v>0</v>
      </c>
      <c r="M386" t="n">
        <v>0</v>
      </c>
      <c r="N386" t="n">
        <v>0</v>
      </c>
      <c r="O386" t="n">
        <v>0</v>
      </c>
      <c r="P386" t="n">
        <v>0</v>
      </c>
      <c r="Q386" t="n">
        <v>0</v>
      </c>
      <c r="R386" s="2" t="inlineStr"/>
    </row>
    <row r="387" ht="15" customHeight="1">
      <c r="A387" t="inlineStr">
        <is>
          <t>A 49633-2025</t>
        </is>
      </c>
      <c r="B387" s="1" t="n">
        <v>45938</v>
      </c>
      <c r="C387" s="1" t="n">
        <v>46039</v>
      </c>
      <c r="D387" t="inlineStr">
        <is>
          <t>ÖSTERGÖTLANDS LÄN</t>
        </is>
      </c>
      <c r="E387" t="inlineStr">
        <is>
          <t>LINKÖPING</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49663-2025</t>
        </is>
      </c>
      <c r="B388" s="1" t="n">
        <v>45938</v>
      </c>
      <c r="C388" s="1" t="n">
        <v>46039</v>
      </c>
      <c r="D388" t="inlineStr">
        <is>
          <t>ÖSTERGÖTLANDS LÄN</t>
        </is>
      </c>
      <c r="E388" t="inlineStr">
        <is>
          <t>LINKÖPING</t>
        </is>
      </c>
      <c r="F388" t="inlineStr">
        <is>
          <t>Övriga Aktiebolag</t>
        </is>
      </c>
      <c r="G388" t="n">
        <v>1.2</v>
      </c>
      <c r="H388" t="n">
        <v>0</v>
      </c>
      <c r="I388" t="n">
        <v>0</v>
      </c>
      <c r="J388" t="n">
        <v>0</v>
      </c>
      <c r="K388" t="n">
        <v>0</v>
      </c>
      <c r="L388" t="n">
        <v>0</v>
      </c>
      <c r="M388" t="n">
        <v>0</v>
      </c>
      <c r="N388" t="n">
        <v>0</v>
      </c>
      <c r="O388" t="n">
        <v>0</v>
      </c>
      <c r="P388" t="n">
        <v>0</v>
      </c>
      <c r="Q388" t="n">
        <v>0</v>
      </c>
      <c r="R388" s="2" t="inlineStr"/>
    </row>
    <row r="389" ht="15" customHeight="1">
      <c r="A389" t="inlineStr">
        <is>
          <t>A 50508-2024</t>
        </is>
      </c>
      <c r="B389" s="1" t="n">
        <v>45601.53907407408</v>
      </c>
      <c r="C389" s="1" t="n">
        <v>46039</v>
      </c>
      <c r="D389" t="inlineStr">
        <is>
          <t>ÖSTERGÖTLANDS LÄN</t>
        </is>
      </c>
      <c r="E389" t="inlineStr">
        <is>
          <t>LINKÖPING</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49455-2025</t>
        </is>
      </c>
      <c r="B390" s="1" t="n">
        <v>45938</v>
      </c>
      <c r="C390" s="1" t="n">
        <v>46039</v>
      </c>
      <c r="D390" t="inlineStr">
        <is>
          <t>ÖSTERGÖTLANDS LÄN</t>
        </is>
      </c>
      <c r="E390" t="inlineStr">
        <is>
          <t>LINKÖPING</t>
        </is>
      </c>
      <c r="F390" t="inlineStr">
        <is>
          <t>Övriga Aktiebolag</t>
        </is>
      </c>
      <c r="G390" t="n">
        <v>5.9</v>
      </c>
      <c r="H390" t="n">
        <v>0</v>
      </c>
      <c r="I390" t="n">
        <v>0</v>
      </c>
      <c r="J390" t="n">
        <v>0</v>
      </c>
      <c r="K390" t="n">
        <v>0</v>
      </c>
      <c r="L390" t="n">
        <v>0</v>
      </c>
      <c r="M390" t="n">
        <v>0</v>
      </c>
      <c r="N390" t="n">
        <v>0</v>
      </c>
      <c r="O390" t="n">
        <v>0</v>
      </c>
      <c r="P390" t="n">
        <v>0</v>
      </c>
      <c r="Q390" t="n">
        <v>0</v>
      </c>
      <c r="R390" s="2" t="inlineStr"/>
    </row>
    <row r="391" ht="15" customHeight="1">
      <c r="A391" t="inlineStr">
        <is>
          <t>A 49652-2025</t>
        </is>
      </c>
      <c r="B391" s="1" t="n">
        <v>45938</v>
      </c>
      <c r="C391" s="1" t="n">
        <v>46039</v>
      </c>
      <c r="D391" t="inlineStr">
        <is>
          <t>ÖSTERGÖTLANDS LÄN</t>
        </is>
      </c>
      <c r="E391" t="inlineStr">
        <is>
          <t>LINKÖPING</t>
        </is>
      </c>
      <c r="F391" t="inlineStr">
        <is>
          <t>Övriga Aktiebolag</t>
        </is>
      </c>
      <c r="G391" t="n">
        <v>1.8</v>
      </c>
      <c r="H391" t="n">
        <v>0</v>
      </c>
      <c r="I391" t="n">
        <v>0</v>
      </c>
      <c r="J391" t="n">
        <v>0</v>
      </c>
      <c r="K391" t="n">
        <v>0</v>
      </c>
      <c r="L391" t="n">
        <v>0</v>
      </c>
      <c r="M391" t="n">
        <v>0</v>
      </c>
      <c r="N391" t="n">
        <v>0</v>
      </c>
      <c r="O391" t="n">
        <v>0</v>
      </c>
      <c r="P391" t="n">
        <v>0</v>
      </c>
      <c r="Q391" t="n">
        <v>0</v>
      </c>
      <c r="R391" s="2" t="inlineStr"/>
    </row>
    <row r="392" ht="15" customHeight="1">
      <c r="A392" t="inlineStr">
        <is>
          <t>A 49654-2025</t>
        </is>
      </c>
      <c r="B392" s="1" t="n">
        <v>45938</v>
      </c>
      <c r="C392" s="1" t="n">
        <v>46039</v>
      </c>
      <c r="D392" t="inlineStr">
        <is>
          <t>ÖSTERGÖTLANDS LÄN</t>
        </is>
      </c>
      <c r="E392" t="inlineStr">
        <is>
          <t>LINKÖPING</t>
        </is>
      </c>
      <c r="F392" t="inlineStr">
        <is>
          <t>Övriga Aktiebolag</t>
        </is>
      </c>
      <c r="G392" t="n">
        <v>3.1</v>
      </c>
      <c r="H392" t="n">
        <v>0</v>
      </c>
      <c r="I392" t="n">
        <v>0</v>
      </c>
      <c r="J392" t="n">
        <v>0</v>
      </c>
      <c r="K392" t="n">
        <v>0</v>
      </c>
      <c r="L392" t="n">
        <v>0</v>
      </c>
      <c r="M392" t="n">
        <v>0</v>
      </c>
      <c r="N392" t="n">
        <v>0</v>
      </c>
      <c r="O392" t="n">
        <v>0</v>
      </c>
      <c r="P392" t="n">
        <v>0</v>
      </c>
      <c r="Q392" t="n">
        <v>0</v>
      </c>
      <c r="R392" s="2" t="inlineStr"/>
    </row>
    <row r="393" ht="15" customHeight="1">
      <c r="A393" t="inlineStr">
        <is>
          <t>A 36336-2022</t>
        </is>
      </c>
      <c r="B393" s="1" t="n">
        <v>44803</v>
      </c>
      <c r="C393" s="1" t="n">
        <v>46039</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49619-2025</t>
        </is>
      </c>
      <c r="B394" s="1" t="n">
        <v>45938</v>
      </c>
      <c r="C394" s="1" t="n">
        <v>46039</v>
      </c>
      <c r="D394" t="inlineStr">
        <is>
          <t>ÖSTERGÖTLANDS LÄN</t>
        </is>
      </c>
      <c r="E394" t="inlineStr">
        <is>
          <t>LINKÖPING</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49629-2025</t>
        </is>
      </c>
      <c r="B395" s="1" t="n">
        <v>45938</v>
      </c>
      <c r="C395" s="1" t="n">
        <v>46039</v>
      </c>
      <c r="D395" t="inlineStr">
        <is>
          <t>ÖSTERGÖTLANDS LÄN</t>
        </is>
      </c>
      <c r="E395" t="inlineStr">
        <is>
          <t>LINKÖPING</t>
        </is>
      </c>
      <c r="F395" t="inlineStr">
        <is>
          <t>Övriga Aktiebolag</t>
        </is>
      </c>
      <c r="G395" t="n">
        <v>4.5</v>
      </c>
      <c r="H395" t="n">
        <v>0</v>
      </c>
      <c r="I395" t="n">
        <v>0</v>
      </c>
      <c r="J395" t="n">
        <v>0</v>
      </c>
      <c r="K395" t="n">
        <v>0</v>
      </c>
      <c r="L395" t="n">
        <v>0</v>
      </c>
      <c r="M395" t="n">
        <v>0</v>
      </c>
      <c r="N395" t="n">
        <v>0</v>
      </c>
      <c r="O395" t="n">
        <v>0</v>
      </c>
      <c r="P395" t="n">
        <v>0</v>
      </c>
      <c r="Q395" t="n">
        <v>0</v>
      </c>
      <c r="R395" s="2" t="inlineStr"/>
    </row>
    <row r="396" ht="15" customHeight="1">
      <c r="A396" t="inlineStr">
        <is>
          <t>A 49650-2025</t>
        </is>
      </c>
      <c r="B396" s="1" t="n">
        <v>45938</v>
      </c>
      <c r="C396" s="1" t="n">
        <v>46039</v>
      </c>
      <c r="D396" t="inlineStr">
        <is>
          <t>ÖSTERGÖTLANDS LÄN</t>
        </is>
      </c>
      <c r="E396" t="inlineStr">
        <is>
          <t>LINKÖPING</t>
        </is>
      </c>
      <c r="F396" t="inlineStr">
        <is>
          <t>Övriga Aktiebolag</t>
        </is>
      </c>
      <c r="G396" t="n">
        <v>1.5</v>
      </c>
      <c r="H396" t="n">
        <v>0</v>
      </c>
      <c r="I396" t="n">
        <v>0</v>
      </c>
      <c r="J396" t="n">
        <v>0</v>
      </c>
      <c r="K396" t="n">
        <v>0</v>
      </c>
      <c r="L396" t="n">
        <v>0</v>
      </c>
      <c r="M396" t="n">
        <v>0</v>
      </c>
      <c r="N396" t="n">
        <v>0</v>
      </c>
      <c r="O396" t="n">
        <v>0</v>
      </c>
      <c r="P396" t="n">
        <v>0</v>
      </c>
      <c r="Q396" t="n">
        <v>0</v>
      </c>
      <c r="R396" s="2" t="inlineStr"/>
    </row>
    <row r="397" ht="15" customHeight="1">
      <c r="A397" t="inlineStr">
        <is>
          <t>A 49632-2025</t>
        </is>
      </c>
      <c r="B397" s="1" t="n">
        <v>45938</v>
      </c>
      <c r="C397" s="1" t="n">
        <v>46039</v>
      </c>
      <c r="D397" t="inlineStr">
        <is>
          <t>ÖSTERGÖTLANDS LÄN</t>
        </is>
      </c>
      <c r="E397" t="inlineStr">
        <is>
          <t>LINKÖPING</t>
        </is>
      </c>
      <c r="F397" t="inlineStr">
        <is>
          <t>Övriga Aktiebolag</t>
        </is>
      </c>
      <c r="G397" t="n">
        <v>1.6</v>
      </c>
      <c r="H397" t="n">
        <v>0</v>
      </c>
      <c r="I397" t="n">
        <v>0</v>
      </c>
      <c r="J397" t="n">
        <v>0</v>
      </c>
      <c r="K397" t="n">
        <v>0</v>
      </c>
      <c r="L397" t="n">
        <v>0</v>
      </c>
      <c r="M397" t="n">
        <v>0</v>
      </c>
      <c r="N397" t="n">
        <v>0</v>
      </c>
      <c r="O397" t="n">
        <v>0</v>
      </c>
      <c r="P397" t="n">
        <v>0</v>
      </c>
      <c r="Q397" t="n">
        <v>0</v>
      </c>
      <c r="R397" s="2" t="inlineStr"/>
    </row>
    <row r="398" ht="15" customHeight="1">
      <c r="A398" t="inlineStr">
        <is>
          <t>A 49615-2025</t>
        </is>
      </c>
      <c r="B398" s="1" t="n">
        <v>45938</v>
      </c>
      <c r="C398" s="1" t="n">
        <v>46039</v>
      </c>
      <c r="D398" t="inlineStr">
        <is>
          <t>ÖSTERGÖTLANDS LÄN</t>
        </is>
      </c>
      <c r="E398" t="inlineStr">
        <is>
          <t>LINKÖPING</t>
        </is>
      </c>
      <c r="F398" t="inlineStr">
        <is>
          <t>Övriga Aktiebolag</t>
        </is>
      </c>
      <c r="G398" t="n">
        <v>1.6</v>
      </c>
      <c r="H398" t="n">
        <v>0</v>
      </c>
      <c r="I398" t="n">
        <v>0</v>
      </c>
      <c r="J398" t="n">
        <v>0</v>
      </c>
      <c r="K398" t="n">
        <v>0</v>
      </c>
      <c r="L398" t="n">
        <v>0</v>
      </c>
      <c r="M398" t="n">
        <v>0</v>
      </c>
      <c r="N398" t="n">
        <v>0</v>
      </c>
      <c r="O398" t="n">
        <v>0</v>
      </c>
      <c r="P398" t="n">
        <v>0</v>
      </c>
      <c r="Q398" t="n">
        <v>0</v>
      </c>
      <c r="R398" s="2" t="inlineStr"/>
    </row>
    <row r="399" ht="15" customHeight="1">
      <c r="A399" t="inlineStr">
        <is>
          <t>A 48839-2022</t>
        </is>
      </c>
      <c r="B399" s="1" t="n">
        <v>44859</v>
      </c>
      <c r="C399" s="1" t="n">
        <v>46039</v>
      </c>
      <c r="D399" t="inlineStr">
        <is>
          <t>ÖSTERGÖTLANDS LÄN</t>
        </is>
      </c>
      <c r="E399" t="inlineStr">
        <is>
          <t>LINKÖPING</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6387-2022</t>
        </is>
      </c>
      <c r="B400" s="1" t="n">
        <v>44600</v>
      </c>
      <c r="C400" s="1" t="n">
        <v>46039</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34641-2022</t>
        </is>
      </c>
      <c r="B401" s="1" t="n">
        <v>44795</v>
      </c>
      <c r="C401" s="1" t="n">
        <v>46039</v>
      </c>
      <c r="D401" t="inlineStr">
        <is>
          <t>ÖSTERGÖTLANDS LÄN</t>
        </is>
      </c>
      <c r="E401" t="inlineStr">
        <is>
          <t>LINKÖPING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13687-2025</t>
        </is>
      </c>
      <c r="B402" s="1" t="n">
        <v>45737.31425925926</v>
      </c>
      <c r="C402" s="1" t="n">
        <v>46039</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13695-2025</t>
        </is>
      </c>
      <c r="B403" s="1" t="n">
        <v>45737.32219907407</v>
      </c>
      <c r="C403" s="1" t="n">
        <v>46039</v>
      </c>
      <c r="D403" t="inlineStr">
        <is>
          <t>ÖSTERGÖTLANDS LÄN</t>
        </is>
      </c>
      <c r="E403" t="inlineStr">
        <is>
          <t>LINKÖPING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62686-2023</t>
        </is>
      </c>
      <c r="B404" s="1" t="n">
        <v>45271</v>
      </c>
      <c r="C404" s="1" t="n">
        <v>46039</v>
      </c>
      <c r="D404" t="inlineStr">
        <is>
          <t>ÖSTERGÖTLANDS LÄN</t>
        </is>
      </c>
      <c r="E404" t="inlineStr">
        <is>
          <t>LINKÖPING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40983-2025</t>
        </is>
      </c>
      <c r="B405" s="1" t="n">
        <v>45898</v>
      </c>
      <c r="C405" s="1" t="n">
        <v>46039</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52413-2023</t>
        </is>
      </c>
      <c r="B406" s="1" t="n">
        <v>45225.27950231481</v>
      </c>
      <c r="C406" s="1" t="n">
        <v>46039</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42054-2022</t>
        </is>
      </c>
      <c r="B407" s="1" t="n">
        <v>44830</v>
      </c>
      <c r="C407" s="1" t="n">
        <v>46039</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53797-2023</t>
        </is>
      </c>
      <c r="B408" s="1" t="n">
        <v>45230</v>
      </c>
      <c r="C408" s="1" t="n">
        <v>46039</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50056-2025</t>
        </is>
      </c>
      <c r="B409" s="1" t="n">
        <v>45941</v>
      </c>
      <c r="C409" s="1" t="n">
        <v>46039</v>
      </c>
      <c r="D409" t="inlineStr">
        <is>
          <t>ÖSTERGÖTLANDS LÄN</t>
        </is>
      </c>
      <c r="E409" t="inlineStr">
        <is>
          <t>LINKÖPING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55345-2021</t>
        </is>
      </c>
      <c r="B410" s="1" t="n">
        <v>44475</v>
      </c>
      <c r="C410" s="1" t="n">
        <v>46039</v>
      </c>
      <c r="D410" t="inlineStr">
        <is>
          <t>ÖSTERGÖTLANDS LÄN</t>
        </is>
      </c>
      <c r="E410" t="inlineStr">
        <is>
          <t>LINKÖPING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63489-2023</t>
        </is>
      </c>
      <c r="B411" s="1" t="n">
        <v>45274.66761574074</v>
      </c>
      <c r="C411" s="1" t="n">
        <v>46039</v>
      </c>
      <c r="D411" t="inlineStr">
        <is>
          <t>ÖSTERGÖTLANDS LÄN</t>
        </is>
      </c>
      <c r="E411" t="inlineStr">
        <is>
          <t>LINKÖPING</t>
        </is>
      </c>
      <c r="G411" t="n">
        <v>2.3</v>
      </c>
      <c r="H411" t="n">
        <v>0</v>
      </c>
      <c r="I411" t="n">
        <v>0</v>
      </c>
      <c r="J411" t="n">
        <v>0</v>
      </c>
      <c r="K411" t="n">
        <v>0</v>
      </c>
      <c r="L411" t="n">
        <v>0</v>
      </c>
      <c r="M411" t="n">
        <v>0</v>
      </c>
      <c r="N411" t="n">
        <v>0</v>
      </c>
      <c r="O411" t="n">
        <v>0</v>
      </c>
      <c r="P411" t="n">
        <v>0</v>
      </c>
      <c r="Q411" t="n">
        <v>0</v>
      </c>
      <c r="R411" s="2" t="inlineStr"/>
    </row>
    <row r="412" ht="15" customHeight="1">
      <c r="A412" t="inlineStr">
        <is>
          <t>A 22833-2023</t>
        </is>
      </c>
      <c r="B412" s="1" t="n">
        <v>45071</v>
      </c>
      <c r="C412" s="1" t="n">
        <v>46039</v>
      </c>
      <c r="D412" t="inlineStr">
        <is>
          <t>ÖSTERGÖTLANDS LÄN</t>
        </is>
      </c>
      <c r="E412" t="inlineStr">
        <is>
          <t>LINKÖPING</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50667-2025</t>
        </is>
      </c>
      <c r="B413" s="1" t="n">
        <v>45945</v>
      </c>
      <c r="C413" s="1" t="n">
        <v>46039</v>
      </c>
      <c r="D413" t="inlineStr">
        <is>
          <t>ÖSTERGÖTLANDS LÄN</t>
        </is>
      </c>
      <c r="E413" t="inlineStr">
        <is>
          <t>LINKÖPING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17898-2022</t>
        </is>
      </c>
      <c r="B414" s="1" t="n">
        <v>44683</v>
      </c>
      <c r="C414" s="1" t="n">
        <v>46039</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70-2024</t>
        </is>
      </c>
      <c r="B415" s="1" t="n">
        <v>45293</v>
      </c>
      <c r="C415" s="1" t="n">
        <v>46039</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62017-2024</t>
        </is>
      </c>
      <c r="B416" s="1" t="n">
        <v>45655.81140046296</v>
      </c>
      <c r="C416" s="1" t="n">
        <v>46039</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12411-2022</t>
        </is>
      </c>
      <c r="B417" s="1" t="n">
        <v>44638.21601851852</v>
      </c>
      <c r="C417" s="1" t="n">
        <v>46039</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10492-2022</t>
        </is>
      </c>
      <c r="B418" s="1" t="n">
        <v>44623.6377199074</v>
      </c>
      <c r="C418" s="1" t="n">
        <v>46039</v>
      </c>
      <c r="D418" t="inlineStr">
        <is>
          <t>ÖSTERGÖTLANDS LÄN</t>
        </is>
      </c>
      <c r="E418" t="inlineStr">
        <is>
          <t>LINKÖPING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6782-2024</t>
        </is>
      </c>
      <c r="B419" s="1" t="n">
        <v>45342</v>
      </c>
      <c r="C419" s="1" t="n">
        <v>46039</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51802-2025</t>
        </is>
      </c>
      <c r="B420" s="1" t="n">
        <v>45950</v>
      </c>
      <c r="C420" s="1" t="n">
        <v>46039</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617-2024</t>
        </is>
      </c>
      <c r="B421" s="1" t="n">
        <v>45299.66028935185</v>
      </c>
      <c r="C421" s="1" t="n">
        <v>46039</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10253-2022</t>
        </is>
      </c>
      <c r="B422" s="1" t="n">
        <v>44622</v>
      </c>
      <c r="C422" s="1" t="n">
        <v>46039</v>
      </c>
      <c r="D422" t="inlineStr">
        <is>
          <t>ÖSTERGÖTLANDS LÄN</t>
        </is>
      </c>
      <c r="E422" t="inlineStr">
        <is>
          <t>LINKÖPING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7343-2025</t>
        </is>
      </c>
      <c r="B423" s="1" t="n">
        <v>45703.67853009259</v>
      </c>
      <c r="C423" s="1" t="n">
        <v>46039</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670-2024</t>
        </is>
      </c>
      <c r="B424" s="1" t="n">
        <v>45300.3408912037</v>
      </c>
      <c r="C424" s="1" t="n">
        <v>46039</v>
      </c>
      <c r="D424" t="inlineStr">
        <is>
          <t>ÖSTERGÖTLANDS LÄN</t>
        </is>
      </c>
      <c r="E424" t="inlineStr">
        <is>
          <t>LINKÖPING</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8967-2025</t>
        </is>
      </c>
      <c r="B425" s="1" t="n">
        <v>45712</v>
      </c>
      <c r="C425" s="1" t="n">
        <v>46039</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52125-2022</t>
        </is>
      </c>
      <c r="B426" s="1" t="n">
        <v>44873</v>
      </c>
      <c r="C426" s="1" t="n">
        <v>46039</v>
      </c>
      <c r="D426" t="inlineStr">
        <is>
          <t>ÖSTERGÖTLANDS LÄN</t>
        </is>
      </c>
      <c r="E426" t="inlineStr">
        <is>
          <t>LINKÖPING</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35427-2023</t>
        </is>
      </c>
      <c r="B427" s="1" t="n">
        <v>45146</v>
      </c>
      <c r="C427" s="1" t="n">
        <v>46039</v>
      </c>
      <c r="D427" t="inlineStr">
        <is>
          <t>ÖSTERGÖTLANDS LÄN</t>
        </is>
      </c>
      <c r="E427" t="inlineStr">
        <is>
          <t>LINKÖPING</t>
        </is>
      </c>
      <c r="F427" t="inlineStr">
        <is>
          <t>Övriga Aktiebolag</t>
        </is>
      </c>
      <c r="G427" t="n">
        <v>2.5</v>
      </c>
      <c r="H427" t="n">
        <v>0</v>
      </c>
      <c r="I427" t="n">
        <v>0</v>
      </c>
      <c r="J427" t="n">
        <v>0</v>
      </c>
      <c r="K427" t="n">
        <v>0</v>
      </c>
      <c r="L427" t="n">
        <v>0</v>
      </c>
      <c r="M427" t="n">
        <v>0</v>
      </c>
      <c r="N427" t="n">
        <v>0</v>
      </c>
      <c r="O427" t="n">
        <v>0</v>
      </c>
      <c r="P427" t="n">
        <v>0</v>
      </c>
      <c r="Q427" t="n">
        <v>0</v>
      </c>
      <c r="R427" s="2" t="inlineStr"/>
    </row>
    <row r="428" ht="15" customHeight="1">
      <c r="A428" t="inlineStr">
        <is>
          <t>A 30468-2023</t>
        </is>
      </c>
      <c r="B428" s="1" t="n">
        <v>45111.58732638889</v>
      </c>
      <c r="C428" s="1" t="n">
        <v>46039</v>
      </c>
      <c r="D428" t="inlineStr">
        <is>
          <t>ÖSTERGÖTLANDS LÄN</t>
        </is>
      </c>
      <c r="E428" t="inlineStr">
        <is>
          <t>LINKÖPING</t>
        </is>
      </c>
      <c r="G428" t="n">
        <v>10.1</v>
      </c>
      <c r="H428" t="n">
        <v>0</v>
      </c>
      <c r="I428" t="n">
        <v>0</v>
      </c>
      <c r="J428" t="n">
        <v>0</v>
      </c>
      <c r="K428" t="n">
        <v>0</v>
      </c>
      <c r="L428" t="n">
        <v>0</v>
      </c>
      <c r="M428" t="n">
        <v>0</v>
      </c>
      <c r="N428" t="n">
        <v>0</v>
      </c>
      <c r="O428" t="n">
        <v>0</v>
      </c>
      <c r="P428" t="n">
        <v>0</v>
      </c>
      <c r="Q428" t="n">
        <v>0</v>
      </c>
      <c r="R428" s="2" t="inlineStr"/>
    </row>
    <row r="429" ht="15" customHeight="1">
      <c r="A429" t="inlineStr">
        <is>
          <t>A 52111-2025</t>
        </is>
      </c>
      <c r="B429" s="1" t="n">
        <v>45952.69527777778</v>
      </c>
      <c r="C429" s="1" t="n">
        <v>46039</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20296-2025</t>
        </is>
      </c>
      <c r="B430" s="1" t="n">
        <v>45774.74922453704</v>
      </c>
      <c r="C430" s="1" t="n">
        <v>46039</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1084-2023</t>
        </is>
      </c>
      <c r="B431" s="1" t="n">
        <v>44929</v>
      </c>
      <c r="C431" s="1" t="n">
        <v>46039</v>
      </c>
      <c r="D431" t="inlineStr">
        <is>
          <t>ÖSTERGÖTLANDS LÄN</t>
        </is>
      </c>
      <c r="E431" t="inlineStr">
        <is>
          <t>LINKÖPING</t>
        </is>
      </c>
      <c r="G431" t="n">
        <v>10.4</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46039</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29859-2024</t>
        </is>
      </c>
      <c r="B433" s="1" t="n">
        <v>45485.6846412037</v>
      </c>
      <c r="C433" s="1" t="n">
        <v>46039</v>
      </c>
      <c r="D433" t="inlineStr">
        <is>
          <t>ÖSTERGÖTLANDS LÄN</t>
        </is>
      </c>
      <c r="E433" t="inlineStr">
        <is>
          <t>LINKÖPING</t>
        </is>
      </c>
      <c r="G433" t="n">
        <v>0.4</v>
      </c>
      <c r="H433" t="n">
        <v>0</v>
      </c>
      <c r="I433" t="n">
        <v>0</v>
      </c>
      <c r="J433" t="n">
        <v>0</v>
      </c>
      <c r="K433" t="n">
        <v>0</v>
      </c>
      <c r="L433" t="n">
        <v>0</v>
      </c>
      <c r="M433" t="n">
        <v>0</v>
      </c>
      <c r="N433" t="n">
        <v>0</v>
      </c>
      <c r="O433" t="n">
        <v>0</v>
      </c>
      <c r="P433" t="n">
        <v>0</v>
      </c>
      <c r="Q433" t="n">
        <v>0</v>
      </c>
      <c r="R433" s="2" t="inlineStr"/>
    </row>
    <row r="434" ht="15" customHeight="1">
      <c r="A434" t="inlineStr">
        <is>
          <t>A 51571-2024</t>
        </is>
      </c>
      <c r="B434" s="1" t="n">
        <v>45604</v>
      </c>
      <c r="C434" s="1" t="n">
        <v>46039</v>
      </c>
      <c r="D434" t="inlineStr">
        <is>
          <t>ÖSTERGÖTLANDS LÄN</t>
        </is>
      </c>
      <c r="E434" t="inlineStr">
        <is>
          <t>LINKÖPING</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53812-2023</t>
        </is>
      </c>
      <c r="B435" s="1" t="n">
        <v>45231.39583333334</v>
      </c>
      <c r="C435" s="1" t="n">
        <v>46039</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53830-2023</t>
        </is>
      </c>
      <c r="B436" s="1" t="n">
        <v>45230</v>
      </c>
      <c r="C436" s="1" t="n">
        <v>46039</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52800-2025</t>
        </is>
      </c>
      <c r="B437" s="1" t="n">
        <v>45957.44152777778</v>
      </c>
      <c r="C437" s="1" t="n">
        <v>46039</v>
      </c>
      <c r="D437" t="inlineStr">
        <is>
          <t>ÖSTERGÖTLANDS LÄN</t>
        </is>
      </c>
      <c r="E437" t="inlineStr">
        <is>
          <t>LINKÖPING</t>
        </is>
      </c>
      <c r="G437" t="n">
        <v>2.5</v>
      </c>
      <c r="H437" t="n">
        <v>0</v>
      </c>
      <c r="I437" t="n">
        <v>0</v>
      </c>
      <c r="J437" t="n">
        <v>0</v>
      </c>
      <c r="K437" t="n">
        <v>0</v>
      </c>
      <c r="L437" t="n">
        <v>0</v>
      </c>
      <c r="M437" t="n">
        <v>0</v>
      </c>
      <c r="N437" t="n">
        <v>0</v>
      </c>
      <c r="O437" t="n">
        <v>0</v>
      </c>
      <c r="P437" t="n">
        <v>0</v>
      </c>
      <c r="Q437" t="n">
        <v>0</v>
      </c>
      <c r="R437" s="2" t="inlineStr"/>
    </row>
    <row r="438" ht="15" customHeight="1">
      <c r="A438" t="inlineStr">
        <is>
          <t>A 52802-2025</t>
        </is>
      </c>
      <c r="B438" s="1" t="n">
        <v>45957.44295138889</v>
      </c>
      <c r="C438" s="1" t="n">
        <v>46039</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223-2024</t>
        </is>
      </c>
      <c r="B439" s="1" t="n">
        <v>45294.72739583333</v>
      </c>
      <c r="C439" s="1" t="n">
        <v>46039</v>
      </c>
      <c r="D439" t="inlineStr">
        <is>
          <t>ÖSTERGÖTLANDS LÄN</t>
        </is>
      </c>
      <c r="E439" t="inlineStr">
        <is>
          <t>LINKÖPING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227-2024</t>
        </is>
      </c>
      <c r="B440" s="1" t="n">
        <v>45294.73603009259</v>
      </c>
      <c r="C440" s="1" t="n">
        <v>46039</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38715-2023</t>
        </is>
      </c>
      <c r="B441" s="1" t="n">
        <v>45160</v>
      </c>
      <c r="C441" s="1" t="n">
        <v>46039</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52740-2025</t>
        </is>
      </c>
      <c r="B442" s="1" t="n">
        <v>45957.37747685185</v>
      </c>
      <c r="C442" s="1" t="n">
        <v>46039</v>
      </c>
      <c r="D442" t="inlineStr">
        <is>
          <t>ÖSTERGÖTLANDS LÄN</t>
        </is>
      </c>
      <c r="E442" t="inlineStr">
        <is>
          <t>LINKÖPING</t>
        </is>
      </c>
      <c r="G442" t="n">
        <v>3.7</v>
      </c>
      <c r="H442" t="n">
        <v>0</v>
      </c>
      <c r="I442" t="n">
        <v>0</v>
      </c>
      <c r="J442" t="n">
        <v>0</v>
      </c>
      <c r="K442" t="n">
        <v>0</v>
      </c>
      <c r="L442" t="n">
        <v>0</v>
      </c>
      <c r="M442" t="n">
        <v>0</v>
      </c>
      <c r="N442" t="n">
        <v>0</v>
      </c>
      <c r="O442" t="n">
        <v>0</v>
      </c>
      <c r="P442" t="n">
        <v>0</v>
      </c>
      <c r="Q442" t="n">
        <v>0</v>
      </c>
      <c r="R442" s="2" t="inlineStr"/>
    </row>
    <row r="443" ht="15" customHeight="1">
      <c r="A443" t="inlineStr">
        <is>
          <t>A 52743-2025</t>
        </is>
      </c>
      <c r="B443" s="1" t="n">
        <v>45957.38039351852</v>
      </c>
      <c r="C443" s="1" t="n">
        <v>46039</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52807-2025</t>
        </is>
      </c>
      <c r="B444" s="1" t="n">
        <v>45957.44837962963</v>
      </c>
      <c r="C444" s="1" t="n">
        <v>46039</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56917-2022</t>
        </is>
      </c>
      <c r="B445" s="1" t="n">
        <v>44894</v>
      </c>
      <c r="C445" s="1" t="n">
        <v>46039</v>
      </c>
      <c r="D445" t="inlineStr">
        <is>
          <t>ÖSTERGÖTLANDS LÄN</t>
        </is>
      </c>
      <c r="E445" t="inlineStr">
        <is>
          <t>LINKÖPING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1265-2023</t>
        </is>
      </c>
      <c r="B446" s="1" t="n">
        <v>44936</v>
      </c>
      <c r="C446" s="1" t="n">
        <v>46039</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1362-2023</t>
        </is>
      </c>
      <c r="B447" s="1" t="n">
        <v>44931</v>
      </c>
      <c r="C447" s="1" t="n">
        <v>46039</v>
      </c>
      <c r="D447" t="inlineStr">
        <is>
          <t>ÖSTERGÖTLANDS LÄN</t>
        </is>
      </c>
      <c r="E447" t="inlineStr">
        <is>
          <t>LINKÖPING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27766-2022</t>
        </is>
      </c>
      <c r="B448" s="1" t="n">
        <v>44743.53112268518</v>
      </c>
      <c r="C448" s="1" t="n">
        <v>46039</v>
      </c>
      <c r="D448" t="inlineStr">
        <is>
          <t>ÖSTERGÖTLANDS LÄN</t>
        </is>
      </c>
      <c r="E448" t="inlineStr">
        <is>
          <t>LINKÖPING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54034-2022</t>
        </is>
      </c>
      <c r="B449" s="1" t="n">
        <v>44881</v>
      </c>
      <c r="C449" s="1" t="n">
        <v>46039</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55493-2021</t>
        </is>
      </c>
      <c r="B450" s="1" t="n">
        <v>44475.61988425926</v>
      </c>
      <c r="C450" s="1" t="n">
        <v>46039</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6054-2022</t>
        </is>
      </c>
      <c r="B451" s="1" t="n">
        <v>44599.53623842593</v>
      </c>
      <c r="C451" s="1" t="n">
        <v>46039</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48271-2023</t>
        </is>
      </c>
      <c r="B452" s="1" t="n">
        <v>45205</v>
      </c>
      <c r="C452" s="1" t="n">
        <v>46039</v>
      </c>
      <c r="D452" t="inlineStr">
        <is>
          <t>ÖSTERGÖTLANDS LÄN</t>
        </is>
      </c>
      <c r="E452" t="inlineStr">
        <is>
          <t>LINKÖPING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25119-2023</t>
        </is>
      </c>
      <c r="B453" s="1" t="n">
        <v>45086.42326388889</v>
      </c>
      <c r="C453" s="1" t="n">
        <v>46039</v>
      </c>
      <c r="D453" t="inlineStr">
        <is>
          <t>ÖSTERGÖTLANDS LÄN</t>
        </is>
      </c>
      <c r="E453" t="inlineStr">
        <is>
          <t>LINKÖPING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13266-2025</t>
        </is>
      </c>
      <c r="B454" s="1" t="n">
        <v>45735.53318287037</v>
      </c>
      <c r="C454" s="1" t="n">
        <v>46039</v>
      </c>
      <c r="D454" t="inlineStr">
        <is>
          <t>ÖSTERGÖTLANDS LÄN</t>
        </is>
      </c>
      <c r="E454" t="inlineStr">
        <is>
          <t>LINKÖPING</t>
        </is>
      </c>
      <c r="G454" t="n">
        <v>3.1</v>
      </c>
      <c r="H454" t="n">
        <v>0</v>
      </c>
      <c r="I454" t="n">
        <v>0</v>
      </c>
      <c r="J454" t="n">
        <v>0</v>
      </c>
      <c r="K454" t="n">
        <v>0</v>
      </c>
      <c r="L454" t="n">
        <v>0</v>
      </c>
      <c r="M454" t="n">
        <v>0</v>
      </c>
      <c r="N454" t="n">
        <v>0</v>
      </c>
      <c r="O454" t="n">
        <v>0</v>
      </c>
      <c r="P454" t="n">
        <v>0</v>
      </c>
      <c r="Q454" t="n">
        <v>0</v>
      </c>
      <c r="R454" s="2" t="inlineStr"/>
    </row>
    <row r="455" ht="15" customHeight="1">
      <c r="A455" t="inlineStr">
        <is>
          <t>A 61447-2025</t>
        </is>
      </c>
      <c r="B455" s="1" t="n">
        <v>46001.57554398148</v>
      </c>
      <c r="C455" s="1" t="n">
        <v>46039</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4456-2024</t>
        </is>
      </c>
      <c r="B456" s="1" t="n">
        <v>45327.52847222222</v>
      </c>
      <c r="C456" s="1" t="n">
        <v>46039</v>
      </c>
      <c r="D456" t="inlineStr">
        <is>
          <t>ÖSTERGÖTLANDS LÄN</t>
        </is>
      </c>
      <c r="E456" t="inlineStr">
        <is>
          <t>LINKÖPING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61643-2025</t>
        </is>
      </c>
      <c r="B457" s="1" t="n">
        <v>46002.43575231481</v>
      </c>
      <c r="C457" s="1" t="n">
        <v>46039</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61645-2025</t>
        </is>
      </c>
      <c r="B458" s="1" t="n">
        <v>46002.43697916667</v>
      </c>
      <c r="C458" s="1" t="n">
        <v>46039</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60001-2022</t>
        </is>
      </c>
      <c r="B459" s="1" t="n">
        <v>44909.47087962963</v>
      </c>
      <c r="C459" s="1" t="n">
        <v>46039</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58114-2021</t>
        </is>
      </c>
      <c r="B460" s="1" t="n">
        <v>44487</v>
      </c>
      <c r="C460" s="1" t="n">
        <v>46039</v>
      </c>
      <c r="D460" t="inlineStr">
        <is>
          <t>ÖSTERGÖTLANDS LÄN</t>
        </is>
      </c>
      <c r="E460" t="inlineStr">
        <is>
          <t>LINKÖPING</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1657-2024</t>
        </is>
      </c>
      <c r="B461" s="1" t="n">
        <v>45306.82501157407</v>
      </c>
      <c r="C461" s="1" t="n">
        <v>46039</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61899-2025</t>
        </is>
      </c>
      <c r="B462" s="1" t="n">
        <v>46003.46635416667</v>
      </c>
      <c r="C462" s="1" t="n">
        <v>46039</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61230-2025</t>
        </is>
      </c>
      <c r="B463" s="1" t="n">
        <v>46000.63111111111</v>
      </c>
      <c r="C463" s="1" t="n">
        <v>46039</v>
      </c>
      <c r="D463" t="inlineStr">
        <is>
          <t>ÖSTERGÖTLANDS LÄN</t>
        </is>
      </c>
      <c r="E463" t="inlineStr">
        <is>
          <t>LINKÖPING</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52892-2024</t>
        </is>
      </c>
      <c r="B464" s="1" t="n">
        <v>45610</v>
      </c>
      <c r="C464" s="1" t="n">
        <v>46039</v>
      </c>
      <c r="D464" t="inlineStr">
        <is>
          <t>ÖSTERGÖTLANDS LÄN</t>
        </is>
      </c>
      <c r="E464" t="inlineStr">
        <is>
          <t>LINKÖPING</t>
        </is>
      </c>
      <c r="G464" t="n">
        <v>4.2</v>
      </c>
      <c r="H464" t="n">
        <v>0</v>
      </c>
      <c r="I464" t="n">
        <v>0</v>
      </c>
      <c r="J464" t="n">
        <v>0</v>
      </c>
      <c r="K464" t="n">
        <v>0</v>
      </c>
      <c r="L464" t="n">
        <v>0</v>
      </c>
      <c r="M464" t="n">
        <v>0</v>
      </c>
      <c r="N464" t="n">
        <v>0</v>
      </c>
      <c r="O464" t="n">
        <v>0</v>
      </c>
      <c r="P464" t="n">
        <v>0</v>
      </c>
      <c r="Q464" t="n">
        <v>0</v>
      </c>
      <c r="R464" s="2" t="inlineStr"/>
    </row>
    <row r="465" ht="15" customHeight="1">
      <c r="A465" t="inlineStr">
        <is>
          <t>A 30976-2022</t>
        </is>
      </c>
      <c r="B465" s="1" t="n">
        <v>44768</v>
      </c>
      <c r="C465" s="1" t="n">
        <v>46039</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30860-2022</t>
        </is>
      </c>
      <c r="B466" s="1" t="n">
        <v>44767</v>
      </c>
      <c r="C466" s="1" t="n">
        <v>46039</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48186-2022</t>
        </is>
      </c>
      <c r="B467" s="1" t="n">
        <v>44858</v>
      </c>
      <c r="C467" s="1" t="n">
        <v>46039</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62686-2025</t>
        </is>
      </c>
      <c r="B468" s="1" t="n">
        <v>46008.46769675926</v>
      </c>
      <c r="C468" s="1" t="n">
        <v>46039</v>
      </c>
      <c r="D468" t="inlineStr">
        <is>
          <t>ÖSTERGÖTLANDS LÄN</t>
        </is>
      </c>
      <c r="E468" t="inlineStr">
        <is>
          <t>LINKÖPING</t>
        </is>
      </c>
      <c r="G468" t="n">
        <v>7.6</v>
      </c>
      <c r="H468" t="n">
        <v>0</v>
      </c>
      <c r="I468" t="n">
        <v>0</v>
      </c>
      <c r="J468" t="n">
        <v>0</v>
      </c>
      <c r="K468" t="n">
        <v>0</v>
      </c>
      <c r="L468" t="n">
        <v>0</v>
      </c>
      <c r="M468" t="n">
        <v>0</v>
      </c>
      <c r="N468" t="n">
        <v>0</v>
      </c>
      <c r="O468" t="n">
        <v>0</v>
      </c>
      <c r="P468" t="n">
        <v>0</v>
      </c>
      <c r="Q468" t="n">
        <v>0</v>
      </c>
      <c r="R468" s="2" t="inlineStr"/>
    </row>
    <row r="469" ht="15" customHeight="1">
      <c r="A469" t="inlineStr">
        <is>
          <t>A 28266-2024</t>
        </is>
      </c>
      <c r="B469" s="1" t="n">
        <v>45477.43600694444</v>
      </c>
      <c r="C469" s="1" t="n">
        <v>46039</v>
      </c>
      <c r="D469" t="inlineStr">
        <is>
          <t>ÖSTERGÖTLANDS LÄN</t>
        </is>
      </c>
      <c r="E469" t="inlineStr">
        <is>
          <t>LINKÖPING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54333-2025</t>
        </is>
      </c>
      <c r="B470" s="1" t="n">
        <v>45965.35090277778</v>
      </c>
      <c r="C470" s="1" t="n">
        <v>46039</v>
      </c>
      <c r="D470" t="inlineStr">
        <is>
          <t>ÖSTERGÖTLANDS LÄN</t>
        </is>
      </c>
      <c r="E470" t="inlineStr">
        <is>
          <t>LINKÖPING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31548-2022</t>
        </is>
      </c>
      <c r="B471" s="1" t="n">
        <v>44775.39832175926</v>
      </c>
      <c r="C471" s="1" t="n">
        <v>46039</v>
      </c>
      <c r="D471" t="inlineStr">
        <is>
          <t>ÖSTERGÖTLANDS LÄN</t>
        </is>
      </c>
      <c r="E471" t="inlineStr">
        <is>
          <t>LINKÖPING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1211-2023</t>
        </is>
      </c>
      <c r="B472" s="1" t="n">
        <v>44930</v>
      </c>
      <c r="C472" s="1" t="n">
        <v>46039</v>
      </c>
      <c r="D472" t="inlineStr">
        <is>
          <t>ÖSTERGÖTLANDS LÄN</t>
        </is>
      </c>
      <c r="E472" t="inlineStr">
        <is>
          <t>LINKÖPING</t>
        </is>
      </c>
      <c r="F472" t="inlineStr">
        <is>
          <t>Övriga statliga verk och myndigheter</t>
        </is>
      </c>
      <c r="G472" t="n">
        <v>7.9</v>
      </c>
      <c r="H472" t="n">
        <v>0</v>
      </c>
      <c r="I472" t="n">
        <v>0</v>
      </c>
      <c r="J472" t="n">
        <v>0</v>
      </c>
      <c r="K472" t="n">
        <v>0</v>
      </c>
      <c r="L472" t="n">
        <v>0</v>
      </c>
      <c r="M472" t="n">
        <v>0</v>
      </c>
      <c r="N472" t="n">
        <v>0</v>
      </c>
      <c r="O472" t="n">
        <v>0</v>
      </c>
      <c r="P472" t="n">
        <v>0</v>
      </c>
      <c r="Q472" t="n">
        <v>0</v>
      </c>
      <c r="R472" s="2" t="inlineStr"/>
    </row>
    <row r="473" ht="15" customHeight="1">
      <c r="A473" t="inlineStr">
        <is>
          <t>A 51191-2022</t>
        </is>
      </c>
      <c r="B473" s="1" t="n">
        <v>44865</v>
      </c>
      <c r="C473" s="1" t="n">
        <v>46039</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54332-2025</t>
        </is>
      </c>
      <c r="B474" s="1" t="n">
        <v>45965.34915509259</v>
      </c>
      <c r="C474" s="1" t="n">
        <v>46039</v>
      </c>
      <c r="D474" t="inlineStr">
        <is>
          <t>ÖSTERGÖTLANDS LÄN</t>
        </is>
      </c>
      <c r="E474" t="inlineStr">
        <is>
          <t>LINKÖPING</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3008-2023</t>
        </is>
      </c>
      <c r="B475" s="1" t="n">
        <v>44945.79784722222</v>
      </c>
      <c r="C475" s="1" t="n">
        <v>46039</v>
      </c>
      <c r="D475" t="inlineStr">
        <is>
          <t>ÖSTERGÖTLANDS LÄN</t>
        </is>
      </c>
      <c r="E475" t="inlineStr">
        <is>
          <t>LINKÖPING</t>
        </is>
      </c>
      <c r="G475" t="n">
        <v>19.3</v>
      </c>
      <c r="H475" t="n">
        <v>0</v>
      </c>
      <c r="I475" t="n">
        <v>0</v>
      </c>
      <c r="J475" t="n">
        <v>0</v>
      </c>
      <c r="K475" t="n">
        <v>0</v>
      </c>
      <c r="L475" t="n">
        <v>0</v>
      </c>
      <c r="M475" t="n">
        <v>0</v>
      </c>
      <c r="N475" t="n">
        <v>0</v>
      </c>
      <c r="O475" t="n">
        <v>0</v>
      </c>
      <c r="P475" t="n">
        <v>0</v>
      </c>
      <c r="Q475" t="n">
        <v>0</v>
      </c>
      <c r="R475" s="2" t="inlineStr"/>
    </row>
    <row r="476" ht="15" customHeight="1">
      <c r="A476" t="inlineStr">
        <is>
          <t>A 55632-2022</t>
        </is>
      </c>
      <c r="B476" s="1" t="n">
        <v>44888</v>
      </c>
      <c r="C476" s="1" t="n">
        <v>46039</v>
      </c>
      <c r="D476" t="inlineStr">
        <is>
          <t>ÖSTERGÖTLANDS LÄN</t>
        </is>
      </c>
      <c r="E476" t="inlineStr">
        <is>
          <t>LINKÖPING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62515-2025</t>
        </is>
      </c>
      <c r="B477" s="1" t="n">
        <v>46007.60548611111</v>
      </c>
      <c r="C477" s="1" t="n">
        <v>46039</v>
      </c>
      <c r="D477" t="inlineStr">
        <is>
          <t>ÖSTERGÖTLANDS LÄN</t>
        </is>
      </c>
      <c r="E477" t="inlineStr">
        <is>
          <t>LINKÖPING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62791-2025</t>
        </is>
      </c>
      <c r="B478" s="1" t="n">
        <v>46008.63266203704</v>
      </c>
      <c r="C478" s="1" t="n">
        <v>46039</v>
      </c>
      <c r="D478" t="inlineStr">
        <is>
          <t>ÖSTERGÖTLANDS LÄN</t>
        </is>
      </c>
      <c r="E478" t="inlineStr">
        <is>
          <t>LINKÖPING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54329-2025</t>
        </is>
      </c>
      <c r="B479" s="1" t="n">
        <v>45965.34706018519</v>
      </c>
      <c r="C479" s="1" t="n">
        <v>46039</v>
      </c>
      <c r="D479" t="inlineStr">
        <is>
          <t>ÖSTERGÖTLANDS LÄN</t>
        </is>
      </c>
      <c r="E479" t="inlineStr">
        <is>
          <t>LINKÖPING</t>
        </is>
      </c>
      <c r="F479" t="inlineStr">
        <is>
          <t>Sveaskog</t>
        </is>
      </c>
      <c r="G479" t="n">
        <v>5.1</v>
      </c>
      <c r="H479" t="n">
        <v>0</v>
      </c>
      <c r="I479" t="n">
        <v>0</v>
      </c>
      <c r="J479" t="n">
        <v>0</v>
      </c>
      <c r="K479" t="n">
        <v>0</v>
      </c>
      <c r="L479" t="n">
        <v>0</v>
      </c>
      <c r="M479" t="n">
        <v>0</v>
      </c>
      <c r="N479" t="n">
        <v>0</v>
      </c>
      <c r="O479" t="n">
        <v>0</v>
      </c>
      <c r="P479" t="n">
        <v>0</v>
      </c>
      <c r="Q479" t="n">
        <v>0</v>
      </c>
      <c r="R479" s="2" t="inlineStr"/>
    </row>
    <row r="480" ht="15" customHeight="1">
      <c r="A480" t="inlineStr">
        <is>
          <t>A 63669-2023</t>
        </is>
      </c>
      <c r="B480" s="1" t="n">
        <v>45275</v>
      </c>
      <c r="C480" s="1" t="n">
        <v>46039</v>
      </c>
      <c r="D480" t="inlineStr">
        <is>
          <t>ÖSTERGÖTLANDS LÄN</t>
        </is>
      </c>
      <c r="E480" t="inlineStr">
        <is>
          <t>LINKÖPING</t>
        </is>
      </c>
      <c r="F480" t="inlineStr">
        <is>
          <t>Övriga Aktiebolag</t>
        </is>
      </c>
      <c r="G480" t="n">
        <v>3</v>
      </c>
      <c r="H480" t="n">
        <v>0</v>
      </c>
      <c r="I480" t="n">
        <v>0</v>
      </c>
      <c r="J480" t="n">
        <v>0</v>
      </c>
      <c r="K480" t="n">
        <v>0</v>
      </c>
      <c r="L480" t="n">
        <v>0</v>
      </c>
      <c r="M480" t="n">
        <v>0</v>
      </c>
      <c r="N480" t="n">
        <v>0</v>
      </c>
      <c r="O480" t="n">
        <v>0</v>
      </c>
      <c r="P480" t="n">
        <v>0</v>
      </c>
      <c r="Q480" t="n">
        <v>0</v>
      </c>
      <c r="R480" s="2" t="inlineStr"/>
    </row>
    <row r="481" ht="15" customHeight="1">
      <c r="A481" t="inlineStr">
        <is>
          <t>A 12289-2025</t>
        </is>
      </c>
      <c r="B481" s="1" t="n">
        <v>45729</v>
      </c>
      <c r="C481" s="1" t="n">
        <v>46039</v>
      </c>
      <c r="D481" t="inlineStr">
        <is>
          <t>ÖSTERGÖTLANDS LÄN</t>
        </is>
      </c>
      <c r="E481" t="inlineStr">
        <is>
          <t>LINKÖPING</t>
        </is>
      </c>
      <c r="F481" t="inlineStr">
        <is>
          <t>Övriga statliga verk och myndigheter</t>
        </is>
      </c>
      <c r="G481" t="n">
        <v>6.5</v>
      </c>
      <c r="H481" t="n">
        <v>0</v>
      </c>
      <c r="I481" t="n">
        <v>0</v>
      </c>
      <c r="J481" t="n">
        <v>0</v>
      </c>
      <c r="K481" t="n">
        <v>0</v>
      </c>
      <c r="L481" t="n">
        <v>0</v>
      </c>
      <c r="M481" t="n">
        <v>0</v>
      </c>
      <c r="N481" t="n">
        <v>0</v>
      </c>
      <c r="O481" t="n">
        <v>0</v>
      </c>
      <c r="P481" t="n">
        <v>0</v>
      </c>
      <c r="Q481" t="n">
        <v>0</v>
      </c>
      <c r="R481" s="2" t="inlineStr"/>
    </row>
    <row r="482" ht="15" customHeight="1">
      <c r="A482" t="inlineStr">
        <is>
          <t>A 36657-2023</t>
        </is>
      </c>
      <c r="B482" s="1" t="n">
        <v>45153.5702662037</v>
      </c>
      <c r="C482" s="1" t="n">
        <v>46039</v>
      </c>
      <c r="D482" t="inlineStr">
        <is>
          <t>ÖSTERGÖTLANDS LÄN</t>
        </is>
      </c>
      <c r="E482" t="inlineStr">
        <is>
          <t>LINKÖPING</t>
        </is>
      </c>
      <c r="F482" t="inlineStr">
        <is>
          <t>Allmännings- och besparingsskogar</t>
        </is>
      </c>
      <c r="G482" t="n">
        <v>2</v>
      </c>
      <c r="H482" t="n">
        <v>0</v>
      </c>
      <c r="I482" t="n">
        <v>0</v>
      </c>
      <c r="J482" t="n">
        <v>0</v>
      </c>
      <c r="K482" t="n">
        <v>0</v>
      </c>
      <c r="L482" t="n">
        <v>0</v>
      </c>
      <c r="M482" t="n">
        <v>0</v>
      </c>
      <c r="N482" t="n">
        <v>0</v>
      </c>
      <c r="O482" t="n">
        <v>0</v>
      </c>
      <c r="P482" t="n">
        <v>0</v>
      </c>
      <c r="Q482" t="n">
        <v>0</v>
      </c>
      <c r="R482" s="2" t="inlineStr"/>
    </row>
    <row r="483" ht="15" customHeight="1">
      <c r="A483" t="inlineStr">
        <is>
          <t>A 19169-2023</t>
        </is>
      </c>
      <c r="B483" s="1" t="n">
        <v>45044</v>
      </c>
      <c r="C483" s="1" t="n">
        <v>46039</v>
      </c>
      <c r="D483" t="inlineStr">
        <is>
          <t>ÖSTERGÖTLANDS LÄN</t>
        </is>
      </c>
      <c r="E483" t="inlineStr">
        <is>
          <t>LINKÖPING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1209-2023</t>
        </is>
      </c>
      <c r="B484" s="1" t="n">
        <v>44930</v>
      </c>
      <c r="C484" s="1" t="n">
        <v>46039</v>
      </c>
      <c r="D484" t="inlineStr">
        <is>
          <t>ÖSTERGÖTLANDS LÄN</t>
        </is>
      </c>
      <c r="E484" t="inlineStr">
        <is>
          <t>LINKÖPING</t>
        </is>
      </c>
      <c r="F484" t="inlineStr">
        <is>
          <t>Övriga statliga verk och myndigheter</t>
        </is>
      </c>
      <c r="G484" t="n">
        <v>25.8</v>
      </c>
      <c r="H484" t="n">
        <v>0</v>
      </c>
      <c r="I484" t="n">
        <v>0</v>
      </c>
      <c r="J484" t="n">
        <v>0</v>
      </c>
      <c r="K484" t="n">
        <v>0</v>
      </c>
      <c r="L484" t="n">
        <v>0</v>
      </c>
      <c r="M484" t="n">
        <v>0</v>
      </c>
      <c r="N484" t="n">
        <v>0</v>
      </c>
      <c r="O484" t="n">
        <v>0</v>
      </c>
      <c r="P484" t="n">
        <v>0</v>
      </c>
      <c r="Q484" t="n">
        <v>0</v>
      </c>
      <c r="R484" s="2" t="inlineStr"/>
    </row>
    <row r="485" ht="15" customHeight="1">
      <c r="A485" t="inlineStr">
        <is>
          <t>A 55736-2022</t>
        </is>
      </c>
      <c r="B485" s="1" t="n">
        <v>44888</v>
      </c>
      <c r="C485" s="1" t="n">
        <v>46039</v>
      </c>
      <c r="D485" t="inlineStr">
        <is>
          <t>ÖSTERGÖTLANDS LÄN</t>
        </is>
      </c>
      <c r="E485" t="inlineStr">
        <is>
          <t>LINKÖPING</t>
        </is>
      </c>
      <c r="G485" t="n">
        <v>5.5</v>
      </c>
      <c r="H485" t="n">
        <v>0</v>
      </c>
      <c r="I485" t="n">
        <v>0</v>
      </c>
      <c r="J485" t="n">
        <v>0</v>
      </c>
      <c r="K485" t="n">
        <v>0</v>
      </c>
      <c r="L485" t="n">
        <v>0</v>
      </c>
      <c r="M485" t="n">
        <v>0</v>
      </c>
      <c r="N485" t="n">
        <v>0</v>
      </c>
      <c r="O485" t="n">
        <v>0</v>
      </c>
      <c r="P485" t="n">
        <v>0</v>
      </c>
      <c r="Q485" t="n">
        <v>0</v>
      </c>
      <c r="R485" s="2" t="inlineStr"/>
    </row>
    <row r="486" ht="15" customHeight="1">
      <c r="A486" t="inlineStr">
        <is>
          <t>A 2085-2024</t>
        </is>
      </c>
      <c r="B486" s="1" t="n">
        <v>45309</v>
      </c>
      <c r="C486" s="1" t="n">
        <v>46039</v>
      </c>
      <c r="D486" t="inlineStr">
        <is>
          <t>ÖSTERGÖTLANDS LÄN</t>
        </is>
      </c>
      <c r="E486" t="inlineStr">
        <is>
          <t>LINKÖPING</t>
        </is>
      </c>
      <c r="G486" t="n">
        <v>4.5</v>
      </c>
      <c r="H486" t="n">
        <v>0</v>
      </c>
      <c r="I486" t="n">
        <v>0</v>
      </c>
      <c r="J486" t="n">
        <v>0</v>
      </c>
      <c r="K486" t="n">
        <v>0</v>
      </c>
      <c r="L486" t="n">
        <v>0</v>
      </c>
      <c r="M486" t="n">
        <v>0</v>
      </c>
      <c r="N486" t="n">
        <v>0</v>
      </c>
      <c r="O486" t="n">
        <v>0</v>
      </c>
      <c r="P486" t="n">
        <v>0</v>
      </c>
      <c r="Q486" t="n">
        <v>0</v>
      </c>
      <c r="R486" s="2" t="inlineStr"/>
    </row>
    <row r="487" ht="15" customHeight="1">
      <c r="A487" t="inlineStr">
        <is>
          <t>A 55109-2025</t>
        </is>
      </c>
      <c r="B487" s="1" t="n">
        <v>45968.37731481482</v>
      </c>
      <c r="C487" s="1" t="n">
        <v>46039</v>
      </c>
      <c r="D487" t="inlineStr">
        <is>
          <t>ÖSTERGÖTLANDS LÄN</t>
        </is>
      </c>
      <c r="E487" t="inlineStr">
        <is>
          <t>LINKÖPING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30434-2024</t>
        </is>
      </c>
      <c r="B488" s="1" t="n">
        <v>45491.69811342593</v>
      </c>
      <c r="C488" s="1" t="n">
        <v>46039</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48-2024</t>
        </is>
      </c>
      <c r="B489" s="1" t="n">
        <v>45293</v>
      </c>
      <c r="C489" s="1" t="n">
        <v>46039</v>
      </c>
      <c r="D489" t="inlineStr">
        <is>
          <t>ÖSTERGÖTLANDS LÄN</t>
        </is>
      </c>
      <c r="E489" t="inlineStr">
        <is>
          <t>LINKÖPING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55165-2025</t>
        </is>
      </c>
      <c r="B490" s="1" t="n">
        <v>45968.48194444444</v>
      </c>
      <c r="C490" s="1" t="n">
        <v>46039</v>
      </c>
      <c r="D490" t="inlineStr">
        <is>
          <t>ÖSTERGÖTLANDS LÄN</t>
        </is>
      </c>
      <c r="E490" t="inlineStr">
        <is>
          <t>LINKÖPING</t>
        </is>
      </c>
      <c r="G490" t="n">
        <v>2.4</v>
      </c>
      <c r="H490" t="n">
        <v>0</v>
      </c>
      <c r="I490" t="n">
        <v>0</v>
      </c>
      <c r="J490" t="n">
        <v>0</v>
      </c>
      <c r="K490" t="n">
        <v>0</v>
      </c>
      <c r="L490" t="n">
        <v>0</v>
      </c>
      <c r="M490" t="n">
        <v>0</v>
      </c>
      <c r="N490" t="n">
        <v>0</v>
      </c>
      <c r="O490" t="n">
        <v>0</v>
      </c>
      <c r="P490" t="n">
        <v>0</v>
      </c>
      <c r="Q490" t="n">
        <v>0</v>
      </c>
      <c r="R490" s="2" t="inlineStr"/>
    </row>
    <row r="491" ht="15" customHeight="1">
      <c r="A491" t="inlineStr">
        <is>
          <t>A 63144-2025</t>
        </is>
      </c>
      <c r="B491" s="1" t="n">
        <v>46010.34716435185</v>
      </c>
      <c r="C491" s="1" t="n">
        <v>46039</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63147-2025</t>
        </is>
      </c>
      <c r="B492" s="1" t="n">
        <v>46010.35003472222</v>
      </c>
      <c r="C492" s="1" t="n">
        <v>46039</v>
      </c>
      <c r="D492" t="inlineStr">
        <is>
          <t>ÖSTERGÖTLANDS LÄN</t>
        </is>
      </c>
      <c r="E492" t="inlineStr">
        <is>
          <t>LINKÖPING</t>
        </is>
      </c>
      <c r="G492" t="n">
        <v>4</v>
      </c>
      <c r="H492" t="n">
        <v>0</v>
      </c>
      <c r="I492" t="n">
        <v>0</v>
      </c>
      <c r="J492" t="n">
        <v>0</v>
      </c>
      <c r="K492" t="n">
        <v>0</v>
      </c>
      <c r="L492" t="n">
        <v>0</v>
      </c>
      <c r="M492" t="n">
        <v>0</v>
      </c>
      <c r="N492" t="n">
        <v>0</v>
      </c>
      <c r="O492" t="n">
        <v>0</v>
      </c>
      <c r="P492" t="n">
        <v>0</v>
      </c>
      <c r="Q492" t="n">
        <v>0</v>
      </c>
      <c r="R492" s="2" t="inlineStr"/>
    </row>
    <row r="493" ht="15" customHeight="1">
      <c r="A493" t="inlineStr">
        <is>
          <t>A 55102-2025</t>
        </is>
      </c>
      <c r="B493" s="1" t="n">
        <v>45968.35410879629</v>
      </c>
      <c r="C493" s="1" t="n">
        <v>46039</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55132-2025</t>
        </is>
      </c>
      <c r="B494" s="1" t="n">
        <v>45968.41912037037</v>
      </c>
      <c r="C494" s="1" t="n">
        <v>46039</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56560-2023</t>
        </is>
      </c>
      <c r="B495" s="1" t="n">
        <v>45238</v>
      </c>
      <c r="C495" s="1" t="n">
        <v>46039</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11084-2022</t>
        </is>
      </c>
      <c r="B496" s="1" t="n">
        <v>44628</v>
      </c>
      <c r="C496" s="1" t="n">
        <v>46039</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19132-2023</t>
        </is>
      </c>
      <c r="B497" s="1" t="n">
        <v>45048.54754629629</v>
      </c>
      <c r="C497" s="1" t="n">
        <v>46039</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52412-2023</t>
        </is>
      </c>
      <c r="B498" s="1" t="n">
        <v>45225.27888888889</v>
      </c>
      <c r="C498" s="1" t="n">
        <v>46039</v>
      </c>
      <c r="D498" t="inlineStr">
        <is>
          <t>ÖSTERGÖTLANDS LÄN</t>
        </is>
      </c>
      <c r="E498" t="inlineStr">
        <is>
          <t>LINKÖPING</t>
        </is>
      </c>
      <c r="G498" t="n">
        <v>1.8</v>
      </c>
      <c r="H498" t="n">
        <v>0</v>
      </c>
      <c r="I498" t="n">
        <v>0</v>
      </c>
      <c r="J498" t="n">
        <v>0</v>
      </c>
      <c r="K498" t="n">
        <v>0</v>
      </c>
      <c r="L498" t="n">
        <v>0</v>
      </c>
      <c r="M498" t="n">
        <v>0</v>
      </c>
      <c r="N498" t="n">
        <v>0</v>
      </c>
      <c r="O498" t="n">
        <v>0</v>
      </c>
      <c r="P498" t="n">
        <v>0</v>
      </c>
      <c r="Q498" t="n">
        <v>0</v>
      </c>
      <c r="R498" s="2" t="inlineStr"/>
    </row>
    <row r="499" ht="15" customHeight="1">
      <c r="A499" t="inlineStr">
        <is>
          <t>A 57745-2022</t>
        </is>
      </c>
      <c r="B499" s="1" t="n">
        <v>44897.58119212963</v>
      </c>
      <c r="C499" s="1" t="n">
        <v>46039</v>
      </c>
      <c r="D499" t="inlineStr">
        <is>
          <t>ÖSTERGÖTLANDS LÄN</t>
        </is>
      </c>
      <c r="E499" t="inlineStr">
        <is>
          <t>LINKÖPING</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62492-2023</t>
        </is>
      </c>
      <c r="B500" s="1" t="n">
        <v>45268.58987268519</v>
      </c>
      <c r="C500" s="1" t="n">
        <v>46039</v>
      </c>
      <c r="D500" t="inlineStr">
        <is>
          <t>ÖSTERGÖTLANDS LÄN</t>
        </is>
      </c>
      <c r="E500" t="inlineStr">
        <is>
          <t>LINKÖPING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14520-2025</t>
        </is>
      </c>
      <c r="B501" s="1" t="n">
        <v>45741</v>
      </c>
      <c r="C501" s="1" t="n">
        <v>46039</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56105-2025</t>
        </is>
      </c>
      <c r="B502" s="1" t="n">
        <v>45973.72855324074</v>
      </c>
      <c r="C502" s="1" t="n">
        <v>46039</v>
      </c>
      <c r="D502" t="inlineStr">
        <is>
          <t>ÖSTERGÖTLANDS LÄN</t>
        </is>
      </c>
      <c r="E502" t="inlineStr">
        <is>
          <t>LINKÖPING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56403-2025</t>
        </is>
      </c>
      <c r="B503" s="1" t="n">
        <v>45974</v>
      </c>
      <c r="C503" s="1" t="n">
        <v>46039</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38230-2023</t>
        </is>
      </c>
      <c r="B504" s="1" t="n">
        <v>45161.55373842592</v>
      </c>
      <c r="C504" s="1" t="n">
        <v>46039</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56756-2023</t>
        </is>
      </c>
      <c r="B505" s="1" t="n">
        <v>45244</v>
      </c>
      <c r="C505" s="1" t="n">
        <v>46039</v>
      </c>
      <c r="D505" t="inlineStr">
        <is>
          <t>ÖSTERGÖTLANDS LÄN</t>
        </is>
      </c>
      <c r="E505" t="inlineStr">
        <is>
          <t>LINKÖPING</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56113-2025</t>
        </is>
      </c>
      <c r="B506" s="1" t="n">
        <v>45973.73924768518</v>
      </c>
      <c r="C506" s="1" t="n">
        <v>46039</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56704-2025</t>
        </is>
      </c>
      <c r="B507" s="1" t="n">
        <v>45977.50608796296</v>
      </c>
      <c r="C507" s="1" t="n">
        <v>46039</v>
      </c>
      <c r="D507" t="inlineStr">
        <is>
          <t>ÖSTERGÖTLANDS LÄN</t>
        </is>
      </c>
      <c r="E507" t="inlineStr">
        <is>
          <t>LINKÖPING</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38886-2024</t>
        </is>
      </c>
      <c r="B508" s="1" t="n">
        <v>45547.66443287037</v>
      </c>
      <c r="C508" s="1" t="n">
        <v>46039</v>
      </c>
      <c r="D508" t="inlineStr">
        <is>
          <t>ÖSTERGÖTLANDS LÄN</t>
        </is>
      </c>
      <c r="E508" t="inlineStr">
        <is>
          <t>LINKÖPING</t>
        </is>
      </c>
      <c r="G508" t="n">
        <v>5.3</v>
      </c>
      <c r="H508" t="n">
        <v>0</v>
      </c>
      <c r="I508" t="n">
        <v>0</v>
      </c>
      <c r="J508" t="n">
        <v>0</v>
      </c>
      <c r="K508" t="n">
        <v>0</v>
      </c>
      <c r="L508" t="n">
        <v>0</v>
      </c>
      <c r="M508" t="n">
        <v>0</v>
      </c>
      <c r="N508" t="n">
        <v>0</v>
      </c>
      <c r="O508" t="n">
        <v>0</v>
      </c>
      <c r="P508" t="n">
        <v>0</v>
      </c>
      <c r="Q508" t="n">
        <v>0</v>
      </c>
      <c r="R508" s="2" t="inlineStr"/>
    </row>
    <row r="509" ht="15" customHeight="1">
      <c r="A509" t="inlineStr">
        <is>
          <t>A 11590-2023</t>
        </is>
      </c>
      <c r="B509" s="1" t="n">
        <v>44994.36689814815</v>
      </c>
      <c r="C509" s="1" t="n">
        <v>46039</v>
      </c>
      <c r="D509" t="inlineStr">
        <is>
          <t>ÖSTERGÖTLANDS LÄN</t>
        </is>
      </c>
      <c r="E509" t="inlineStr">
        <is>
          <t>LINKÖPING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56064-2022</t>
        </is>
      </c>
      <c r="B510" s="1" t="n">
        <v>44889.59107638889</v>
      </c>
      <c r="C510" s="1" t="n">
        <v>46039</v>
      </c>
      <c r="D510" t="inlineStr">
        <is>
          <t>ÖSTERGÖTLANDS LÄN</t>
        </is>
      </c>
      <c r="E510" t="inlineStr">
        <is>
          <t>LINKÖPING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40502-2024</t>
        </is>
      </c>
      <c r="B511" s="1" t="n">
        <v>45555.57263888889</v>
      </c>
      <c r="C511" s="1" t="n">
        <v>46039</v>
      </c>
      <c r="D511" t="inlineStr">
        <is>
          <t>ÖSTERGÖTLANDS LÄN</t>
        </is>
      </c>
      <c r="E511" t="inlineStr">
        <is>
          <t>LINKÖPING</t>
        </is>
      </c>
      <c r="F511" t="inlineStr">
        <is>
          <t>Allmännings- och besparingsskogar</t>
        </is>
      </c>
      <c r="G511" t="n">
        <v>17.5</v>
      </c>
      <c r="H511" t="n">
        <v>0</v>
      </c>
      <c r="I511" t="n">
        <v>0</v>
      </c>
      <c r="J511" t="n">
        <v>0</v>
      </c>
      <c r="K511" t="n">
        <v>0</v>
      </c>
      <c r="L511" t="n">
        <v>0</v>
      </c>
      <c r="M511" t="n">
        <v>0</v>
      </c>
      <c r="N511" t="n">
        <v>0</v>
      </c>
      <c r="O511" t="n">
        <v>0</v>
      </c>
      <c r="P511" t="n">
        <v>0</v>
      </c>
      <c r="Q511" t="n">
        <v>0</v>
      </c>
      <c r="R511" s="2" t="inlineStr"/>
    </row>
    <row r="512" ht="15" customHeight="1">
      <c r="A512" t="inlineStr">
        <is>
          <t>A 10461-2023</t>
        </is>
      </c>
      <c r="B512" s="1" t="n">
        <v>44987.5969212963</v>
      </c>
      <c r="C512" s="1" t="n">
        <v>46039</v>
      </c>
      <c r="D512" t="inlineStr">
        <is>
          <t>ÖSTERGÖTLANDS LÄN</t>
        </is>
      </c>
      <c r="E512" t="inlineStr">
        <is>
          <t>LINKÖPING</t>
        </is>
      </c>
      <c r="G512" t="n">
        <v>7.8</v>
      </c>
      <c r="H512" t="n">
        <v>0</v>
      </c>
      <c r="I512" t="n">
        <v>0</v>
      </c>
      <c r="J512" t="n">
        <v>0</v>
      </c>
      <c r="K512" t="n">
        <v>0</v>
      </c>
      <c r="L512" t="n">
        <v>0</v>
      </c>
      <c r="M512" t="n">
        <v>0</v>
      </c>
      <c r="N512" t="n">
        <v>0</v>
      </c>
      <c r="O512" t="n">
        <v>0</v>
      </c>
      <c r="P512" t="n">
        <v>0</v>
      </c>
      <c r="Q512" t="n">
        <v>0</v>
      </c>
      <c r="R512" s="2" t="inlineStr"/>
    </row>
    <row r="513" ht="15" customHeight="1">
      <c r="A513" t="inlineStr">
        <is>
          <t>A 41345-2021</t>
        </is>
      </c>
      <c r="B513" s="1" t="n">
        <v>44424.61851851852</v>
      </c>
      <c r="C513" s="1" t="n">
        <v>46039</v>
      </c>
      <c r="D513" t="inlineStr">
        <is>
          <t>ÖSTERGÖTLANDS LÄN</t>
        </is>
      </c>
      <c r="E513" t="inlineStr">
        <is>
          <t>LINKÖPING</t>
        </is>
      </c>
      <c r="F513" t="inlineStr">
        <is>
          <t>Sveaskog</t>
        </is>
      </c>
      <c r="G513" t="n">
        <v>6.3</v>
      </c>
      <c r="H513" t="n">
        <v>0</v>
      </c>
      <c r="I513" t="n">
        <v>0</v>
      </c>
      <c r="J513" t="n">
        <v>0</v>
      </c>
      <c r="K513" t="n">
        <v>0</v>
      </c>
      <c r="L513" t="n">
        <v>0</v>
      </c>
      <c r="M513" t="n">
        <v>0</v>
      </c>
      <c r="N513" t="n">
        <v>0</v>
      </c>
      <c r="O513" t="n">
        <v>0</v>
      </c>
      <c r="P513" t="n">
        <v>0</v>
      </c>
      <c r="Q513" t="n">
        <v>0</v>
      </c>
      <c r="R513" s="2" t="inlineStr"/>
    </row>
    <row r="514" ht="15" customHeight="1">
      <c r="A514" t="inlineStr">
        <is>
          <t>A 44155-2024</t>
        </is>
      </c>
      <c r="B514" s="1" t="n">
        <v>45572.68226851852</v>
      </c>
      <c r="C514" s="1" t="n">
        <v>46039</v>
      </c>
      <c r="D514" t="inlineStr">
        <is>
          <t>ÖSTERGÖTLANDS LÄN</t>
        </is>
      </c>
      <c r="E514" t="inlineStr">
        <is>
          <t>LINKÖPING</t>
        </is>
      </c>
      <c r="G514" t="n">
        <v>1.8</v>
      </c>
      <c r="H514" t="n">
        <v>0</v>
      </c>
      <c r="I514" t="n">
        <v>0</v>
      </c>
      <c r="J514" t="n">
        <v>0</v>
      </c>
      <c r="K514" t="n">
        <v>0</v>
      </c>
      <c r="L514" t="n">
        <v>0</v>
      </c>
      <c r="M514" t="n">
        <v>0</v>
      </c>
      <c r="N514" t="n">
        <v>0</v>
      </c>
      <c r="O514" t="n">
        <v>0</v>
      </c>
      <c r="P514" t="n">
        <v>0</v>
      </c>
      <c r="Q514" t="n">
        <v>0</v>
      </c>
      <c r="R514" s="2" t="inlineStr"/>
    </row>
    <row r="515" ht="15" customHeight="1">
      <c r="A515" t="inlineStr">
        <is>
          <t>A 42997-2021</t>
        </is>
      </c>
      <c r="B515" s="1" t="n">
        <v>44431.45556712963</v>
      </c>
      <c r="C515" s="1" t="n">
        <v>46039</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61307-2021</t>
        </is>
      </c>
      <c r="B516" s="1" t="n">
        <v>44498.63928240741</v>
      </c>
      <c r="C516" s="1" t="n">
        <v>46039</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61325-2021</t>
        </is>
      </c>
      <c r="B517" s="1" t="n">
        <v>44498.66814814815</v>
      </c>
      <c r="C517" s="1" t="n">
        <v>46039</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60010-2022</t>
        </is>
      </c>
      <c r="B518" s="1" t="n">
        <v>44909.4740625</v>
      </c>
      <c r="C518" s="1" t="n">
        <v>46039</v>
      </c>
      <c r="D518" t="inlineStr">
        <is>
          <t>ÖSTERGÖTLANDS LÄN</t>
        </is>
      </c>
      <c r="E518" t="inlineStr">
        <is>
          <t>LINKÖPING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30518-2024</t>
        </is>
      </c>
      <c r="B519" s="1" t="n">
        <v>45492</v>
      </c>
      <c r="C519" s="1" t="n">
        <v>46039</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4908-2023</t>
        </is>
      </c>
      <c r="B520" s="1" t="n">
        <v>44958</v>
      </c>
      <c r="C520" s="1" t="n">
        <v>46039</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37715-2022</t>
        </is>
      </c>
      <c r="B521" s="1" t="n">
        <v>44810</v>
      </c>
      <c r="C521" s="1" t="n">
        <v>46039</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3742-2021</t>
        </is>
      </c>
      <c r="B522" s="1" t="n">
        <v>44221</v>
      </c>
      <c r="C522" s="1" t="n">
        <v>46039</v>
      </c>
      <c r="D522" t="inlineStr">
        <is>
          <t>ÖSTERGÖTLANDS LÄN</t>
        </is>
      </c>
      <c r="E522" t="inlineStr">
        <is>
          <t>LINKÖPING</t>
        </is>
      </c>
      <c r="G522" t="n">
        <v>5.5</v>
      </c>
      <c r="H522" t="n">
        <v>0</v>
      </c>
      <c r="I522" t="n">
        <v>0</v>
      </c>
      <c r="J522" t="n">
        <v>0</v>
      </c>
      <c r="K522" t="n">
        <v>0</v>
      </c>
      <c r="L522" t="n">
        <v>0</v>
      </c>
      <c r="M522" t="n">
        <v>0</v>
      </c>
      <c r="N522" t="n">
        <v>0</v>
      </c>
      <c r="O522" t="n">
        <v>0</v>
      </c>
      <c r="P522" t="n">
        <v>0</v>
      </c>
      <c r="Q522" t="n">
        <v>0</v>
      </c>
      <c r="R522" s="2" t="inlineStr"/>
    </row>
    <row r="523" ht="15" customHeight="1">
      <c r="A523" t="inlineStr">
        <is>
          <t>A 3011-2023</t>
        </is>
      </c>
      <c r="B523" s="1" t="n">
        <v>44945</v>
      </c>
      <c r="C523" s="1" t="n">
        <v>46039</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45442-2024</t>
        </is>
      </c>
      <c r="B524" s="1" t="n">
        <v>45576.64189814815</v>
      </c>
      <c r="C524" s="1" t="n">
        <v>46039</v>
      </c>
      <c r="D524" t="inlineStr">
        <is>
          <t>ÖSTERGÖTLANDS LÄN</t>
        </is>
      </c>
      <c r="E524" t="inlineStr">
        <is>
          <t>LINKÖPING</t>
        </is>
      </c>
      <c r="G524" t="n">
        <v>1.8</v>
      </c>
      <c r="H524" t="n">
        <v>0</v>
      </c>
      <c r="I524" t="n">
        <v>0</v>
      </c>
      <c r="J524" t="n">
        <v>0</v>
      </c>
      <c r="K524" t="n">
        <v>0</v>
      </c>
      <c r="L524" t="n">
        <v>0</v>
      </c>
      <c r="M524" t="n">
        <v>0</v>
      </c>
      <c r="N524" t="n">
        <v>0</v>
      </c>
      <c r="O524" t="n">
        <v>0</v>
      </c>
      <c r="P524" t="n">
        <v>0</v>
      </c>
      <c r="Q524" t="n">
        <v>0</v>
      </c>
      <c r="R524" s="2" t="inlineStr"/>
    </row>
    <row r="525" ht="15" customHeight="1">
      <c r="A525" t="inlineStr">
        <is>
          <t>A 3432-2023</t>
        </is>
      </c>
      <c r="B525" s="1" t="n">
        <v>44949</v>
      </c>
      <c r="C525" s="1" t="n">
        <v>46039</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14028-2024</t>
        </is>
      </c>
      <c r="B526" s="1" t="n">
        <v>45392</v>
      </c>
      <c r="C526" s="1" t="n">
        <v>46039</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60472-2022</t>
        </is>
      </c>
      <c r="B527" s="1" t="n">
        <v>44911.41037037037</v>
      </c>
      <c r="C527" s="1" t="n">
        <v>46039</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12720-2022</t>
        </is>
      </c>
      <c r="B528" s="1" t="n">
        <v>44641</v>
      </c>
      <c r="C528" s="1" t="n">
        <v>46039</v>
      </c>
      <c r="D528" t="inlineStr">
        <is>
          <t>ÖSTERGÖTLANDS LÄN</t>
        </is>
      </c>
      <c r="E528" t="inlineStr">
        <is>
          <t>LINKÖPING</t>
        </is>
      </c>
      <c r="F528" t="inlineStr">
        <is>
          <t>Övriga Aktiebolag</t>
        </is>
      </c>
      <c r="G528" t="n">
        <v>2</v>
      </c>
      <c r="H528" t="n">
        <v>0</v>
      </c>
      <c r="I528" t="n">
        <v>0</v>
      </c>
      <c r="J528" t="n">
        <v>0</v>
      </c>
      <c r="K528" t="n">
        <v>0</v>
      </c>
      <c r="L528" t="n">
        <v>0</v>
      </c>
      <c r="M528" t="n">
        <v>0</v>
      </c>
      <c r="N528" t="n">
        <v>0</v>
      </c>
      <c r="O528" t="n">
        <v>0</v>
      </c>
      <c r="P528" t="n">
        <v>0</v>
      </c>
      <c r="Q528" t="n">
        <v>0</v>
      </c>
      <c r="R528" s="2" t="inlineStr"/>
    </row>
    <row r="529" ht="15" customHeight="1">
      <c r="A529" t="inlineStr">
        <is>
          <t>A 14667-2024</t>
        </is>
      </c>
      <c r="B529" s="1" t="n">
        <v>45397.42005787037</v>
      </c>
      <c r="C529" s="1" t="n">
        <v>46039</v>
      </c>
      <c r="D529" t="inlineStr">
        <is>
          <t>ÖSTERGÖTLANDS LÄN</t>
        </is>
      </c>
      <c r="E529" t="inlineStr">
        <is>
          <t>LINKÖPING</t>
        </is>
      </c>
      <c r="G529" t="n">
        <v>2.3</v>
      </c>
      <c r="H529" t="n">
        <v>0</v>
      </c>
      <c r="I529" t="n">
        <v>0</v>
      </c>
      <c r="J529" t="n">
        <v>0</v>
      </c>
      <c r="K529" t="n">
        <v>0</v>
      </c>
      <c r="L529" t="n">
        <v>0</v>
      </c>
      <c r="M529" t="n">
        <v>0</v>
      </c>
      <c r="N529" t="n">
        <v>0</v>
      </c>
      <c r="O529" t="n">
        <v>0</v>
      </c>
      <c r="P529" t="n">
        <v>0</v>
      </c>
      <c r="Q529" t="n">
        <v>0</v>
      </c>
      <c r="R529" s="2" t="inlineStr"/>
    </row>
    <row r="530" ht="15" customHeight="1">
      <c r="A530" t="inlineStr">
        <is>
          <t>A 2697-2023</t>
        </is>
      </c>
      <c r="B530" s="1" t="n">
        <v>44944</v>
      </c>
      <c r="C530" s="1" t="n">
        <v>46039</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53641-2023</t>
        </is>
      </c>
      <c r="B531" s="1" t="n">
        <v>45230</v>
      </c>
      <c r="C531" s="1" t="n">
        <v>46039</v>
      </c>
      <c r="D531" t="inlineStr">
        <is>
          <t>ÖSTERGÖTLANDS LÄN</t>
        </is>
      </c>
      <c r="E531" t="inlineStr">
        <is>
          <t>LINKÖPING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48707-2023</t>
        </is>
      </c>
      <c r="B532" s="1" t="n">
        <v>45202</v>
      </c>
      <c r="C532" s="1" t="n">
        <v>46039</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45831-2024</t>
        </is>
      </c>
      <c r="B533" s="1" t="n">
        <v>45579.90508101852</v>
      </c>
      <c r="C533" s="1" t="n">
        <v>46039</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53411-2023</t>
        </is>
      </c>
      <c r="B534" s="1" t="n">
        <v>45229.81049768518</v>
      </c>
      <c r="C534" s="1" t="n">
        <v>46039</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57396-2021</t>
        </is>
      </c>
      <c r="B535" s="1" t="n">
        <v>44483.56151620371</v>
      </c>
      <c r="C535" s="1" t="n">
        <v>46039</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22842-2023</t>
        </is>
      </c>
      <c r="B536" s="1" t="n">
        <v>45071</v>
      </c>
      <c r="C536" s="1" t="n">
        <v>46039</v>
      </c>
      <c r="D536" t="inlineStr">
        <is>
          <t>ÖSTERGÖTLANDS LÄN</t>
        </is>
      </c>
      <c r="E536" t="inlineStr">
        <is>
          <t>LINKÖPING</t>
        </is>
      </c>
      <c r="F536" t="inlineStr">
        <is>
          <t>Kommuner</t>
        </is>
      </c>
      <c r="G536" t="n">
        <v>1.3</v>
      </c>
      <c r="H536" t="n">
        <v>0</v>
      </c>
      <c r="I536" t="n">
        <v>0</v>
      </c>
      <c r="J536" t="n">
        <v>0</v>
      </c>
      <c r="K536" t="n">
        <v>0</v>
      </c>
      <c r="L536" t="n">
        <v>0</v>
      </c>
      <c r="M536" t="n">
        <v>0</v>
      </c>
      <c r="N536" t="n">
        <v>0</v>
      </c>
      <c r="O536" t="n">
        <v>0</v>
      </c>
      <c r="P536" t="n">
        <v>0</v>
      </c>
      <c r="Q536" t="n">
        <v>0</v>
      </c>
      <c r="R536" s="2" t="inlineStr"/>
    </row>
    <row r="537" ht="15" customHeight="1">
      <c r="A537" t="inlineStr">
        <is>
          <t>A 56741-2023</t>
        </is>
      </c>
      <c r="B537" s="1" t="n">
        <v>45244</v>
      </c>
      <c r="C537" s="1" t="n">
        <v>46039</v>
      </c>
      <c r="D537" t="inlineStr">
        <is>
          <t>ÖSTERGÖTLANDS LÄN</t>
        </is>
      </c>
      <c r="E537" t="inlineStr">
        <is>
          <t>LINKÖPING</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50386-2021</t>
        </is>
      </c>
      <c r="B538" s="1" t="n">
        <v>44459</v>
      </c>
      <c r="C538" s="1" t="n">
        <v>46039</v>
      </c>
      <c r="D538" t="inlineStr">
        <is>
          <t>ÖSTERGÖTLANDS LÄN</t>
        </is>
      </c>
      <c r="E538" t="inlineStr">
        <is>
          <t>LINKÖPING</t>
        </is>
      </c>
      <c r="G538" t="n">
        <v>2.3</v>
      </c>
      <c r="H538" t="n">
        <v>0</v>
      </c>
      <c r="I538" t="n">
        <v>0</v>
      </c>
      <c r="J538" t="n">
        <v>0</v>
      </c>
      <c r="K538" t="n">
        <v>0</v>
      </c>
      <c r="L538" t="n">
        <v>0</v>
      </c>
      <c r="M538" t="n">
        <v>0</v>
      </c>
      <c r="N538" t="n">
        <v>0</v>
      </c>
      <c r="O538" t="n">
        <v>0</v>
      </c>
      <c r="P538" t="n">
        <v>0</v>
      </c>
      <c r="Q538" t="n">
        <v>0</v>
      </c>
      <c r="R538" s="2" t="inlineStr"/>
    </row>
    <row r="539" ht="15" customHeight="1">
      <c r="A539" t="inlineStr">
        <is>
          <t>A 35781-2023</t>
        </is>
      </c>
      <c r="B539" s="1" t="n">
        <v>45147</v>
      </c>
      <c r="C539" s="1" t="n">
        <v>46039</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56792-2023</t>
        </is>
      </c>
      <c r="B540" s="1" t="n">
        <v>45244</v>
      </c>
      <c r="C540" s="1" t="n">
        <v>46039</v>
      </c>
      <c r="D540" t="inlineStr">
        <is>
          <t>ÖSTERGÖTLANDS LÄN</t>
        </is>
      </c>
      <c r="E540" t="inlineStr">
        <is>
          <t>LINKÖPING</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22770-2024</t>
        </is>
      </c>
      <c r="B541" s="1" t="n">
        <v>45448.4634375</v>
      </c>
      <c r="C541" s="1" t="n">
        <v>46039</v>
      </c>
      <c r="D541" t="inlineStr">
        <is>
          <t>ÖSTERGÖTLANDS LÄN</t>
        </is>
      </c>
      <c r="E541" t="inlineStr">
        <is>
          <t>LINKÖPING</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11671-2023</t>
        </is>
      </c>
      <c r="B542" s="1" t="n">
        <v>44994.48125</v>
      </c>
      <c r="C542" s="1" t="n">
        <v>46039</v>
      </c>
      <c r="D542" t="inlineStr">
        <is>
          <t>ÖSTERGÖTLANDS LÄN</t>
        </is>
      </c>
      <c r="E542" t="inlineStr">
        <is>
          <t>LINKÖPING</t>
        </is>
      </c>
      <c r="G542" t="n">
        <v>2.6</v>
      </c>
      <c r="H542" t="n">
        <v>0</v>
      </c>
      <c r="I542" t="n">
        <v>0</v>
      </c>
      <c r="J542" t="n">
        <v>0</v>
      </c>
      <c r="K542" t="n">
        <v>0</v>
      </c>
      <c r="L542" t="n">
        <v>0</v>
      </c>
      <c r="M542" t="n">
        <v>0</v>
      </c>
      <c r="N542" t="n">
        <v>0</v>
      </c>
      <c r="O542" t="n">
        <v>0</v>
      </c>
      <c r="P542" t="n">
        <v>0</v>
      </c>
      <c r="Q542" t="n">
        <v>0</v>
      </c>
      <c r="R542" s="2" t="inlineStr"/>
    </row>
    <row r="543" ht="15" customHeight="1">
      <c r="A543" t="inlineStr">
        <is>
          <t>A 3007-2023</t>
        </is>
      </c>
      <c r="B543" s="1" t="n">
        <v>44945</v>
      </c>
      <c r="C543" s="1" t="n">
        <v>46039</v>
      </c>
      <c r="D543" t="inlineStr">
        <is>
          <t>ÖSTERGÖTLANDS LÄN</t>
        </is>
      </c>
      <c r="E543" t="inlineStr">
        <is>
          <t>LINKÖPING</t>
        </is>
      </c>
      <c r="G543" t="n">
        <v>2.6</v>
      </c>
      <c r="H543" t="n">
        <v>0</v>
      </c>
      <c r="I543" t="n">
        <v>0</v>
      </c>
      <c r="J543" t="n">
        <v>0</v>
      </c>
      <c r="K543" t="n">
        <v>0</v>
      </c>
      <c r="L543" t="n">
        <v>0</v>
      </c>
      <c r="M543" t="n">
        <v>0</v>
      </c>
      <c r="N543" t="n">
        <v>0</v>
      </c>
      <c r="O543" t="n">
        <v>0</v>
      </c>
      <c r="P543" t="n">
        <v>0</v>
      </c>
      <c r="Q543" t="n">
        <v>0</v>
      </c>
      <c r="R543" s="2" t="inlineStr"/>
    </row>
    <row r="544" ht="15" customHeight="1">
      <c r="A544" t="inlineStr">
        <is>
          <t>A 40338-2024</t>
        </is>
      </c>
      <c r="B544" s="1" t="n">
        <v>45555.32940972222</v>
      </c>
      <c r="C544" s="1" t="n">
        <v>46039</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3013-2023</t>
        </is>
      </c>
      <c r="B545" s="1" t="n">
        <v>44945.8092824074</v>
      </c>
      <c r="C545" s="1" t="n">
        <v>46039</v>
      </c>
      <c r="D545" t="inlineStr">
        <is>
          <t>ÖSTERGÖTLANDS LÄN</t>
        </is>
      </c>
      <c r="E545" t="inlineStr">
        <is>
          <t>LINKÖPING</t>
        </is>
      </c>
      <c r="G545" t="n">
        <v>5.2</v>
      </c>
      <c r="H545" t="n">
        <v>0</v>
      </c>
      <c r="I545" t="n">
        <v>0</v>
      </c>
      <c r="J545" t="n">
        <v>0</v>
      </c>
      <c r="K545" t="n">
        <v>0</v>
      </c>
      <c r="L545" t="n">
        <v>0</v>
      </c>
      <c r="M545" t="n">
        <v>0</v>
      </c>
      <c r="N545" t="n">
        <v>0</v>
      </c>
      <c r="O545" t="n">
        <v>0</v>
      </c>
      <c r="P545" t="n">
        <v>0</v>
      </c>
      <c r="Q545" t="n">
        <v>0</v>
      </c>
      <c r="R545" s="2" t="inlineStr"/>
    </row>
    <row r="546" ht="15" customHeight="1">
      <c r="A546" t="inlineStr">
        <is>
          <t>A 55945-2024</t>
        </is>
      </c>
      <c r="B546" s="1" t="n">
        <v>45623.61754629629</v>
      </c>
      <c r="C546" s="1" t="n">
        <v>46039</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54425-2022</t>
        </is>
      </c>
      <c r="B547" s="1" t="n">
        <v>44882.57453703704</v>
      </c>
      <c r="C547" s="1" t="n">
        <v>46039</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1993-2023</t>
        </is>
      </c>
      <c r="B548" s="1" t="n">
        <v>44939</v>
      </c>
      <c r="C548" s="1" t="n">
        <v>46039</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2618-2023</t>
        </is>
      </c>
      <c r="B549" s="1" t="n">
        <v>44944.35847222222</v>
      </c>
      <c r="C549" s="1" t="n">
        <v>46039</v>
      </c>
      <c r="D549" t="inlineStr">
        <is>
          <t>ÖSTERGÖTLANDS LÄN</t>
        </is>
      </c>
      <c r="E549" t="inlineStr">
        <is>
          <t>LINKÖPING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10203-2023</t>
        </is>
      </c>
      <c r="B550" s="1" t="n">
        <v>44986.55711805556</v>
      </c>
      <c r="C550" s="1" t="n">
        <v>46039</v>
      </c>
      <c r="D550" t="inlineStr">
        <is>
          <t>ÖSTERGÖTLANDS LÄN</t>
        </is>
      </c>
      <c r="E550" t="inlineStr">
        <is>
          <t>LINKÖPING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34889-2023</t>
        </is>
      </c>
      <c r="B551" s="1" t="n">
        <v>45140</v>
      </c>
      <c r="C551" s="1" t="n">
        <v>46039</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34928-2023</t>
        </is>
      </c>
      <c r="B552" s="1" t="n">
        <v>45142</v>
      </c>
      <c r="C552" s="1" t="n">
        <v>46039</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4927-2021</t>
        </is>
      </c>
      <c r="B553" s="1" t="n">
        <v>44227.57215277778</v>
      </c>
      <c r="C553" s="1" t="n">
        <v>46039</v>
      </c>
      <c r="D553" t="inlineStr">
        <is>
          <t>ÖSTERGÖTLANDS LÄN</t>
        </is>
      </c>
      <c r="E553" t="inlineStr">
        <is>
          <t>LINKÖPING</t>
        </is>
      </c>
      <c r="G553" t="n">
        <v>0.3</v>
      </c>
      <c r="H553" t="n">
        <v>0</v>
      </c>
      <c r="I553" t="n">
        <v>0</v>
      </c>
      <c r="J553" t="n">
        <v>0</v>
      </c>
      <c r="K553" t="n">
        <v>0</v>
      </c>
      <c r="L553" t="n">
        <v>0</v>
      </c>
      <c r="M553" t="n">
        <v>0</v>
      </c>
      <c r="N553" t="n">
        <v>0</v>
      </c>
      <c r="O553" t="n">
        <v>0</v>
      </c>
      <c r="P553" t="n">
        <v>0</v>
      </c>
      <c r="Q553" t="n">
        <v>0</v>
      </c>
      <c r="R553" s="2" t="inlineStr"/>
    </row>
    <row r="554" ht="15" customHeight="1">
      <c r="A554" t="inlineStr">
        <is>
          <t>A 30547-2023</t>
        </is>
      </c>
      <c r="B554" s="1" t="n">
        <v>45111.75905092592</v>
      </c>
      <c r="C554" s="1" t="n">
        <v>46039</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24904-2024</t>
        </is>
      </c>
      <c r="B555" s="1" t="n">
        <v>45461</v>
      </c>
      <c r="C555" s="1" t="n">
        <v>46039</v>
      </c>
      <c r="D555" t="inlineStr">
        <is>
          <t>ÖSTERGÖTLANDS LÄN</t>
        </is>
      </c>
      <c r="E555" t="inlineStr">
        <is>
          <t>LINKÖPING</t>
        </is>
      </c>
      <c r="G555" t="n">
        <v>3.8</v>
      </c>
      <c r="H555" t="n">
        <v>0</v>
      </c>
      <c r="I555" t="n">
        <v>0</v>
      </c>
      <c r="J555" t="n">
        <v>0</v>
      </c>
      <c r="K555" t="n">
        <v>0</v>
      </c>
      <c r="L555" t="n">
        <v>0</v>
      </c>
      <c r="M555" t="n">
        <v>0</v>
      </c>
      <c r="N555" t="n">
        <v>0</v>
      </c>
      <c r="O555" t="n">
        <v>0</v>
      </c>
      <c r="P555" t="n">
        <v>0</v>
      </c>
      <c r="Q555" t="n">
        <v>0</v>
      </c>
      <c r="R555" s="2" t="inlineStr"/>
    </row>
    <row r="556" ht="15" customHeight="1">
      <c r="A556" t="inlineStr">
        <is>
          <t>A 1268-2023</t>
        </is>
      </c>
      <c r="B556" s="1" t="n">
        <v>44936</v>
      </c>
      <c r="C556" s="1" t="n">
        <v>46039</v>
      </c>
      <c r="D556" t="inlineStr">
        <is>
          <t>ÖSTERGÖTLANDS LÄN</t>
        </is>
      </c>
      <c r="E556" t="inlineStr">
        <is>
          <t>LINKÖPING</t>
        </is>
      </c>
      <c r="G556" t="n">
        <v>4.6</v>
      </c>
      <c r="H556" t="n">
        <v>0</v>
      </c>
      <c r="I556" t="n">
        <v>0</v>
      </c>
      <c r="J556" t="n">
        <v>0</v>
      </c>
      <c r="K556" t="n">
        <v>0</v>
      </c>
      <c r="L556" t="n">
        <v>0</v>
      </c>
      <c r="M556" t="n">
        <v>0</v>
      </c>
      <c r="N556" t="n">
        <v>0</v>
      </c>
      <c r="O556" t="n">
        <v>0</v>
      </c>
      <c r="P556" t="n">
        <v>0</v>
      </c>
      <c r="Q556" t="n">
        <v>0</v>
      </c>
      <c r="R556" s="2" t="inlineStr"/>
    </row>
    <row r="557" ht="15" customHeight="1">
      <c r="A557" t="inlineStr">
        <is>
          <t>A 5314-2021</t>
        </is>
      </c>
      <c r="B557" s="1" t="n">
        <v>44229</v>
      </c>
      <c r="C557" s="1" t="n">
        <v>46039</v>
      </c>
      <c r="D557" t="inlineStr">
        <is>
          <t>ÖSTERGÖTLANDS LÄN</t>
        </is>
      </c>
      <c r="E557" t="inlineStr">
        <is>
          <t>LINKÖPING</t>
        </is>
      </c>
      <c r="G557" t="n">
        <v>6.2</v>
      </c>
      <c r="H557" t="n">
        <v>0</v>
      </c>
      <c r="I557" t="n">
        <v>0</v>
      </c>
      <c r="J557" t="n">
        <v>0</v>
      </c>
      <c r="K557" t="n">
        <v>0</v>
      </c>
      <c r="L557" t="n">
        <v>0</v>
      </c>
      <c r="M557" t="n">
        <v>0</v>
      </c>
      <c r="N557" t="n">
        <v>0</v>
      </c>
      <c r="O557" t="n">
        <v>0</v>
      </c>
      <c r="P557" t="n">
        <v>0</v>
      </c>
      <c r="Q557" t="n">
        <v>0</v>
      </c>
      <c r="R557" s="2" t="inlineStr"/>
    </row>
    <row r="558" ht="15" customHeight="1">
      <c r="A558" t="inlineStr">
        <is>
          <t>A 26788-2022</t>
        </is>
      </c>
      <c r="B558" s="1" t="n">
        <v>44740</v>
      </c>
      <c r="C558" s="1" t="n">
        <v>46039</v>
      </c>
      <c r="D558" t="inlineStr">
        <is>
          <t>ÖSTERGÖTLANDS LÄN</t>
        </is>
      </c>
      <c r="E558" t="inlineStr">
        <is>
          <t>LINKÖPING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15121-2022</t>
        </is>
      </c>
      <c r="B559" s="1" t="n">
        <v>44658</v>
      </c>
      <c r="C559" s="1" t="n">
        <v>46039</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51919-2024</t>
        </is>
      </c>
      <c r="B560" s="1" t="n">
        <v>45607.60791666667</v>
      </c>
      <c r="C560" s="1" t="n">
        <v>46039</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55009-2023</t>
        </is>
      </c>
      <c r="B561" s="1" t="n">
        <v>45237</v>
      </c>
      <c r="C561" s="1" t="n">
        <v>46039</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20291-2025</t>
        </is>
      </c>
      <c r="B562" s="1" t="n">
        <v>45774.74288194445</v>
      </c>
      <c r="C562" s="1" t="n">
        <v>46039</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20293-2025</t>
        </is>
      </c>
      <c r="B563" s="1" t="n">
        <v>45774.74611111111</v>
      </c>
      <c r="C563" s="1" t="n">
        <v>46039</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660-2023</t>
        </is>
      </c>
      <c r="B564" s="1" t="n">
        <v>44930</v>
      </c>
      <c r="C564" s="1" t="n">
        <v>46039</v>
      </c>
      <c r="D564" t="inlineStr">
        <is>
          <t>ÖSTERGÖTLANDS LÄN</t>
        </is>
      </c>
      <c r="E564" t="inlineStr">
        <is>
          <t>LINKÖPING</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49747-2024</t>
        </is>
      </c>
      <c r="B565" s="1" t="n">
        <v>45596</v>
      </c>
      <c r="C565" s="1" t="n">
        <v>46039</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64694-2023</t>
        </is>
      </c>
      <c r="B566" s="1" t="n">
        <v>45281</v>
      </c>
      <c r="C566" s="1" t="n">
        <v>46039</v>
      </c>
      <c r="D566" t="inlineStr">
        <is>
          <t>ÖSTERGÖTLANDS LÄN</t>
        </is>
      </c>
      <c r="E566" t="inlineStr">
        <is>
          <t>LINKÖPING</t>
        </is>
      </c>
      <c r="F566" t="inlineStr">
        <is>
          <t>Övriga statliga verk och myndigheter</t>
        </is>
      </c>
      <c r="G566" t="n">
        <v>4.9</v>
      </c>
      <c r="H566" t="n">
        <v>0</v>
      </c>
      <c r="I566" t="n">
        <v>0</v>
      </c>
      <c r="J566" t="n">
        <v>0</v>
      </c>
      <c r="K566" t="n">
        <v>0</v>
      </c>
      <c r="L566" t="n">
        <v>0</v>
      </c>
      <c r="M566" t="n">
        <v>0</v>
      </c>
      <c r="N566" t="n">
        <v>0</v>
      </c>
      <c r="O566" t="n">
        <v>0</v>
      </c>
      <c r="P566" t="n">
        <v>0</v>
      </c>
      <c r="Q566" t="n">
        <v>0</v>
      </c>
      <c r="R566" s="2" t="inlineStr"/>
    </row>
    <row r="567" ht="15" customHeight="1">
      <c r="A567" t="inlineStr">
        <is>
          <t>A 31725-2022</t>
        </is>
      </c>
      <c r="B567" s="1" t="n">
        <v>44776.48541666667</v>
      </c>
      <c r="C567" s="1" t="n">
        <v>46039</v>
      </c>
      <c r="D567" t="inlineStr">
        <is>
          <t>ÖSTERGÖTLANDS LÄN</t>
        </is>
      </c>
      <c r="E567" t="inlineStr">
        <is>
          <t>LINKÖPING</t>
        </is>
      </c>
      <c r="G567" t="n">
        <v>2.6</v>
      </c>
      <c r="H567" t="n">
        <v>0</v>
      </c>
      <c r="I567" t="n">
        <v>0</v>
      </c>
      <c r="J567" t="n">
        <v>0</v>
      </c>
      <c r="K567" t="n">
        <v>0</v>
      </c>
      <c r="L567" t="n">
        <v>0</v>
      </c>
      <c r="M567" t="n">
        <v>0</v>
      </c>
      <c r="N567" t="n">
        <v>0</v>
      </c>
      <c r="O567" t="n">
        <v>0</v>
      </c>
      <c r="P567" t="n">
        <v>0</v>
      </c>
      <c r="Q567" t="n">
        <v>0</v>
      </c>
      <c r="R567" s="2" t="inlineStr"/>
    </row>
    <row r="568" ht="15" customHeight="1">
      <c r="A568" t="inlineStr">
        <is>
          <t>A 63487-2023</t>
        </is>
      </c>
      <c r="B568" s="1" t="n">
        <v>45274.66712962963</v>
      </c>
      <c r="C568" s="1" t="n">
        <v>46039</v>
      </c>
      <c r="D568" t="inlineStr">
        <is>
          <t>ÖSTERGÖTLANDS LÄN</t>
        </is>
      </c>
      <c r="E568" t="inlineStr">
        <is>
          <t>LINKÖPING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2389-2023</t>
        </is>
      </c>
      <c r="B569" s="1" t="n">
        <v>44942</v>
      </c>
      <c r="C569" s="1" t="n">
        <v>46039</v>
      </c>
      <c r="D569" t="inlineStr">
        <is>
          <t>ÖSTERGÖTLANDS LÄN</t>
        </is>
      </c>
      <c r="E569" t="inlineStr">
        <is>
          <t>LINKÖPING</t>
        </is>
      </c>
      <c r="G569" t="n">
        <v>3.3</v>
      </c>
      <c r="H569" t="n">
        <v>0</v>
      </c>
      <c r="I569" t="n">
        <v>0</v>
      </c>
      <c r="J569" t="n">
        <v>0</v>
      </c>
      <c r="K569" t="n">
        <v>0</v>
      </c>
      <c r="L569" t="n">
        <v>0</v>
      </c>
      <c r="M569" t="n">
        <v>0</v>
      </c>
      <c r="N569" t="n">
        <v>0</v>
      </c>
      <c r="O569" t="n">
        <v>0</v>
      </c>
      <c r="P569" t="n">
        <v>0</v>
      </c>
      <c r="Q569" t="n">
        <v>0</v>
      </c>
      <c r="R569" s="2" t="inlineStr"/>
    </row>
    <row r="570" ht="15" customHeight="1">
      <c r="A570" t="inlineStr">
        <is>
          <t>A 20455-2024</t>
        </is>
      </c>
      <c r="B570" s="1" t="n">
        <v>45435.65314814815</v>
      </c>
      <c r="C570" s="1" t="n">
        <v>46039</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3627-2023</t>
        </is>
      </c>
      <c r="B571" s="1" t="n">
        <v>44950.64782407408</v>
      </c>
      <c r="C571" s="1" t="n">
        <v>46039</v>
      </c>
      <c r="D571" t="inlineStr">
        <is>
          <t>ÖSTERGÖTLANDS LÄN</t>
        </is>
      </c>
      <c r="E571" t="inlineStr">
        <is>
          <t>LINKÖPING</t>
        </is>
      </c>
      <c r="G571" t="n">
        <v>3.1</v>
      </c>
      <c r="H571" t="n">
        <v>0</v>
      </c>
      <c r="I571" t="n">
        <v>0</v>
      </c>
      <c r="J571" t="n">
        <v>0</v>
      </c>
      <c r="K571" t="n">
        <v>0</v>
      </c>
      <c r="L571" t="n">
        <v>0</v>
      </c>
      <c r="M571" t="n">
        <v>0</v>
      </c>
      <c r="N571" t="n">
        <v>0</v>
      </c>
      <c r="O571" t="n">
        <v>0</v>
      </c>
      <c r="P571" t="n">
        <v>0</v>
      </c>
      <c r="Q571" t="n">
        <v>0</v>
      </c>
      <c r="R571" s="2" t="inlineStr"/>
    </row>
    <row r="572" ht="15" customHeight="1">
      <c r="A572" t="inlineStr">
        <is>
          <t>A 30471-2023</t>
        </is>
      </c>
      <c r="B572" s="1" t="n">
        <v>45111.58931712963</v>
      </c>
      <c r="C572" s="1" t="n">
        <v>46039</v>
      </c>
      <c r="D572" t="inlineStr">
        <is>
          <t>ÖSTERGÖTLANDS LÄN</t>
        </is>
      </c>
      <c r="E572" t="inlineStr">
        <is>
          <t>LINKÖPING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62687-2023</t>
        </is>
      </c>
      <c r="B573" s="1" t="n">
        <v>45271</v>
      </c>
      <c r="C573" s="1" t="n">
        <v>46039</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14093-2024</t>
        </is>
      </c>
      <c r="B574" s="1" t="n">
        <v>45392.60278935185</v>
      </c>
      <c r="C574" s="1" t="n">
        <v>46039</v>
      </c>
      <c r="D574" t="inlineStr">
        <is>
          <t>ÖSTERGÖTLANDS LÄN</t>
        </is>
      </c>
      <c r="E574" t="inlineStr">
        <is>
          <t>LINKÖPING</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18891-2022</t>
        </is>
      </c>
      <c r="B575" s="1" t="n">
        <v>44690</v>
      </c>
      <c r="C575" s="1" t="n">
        <v>46039</v>
      </c>
      <c r="D575" t="inlineStr">
        <is>
          <t>ÖSTERGÖTLANDS LÄN</t>
        </is>
      </c>
      <c r="E575" t="inlineStr">
        <is>
          <t>LINKÖPING</t>
        </is>
      </c>
      <c r="G575" t="n">
        <v>1.2</v>
      </c>
      <c r="H575" t="n">
        <v>0</v>
      </c>
      <c r="I575" t="n">
        <v>0</v>
      </c>
      <c r="J575" t="n">
        <v>0</v>
      </c>
      <c r="K575" t="n">
        <v>0</v>
      </c>
      <c r="L575" t="n">
        <v>0</v>
      </c>
      <c r="M575" t="n">
        <v>0</v>
      </c>
      <c r="N575" t="n">
        <v>0</v>
      </c>
      <c r="O575" t="n">
        <v>0</v>
      </c>
      <c r="P575" t="n">
        <v>0</v>
      </c>
      <c r="Q575" t="n">
        <v>0</v>
      </c>
      <c r="R575" s="2" t="inlineStr"/>
    </row>
    <row r="576" ht="15" customHeight="1">
      <c r="A576" t="inlineStr">
        <is>
          <t>A 63304-2021</t>
        </is>
      </c>
      <c r="B576" s="1" t="n">
        <v>44508.4396412037</v>
      </c>
      <c r="C576" s="1" t="n">
        <v>46039</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19362-2023</t>
        </is>
      </c>
      <c r="B577" s="1" t="n">
        <v>45049</v>
      </c>
      <c r="C577" s="1" t="n">
        <v>46039</v>
      </c>
      <c r="D577" t="inlineStr">
        <is>
          <t>ÖSTERGÖTLANDS LÄN</t>
        </is>
      </c>
      <c r="E577" t="inlineStr">
        <is>
          <t>LINKÖPING</t>
        </is>
      </c>
      <c r="G577" t="n">
        <v>0.1</v>
      </c>
      <c r="H577" t="n">
        <v>0</v>
      </c>
      <c r="I577" t="n">
        <v>0</v>
      </c>
      <c r="J577" t="n">
        <v>0</v>
      </c>
      <c r="K577" t="n">
        <v>0</v>
      </c>
      <c r="L577" t="n">
        <v>0</v>
      </c>
      <c r="M577" t="n">
        <v>0</v>
      </c>
      <c r="N577" t="n">
        <v>0</v>
      </c>
      <c r="O577" t="n">
        <v>0</v>
      </c>
      <c r="P577" t="n">
        <v>0</v>
      </c>
      <c r="Q577" t="n">
        <v>0</v>
      </c>
      <c r="R577" s="2" t="inlineStr"/>
    </row>
    <row r="578" ht="15" customHeight="1">
      <c r="A578" t="inlineStr">
        <is>
          <t>A 26620-2023</t>
        </is>
      </c>
      <c r="B578" s="1" t="n">
        <v>45092.70390046296</v>
      </c>
      <c r="C578" s="1" t="n">
        <v>46039</v>
      </c>
      <c r="D578" t="inlineStr">
        <is>
          <t>ÖSTERGÖTLANDS LÄN</t>
        </is>
      </c>
      <c r="E578" t="inlineStr">
        <is>
          <t>LINKÖPING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35463-2023</t>
        </is>
      </c>
      <c r="B579" s="1" t="n">
        <v>45146</v>
      </c>
      <c r="C579" s="1" t="n">
        <v>46039</v>
      </c>
      <c r="D579" t="inlineStr">
        <is>
          <t>ÖSTERGÖTLANDS LÄN</t>
        </is>
      </c>
      <c r="E579" t="inlineStr">
        <is>
          <t>LINKÖPING</t>
        </is>
      </c>
      <c r="F579" t="inlineStr">
        <is>
          <t>Övriga Aktiebolag</t>
        </is>
      </c>
      <c r="G579" t="n">
        <v>1.8</v>
      </c>
      <c r="H579" t="n">
        <v>0</v>
      </c>
      <c r="I579" t="n">
        <v>0</v>
      </c>
      <c r="J579" t="n">
        <v>0</v>
      </c>
      <c r="K579" t="n">
        <v>0</v>
      </c>
      <c r="L579" t="n">
        <v>0</v>
      </c>
      <c r="M579" t="n">
        <v>0</v>
      </c>
      <c r="N579" t="n">
        <v>0</v>
      </c>
      <c r="O579" t="n">
        <v>0</v>
      </c>
      <c r="P579" t="n">
        <v>0</v>
      </c>
      <c r="Q579" t="n">
        <v>0</v>
      </c>
      <c r="R579" s="2" t="inlineStr"/>
    </row>
    <row r="580" ht="15" customHeight="1">
      <c r="A580" t="inlineStr">
        <is>
          <t>A 16111-2022</t>
        </is>
      </c>
      <c r="B580" s="1" t="n">
        <v>44665</v>
      </c>
      <c r="C580" s="1" t="n">
        <v>46039</v>
      </c>
      <c r="D580" t="inlineStr">
        <is>
          <t>ÖSTERGÖTLANDS LÄN</t>
        </is>
      </c>
      <c r="E580" t="inlineStr">
        <is>
          <t>LINKÖPING</t>
        </is>
      </c>
      <c r="F580" t="inlineStr">
        <is>
          <t>Övriga Aktiebolag</t>
        </is>
      </c>
      <c r="G580" t="n">
        <v>2.9</v>
      </c>
      <c r="H580" t="n">
        <v>0</v>
      </c>
      <c r="I580" t="n">
        <v>0</v>
      </c>
      <c r="J580" t="n">
        <v>0</v>
      </c>
      <c r="K580" t="n">
        <v>0</v>
      </c>
      <c r="L580" t="n">
        <v>0</v>
      </c>
      <c r="M580" t="n">
        <v>0</v>
      </c>
      <c r="N580" t="n">
        <v>0</v>
      </c>
      <c r="O580" t="n">
        <v>0</v>
      </c>
      <c r="P580" t="n">
        <v>0</v>
      </c>
      <c r="Q580" t="n">
        <v>0</v>
      </c>
      <c r="R580" s="2" t="inlineStr"/>
    </row>
    <row r="581" ht="15" customHeight="1">
      <c r="A581" t="inlineStr">
        <is>
          <t>A 31635-2023</t>
        </is>
      </c>
      <c r="B581" s="1" t="n">
        <v>45105</v>
      </c>
      <c r="C581" s="1" t="n">
        <v>46039</v>
      </c>
      <c r="D581" t="inlineStr">
        <is>
          <t>ÖSTERGÖTLANDS LÄN</t>
        </is>
      </c>
      <c r="E581" t="inlineStr">
        <is>
          <t>LINKÖPING</t>
        </is>
      </c>
      <c r="F581" t="inlineStr">
        <is>
          <t>Övriga statliga verk och myndigheter</t>
        </is>
      </c>
      <c r="G581" t="n">
        <v>4.6</v>
      </c>
      <c r="H581" t="n">
        <v>0</v>
      </c>
      <c r="I581" t="n">
        <v>0</v>
      </c>
      <c r="J581" t="n">
        <v>0</v>
      </c>
      <c r="K581" t="n">
        <v>0</v>
      </c>
      <c r="L581" t="n">
        <v>0</v>
      </c>
      <c r="M581" t="n">
        <v>0</v>
      </c>
      <c r="N581" t="n">
        <v>0</v>
      </c>
      <c r="O581" t="n">
        <v>0</v>
      </c>
      <c r="P581" t="n">
        <v>0</v>
      </c>
      <c r="Q581" t="n">
        <v>0</v>
      </c>
      <c r="R581" s="2" t="inlineStr"/>
    </row>
    <row r="582" ht="15" customHeight="1">
      <c r="A582" t="inlineStr">
        <is>
          <t>A 56180-2024</t>
        </is>
      </c>
      <c r="B582" s="1" t="n">
        <v>45624.56611111111</v>
      </c>
      <c r="C582" s="1" t="n">
        <v>46039</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49928-2024</t>
        </is>
      </c>
      <c r="B583" s="1" t="n">
        <v>45597.57811342592</v>
      </c>
      <c r="C583" s="1" t="n">
        <v>46039</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938-2023</t>
        </is>
      </c>
      <c r="B584" s="1" t="n">
        <v>44933</v>
      </c>
      <c r="C584" s="1" t="n">
        <v>46039</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25418-2023</t>
        </is>
      </c>
      <c r="B585" s="1" t="n">
        <v>45089</v>
      </c>
      <c r="C585" s="1" t="n">
        <v>46039</v>
      </c>
      <c r="D585" t="inlineStr">
        <is>
          <t>ÖSTERGÖTLANDS LÄN</t>
        </is>
      </c>
      <c r="E585" t="inlineStr">
        <is>
          <t>LINKÖPING</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60007-2022</t>
        </is>
      </c>
      <c r="B586" s="1" t="n">
        <v>44909.47282407407</v>
      </c>
      <c r="C586" s="1" t="n">
        <v>46039</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54845-2023</t>
        </is>
      </c>
      <c r="B587" s="1" t="n">
        <v>45236</v>
      </c>
      <c r="C587" s="1" t="n">
        <v>46039</v>
      </c>
      <c r="D587" t="inlineStr">
        <is>
          <t>ÖSTERGÖTLANDS LÄN</t>
        </is>
      </c>
      <c r="E587" t="inlineStr">
        <is>
          <t>LINKÖPING</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46687-2021</t>
        </is>
      </c>
      <c r="B588" s="1" t="n">
        <v>44445</v>
      </c>
      <c r="C588" s="1" t="n">
        <v>46039</v>
      </c>
      <c r="D588" t="inlineStr">
        <is>
          <t>ÖSTERGÖTLANDS LÄN</t>
        </is>
      </c>
      <c r="E588" t="inlineStr">
        <is>
          <t>LINKÖPING</t>
        </is>
      </c>
      <c r="F588" t="inlineStr">
        <is>
          <t>Övriga statliga verk och myndigheter</t>
        </is>
      </c>
      <c r="G588" t="n">
        <v>2.3</v>
      </c>
      <c r="H588" t="n">
        <v>0</v>
      </c>
      <c r="I588" t="n">
        <v>0</v>
      </c>
      <c r="J588" t="n">
        <v>0</v>
      </c>
      <c r="K588" t="n">
        <v>0</v>
      </c>
      <c r="L588" t="n">
        <v>0</v>
      </c>
      <c r="M588" t="n">
        <v>0</v>
      </c>
      <c r="N588" t="n">
        <v>0</v>
      </c>
      <c r="O588" t="n">
        <v>0</v>
      </c>
      <c r="P588" t="n">
        <v>0</v>
      </c>
      <c r="Q588" t="n">
        <v>0</v>
      </c>
      <c r="R588" s="2" t="inlineStr"/>
    </row>
    <row r="589" ht="15" customHeight="1">
      <c r="A589" t="inlineStr">
        <is>
          <t>A 30855-2022</t>
        </is>
      </c>
      <c r="B589" s="1" t="n">
        <v>44767</v>
      </c>
      <c r="C589" s="1" t="n">
        <v>46039</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1355-2023</t>
        </is>
      </c>
      <c r="B590" s="1" t="n">
        <v>44931</v>
      </c>
      <c r="C590" s="1" t="n">
        <v>46039</v>
      </c>
      <c r="D590" t="inlineStr">
        <is>
          <t>ÖSTERGÖTLANDS LÄN</t>
        </is>
      </c>
      <c r="E590" t="inlineStr">
        <is>
          <t>LINKÖPING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11601-2023</t>
        </is>
      </c>
      <c r="B591" s="1" t="n">
        <v>44994</v>
      </c>
      <c r="C591" s="1" t="n">
        <v>46039</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27844-2024</t>
        </is>
      </c>
      <c r="B592" s="1" t="n">
        <v>45475.63047453704</v>
      </c>
      <c r="C592" s="1" t="n">
        <v>46039</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1260-2023</t>
        </is>
      </c>
      <c r="B593" s="1" t="n">
        <v>44936</v>
      </c>
      <c r="C593" s="1" t="n">
        <v>46039</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10741-2023</t>
        </is>
      </c>
      <c r="B594" s="1" t="n">
        <v>44988.70084490741</v>
      </c>
      <c r="C594" s="1" t="n">
        <v>46039</v>
      </c>
      <c r="D594" t="inlineStr">
        <is>
          <t>ÖSTERGÖTLANDS LÄN</t>
        </is>
      </c>
      <c r="E594" t="inlineStr">
        <is>
          <t>LINKÖPING</t>
        </is>
      </c>
      <c r="F594" t="inlineStr">
        <is>
          <t>Allmännings- och besparingsskogar</t>
        </is>
      </c>
      <c r="G594" t="n">
        <v>11.2</v>
      </c>
      <c r="H594" t="n">
        <v>0</v>
      </c>
      <c r="I594" t="n">
        <v>0</v>
      </c>
      <c r="J594" t="n">
        <v>0</v>
      </c>
      <c r="K594" t="n">
        <v>0</v>
      </c>
      <c r="L594" t="n">
        <v>0</v>
      </c>
      <c r="M594" t="n">
        <v>0</v>
      </c>
      <c r="N594" t="n">
        <v>0</v>
      </c>
      <c r="O594" t="n">
        <v>0</v>
      </c>
      <c r="P594" t="n">
        <v>0</v>
      </c>
      <c r="Q594" t="n">
        <v>0</v>
      </c>
      <c r="R594" s="2" t="inlineStr"/>
    </row>
    <row r="595" ht="15" customHeight="1">
      <c r="A595" t="inlineStr">
        <is>
          <t>A 7702-2023</t>
        </is>
      </c>
      <c r="B595" s="1" t="n">
        <v>44967</v>
      </c>
      <c r="C595" s="1" t="n">
        <v>46039</v>
      </c>
      <c r="D595" t="inlineStr">
        <is>
          <t>ÖSTERGÖTLANDS LÄN</t>
        </is>
      </c>
      <c r="E595" t="inlineStr">
        <is>
          <t>LINKÖPING</t>
        </is>
      </c>
      <c r="F595" t="inlineStr">
        <is>
          <t>Övriga statliga verk och myndigheter</t>
        </is>
      </c>
      <c r="G595" t="n">
        <v>8</v>
      </c>
      <c r="H595" t="n">
        <v>0</v>
      </c>
      <c r="I595" t="n">
        <v>0</v>
      </c>
      <c r="J595" t="n">
        <v>0</v>
      </c>
      <c r="K595" t="n">
        <v>0</v>
      </c>
      <c r="L595" t="n">
        <v>0</v>
      </c>
      <c r="M595" t="n">
        <v>0</v>
      </c>
      <c r="N595" t="n">
        <v>0</v>
      </c>
      <c r="O595" t="n">
        <v>0</v>
      </c>
      <c r="P595" t="n">
        <v>0</v>
      </c>
      <c r="Q595" t="n">
        <v>0</v>
      </c>
      <c r="R595" s="2" t="inlineStr"/>
    </row>
    <row r="596" ht="15" customHeight="1">
      <c r="A596" t="inlineStr">
        <is>
          <t>A 50963-2021</t>
        </is>
      </c>
      <c r="B596" s="1" t="n">
        <v>44460</v>
      </c>
      <c r="C596" s="1" t="n">
        <v>46039</v>
      </c>
      <c r="D596" t="inlineStr">
        <is>
          <t>ÖSTERGÖTLANDS LÄN</t>
        </is>
      </c>
      <c r="E596" t="inlineStr">
        <is>
          <t>LINKÖPING</t>
        </is>
      </c>
      <c r="G596" t="n">
        <v>4.4</v>
      </c>
      <c r="H596" t="n">
        <v>0</v>
      </c>
      <c r="I596" t="n">
        <v>0</v>
      </c>
      <c r="J596" t="n">
        <v>0</v>
      </c>
      <c r="K596" t="n">
        <v>0</v>
      </c>
      <c r="L596" t="n">
        <v>0</v>
      </c>
      <c r="M596" t="n">
        <v>0</v>
      </c>
      <c r="N596" t="n">
        <v>0</v>
      </c>
      <c r="O596" t="n">
        <v>0</v>
      </c>
      <c r="P596" t="n">
        <v>0</v>
      </c>
      <c r="Q596" t="n">
        <v>0</v>
      </c>
      <c r="R596" s="2" t="inlineStr"/>
    </row>
    <row r="597" ht="15" customHeight="1">
      <c r="A597" t="inlineStr">
        <is>
          <t>A 674-2024</t>
        </is>
      </c>
      <c r="B597" s="1" t="n">
        <v>45300.34408564815</v>
      </c>
      <c r="C597" s="1" t="n">
        <v>46039</v>
      </c>
      <c r="D597" t="inlineStr">
        <is>
          <t>ÖSTERGÖTLANDS LÄN</t>
        </is>
      </c>
      <c r="E597" t="inlineStr">
        <is>
          <t>LINKÖPING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63684-2023</t>
        </is>
      </c>
      <c r="B598" s="1" t="n">
        <v>45275</v>
      </c>
      <c r="C598" s="1" t="n">
        <v>46039</v>
      </c>
      <c r="D598" t="inlineStr">
        <is>
          <t>ÖSTERGÖTLANDS LÄN</t>
        </is>
      </c>
      <c r="E598" t="inlineStr">
        <is>
          <t>LINKÖPING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167-2024</t>
        </is>
      </c>
      <c r="B599" s="1" t="n">
        <v>45294</v>
      </c>
      <c r="C599" s="1" t="n">
        <v>46039</v>
      </c>
      <c r="D599" t="inlineStr">
        <is>
          <t>ÖSTERGÖTLANDS LÄN</t>
        </is>
      </c>
      <c r="E599" t="inlineStr">
        <is>
          <t>LINKÖPING</t>
        </is>
      </c>
      <c r="F599" t="inlineStr">
        <is>
          <t>Allmännings- och besparingsskogar</t>
        </is>
      </c>
      <c r="G599" t="n">
        <v>11.6</v>
      </c>
      <c r="H599" t="n">
        <v>0</v>
      </c>
      <c r="I599" t="n">
        <v>0</v>
      </c>
      <c r="J599" t="n">
        <v>0</v>
      </c>
      <c r="K599" t="n">
        <v>0</v>
      </c>
      <c r="L599" t="n">
        <v>0</v>
      </c>
      <c r="M599" t="n">
        <v>0</v>
      </c>
      <c r="N599" t="n">
        <v>0</v>
      </c>
      <c r="O599" t="n">
        <v>0</v>
      </c>
      <c r="P599" t="n">
        <v>0</v>
      </c>
      <c r="Q599" t="n">
        <v>0</v>
      </c>
      <c r="R599" s="2" t="inlineStr"/>
    </row>
    <row r="600" ht="15" customHeight="1">
      <c r="A600" t="inlineStr">
        <is>
          <t>A 45821-2024</t>
        </is>
      </c>
      <c r="B600" s="1" t="n">
        <v>45579.75803240741</v>
      </c>
      <c r="C600" s="1" t="n">
        <v>46039</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36725-2023</t>
        </is>
      </c>
      <c r="B601" s="1" t="n">
        <v>45153.68471064815</v>
      </c>
      <c r="C601" s="1" t="n">
        <v>46039</v>
      </c>
      <c r="D601" t="inlineStr">
        <is>
          <t>ÖSTERGÖTLANDS LÄN</t>
        </is>
      </c>
      <c r="E601" t="inlineStr">
        <is>
          <t>LINKÖPING</t>
        </is>
      </c>
      <c r="F601" t="inlineStr">
        <is>
          <t>Allmännings- och besparingsskogar</t>
        </is>
      </c>
      <c r="G601" t="n">
        <v>2.6</v>
      </c>
      <c r="H601" t="n">
        <v>0</v>
      </c>
      <c r="I601" t="n">
        <v>0</v>
      </c>
      <c r="J601" t="n">
        <v>0</v>
      </c>
      <c r="K601" t="n">
        <v>0</v>
      </c>
      <c r="L601" t="n">
        <v>0</v>
      </c>
      <c r="M601" t="n">
        <v>0</v>
      </c>
      <c r="N601" t="n">
        <v>0</v>
      </c>
      <c r="O601" t="n">
        <v>0</v>
      </c>
      <c r="P601" t="n">
        <v>0</v>
      </c>
      <c r="Q601" t="n">
        <v>0</v>
      </c>
      <c r="R601" s="2" t="inlineStr"/>
    </row>
    <row r="602" ht="15" customHeight="1">
      <c r="A602" t="inlineStr">
        <is>
          <t>A 61936-2023</t>
        </is>
      </c>
      <c r="B602" s="1" t="n">
        <v>45266.54534722222</v>
      </c>
      <c r="C602" s="1" t="n">
        <v>46039</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1263-2024</t>
        </is>
      </c>
      <c r="B603" s="1" t="n">
        <v>45302</v>
      </c>
      <c r="C603" s="1" t="n">
        <v>46039</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24464-2023</t>
        </is>
      </c>
      <c r="B604" s="1" t="n">
        <v>45082.58068287037</v>
      </c>
      <c r="C604" s="1" t="n">
        <v>46039</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27343-2023</t>
        </is>
      </c>
      <c r="B605" s="1" t="n">
        <v>45096</v>
      </c>
      <c r="C605" s="1" t="n">
        <v>46039</v>
      </c>
      <c r="D605" t="inlineStr">
        <is>
          <t>ÖSTERGÖTLANDS LÄN</t>
        </is>
      </c>
      <c r="E605" t="inlineStr">
        <is>
          <t>LINKÖPING</t>
        </is>
      </c>
      <c r="F605" t="inlineStr">
        <is>
          <t>Allmännings- och besparingsskogar</t>
        </is>
      </c>
      <c r="G605" t="n">
        <v>6.9</v>
      </c>
      <c r="H605" t="n">
        <v>0</v>
      </c>
      <c r="I605" t="n">
        <v>0</v>
      </c>
      <c r="J605" t="n">
        <v>0</v>
      </c>
      <c r="K605" t="n">
        <v>0</v>
      </c>
      <c r="L605" t="n">
        <v>0</v>
      </c>
      <c r="M605" t="n">
        <v>0</v>
      </c>
      <c r="N605" t="n">
        <v>0</v>
      </c>
      <c r="O605" t="n">
        <v>0</v>
      </c>
      <c r="P605" t="n">
        <v>0</v>
      </c>
      <c r="Q605" t="n">
        <v>0</v>
      </c>
      <c r="R605" s="2" t="inlineStr"/>
    </row>
    <row r="606" ht="15" customHeight="1">
      <c r="A606" t="inlineStr">
        <is>
          <t>A 48389-2024</t>
        </is>
      </c>
      <c r="B606" s="1" t="n">
        <v>45590.59991898148</v>
      </c>
      <c r="C606" s="1" t="n">
        <v>46039</v>
      </c>
      <c r="D606" t="inlineStr">
        <is>
          <t>ÖSTERGÖTLANDS LÄN</t>
        </is>
      </c>
      <c r="E606" t="inlineStr">
        <is>
          <t>LINKÖPING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61281-2021</t>
        </is>
      </c>
      <c r="B607" s="1" t="n">
        <v>44498.60736111111</v>
      </c>
      <c r="C607" s="1" t="n">
        <v>46039</v>
      </c>
      <c r="D607" t="inlineStr">
        <is>
          <t>ÖSTERGÖTLANDS LÄN</t>
        </is>
      </c>
      <c r="E607" t="inlineStr">
        <is>
          <t>LINKÖPING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22774-2024</t>
        </is>
      </c>
      <c r="B608" s="1" t="n">
        <v>45448.46924768519</v>
      </c>
      <c r="C608" s="1" t="n">
        <v>46039</v>
      </c>
      <c r="D608" t="inlineStr">
        <is>
          <t>ÖSTERGÖTLANDS LÄN</t>
        </is>
      </c>
      <c r="E608" t="inlineStr">
        <is>
          <t>LINKÖPING</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22778-2024</t>
        </is>
      </c>
      <c r="B609" s="1" t="n">
        <v>45448.47233796296</v>
      </c>
      <c r="C609" s="1" t="n">
        <v>46039</v>
      </c>
      <c r="D609" t="inlineStr">
        <is>
          <t>ÖSTERGÖTLANDS LÄN</t>
        </is>
      </c>
      <c r="E609" t="inlineStr">
        <is>
          <t>LINKÖPING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34864-2023</t>
        </is>
      </c>
      <c r="B610" s="1" t="n">
        <v>45141</v>
      </c>
      <c r="C610" s="1" t="n">
        <v>46039</v>
      </c>
      <c r="D610" t="inlineStr">
        <is>
          <t>ÖSTERGÖTLANDS LÄN</t>
        </is>
      </c>
      <c r="E610" t="inlineStr">
        <is>
          <t>LINKÖPING</t>
        </is>
      </c>
      <c r="G610" t="n">
        <v>3.3</v>
      </c>
      <c r="H610" t="n">
        <v>0</v>
      </c>
      <c r="I610" t="n">
        <v>0</v>
      </c>
      <c r="J610" t="n">
        <v>0</v>
      </c>
      <c r="K610" t="n">
        <v>0</v>
      </c>
      <c r="L610" t="n">
        <v>0</v>
      </c>
      <c r="M610" t="n">
        <v>0</v>
      </c>
      <c r="N610" t="n">
        <v>0</v>
      </c>
      <c r="O610" t="n">
        <v>0</v>
      </c>
      <c r="P610" t="n">
        <v>0</v>
      </c>
      <c r="Q610" t="n">
        <v>0</v>
      </c>
      <c r="R610" s="2" t="inlineStr"/>
    </row>
    <row r="611" ht="15" customHeight="1">
      <c r="A611" t="inlineStr">
        <is>
          <t>A 6369-2023</t>
        </is>
      </c>
      <c r="B611" s="1" t="n">
        <v>44965.61106481482</v>
      </c>
      <c r="C611" s="1" t="n">
        <v>46039</v>
      </c>
      <c r="D611" t="inlineStr">
        <is>
          <t>ÖSTERGÖTLANDS LÄN</t>
        </is>
      </c>
      <c r="E611" t="inlineStr">
        <is>
          <t>LINKÖPING</t>
        </is>
      </c>
      <c r="G611" t="n">
        <v>4</v>
      </c>
      <c r="H611" t="n">
        <v>0</v>
      </c>
      <c r="I611" t="n">
        <v>0</v>
      </c>
      <c r="J611" t="n">
        <v>0</v>
      </c>
      <c r="K611" t="n">
        <v>0</v>
      </c>
      <c r="L611" t="n">
        <v>0</v>
      </c>
      <c r="M611" t="n">
        <v>0</v>
      </c>
      <c r="N611" t="n">
        <v>0</v>
      </c>
      <c r="O611" t="n">
        <v>0</v>
      </c>
      <c r="P611" t="n">
        <v>0</v>
      </c>
      <c r="Q611" t="n">
        <v>0</v>
      </c>
      <c r="R611" s="2" t="inlineStr"/>
    </row>
    <row r="612" ht="15" customHeight="1">
      <c r="A612" t="inlineStr">
        <is>
          <t>A 52531-2023</t>
        </is>
      </c>
      <c r="B612" s="1" t="n">
        <v>45225</v>
      </c>
      <c r="C612" s="1" t="n">
        <v>46039</v>
      </c>
      <c r="D612" t="inlineStr">
        <is>
          <t>ÖSTERGÖTLANDS LÄN</t>
        </is>
      </c>
      <c r="E612" t="inlineStr">
        <is>
          <t>LINKÖPING</t>
        </is>
      </c>
      <c r="F612" t="inlineStr">
        <is>
          <t>Övriga Aktiebolag</t>
        </is>
      </c>
      <c r="G612" t="n">
        <v>1</v>
      </c>
      <c r="H612" t="n">
        <v>0</v>
      </c>
      <c r="I612" t="n">
        <v>0</v>
      </c>
      <c r="J612" t="n">
        <v>0</v>
      </c>
      <c r="K612" t="n">
        <v>0</v>
      </c>
      <c r="L612" t="n">
        <v>0</v>
      </c>
      <c r="M612" t="n">
        <v>0</v>
      </c>
      <c r="N612" t="n">
        <v>0</v>
      </c>
      <c r="O612" t="n">
        <v>0</v>
      </c>
      <c r="P612" t="n">
        <v>0</v>
      </c>
      <c r="Q612" t="n">
        <v>0</v>
      </c>
      <c r="R612" s="2" t="inlineStr"/>
    </row>
    <row r="613" ht="15" customHeight="1">
      <c r="A613" t="inlineStr">
        <is>
          <t>A 34930-2023</t>
        </is>
      </c>
      <c r="B613" s="1" t="n">
        <v>45142</v>
      </c>
      <c r="C613" s="1" t="n">
        <v>46039</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30985-2022</t>
        </is>
      </c>
      <c r="B614" s="1" t="n">
        <v>44768</v>
      </c>
      <c r="C614" s="1" t="n">
        <v>46039</v>
      </c>
      <c r="D614" t="inlineStr">
        <is>
          <t>ÖSTERGÖTLANDS LÄN</t>
        </is>
      </c>
      <c r="E614" t="inlineStr">
        <is>
          <t>LINKÖPING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10094-2024</t>
        </is>
      </c>
      <c r="B615" s="1" t="n">
        <v>45364</v>
      </c>
      <c r="C615" s="1" t="n">
        <v>46039</v>
      </c>
      <c r="D615" t="inlineStr">
        <is>
          <t>ÖSTERGÖTLANDS LÄN</t>
        </is>
      </c>
      <c r="E615" t="inlineStr">
        <is>
          <t>LINKÖPING</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1207-2023</t>
        </is>
      </c>
      <c r="B616" s="1" t="n">
        <v>44930</v>
      </c>
      <c r="C616" s="1" t="n">
        <v>46039</v>
      </c>
      <c r="D616" t="inlineStr">
        <is>
          <t>ÖSTERGÖTLANDS LÄN</t>
        </is>
      </c>
      <c r="E616" t="inlineStr">
        <is>
          <t>LINKÖPING</t>
        </is>
      </c>
      <c r="F616" t="inlineStr">
        <is>
          <t>Övriga statliga verk och myndigheter</t>
        </is>
      </c>
      <c r="G616" t="n">
        <v>32.8</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46039</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62020-2024</t>
        </is>
      </c>
      <c r="B618" s="1" t="n">
        <v>45655.83563657408</v>
      </c>
      <c r="C618" s="1" t="n">
        <v>46039</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62021-2024</t>
        </is>
      </c>
      <c r="B619" s="1" t="n">
        <v>45655.84232638889</v>
      </c>
      <c r="C619" s="1" t="n">
        <v>46039</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27891-2021</t>
        </is>
      </c>
      <c r="B620" s="1" t="n">
        <v>44354.65108796296</v>
      </c>
      <c r="C620" s="1" t="n">
        <v>46039</v>
      </c>
      <c r="D620" t="inlineStr">
        <is>
          <t>ÖSTERGÖTLANDS LÄN</t>
        </is>
      </c>
      <c r="E620" t="inlineStr">
        <is>
          <t>LINKÖPING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57391-2023</t>
        </is>
      </c>
      <c r="B621" s="1" t="n">
        <v>45245</v>
      </c>
      <c r="C621" s="1" t="n">
        <v>46039</v>
      </c>
      <c r="D621" t="inlineStr">
        <is>
          <t>ÖSTERGÖTLANDS LÄN</t>
        </is>
      </c>
      <c r="E621" t="inlineStr">
        <is>
          <t>LINKÖPING</t>
        </is>
      </c>
      <c r="F621" t="inlineStr">
        <is>
          <t>Övriga Aktiebolag</t>
        </is>
      </c>
      <c r="G621" t="n">
        <v>1.7</v>
      </c>
      <c r="H621" t="n">
        <v>0</v>
      </c>
      <c r="I621" t="n">
        <v>0</v>
      </c>
      <c r="J621" t="n">
        <v>0</v>
      </c>
      <c r="K621" t="n">
        <v>0</v>
      </c>
      <c r="L621" t="n">
        <v>0</v>
      </c>
      <c r="M621" t="n">
        <v>0</v>
      </c>
      <c r="N621" t="n">
        <v>0</v>
      </c>
      <c r="O621" t="n">
        <v>0</v>
      </c>
      <c r="P621" t="n">
        <v>0</v>
      </c>
      <c r="Q621" t="n">
        <v>0</v>
      </c>
      <c r="R621" s="2" t="inlineStr"/>
    </row>
    <row r="622" ht="15" customHeight="1">
      <c r="A622" t="inlineStr">
        <is>
          <t>A 20294-2025</t>
        </is>
      </c>
      <c r="B622" s="1" t="n">
        <v>45774.74667824074</v>
      </c>
      <c r="C622" s="1" t="n">
        <v>46039</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60013-2022</t>
        </is>
      </c>
      <c r="B623" s="1" t="n">
        <v>44909.47482638889</v>
      </c>
      <c r="C623" s="1" t="n">
        <v>46039</v>
      </c>
      <c r="D623" t="inlineStr">
        <is>
          <t>ÖSTERGÖTLANDS LÄN</t>
        </is>
      </c>
      <c r="E623" t="inlineStr">
        <is>
          <t>LINKÖPING</t>
        </is>
      </c>
      <c r="G623" t="n">
        <v>0.9</v>
      </c>
      <c r="H623" t="n">
        <v>0</v>
      </c>
      <c r="I623" t="n">
        <v>0</v>
      </c>
      <c r="J623" t="n">
        <v>0</v>
      </c>
      <c r="K623" t="n">
        <v>0</v>
      </c>
      <c r="L623" t="n">
        <v>0</v>
      </c>
      <c r="M623" t="n">
        <v>0</v>
      </c>
      <c r="N623" t="n">
        <v>0</v>
      </c>
      <c r="O623" t="n">
        <v>0</v>
      </c>
      <c r="P623" t="n">
        <v>0</v>
      </c>
      <c r="Q623" t="n">
        <v>0</v>
      </c>
      <c r="R623" s="2" t="inlineStr"/>
    </row>
    <row r="624" ht="15" customHeight="1">
      <c r="A624" t="inlineStr">
        <is>
          <t>A 3007-2025</t>
        </is>
      </c>
      <c r="B624" s="1" t="n">
        <v>45678.56328703704</v>
      </c>
      <c r="C624" s="1" t="n">
        <v>46039</v>
      </c>
      <c r="D624" t="inlineStr">
        <is>
          <t>ÖSTERGÖTLANDS LÄN</t>
        </is>
      </c>
      <c r="E624" t="inlineStr">
        <is>
          <t>LINKÖPING</t>
        </is>
      </c>
      <c r="G624" t="n">
        <v>3.1</v>
      </c>
      <c r="H624" t="n">
        <v>0</v>
      </c>
      <c r="I624" t="n">
        <v>0</v>
      </c>
      <c r="J624" t="n">
        <v>0</v>
      </c>
      <c r="K624" t="n">
        <v>0</v>
      </c>
      <c r="L624" t="n">
        <v>0</v>
      </c>
      <c r="M624" t="n">
        <v>0</v>
      </c>
      <c r="N624" t="n">
        <v>0</v>
      </c>
      <c r="O624" t="n">
        <v>0</v>
      </c>
      <c r="P624" t="n">
        <v>0</v>
      </c>
      <c r="Q624" t="n">
        <v>0</v>
      </c>
      <c r="R624" s="2" t="inlineStr"/>
    </row>
    <row r="625" ht="15" customHeight="1">
      <c r="A625" t="inlineStr">
        <is>
          <t>A 59642-2024</t>
        </is>
      </c>
      <c r="B625" s="1" t="n">
        <v>45639.31511574074</v>
      </c>
      <c r="C625" s="1" t="n">
        <v>46039</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34877-2023</t>
        </is>
      </c>
      <c r="B626" s="1" t="n">
        <v>45140</v>
      </c>
      <c r="C626" s="1" t="n">
        <v>46039</v>
      </c>
      <c r="D626" t="inlineStr">
        <is>
          <t>ÖSTERGÖTLANDS LÄN</t>
        </is>
      </c>
      <c r="E626" t="inlineStr">
        <is>
          <t>LINKÖPING</t>
        </is>
      </c>
      <c r="G626" t="n">
        <v>1.9</v>
      </c>
      <c r="H626" t="n">
        <v>0</v>
      </c>
      <c r="I626" t="n">
        <v>0</v>
      </c>
      <c r="J626" t="n">
        <v>0</v>
      </c>
      <c r="K626" t="n">
        <v>0</v>
      </c>
      <c r="L626" t="n">
        <v>0</v>
      </c>
      <c r="M626" t="n">
        <v>0</v>
      </c>
      <c r="N626" t="n">
        <v>0</v>
      </c>
      <c r="O626" t="n">
        <v>0</v>
      </c>
      <c r="P626" t="n">
        <v>0</v>
      </c>
      <c r="Q626" t="n">
        <v>0</v>
      </c>
      <c r="R626" s="2" t="inlineStr"/>
    </row>
    <row r="627" ht="15" customHeight="1">
      <c r="A627" t="inlineStr">
        <is>
          <t>A 15748-2025</t>
        </is>
      </c>
      <c r="B627" s="1" t="n">
        <v>45748.55282407408</v>
      </c>
      <c r="C627" s="1" t="n">
        <v>46039</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31792-2021</t>
        </is>
      </c>
      <c r="B628" s="1" t="n">
        <v>44369</v>
      </c>
      <c r="C628" s="1" t="n">
        <v>46039</v>
      </c>
      <c r="D628" t="inlineStr">
        <is>
          <t>ÖSTERGÖTLANDS LÄN</t>
        </is>
      </c>
      <c r="E628" t="inlineStr">
        <is>
          <t>LINKÖPING</t>
        </is>
      </c>
      <c r="G628" t="n">
        <v>1.9</v>
      </c>
      <c r="H628" t="n">
        <v>0</v>
      </c>
      <c r="I628" t="n">
        <v>0</v>
      </c>
      <c r="J628" t="n">
        <v>0</v>
      </c>
      <c r="K628" t="n">
        <v>0</v>
      </c>
      <c r="L628" t="n">
        <v>0</v>
      </c>
      <c r="M628" t="n">
        <v>0</v>
      </c>
      <c r="N628" t="n">
        <v>0</v>
      </c>
      <c r="O628" t="n">
        <v>0</v>
      </c>
      <c r="P628" t="n">
        <v>0</v>
      </c>
      <c r="Q628" t="n">
        <v>0</v>
      </c>
      <c r="R628" s="2" t="inlineStr"/>
    </row>
    <row r="629" ht="15" customHeight="1">
      <c r="A629" t="inlineStr">
        <is>
          <t>A 25097-2023</t>
        </is>
      </c>
      <c r="B629" s="1" t="n">
        <v>45086</v>
      </c>
      <c r="C629" s="1" t="n">
        <v>46039</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1924-2024</t>
        </is>
      </c>
      <c r="B630" s="1" t="n">
        <v>45308</v>
      </c>
      <c r="C630" s="1" t="n">
        <v>46039</v>
      </c>
      <c r="D630" t="inlineStr">
        <is>
          <t>ÖSTERGÖTLANDS LÄN</t>
        </is>
      </c>
      <c r="E630" t="inlineStr">
        <is>
          <t>LINKÖPING</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35735-2023</t>
        </is>
      </c>
      <c r="B631" s="1" t="n">
        <v>45147</v>
      </c>
      <c r="C631" s="1" t="n">
        <v>46039</v>
      </c>
      <c r="D631" t="inlineStr">
        <is>
          <t>ÖSTERGÖTLANDS LÄN</t>
        </is>
      </c>
      <c r="E631" t="inlineStr">
        <is>
          <t>LINKÖPING</t>
        </is>
      </c>
      <c r="G631" t="n">
        <v>2.8</v>
      </c>
      <c r="H631" t="n">
        <v>0</v>
      </c>
      <c r="I631" t="n">
        <v>0</v>
      </c>
      <c r="J631" t="n">
        <v>0</v>
      </c>
      <c r="K631" t="n">
        <v>0</v>
      </c>
      <c r="L631" t="n">
        <v>0</v>
      </c>
      <c r="M631" t="n">
        <v>0</v>
      </c>
      <c r="N631" t="n">
        <v>0</v>
      </c>
      <c r="O631" t="n">
        <v>0</v>
      </c>
      <c r="P631" t="n">
        <v>0</v>
      </c>
      <c r="Q631" t="n">
        <v>0</v>
      </c>
      <c r="R631" s="2" t="inlineStr"/>
    </row>
    <row r="632" ht="15" customHeight="1">
      <c r="A632" t="inlineStr">
        <is>
          <t>A 16462-2021</t>
        </is>
      </c>
      <c r="B632" s="1" t="n">
        <v>44293</v>
      </c>
      <c r="C632" s="1" t="n">
        <v>46039</v>
      </c>
      <c r="D632" t="inlineStr">
        <is>
          <t>ÖSTERGÖTLANDS LÄN</t>
        </is>
      </c>
      <c r="E632" t="inlineStr">
        <is>
          <t>LINKÖPING</t>
        </is>
      </c>
      <c r="F632" t="inlineStr">
        <is>
          <t>Allmännings- och besparingsskogar</t>
        </is>
      </c>
      <c r="G632" t="n">
        <v>24.7</v>
      </c>
      <c r="H632" t="n">
        <v>0</v>
      </c>
      <c r="I632" t="n">
        <v>0</v>
      </c>
      <c r="J632" t="n">
        <v>0</v>
      </c>
      <c r="K632" t="n">
        <v>0</v>
      </c>
      <c r="L632" t="n">
        <v>0</v>
      </c>
      <c r="M632" t="n">
        <v>0</v>
      </c>
      <c r="N632" t="n">
        <v>0</v>
      </c>
      <c r="O632" t="n">
        <v>0</v>
      </c>
      <c r="P632" t="n">
        <v>0</v>
      </c>
      <c r="Q632" t="n">
        <v>0</v>
      </c>
      <c r="R632" s="2" t="inlineStr"/>
    </row>
    <row r="633" ht="15" customHeight="1">
      <c r="A633" t="inlineStr">
        <is>
          <t>A 25776-2021</t>
        </is>
      </c>
      <c r="B633" s="1" t="n">
        <v>44343</v>
      </c>
      <c r="C633" s="1" t="n">
        <v>46039</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30856-2022</t>
        </is>
      </c>
      <c r="B634" s="1" t="n">
        <v>44767</v>
      </c>
      <c r="C634" s="1" t="n">
        <v>46039</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19187-2021</t>
        </is>
      </c>
      <c r="B635" s="1" t="n">
        <v>44308</v>
      </c>
      <c r="C635" s="1" t="n">
        <v>46039</v>
      </c>
      <c r="D635" t="inlineStr">
        <is>
          <t>ÖSTERGÖTLANDS LÄN</t>
        </is>
      </c>
      <c r="E635" t="inlineStr">
        <is>
          <t>LINKÖPING</t>
        </is>
      </c>
      <c r="F635" t="inlineStr">
        <is>
          <t>Allmännings- och besparingsskogar</t>
        </is>
      </c>
      <c r="G635" t="n">
        <v>20</v>
      </c>
      <c r="H635" t="n">
        <v>0</v>
      </c>
      <c r="I635" t="n">
        <v>0</v>
      </c>
      <c r="J635" t="n">
        <v>0</v>
      </c>
      <c r="K635" t="n">
        <v>0</v>
      </c>
      <c r="L635" t="n">
        <v>0</v>
      </c>
      <c r="M635" t="n">
        <v>0</v>
      </c>
      <c r="N635" t="n">
        <v>0</v>
      </c>
      <c r="O635" t="n">
        <v>0</v>
      </c>
      <c r="P635" t="n">
        <v>0</v>
      </c>
      <c r="Q635" t="n">
        <v>0</v>
      </c>
      <c r="R635" s="2" t="inlineStr"/>
    </row>
    <row r="636" ht="15" customHeight="1">
      <c r="A636" t="inlineStr">
        <is>
          <t>A 34558-2022</t>
        </is>
      </c>
      <c r="B636" s="1" t="n">
        <v>44794.57594907407</v>
      </c>
      <c r="C636" s="1" t="n">
        <v>46039</v>
      </c>
      <c r="D636" t="inlineStr">
        <is>
          <t>ÖSTERGÖTLANDS LÄN</t>
        </is>
      </c>
      <c r="E636" t="inlineStr">
        <is>
          <t>LINKÖPING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168-2024</t>
        </is>
      </c>
      <c r="B637" s="1" t="n">
        <v>45294</v>
      </c>
      <c r="C637" s="1" t="n">
        <v>46039</v>
      </c>
      <c r="D637" t="inlineStr">
        <is>
          <t>ÖSTERGÖTLANDS LÄN</t>
        </is>
      </c>
      <c r="E637" t="inlineStr">
        <is>
          <t>LINKÖPING</t>
        </is>
      </c>
      <c r="F637" t="inlineStr">
        <is>
          <t>Allmännings- och besparingsskogar</t>
        </is>
      </c>
      <c r="G637" t="n">
        <v>8.9</v>
      </c>
      <c r="H637" t="n">
        <v>0</v>
      </c>
      <c r="I637" t="n">
        <v>0</v>
      </c>
      <c r="J637" t="n">
        <v>0</v>
      </c>
      <c r="K637" t="n">
        <v>0</v>
      </c>
      <c r="L637" t="n">
        <v>0</v>
      </c>
      <c r="M637" t="n">
        <v>0</v>
      </c>
      <c r="N637" t="n">
        <v>0</v>
      </c>
      <c r="O637" t="n">
        <v>0</v>
      </c>
      <c r="P637" t="n">
        <v>0</v>
      </c>
      <c r="Q637" t="n">
        <v>0</v>
      </c>
      <c r="R637" s="2" t="inlineStr"/>
    </row>
    <row r="638" ht="15" customHeight="1">
      <c r="A638" t="inlineStr">
        <is>
          <t>A 15658-2023</t>
        </is>
      </c>
      <c r="B638" s="1" t="n">
        <v>45021.41194444444</v>
      </c>
      <c r="C638" s="1" t="n">
        <v>46039</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39219-2021</t>
        </is>
      </c>
      <c r="B639" s="1" t="n">
        <v>44413</v>
      </c>
      <c r="C639" s="1" t="n">
        <v>46039</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39224-2021</t>
        </is>
      </c>
      <c r="B640" s="1" t="n">
        <v>44413</v>
      </c>
      <c r="C640" s="1" t="n">
        <v>46039</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30433-2024</t>
        </is>
      </c>
      <c r="B641" s="1" t="n">
        <v>45491.69741898148</v>
      </c>
      <c r="C641" s="1" t="n">
        <v>46039</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52220-2023</t>
        </is>
      </c>
      <c r="B642" s="1" t="n">
        <v>45217</v>
      </c>
      <c r="C642" s="1" t="n">
        <v>46039</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52225-2023</t>
        </is>
      </c>
      <c r="B643" s="1" t="n">
        <v>45217</v>
      </c>
      <c r="C643" s="1" t="n">
        <v>46039</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19464-2024</t>
        </is>
      </c>
      <c r="B644" s="1" t="n">
        <v>45429</v>
      </c>
      <c r="C644" s="1" t="n">
        <v>46039</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42044-2023</t>
        </is>
      </c>
      <c r="B645" s="1" t="n">
        <v>45177</v>
      </c>
      <c r="C645" s="1" t="n">
        <v>46039</v>
      </c>
      <c r="D645" t="inlineStr">
        <is>
          <t>ÖSTERGÖTLANDS LÄN</t>
        </is>
      </c>
      <c r="E645" t="inlineStr">
        <is>
          <t>LINKÖPING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43934-2023</t>
        </is>
      </c>
      <c r="B646" s="1" t="n">
        <v>45187</v>
      </c>
      <c r="C646" s="1" t="n">
        <v>46039</v>
      </c>
      <c r="D646" t="inlineStr">
        <is>
          <t>ÖSTERGÖTLANDS LÄN</t>
        </is>
      </c>
      <c r="E646" t="inlineStr">
        <is>
          <t>LINKÖPING</t>
        </is>
      </c>
      <c r="F646" t="inlineStr">
        <is>
          <t>Övriga Aktiebolag</t>
        </is>
      </c>
      <c r="G646" t="n">
        <v>3.8</v>
      </c>
      <c r="H646" t="n">
        <v>0</v>
      </c>
      <c r="I646" t="n">
        <v>0</v>
      </c>
      <c r="J646" t="n">
        <v>0</v>
      </c>
      <c r="K646" t="n">
        <v>0</v>
      </c>
      <c r="L646" t="n">
        <v>0</v>
      </c>
      <c r="M646" t="n">
        <v>0</v>
      </c>
      <c r="N646" t="n">
        <v>0</v>
      </c>
      <c r="O646" t="n">
        <v>0</v>
      </c>
      <c r="P646" t="n">
        <v>0</v>
      </c>
      <c r="Q646" t="n">
        <v>0</v>
      </c>
      <c r="R646" s="2" t="inlineStr"/>
    </row>
    <row r="647" ht="15" customHeight="1">
      <c r="A647" t="inlineStr">
        <is>
          <t>A 630-2024</t>
        </is>
      </c>
      <c r="B647" s="1" t="n">
        <v>45299.67736111111</v>
      </c>
      <c r="C647" s="1" t="n">
        <v>46039</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21782-2024</t>
        </is>
      </c>
      <c r="B648" s="1" t="n">
        <v>45442.63368055555</v>
      </c>
      <c r="C648" s="1" t="n">
        <v>46039</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7354-2025</t>
        </is>
      </c>
      <c r="B649" s="1" t="n">
        <v>45704.41174768518</v>
      </c>
      <c r="C649" s="1" t="n">
        <v>46039</v>
      </c>
      <c r="D649" t="inlineStr">
        <is>
          <t>ÖSTERGÖTLANDS LÄN</t>
        </is>
      </c>
      <c r="E649" t="inlineStr">
        <is>
          <t>LINKÖPING</t>
        </is>
      </c>
      <c r="G649" t="n">
        <v>4.8</v>
      </c>
      <c r="H649" t="n">
        <v>0</v>
      </c>
      <c r="I649" t="n">
        <v>0</v>
      </c>
      <c r="J649" t="n">
        <v>0</v>
      </c>
      <c r="K649" t="n">
        <v>0</v>
      </c>
      <c r="L649" t="n">
        <v>0</v>
      </c>
      <c r="M649" t="n">
        <v>0</v>
      </c>
      <c r="N649" t="n">
        <v>0</v>
      </c>
      <c r="O649" t="n">
        <v>0</v>
      </c>
      <c r="P649" t="n">
        <v>0</v>
      </c>
      <c r="Q649" t="n">
        <v>0</v>
      </c>
      <c r="R649" s="2" t="inlineStr"/>
    </row>
    <row r="650" ht="15" customHeight="1">
      <c r="A650" t="inlineStr">
        <is>
          <t>A 57766-2023</t>
        </is>
      </c>
      <c r="B650" s="1" t="n">
        <v>45246</v>
      </c>
      <c r="C650" s="1" t="n">
        <v>46039</v>
      </c>
      <c r="D650" t="inlineStr">
        <is>
          <t>ÖSTERGÖTLANDS LÄN</t>
        </is>
      </c>
      <c r="E650" t="inlineStr">
        <is>
          <t>LINKÖPING</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63935-2021</t>
        </is>
      </c>
      <c r="B651" s="1" t="n">
        <v>44509</v>
      </c>
      <c r="C651" s="1" t="n">
        <v>46039</v>
      </c>
      <c r="D651" t="inlineStr">
        <is>
          <t>ÖSTERGÖTLANDS LÄN</t>
        </is>
      </c>
      <c r="E651" t="inlineStr">
        <is>
          <t>LINKÖPING</t>
        </is>
      </c>
      <c r="F651" t="inlineStr">
        <is>
          <t>Övriga statliga verk och myndigheter</t>
        </is>
      </c>
      <c r="G651" t="n">
        <v>2.8</v>
      </c>
      <c r="H651" t="n">
        <v>0</v>
      </c>
      <c r="I651" t="n">
        <v>0</v>
      </c>
      <c r="J651" t="n">
        <v>0</v>
      </c>
      <c r="K651" t="n">
        <v>0</v>
      </c>
      <c r="L651" t="n">
        <v>0</v>
      </c>
      <c r="M651" t="n">
        <v>0</v>
      </c>
      <c r="N651" t="n">
        <v>0</v>
      </c>
      <c r="O651" t="n">
        <v>0</v>
      </c>
      <c r="P651" t="n">
        <v>0</v>
      </c>
      <c r="Q651" t="n">
        <v>0</v>
      </c>
      <c r="R651" s="2" t="inlineStr"/>
    </row>
    <row r="652" ht="15" customHeight="1">
      <c r="A652" t="inlineStr">
        <is>
          <t>A 27186-2021</t>
        </is>
      </c>
      <c r="B652" s="1" t="n">
        <v>44350.67715277777</v>
      </c>
      <c r="C652" s="1" t="n">
        <v>46039</v>
      </c>
      <c r="D652" t="inlineStr">
        <is>
          <t>ÖSTERGÖTLANDS LÄN</t>
        </is>
      </c>
      <c r="E652" t="inlineStr">
        <is>
          <t>LINKÖPING</t>
        </is>
      </c>
      <c r="F652" t="inlineStr">
        <is>
          <t>Allmännings- och besparingsskogar</t>
        </is>
      </c>
      <c r="G652" t="n">
        <v>1.4</v>
      </c>
      <c r="H652" t="n">
        <v>0</v>
      </c>
      <c r="I652" t="n">
        <v>0</v>
      </c>
      <c r="J652" t="n">
        <v>0</v>
      </c>
      <c r="K652" t="n">
        <v>0</v>
      </c>
      <c r="L652" t="n">
        <v>0</v>
      </c>
      <c r="M652" t="n">
        <v>0</v>
      </c>
      <c r="N652" t="n">
        <v>0</v>
      </c>
      <c r="O652" t="n">
        <v>0</v>
      </c>
      <c r="P652" t="n">
        <v>0</v>
      </c>
      <c r="Q652" t="n">
        <v>0</v>
      </c>
      <c r="R652" s="2" t="inlineStr"/>
    </row>
    <row r="653" ht="15" customHeight="1">
      <c r="A653" t="inlineStr">
        <is>
          <t>A 10194-2023</t>
        </is>
      </c>
      <c r="B653" s="1" t="n">
        <v>44986.52277777778</v>
      </c>
      <c r="C653" s="1" t="n">
        <v>46039</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40810-2022</t>
        </is>
      </c>
      <c r="B654" s="1" t="n">
        <v>44824</v>
      </c>
      <c r="C654" s="1" t="n">
        <v>46039</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55944-2024</t>
        </is>
      </c>
      <c r="B655" s="1" t="n">
        <v>45623.61640046296</v>
      </c>
      <c r="C655" s="1" t="n">
        <v>46039</v>
      </c>
      <c r="D655" t="inlineStr">
        <is>
          <t>ÖSTERGÖTLANDS LÄN</t>
        </is>
      </c>
      <c r="E655" t="inlineStr">
        <is>
          <t>LINKÖPING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55947-2024</t>
        </is>
      </c>
      <c r="B656" s="1" t="n">
        <v>45623</v>
      </c>
      <c r="C656" s="1" t="n">
        <v>46039</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47703-2023</t>
        </is>
      </c>
      <c r="B657" s="1" t="n">
        <v>45203</v>
      </c>
      <c r="C657" s="1" t="n">
        <v>46039</v>
      </c>
      <c r="D657" t="inlineStr">
        <is>
          <t>ÖSTERGÖTLANDS LÄN</t>
        </is>
      </c>
      <c r="E657" t="inlineStr">
        <is>
          <t>LINKÖPING</t>
        </is>
      </c>
      <c r="G657" t="n">
        <v>4.1</v>
      </c>
      <c r="H657" t="n">
        <v>0</v>
      </c>
      <c r="I657" t="n">
        <v>0</v>
      </c>
      <c r="J657" t="n">
        <v>0</v>
      </c>
      <c r="K657" t="n">
        <v>0</v>
      </c>
      <c r="L657" t="n">
        <v>0</v>
      </c>
      <c r="M657" t="n">
        <v>0</v>
      </c>
      <c r="N657" t="n">
        <v>0</v>
      </c>
      <c r="O657" t="n">
        <v>0</v>
      </c>
      <c r="P657" t="n">
        <v>0</v>
      </c>
      <c r="Q657" t="n">
        <v>0</v>
      </c>
      <c r="R657" s="2" t="inlineStr"/>
    </row>
    <row r="658" ht="15" customHeight="1">
      <c r="A658" t="inlineStr">
        <is>
          <t>A 51559-2024</t>
        </is>
      </c>
      <c r="B658" s="1" t="n">
        <v>45604.61431712963</v>
      </c>
      <c r="C658" s="1" t="n">
        <v>46039</v>
      </c>
      <c r="D658" t="inlineStr">
        <is>
          <t>ÖSTERGÖTLANDS LÄN</t>
        </is>
      </c>
      <c r="E658" t="inlineStr">
        <is>
          <t>LINKÖPING</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62353-2022</t>
        </is>
      </c>
      <c r="B659" s="1" t="n">
        <v>44923</v>
      </c>
      <c r="C659" s="1" t="n">
        <v>46039</v>
      </c>
      <c r="D659" t="inlineStr">
        <is>
          <t>ÖSTERGÖTLANDS LÄN</t>
        </is>
      </c>
      <c r="E659" t="inlineStr">
        <is>
          <t>LINKÖPING</t>
        </is>
      </c>
      <c r="F659" t="inlineStr">
        <is>
          <t>Allmännings- och besparingsskogar</t>
        </is>
      </c>
      <c r="G659" t="n">
        <v>1.7</v>
      </c>
      <c r="H659" t="n">
        <v>0</v>
      </c>
      <c r="I659" t="n">
        <v>0</v>
      </c>
      <c r="J659" t="n">
        <v>0</v>
      </c>
      <c r="K659" t="n">
        <v>0</v>
      </c>
      <c r="L659" t="n">
        <v>0</v>
      </c>
      <c r="M659" t="n">
        <v>0</v>
      </c>
      <c r="N659" t="n">
        <v>0</v>
      </c>
      <c r="O659" t="n">
        <v>0</v>
      </c>
      <c r="P659" t="n">
        <v>0</v>
      </c>
      <c r="Q659" t="n">
        <v>0</v>
      </c>
      <c r="R659" s="2" t="inlineStr"/>
    </row>
    <row r="660" ht="15" customHeight="1">
      <c r="A660" t="inlineStr">
        <is>
          <t>A 15754-2025</t>
        </is>
      </c>
      <c r="B660" s="1" t="n">
        <v>45748.56105324074</v>
      </c>
      <c r="C660" s="1" t="n">
        <v>46039</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4298-2023</t>
        </is>
      </c>
      <c r="B661" s="1" t="n">
        <v>44953</v>
      </c>
      <c r="C661" s="1" t="n">
        <v>46039</v>
      </c>
      <c r="D661" t="inlineStr">
        <is>
          <t>ÖSTERGÖTLANDS LÄN</t>
        </is>
      </c>
      <c r="E661" t="inlineStr">
        <is>
          <t>LINKÖPING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20298-2025</t>
        </is>
      </c>
      <c r="B662" s="1" t="n">
        <v>45774.75024305555</v>
      </c>
      <c r="C662" s="1" t="n">
        <v>46039</v>
      </c>
      <c r="D662" t="inlineStr">
        <is>
          <t>ÖSTERGÖTLANDS LÄN</t>
        </is>
      </c>
      <c r="E662" t="inlineStr">
        <is>
          <t>LINKÖPING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18145-2021</t>
        </is>
      </c>
      <c r="B663" s="1" t="n">
        <v>44302</v>
      </c>
      <c r="C663" s="1" t="n">
        <v>46039</v>
      </c>
      <c r="D663" t="inlineStr">
        <is>
          <t>ÖSTERGÖTLANDS LÄN</t>
        </is>
      </c>
      <c r="E663" t="inlineStr">
        <is>
          <t>LINKÖPING</t>
        </is>
      </c>
      <c r="G663" t="n">
        <v>2.4</v>
      </c>
      <c r="H663" t="n">
        <v>0</v>
      </c>
      <c r="I663" t="n">
        <v>0</v>
      </c>
      <c r="J663" t="n">
        <v>0</v>
      </c>
      <c r="K663" t="n">
        <v>0</v>
      </c>
      <c r="L663" t="n">
        <v>0</v>
      </c>
      <c r="M663" t="n">
        <v>0</v>
      </c>
      <c r="N663" t="n">
        <v>0</v>
      </c>
      <c r="O663" t="n">
        <v>0</v>
      </c>
      <c r="P663" t="n">
        <v>0</v>
      </c>
      <c r="Q663" t="n">
        <v>0</v>
      </c>
      <c r="R663" s="2" t="inlineStr"/>
    </row>
    <row r="664" ht="15" customHeight="1">
      <c r="A664" t="inlineStr">
        <is>
          <t>A 25568-2024</t>
        </is>
      </c>
      <c r="B664" s="1" t="n">
        <v>45463.58699074074</v>
      </c>
      <c r="C664" s="1" t="n">
        <v>46039</v>
      </c>
      <c r="D664" t="inlineStr">
        <is>
          <t>ÖSTERGÖTLANDS LÄN</t>
        </is>
      </c>
      <c r="E664" t="inlineStr">
        <is>
          <t>LINKÖPING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38136-2023</t>
        </is>
      </c>
      <c r="B665" s="1" t="n">
        <v>45161.37310185185</v>
      </c>
      <c r="C665" s="1" t="n">
        <v>46039</v>
      </c>
      <c r="D665" t="inlineStr">
        <is>
          <t>ÖSTERGÖTLANDS LÄN</t>
        </is>
      </c>
      <c r="E665" t="inlineStr">
        <is>
          <t>LINKÖPING</t>
        </is>
      </c>
      <c r="G665" t="n">
        <v>5.6</v>
      </c>
      <c r="H665" t="n">
        <v>0</v>
      </c>
      <c r="I665" t="n">
        <v>0</v>
      </c>
      <c r="J665" t="n">
        <v>0</v>
      </c>
      <c r="K665" t="n">
        <v>0</v>
      </c>
      <c r="L665" t="n">
        <v>0</v>
      </c>
      <c r="M665" t="n">
        <v>0</v>
      </c>
      <c r="N665" t="n">
        <v>0</v>
      </c>
      <c r="O665" t="n">
        <v>0</v>
      </c>
      <c r="P665" t="n">
        <v>0</v>
      </c>
      <c r="Q665" t="n">
        <v>0</v>
      </c>
      <c r="R665" s="2" t="inlineStr"/>
    </row>
    <row r="666" ht="15" customHeight="1">
      <c r="A666" t="inlineStr">
        <is>
          <t>A 12317-2025</t>
        </is>
      </c>
      <c r="B666" s="1" t="n">
        <v>45729.8487037037</v>
      </c>
      <c r="C666" s="1" t="n">
        <v>46039</v>
      </c>
      <c r="D666" t="inlineStr">
        <is>
          <t>ÖSTERGÖTLANDS LÄN</t>
        </is>
      </c>
      <c r="E666" t="inlineStr">
        <is>
          <t>LINKÖPING</t>
        </is>
      </c>
      <c r="G666" t="n">
        <v>8</v>
      </c>
      <c r="H666" t="n">
        <v>0</v>
      </c>
      <c r="I666" t="n">
        <v>0</v>
      </c>
      <c r="J666" t="n">
        <v>0</v>
      </c>
      <c r="K666" t="n">
        <v>0</v>
      </c>
      <c r="L666" t="n">
        <v>0</v>
      </c>
      <c r="M666" t="n">
        <v>0</v>
      </c>
      <c r="N666" t="n">
        <v>0</v>
      </c>
      <c r="O666" t="n">
        <v>0</v>
      </c>
      <c r="P666" t="n">
        <v>0</v>
      </c>
      <c r="Q666" t="n">
        <v>0</v>
      </c>
      <c r="R666" s="2" t="inlineStr"/>
    </row>
    <row r="667" ht="15" customHeight="1">
      <c r="A667" t="inlineStr">
        <is>
          <t>A 14528-2025</t>
        </is>
      </c>
      <c r="B667" s="1" t="n">
        <v>45741</v>
      </c>
      <c r="C667" s="1" t="n">
        <v>46039</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14576-2023</t>
        </is>
      </c>
      <c r="B668" s="1" t="n">
        <v>45013</v>
      </c>
      <c r="C668" s="1" t="n">
        <v>46039</v>
      </c>
      <c r="D668" t="inlineStr">
        <is>
          <t>ÖSTERGÖTLANDS LÄN</t>
        </is>
      </c>
      <c r="E668" t="inlineStr">
        <is>
          <t>LINKÖPING</t>
        </is>
      </c>
      <c r="G668" t="n">
        <v>3.2</v>
      </c>
      <c r="H668" t="n">
        <v>0</v>
      </c>
      <c r="I668" t="n">
        <v>0</v>
      </c>
      <c r="J668" t="n">
        <v>0</v>
      </c>
      <c r="K668" t="n">
        <v>0</v>
      </c>
      <c r="L668" t="n">
        <v>0</v>
      </c>
      <c r="M668" t="n">
        <v>0</v>
      </c>
      <c r="N668" t="n">
        <v>0</v>
      </c>
      <c r="O668" t="n">
        <v>0</v>
      </c>
      <c r="P668" t="n">
        <v>0</v>
      </c>
      <c r="Q668" t="n">
        <v>0</v>
      </c>
      <c r="R668" s="2" t="inlineStr"/>
    </row>
    <row r="669" ht="15" customHeight="1">
      <c r="A669" t="inlineStr">
        <is>
          <t>A 61649-2023</t>
        </is>
      </c>
      <c r="B669" s="1" t="n">
        <v>45265</v>
      </c>
      <c r="C669" s="1" t="n">
        <v>46039</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60985-2023</t>
        </is>
      </c>
      <c r="B670" s="1" t="n">
        <v>45261.48429398148</v>
      </c>
      <c r="C670" s="1" t="n">
        <v>46039</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12089-2025</t>
        </is>
      </c>
      <c r="B671" s="1" t="n">
        <v>45729</v>
      </c>
      <c r="C671" s="1" t="n">
        <v>46039</v>
      </c>
      <c r="D671" t="inlineStr">
        <is>
          <t>ÖSTERGÖTLANDS LÄN</t>
        </is>
      </c>
      <c r="E671" t="inlineStr">
        <is>
          <t>LINKÖPING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421-2024</t>
        </is>
      </c>
      <c r="B672" s="1" t="n">
        <v>45296.51877314815</v>
      </c>
      <c r="C672" s="1" t="n">
        <v>46039</v>
      </c>
      <c r="D672" t="inlineStr">
        <is>
          <t>ÖSTERGÖTLANDS LÄN</t>
        </is>
      </c>
      <c r="E672" t="inlineStr">
        <is>
          <t>LINKÖPING</t>
        </is>
      </c>
      <c r="G672" t="n">
        <v>3.7</v>
      </c>
      <c r="H672" t="n">
        <v>0</v>
      </c>
      <c r="I672" t="n">
        <v>0</v>
      </c>
      <c r="J672" t="n">
        <v>0</v>
      </c>
      <c r="K672" t="n">
        <v>0</v>
      </c>
      <c r="L672" t="n">
        <v>0</v>
      </c>
      <c r="M672" t="n">
        <v>0</v>
      </c>
      <c r="N672" t="n">
        <v>0</v>
      </c>
      <c r="O672" t="n">
        <v>0</v>
      </c>
      <c r="P672" t="n">
        <v>0</v>
      </c>
      <c r="Q672" t="n">
        <v>0</v>
      </c>
      <c r="R672" s="2" t="inlineStr"/>
    </row>
    <row r="673" ht="15" customHeight="1">
      <c r="A673" t="inlineStr">
        <is>
          <t>A 51405-2023</t>
        </is>
      </c>
      <c r="B673" s="1" t="n">
        <v>45219</v>
      </c>
      <c r="C673" s="1" t="n">
        <v>46039</v>
      </c>
      <c r="D673" t="inlineStr">
        <is>
          <t>ÖSTERGÖTLANDS LÄN</t>
        </is>
      </c>
      <c r="E673" t="inlineStr">
        <is>
          <t>LINKÖPING</t>
        </is>
      </c>
      <c r="F673" t="inlineStr">
        <is>
          <t>Övriga Aktiebolag</t>
        </is>
      </c>
      <c r="G673" t="n">
        <v>3</v>
      </c>
      <c r="H673" t="n">
        <v>0</v>
      </c>
      <c r="I673" t="n">
        <v>0</v>
      </c>
      <c r="J673" t="n">
        <v>0</v>
      </c>
      <c r="K673" t="n">
        <v>0</v>
      </c>
      <c r="L673" t="n">
        <v>0</v>
      </c>
      <c r="M673" t="n">
        <v>0</v>
      </c>
      <c r="N673" t="n">
        <v>0</v>
      </c>
      <c r="O673" t="n">
        <v>0</v>
      </c>
      <c r="P673" t="n">
        <v>0</v>
      </c>
      <c r="Q673" t="n">
        <v>0</v>
      </c>
      <c r="R673" s="2" t="inlineStr"/>
    </row>
    <row r="674" ht="15" customHeight="1">
      <c r="A674" t="inlineStr">
        <is>
          <t>A 53639-2023</t>
        </is>
      </c>
      <c r="B674" s="1" t="n">
        <v>45230.59686342593</v>
      </c>
      <c r="C674" s="1" t="n">
        <v>46039</v>
      </c>
      <c r="D674" t="inlineStr">
        <is>
          <t>ÖSTERGÖTLANDS LÄN</t>
        </is>
      </c>
      <c r="E674" t="inlineStr">
        <is>
          <t>LINKÖPING</t>
        </is>
      </c>
      <c r="G674" t="n">
        <v>2.3</v>
      </c>
      <c r="H674" t="n">
        <v>0</v>
      </c>
      <c r="I674" t="n">
        <v>0</v>
      </c>
      <c r="J674" t="n">
        <v>0</v>
      </c>
      <c r="K674" t="n">
        <v>0</v>
      </c>
      <c r="L674" t="n">
        <v>0</v>
      </c>
      <c r="M674" t="n">
        <v>0</v>
      </c>
      <c r="N674" t="n">
        <v>0</v>
      </c>
      <c r="O674" t="n">
        <v>0</v>
      </c>
      <c r="P674" t="n">
        <v>0</v>
      </c>
      <c r="Q674" t="n">
        <v>0</v>
      </c>
      <c r="R674" s="2" t="inlineStr"/>
    </row>
    <row r="675" ht="15" customHeight="1">
      <c r="A675" t="inlineStr">
        <is>
          <t>A 24467-2023</t>
        </is>
      </c>
      <c r="B675" s="1" t="n">
        <v>45082</v>
      </c>
      <c r="C675" s="1" t="n">
        <v>46039</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62488-2023</t>
        </is>
      </c>
      <c r="B676" s="1" t="n">
        <v>45268.5847337963</v>
      </c>
      <c r="C676" s="1" t="n">
        <v>46039</v>
      </c>
      <c r="D676" t="inlineStr">
        <is>
          <t>ÖSTERGÖTLANDS LÄN</t>
        </is>
      </c>
      <c r="E676" t="inlineStr">
        <is>
          <t>LINKÖPING</t>
        </is>
      </c>
      <c r="G676" t="n">
        <v>4.1</v>
      </c>
      <c r="H676" t="n">
        <v>0</v>
      </c>
      <c r="I676" t="n">
        <v>0</v>
      </c>
      <c r="J676" t="n">
        <v>0</v>
      </c>
      <c r="K676" t="n">
        <v>0</v>
      </c>
      <c r="L676" t="n">
        <v>0</v>
      </c>
      <c r="M676" t="n">
        <v>0</v>
      </c>
      <c r="N676" t="n">
        <v>0</v>
      </c>
      <c r="O676" t="n">
        <v>0</v>
      </c>
      <c r="P676" t="n">
        <v>0</v>
      </c>
      <c r="Q676" t="n">
        <v>0</v>
      </c>
      <c r="R676" s="2" t="inlineStr"/>
    </row>
    <row r="677" ht="15" customHeight="1">
      <c r="A677" t="inlineStr">
        <is>
          <t>A 62495-2023</t>
        </is>
      </c>
      <c r="B677" s="1" t="n">
        <v>45268.59717592593</v>
      </c>
      <c r="C677" s="1" t="n">
        <v>46039</v>
      </c>
      <c r="D677" t="inlineStr">
        <is>
          <t>ÖSTERGÖTLANDS LÄN</t>
        </is>
      </c>
      <c r="E677" t="inlineStr">
        <is>
          <t>LINKÖPING</t>
        </is>
      </c>
      <c r="G677" t="n">
        <v>4.1</v>
      </c>
      <c r="H677" t="n">
        <v>0</v>
      </c>
      <c r="I677" t="n">
        <v>0</v>
      </c>
      <c r="J677" t="n">
        <v>0</v>
      </c>
      <c r="K677" t="n">
        <v>0</v>
      </c>
      <c r="L677" t="n">
        <v>0</v>
      </c>
      <c r="M677" t="n">
        <v>0</v>
      </c>
      <c r="N677" t="n">
        <v>0</v>
      </c>
      <c r="O677" t="n">
        <v>0</v>
      </c>
      <c r="P677" t="n">
        <v>0</v>
      </c>
      <c r="Q677" t="n">
        <v>0</v>
      </c>
      <c r="R677" s="2" t="inlineStr"/>
    </row>
    <row r="678" ht="15" customHeight="1">
      <c r="A678" t="inlineStr">
        <is>
          <t>A 10198-2023</t>
        </is>
      </c>
      <c r="B678" s="1" t="n">
        <v>44986.54665509259</v>
      </c>
      <c r="C678" s="1" t="n">
        <v>46039</v>
      </c>
      <c r="D678" t="inlineStr">
        <is>
          <t>ÖSTERGÖTLANDS LÄN</t>
        </is>
      </c>
      <c r="E678" t="inlineStr">
        <is>
          <t>LINKÖPING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22771-2024</t>
        </is>
      </c>
      <c r="B679" s="1" t="n">
        <v>45448.46574074074</v>
      </c>
      <c r="C679" s="1" t="n">
        <v>46039</v>
      </c>
      <c r="D679" t="inlineStr">
        <is>
          <t>ÖSTERGÖTLANDS LÄN</t>
        </is>
      </c>
      <c r="E679" t="inlineStr">
        <is>
          <t>LINKÖPING</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17128-2025</t>
        </is>
      </c>
      <c r="B680" s="1" t="n">
        <v>45755.72622685185</v>
      </c>
      <c r="C680" s="1" t="n">
        <v>46039</v>
      </c>
      <c r="D680" t="inlineStr">
        <is>
          <t>ÖSTERGÖTLANDS LÄN</t>
        </is>
      </c>
      <c r="E680" t="inlineStr">
        <is>
          <t>LINKÖPING</t>
        </is>
      </c>
      <c r="G680" t="n">
        <v>2.9</v>
      </c>
      <c r="H680" t="n">
        <v>0</v>
      </c>
      <c r="I680" t="n">
        <v>0</v>
      </c>
      <c r="J680" t="n">
        <v>0</v>
      </c>
      <c r="K680" t="n">
        <v>0</v>
      </c>
      <c r="L680" t="n">
        <v>0</v>
      </c>
      <c r="M680" t="n">
        <v>0</v>
      </c>
      <c r="N680" t="n">
        <v>0</v>
      </c>
      <c r="O680" t="n">
        <v>0</v>
      </c>
      <c r="P680" t="n">
        <v>0</v>
      </c>
      <c r="Q680" t="n">
        <v>0</v>
      </c>
      <c r="R680" s="2" t="inlineStr"/>
    </row>
    <row r="681" ht="15" customHeight="1">
      <c r="A681" t="inlineStr">
        <is>
          <t>A 62018-2024</t>
        </is>
      </c>
      <c r="B681" s="1" t="n">
        <v>45655.81387731482</v>
      </c>
      <c r="C681" s="1" t="n">
        <v>46039</v>
      </c>
      <c r="D681" t="inlineStr">
        <is>
          <t>ÖSTERGÖTLANDS LÄN</t>
        </is>
      </c>
      <c r="E681" t="inlineStr">
        <is>
          <t>LINKÖPING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62073-2023</t>
        </is>
      </c>
      <c r="B682" s="1" t="n">
        <v>45266.73844907407</v>
      </c>
      <c r="C682" s="1" t="n">
        <v>46039</v>
      </c>
      <c r="D682" t="inlineStr">
        <is>
          <t>ÖSTERGÖTLANDS LÄN</t>
        </is>
      </c>
      <c r="E682" t="inlineStr">
        <is>
          <t>LINKÖPING</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672-2024</t>
        </is>
      </c>
      <c r="B683" s="1" t="n">
        <v>45300</v>
      </c>
      <c r="C683" s="1" t="n">
        <v>46039</v>
      </c>
      <c r="D683" t="inlineStr">
        <is>
          <t>ÖSTERGÖTLANDS LÄN</t>
        </is>
      </c>
      <c r="E683" t="inlineStr">
        <is>
          <t>LINKÖPING</t>
        </is>
      </c>
      <c r="F683" t="inlineStr">
        <is>
          <t>Sveaskog</t>
        </is>
      </c>
      <c r="G683" t="n">
        <v>4.5</v>
      </c>
      <c r="H683" t="n">
        <v>0</v>
      </c>
      <c r="I683" t="n">
        <v>0</v>
      </c>
      <c r="J683" t="n">
        <v>0</v>
      </c>
      <c r="K683" t="n">
        <v>0</v>
      </c>
      <c r="L683" t="n">
        <v>0</v>
      </c>
      <c r="M683" t="n">
        <v>0</v>
      </c>
      <c r="N683" t="n">
        <v>0</v>
      </c>
      <c r="O683" t="n">
        <v>0</v>
      </c>
      <c r="P683" t="n">
        <v>0</v>
      </c>
      <c r="Q683" t="n">
        <v>0</v>
      </c>
      <c r="R683" s="2" t="inlineStr"/>
    </row>
    <row r="684" ht="15" customHeight="1">
      <c r="A684" t="inlineStr">
        <is>
          <t>A 42832-2023</t>
        </is>
      </c>
      <c r="B684" s="1" t="n">
        <v>45182.38091435185</v>
      </c>
      <c r="C684" s="1" t="n">
        <v>46039</v>
      </c>
      <c r="D684" t="inlineStr">
        <is>
          <t>ÖSTERGÖTLANDS LÄN</t>
        </is>
      </c>
      <c r="E684" t="inlineStr">
        <is>
          <t>LINKÖPING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5872-2025</t>
        </is>
      </c>
      <c r="B685" s="1" t="n">
        <v>45695.36659722222</v>
      </c>
      <c r="C685" s="1" t="n">
        <v>46039</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59674-2024</t>
        </is>
      </c>
      <c r="B686" s="1" t="n">
        <v>45639</v>
      </c>
      <c r="C686" s="1" t="n">
        <v>46039</v>
      </c>
      <c r="D686" t="inlineStr">
        <is>
          <t>ÖSTERGÖTLANDS LÄN</t>
        </is>
      </c>
      <c r="E686" t="inlineStr">
        <is>
          <t>LINKÖPING</t>
        </is>
      </c>
      <c r="G686" t="n">
        <v>6.3</v>
      </c>
      <c r="H686" t="n">
        <v>0</v>
      </c>
      <c r="I686" t="n">
        <v>0</v>
      </c>
      <c r="J686" t="n">
        <v>0</v>
      </c>
      <c r="K686" t="n">
        <v>0</v>
      </c>
      <c r="L686" t="n">
        <v>0</v>
      </c>
      <c r="M686" t="n">
        <v>0</v>
      </c>
      <c r="N686" t="n">
        <v>0</v>
      </c>
      <c r="O686" t="n">
        <v>0</v>
      </c>
      <c r="P686" t="n">
        <v>0</v>
      </c>
      <c r="Q686" t="n">
        <v>0</v>
      </c>
      <c r="R686" s="2" t="inlineStr"/>
    </row>
    <row r="687" ht="15" customHeight="1">
      <c r="A687" t="inlineStr">
        <is>
          <t>A 59576-2024</t>
        </is>
      </c>
      <c r="B687" s="1" t="n">
        <v>45638.66378472222</v>
      </c>
      <c r="C687" s="1" t="n">
        <v>46039</v>
      </c>
      <c r="D687" t="inlineStr">
        <is>
          <t>ÖSTERGÖTLANDS LÄN</t>
        </is>
      </c>
      <c r="E687" t="inlineStr">
        <is>
          <t>LINKÖPING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51583-2024</t>
        </is>
      </c>
      <c r="B688" s="1" t="n">
        <v>45604.6397337963</v>
      </c>
      <c r="C688" s="1" t="n">
        <v>46039</v>
      </c>
      <c r="D688" t="inlineStr">
        <is>
          <t>ÖSTERGÖTLANDS LÄN</t>
        </is>
      </c>
      <c r="E688" t="inlineStr">
        <is>
          <t>LINKÖPING</t>
        </is>
      </c>
      <c r="F688" t="inlineStr">
        <is>
          <t>Övriga Aktiebolag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62019-2024</t>
        </is>
      </c>
      <c r="B689" s="1" t="n">
        <v>45655.82</v>
      </c>
      <c r="C689" s="1" t="n">
        <v>46039</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38317-2024</t>
        </is>
      </c>
      <c r="B690" s="1" t="n">
        <v>45545.65766203704</v>
      </c>
      <c r="C690" s="1" t="n">
        <v>46039</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50182-2023</t>
        </is>
      </c>
      <c r="B691" s="1" t="n">
        <v>45208</v>
      </c>
      <c r="C691" s="1" t="n">
        <v>46039</v>
      </c>
      <c r="D691" t="inlineStr">
        <is>
          <t>ÖSTERGÖTLANDS LÄN</t>
        </is>
      </c>
      <c r="E691" t="inlineStr">
        <is>
          <t>LINKÖPING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1844-2025</t>
        </is>
      </c>
      <c r="B692" s="1" t="n">
        <v>45671.57730324074</v>
      </c>
      <c r="C692" s="1" t="n">
        <v>46039</v>
      </c>
      <c r="D692" t="inlineStr">
        <is>
          <t>ÖSTERGÖTLANDS LÄN</t>
        </is>
      </c>
      <c r="E692" t="inlineStr">
        <is>
          <t>LINKÖPING</t>
        </is>
      </c>
      <c r="G692" t="n">
        <v>2</v>
      </c>
      <c r="H692" t="n">
        <v>0</v>
      </c>
      <c r="I692" t="n">
        <v>0</v>
      </c>
      <c r="J692" t="n">
        <v>0</v>
      </c>
      <c r="K692" t="n">
        <v>0</v>
      </c>
      <c r="L692" t="n">
        <v>0</v>
      </c>
      <c r="M692" t="n">
        <v>0</v>
      </c>
      <c r="N692" t="n">
        <v>0</v>
      </c>
      <c r="O692" t="n">
        <v>0</v>
      </c>
      <c r="P692" t="n">
        <v>0</v>
      </c>
      <c r="Q692" t="n">
        <v>0</v>
      </c>
      <c r="R692" s="2" t="inlineStr"/>
    </row>
    <row r="693" ht="15" customHeight="1">
      <c r="A693" t="inlineStr">
        <is>
          <t>A 21155-2025</t>
        </is>
      </c>
      <c r="B693" s="1" t="n">
        <v>45779.37586805555</v>
      </c>
      <c r="C693" s="1" t="n">
        <v>46039</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21165-2025</t>
        </is>
      </c>
      <c r="B694" s="1" t="n">
        <v>45779.39417824074</v>
      </c>
      <c r="C694" s="1" t="n">
        <v>46039</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57752-2023</t>
        </is>
      </c>
      <c r="B695" s="1" t="n">
        <v>45246.78474537037</v>
      </c>
      <c r="C695" s="1" t="n">
        <v>46039</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9473-2024</t>
        </is>
      </c>
      <c r="B696" s="1" t="n">
        <v>45359.55474537037</v>
      </c>
      <c r="C696" s="1" t="n">
        <v>46039</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10797-2024</t>
        </is>
      </c>
      <c r="B697" s="1" t="n">
        <v>45369.6190162037</v>
      </c>
      <c r="C697" s="1" t="n">
        <v>46039</v>
      </c>
      <c r="D697" t="inlineStr">
        <is>
          <t>ÖSTERGÖTLANDS LÄN</t>
        </is>
      </c>
      <c r="E697" t="inlineStr">
        <is>
          <t>LINKÖPING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22264-2025</t>
        </is>
      </c>
      <c r="B698" s="1" t="n">
        <v>45785</v>
      </c>
      <c r="C698" s="1" t="n">
        <v>46039</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6859-2024</t>
        </is>
      </c>
      <c r="B699" s="1" t="n">
        <v>45342</v>
      </c>
      <c r="C699" s="1" t="n">
        <v>46039</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38580-2024</t>
        </is>
      </c>
      <c r="B700" s="1" t="n">
        <v>45546.64825231482</v>
      </c>
      <c r="C700" s="1" t="n">
        <v>46039</v>
      </c>
      <c r="D700" t="inlineStr">
        <is>
          <t>ÖSTERGÖTLANDS LÄN</t>
        </is>
      </c>
      <c r="E700" t="inlineStr">
        <is>
          <t>LINKÖPING</t>
        </is>
      </c>
      <c r="G700" t="n">
        <v>4.8</v>
      </c>
      <c r="H700" t="n">
        <v>0</v>
      </c>
      <c r="I700" t="n">
        <v>0</v>
      </c>
      <c r="J700" t="n">
        <v>0</v>
      </c>
      <c r="K700" t="n">
        <v>0</v>
      </c>
      <c r="L700" t="n">
        <v>0</v>
      </c>
      <c r="M700" t="n">
        <v>0</v>
      </c>
      <c r="N700" t="n">
        <v>0</v>
      </c>
      <c r="O700" t="n">
        <v>0</v>
      </c>
      <c r="P700" t="n">
        <v>0</v>
      </c>
      <c r="Q700" t="n">
        <v>0</v>
      </c>
      <c r="R700" s="2" t="inlineStr"/>
    </row>
    <row r="701" ht="15" customHeight="1">
      <c r="A701" t="inlineStr">
        <is>
          <t>A 572-2025</t>
        </is>
      </c>
      <c r="B701" s="1" t="n">
        <v>45664.56349537037</v>
      </c>
      <c r="C701" s="1" t="n">
        <v>46039</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22364-2025</t>
        </is>
      </c>
      <c r="B702" s="1" t="n">
        <v>45786.46930555555</v>
      </c>
      <c r="C702" s="1" t="n">
        <v>46039</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44287-2024</t>
        </is>
      </c>
      <c r="B703" s="1" t="n">
        <v>45573.50582175926</v>
      </c>
      <c r="C703" s="1" t="n">
        <v>46039</v>
      </c>
      <c r="D703" t="inlineStr">
        <is>
          <t>ÖSTERGÖTLANDS LÄN</t>
        </is>
      </c>
      <c r="E703" t="inlineStr">
        <is>
          <t>LINKÖPING</t>
        </is>
      </c>
      <c r="G703" t="n">
        <v>12.7</v>
      </c>
      <c r="H703" t="n">
        <v>0</v>
      </c>
      <c r="I703" t="n">
        <v>0</v>
      </c>
      <c r="J703" t="n">
        <v>0</v>
      </c>
      <c r="K703" t="n">
        <v>0</v>
      </c>
      <c r="L703" t="n">
        <v>0</v>
      </c>
      <c r="M703" t="n">
        <v>0</v>
      </c>
      <c r="N703" t="n">
        <v>0</v>
      </c>
      <c r="O703" t="n">
        <v>0</v>
      </c>
      <c r="P703" t="n">
        <v>0</v>
      </c>
      <c r="Q703" t="n">
        <v>0</v>
      </c>
      <c r="R703" s="2" t="inlineStr"/>
    </row>
    <row r="704" ht="15" customHeight="1">
      <c r="A704" t="inlineStr">
        <is>
          <t>A 29312-2024</t>
        </is>
      </c>
      <c r="B704" s="1" t="n">
        <v>45483</v>
      </c>
      <c r="C704" s="1" t="n">
        <v>46039</v>
      </c>
      <c r="D704" t="inlineStr">
        <is>
          <t>ÖSTERGÖTLANDS LÄN</t>
        </is>
      </c>
      <c r="E704" t="inlineStr">
        <is>
          <t>LINKÖPING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23120-2025</t>
        </is>
      </c>
      <c r="B705" s="1" t="n">
        <v>45791.37481481482</v>
      </c>
      <c r="C705" s="1" t="n">
        <v>46039</v>
      </c>
      <c r="D705" t="inlineStr">
        <is>
          <t>ÖSTERGÖTLANDS LÄN</t>
        </is>
      </c>
      <c r="E705" t="inlineStr">
        <is>
          <t>LINKÖPING</t>
        </is>
      </c>
      <c r="G705" t="n">
        <v>2.9</v>
      </c>
      <c r="H705" t="n">
        <v>0</v>
      </c>
      <c r="I705" t="n">
        <v>0</v>
      </c>
      <c r="J705" t="n">
        <v>0</v>
      </c>
      <c r="K705" t="n">
        <v>0</v>
      </c>
      <c r="L705" t="n">
        <v>0</v>
      </c>
      <c r="M705" t="n">
        <v>0</v>
      </c>
      <c r="N705" t="n">
        <v>0</v>
      </c>
      <c r="O705" t="n">
        <v>0</v>
      </c>
      <c r="P705" t="n">
        <v>0</v>
      </c>
      <c r="Q705" t="n">
        <v>0</v>
      </c>
      <c r="R705" s="2" t="inlineStr"/>
    </row>
    <row r="706" ht="15" customHeight="1">
      <c r="A706" t="inlineStr">
        <is>
          <t>A 48699-2024</t>
        </is>
      </c>
      <c r="B706" s="1" t="n">
        <v>45593.52091435185</v>
      </c>
      <c r="C706" s="1" t="n">
        <v>46039</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13911-2025</t>
        </is>
      </c>
      <c r="B707" s="1" t="n">
        <v>45737.64784722222</v>
      </c>
      <c r="C707" s="1" t="n">
        <v>46039</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23768-2025</t>
        </is>
      </c>
      <c r="B708" s="1" t="n">
        <v>45793.47493055555</v>
      </c>
      <c r="C708" s="1" t="n">
        <v>46039</v>
      </c>
      <c r="D708" t="inlineStr">
        <is>
          <t>ÖSTERGÖTLANDS LÄN</t>
        </is>
      </c>
      <c r="E708" t="inlineStr">
        <is>
          <t>LINKÖPING</t>
        </is>
      </c>
      <c r="G708" t="n">
        <v>3.4</v>
      </c>
      <c r="H708" t="n">
        <v>0</v>
      </c>
      <c r="I708" t="n">
        <v>0</v>
      </c>
      <c r="J708" t="n">
        <v>0</v>
      </c>
      <c r="K708" t="n">
        <v>0</v>
      </c>
      <c r="L708" t="n">
        <v>0</v>
      </c>
      <c r="M708" t="n">
        <v>0</v>
      </c>
      <c r="N708" t="n">
        <v>0</v>
      </c>
      <c r="O708" t="n">
        <v>0</v>
      </c>
      <c r="P708" t="n">
        <v>0</v>
      </c>
      <c r="Q708" t="n">
        <v>0</v>
      </c>
      <c r="R708" s="2" t="inlineStr"/>
    </row>
    <row r="709" ht="15" customHeight="1">
      <c r="A709" t="inlineStr">
        <is>
          <t>A 44280-2024</t>
        </is>
      </c>
      <c r="B709" s="1" t="n">
        <v>45573.49461805556</v>
      </c>
      <c r="C709" s="1" t="n">
        <v>46039</v>
      </c>
      <c r="D709" t="inlineStr">
        <is>
          <t>ÖSTERGÖTLANDS LÄN</t>
        </is>
      </c>
      <c r="E709" t="inlineStr">
        <is>
          <t>LINKÖPING</t>
        </is>
      </c>
      <c r="G709" t="n">
        <v>5.3</v>
      </c>
      <c r="H709" t="n">
        <v>0</v>
      </c>
      <c r="I709" t="n">
        <v>0</v>
      </c>
      <c r="J709" t="n">
        <v>0</v>
      </c>
      <c r="K709" t="n">
        <v>0</v>
      </c>
      <c r="L709" t="n">
        <v>0</v>
      </c>
      <c r="M709" t="n">
        <v>0</v>
      </c>
      <c r="N709" t="n">
        <v>0</v>
      </c>
      <c r="O709" t="n">
        <v>0</v>
      </c>
      <c r="P709" t="n">
        <v>0</v>
      </c>
      <c r="Q709" t="n">
        <v>0</v>
      </c>
      <c r="R709" s="2" t="inlineStr"/>
    </row>
    <row r="710" ht="15" customHeight="1">
      <c r="A710" t="inlineStr">
        <is>
          <t>A 25996-2025</t>
        </is>
      </c>
      <c r="B710" s="1" t="n">
        <v>45804.65851851852</v>
      </c>
      <c r="C710" s="1" t="n">
        <v>46039</v>
      </c>
      <c r="D710" t="inlineStr">
        <is>
          <t>ÖSTERGÖTLANDS LÄN</t>
        </is>
      </c>
      <c r="E710" t="inlineStr">
        <is>
          <t>LINKÖPING</t>
        </is>
      </c>
      <c r="G710" t="n">
        <v>3.2</v>
      </c>
      <c r="H710" t="n">
        <v>0</v>
      </c>
      <c r="I710" t="n">
        <v>0</v>
      </c>
      <c r="J710" t="n">
        <v>0</v>
      </c>
      <c r="K710" t="n">
        <v>0</v>
      </c>
      <c r="L710" t="n">
        <v>0</v>
      </c>
      <c r="M710" t="n">
        <v>0</v>
      </c>
      <c r="N710" t="n">
        <v>0</v>
      </c>
      <c r="O710" t="n">
        <v>0</v>
      </c>
      <c r="P710" t="n">
        <v>0</v>
      </c>
      <c r="Q710" t="n">
        <v>0</v>
      </c>
      <c r="R710" s="2" t="inlineStr"/>
    </row>
    <row r="711" ht="15" customHeight="1">
      <c r="A711" t="inlineStr">
        <is>
          <t>A 26002-2025</t>
        </is>
      </c>
      <c r="B711" s="1" t="n">
        <v>45804.66534722222</v>
      </c>
      <c r="C711" s="1" t="n">
        <v>46039</v>
      </c>
      <c r="D711" t="inlineStr">
        <is>
          <t>ÖSTERGÖTLANDS LÄN</t>
        </is>
      </c>
      <c r="E711" t="inlineStr">
        <is>
          <t>LINKÖPING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28200-2025</t>
        </is>
      </c>
      <c r="B712" s="1" t="n">
        <v>45818.4428125</v>
      </c>
      <c r="C712" s="1" t="n">
        <v>46039</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27950-2025</t>
        </is>
      </c>
      <c r="B713" s="1" t="n">
        <v>45817.52960648148</v>
      </c>
      <c r="C713" s="1" t="n">
        <v>46039</v>
      </c>
      <c r="D713" t="inlineStr">
        <is>
          <t>ÖSTERGÖTLANDS LÄN</t>
        </is>
      </c>
      <c r="E713" t="inlineStr">
        <is>
          <t>LINKÖPING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27797-2025</t>
        </is>
      </c>
      <c r="B714" s="1" t="n">
        <v>45816.80521990741</v>
      </c>
      <c r="C714" s="1" t="n">
        <v>46039</v>
      </c>
      <c r="D714" t="inlineStr">
        <is>
          <t>ÖSTERGÖTLANDS LÄN</t>
        </is>
      </c>
      <c r="E714" t="inlineStr">
        <is>
          <t>LINKÖPING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27798-2025</t>
        </is>
      </c>
      <c r="B715" s="1" t="n">
        <v>45816.81532407407</v>
      </c>
      <c r="C715" s="1" t="n">
        <v>46039</v>
      </c>
      <c r="D715" t="inlineStr">
        <is>
          <t>ÖSTERGÖTLANDS LÄN</t>
        </is>
      </c>
      <c r="E715" t="inlineStr">
        <is>
          <t>LINKÖPING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28209-2025</t>
        </is>
      </c>
      <c r="B716" s="1" t="n">
        <v>45818.45112268518</v>
      </c>
      <c r="C716" s="1" t="n">
        <v>46039</v>
      </c>
      <c r="D716" t="inlineStr">
        <is>
          <t>ÖSTERGÖTLANDS LÄN</t>
        </is>
      </c>
      <c r="E716" t="inlineStr">
        <is>
          <t>LINKÖPING</t>
        </is>
      </c>
      <c r="G716" t="n">
        <v>4.2</v>
      </c>
      <c r="H716" t="n">
        <v>0</v>
      </c>
      <c r="I716" t="n">
        <v>0</v>
      </c>
      <c r="J716" t="n">
        <v>0</v>
      </c>
      <c r="K716" t="n">
        <v>0</v>
      </c>
      <c r="L716" t="n">
        <v>0</v>
      </c>
      <c r="M716" t="n">
        <v>0</v>
      </c>
      <c r="N716" t="n">
        <v>0</v>
      </c>
      <c r="O716" t="n">
        <v>0</v>
      </c>
      <c r="P716" t="n">
        <v>0</v>
      </c>
      <c r="Q716" t="n">
        <v>0</v>
      </c>
      <c r="R716" s="2" t="inlineStr"/>
    </row>
    <row r="717" ht="15" customHeight="1">
      <c r="A717" t="inlineStr">
        <is>
          <t>A 28204-2025</t>
        </is>
      </c>
      <c r="B717" s="1" t="n">
        <v>45818.4477662037</v>
      </c>
      <c r="C717" s="1" t="n">
        <v>46039</v>
      </c>
      <c r="D717" t="inlineStr">
        <is>
          <t>ÖSTERGÖTLANDS LÄN</t>
        </is>
      </c>
      <c r="E717" t="inlineStr">
        <is>
          <t>LINKÖPING</t>
        </is>
      </c>
      <c r="G717" t="n">
        <v>2.9</v>
      </c>
      <c r="H717" t="n">
        <v>0</v>
      </c>
      <c r="I717" t="n">
        <v>0</v>
      </c>
      <c r="J717" t="n">
        <v>0</v>
      </c>
      <c r="K717" t="n">
        <v>0</v>
      </c>
      <c r="L717" t="n">
        <v>0</v>
      </c>
      <c r="M717" t="n">
        <v>0</v>
      </c>
      <c r="N717" t="n">
        <v>0</v>
      </c>
      <c r="O717" t="n">
        <v>0</v>
      </c>
      <c r="P717" t="n">
        <v>0</v>
      </c>
      <c r="Q717" t="n">
        <v>0</v>
      </c>
      <c r="R717" s="2" t="inlineStr"/>
    </row>
    <row r="718" ht="15" customHeight="1">
      <c r="A718" t="inlineStr">
        <is>
          <t>A 28398-2025</t>
        </is>
      </c>
      <c r="B718" s="1" t="n">
        <v>45819.34208333334</v>
      </c>
      <c r="C718" s="1" t="n">
        <v>46039</v>
      </c>
      <c r="D718" t="inlineStr">
        <is>
          <t>ÖSTERGÖTLANDS LÄN</t>
        </is>
      </c>
      <c r="E718" t="inlineStr">
        <is>
          <t>LINKÖPING</t>
        </is>
      </c>
      <c r="F718" t="inlineStr">
        <is>
          <t>Sveaskog</t>
        </is>
      </c>
      <c r="G718" t="n">
        <v>7.9</v>
      </c>
      <c r="H718" t="n">
        <v>0</v>
      </c>
      <c r="I718" t="n">
        <v>0</v>
      </c>
      <c r="J718" t="n">
        <v>0</v>
      </c>
      <c r="K718" t="n">
        <v>0</v>
      </c>
      <c r="L718" t="n">
        <v>0</v>
      </c>
      <c r="M718" t="n">
        <v>0</v>
      </c>
      <c r="N718" t="n">
        <v>0</v>
      </c>
      <c r="O718" t="n">
        <v>0</v>
      </c>
      <c r="P718" t="n">
        <v>0</v>
      </c>
      <c r="Q718" t="n">
        <v>0</v>
      </c>
      <c r="R718" s="2" t="inlineStr"/>
    </row>
    <row r="719" ht="15" customHeight="1">
      <c r="A719" t="inlineStr">
        <is>
          <t>A 28416-2025</t>
        </is>
      </c>
      <c r="B719" s="1" t="n">
        <v>45819.35346064815</v>
      </c>
      <c r="C719" s="1" t="n">
        <v>46039</v>
      </c>
      <c r="D719" t="inlineStr">
        <is>
          <t>ÖSTERGÖTLANDS LÄN</t>
        </is>
      </c>
      <c r="E719" t="inlineStr">
        <is>
          <t>LINKÖPING</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29027-2025</t>
        </is>
      </c>
      <c r="B720" s="1" t="n">
        <v>45821.4375462963</v>
      </c>
      <c r="C720" s="1" t="n">
        <v>46039</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29393-2025</t>
        </is>
      </c>
      <c r="B721" s="1" t="n">
        <v>45824.6057175926</v>
      </c>
      <c r="C721" s="1" t="n">
        <v>46039</v>
      </c>
      <c r="D721" t="inlineStr">
        <is>
          <t>ÖSTERGÖTLANDS LÄN</t>
        </is>
      </c>
      <c r="E721" t="inlineStr">
        <is>
          <t>LINKÖPING</t>
        </is>
      </c>
      <c r="F721" t="inlineStr">
        <is>
          <t>Sveaskog</t>
        </is>
      </c>
      <c r="G721" t="n">
        <v>24.6</v>
      </c>
      <c r="H721" t="n">
        <v>0</v>
      </c>
      <c r="I721" t="n">
        <v>0</v>
      </c>
      <c r="J721" t="n">
        <v>0</v>
      </c>
      <c r="K721" t="n">
        <v>0</v>
      </c>
      <c r="L721" t="n">
        <v>0</v>
      </c>
      <c r="M721" t="n">
        <v>0</v>
      </c>
      <c r="N721" t="n">
        <v>0</v>
      </c>
      <c r="O721" t="n">
        <v>0</v>
      </c>
      <c r="P721" t="n">
        <v>0</v>
      </c>
      <c r="Q721" t="n">
        <v>0</v>
      </c>
      <c r="R721" s="2" t="inlineStr"/>
    </row>
    <row r="722" ht="15" customHeight="1">
      <c r="A722" t="inlineStr">
        <is>
          <t>A 29411-2025</t>
        </is>
      </c>
      <c r="B722" s="1" t="n">
        <v>45824.6219212963</v>
      </c>
      <c r="C722" s="1" t="n">
        <v>46039</v>
      </c>
      <c r="D722" t="inlineStr">
        <is>
          <t>ÖSTERGÖTLANDS LÄN</t>
        </is>
      </c>
      <c r="E722" t="inlineStr">
        <is>
          <t>LINKÖPING</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29599-2025</t>
        </is>
      </c>
      <c r="B723" s="1" t="n">
        <v>45825.41101851852</v>
      </c>
      <c r="C723" s="1" t="n">
        <v>46039</v>
      </c>
      <c r="D723" t="inlineStr">
        <is>
          <t>ÖSTERGÖTLANDS LÄN</t>
        </is>
      </c>
      <c r="E723" t="inlineStr">
        <is>
          <t>LINKÖPING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30355-2025</t>
        </is>
      </c>
      <c r="B724" s="1" t="n">
        <v>45827</v>
      </c>
      <c r="C724" s="1" t="n">
        <v>46039</v>
      </c>
      <c r="D724" t="inlineStr">
        <is>
          <t>ÖSTERGÖTLANDS LÄN</t>
        </is>
      </c>
      <c r="E724" t="inlineStr">
        <is>
          <t>LINKÖPING</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30353-2025</t>
        </is>
      </c>
      <c r="B725" s="1" t="n">
        <v>45827</v>
      </c>
      <c r="C725" s="1" t="n">
        <v>46039</v>
      </c>
      <c r="D725" t="inlineStr">
        <is>
          <t>ÖSTERGÖTLANDS LÄN</t>
        </is>
      </c>
      <c r="E725" t="inlineStr">
        <is>
          <t>LINKÖPING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31581-2025</t>
        </is>
      </c>
      <c r="B726" s="1" t="n">
        <v>45833.6840162037</v>
      </c>
      <c r="C726" s="1" t="n">
        <v>46039</v>
      </c>
      <c r="D726" t="inlineStr">
        <is>
          <t>ÖSTERGÖTLANDS LÄN</t>
        </is>
      </c>
      <c r="E726" t="inlineStr">
        <is>
          <t>LINKÖPING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31585-2025</t>
        </is>
      </c>
      <c r="B727" s="1" t="n">
        <v>45833.68815972222</v>
      </c>
      <c r="C727" s="1" t="n">
        <v>46039</v>
      </c>
      <c r="D727" t="inlineStr">
        <is>
          <t>ÖSTERGÖTLANDS LÄN</t>
        </is>
      </c>
      <c r="E727" t="inlineStr">
        <is>
          <t>LINKÖPING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32723-2025</t>
        </is>
      </c>
      <c r="B728" s="1" t="n">
        <v>45838</v>
      </c>
      <c r="C728" s="1" t="n">
        <v>46039</v>
      </c>
      <c r="D728" t="inlineStr">
        <is>
          <t>ÖSTERGÖTLANDS LÄN</t>
        </is>
      </c>
      <c r="E728" t="inlineStr">
        <is>
          <t>LINKÖPING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33947-2025</t>
        </is>
      </c>
      <c r="B729" s="1" t="n">
        <v>45842.65444444444</v>
      </c>
      <c r="C729" s="1" t="n">
        <v>46039</v>
      </c>
      <c r="D729" t="inlineStr">
        <is>
          <t>ÖSTERGÖTLANDS LÄN</t>
        </is>
      </c>
      <c r="E729" t="inlineStr">
        <is>
          <t>LINKÖPING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62012-2024</t>
        </is>
      </c>
      <c r="B730" s="1" t="n">
        <v>45655.79679398148</v>
      </c>
      <c r="C730" s="1" t="n">
        <v>46039</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53529-2024</t>
        </is>
      </c>
      <c r="B731" s="1" t="n">
        <v>45614</v>
      </c>
      <c r="C731" s="1" t="n">
        <v>46039</v>
      </c>
      <c r="D731" t="inlineStr">
        <is>
          <t>ÖSTERGÖTLANDS LÄN</t>
        </is>
      </c>
      <c r="E731" t="inlineStr">
        <is>
          <t>LINKÖPING</t>
        </is>
      </c>
      <c r="G731" t="n">
        <v>6.7</v>
      </c>
      <c r="H731" t="n">
        <v>0</v>
      </c>
      <c r="I731" t="n">
        <v>0</v>
      </c>
      <c r="J731" t="n">
        <v>0</v>
      </c>
      <c r="K731" t="n">
        <v>0</v>
      </c>
      <c r="L731" t="n">
        <v>0</v>
      </c>
      <c r="M731" t="n">
        <v>0</v>
      </c>
      <c r="N731" t="n">
        <v>0</v>
      </c>
      <c r="O731" t="n">
        <v>0</v>
      </c>
      <c r="P731" t="n">
        <v>0</v>
      </c>
      <c r="Q731" t="n">
        <v>0</v>
      </c>
      <c r="R731" s="2" t="inlineStr"/>
    </row>
    <row r="732" ht="15" customHeight="1">
      <c r="A732" t="inlineStr">
        <is>
          <t>A 20469-2025</t>
        </is>
      </c>
      <c r="B732" s="1" t="n">
        <v>45775</v>
      </c>
      <c r="C732" s="1" t="n">
        <v>46039</v>
      </c>
      <c r="D732" t="inlineStr">
        <is>
          <t>ÖSTERGÖTLANDS LÄN</t>
        </is>
      </c>
      <c r="E732" t="inlineStr">
        <is>
          <t>LINKÖPING</t>
        </is>
      </c>
      <c r="F732" t="inlineStr">
        <is>
          <t>Kyrkan</t>
        </is>
      </c>
      <c r="G732" t="n">
        <v>6.1</v>
      </c>
      <c r="H732" t="n">
        <v>0</v>
      </c>
      <c r="I732" t="n">
        <v>0</v>
      </c>
      <c r="J732" t="n">
        <v>0</v>
      </c>
      <c r="K732" t="n">
        <v>0</v>
      </c>
      <c r="L732" t="n">
        <v>0</v>
      </c>
      <c r="M732" t="n">
        <v>0</v>
      </c>
      <c r="N732" t="n">
        <v>0</v>
      </c>
      <c r="O732" t="n">
        <v>0</v>
      </c>
      <c r="P732" t="n">
        <v>0</v>
      </c>
      <c r="Q732" t="n">
        <v>0</v>
      </c>
      <c r="R732" s="2" t="inlineStr"/>
    </row>
    <row r="733" ht="15" customHeight="1">
      <c r="A733" t="inlineStr">
        <is>
          <t>A 33800-2023</t>
        </is>
      </c>
      <c r="B733" s="1" t="n">
        <v>45121</v>
      </c>
      <c r="C733" s="1" t="n">
        <v>46039</v>
      </c>
      <c r="D733" t="inlineStr">
        <is>
          <t>ÖSTERGÖTLANDS LÄN</t>
        </is>
      </c>
      <c r="E733" t="inlineStr">
        <is>
          <t>LINKÖPING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47991-2023</t>
        </is>
      </c>
      <c r="B734" s="1" t="n">
        <v>45204.62655092592</v>
      </c>
      <c r="C734" s="1" t="n">
        <v>46039</v>
      </c>
      <c r="D734" t="inlineStr">
        <is>
          <t>ÖSTERGÖTLANDS LÄN</t>
        </is>
      </c>
      <c r="E734" t="inlineStr">
        <is>
          <t>LINKÖPING</t>
        </is>
      </c>
      <c r="F734" t="inlineStr">
        <is>
          <t>Allmännings- och besparingsskogar</t>
        </is>
      </c>
      <c r="G734" t="n">
        <v>7.3</v>
      </c>
      <c r="H734" t="n">
        <v>0</v>
      </c>
      <c r="I734" t="n">
        <v>0</v>
      </c>
      <c r="J734" t="n">
        <v>0</v>
      </c>
      <c r="K734" t="n">
        <v>0</v>
      </c>
      <c r="L734" t="n">
        <v>0</v>
      </c>
      <c r="M734" t="n">
        <v>0</v>
      </c>
      <c r="N734" t="n">
        <v>0</v>
      </c>
      <c r="O734" t="n">
        <v>0</v>
      </c>
      <c r="P734" t="n">
        <v>0</v>
      </c>
      <c r="Q734" t="n">
        <v>0</v>
      </c>
      <c r="R734" s="2" t="inlineStr"/>
    </row>
    <row r="735" ht="15" customHeight="1">
      <c r="A735" t="inlineStr">
        <is>
          <t>A 35178-2025</t>
        </is>
      </c>
      <c r="B735" s="1" t="n">
        <v>45852.91939814815</v>
      </c>
      <c r="C735" s="1" t="n">
        <v>46039</v>
      </c>
      <c r="D735" t="inlineStr">
        <is>
          <t>ÖSTERGÖTLANDS LÄN</t>
        </is>
      </c>
      <c r="E735" t="inlineStr">
        <is>
          <t>LINKÖPING</t>
        </is>
      </c>
      <c r="G735" t="n">
        <v>0.8</v>
      </c>
      <c r="H735" t="n">
        <v>0</v>
      </c>
      <c r="I735" t="n">
        <v>0</v>
      </c>
      <c r="J735" t="n">
        <v>0</v>
      </c>
      <c r="K735" t="n">
        <v>0</v>
      </c>
      <c r="L735" t="n">
        <v>0</v>
      </c>
      <c r="M735" t="n">
        <v>0</v>
      </c>
      <c r="N735" t="n">
        <v>0</v>
      </c>
      <c r="O735" t="n">
        <v>0</v>
      </c>
      <c r="P735" t="n">
        <v>0</v>
      </c>
      <c r="Q735" t="n">
        <v>0</v>
      </c>
      <c r="R735" s="2" t="inlineStr"/>
    </row>
    <row r="736" ht="15" customHeight="1">
      <c r="A736" t="inlineStr">
        <is>
          <t>A 35174-2025</t>
        </is>
      </c>
      <c r="B736" s="1" t="n">
        <v>45852.90648148148</v>
      </c>
      <c r="C736" s="1" t="n">
        <v>46039</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26007-2025</t>
        </is>
      </c>
      <c r="B737" s="1" t="n">
        <v>45804.67081018518</v>
      </c>
      <c r="C737" s="1" t="n">
        <v>46039</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35179-2025</t>
        </is>
      </c>
      <c r="B738" s="1" t="n">
        <v>45852.93737268518</v>
      </c>
      <c r="C738" s="1" t="n">
        <v>46039</v>
      </c>
      <c r="D738" t="inlineStr">
        <is>
          <t>ÖSTERGÖTLANDS LÄN</t>
        </is>
      </c>
      <c r="E738" t="inlineStr">
        <is>
          <t>LINKÖPING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35180-2025</t>
        </is>
      </c>
      <c r="B739" s="1" t="n">
        <v>45852.9413425926</v>
      </c>
      <c r="C739" s="1" t="n">
        <v>46039</v>
      </c>
      <c r="D739" t="inlineStr">
        <is>
          <t>ÖSTERGÖTLANDS LÄN</t>
        </is>
      </c>
      <c r="E739" t="inlineStr">
        <is>
          <t>LINKÖPING</t>
        </is>
      </c>
      <c r="G739" t="n">
        <v>1.9</v>
      </c>
      <c r="H739" t="n">
        <v>0</v>
      </c>
      <c r="I739" t="n">
        <v>0</v>
      </c>
      <c r="J739" t="n">
        <v>0</v>
      </c>
      <c r="K739" t="n">
        <v>0</v>
      </c>
      <c r="L739" t="n">
        <v>0</v>
      </c>
      <c r="M739" t="n">
        <v>0</v>
      </c>
      <c r="N739" t="n">
        <v>0</v>
      </c>
      <c r="O739" t="n">
        <v>0</v>
      </c>
      <c r="P739" t="n">
        <v>0</v>
      </c>
      <c r="Q739" t="n">
        <v>0</v>
      </c>
      <c r="R739" s="2" t="inlineStr"/>
    </row>
    <row r="740" ht="15" customHeight="1">
      <c r="A740" t="inlineStr">
        <is>
          <t>A 35747-2025</t>
        </is>
      </c>
      <c r="B740" s="1" t="n">
        <v>45860.56385416666</v>
      </c>
      <c r="C740" s="1" t="n">
        <v>46039</v>
      </c>
      <c r="D740" t="inlineStr">
        <is>
          <t>ÖSTERGÖTLANDS LÄN</t>
        </is>
      </c>
      <c r="E740" t="inlineStr">
        <is>
          <t>LINKÖPING</t>
        </is>
      </c>
      <c r="G740" t="n">
        <v>2.4</v>
      </c>
      <c r="H740" t="n">
        <v>0</v>
      </c>
      <c r="I740" t="n">
        <v>0</v>
      </c>
      <c r="J740" t="n">
        <v>0</v>
      </c>
      <c r="K740" t="n">
        <v>0</v>
      </c>
      <c r="L740" t="n">
        <v>0</v>
      </c>
      <c r="M740" t="n">
        <v>0</v>
      </c>
      <c r="N740" t="n">
        <v>0</v>
      </c>
      <c r="O740" t="n">
        <v>0</v>
      </c>
      <c r="P740" t="n">
        <v>0</v>
      </c>
      <c r="Q740" t="n">
        <v>0</v>
      </c>
      <c r="R740" s="2" t="inlineStr"/>
    </row>
    <row r="741" ht="15" customHeight="1">
      <c r="A741" t="inlineStr">
        <is>
          <t>A 35745-2025</t>
        </is>
      </c>
      <c r="B741" s="1" t="n">
        <v>45860.54739583333</v>
      </c>
      <c r="C741" s="1" t="n">
        <v>46039</v>
      </c>
      <c r="D741" t="inlineStr">
        <is>
          <t>ÖSTERGÖTLANDS LÄN</t>
        </is>
      </c>
      <c r="E741" t="inlineStr">
        <is>
          <t>LINKÖPING</t>
        </is>
      </c>
      <c r="G741" t="n">
        <v>4.4</v>
      </c>
      <c r="H741" t="n">
        <v>0</v>
      </c>
      <c r="I741" t="n">
        <v>0</v>
      </c>
      <c r="J741" t="n">
        <v>0</v>
      </c>
      <c r="K741" t="n">
        <v>0</v>
      </c>
      <c r="L741" t="n">
        <v>0</v>
      </c>
      <c r="M741" t="n">
        <v>0</v>
      </c>
      <c r="N741" t="n">
        <v>0</v>
      </c>
      <c r="O741" t="n">
        <v>0</v>
      </c>
      <c r="P741" t="n">
        <v>0</v>
      </c>
      <c r="Q741" t="n">
        <v>0</v>
      </c>
      <c r="R741" s="2" t="inlineStr"/>
    </row>
    <row r="742" ht="15" customHeight="1">
      <c r="A742" t="inlineStr">
        <is>
          <t>A 35757-2025</t>
        </is>
      </c>
      <c r="B742" s="1" t="n">
        <v>45860.59876157407</v>
      </c>
      <c r="C742" s="1" t="n">
        <v>46039</v>
      </c>
      <c r="D742" t="inlineStr">
        <is>
          <t>ÖSTERGÖTLANDS LÄN</t>
        </is>
      </c>
      <c r="E742" t="inlineStr">
        <is>
          <t>LINKÖPING</t>
        </is>
      </c>
      <c r="G742" t="n">
        <v>5.7</v>
      </c>
      <c r="H742" t="n">
        <v>0</v>
      </c>
      <c r="I742" t="n">
        <v>0</v>
      </c>
      <c r="J742" t="n">
        <v>0</v>
      </c>
      <c r="K742" t="n">
        <v>0</v>
      </c>
      <c r="L742" t="n">
        <v>0</v>
      </c>
      <c r="M742" t="n">
        <v>0</v>
      </c>
      <c r="N742" t="n">
        <v>0</v>
      </c>
      <c r="O742" t="n">
        <v>0</v>
      </c>
      <c r="P742" t="n">
        <v>0</v>
      </c>
      <c r="Q742" t="n">
        <v>0</v>
      </c>
      <c r="R742" s="2" t="inlineStr"/>
    </row>
    <row r="743">
      <c r="A743" t="inlineStr">
        <is>
          <t>A 35759-2025</t>
        </is>
      </c>
      <c r="B743" s="1" t="n">
        <v>45860</v>
      </c>
      <c r="C743" s="1" t="n">
        <v>46039</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2026-01-17T10:56:20Z</dcterms:created>
  <dcterms:modified xmlns:dcterms="http://purl.org/dc/terms/" xmlns:xsi="http://www.w3.org/2001/XMLSchema-instance" xsi:type="dcterms:W3CDTF">2026-01-17T10:56:21Z</dcterms:modified>
</cp:coreProperties>
</file>