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45992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45992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45992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45992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45992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45992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45992</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45992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45992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45992</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45992</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45992</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45992</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45992</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17275-2025</t>
        </is>
      </c>
      <c r="B17" s="1" t="n">
        <v>45756.55734953703</v>
      </c>
      <c r="C17" s="1" t="n">
        <v>45992</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45992</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45992</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45992</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45992</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45992</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45992</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45992</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27795-2025</t>
        </is>
      </c>
      <c r="B25" s="1" t="n">
        <v>45816.7908912037</v>
      </c>
      <c r="C25" s="1" t="n">
        <v>45992</v>
      </c>
      <c r="D25" t="inlineStr">
        <is>
          <t>ÖSTERGÖTLANDS LÄN</t>
        </is>
      </c>
      <c r="E25" t="inlineStr">
        <is>
          <t>LINKÖPING</t>
        </is>
      </c>
      <c r="G25" t="n">
        <v>5</v>
      </c>
      <c r="H25" t="n">
        <v>0</v>
      </c>
      <c r="I25" t="n">
        <v>0</v>
      </c>
      <c r="J25" t="n">
        <v>2</v>
      </c>
      <c r="K25" t="n">
        <v>0</v>
      </c>
      <c r="L25" t="n">
        <v>0</v>
      </c>
      <c r="M25" t="n">
        <v>0</v>
      </c>
      <c r="N25" t="n">
        <v>0</v>
      </c>
      <c r="O25" t="n">
        <v>2</v>
      </c>
      <c r="P25" t="n">
        <v>0</v>
      </c>
      <c r="Q25" t="n">
        <v>2</v>
      </c>
      <c r="R25" s="2" t="inlineStr">
        <is>
          <t>Svinrot
Ängsskära</t>
        </is>
      </c>
      <c r="S25">
        <f>HYPERLINK("https://klasma.github.io/Logging_0580/artfynd/A 27795-2025 artfynd.xlsx", "A 27795-2025")</f>
        <v/>
      </c>
      <c r="T25">
        <f>HYPERLINK("https://klasma.github.io/Logging_0580/kartor/A 27795-2025 karta.png", "A 27795-2025")</f>
        <v/>
      </c>
      <c r="V25">
        <f>HYPERLINK("https://klasma.github.io/Logging_0580/klagomål/A 27795-2025 FSC-klagomål.docx", "A 27795-2025")</f>
        <v/>
      </c>
      <c r="W25">
        <f>HYPERLINK("https://klasma.github.io/Logging_0580/klagomålsmail/A 27795-2025 FSC-klagomål mail.docx", "A 27795-2025")</f>
        <v/>
      </c>
      <c r="X25">
        <f>HYPERLINK("https://klasma.github.io/Logging_0580/tillsyn/A 27795-2025 tillsynsbegäran.docx", "A 27795-2025")</f>
        <v/>
      </c>
      <c r="Y25">
        <f>HYPERLINK("https://klasma.github.io/Logging_0580/tillsynsmail/A 27795-2025 tillsynsbegäran mail.docx", "A 27795-2025")</f>
        <v/>
      </c>
    </row>
    <row r="26" ht="15" customHeight="1">
      <c r="A26" t="inlineStr">
        <is>
          <t>A 14879-2024</t>
        </is>
      </c>
      <c r="B26" s="1" t="n">
        <v>45398</v>
      </c>
      <c r="C26" s="1" t="n">
        <v>45992</v>
      </c>
      <c r="D26" t="inlineStr">
        <is>
          <t>ÖSTERGÖTLANDS LÄN</t>
        </is>
      </c>
      <c r="E26" t="inlineStr">
        <is>
          <t>LINKÖPING</t>
        </is>
      </c>
      <c r="F26" t="inlineStr">
        <is>
          <t>Övriga Aktiebolag</t>
        </is>
      </c>
      <c r="G26" t="n">
        <v>1.7</v>
      </c>
      <c r="H26" t="n">
        <v>1</v>
      </c>
      <c r="I26" t="n">
        <v>1</v>
      </c>
      <c r="J26" t="n">
        <v>0</v>
      </c>
      <c r="K26" t="n">
        <v>0</v>
      </c>
      <c r="L26" t="n">
        <v>0</v>
      </c>
      <c r="M26" t="n">
        <v>0</v>
      </c>
      <c r="N26" t="n">
        <v>0</v>
      </c>
      <c r="O26" t="n">
        <v>0</v>
      </c>
      <c r="P26" t="n">
        <v>0</v>
      </c>
      <c r="Q26" t="n">
        <v>2</v>
      </c>
      <c r="R26" s="2" t="inlineStr">
        <is>
          <t>Svart trolldruva
Grönvit nattviol</t>
        </is>
      </c>
      <c r="S26">
        <f>HYPERLINK("https://klasma.github.io/Logging_0580/artfynd/A 14879-2024 artfynd.xlsx", "A 14879-2024")</f>
        <v/>
      </c>
      <c r="T26">
        <f>HYPERLINK("https://klasma.github.io/Logging_0580/kartor/A 14879-2024 karta.png", "A 14879-2024")</f>
        <v/>
      </c>
      <c r="V26">
        <f>HYPERLINK("https://klasma.github.io/Logging_0580/klagomål/A 14879-2024 FSC-klagomål.docx", "A 14879-2024")</f>
        <v/>
      </c>
      <c r="W26">
        <f>HYPERLINK("https://klasma.github.io/Logging_0580/klagomålsmail/A 14879-2024 FSC-klagomål mail.docx", "A 14879-2024")</f>
        <v/>
      </c>
      <c r="X26">
        <f>HYPERLINK("https://klasma.github.io/Logging_0580/tillsyn/A 14879-2024 tillsynsbegäran.docx", "A 14879-2024")</f>
        <v/>
      </c>
      <c r="Y26">
        <f>HYPERLINK("https://klasma.github.io/Logging_0580/tillsynsmail/A 14879-2024 tillsynsbegäran mail.docx", "A 14879-2024")</f>
        <v/>
      </c>
    </row>
    <row r="27" ht="15" customHeight="1">
      <c r="A27" t="inlineStr">
        <is>
          <t>A 8818-2025</t>
        </is>
      </c>
      <c r="B27" s="1" t="n">
        <v>45712</v>
      </c>
      <c r="C27" s="1" t="n">
        <v>45992</v>
      </c>
      <c r="D27" t="inlineStr">
        <is>
          <t>ÖSTERGÖTLANDS LÄN</t>
        </is>
      </c>
      <c r="E27" t="inlineStr">
        <is>
          <t>LINKÖPING</t>
        </is>
      </c>
      <c r="F27" t="inlineStr">
        <is>
          <t>Kommuner</t>
        </is>
      </c>
      <c r="G27" t="n">
        <v>0.6</v>
      </c>
      <c r="H27" t="n">
        <v>0</v>
      </c>
      <c r="I27" t="n">
        <v>0</v>
      </c>
      <c r="J27" t="n">
        <v>1</v>
      </c>
      <c r="K27" t="n">
        <v>1</v>
      </c>
      <c r="L27" t="n">
        <v>0</v>
      </c>
      <c r="M27" t="n">
        <v>0</v>
      </c>
      <c r="N27" t="n">
        <v>0</v>
      </c>
      <c r="O27" t="n">
        <v>2</v>
      </c>
      <c r="P27" t="n">
        <v>1</v>
      </c>
      <c r="Q27" t="n">
        <v>2</v>
      </c>
      <c r="R27" s="2" t="inlineStr">
        <is>
          <t>Luddvicker
Klubbsprötad bastardsvärmare</t>
        </is>
      </c>
      <c r="S27">
        <f>HYPERLINK("https://klasma.github.io/Logging_0580/artfynd/A 8818-2025 artfynd.xlsx", "A 8818-2025")</f>
        <v/>
      </c>
      <c r="T27">
        <f>HYPERLINK("https://klasma.github.io/Logging_0580/kartor/A 8818-2025 karta.png", "A 8818-2025")</f>
        <v/>
      </c>
      <c r="V27">
        <f>HYPERLINK("https://klasma.github.io/Logging_0580/klagomål/A 8818-2025 FSC-klagomål.docx", "A 8818-2025")</f>
        <v/>
      </c>
      <c r="W27">
        <f>HYPERLINK("https://klasma.github.io/Logging_0580/klagomålsmail/A 8818-2025 FSC-klagomål mail.docx", "A 8818-2025")</f>
        <v/>
      </c>
      <c r="X27">
        <f>HYPERLINK("https://klasma.github.io/Logging_0580/tillsyn/A 8818-2025 tillsynsbegäran.docx", "A 8818-2025")</f>
        <v/>
      </c>
      <c r="Y27">
        <f>HYPERLINK("https://klasma.github.io/Logging_0580/tillsynsmail/A 8818-2025 tillsynsbegäran mail.docx", "A 8818-2025")</f>
        <v/>
      </c>
    </row>
    <row r="28" ht="15" customHeight="1">
      <c r="A28" t="inlineStr">
        <is>
          <t>A 25985-2025</t>
        </is>
      </c>
      <c r="B28" s="1" t="n">
        <v>45804.64479166667</v>
      </c>
      <c r="C28" s="1" t="n">
        <v>45992</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58068-2021</t>
        </is>
      </c>
      <c r="B29" s="1" t="n">
        <v>44487</v>
      </c>
      <c r="C29" s="1" t="n">
        <v>45992</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58068-2021</t>
        </is>
      </c>
      <c r="B30" s="1" t="n">
        <v>44487</v>
      </c>
      <c r="C30" s="1" t="n">
        <v>45992</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22040-2023</t>
        </is>
      </c>
      <c r="B31" s="1" t="n">
        <v>45068</v>
      </c>
      <c r="C31" s="1" t="n">
        <v>45992</v>
      </c>
      <c r="D31" t="inlineStr">
        <is>
          <t>ÖSTERGÖTLANDS LÄN</t>
        </is>
      </c>
      <c r="E31" t="inlineStr">
        <is>
          <t>LINKÖPING</t>
        </is>
      </c>
      <c r="F31" t="inlineStr">
        <is>
          <t>Kommuner</t>
        </is>
      </c>
      <c r="G31" t="n">
        <v>1</v>
      </c>
      <c r="H31" t="n">
        <v>1</v>
      </c>
      <c r="I31" t="n">
        <v>1</v>
      </c>
      <c r="J31" t="n">
        <v>0</v>
      </c>
      <c r="K31" t="n">
        <v>1</v>
      </c>
      <c r="L31" t="n">
        <v>0</v>
      </c>
      <c r="M31" t="n">
        <v>0</v>
      </c>
      <c r="N31" t="n">
        <v>0</v>
      </c>
      <c r="O31" t="n">
        <v>1</v>
      </c>
      <c r="P31" t="n">
        <v>1</v>
      </c>
      <c r="Q31" t="n">
        <v>2</v>
      </c>
      <c r="R31" s="2" t="inlineStr">
        <is>
          <t>Bombmurkla
Skarp dropptaggsvamp</t>
        </is>
      </c>
      <c r="S31">
        <f>HYPERLINK("https://klasma.github.io/Logging_0580/artfynd/A 22040-2023 artfynd.xlsx", "A 22040-2023")</f>
        <v/>
      </c>
      <c r="T31">
        <f>HYPERLINK("https://klasma.github.io/Logging_0580/kartor/A 22040-2023 karta.png", "A 22040-2023")</f>
        <v/>
      </c>
      <c r="V31">
        <f>HYPERLINK("https://klasma.github.io/Logging_0580/klagomål/A 22040-2023 FSC-klagomål.docx", "A 22040-2023")</f>
        <v/>
      </c>
      <c r="W31">
        <f>HYPERLINK("https://klasma.github.io/Logging_0580/klagomålsmail/A 22040-2023 FSC-klagomål mail.docx", "A 22040-2023")</f>
        <v/>
      </c>
      <c r="X31">
        <f>HYPERLINK("https://klasma.github.io/Logging_0580/tillsyn/A 22040-2023 tillsynsbegäran.docx", "A 22040-2023")</f>
        <v/>
      </c>
      <c r="Y31">
        <f>HYPERLINK("https://klasma.github.io/Logging_0580/tillsynsmail/A 22040-2023 tillsynsbegäran mail.docx", "A 22040-2023")</f>
        <v/>
      </c>
    </row>
    <row r="32" ht="15" customHeight="1">
      <c r="A32" t="inlineStr">
        <is>
          <t>A 49188-2024</t>
        </is>
      </c>
      <c r="B32" s="1" t="n">
        <v>45595</v>
      </c>
      <c r="C32" s="1" t="n">
        <v>45992</v>
      </c>
      <c r="D32" t="inlineStr">
        <is>
          <t>ÖSTERGÖTLANDS LÄN</t>
        </is>
      </c>
      <c r="E32" t="inlineStr">
        <is>
          <t>LINKÖPING</t>
        </is>
      </c>
      <c r="G32" t="n">
        <v>3.1</v>
      </c>
      <c r="H32" t="n">
        <v>0</v>
      </c>
      <c r="I32" t="n">
        <v>0</v>
      </c>
      <c r="J32" t="n">
        <v>0</v>
      </c>
      <c r="K32" t="n">
        <v>0</v>
      </c>
      <c r="L32" t="n">
        <v>1</v>
      </c>
      <c r="M32" t="n">
        <v>1</v>
      </c>
      <c r="N32" t="n">
        <v>0</v>
      </c>
      <c r="O32" t="n">
        <v>2</v>
      </c>
      <c r="P32" t="n">
        <v>2</v>
      </c>
      <c r="Q32" t="n">
        <v>2</v>
      </c>
      <c r="R32" s="2" t="inlineStr">
        <is>
          <t>Skogsalm
Ask</t>
        </is>
      </c>
      <c r="S32">
        <f>HYPERLINK("https://klasma.github.io/Logging_0580/artfynd/A 49188-2024 artfynd.xlsx", "A 49188-2024")</f>
        <v/>
      </c>
      <c r="T32">
        <f>HYPERLINK("https://klasma.github.io/Logging_0580/kartor/A 49188-2024 karta.png", "A 49188-2024")</f>
        <v/>
      </c>
      <c r="V32">
        <f>HYPERLINK("https://klasma.github.io/Logging_0580/klagomål/A 49188-2024 FSC-klagomål.docx", "A 49188-2024")</f>
        <v/>
      </c>
      <c r="W32">
        <f>HYPERLINK("https://klasma.github.io/Logging_0580/klagomålsmail/A 49188-2024 FSC-klagomål mail.docx", "A 49188-2024")</f>
        <v/>
      </c>
      <c r="X32">
        <f>HYPERLINK("https://klasma.github.io/Logging_0580/tillsyn/A 49188-2024 tillsynsbegäran.docx", "A 49188-2024")</f>
        <v/>
      </c>
      <c r="Y32">
        <f>HYPERLINK("https://klasma.github.io/Logging_0580/tillsynsmail/A 49188-2024 tillsynsbegäran mail.docx", "A 49188-2024")</f>
        <v/>
      </c>
    </row>
    <row r="33" ht="15" customHeight="1">
      <c r="A33" t="inlineStr">
        <is>
          <t>A 11613-2025</t>
        </is>
      </c>
      <c r="B33" s="1" t="n">
        <v>45727.44623842592</v>
      </c>
      <c r="C33" s="1" t="n">
        <v>45992</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50048-2025</t>
        </is>
      </c>
      <c r="B34" s="1" t="n">
        <v>45941</v>
      </c>
      <c r="C34" s="1" t="n">
        <v>45992</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20292-2025</t>
        </is>
      </c>
      <c r="B35" s="1" t="n">
        <v>45774.7449537037</v>
      </c>
      <c r="C35" s="1" t="n">
        <v>45992</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45992</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45992</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45992</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45992</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45992</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45992</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45992</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45992</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45992</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45992</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45992</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45992</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45992</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45992</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45992</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45992</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45992</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59948-2022</t>
        </is>
      </c>
      <c r="B53" s="1" t="n">
        <v>44909</v>
      </c>
      <c r="C53" s="1" t="n">
        <v>45992</v>
      </c>
      <c r="D53" t="inlineStr">
        <is>
          <t>ÖSTERGÖTLANDS LÄN</t>
        </is>
      </c>
      <c r="E53" t="inlineStr">
        <is>
          <t>LINKÖPING</t>
        </is>
      </c>
      <c r="G53" t="n">
        <v>6.7</v>
      </c>
      <c r="H53" t="n">
        <v>0</v>
      </c>
      <c r="I53" t="n">
        <v>0</v>
      </c>
      <c r="J53" t="n">
        <v>0</v>
      </c>
      <c r="K53" t="n">
        <v>0</v>
      </c>
      <c r="L53" t="n">
        <v>0</v>
      </c>
      <c r="M53" t="n">
        <v>1</v>
      </c>
      <c r="N53" t="n">
        <v>0</v>
      </c>
      <c r="O53" t="n">
        <v>1</v>
      </c>
      <c r="P53" t="n">
        <v>1</v>
      </c>
      <c r="Q53" t="n">
        <v>1</v>
      </c>
      <c r="R53" s="2" t="inlineStr">
        <is>
          <t>Skogsalm</t>
        </is>
      </c>
      <c r="S53">
        <f>HYPERLINK("https://klasma.github.io/Logging_0580/artfynd/A 59948-2022 artfynd.xlsx", "A 59948-2022")</f>
        <v/>
      </c>
      <c r="T53">
        <f>HYPERLINK("https://klasma.github.io/Logging_0580/kartor/A 59948-2022 karta.png", "A 59948-2022")</f>
        <v/>
      </c>
      <c r="V53">
        <f>HYPERLINK("https://klasma.github.io/Logging_0580/klagomål/A 59948-2022 FSC-klagomål.docx", "A 59948-2022")</f>
        <v/>
      </c>
      <c r="W53">
        <f>HYPERLINK("https://klasma.github.io/Logging_0580/klagomålsmail/A 59948-2022 FSC-klagomål mail.docx", "A 59948-2022")</f>
        <v/>
      </c>
      <c r="X53">
        <f>HYPERLINK("https://klasma.github.io/Logging_0580/tillsyn/A 59948-2022 tillsynsbegäran.docx", "A 59948-2022")</f>
        <v/>
      </c>
      <c r="Y53">
        <f>HYPERLINK("https://klasma.github.io/Logging_0580/tillsynsmail/A 59948-2022 tillsynsbegäran mail.docx", "A 59948-2022")</f>
        <v/>
      </c>
    </row>
    <row r="54" ht="15" customHeight="1">
      <c r="A54" t="inlineStr">
        <is>
          <t>A 22526-2025</t>
        </is>
      </c>
      <c r="B54" s="1" t="n">
        <v>45786.78096064815</v>
      </c>
      <c r="C54" s="1" t="n">
        <v>45992</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27403-2025</t>
        </is>
      </c>
      <c r="B55" s="1" t="n">
        <v>45812.72518518518</v>
      </c>
      <c r="C55" s="1" t="n">
        <v>45992</v>
      </c>
      <c r="D55" t="inlineStr">
        <is>
          <t>ÖSTERGÖTLANDS LÄN</t>
        </is>
      </c>
      <c r="E55" t="inlineStr">
        <is>
          <t>LINKÖPING</t>
        </is>
      </c>
      <c r="G55" t="n">
        <v>1.4</v>
      </c>
      <c r="H55" t="n">
        <v>0</v>
      </c>
      <c r="I55" t="n">
        <v>0</v>
      </c>
      <c r="J55" t="n">
        <v>1</v>
      </c>
      <c r="K55" t="n">
        <v>0</v>
      </c>
      <c r="L55" t="n">
        <v>0</v>
      </c>
      <c r="M55" t="n">
        <v>0</v>
      </c>
      <c r="N55" t="n">
        <v>0</v>
      </c>
      <c r="O55" t="n">
        <v>1</v>
      </c>
      <c r="P55" t="n">
        <v>0</v>
      </c>
      <c r="Q55" t="n">
        <v>1</v>
      </c>
      <c r="R55" s="2" t="inlineStr">
        <is>
          <t>Tallticka</t>
        </is>
      </c>
      <c r="S55">
        <f>HYPERLINK("https://klasma.github.io/Logging_0580/artfynd/A 27403-2025 artfynd.xlsx", "A 27403-2025")</f>
        <v/>
      </c>
      <c r="T55">
        <f>HYPERLINK("https://klasma.github.io/Logging_0580/kartor/A 27403-2025 karta.png", "A 27403-2025")</f>
        <v/>
      </c>
      <c r="V55">
        <f>HYPERLINK("https://klasma.github.io/Logging_0580/klagomål/A 27403-2025 FSC-klagomål.docx", "A 27403-2025")</f>
        <v/>
      </c>
      <c r="W55">
        <f>HYPERLINK("https://klasma.github.io/Logging_0580/klagomålsmail/A 27403-2025 FSC-klagomål mail.docx", "A 27403-2025")</f>
        <v/>
      </c>
      <c r="X55">
        <f>HYPERLINK("https://klasma.github.io/Logging_0580/tillsyn/A 27403-2025 tillsynsbegäran.docx", "A 27403-2025")</f>
        <v/>
      </c>
      <c r="Y55">
        <f>HYPERLINK("https://klasma.github.io/Logging_0580/tillsynsmail/A 27403-2025 tillsynsbegäran mail.docx", "A 27403-2025")</f>
        <v/>
      </c>
    </row>
    <row r="56" ht="15" customHeight="1">
      <c r="A56" t="inlineStr">
        <is>
          <t>A 37683-2024</t>
        </is>
      </c>
      <c r="B56" s="1" t="n">
        <v>45541.59120370371</v>
      </c>
      <c r="C56" s="1" t="n">
        <v>45992</v>
      </c>
      <c r="D56" t="inlineStr">
        <is>
          <t>ÖSTERGÖTLANDS LÄN</t>
        </is>
      </c>
      <c r="E56" t="inlineStr">
        <is>
          <t>LINKÖPING</t>
        </is>
      </c>
      <c r="G56" t="n">
        <v>0.6</v>
      </c>
      <c r="H56" t="n">
        <v>0</v>
      </c>
      <c r="I56" t="n">
        <v>1</v>
      </c>
      <c r="J56" t="n">
        <v>0</v>
      </c>
      <c r="K56" t="n">
        <v>0</v>
      </c>
      <c r="L56" t="n">
        <v>0</v>
      </c>
      <c r="M56" t="n">
        <v>0</v>
      </c>
      <c r="N56" t="n">
        <v>0</v>
      </c>
      <c r="O56" t="n">
        <v>0</v>
      </c>
      <c r="P56" t="n">
        <v>0</v>
      </c>
      <c r="Q56" t="n">
        <v>1</v>
      </c>
      <c r="R56" s="2" t="inlineStr">
        <is>
          <t>Tibast</t>
        </is>
      </c>
      <c r="S56">
        <f>HYPERLINK("https://klasma.github.io/Logging_0580/artfynd/A 37683-2024 artfynd.xlsx", "A 37683-2024")</f>
        <v/>
      </c>
      <c r="T56">
        <f>HYPERLINK("https://klasma.github.io/Logging_0580/kartor/A 37683-2024 karta.png", "A 37683-2024")</f>
        <v/>
      </c>
      <c r="V56">
        <f>HYPERLINK("https://klasma.github.io/Logging_0580/klagomål/A 37683-2024 FSC-klagomål.docx", "A 37683-2024")</f>
        <v/>
      </c>
      <c r="W56">
        <f>HYPERLINK("https://klasma.github.io/Logging_0580/klagomålsmail/A 37683-2024 FSC-klagomål mail.docx", "A 37683-2024")</f>
        <v/>
      </c>
      <c r="X56">
        <f>HYPERLINK("https://klasma.github.io/Logging_0580/tillsyn/A 37683-2024 tillsynsbegäran.docx", "A 37683-2024")</f>
        <v/>
      </c>
      <c r="Y56">
        <f>HYPERLINK("https://klasma.github.io/Logging_0580/tillsynsmail/A 37683-2024 tillsynsbegäran mail.docx", "A 37683-2024")</f>
        <v/>
      </c>
    </row>
    <row r="57" ht="15" customHeight="1">
      <c r="A57" t="inlineStr">
        <is>
          <t>A 56651-2023</t>
        </is>
      </c>
      <c r="B57" s="1" t="n">
        <v>45243</v>
      </c>
      <c r="C57" s="1" t="n">
        <v>45992</v>
      </c>
      <c r="D57" t="inlineStr">
        <is>
          <t>ÖSTERGÖTLANDS LÄN</t>
        </is>
      </c>
      <c r="E57" t="inlineStr">
        <is>
          <t>LINKÖPING</t>
        </is>
      </c>
      <c r="F57" t="inlineStr">
        <is>
          <t>Övriga Aktiebolag</t>
        </is>
      </c>
      <c r="G57" t="n">
        <v>2.3</v>
      </c>
      <c r="H57" t="n">
        <v>0</v>
      </c>
      <c r="I57" t="n">
        <v>0</v>
      </c>
      <c r="J57" t="n">
        <v>1</v>
      </c>
      <c r="K57" t="n">
        <v>0</v>
      </c>
      <c r="L57" t="n">
        <v>0</v>
      </c>
      <c r="M57" t="n">
        <v>0</v>
      </c>
      <c r="N57" t="n">
        <v>0</v>
      </c>
      <c r="O57" t="n">
        <v>1</v>
      </c>
      <c r="P57" t="n">
        <v>0</v>
      </c>
      <c r="Q57" t="n">
        <v>1</v>
      </c>
      <c r="R57" s="2" t="inlineStr">
        <is>
          <t>Gul dropplav</t>
        </is>
      </c>
      <c r="S57">
        <f>HYPERLINK("https://klasma.github.io/Logging_0580/artfynd/A 56651-2023 artfynd.xlsx", "A 56651-2023")</f>
        <v/>
      </c>
      <c r="T57">
        <f>HYPERLINK("https://klasma.github.io/Logging_0580/kartor/A 56651-2023 karta.png", "A 56651-2023")</f>
        <v/>
      </c>
      <c r="V57">
        <f>HYPERLINK("https://klasma.github.io/Logging_0580/klagomål/A 56651-2023 FSC-klagomål.docx", "A 56651-2023")</f>
        <v/>
      </c>
      <c r="W57">
        <f>HYPERLINK("https://klasma.github.io/Logging_0580/klagomålsmail/A 56651-2023 FSC-klagomål mail.docx", "A 56651-2023")</f>
        <v/>
      </c>
      <c r="X57">
        <f>HYPERLINK("https://klasma.github.io/Logging_0580/tillsyn/A 56651-2023 tillsynsbegäran.docx", "A 56651-2023")</f>
        <v/>
      </c>
      <c r="Y57">
        <f>HYPERLINK("https://klasma.github.io/Logging_0580/tillsynsmail/A 56651-2023 tillsynsbegäran mail.docx", "A 56651-2023")</f>
        <v/>
      </c>
    </row>
    <row r="58" ht="15" customHeight="1">
      <c r="A58" t="inlineStr">
        <is>
          <t>A 43989-2025</t>
        </is>
      </c>
      <c r="B58" s="1" t="n">
        <v>45915.44128472222</v>
      </c>
      <c r="C58" s="1" t="n">
        <v>45992</v>
      </c>
      <c r="D58" t="inlineStr">
        <is>
          <t>ÖSTERGÖTLANDS LÄN</t>
        </is>
      </c>
      <c r="E58" t="inlineStr">
        <is>
          <t>LINKÖPING</t>
        </is>
      </c>
      <c r="F58" t="inlineStr">
        <is>
          <t>Allmännings- och besparingsskogar</t>
        </is>
      </c>
      <c r="G58" t="n">
        <v>3.5</v>
      </c>
      <c r="H58" t="n">
        <v>0</v>
      </c>
      <c r="I58" t="n">
        <v>0</v>
      </c>
      <c r="J58" t="n">
        <v>1</v>
      </c>
      <c r="K58" t="n">
        <v>0</v>
      </c>
      <c r="L58" t="n">
        <v>0</v>
      </c>
      <c r="M58" t="n">
        <v>0</v>
      </c>
      <c r="N58" t="n">
        <v>0</v>
      </c>
      <c r="O58" t="n">
        <v>1</v>
      </c>
      <c r="P58" t="n">
        <v>0</v>
      </c>
      <c r="Q58" t="n">
        <v>1</v>
      </c>
      <c r="R58" s="2" t="inlineStr">
        <is>
          <t>Kavelhirs</t>
        </is>
      </c>
      <c r="S58">
        <f>HYPERLINK("https://klasma.github.io/Logging_0580/artfynd/A 43989-2025 artfynd.xlsx", "A 43989-2025")</f>
        <v/>
      </c>
      <c r="T58">
        <f>HYPERLINK("https://klasma.github.io/Logging_0580/kartor/A 43989-2025 karta.png", "A 43989-2025")</f>
        <v/>
      </c>
      <c r="V58">
        <f>HYPERLINK("https://klasma.github.io/Logging_0580/klagomål/A 43989-2025 FSC-klagomål.docx", "A 43989-2025")</f>
        <v/>
      </c>
      <c r="W58">
        <f>HYPERLINK("https://klasma.github.io/Logging_0580/klagomålsmail/A 43989-2025 FSC-klagomål mail.docx", "A 43989-2025")</f>
        <v/>
      </c>
      <c r="X58">
        <f>HYPERLINK("https://klasma.github.io/Logging_0580/tillsyn/A 43989-2025 tillsynsbegäran.docx", "A 43989-2025")</f>
        <v/>
      </c>
      <c r="Y58">
        <f>HYPERLINK("https://klasma.github.io/Logging_0580/tillsynsmail/A 43989-2025 tillsynsbegäran mail.docx", "A 43989-2025")</f>
        <v/>
      </c>
    </row>
    <row r="59" ht="15" customHeight="1">
      <c r="A59" t="inlineStr">
        <is>
          <t>A 17444-2025</t>
        </is>
      </c>
      <c r="B59" s="1" t="n">
        <v>45757.43452546297</v>
      </c>
      <c r="C59" s="1" t="n">
        <v>45992</v>
      </c>
      <c r="D59" t="inlineStr">
        <is>
          <t>ÖSTERGÖTLANDS LÄN</t>
        </is>
      </c>
      <c r="E59" t="inlineStr">
        <is>
          <t>LINKÖPING</t>
        </is>
      </c>
      <c r="G59" t="n">
        <v>1.3</v>
      </c>
      <c r="H59" t="n">
        <v>1</v>
      </c>
      <c r="I59" t="n">
        <v>0</v>
      </c>
      <c r="J59" t="n">
        <v>1</v>
      </c>
      <c r="K59" t="n">
        <v>0</v>
      </c>
      <c r="L59" t="n">
        <v>0</v>
      </c>
      <c r="M59" t="n">
        <v>0</v>
      </c>
      <c r="N59" t="n">
        <v>0</v>
      </c>
      <c r="O59" t="n">
        <v>1</v>
      </c>
      <c r="P59" t="n">
        <v>0</v>
      </c>
      <c r="Q59" t="n">
        <v>1</v>
      </c>
      <c r="R59" s="2" t="inlineStr">
        <is>
          <t>Dårgräsfjäril</t>
        </is>
      </c>
      <c r="S59">
        <f>HYPERLINK("https://klasma.github.io/Logging_0580/artfynd/A 17444-2025 artfynd.xlsx", "A 17444-2025")</f>
        <v/>
      </c>
      <c r="T59">
        <f>HYPERLINK("https://klasma.github.io/Logging_0580/kartor/A 17444-2025 karta.png", "A 17444-2025")</f>
        <v/>
      </c>
      <c r="V59">
        <f>HYPERLINK("https://klasma.github.io/Logging_0580/klagomål/A 17444-2025 FSC-klagomål.docx", "A 17444-2025")</f>
        <v/>
      </c>
      <c r="W59">
        <f>HYPERLINK("https://klasma.github.io/Logging_0580/klagomålsmail/A 17444-2025 FSC-klagomål mail.docx", "A 17444-2025")</f>
        <v/>
      </c>
      <c r="X59">
        <f>HYPERLINK("https://klasma.github.io/Logging_0580/tillsyn/A 17444-2025 tillsynsbegäran.docx", "A 17444-2025")</f>
        <v/>
      </c>
      <c r="Y59">
        <f>HYPERLINK("https://klasma.github.io/Logging_0580/tillsynsmail/A 17444-2025 tillsynsbegäran mail.docx", "A 17444-2025")</f>
        <v/>
      </c>
    </row>
    <row r="60" ht="15" customHeight="1">
      <c r="A60" t="inlineStr">
        <is>
          <t>A 44760-2025</t>
        </is>
      </c>
      <c r="B60" s="1" t="n">
        <v>45917.71873842592</v>
      </c>
      <c r="C60" s="1" t="n">
        <v>45992</v>
      </c>
      <c r="D60" t="inlineStr">
        <is>
          <t>ÖSTERGÖTLANDS LÄN</t>
        </is>
      </c>
      <c r="E60" t="inlineStr">
        <is>
          <t>LINKÖPING</t>
        </is>
      </c>
      <c r="G60" t="n">
        <v>0.9</v>
      </c>
      <c r="H60" t="n">
        <v>0</v>
      </c>
      <c r="I60" t="n">
        <v>0</v>
      </c>
      <c r="J60" t="n">
        <v>1</v>
      </c>
      <c r="K60" t="n">
        <v>0</v>
      </c>
      <c r="L60" t="n">
        <v>0</v>
      </c>
      <c r="M60" t="n">
        <v>0</v>
      </c>
      <c r="N60" t="n">
        <v>0</v>
      </c>
      <c r="O60" t="n">
        <v>1</v>
      </c>
      <c r="P60" t="n">
        <v>0</v>
      </c>
      <c r="Q60" t="n">
        <v>1</v>
      </c>
      <c r="R60" s="2" t="inlineStr">
        <is>
          <t>Tallticka</t>
        </is>
      </c>
      <c r="S60">
        <f>HYPERLINK("https://klasma.github.io/Logging_0580/artfynd/A 44760-2025 artfynd.xlsx", "A 44760-2025")</f>
        <v/>
      </c>
      <c r="T60">
        <f>HYPERLINK("https://klasma.github.io/Logging_0580/kartor/A 44760-2025 karta.png", "A 44760-2025")</f>
        <v/>
      </c>
      <c r="V60">
        <f>HYPERLINK("https://klasma.github.io/Logging_0580/klagomål/A 44760-2025 FSC-klagomål.docx", "A 44760-2025")</f>
        <v/>
      </c>
      <c r="W60">
        <f>HYPERLINK("https://klasma.github.io/Logging_0580/klagomålsmail/A 44760-2025 FSC-klagomål mail.docx", "A 44760-2025")</f>
        <v/>
      </c>
      <c r="X60">
        <f>HYPERLINK("https://klasma.github.io/Logging_0580/tillsyn/A 44760-2025 tillsynsbegäran.docx", "A 44760-2025")</f>
        <v/>
      </c>
      <c r="Y60">
        <f>HYPERLINK("https://klasma.github.io/Logging_0580/tillsynsmail/A 44760-2025 tillsynsbegäran mail.docx", "A 44760-2025")</f>
        <v/>
      </c>
    </row>
    <row r="61" ht="15" customHeight="1">
      <c r="A61" t="inlineStr">
        <is>
          <t>A 36723-2023</t>
        </is>
      </c>
      <c r="B61" s="1" t="n">
        <v>45153</v>
      </c>
      <c r="C61" s="1" t="n">
        <v>45992</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5911-2022</t>
        </is>
      </c>
      <c r="B62" s="1" t="n">
        <v>44597</v>
      </c>
      <c r="C62" s="1" t="n">
        <v>45992</v>
      </c>
      <c r="D62" t="inlineStr">
        <is>
          <t>ÖSTERGÖTLANDS LÄN</t>
        </is>
      </c>
      <c r="E62" t="inlineStr">
        <is>
          <t>LINKÖPING</t>
        </is>
      </c>
      <c r="G62" t="n">
        <v>3.5</v>
      </c>
      <c r="H62" t="n">
        <v>0</v>
      </c>
      <c r="I62" t="n">
        <v>0</v>
      </c>
      <c r="J62" t="n">
        <v>1</v>
      </c>
      <c r="K62" t="n">
        <v>0</v>
      </c>
      <c r="L62" t="n">
        <v>0</v>
      </c>
      <c r="M62" t="n">
        <v>0</v>
      </c>
      <c r="N62" t="n">
        <v>0</v>
      </c>
      <c r="O62" t="n">
        <v>1</v>
      </c>
      <c r="P62" t="n">
        <v>0</v>
      </c>
      <c r="Q62" t="n">
        <v>1</v>
      </c>
      <c r="R62" s="2" t="inlineStr">
        <is>
          <t>Spindelört</t>
        </is>
      </c>
      <c r="S62">
        <f>HYPERLINK("https://klasma.github.io/Logging_0580/artfynd/A 5911-2022 artfynd.xlsx", "A 5911-2022")</f>
        <v/>
      </c>
      <c r="T62">
        <f>HYPERLINK("https://klasma.github.io/Logging_0580/kartor/A 5911-2022 karta.png", "A 5911-2022")</f>
        <v/>
      </c>
      <c r="V62">
        <f>HYPERLINK("https://klasma.github.io/Logging_0580/klagomål/A 5911-2022 FSC-klagomål.docx", "A 5911-2022")</f>
        <v/>
      </c>
      <c r="W62">
        <f>HYPERLINK("https://klasma.github.io/Logging_0580/klagomålsmail/A 5911-2022 FSC-klagomål mail.docx", "A 5911-2022")</f>
        <v/>
      </c>
      <c r="X62">
        <f>HYPERLINK("https://klasma.github.io/Logging_0580/tillsyn/A 5911-2022 tillsynsbegäran.docx", "A 5911-2022")</f>
        <v/>
      </c>
      <c r="Y62">
        <f>HYPERLINK("https://klasma.github.io/Logging_0580/tillsynsmail/A 5911-2022 tillsynsbegäran mail.docx", "A 5911-2022")</f>
        <v/>
      </c>
    </row>
    <row r="63" ht="15" customHeight="1">
      <c r="A63" t="inlineStr">
        <is>
          <t>A 90-2024</t>
        </is>
      </c>
      <c r="B63" s="1" t="n">
        <v>45293</v>
      </c>
      <c r="C63" s="1" t="n">
        <v>45992</v>
      </c>
      <c r="D63" t="inlineStr">
        <is>
          <t>ÖSTERGÖTLANDS LÄN</t>
        </is>
      </c>
      <c r="E63" t="inlineStr">
        <is>
          <t>LINKÖPING</t>
        </is>
      </c>
      <c r="G63" t="n">
        <v>1.8</v>
      </c>
      <c r="H63" t="n">
        <v>0</v>
      </c>
      <c r="I63" t="n">
        <v>1</v>
      </c>
      <c r="J63" t="n">
        <v>0</v>
      </c>
      <c r="K63" t="n">
        <v>0</v>
      </c>
      <c r="L63" t="n">
        <v>0</v>
      </c>
      <c r="M63" t="n">
        <v>0</v>
      </c>
      <c r="N63" t="n">
        <v>0</v>
      </c>
      <c r="O63" t="n">
        <v>0</v>
      </c>
      <c r="P63" t="n">
        <v>0</v>
      </c>
      <c r="Q63" t="n">
        <v>1</v>
      </c>
      <c r="R63" s="2" t="inlineStr">
        <is>
          <t>Grov fjädermossa</t>
        </is>
      </c>
      <c r="S63">
        <f>HYPERLINK("https://klasma.github.io/Logging_0580/artfynd/A 90-2024 artfynd.xlsx", "A 90-2024")</f>
        <v/>
      </c>
      <c r="T63">
        <f>HYPERLINK("https://klasma.github.io/Logging_0580/kartor/A 90-2024 karta.png", "A 90-2024")</f>
        <v/>
      </c>
      <c r="V63">
        <f>HYPERLINK("https://klasma.github.io/Logging_0580/klagomål/A 90-2024 FSC-klagomål.docx", "A 90-2024")</f>
        <v/>
      </c>
      <c r="W63">
        <f>HYPERLINK("https://klasma.github.io/Logging_0580/klagomålsmail/A 90-2024 FSC-klagomål mail.docx", "A 90-2024")</f>
        <v/>
      </c>
      <c r="X63">
        <f>HYPERLINK("https://klasma.github.io/Logging_0580/tillsyn/A 90-2024 tillsynsbegäran.docx", "A 90-2024")</f>
        <v/>
      </c>
      <c r="Y63">
        <f>HYPERLINK("https://klasma.github.io/Logging_0580/tillsynsmail/A 90-2024 tillsynsbegäran mail.docx", "A 90-2024")</f>
        <v/>
      </c>
    </row>
    <row r="64" ht="15" customHeight="1">
      <c r="A64" t="inlineStr">
        <is>
          <t>A 40315-2024</t>
        </is>
      </c>
      <c r="B64" s="1" t="n">
        <v>45554.7571875</v>
      </c>
      <c r="C64" s="1" t="n">
        <v>45992</v>
      </c>
      <c r="D64" t="inlineStr">
        <is>
          <t>ÖSTERGÖTLANDS LÄN</t>
        </is>
      </c>
      <c r="E64" t="inlineStr">
        <is>
          <t>LINKÖPING</t>
        </is>
      </c>
      <c r="F64" t="inlineStr">
        <is>
          <t>Allmännings- och besparingsskogar</t>
        </is>
      </c>
      <c r="G64" t="n">
        <v>15.8</v>
      </c>
      <c r="H64" t="n">
        <v>0</v>
      </c>
      <c r="I64" t="n">
        <v>0</v>
      </c>
      <c r="J64" t="n">
        <v>0</v>
      </c>
      <c r="K64" t="n">
        <v>0</v>
      </c>
      <c r="L64" t="n">
        <v>0</v>
      </c>
      <c r="M64" t="n">
        <v>1</v>
      </c>
      <c r="N64" t="n">
        <v>0</v>
      </c>
      <c r="O64" t="n">
        <v>1</v>
      </c>
      <c r="P64" t="n">
        <v>1</v>
      </c>
      <c r="Q64" t="n">
        <v>1</v>
      </c>
      <c r="R64" s="2" t="inlineStr">
        <is>
          <t>Skogsalm</t>
        </is>
      </c>
      <c r="S64">
        <f>HYPERLINK("https://klasma.github.io/Logging_0580/artfynd/A 40315-2024 artfynd.xlsx", "A 40315-2024")</f>
        <v/>
      </c>
      <c r="T64">
        <f>HYPERLINK("https://klasma.github.io/Logging_0580/kartor/A 40315-2024 karta.png", "A 40315-2024")</f>
        <v/>
      </c>
      <c r="V64">
        <f>HYPERLINK("https://klasma.github.io/Logging_0580/klagomål/A 40315-2024 FSC-klagomål.docx", "A 40315-2024")</f>
        <v/>
      </c>
      <c r="W64">
        <f>HYPERLINK("https://klasma.github.io/Logging_0580/klagomålsmail/A 40315-2024 FSC-klagomål mail.docx", "A 40315-2024")</f>
        <v/>
      </c>
      <c r="X64">
        <f>HYPERLINK("https://klasma.github.io/Logging_0580/tillsyn/A 40315-2024 tillsynsbegäran.docx", "A 40315-2024")</f>
        <v/>
      </c>
      <c r="Y64">
        <f>HYPERLINK("https://klasma.github.io/Logging_0580/tillsynsmail/A 40315-2024 tillsynsbegäran mail.docx", "A 40315-2024")</f>
        <v/>
      </c>
    </row>
    <row r="65" ht="15" customHeight="1">
      <c r="A65" t="inlineStr">
        <is>
          <t>A 56112-2025</t>
        </is>
      </c>
      <c r="B65" s="1" t="n">
        <v>45973.73625</v>
      </c>
      <c r="C65" s="1" t="n">
        <v>45992</v>
      </c>
      <c r="D65" t="inlineStr">
        <is>
          <t>ÖSTERGÖTLANDS LÄN</t>
        </is>
      </c>
      <c r="E65" t="inlineStr">
        <is>
          <t>LINKÖPING</t>
        </is>
      </c>
      <c r="G65" t="n">
        <v>0.6</v>
      </c>
      <c r="H65" t="n">
        <v>0</v>
      </c>
      <c r="I65" t="n">
        <v>0</v>
      </c>
      <c r="J65" t="n">
        <v>1</v>
      </c>
      <c r="K65" t="n">
        <v>0</v>
      </c>
      <c r="L65" t="n">
        <v>0</v>
      </c>
      <c r="M65" t="n">
        <v>0</v>
      </c>
      <c r="N65" t="n">
        <v>0</v>
      </c>
      <c r="O65" t="n">
        <v>1</v>
      </c>
      <c r="P65" t="n">
        <v>0</v>
      </c>
      <c r="Q65" t="n">
        <v>1</v>
      </c>
      <c r="R65" s="2" t="inlineStr">
        <is>
          <t>Solvända</t>
        </is>
      </c>
      <c r="S65">
        <f>HYPERLINK("https://klasma.github.io/Logging_0580/artfynd/A 56112-2025 artfynd.xlsx", "A 56112-2025")</f>
        <v/>
      </c>
      <c r="T65">
        <f>HYPERLINK("https://klasma.github.io/Logging_0580/kartor/A 56112-2025 karta.png", "A 56112-2025")</f>
        <v/>
      </c>
      <c r="V65">
        <f>HYPERLINK("https://klasma.github.io/Logging_0580/klagomål/A 56112-2025 FSC-klagomål.docx", "A 56112-2025")</f>
        <v/>
      </c>
      <c r="W65">
        <f>HYPERLINK("https://klasma.github.io/Logging_0580/klagomålsmail/A 56112-2025 FSC-klagomål mail.docx", "A 56112-2025")</f>
        <v/>
      </c>
      <c r="X65">
        <f>HYPERLINK("https://klasma.github.io/Logging_0580/tillsyn/A 56112-2025 tillsynsbegäran.docx", "A 56112-2025")</f>
        <v/>
      </c>
      <c r="Y65">
        <f>HYPERLINK("https://klasma.github.io/Logging_0580/tillsynsmail/A 56112-2025 tillsynsbegäran mail.docx", "A 56112-2025")</f>
        <v/>
      </c>
    </row>
    <row r="66" ht="15" customHeight="1">
      <c r="A66" t="inlineStr">
        <is>
          <t>A 48347-2025</t>
        </is>
      </c>
      <c r="B66" s="1" t="n">
        <v>45932</v>
      </c>
      <c r="C66" s="1" t="n">
        <v>45992</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15290-2025</t>
        </is>
      </c>
      <c r="B67" s="1" t="n">
        <v>45745.45288194445</v>
      </c>
      <c r="C67" s="1" t="n">
        <v>45992</v>
      </c>
      <c r="D67" t="inlineStr">
        <is>
          <t>ÖSTERGÖTLANDS LÄN</t>
        </is>
      </c>
      <c r="E67" t="inlineStr">
        <is>
          <t>LINKÖPING</t>
        </is>
      </c>
      <c r="G67" t="n">
        <v>18.4</v>
      </c>
      <c r="H67" t="n">
        <v>1</v>
      </c>
      <c r="I67" t="n">
        <v>0</v>
      </c>
      <c r="J67" t="n">
        <v>1</v>
      </c>
      <c r="K67" t="n">
        <v>0</v>
      </c>
      <c r="L67" t="n">
        <v>0</v>
      </c>
      <c r="M67" t="n">
        <v>0</v>
      </c>
      <c r="N67" t="n">
        <v>0</v>
      </c>
      <c r="O67" t="n">
        <v>1</v>
      </c>
      <c r="P67" t="n">
        <v>0</v>
      </c>
      <c r="Q67" t="n">
        <v>1</v>
      </c>
      <c r="R67" s="2" t="inlineStr">
        <is>
          <t>Havsörn</t>
        </is>
      </c>
      <c r="S67">
        <f>HYPERLINK("https://klasma.github.io/Logging_0580/artfynd/A 15290-2025 artfynd.xlsx", "A 15290-2025")</f>
        <v/>
      </c>
      <c r="T67">
        <f>HYPERLINK("https://klasma.github.io/Logging_0580/kartor/A 15290-2025 karta.png", "A 15290-2025")</f>
        <v/>
      </c>
      <c r="V67">
        <f>HYPERLINK("https://klasma.github.io/Logging_0580/klagomål/A 15290-2025 FSC-klagomål.docx", "A 15290-2025")</f>
        <v/>
      </c>
      <c r="W67">
        <f>HYPERLINK("https://klasma.github.io/Logging_0580/klagomålsmail/A 15290-2025 FSC-klagomål mail.docx", "A 15290-2025")</f>
        <v/>
      </c>
      <c r="X67">
        <f>HYPERLINK("https://klasma.github.io/Logging_0580/tillsyn/A 15290-2025 tillsynsbegäran.docx", "A 15290-2025")</f>
        <v/>
      </c>
      <c r="Y67">
        <f>HYPERLINK("https://klasma.github.io/Logging_0580/tillsynsmail/A 15290-2025 tillsynsbegäran mail.docx", "A 15290-2025")</f>
        <v/>
      </c>
      <c r="Z67">
        <f>HYPERLINK("https://klasma.github.io/Logging_0580/fåglar/A 15290-2025 prioriterade fågelarter.docx", "A 15290-2025")</f>
        <v/>
      </c>
    </row>
    <row r="68" ht="15" customHeight="1">
      <c r="A68" t="inlineStr">
        <is>
          <t>A 48353-2025</t>
        </is>
      </c>
      <c r="B68" s="1" t="n">
        <v>45932</v>
      </c>
      <c r="C68" s="1" t="n">
        <v>45992</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48273-2025</t>
        </is>
      </c>
      <c r="B69" s="1" t="n">
        <v>45932</v>
      </c>
      <c r="C69" s="1" t="n">
        <v>45992</v>
      </c>
      <c r="D69" t="inlineStr">
        <is>
          <t>ÖSTERGÖTLANDS LÄN</t>
        </is>
      </c>
      <c r="E69" t="inlineStr">
        <is>
          <t>LINKÖPING</t>
        </is>
      </c>
      <c r="F69" t="inlineStr">
        <is>
          <t>Övriga Aktiebolag</t>
        </is>
      </c>
      <c r="G69" t="n">
        <v>4.6</v>
      </c>
      <c r="H69" t="n">
        <v>0</v>
      </c>
      <c r="I69" t="n">
        <v>0</v>
      </c>
      <c r="J69" t="n">
        <v>1</v>
      </c>
      <c r="K69" t="n">
        <v>0</v>
      </c>
      <c r="L69" t="n">
        <v>0</v>
      </c>
      <c r="M69" t="n">
        <v>0</v>
      </c>
      <c r="N69" t="n">
        <v>0</v>
      </c>
      <c r="O69" t="n">
        <v>1</v>
      </c>
      <c r="P69" t="n">
        <v>0</v>
      </c>
      <c r="Q69" t="n">
        <v>1</v>
      </c>
      <c r="R69" s="2" t="inlineStr">
        <is>
          <t>Barrviolspindling</t>
        </is>
      </c>
      <c r="S69">
        <f>HYPERLINK("https://klasma.github.io/Logging_0580/artfynd/A 48273-2025 artfynd.xlsx", "A 48273-2025")</f>
        <v/>
      </c>
      <c r="T69">
        <f>HYPERLINK("https://klasma.github.io/Logging_0580/kartor/A 48273-2025 karta.png", "A 48273-2025")</f>
        <v/>
      </c>
      <c r="V69">
        <f>HYPERLINK("https://klasma.github.io/Logging_0580/klagomål/A 48273-2025 FSC-klagomål.docx", "A 48273-2025")</f>
        <v/>
      </c>
      <c r="W69">
        <f>HYPERLINK("https://klasma.github.io/Logging_0580/klagomålsmail/A 48273-2025 FSC-klagomål mail.docx", "A 48273-2025")</f>
        <v/>
      </c>
      <c r="X69">
        <f>HYPERLINK("https://klasma.github.io/Logging_0580/tillsyn/A 48273-2025 tillsynsbegäran.docx", "A 48273-2025")</f>
        <v/>
      </c>
      <c r="Y69">
        <f>HYPERLINK("https://klasma.github.io/Logging_0580/tillsynsmail/A 48273-2025 tillsynsbegäran mail.docx", "A 48273-2025")</f>
        <v/>
      </c>
    </row>
    <row r="70" ht="15" customHeight="1">
      <c r="A70" t="inlineStr">
        <is>
          <t>A 48298-2025</t>
        </is>
      </c>
      <c r="B70" s="1" t="n">
        <v>45932</v>
      </c>
      <c r="C70" s="1" t="n">
        <v>45992</v>
      </c>
      <c r="D70" t="inlineStr">
        <is>
          <t>ÖSTERGÖTLANDS LÄN</t>
        </is>
      </c>
      <c r="E70" t="inlineStr">
        <is>
          <t>LINKÖPING</t>
        </is>
      </c>
      <c r="F70" t="inlineStr">
        <is>
          <t>Övriga Aktiebolag</t>
        </is>
      </c>
      <c r="G70" t="n">
        <v>1.7</v>
      </c>
      <c r="H70" t="n">
        <v>0</v>
      </c>
      <c r="I70" t="n">
        <v>1</v>
      </c>
      <c r="J70" t="n">
        <v>0</v>
      </c>
      <c r="K70" t="n">
        <v>0</v>
      </c>
      <c r="L70" t="n">
        <v>0</v>
      </c>
      <c r="M70" t="n">
        <v>0</v>
      </c>
      <c r="N70" t="n">
        <v>0</v>
      </c>
      <c r="O70" t="n">
        <v>0</v>
      </c>
      <c r="P70" t="n">
        <v>0</v>
      </c>
      <c r="Q70" t="n">
        <v>1</v>
      </c>
      <c r="R70" s="2" t="inlineStr">
        <is>
          <t>Västlig hakmossa</t>
        </is>
      </c>
      <c r="S70">
        <f>HYPERLINK("https://klasma.github.io/Logging_0580/artfynd/A 48298-2025 artfynd.xlsx", "A 48298-2025")</f>
        <v/>
      </c>
      <c r="T70">
        <f>HYPERLINK("https://klasma.github.io/Logging_0580/kartor/A 48298-2025 karta.png", "A 48298-2025")</f>
        <v/>
      </c>
      <c r="V70">
        <f>HYPERLINK("https://klasma.github.io/Logging_0580/klagomål/A 48298-2025 FSC-klagomål.docx", "A 48298-2025")</f>
        <v/>
      </c>
      <c r="W70">
        <f>HYPERLINK("https://klasma.github.io/Logging_0580/klagomålsmail/A 48298-2025 FSC-klagomål mail.docx", "A 48298-2025")</f>
        <v/>
      </c>
      <c r="X70">
        <f>HYPERLINK("https://klasma.github.io/Logging_0580/tillsyn/A 48298-2025 tillsynsbegäran.docx", "A 48298-2025")</f>
        <v/>
      </c>
      <c r="Y70">
        <f>HYPERLINK("https://klasma.github.io/Logging_0580/tillsynsmail/A 48298-2025 tillsynsbegäran mail.docx", "A 48298-2025")</f>
        <v/>
      </c>
    </row>
    <row r="71" ht="15" customHeight="1">
      <c r="A71" t="inlineStr">
        <is>
          <t>A 34881-2023</t>
        </is>
      </c>
      <c r="B71" s="1" t="n">
        <v>45140</v>
      </c>
      <c r="C71" s="1" t="n">
        <v>45992</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50471-2024</t>
        </is>
      </c>
      <c r="B72" s="1" t="n">
        <v>45601.47166666666</v>
      </c>
      <c r="C72" s="1" t="n">
        <v>45992</v>
      </c>
      <c r="D72" t="inlineStr">
        <is>
          <t>ÖSTERGÖTLANDS LÄN</t>
        </is>
      </c>
      <c r="E72" t="inlineStr">
        <is>
          <t>LINKÖPING</t>
        </is>
      </c>
      <c r="F72" t="inlineStr">
        <is>
          <t>Övriga Aktiebolag</t>
        </is>
      </c>
      <c r="G72" t="n">
        <v>2</v>
      </c>
      <c r="H72" t="n">
        <v>0</v>
      </c>
      <c r="I72" t="n">
        <v>1</v>
      </c>
      <c r="J72" t="n">
        <v>0</v>
      </c>
      <c r="K72" t="n">
        <v>0</v>
      </c>
      <c r="L72" t="n">
        <v>0</v>
      </c>
      <c r="M72" t="n">
        <v>0</v>
      </c>
      <c r="N72" t="n">
        <v>0</v>
      </c>
      <c r="O72" t="n">
        <v>0</v>
      </c>
      <c r="P72" t="n">
        <v>0</v>
      </c>
      <c r="Q72" t="n">
        <v>1</v>
      </c>
      <c r="R72" s="2" t="inlineStr">
        <is>
          <t>Västlig hakmossa</t>
        </is>
      </c>
      <c r="S72">
        <f>HYPERLINK("https://klasma.github.io/Logging_0580/artfynd/A 50471-2024 artfynd.xlsx", "A 50471-2024")</f>
        <v/>
      </c>
      <c r="T72">
        <f>HYPERLINK("https://klasma.github.io/Logging_0580/kartor/A 50471-2024 karta.png", "A 50471-2024")</f>
        <v/>
      </c>
      <c r="V72">
        <f>HYPERLINK("https://klasma.github.io/Logging_0580/klagomål/A 50471-2024 FSC-klagomål.docx", "A 50471-2024")</f>
        <v/>
      </c>
      <c r="W72">
        <f>HYPERLINK("https://klasma.github.io/Logging_0580/klagomålsmail/A 50471-2024 FSC-klagomål mail.docx", "A 50471-2024")</f>
        <v/>
      </c>
      <c r="X72">
        <f>HYPERLINK("https://klasma.github.io/Logging_0580/tillsyn/A 50471-2024 tillsynsbegäran.docx", "A 50471-2024")</f>
        <v/>
      </c>
      <c r="Y72">
        <f>HYPERLINK("https://klasma.github.io/Logging_0580/tillsynsmail/A 50471-2024 tillsynsbegäran mail.docx", "A 50471-2024")</f>
        <v/>
      </c>
    </row>
    <row r="73" ht="15" customHeight="1">
      <c r="A73" t="inlineStr">
        <is>
          <t>A 17389-2021</t>
        </is>
      </c>
      <c r="B73" s="1" t="n">
        <v>44298.96792824074</v>
      </c>
      <c r="C73" s="1" t="n">
        <v>45992</v>
      </c>
      <c r="D73" t="inlineStr">
        <is>
          <t>ÖSTERGÖTLANDS LÄN</t>
        </is>
      </c>
      <c r="E73" t="inlineStr">
        <is>
          <t>LINKÖPING</t>
        </is>
      </c>
      <c r="G73" t="n">
        <v>5.1</v>
      </c>
      <c r="H73" t="n">
        <v>0</v>
      </c>
      <c r="I73" t="n">
        <v>1</v>
      </c>
      <c r="J73" t="n">
        <v>0</v>
      </c>
      <c r="K73" t="n">
        <v>0</v>
      </c>
      <c r="L73" t="n">
        <v>0</v>
      </c>
      <c r="M73" t="n">
        <v>0</v>
      </c>
      <c r="N73" t="n">
        <v>0</v>
      </c>
      <c r="O73" t="n">
        <v>0</v>
      </c>
      <c r="P73" t="n">
        <v>0</v>
      </c>
      <c r="Q73" t="n">
        <v>1</v>
      </c>
      <c r="R73" s="2" t="inlineStr">
        <is>
          <t>Blomkålssvamp</t>
        </is>
      </c>
      <c r="S73">
        <f>HYPERLINK("https://klasma.github.io/Logging_0580/artfynd/A 17389-2021 artfynd.xlsx", "A 17389-2021")</f>
        <v/>
      </c>
      <c r="T73">
        <f>HYPERLINK("https://klasma.github.io/Logging_0580/kartor/A 17389-2021 karta.png", "A 17389-2021")</f>
        <v/>
      </c>
      <c r="V73">
        <f>HYPERLINK("https://klasma.github.io/Logging_0580/klagomål/A 17389-2021 FSC-klagomål.docx", "A 17389-2021")</f>
        <v/>
      </c>
      <c r="W73">
        <f>HYPERLINK("https://klasma.github.io/Logging_0580/klagomålsmail/A 17389-2021 FSC-klagomål mail.docx", "A 17389-2021")</f>
        <v/>
      </c>
      <c r="X73">
        <f>HYPERLINK("https://klasma.github.io/Logging_0580/tillsyn/A 17389-2021 tillsynsbegäran.docx", "A 17389-2021")</f>
        <v/>
      </c>
      <c r="Y73">
        <f>HYPERLINK("https://klasma.github.io/Logging_0580/tillsynsmail/A 17389-2021 tillsynsbegäran mail.docx", "A 17389-2021")</f>
        <v/>
      </c>
    </row>
    <row r="74" ht="15" customHeight="1">
      <c r="A74" t="inlineStr">
        <is>
          <t>A 56128-2022</t>
        </is>
      </c>
      <c r="B74" s="1" t="n">
        <v>44889</v>
      </c>
      <c r="C74" s="1" t="n">
        <v>45992</v>
      </c>
      <c r="D74" t="inlineStr">
        <is>
          <t>ÖSTERGÖTLANDS LÄN</t>
        </is>
      </c>
      <c r="E74" t="inlineStr">
        <is>
          <t>LINKÖPING</t>
        </is>
      </c>
      <c r="G74" t="n">
        <v>2</v>
      </c>
      <c r="H74" t="n">
        <v>0</v>
      </c>
      <c r="I74" t="n">
        <v>1</v>
      </c>
      <c r="J74" t="n">
        <v>0</v>
      </c>
      <c r="K74" t="n">
        <v>0</v>
      </c>
      <c r="L74" t="n">
        <v>0</v>
      </c>
      <c r="M74" t="n">
        <v>0</v>
      </c>
      <c r="N74" t="n">
        <v>0</v>
      </c>
      <c r="O74" t="n">
        <v>0</v>
      </c>
      <c r="P74" t="n">
        <v>0</v>
      </c>
      <c r="Q74" t="n">
        <v>1</v>
      </c>
      <c r="R74" s="2" t="inlineStr">
        <is>
          <t>Tibast</t>
        </is>
      </c>
      <c r="S74">
        <f>HYPERLINK("https://klasma.github.io/Logging_0580/artfynd/A 56128-2022 artfynd.xlsx", "A 56128-2022")</f>
        <v/>
      </c>
      <c r="T74">
        <f>HYPERLINK("https://klasma.github.io/Logging_0580/kartor/A 56128-2022 karta.png", "A 56128-2022")</f>
        <v/>
      </c>
      <c r="V74">
        <f>HYPERLINK("https://klasma.github.io/Logging_0580/klagomål/A 56128-2022 FSC-klagomål.docx", "A 56128-2022")</f>
        <v/>
      </c>
      <c r="W74">
        <f>HYPERLINK("https://klasma.github.io/Logging_0580/klagomålsmail/A 56128-2022 FSC-klagomål mail.docx", "A 56128-2022")</f>
        <v/>
      </c>
      <c r="X74">
        <f>HYPERLINK("https://klasma.github.io/Logging_0580/tillsyn/A 56128-2022 tillsynsbegäran.docx", "A 56128-2022")</f>
        <v/>
      </c>
      <c r="Y74">
        <f>HYPERLINK("https://klasma.github.io/Logging_0580/tillsynsmail/A 56128-2022 tillsynsbegäran mail.docx", "A 56128-2022")</f>
        <v/>
      </c>
    </row>
    <row r="75" ht="15" customHeight="1">
      <c r="A75" t="inlineStr">
        <is>
          <t>A 40309-2024</t>
        </is>
      </c>
      <c r="B75" s="1" t="n">
        <v>45554.724375</v>
      </c>
      <c r="C75" s="1" t="n">
        <v>45992</v>
      </c>
      <c r="D75" t="inlineStr">
        <is>
          <t>ÖSTERGÖTLANDS LÄN</t>
        </is>
      </c>
      <c r="E75" t="inlineStr">
        <is>
          <t>LINKÖPING</t>
        </is>
      </c>
      <c r="F75" t="inlineStr">
        <is>
          <t>Allmännings- och besparingsskogar</t>
        </is>
      </c>
      <c r="G75" t="n">
        <v>6</v>
      </c>
      <c r="H75" t="n">
        <v>0</v>
      </c>
      <c r="I75" t="n">
        <v>0</v>
      </c>
      <c r="J75" t="n">
        <v>1</v>
      </c>
      <c r="K75" t="n">
        <v>0</v>
      </c>
      <c r="L75" t="n">
        <v>0</v>
      </c>
      <c r="M75" t="n">
        <v>0</v>
      </c>
      <c r="N75" t="n">
        <v>0</v>
      </c>
      <c r="O75" t="n">
        <v>1</v>
      </c>
      <c r="P75" t="n">
        <v>0</v>
      </c>
      <c r="Q75" t="n">
        <v>1</v>
      </c>
      <c r="R75" s="2" t="inlineStr">
        <is>
          <t>Garnlav</t>
        </is>
      </c>
      <c r="S75">
        <f>HYPERLINK("https://klasma.github.io/Logging_0580/artfynd/A 40309-2024 artfynd.xlsx", "A 40309-2024")</f>
        <v/>
      </c>
      <c r="T75">
        <f>HYPERLINK("https://klasma.github.io/Logging_0580/kartor/A 40309-2024 karta.png", "A 40309-2024")</f>
        <v/>
      </c>
      <c r="V75">
        <f>HYPERLINK("https://klasma.github.io/Logging_0580/klagomål/A 40309-2024 FSC-klagomål.docx", "A 40309-2024")</f>
        <v/>
      </c>
      <c r="W75">
        <f>HYPERLINK("https://klasma.github.io/Logging_0580/klagomålsmail/A 40309-2024 FSC-klagomål mail.docx", "A 40309-2024")</f>
        <v/>
      </c>
      <c r="X75">
        <f>HYPERLINK("https://klasma.github.io/Logging_0580/tillsyn/A 40309-2024 tillsynsbegäran.docx", "A 40309-2024")</f>
        <v/>
      </c>
      <c r="Y75">
        <f>HYPERLINK("https://klasma.github.io/Logging_0580/tillsynsmail/A 40309-2024 tillsynsbegäran mail.docx", "A 40309-2024")</f>
        <v/>
      </c>
    </row>
    <row r="76" ht="15" customHeight="1">
      <c r="A76" t="inlineStr">
        <is>
          <t>A 50034-2025</t>
        </is>
      </c>
      <c r="B76" s="1" t="n">
        <v>45941</v>
      </c>
      <c r="C76" s="1" t="n">
        <v>45992</v>
      </c>
      <c r="D76" t="inlineStr">
        <is>
          <t>ÖSTERGÖTLANDS LÄN</t>
        </is>
      </c>
      <c r="E76" t="inlineStr">
        <is>
          <t>LINKÖPING</t>
        </is>
      </c>
      <c r="G76" t="n">
        <v>6.2</v>
      </c>
      <c r="H76" t="n">
        <v>0</v>
      </c>
      <c r="I76" t="n">
        <v>0</v>
      </c>
      <c r="J76" t="n">
        <v>0</v>
      </c>
      <c r="K76" t="n">
        <v>0</v>
      </c>
      <c r="L76" t="n">
        <v>0</v>
      </c>
      <c r="M76" t="n">
        <v>1</v>
      </c>
      <c r="N76" t="n">
        <v>0</v>
      </c>
      <c r="O76" t="n">
        <v>1</v>
      </c>
      <c r="P76" t="n">
        <v>1</v>
      </c>
      <c r="Q76" t="n">
        <v>1</v>
      </c>
      <c r="R76" s="2" t="inlineStr">
        <is>
          <t>Skogsalm</t>
        </is>
      </c>
      <c r="S76">
        <f>HYPERLINK("https://klasma.github.io/Logging_0580/artfynd/A 50034-2025 artfynd.xlsx", "A 50034-2025")</f>
        <v/>
      </c>
      <c r="T76">
        <f>HYPERLINK("https://klasma.github.io/Logging_0580/kartor/A 50034-2025 karta.png", "A 50034-2025")</f>
        <v/>
      </c>
      <c r="V76">
        <f>HYPERLINK("https://klasma.github.io/Logging_0580/klagomål/A 50034-2025 FSC-klagomål.docx", "A 50034-2025")</f>
        <v/>
      </c>
      <c r="W76">
        <f>HYPERLINK("https://klasma.github.io/Logging_0580/klagomålsmail/A 50034-2025 FSC-klagomål mail.docx", "A 50034-2025")</f>
        <v/>
      </c>
      <c r="X76">
        <f>HYPERLINK("https://klasma.github.io/Logging_0580/tillsyn/A 50034-2025 tillsynsbegäran.docx", "A 50034-2025")</f>
        <v/>
      </c>
      <c r="Y76">
        <f>HYPERLINK("https://klasma.github.io/Logging_0580/tillsynsmail/A 50034-2025 tillsynsbegäran mail.docx", "A 50034-2025")</f>
        <v/>
      </c>
    </row>
    <row r="77" ht="15" customHeight="1">
      <c r="A77" t="inlineStr">
        <is>
          <t>A 54835-2023</t>
        </is>
      </c>
      <c r="B77" s="1" t="n">
        <v>45236</v>
      </c>
      <c r="C77" s="1" t="n">
        <v>45992</v>
      </c>
      <c r="D77" t="inlineStr">
        <is>
          <t>ÖSTERGÖTLANDS LÄN</t>
        </is>
      </c>
      <c r="E77" t="inlineStr">
        <is>
          <t>LINKÖPING</t>
        </is>
      </c>
      <c r="G77" t="n">
        <v>2</v>
      </c>
      <c r="H77" t="n">
        <v>1</v>
      </c>
      <c r="I77" t="n">
        <v>0</v>
      </c>
      <c r="J77" t="n">
        <v>0</v>
      </c>
      <c r="K77" t="n">
        <v>0</v>
      </c>
      <c r="L77" t="n">
        <v>0</v>
      </c>
      <c r="M77" t="n">
        <v>0</v>
      </c>
      <c r="N77" t="n">
        <v>0</v>
      </c>
      <c r="O77" t="n">
        <v>0</v>
      </c>
      <c r="P77" t="n">
        <v>0</v>
      </c>
      <c r="Q77" t="n">
        <v>1</v>
      </c>
      <c r="R77" s="2" t="inlineStr">
        <is>
          <t>Sparvuggla</t>
        </is>
      </c>
      <c r="S77">
        <f>HYPERLINK("https://klasma.github.io/Logging_0580/artfynd/A 54835-2023 artfynd.xlsx", "A 54835-2023")</f>
        <v/>
      </c>
      <c r="T77">
        <f>HYPERLINK("https://klasma.github.io/Logging_0580/kartor/A 54835-2023 karta.png", "A 54835-2023")</f>
        <v/>
      </c>
      <c r="V77">
        <f>HYPERLINK("https://klasma.github.io/Logging_0580/klagomål/A 54835-2023 FSC-klagomål.docx", "A 54835-2023")</f>
        <v/>
      </c>
      <c r="W77">
        <f>HYPERLINK("https://klasma.github.io/Logging_0580/klagomålsmail/A 54835-2023 FSC-klagomål mail.docx", "A 54835-2023")</f>
        <v/>
      </c>
      <c r="X77">
        <f>HYPERLINK("https://klasma.github.io/Logging_0580/tillsyn/A 54835-2023 tillsynsbegäran.docx", "A 54835-2023")</f>
        <v/>
      </c>
      <c r="Y77">
        <f>HYPERLINK("https://klasma.github.io/Logging_0580/tillsynsmail/A 54835-2023 tillsynsbegäran mail.docx", "A 54835-2023")</f>
        <v/>
      </c>
      <c r="Z77">
        <f>HYPERLINK("https://klasma.github.io/Logging_0580/fåglar/A 54835-2023 prioriterade fågelarter.docx", "A 54835-2023")</f>
        <v/>
      </c>
    </row>
    <row r="78" ht="15" customHeight="1">
      <c r="A78" t="inlineStr">
        <is>
          <t>A 59474-2025</t>
        </is>
      </c>
      <c r="B78" s="1" t="n">
        <v>45989.58512731481</v>
      </c>
      <c r="C78" s="1" t="n">
        <v>45992</v>
      </c>
      <c r="D78" t="inlineStr">
        <is>
          <t>ÖSTERGÖTLANDS LÄN</t>
        </is>
      </c>
      <c r="E78" t="inlineStr">
        <is>
          <t>LINKÖPING</t>
        </is>
      </c>
      <c r="G78" t="n">
        <v>8</v>
      </c>
      <c r="H78" t="n">
        <v>0</v>
      </c>
      <c r="I78" t="n">
        <v>1</v>
      </c>
      <c r="J78" t="n">
        <v>0</v>
      </c>
      <c r="K78" t="n">
        <v>0</v>
      </c>
      <c r="L78" t="n">
        <v>0</v>
      </c>
      <c r="M78" t="n">
        <v>0</v>
      </c>
      <c r="N78" t="n">
        <v>0</v>
      </c>
      <c r="O78" t="n">
        <v>0</v>
      </c>
      <c r="P78" t="n">
        <v>0</v>
      </c>
      <c r="Q78" t="n">
        <v>1</v>
      </c>
      <c r="R78" s="2" t="inlineStr">
        <is>
          <t>Fällmossa</t>
        </is>
      </c>
      <c r="S78">
        <f>HYPERLINK("https://klasma.github.io/Logging_0580/artfynd/A 59474-2025 artfynd.xlsx", "A 59474-2025")</f>
        <v/>
      </c>
      <c r="T78">
        <f>HYPERLINK("https://klasma.github.io/Logging_0580/kartor/A 59474-2025 karta.png", "A 59474-2025")</f>
        <v/>
      </c>
      <c r="V78">
        <f>HYPERLINK("https://klasma.github.io/Logging_0580/klagomål/A 59474-2025 FSC-klagomål.docx", "A 59474-2025")</f>
        <v/>
      </c>
      <c r="W78">
        <f>HYPERLINK("https://klasma.github.io/Logging_0580/klagomålsmail/A 59474-2025 FSC-klagomål mail.docx", "A 59474-2025")</f>
        <v/>
      </c>
      <c r="X78">
        <f>HYPERLINK("https://klasma.github.io/Logging_0580/tillsyn/A 59474-2025 tillsynsbegäran.docx", "A 59474-2025")</f>
        <v/>
      </c>
      <c r="Y78">
        <f>HYPERLINK("https://klasma.github.io/Logging_0580/tillsynsmail/A 59474-2025 tillsynsbegäran mail.docx", "A 59474-2025")</f>
        <v/>
      </c>
    </row>
    <row r="79" ht="15" customHeight="1">
      <c r="A79" t="inlineStr">
        <is>
          <t>A 126-2024</t>
        </is>
      </c>
      <c r="B79" s="1" t="n">
        <v>45294</v>
      </c>
      <c r="C79" s="1" t="n">
        <v>45992</v>
      </c>
      <c r="D79" t="inlineStr">
        <is>
          <t>ÖSTERGÖTLANDS LÄN</t>
        </is>
      </c>
      <c r="E79" t="inlineStr">
        <is>
          <t>LINKÖPING</t>
        </is>
      </c>
      <c r="G79" t="n">
        <v>1</v>
      </c>
      <c r="H79" t="n">
        <v>0</v>
      </c>
      <c r="I79" t="n">
        <v>1</v>
      </c>
      <c r="J79" t="n">
        <v>0</v>
      </c>
      <c r="K79" t="n">
        <v>0</v>
      </c>
      <c r="L79" t="n">
        <v>0</v>
      </c>
      <c r="M79" t="n">
        <v>0</v>
      </c>
      <c r="N79" t="n">
        <v>0</v>
      </c>
      <c r="O79" t="n">
        <v>0</v>
      </c>
      <c r="P79" t="n">
        <v>0</v>
      </c>
      <c r="Q79" t="n">
        <v>1</v>
      </c>
      <c r="R79" s="2" t="inlineStr">
        <is>
          <t>Blåmossa</t>
        </is>
      </c>
      <c r="S79">
        <f>HYPERLINK("https://klasma.github.io/Logging_0580/artfynd/A 126-2024 artfynd.xlsx", "A 126-2024")</f>
        <v/>
      </c>
      <c r="T79">
        <f>HYPERLINK("https://klasma.github.io/Logging_0580/kartor/A 126-2024 karta.png", "A 126-2024")</f>
        <v/>
      </c>
      <c r="V79">
        <f>HYPERLINK("https://klasma.github.io/Logging_0580/klagomål/A 126-2024 FSC-klagomål.docx", "A 126-2024")</f>
        <v/>
      </c>
      <c r="W79">
        <f>HYPERLINK("https://klasma.github.io/Logging_0580/klagomålsmail/A 126-2024 FSC-klagomål mail.docx", "A 126-2024")</f>
        <v/>
      </c>
      <c r="X79">
        <f>HYPERLINK("https://klasma.github.io/Logging_0580/tillsyn/A 126-2024 tillsynsbegäran.docx", "A 126-2024")</f>
        <v/>
      </c>
      <c r="Y79">
        <f>HYPERLINK("https://klasma.github.io/Logging_0580/tillsynsmail/A 126-2024 tillsynsbegäran mail.docx", "A 126-2024")</f>
        <v/>
      </c>
    </row>
    <row r="80" ht="15" customHeight="1">
      <c r="A80" t="inlineStr">
        <is>
          <t>A 3395-2023</t>
        </is>
      </c>
      <c r="B80" s="1" t="n">
        <v>44949</v>
      </c>
      <c r="C80" s="1" t="n">
        <v>45992</v>
      </c>
      <c r="D80" t="inlineStr">
        <is>
          <t>ÖSTERGÖTLANDS LÄN</t>
        </is>
      </c>
      <c r="E80" t="inlineStr">
        <is>
          <t>LINKÖPING</t>
        </is>
      </c>
      <c r="G80" t="n">
        <v>2</v>
      </c>
      <c r="H80" t="n">
        <v>0</v>
      </c>
      <c r="I80" t="n">
        <v>0</v>
      </c>
      <c r="J80" t="n">
        <v>1</v>
      </c>
      <c r="K80" t="n">
        <v>0</v>
      </c>
      <c r="L80" t="n">
        <v>0</v>
      </c>
      <c r="M80" t="n">
        <v>0</v>
      </c>
      <c r="N80" t="n">
        <v>0</v>
      </c>
      <c r="O80" t="n">
        <v>1</v>
      </c>
      <c r="P80" t="n">
        <v>0</v>
      </c>
      <c r="Q80" t="n">
        <v>1</v>
      </c>
      <c r="R80" s="2" t="inlineStr">
        <is>
          <t>Sommarfibbla</t>
        </is>
      </c>
      <c r="S80">
        <f>HYPERLINK("https://klasma.github.io/Logging_0580/artfynd/A 3395-2023 artfynd.xlsx", "A 3395-2023")</f>
        <v/>
      </c>
      <c r="T80">
        <f>HYPERLINK("https://klasma.github.io/Logging_0580/kartor/A 3395-2023 karta.png", "A 3395-2023")</f>
        <v/>
      </c>
      <c r="V80">
        <f>HYPERLINK("https://klasma.github.io/Logging_0580/klagomål/A 3395-2023 FSC-klagomål.docx", "A 3395-2023")</f>
        <v/>
      </c>
      <c r="W80">
        <f>HYPERLINK("https://klasma.github.io/Logging_0580/klagomålsmail/A 3395-2023 FSC-klagomål mail.docx", "A 3395-2023")</f>
        <v/>
      </c>
      <c r="X80">
        <f>HYPERLINK("https://klasma.github.io/Logging_0580/tillsyn/A 3395-2023 tillsynsbegäran.docx", "A 3395-2023")</f>
        <v/>
      </c>
      <c r="Y80">
        <f>HYPERLINK("https://klasma.github.io/Logging_0580/tillsynsmail/A 3395-2023 tillsynsbegäran mail.docx", "A 3395-2023")</f>
        <v/>
      </c>
    </row>
    <row r="81" ht="15" customHeight="1">
      <c r="A81" t="inlineStr">
        <is>
          <t>A 19103-2021</t>
        </is>
      </c>
      <c r="B81" s="1" t="n">
        <v>44308</v>
      </c>
      <c r="C81" s="1" t="n">
        <v>45992</v>
      </c>
      <c r="D81" t="inlineStr">
        <is>
          <t>ÖSTERGÖTLANDS LÄN</t>
        </is>
      </c>
      <c r="E81" t="inlineStr">
        <is>
          <t>LINKÖPING</t>
        </is>
      </c>
      <c r="G81" t="n">
        <v>4.7</v>
      </c>
      <c r="H81" t="n">
        <v>0</v>
      </c>
      <c r="I81" t="n">
        <v>0</v>
      </c>
      <c r="J81" t="n">
        <v>1</v>
      </c>
      <c r="K81" t="n">
        <v>0</v>
      </c>
      <c r="L81" t="n">
        <v>0</v>
      </c>
      <c r="M81" t="n">
        <v>0</v>
      </c>
      <c r="N81" t="n">
        <v>0</v>
      </c>
      <c r="O81" t="n">
        <v>1</v>
      </c>
      <c r="P81" t="n">
        <v>0</v>
      </c>
      <c r="Q81" t="n">
        <v>1</v>
      </c>
      <c r="R81" s="2" t="inlineStr">
        <is>
          <t>Tallticka</t>
        </is>
      </c>
      <c r="S81">
        <f>HYPERLINK("https://klasma.github.io/Logging_0580/artfynd/A 19103-2021 artfynd.xlsx", "A 19103-2021")</f>
        <v/>
      </c>
      <c r="T81">
        <f>HYPERLINK("https://klasma.github.io/Logging_0580/kartor/A 19103-2021 karta.png", "A 19103-2021")</f>
        <v/>
      </c>
      <c r="V81">
        <f>HYPERLINK("https://klasma.github.io/Logging_0580/klagomål/A 19103-2021 FSC-klagomål.docx", "A 19103-2021")</f>
        <v/>
      </c>
      <c r="W81">
        <f>HYPERLINK("https://klasma.github.io/Logging_0580/klagomålsmail/A 19103-2021 FSC-klagomål mail.docx", "A 19103-2021")</f>
        <v/>
      </c>
      <c r="X81">
        <f>HYPERLINK("https://klasma.github.io/Logging_0580/tillsyn/A 19103-2021 tillsynsbegäran.docx", "A 19103-2021")</f>
        <v/>
      </c>
      <c r="Y81">
        <f>HYPERLINK("https://klasma.github.io/Logging_0580/tillsynsmail/A 19103-2021 tillsynsbegäran mail.docx", "A 19103-2021")</f>
        <v/>
      </c>
    </row>
    <row r="82" ht="15" customHeight="1">
      <c r="A82" t="inlineStr">
        <is>
          <t>A 50806-2023</t>
        </is>
      </c>
      <c r="B82" s="1" t="n">
        <v>45217</v>
      </c>
      <c r="C82" s="1" t="n">
        <v>45992</v>
      </c>
      <c r="D82" t="inlineStr">
        <is>
          <t>ÖSTERGÖTLANDS LÄN</t>
        </is>
      </c>
      <c r="E82" t="inlineStr">
        <is>
          <t>LINKÖPING</t>
        </is>
      </c>
      <c r="F82" t="inlineStr">
        <is>
          <t>Övriga Aktiebolag</t>
        </is>
      </c>
      <c r="G82" t="n">
        <v>0.7</v>
      </c>
      <c r="H82" t="n">
        <v>1</v>
      </c>
      <c r="I82" t="n">
        <v>0</v>
      </c>
      <c r="J82" t="n">
        <v>0</v>
      </c>
      <c r="K82" t="n">
        <v>0</v>
      </c>
      <c r="L82" t="n">
        <v>0</v>
      </c>
      <c r="M82" t="n">
        <v>0</v>
      </c>
      <c r="N82" t="n">
        <v>0</v>
      </c>
      <c r="O82" t="n">
        <v>0</v>
      </c>
      <c r="P82" t="n">
        <v>0</v>
      </c>
      <c r="Q82" t="n">
        <v>1</v>
      </c>
      <c r="R82" s="2" t="inlineStr">
        <is>
          <t>Gullviva</t>
        </is>
      </c>
      <c r="S82">
        <f>HYPERLINK("https://klasma.github.io/Logging_0580/artfynd/A 50806-2023 artfynd.xlsx", "A 50806-2023")</f>
        <v/>
      </c>
      <c r="T82">
        <f>HYPERLINK("https://klasma.github.io/Logging_0580/kartor/A 50806-2023 karta.png", "A 50806-2023")</f>
        <v/>
      </c>
      <c r="V82">
        <f>HYPERLINK("https://klasma.github.io/Logging_0580/klagomål/A 50806-2023 FSC-klagomål.docx", "A 50806-2023")</f>
        <v/>
      </c>
      <c r="W82">
        <f>HYPERLINK("https://klasma.github.io/Logging_0580/klagomålsmail/A 50806-2023 FSC-klagomål mail.docx", "A 50806-2023")</f>
        <v/>
      </c>
      <c r="X82">
        <f>HYPERLINK("https://klasma.github.io/Logging_0580/tillsyn/A 50806-2023 tillsynsbegäran.docx", "A 50806-2023")</f>
        <v/>
      </c>
      <c r="Y82">
        <f>HYPERLINK("https://klasma.github.io/Logging_0580/tillsynsmail/A 50806-2023 tillsynsbegäran mail.docx", "A 50806-2023")</f>
        <v/>
      </c>
    </row>
    <row r="83" ht="15" customHeight="1">
      <c r="A83" t="inlineStr">
        <is>
          <t>A 39457-2023</t>
        </is>
      </c>
      <c r="B83" s="1" t="n">
        <v>45166</v>
      </c>
      <c r="C83" s="1" t="n">
        <v>45992</v>
      </c>
      <c r="D83" t="inlineStr">
        <is>
          <t>ÖSTERGÖTLANDS LÄN</t>
        </is>
      </c>
      <c r="E83" t="inlineStr">
        <is>
          <t>LINKÖPING</t>
        </is>
      </c>
      <c r="G83" t="n">
        <v>2.1</v>
      </c>
      <c r="H83" t="n">
        <v>1</v>
      </c>
      <c r="I83" t="n">
        <v>0</v>
      </c>
      <c r="J83" t="n">
        <v>0</v>
      </c>
      <c r="K83" t="n">
        <v>0</v>
      </c>
      <c r="L83" t="n">
        <v>0</v>
      </c>
      <c r="M83" t="n">
        <v>0</v>
      </c>
      <c r="N83" t="n">
        <v>0</v>
      </c>
      <c r="O83" t="n">
        <v>0</v>
      </c>
      <c r="P83" t="n">
        <v>0</v>
      </c>
      <c r="Q83" t="n">
        <v>1</v>
      </c>
      <c r="R83" s="2" t="inlineStr">
        <is>
          <t>Sparvuggla</t>
        </is>
      </c>
      <c r="S83">
        <f>HYPERLINK("https://klasma.github.io/Logging_0580/artfynd/A 39457-2023 artfynd.xlsx", "A 39457-2023")</f>
        <v/>
      </c>
      <c r="T83">
        <f>HYPERLINK("https://klasma.github.io/Logging_0580/kartor/A 39457-2023 karta.png", "A 39457-2023")</f>
        <v/>
      </c>
      <c r="V83">
        <f>HYPERLINK("https://klasma.github.io/Logging_0580/klagomål/A 39457-2023 FSC-klagomål.docx", "A 39457-2023")</f>
        <v/>
      </c>
      <c r="W83">
        <f>HYPERLINK("https://klasma.github.io/Logging_0580/klagomålsmail/A 39457-2023 FSC-klagomål mail.docx", "A 39457-2023")</f>
        <v/>
      </c>
      <c r="X83">
        <f>HYPERLINK("https://klasma.github.io/Logging_0580/tillsyn/A 39457-2023 tillsynsbegäran.docx", "A 39457-2023")</f>
        <v/>
      </c>
      <c r="Y83">
        <f>HYPERLINK("https://klasma.github.io/Logging_0580/tillsynsmail/A 39457-2023 tillsynsbegäran mail.docx", "A 39457-2023")</f>
        <v/>
      </c>
      <c r="Z83">
        <f>HYPERLINK("https://klasma.github.io/Logging_0580/fåglar/A 39457-2023 prioriterade fågelarter.docx", "A 39457-2023")</f>
        <v/>
      </c>
    </row>
    <row r="84" ht="15" customHeight="1">
      <c r="A84" t="inlineStr">
        <is>
          <t>A 35948-2023</t>
        </is>
      </c>
      <c r="B84" s="1" t="n">
        <v>45148</v>
      </c>
      <c r="C84" s="1" t="n">
        <v>45992</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62071-2023</t>
        </is>
      </c>
      <c r="B85" s="1" t="n">
        <v>45266.73542824074</v>
      </c>
      <c r="C85" s="1" t="n">
        <v>45992</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3397-2023</t>
        </is>
      </c>
      <c r="B86" s="1" t="n">
        <v>44949</v>
      </c>
      <c r="C86" s="1" t="n">
        <v>45992</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Svinrot</t>
        </is>
      </c>
      <c r="S86">
        <f>HYPERLINK("https://klasma.github.io/Logging_0580/artfynd/A 3397-2023 artfynd.xlsx", "A 3397-2023")</f>
        <v/>
      </c>
      <c r="T86">
        <f>HYPERLINK("https://klasma.github.io/Logging_0580/kartor/A 3397-2023 karta.png", "A 3397-2023")</f>
        <v/>
      </c>
      <c r="V86">
        <f>HYPERLINK("https://klasma.github.io/Logging_0580/klagomål/A 3397-2023 FSC-klagomål.docx", "A 3397-2023")</f>
        <v/>
      </c>
      <c r="W86">
        <f>HYPERLINK("https://klasma.github.io/Logging_0580/klagomålsmail/A 3397-2023 FSC-klagomål mail.docx", "A 3397-2023")</f>
        <v/>
      </c>
      <c r="X86">
        <f>HYPERLINK("https://klasma.github.io/Logging_0580/tillsyn/A 3397-2023 tillsynsbegäran.docx", "A 3397-2023")</f>
        <v/>
      </c>
      <c r="Y86">
        <f>HYPERLINK("https://klasma.github.io/Logging_0580/tillsynsmail/A 3397-2023 tillsynsbegäran mail.docx", "A 3397-2023")</f>
        <v/>
      </c>
    </row>
    <row r="87" ht="15" customHeight="1">
      <c r="A87" t="inlineStr">
        <is>
          <t>A 20295-2025</t>
        </is>
      </c>
      <c r="B87" s="1" t="n">
        <v>45774.74846064814</v>
      </c>
      <c r="C87" s="1" t="n">
        <v>45992</v>
      </c>
      <c r="D87" t="inlineStr">
        <is>
          <t>ÖSTERGÖTLANDS LÄN</t>
        </is>
      </c>
      <c r="E87" t="inlineStr">
        <is>
          <t>LINKÖPING</t>
        </is>
      </c>
      <c r="G87" t="n">
        <v>3</v>
      </c>
      <c r="H87" t="n">
        <v>0</v>
      </c>
      <c r="I87" t="n">
        <v>0</v>
      </c>
      <c r="J87" t="n">
        <v>1</v>
      </c>
      <c r="K87" t="n">
        <v>0</v>
      </c>
      <c r="L87" t="n">
        <v>0</v>
      </c>
      <c r="M87" t="n">
        <v>0</v>
      </c>
      <c r="N87" t="n">
        <v>0</v>
      </c>
      <c r="O87" t="n">
        <v>1</v>
      </c>
      <c r="P87" t="n">
        <v>0</v>
      </c>
      <c r="Q87" t="n">
        <v>1</v>
      </c>
      <c r="R87" s="2" t="inlineStr">
        <is>
          <t>Tallticka</t>
        </is>
      </c>
      <c r="S87">
        <f>HYPERLINK("https://klasma.github.io/Logging_0580/artfynd/A 20295-2025 artfynd.xlsx", "A 20295-2025")</f>
        <v/>
      </c>
      <c r="T87">
        <f>HYPERLINK("https://klasma.github.io/Logging_0580/kartor/A 20295-2025 karta.png", "A 20295-2025")</f>
        <v/>
      </c>
      <c r="V87">
        <f>HYPERLINK("https://klasma.github.io/Logging_0580/klagomål/A 20295-2025 FSC-klagomål.docx", "A 20295-2025")</f>
        <v/>
      </c>
      <c r="W87">
        <f>HYPERLINK("https://klasma.github.io/Logging_0580/klagomålsmail/A 20295-2025 FSC-klagomål mail.docx", "A 20295-2025")</f>
        <v/>
      </c>
      <c r="X87">
        <f>HYPERLINK("https://klasma.github.io/Logging_0580/tillsyn/A 20295-2025 tillsynsbegäran.docx", "A 20295-2025")</f>
        <v/>
      </c>
      <c r="Y87">
        <f>HYPERLINK("https://klasma.github.io/Logging_0580/tillsynsmail/A 20295-2025 tillsynsbegäran mail.docx", "A 20295-2025")</f>
        <v/>
      </c>
    </row>
    <row r="88" ht="15" customHeight="1">
      <c r="A88" t="inlineStr">
        <is>
          <t>A 60573-2021</t>
        </is>
      </c>
      <c r="B88" s="1" t="n">
        <v>44496</v>
      </c>
      <c r="C88" s="1" t="n">
        <v>45992</v>
      </c>
      <c r="D88" t="inlineStr">
        <is>
          <t>ÖSTERGÖTLANDS LÄN</t>
        </is>
      </c>
      <c r="E88" t="inlineStr">
        <is>
          <t>LINKÖPING</t>
        </is>
      </c>
      <c r="F88" t="inlineStr">
        <is>
          <t>Övriga Aktiebolag</t>
        </is>
      </c>
      <c r="G88" t="n">
        <v>5.6</v>
      </c>
      <c r="H88" t="n">
        <v>0</v>
      </c>
      <c r="I88" t="n">
        <v>0</v>
      </c>
      <c r="J88" t="n">
        <v>1</v>
      </c>
      <c r="K88" t="n">
        <v>0</v>
      </c>
      <c r="L88" t="n">
        <v>0</v>
      </c>
      <c r="M88" t="n">
        <v>0</v>
      </c>
      <c r="N88" t="n">
        <v>0</v>
      </c>
      <c r="O88" t="n">
        <v>1</v>
      </c>
      <c r="P88" t="n">
        <v>0</v>
      </c>
      <c r="Q88" t="n">
        <v>1</v>
      </c>
      <c r="R88" s="2" t="inlineStr">
        <is>
          <t>Sommarfibbla</t>
        </is>
      </c>
      <c r="S88">
        <f>HYPERLINK("https://klasma.github.io/Logging_0580/artfynd/A 60573-2021 artfynd.xlsx", "A 60573-2021")</f>
        <v/>
      </c>
      <c r="T88">
        <f>HYPERLINK("https://klasma.github.io/Logging_0580/kartor/A 60573-2021 karta.png", "A 60573-2021")</f>
        <v/>
      </c>
      <c r="V88">
        <f>HYPERLINK("https://klasma.github.io/Logging_0580/klagomål/A 60573-2021 FSC-klagomål.docx", "A 60573-2021")</f>
        <v/>
      </c>
      <c r="W88">
        <f>HYPERLINK("https://klasma.github.io/Logging_0580/klagomålsmail/A 60573-2021 FSC-klagomål mail.docx", "A 60573-2021")</f>
        <v/>
      </c>
      <c r="X88">
        <f>HYPERLINK("https://klasma.github.io/Logging_0580/tillsyn/A 60573-2021 tillsynsbegäran.docx", "A 60573-2021")</f>
        <v/>
      </c>
      <c r="Y88">
        <f>HYPERLINK("https://klasma.github.io/Logging_0580/tillsynsmail/A 60573-2021 tillsynsbegäran mail.docx", "A 60573-2021")</f>
        <v/>
      </c>
    </row>
    <row r="89" ht="15" customHeight="1">
      <c r="A89" t="inlineStr">
        <is>
          <t>A 41749-2023</t>
        </is>
      </c>
      <c r="B89" s="1" t="n">
        <v>45176</v>
      </c>
      <c r="C89" s="1" t="n">
        <v>45992</v>
      </c>
      <c r="D89" t="inlineStr">
        <is>
          <t>ÖSTERGÖTLANDS LÄN</t>
        </is>
      </c>
      <c r="E89" t="inlineStr">
        <is>
          <t>LINKÖPING</t>
        </is>
      </c>
      <c r="G89" t="n">
        <v>3.6</v>
      </c>
      <c r="H89" t="n">
        <v>0</v>
      </c>
      <c r="I89" t="n">
        <v>0</v>
      </c>
      <c r="J89" t="n">
        <v>1</v>
      </c>
      <c r="K89" t="n">
        <v>0</v>
      </c>
      <c r="L89" t="n">
        <v>0</v>
      </c>
      <c r="M89" t="n">
        <v>0</v>
      </c>
      <c r="N89" t="n">
        <v>0</v>
      </c>
      <c r="O89" t="n">
        <v>1</v>
      </c>
      <c r="P89" t="n">
        <v>0</v>
      </c>
      <c r="Q89" t="n">
        <v>1</v>
      </c>
      <c r="R89" s="2" t="inlineStr">
        <is>
          <t>Svinrot</t>
        </is>
      </c>
      <c r="S89">
        <f>HYPERLINK("https://klasma.github.io/Logging_0580/artfynd/A 41749-2023 artfynd.xlsx", "A 41749-2023")</f>
        <v/>
      </c>
      <c r="T89">
        <f>HYPERLINK("https://klasma.github.io/Logging_0580/kartor/A 41749-2023 karta.png", "A 41749-2023")</f>
        <v/>
      </c>
      <c r="V89">
        <f>HYPERLINK("https://klasma.github.io/Logging_0580/klagomål/A 41749-2023 FSC-klagomål.docx", "A 41749-2023")</f>
        <v/>
      </c>
      <c r="W89">
        <f>HYPERLINK("https://klasma.github.io/Logging_0580/klagomålsmail/A 41749-2023 FSC-klagomål mail.docx", "A 41749-2023")</f>
        <v/>
      </c>
      <c r="X89">
        <f>HYPERLINK("https://klasma.github.io/Logging_0580/tillsyn/A 41749-2023 tillsynsbegäran.docx", "A 41749-2023")</f>
        <v/>
      </c>
      <c r="Y89">
        <f>HYPERLINK("https://klasma.github.io/Logging_0580/tillsynsmail/A 41749-2023 tillsynsbegäran mail.docx", "A 41749-2023")</f>
        <v/>
      </c>
    </row>
    <row r="90" ht="15" customHeight="1">
      <c r="A90" t="inlineStr">
        <is>
          <t>A 38881-2021</t>
        </is>
      </c>
      <c r="B90" s="1" t="n">
        <v>44411.46893518518</v>
      </c>
      <c r="C90" s="1" t="n">
        <v>45992</v>
      </c>
      <c r="D90" t="inlineStr">
        <is>
          <t>ÖSTERGÖTLANDS LÄN</t>
        </is>
      </c>
      <c r="E90" t="inlineStr">
        <is>
          <t>LINKÖPING</t>
        </is>
      </c>
      <c r="G90" t="n">
        <v>2.2</v>
      </c>
      <c r="H90" t="n">
        <v>0</v>
      </c>
      <c r="I90" t="n">
        <v>0</v>
      </c>
      <c r="J90" t="n">
        <v>0</v>
      </c>
      <c r="K90" t="n">
        <v>0</v>
      </c>
      <c r="L90" t="n">
        <v>0</v>
      </c>
      <c r="M90" t="n">
        <v>0</v>
      </c>
      <c r="N90" t="n">
        <v>0</v>
      </c>
      <c r="O90" t="n">
        <v>0</v>
      </c>
      <c r="P90" t="n">
        <v>0</v>
      </c>
      <c r="Q90" t="n">
        <v>0</v>
      </c>
      <c r="R90" s="2" t="inlineStr"/>
    </row>
    <row r="91" ht="15" customHeight="1">
      <c r="A91" t="inlineStr">
        <is>
          <t>A 38887-2021</t>
        </is>
      </c>
      <c r="B91" s="1" t="n">
        <v>44411</v>
      </c>
      <c r="C91" s="1" t="n">
        <v>45992</v>
      </c>
      <c r="D91" t="inlineStr">
        <is>
          <t>ÖSTERGÖTLANDS LÄN</t>
        </is>
      </c>
      <c r="E91" t="inlineStr">
        <is>
          <t>LINKÖPING</t>
        </is>
      </c>
      <c r="G91" t="n">
        <v>1.6</v>
      </c>
      <c r="H91" t="n">
        <v>0</v>
      </c>
      <c r="I91" t="n">
        <v>0</v>
      </c>
      <c r="J91" t="n">
        <v>0</v>
      </c>
      <c r="K91" t="n">
        <v>0</v>
      </c>
      <c r="L91" t="n">
        <v>0</v>
      </c>
      <c r="M91" t="n">
        <v>0</v>
      </c>
      <c r="N91" t="n">
        <v>0</v>
      </c>
      <c r="O91" t="n">
        <v>0</v>
      </c>
      <c r="P91" t="n">
        <v>0</v>
      </c>
      <c r="Q91" t="n">
        <v>0</v>
      </c>
      <c r="R91" s="2" t="inlineStr"/>
    </row>
    <row r="92" ht="15" customHeight="1">
      <c r="A92" t="inlineStr">
        <is>
          <t>A 5008-2021</t>
        </is>
      </c>
      <c r="B92" s="1" t="n">
        <v>44228</v>
      </c>
      <c r="C92" s="1" t="n">
        <v>45992</v>
      </c>
      <c r="D92" t="inlineStr">
        <is>
          <t>ÖSTERGÖTLANDS LÄN</t>
        </is>
      </c>
      <c r="E92" t="inlineStr">
        <is>
          <t>LINKÖPING</t>
        </is>
      </c>
      <c r="F92" t="inlineStr">
        <is>
          <t>Övriga Aktiebolag</t>
        </is>
      </c>
      <c r="G92" t="n">
        <v>0.3</v>
      </c>
      <c r="H92" t="n">
        <v>0</v>
      </c>
      <c r="I92" t="n">
        <v>0</v>
      </c>
      <c r="J92" t="n">
        <v>0</v>
      </c>
      <c r="K92" t="n">
        <v>0</v>
      </c>
      <c r="L92" t="n">
        <v>0</v>
      </c>
      <c r="M92" t="n">
        <v>0</v>
      </c>
      <c r="N92" t="n">
        <v>0</v>
      </c>
      <c r="O92" t="n">
        <v>0</v>
      </c>
      <c r="P92" t="n">
        <v>0</v>
      </c>
      <c r="Q92" t="n">
        <v>0</v>
      </c>
      <c r="R92" s="2" t="inlineStr"/>
    </row>
    <row r="93" ht="15" customHeight="1">
      <c r="A93" t="inlineStr">
        <is>
          <t>A 56239-2021</t>
        </is>
      </c>
      <c r="B93" s="1" t="n">
        <v>44478</v>
      </c>
      <c r="C93" s="1" t="n">
        <v>45992</v>
      </c>
      <c r="D93" t="inlineStr">
        <is>
          <t>ÖSTERGÖTLANDS LÄN</t>
        </is>
      </c>
      <c r="E93" t="inlineStr">
        <is>
          <t>LINKÖPING</t>
        </is>
      </c>
      <c r="F93" t="inlineStr">
        <is>
          <t>Övriga Aktiebolag</t>
        </is>
      </c>
      <c r="G93" t="n">
        <v>3</v>
      </c>
      <c r="H93" t="n">
        <v>0</v>
      </c>
      <c r="I93" t="n">
        <v>0</v>
      </c>
      <c r="J93" t="n">
        <v>0</v>
      </c>
      <c r="K93" t="n">
        <v>0</v>
      </c>
      <c r="L93" t="n">
        <v>0</v>
      </c>
      <c r="M93" t="n">
        <v>0</v>
      </c>
      <c r="N93" t="n">
        <v>0</v>
      </c>
      <c r="O93" t="n">
        <v>0</v>
      </c>
      <c r="P93" t="n">
        <v>0</v>
      </c>
      <c r="Q93" t="n">
        <v>0</v>
      </c>
      <c r="R93" s="2" t="inlineStr"/>
    </row>
    <row r="94" ht="15" customHeight="1">
      <c r="A94" t="inlineStr">
        <is>
          <t>A 7289-2021</t>
        </is>
      </c>
      <c r="B94" s="1" t="n">
        <v>44238</v>
      </c>
      <c r="C94" s="1" t="n">
        <v>45992</v>
      </c>
      <c r="D94" t="inlineStr">
        <is>
          <t>ÖSTERGÖTLANDS LÄN</t>
        </is>
      </c>
      <c r="E94" t="inlineStr">
        <is>
          <t>LINKÖPING</t>
        </is>
      </c>
      <c r="G94" t="n">
        <v>0.7</v>
      </c>
      <c r="H94" t="n">
        <v>0</v>
      </c>
      <c r="I94" t="n">
        <v>0</v>
      </c>
      <c r="J94" t="n">
        <v>0</v>
      </c>
      <c r="K94" t="n">
        <v>0</v>
      </c>
      <c r="L94" t="n">
        <v>0</v>
      </c>
      <c r="M94" t="n">
        <v>0</v>
      </c>
      <c r="N94" t="n">
        <v>0</v>
      </c>
      <c r="O94" t="n">
        <v>0</v>
      </c>
      <c r="P94" t="n">
        <v>0</v>
      </c>
      <c r="Q94" t="n">
        <v>0</v>
      </c>
      <c r="R94" s="2" t="inlineStr"/>
    </row>
    <row r="95" ht="15" customHeight="1">
      <c r="A95" t="inlineStr">
        <is>
          <t>A 398-2021</t>
        </is>
      </c>
      <c r="B95" s="1" t="n">
        <v>44201</v>
      </c>
      <c r="C95" s="1" t="n">
        <v>45992</v>
      </c>
      <c r="D95" t="inlineStr">
        <is>
          <t>ÖSTERGÖTLANDS LÄN</t>
        </is>
      </c>
      <c r="E95" t="inlineStr">
        <is>
          <t>LINKÖPING</t>
        </is>
      </c>
      <c r="G95" t="n">
        <v>2.2</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45992</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45992</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45992</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45992</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45992</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45992</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45992</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45992</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45992</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45992</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45992</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45992</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45992</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45992</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45992</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45992</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45992</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45992</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45992</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261-2021</t>
        </is>
      </c>
      <c r="B115" s="1" t="n">
        <v>44200</v>
      </c>
      <c r="C115" s="1" t="n">
        <v>45992</v>
      </c>
      <c r="D115" t="inlineStr">
        <is>
          <t>ÖSTERGÖTLANDS LÄN</t>
        </is>
      </c>
      <c r="E115" t="inlineStr">
        <is>
          <t>LINKÖPING</t>
        </is>
      </c>
      <c r="G115" t="n">
        <v>3.1</v>
      </c>
      <c r="H115" t="n">
        <v>0</v>
      </c>
      <c r="I115" t="n">
        <v>0</v>
      </c>
      <c r="J115" t="n">
        <v>0</v>
      </c>
      <c r="K115" t="n">
        <v>0</v>
      </c>
      <c r="L115" t="n">
        <v>0</v>
      </c>
      <c r="M115" t="n">
        <v>0</v>
      </c>
      <c r="N115" t="n">
        <v>0</v>
      </c>
      <c r="O115" t="n">
        <v>0</v>
      </c>
      <c r="P115" t="n">
        <v>0</v>
      </c>
      <c r="Q115" t="n">
        <v>0</v>
      </c>
      <c r="R115" s="2" t="inlineStr"/>
    </row>
    <row r="116" ht="15" customHeight="1">
      <c r="A116" t="inlineStr">
        <is>
          <t>A 67120-2020</t>
        </is>
      </c>
      <c r="B116" s="1" t="n">
        <v>44180</v>
      </c>
      <c r="C116" s="1" t="n">
        <v>45992</v>
      </c>
      <c r="D116" t="inlineStr">
        <is>
          <t>ÖSTERGÖTLANDS LÄN</t>
        </is>
      </c>
      <c r="E116" t="inlineStr">
        <is>
          <t>LINKÖPING</t>
        </is>
      </c>
      <c r="F116" t="inlineStr">
        <is>
          <t>Övriga statliga verk och myndigheter</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45992</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45992</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45992</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3679-2021</t>
        </is>
      </c>
      <c r="B120" s="1" t="n">
        <v>44221</v>
      </c>
      <c r="C120" s="1" t="n">
        <v>45992</v>
      </c>
      <c r="D120" t="inlineStr">
        <is>
          <t>ÖSTERGÖTLANDS LÄN</t>
        </is>
      </c>
      <c r="E120" t="inlineStr">
        <is>
          <t>LINKÖPING</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45992</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45992</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45992</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45992</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45992</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45992</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45992</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45992</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45992</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45992</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45992</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45992</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45992</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45992</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45992</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45992</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27313-2021</t>
        </is>
      </c>
      <c r="B137" s="1" t="n">
        <v>44350</v>
      </c>
      <c r="C137" s="1" t="n">
        <v>45992</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45992</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45992</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45992</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45992</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45992</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45992</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52966-2021</t>
        </is>
      </c>
      <c r="B144" s="1" t="n">
        <v>44467</v>
      </c>
      <c r="C144" s="1" t="n">
        <v>45992</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25305-2021</t>
        </is>
      </c>
      <c r="B145" s="1" t="n">
        <v>44342</v>
      </c>
      <c r="C145" s="1" t="n">
        <v>45992</v>
      </c>
      <c r="D145" t="inlineStr">
        <is>
          <t>ÖSTERGÖTLANDS LÄN</t>
        </is>
      </c>
      <c r="E145" t="inlineStr">
        <is>
          <t>LINKÖPING</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384-2021</t>
        </is>
      </c>
      <c r="B146" s="1" t="n">
        <v>44201.57689814815</v>
      </c>
      <c r="C146" s="1" t="n">
        <v>45992</v>
      </c>
      <c r="D146" t="inlineStr">
        <is>
          <t>ÖSTERGÖTLANDS LÄN</t>
        </is>
      </c>
      <c r="E146" t="inlineStr">
        <is>
          <t>LINKÖPING</t>
        </is>
      </c>
      <c r="G146" t="n">
        <v>0.2</v>
      </c>
      <c r="H146" t="n">
        <v>0</v>
      </c>
      <c r="I146" t="n">
        <v>0</v>
      </c>
      <c r="J146" t="n">
        <v>0</v>
      </c>
      <c r="K146" t="n">
        <v>0</v>
      </c>
      <c r="L146" t="n">
        <v>0</v>
      </c>
      <c r="M146" t="n">
        <v>0</v>
      </c>
      <c r="N146" t="n">
        <v>0</v>
      </c>
      <c r="O146" t="n">
        <v>0</v>
      </c>
      <c r="P146" t="n">
        <v>0</v>
      </c>
      <c r="Q146" t="n">
        <v>0</v>
      </c>
      <c r="R146" s="2" t="inlineStr"/>
    </row>
    <row r="147" ht="15" customHeight="1">
      <c r="A147" t="inlineStr">
        <is>
          <t>A 38130-2021</t>
        </is>
      </c>
      <c r="B147" s="1" t="n">
        <v>44405</v>
      </c>
      <c r="C147" s="1" t="n">
        <v>45992</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45992</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52968-2021</t>
        </is>
      </c>
      <c r="B149" s="1" t="n">
        <v>44467</v>
      </c>
      <c r="C149" s="1" t="n">
        <v>45992</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45992</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48016-2021</t>
        </is>
      </c>
      <c r="B151" s="1" t="n">
        <v>44449</v>
      </c>
      <c r="C151" s="1" t="n">
        <v>45992</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30858-2022</t>
        </is>
      </c>
      <c r="B152" s="1" t="n">
        <v>44767</v>
      </c>
      <c r="C152" s="1" t="n">
        <v>45992</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45992</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45992</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45992</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45992</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31705-2022</t>
        </is>
      </c>
      <c r="B157" s="1" t="n">
        <v>44776.43607638889</v>
      </c>
      <c r="C157" s="1" t="n">
        <v>45992</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19318-2022</t>
        </is>
      </c>
      <c r="B158" s="1" t="n">
        <v>44692.5827662037</v>
      </c>
      <c r="C158" s="1" t="n">
        <v>45992</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45992</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45992</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4240-2022</t>
        </is>
      </c>
      <c r="B161" s="1" t="n">
        <v>44588</v>
      </c>
      <c r="C161" s="1" t="n">
        <v>45992</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46891-2021</t>
        </is>
      </c>
      <c r="B162" s="1" t="n">
        <v>44446.44587962963</v>
      </c>
      <c r="C162" s="1" t="n">
        <v>45992</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45992</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45992</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13922-2021</t>
        </is>
      </c>
      <c r="B165" s="1" t="n">
        <v>44277.45946759259</v>
      </c>
      <c r="C165" s="1" t="n">
        <v>45992</v>
      </c>
      <c r="D165" t="inlineStr">
        <is>
          <t>ÖSTERGÖTLANDS LÄN</t>
        </is>
      </c>
      <c r="E165" t="inlineStr">
        <is>
          <t>LINKÖPING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1787-2022</t>
        </is>
      </c>
      <c r="B166" s="1" t="n">
        <v>44574</v>
      </c>
      <c r="C166" s="1" t="n">
        <v>45992</v>
      </c>
      <c r="D166" t="inlineStr">
        <is>
          <t>ÖSTERGÖTLANDS LÄN</t>
        </is>
      </c>
      <c r="E166" t="inlineStr">
        <is>
          <t>LINKÖPING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45992</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37014-2021</t>
        </is>
      </c>
      <c r="B168" s="1" t="n">
        <v>44393</v>
      </c>
      <c r="C168" s="1" t="n">
        <v>45992</v>
      </c>
      <c r="D168" t="inlineStr">
        <is>
          <t>ÖSTERGÖTLANDS LÄN</t>
        </is>
      </c>
      <c r="E168" t="inlineStr">
        <is>
          <t>LINKÖPING</t>
        </is>
      </c>
      <c r="F168" t="inlineStr">
        <is>
          <t>Allmännings- och besparingsskogar</t>
        </is>
      </c>
      <c r="G168" t="n">
        <v>7.7</v>
      </c>
      <c r="H168" t="n">
        <v>0</v>
      </c>
      <c r="I168" t="n">
        <v>0</v>
      </c>
      <c r="J168" t="n">
        <v>0</v>
      </c>
      <c r="K168" t="n">
        <v>0</v>
      </c>
      <c r="L168" t="n">
        <v>0</v>
      </c>
      <c r="M168" t="n">
        <v>0</v>
      </c>
      <c r="N168" t="n">
        <v>0</v>
      </c>
      <c r="O168" t="n">
        <v>0</v>
      </c>
      <c r="P168" t="n">
        <v>0</v>
      </c>
      <c r="Q168" t="n">
        <v>0</v>
      </c>
      <c r="R168" s="2" t="inlineStr"/>
    </row>
    <row r="169" ht="15" customHeight="1">
      <c r="A169" t="inlineStr">
        <is>
          <t>A 38134-2021</t>
        </is>
      </c>
      <c r="B169" s="1" t="n">
        <v>44405.3794212963</v>
      </c>
      <c r="C169" s="1" t="n">
        <v>45992</v>
      </c>
      <c r="D169" t="inlineStr">
        <is>
          <t>ÖSTERGÖTLANDS LÄN</t>
        </is>
      </c>
      <c r="E169" t="inlineStr">
        <is>
          <t>LINKÖPING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44849-2022</t>
        </is>
      </c>
      <c r="B170" s="1" t="n">
        <v>44841</v>
      </c>
      <c r="C170" s="1" t="n">
        <v>45992</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70835-2021</t>
        </is>
      </c>
      <c r="B171" s="1" t="n">
        <v>44537</v>
      </c>
      <c r="C171" s="1" t="n">
        <v>45992</v>
      </c>
      <c r="D171" t="inlineStr">
        <is>
          <t>ÖSTERGÖTLANDS LÄN</t>
        </is>
      </c>
      <c r="E171" t="inlineStr">
        <is>
          <t>LINKÖPING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37934-2022</t>
        </is>
      </c>
      <c r="B172" s="1" t="n">
        <v>44809</v>
      </c>
      <c r="C172" s="1" t="n">
        <v>45992</v>
      </c>
      <c r="D172" t="inlineStr">
        <is>
          <t>ÖSTERGÖTLANDS LÄN</t>
        </is>
      </c>
      <c r="E172" t="inlineStr">
        <is>
          <t>LINKÖPING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54854-2022</t>
        </is>
      </c>
      <c r="B173" s="1" t="n">
        <v>44884</v>
      </c>
      <c r="C173" s="1" t="n">
        <v>45992</v>
      </c>
      <c r="D173" t="inlineStr">
        <is>
          <t>ÖSTERGÖTLANDS LÄN</t>
        </is>
      </c>
      <c r="E173" t="inlineStr">
        <is>
          <t>LINKÖPING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54855-2022</t>
        </is>
      </c>
      <c r="B174" s="1" t="n">
        <v>44884.59502314815</v>
      </c>
      <c r="C174" s="1" t="n">
        <v>45992</v>
      </c>
      <c r="D174" t="inlineStr">
        <is>
          <t>ÖSTERGÖTLANDS LÄN</t>
        </is>
      </c>
      <c r="E174" t="inlineStr">
        <is>
          <t>LINKÖPING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11079-2022</t>
        </is>
      </c>
      <c r="B175" s="1" t="n">
        <v>44628</v>
      </c>
      <c r="C175" s="1" t="n">
        <v>45992</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20901-2021</t>
        </is>
      </c>
      <c r="B176" s="1" t="n">
        <v>44319</v>
      </c>
      <c r="C176" s="1" t="n">
        <v>45992</v>
      </c>
      <c r="D176" t="inlineStr">
        <is>
          <t>ÖSTERGÖTLANDS LÄN</t>
        </is>
      </c>
      <c r="E176" t="inlineStr">
        <is>
          <t>LINKÖPING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65398-2021</t>
        </is>
      </c>
      <c r="B177" s="1" t="n">
        <v>44515</v>
      </c>
      <c r="C177" s="1" t="n">
        <v>45992</v>
      </c>
      <c r="D177" t="inlineStr">
        <is>
          <t>ÖSTERGÖTLANDS LÄN</t>
        </is>
      </c>
      <c r="E177" t="inlineStr">
        <is>
          <t>LINKÖPING</t>
        </is>
      </c>
      <c r="F177" t="inlineStr">
        <is>
          <t>Övriga statliga verk och myndigheter</t>
        </is>
      </c>
      <c r="G177" t="n">
        <v>2.4</v>
      </c>
      <c r="H177" t="n">
        <v>0</v>
      </c>
      <c r="I177" t="n">
        <v>0</v>
      </c>
      <c r="J177" t="n">
        <v>0</v>
      </c>
      <c r="K177" t="n">
        <v>0</v>
      </c>
      <c r="L177" t="n">
        <v>0</v>
      </c>
      <c r="M177" t="n">
        <v>0</v>
      </c>
      <c r="N177" t="n">
        <v>0</v>
      </c>
      <c r="O177" t="n">
        <v>0</v>
      </c>
      <c r="P177" t="n">
        <v>0</v>
      </c>
      <c r="Q177" t="n">
        <v>0</v>
      </c>
      <c r="R177" s="2" t="inlineStr"/>
    </row>
    <row r="178" ht="15" customHeight="1">
      <c r="A178" t="inlineStr">
        <is>
          <t>A 67912-2021</t>
        </is>
      </c>
      <c r="B178" s="1" t="n">
        <v>44525</v>
      </c>
      <c r="C178" s="1" t="n">
        <v>45992</v>
      </c>
      <c r="D178" t="inlineStr">
        <is>
          <t>ÖSTERGÖTLANDS LÄN</t>
        </is>
      </c>
      <c r="E178" t="inlineStr">
        <is>
          <t>LINKÖPING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67940-2021</t>
        </is>
      </c>
      <c r="B179" s="1" t="n">
        <v>44525.62849537037</v>
      </c>
      <c r="C179" s="1" t="n">
        <v>45992</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10951-2022</t>
        </is>
      </c>
      <c r="B180" s="1" t="n">
        <v>44627</v>
      </c>
      <c r="C180" s="1" t="n">
        <v>45992</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45992</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45992</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45992</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23416-2022</t>
        </is>
      </c>
      <c r="B184" s="1" t="n">
        <v>44720.78243055556</v>
      </c>
      <c r="C184" s="1" t="n">
        <v>45992</v>
      </c>
      <c r="D184" t="inlineStr">
        <is>
          <t>ÖSTERGÖTLANDS LÄN</t>
        </is>
      </c>
      <c r="E184" t="inlineStr">
        <is>
          <t>LINKÖPING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56688-2021</t>
        </is>
      </c>
      <c r="B185" s="1" t="n">
        <v>44481</v>
      </c>
      <c r="C185" s="1" t="n">
        <v>45992</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27769-2022</t>
        </is>
      </c>
      <c r="B186" s="1" t="n">
        <v>44743.53200231482</v>
      </c>
      <c r="C186" s="1" t="n">
        <v>45992</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4929-2021</t>
        </is>
      </c>
      <c r="B187" s="1" t="n">
        <v>44227.57533564815</v>
      </c>
      <c r="C187" s="1" t="n">
        <v>45992</v>
      </c>
      <c r="D187" t="inlineStr">
        <is>
          <t>ÖSTERGÖTLANDS LÄN</t>
        </is>
      </c>
      <c r="E187" t="inlineStr">
        <is>
          <t>LINKÖPING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33891-2021</t>
        </is>
      </c>
      <c r="B188" s="1" t="n">
        <v>44378</v>
      </c>
      <c r="C188" s="1" t="n">
        <v>45992</v>
      </c>
      <c r="D188" t="inlineStr">
        <is>
          <t>ÖSTERGÖTLANDS LÄN</t>
        </is>
      </c>
      <c r="E188" t="inlineStr">
        <is>
          <t>LINKÖPING</t>
        </is>
      </c>
      <c r="G188" t="n">
        <v>5.1</v>
      </c>
      <c r="H188" t="n">
        <v>0</v>
      </c>
      <c r="I188" t="n">
        <v>0</v>
      </c>
      <c r="J188" t="n">
        <v>0</v>
      </c>
      <c r="K188" t="n">
        <v>0</v>
      </c>
      <c r="L188" t="n">
        <v>0</v>
      </c>
      <c r="M188" t="n">
        <v>0</v>
      </c>
      <c r="N188" t="n">
        <v>0</v>
      </c>
      <c r="O188" t="n">
        <v>0</v>
      </c>
      <c r="P188" t="n">
        <v>0</v>
      </c>
      <c r="Q188" t="n">
        <v>0</v>
      </c>
      <c r="R188" s="2" t="inlineStr"/>
    </row>
    <row r="189" ht="15" customHeight="1">
      <c r="A189" t="inlineStr">
        <is>
          <t>A 19254-2021</t>
        </is>
      </c>
      <c r="B189" s="1" t="n">
        <v>44309.38962962963</v>
      </c>
      <c r="C189" s="1" t="n">
        <v>45992</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45992</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45992</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33885-2021</t>
        </is>
      </c>
      <c r="B192" s="1" t="n">
        <v>44378</v>
      </c>
      <c r="C192" s="1" t="n">
        <v>45992</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45992</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4377-2021</t>
        </is>
      </c>
      <c r="B194" s="1" t="n">
        <v>44223</v>
      </c>
      <c r="C194" s="1" t="n">
        <v>45992</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34486-2021</t>
        </is>
      </c>
      <c r="B195" s="1" t="n">
        <v>44382.29295138889</v>
      </c>
      <c r="C195" s="1" t="n">
        <v>45992</v>
      </c>
      <c r="D195" t="inlineStr">
        <is>
          <t>ÖSTERGÖTLANDS LÄN</t>
        </is>
      </c>
      <c r="E195" t="inlineStr">
        <is>
          <t>LINKÖPING</t>
        </is>
      </c>
      <c r="G195" t="n">
        <v>4.4</v>
      </c>
      <c r="H195" t="n">
        <v>0</v>
      </c>
      <c r="I195" t="n">
        <v>0</v>
      </c>
      <c r="J195" t="n">
        <v>0</v>
      </c>
      <c r="K195" t="n">
        <v>0</v>
      </c>
      <c r="L195" t="n">
        <v>0</v>
      </c>
      <c r="M195" t="n">
        <v>0</v>
      </c>
      <c r="N195" t="n">
        <v>0</v>
      </c>
      <c r="O195" t="n">
        <v>0</v>
      </c>
      <c r="P195" t="n">
        <v>0</v>
      </c>
      <c r="Q195" t="n">
        <v>0</v>
      </c>
      <c r="R195" s="2" t="inlineStr"/>
    </row>
    <row r="196" ht="15" customHeight="1">
      <c r="A196" t="inlineStr">
        <is>
          <t>A 31732-2022</t>
        </is>
      </c>
      <c r="B196" s="1" t="n">
        <v>44776.49267361111</v>
      </c>
      <c r="C196" s="1" t="n">
        <v>45992</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61302-2021</t>
        </is>
      </c>
      <c r="B197" s="1" t="n">
        <v>44498.63189814815</v>
      </c>
      <c r="C197" s="1" t="n">
        <v>45992</v>
      </c>
      <c r="D197" t="inlineStr">
        <is>
          <t>ÖSTERGÖTLANDS LÄN</t>
        </is>
      </c>
      <c r="E197" t="inlineStr">
        <is>
          <t>LINKÖPING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41426-2022</t>
        </is>
      </c>
      <c r="B198" s="1" t="n">
        <v>44826</v>
      </c>
      <c r="C198" s="1" t="n">
        <v>45992</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34162-2022</t>
        </is>
      </c>
      <c r="B199" s="1" t="n">
        <v>44791</v>
      </c>
      <c r="C199" s="1" t="n">
        <v>45992</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45992</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45992</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45992</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32255-2021</t>
        </is>
      </c>
      <c r="B203" s="1" t="n">
        <v>44371.45949074074</v>
      </c>
      <c r="C203" s="1" t="n">
        <v>45992</v>
      </c>
      <c r="D203" t="inlineStr">
        <is>
          <t>ÖSTERGÖTLANDS LÄN</t>
        </is>
      </c>
      <c r="E203" t="inlineStr">
        <is>
          <t>LINKÖPING</t>
        </is>
      </c>
      <c r="F203" t="inlineStr">
        <is>
          <t>Övriga Aktiebolag</t>
        </is>
      </c>
      <c r="G203" t="n">
        <v>1.1</v>
      </c>
      <c r="H203" t="n">
        <v>0</v>
      </c>
      <c r="I203" t="n">
        <v>0</v>
      </c>
      <c r="J203" t="n">
        <v>0</v>
      </c>
      <c r="K203" t="n">
        <v>0</v>
      </c>
      <c r="L203" t="n">
        <v>0</v>
      </c>
      <c r="M203" t="n">
        <v>0</v>
      </c>
      <c r="N203" t="n">
        <v>0</v>
      </c>
      <c r="O203" t="n">
        <v>0</v>
      </c>
      <c r="P203" t="n">
        <v>0</v>
      </c>
      <c r="Q203" t="n">
        <v>0</v>
      </c>
      <c r="R203" s="2" t="inlineStr"/>
    </row>
    <row r="204" ht="15" customHeight="1">
      <c r="A204" t="inlineStr">
        <is>
          <t>A 38235-2022</t>
        </is>
      </c>
      <c r="B204" s="1" t="n">
        <v>44812</v>
      </c>
      <c r="C204" s="1" t="n">
        <v>45992</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34880-2022</t>
        </is>
      </c>
      <c r="B205" s="1" t="n">
        <v>44796</v>
      </c>
      <c r="C205" s="1" t="n">
        <v>45992</v>
      </c>
      <c r="D205" t="inlineStr">
        <is>
          <t>ÖSTERGÖTLANDS LÄN</t>
        </is>
      </c>
      <c r="E205" t="inlineStr">
        <is>
          <t>LINKÖPING</t>
        </is>
      </c>
      <c r="F205" t="inlineStr">
        <is>
          <t>Övriga statliga verk och myndigheter</t>
        </is>
      </c>
      <c r="G205" t="n">
        <v>4</v>
      </c>
      <c r="H205" t="n">
        <v>0</v>
      </c>
      <c r="I205" t="n">
        <v>0</v>
      </c>
      <c r="J205" t="n">
        <v>0</v>
      </c>
      <c r="K205" t="n">
        <v>0</v>
      </c>
      <c r="L205" t="n">
        <v>0</v>
      </c>
      <c r="M205" t="n">
        <v>0</v>
      </c>
      <c r="N205" t="n">
        <v>0</v>
      </c>
      <c r="O205" t="n">
        <v>0</v>
      </c>
      <c r="P205" t="n">
        <v>0</v>
      </c>
      <c r="Q205" t="n">
        <v>0</v>
      </c>
      <c r="R205" s="2" t="inlineStr"/>
    </row>
    <row r="206" ht="15" customHeight="1">
      <c r="A206" t="inlineStr">
        <is>
          <t>A 48042-2022</t>
        </is>
      </c>
      <c r="B206" s="1" t="n">
        <v>44855</v>
      </c>
      <c r="C206" s="1" t="n">
        <v>45992</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34558-2022</t>
        </is>
      </c>
      <c r="B207" s="1" t="n">
        <v>44794.57594907407</v>
      </c>
      <c r="C207" s="1" t="n">
        <v>45992</v>
      </c>
      <c r="D207" t="inlineStr">
        <is>
          <t>ÖSTERGÖTLANDS LÄN</t>
        </is>
      </c>
      <c r="E207" t="inlineStr">
        <is>
          <t>LINKÖPING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63489-2023</t>
        </is>
      </c>
      <c r="B208" s="1" t="n">
        <v>45274.66761574074</v>
      </c>
      <c r="C208" s="1" t="n">
        <v>45992</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54845-2023</t>
        </is>
      </c>
      <c r="B209" s="1" t="n">
        <v>45236</v>
      </c>
      <c r="C209" s="1" t="n">
        <v>45992</v>
      </c>
      <c r="D209" t="inlineStr">
        <is>
          <t>ÖSTERGÖTLANDS LÄN</t>
        </is>
      </c>
      <c r="E209" t="inlineStr">
        <is>
          <t>LINKÖPING</t>
        </is>
      </c>
      <c r="F209" t="inlineStr">
        <is>
          <t>Övriga Aktiebolag</t>
        </is>
      </c>
      <c r="G209" t="n">
        <v>5.7</v>
      </c>
      <c r="H209" t="n">
        <v>0</v>
      </c>
      <c r="I209" t="n">
        <v>0</v>
      </c>
      <c r="J209" t="n">
        <v>0</v>
      </c>
      <c r="K209" t="n">
        <v>0</v>
      </c>
      <c r="L209" t="n">
        <v>0</v>
      </c>
      <c r="M209" t="n">
        <v>0</v>
      </c>
      <c r="N209" t="n">
        <v>0</v>
      </c>
      <c r="O209" t="n">
        <v>0</v>
      </c>
      <c r="P209" t="n">
        <v>0</v>
      </c>
      <c r="Q209" t="n">
        <v>0</v>
      </c>
      <c r="R209" s="2" t="inlineStr"/>
    </row>
    <row r="210" ht="15" customHeight="1">
      <c r="A210" t="inlineStr">
        <is>
          <t>A 28266-2024</t>
        </is>
      </c>
      <c r="B210" s="1" t="n">
        <v>45477.43600694444</v>
      </c>
      <c r="C210" s="1" t="n">
        <v>45992</v>
      </c>
      <c r="D210" t="inlineStr">
        <is>
          <t>ÖSTERGÖTLANDS LÄN</t>
        </is>
      </c>
      <c r="E210" t="inlineStr">
        <is>
          <t>LINKÖPING</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3008-2023</t>
        </is>
      </c>
      <c r="B211" s="1" t="n">
        <v>44945.79784722222</v>
      </c>
      <c r="C211" s="1" t="n">
        <v>45992</v>
      </c>
      <c r="D211" t="inlineStr">
        <is>
          <t>ÖSTERGÖTLANDS LÄN</t>
        </is>
      </c>
      <c r="E211" t="inlineStr">
        <is>
          <t>LINKÖPING</t>
        </is>
      </c>
      <c r="G211" t="n">
        <v>19.3</v>
      </c>
      <c r="H211" t="n">
        <v>0</v>
      </c>
      <c r="I211" t="n">
        <v>0</v>
      </c>
      <c r="J211" t="n">
        <v>0</v>
      </c>
      <c r="K211" t="n">
        <v>0</v>
      </c>
      <c r="L211" t="n">
        <v>0</v>
      </c>
      <c r="M211" t="n">
        <v>0</v>
      </c>
      <c r="N211" t="n">
        <v>0</v>
      </c>
      <c r="O211" t="n">
        <v>0</v>
      </c>
      <c r="P211" t="n">
        <v>0</v>
      </c>
      <c r="Q211" t="n">
        <v>0</v>
      </c>
      <c r="R211" s="2" t="inlineStr"/>
    </row>
    <row r="212" ht="15" customHeight="1">
      <c r="A212" t="inlineStr">
        <is>
          <t>A 62488-2023</t>
        </is>
      </c>
      <c r="B212" s="1" t="n">
        <v>45268.5847337963</v>
      </c>
      <c r="C212" s="1" t="n">
        <v>45992</v>
      </c>
      <c r="D212" t="inlineStr">
        <is>
          <t>ÖSTERGÖTLANDS LÄN</t>
        </is>
      </c>
      <c r="E212" t="inlineStr">
        <is>
          <t>LINKÖPING</t>
        </is>
      </c>
      <c r="G212" t="n">
        <v>4.1</v>
      </c>
      <c r="H212" t="n">
        <v>0</v>
      </c>
      <c r="I212" t="n">
        <v>0</v>
      </c>
      <c r="J212" t="n">
        <v>0</v>
      </c>
      <c r="K212" t="n">
        <v>0</v>
      </c>
      <c r="L212" t="n">
        <v>0</v>
      </c>
      <c r="M212" t="n">
        <v>0</v>
      </c>
      <c r="N212" t="n">
        <v>0</v>
      </c>
      <c r="O212" t="n">
        <v>0</v>
      </c>
      <c r="P212" t="n">
        <v>0</v>
      </c>
      <c r="Q212" t="n">
        <v>0</v>
      </c>
      <c r="R212" s="2" t="inlineStr"/>
    </row>
    <row r="213" ht="15" customHeight="1">
      <c r="A213" t="inlineStr">
        <is>
          <t>A 12035-2025</t>
        </is>
      </c>
      <c r="B213" s="1" t="n">
        <v>45728.64946759259</v>
      </c>
      <c r="C213" s="1" t="n">
        <v>45992</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24351-2024</t>
        </is>
      </c>
      <c r="B214" s="1" t="n">
        <v>45457.59011574074</v>
      </c>
      <c r="C214" s="1" t="n">
        <v>45992</v>
      </c>
      <c r="D214" t="inlineStr">
        <is>
          <t>ÖSTERGÖTLANDS LÄN</t>
        </is>
      </c>
      <c r="E214" t="inlineStr">
        <is>
          <t>LINKÖPING</t>
        </is>
      </c>
      <c r="G214" t="n">
        <v>11.9</v>
      </c>
      <c r="H214" t="n">
        <v>0</v>
      </c>
      <c r="I214" t="n">
        <v>0</v>
      </c>
      <c r="J214" t="n">
        <v>0</v>
      </c>
      <c r="K214" t="n">
        <v>0</v>
      </c>
      <c r="L214" t="n">
        <v>0</v>
      </c>
      <c r="M214" t="n">
        <v>0</v>
      </c>
      <c r="N214" t="n">
        <v>0</v>
      </c>
      <c r="O214" t="n">
        <v>0</v>
      </c>
      <c r="P214" t="n">
        <v>0</v>
      </c>
      <c r="Q214" t="n">
        <v>0</v>
      </c>
      <c r="R214" s="2" t="inlineStr"/>
    </row>
    <row r="215" ht="15" customHeight="1">
      <c r="A215" t="inlineStr">
        <is>
          <t>A 25418-2023</t>
        </is>
      </c>
      <c r="B215" s="1" t="n">
        <v>45089</v>
      </c>
      <c r="C215" s="1" t="n">
        <v>45992</v>
      </c>
      <c r="D215" t="inlineStr">
        <is>
          <t>ÖSTERGÖTLANDS LÄN</t>
        </is>
      </c>
      <c r="E215" t="inlineStr">
        <is>
          <t>LINKÖPING</t>
        </is>
      </c>
      <c r="F215" t="inlineStr">
        <is>
          <t>Övriga Aktiebolag</t>
        </is>
      </c>
      <c r="G215" t="n">
        <v>2.4</v>
      </c>
      <c r="H215" t="n">
        <v>0</v>
      </c>
      <c r="I215" t="n">
        <v>0</v>
      </c>
      <c r="J215" t="n">
        <v>0</v>
      </c>
      <c r="K215" t="n">
        <v>0</v>
      </c>
      <c r="L215" t="n">
        <v>0</v>
      </c>
      <c r="M215" t="n">
        <v>0</v>
      </c>
      <c r="N215" t="n">
        <v>0</v>
      </c>
      <c r="O215" t="n">
        <v>0</v>
      </c>
      <c r="P215" t="n">
        <v>0</v>
      </c>
      <c r="Q215" t="n">
        <v>0</v>
      </c>
      <c r="R215" s="2" t="inlineStr"/>
    </row>
    <row r="216" ht="15" customHeight="1">
      <c r="A216" t="inlineStr">
        <is>
          <t>A 22772-2024</t>
        </is>
      </c>
      <c r="B216" s="1" t="n">
        <v>45448.46712962963</v>
      </c>
      <c r="C216" s="1" t="n">
        <v>45992</v>
      </c>
      <c r="D216" t="inlineStr">
        <is>
          <t>ÖSTERGÖTLANDS LÄN</t>
        </is>
      </c>
      <c r="E216" t="inlineStr">
        <is>
          <t>LINKÖPING</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34877-2023</t>
        </is>
      </c>
      <c r="B217" s="1" t="n">
        <v>45140</v>
      </c>
      <c r="C217" s="1" t="n">
        <v>45992</v>
      </c>
      <c r="D217" t="inlineStr">
        <is>
          <t>ÖSTERGÖTLANDS LÄN</t>
        </is>
      </c>
      <c r="E217" t="inlineStr">
        <is>
          <t>LINKÖPING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52796-2023</t>
        </is>
      </c>
      <c r="B218" s="1" t="n">
        <v>45219</v>
      </c>
      <c r="C218" s="1" t="n">
        <v>45992</v>
      </c>
      <c r="D218" t="inlineStr">
        <is>
          <t>ÖSTERGÖTLANDS LÄN</t>
        </is>
      </c>
      <c r="E218" t="inlineStr">
        <is>
          <t>LINKÖPING</t>
        </is>
      </c>
      <c r="F218" t="inlineStr">
        <is>
          <t>Övriga statliga verk och myndigheter</t>
        </is>
      </c>
      <c r="G218" t="n">
        <v>3.9</v>
      </c>
      <c r="H218" t="n">
        <v>0</v>
      </c>
      <c r="I218" t="n">
        <v>0</v>
      </c>
      <c r="J218" t="n">
        <v>0</v>
      </c>
      <c r="K218" t="n">
        <v>0</v>
      </c>
      <c r="L218" t="n">
        <v>0</v>
      </c>
      <c r="M218" t="n">
        <v>0</v>
      </c>
      <c r="N218" t="n">
        <v>0</v>
      </c>
      <c r="O218" t="n">
        <v>0</v>
      </c>
      <c r="P218" t="n">
        <v>0</v>
      </c>
      <c r="Q218" t="n">
        <v>0</v>
      </c>
      <c r="R218" s="2" t="inlineStr"/>
    </row>
    <row r="219" ht="15" customHeight="1">
      <c r="A219" t="inlineStr">
        <is>
          <t>A 30856-2022</t>
        </is>
      </c>
      <c r="B219" s="1" t="n">
        <v>44767</v>
      </c>
      <c r="C219" s="1" t="n">
        <v>45992</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30855-2022</t>
        </is>
      </c>
      <c r="B220" s="1" t="n">
        <v>44767</v>
      </c>
      <c r="C220" s="1" t="n">
        <v>45992</v>
      </c>
      <c r="D220" t="inlineStr">
        <is>
          <t>ÖSTERGÖTLANDS LÄN</t>
        </is>
      </c>
      <c r="E220" t="inlineStr">
        <is>
          <t>LINKÖPING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57745-2022</t>
        </is>
      </c>
      <c r="B221" s="1" t="n">
        <v>44897.58119212963</v>
      </c>
      <c r="C221" s="1" t="n">
        <v>45992</v>
      </c>
      <c r="D221" t="inlineStr">
        <is>
          <t>ÖSTERGÖTLANDS LÄN</t>
        </is>
      </c>
      <c r="E221" t="inlineStr">
        <is>
          <t>LINKÖPING</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34889-2023</t>
        </is>
      </c>
      <c r="B222" s="1" t="n">
        <v>45140</v>
      </c>
      <c r="C222" s="1" t="n">
        <v>45992</v>
      </c>
      <c r="D222" t="inlineStr">
        <is>
          <t>ÖSTERGÖTLANDS LÄN</t>
        </is>
      </c>
      <c r="E222" t="inlineStr">
        <is>
          <t>LINKÖPING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1993-2023</t>
        </is>
      </c>
      <c r="B223" s="1" t="n">
        <v>44939</v>
      </c>
      <c r="C223" s="1" t="n">
        <v>45992</v>
      </c>
      <c r="D223" t="inlineStr">
        <is>
          <t>ÖSTERGÖTLANDS LÄN</t>
        </is>
      </c>
      <c r="E223" t="inlineStr">
        <is>
          <t>LINKÖPING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52220-2023</t>
        </is>
      </c>
      <c r="B224" s="1" t="n">
        <v>45217</v>
      </c>
      <c r="C224" s="1" t="n">
        <v>45992</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52225-2023</t>
        </is>
      </c>
      <c r="B225" s="1" t="n">
        <v>45217</v>
      </c>
      <c r="C225" s="1" t="n">
        <v>45992</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42832-2023</t>
        </is>
      </c>
      <c r="B226" s="1" t="n">
        <v>45182.38091435185</v>
      </c>
      <c r="C226" s="1" t="n">
        <v>45992</v>
      </c>
      <c r="D226" t="inlineStr">
        <is>
          <t>ÖSTERGÖTLANDS LÄN</t>
        </is>
      </c>
      <c r="E226" t="inlineStr">
        <is>
          <t>LINKÖPING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56560-2023</t>
        </is>
      </c>
      <c r="B227" s="1" t="n">
        <v>45238</v>
      </c>
      <c r="C227" s="1" t="n">
        <v>45992</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22771-2024</t>
        </is>
      </c>
      <c r="B228" s="1" t="n">
        <v>45448.46574074074</v>
      </c>
      <c r="C228" s="1" t="n">
        <v>45992</v>
      </c>
      <c r="D228" t="inlineStr">
        <is>
          <t>ÖSTERGÖTLANDS LÄN</t>
        </is>
      </c>
      <c r="E228" t="inlineStr">
        <is>
          <t>LINKÖPING</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52412-2023</t>
        </is>
      </c>
      <c r="B229" s="1" t="n">
        <v>45225.27888888889</v>
      </c>
      <c r="C229" s="1" t="n">
        <v>45992</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52413-2023</t>
        </is>
      </c>
      <c r="B230" s="1" t="n">
        <v>45225.27950231481</v>
      </c>
      <c r="C230" s="1" t="n">
        <v>45992</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20455-2024</t>
        </is>
      </c>
      <c r="B231" s="1" t="n">
        <v>45435.65314814815</v>
      </c>
      <c r="C231" s="1" t="n">
        <v>45992</v>
      </c>
      <c r="D231" t="inlineStr">
        <is>
          <t>ÖSTERGÖTLANDS LÄN</t>
        </is>
      </c>
      <c r="E231" t="inlineStr">
        <is>
          <t>LINKÖPING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7354-2025</t>
        </is>
      </c>
      <c r="B232" s="1" t="n">
        <v>45704.41174768518</v>
      </c>
      <c r="C232" s="1" t="n">
        <v>45992</v>
      </c>
      <c r="D232" t="inlineStr">
        <is>
          <t>ÖSTERGÖTLANDS LÄN</t>
        </is>
      </c>
      <c r="E232" t="inlineStr">
        <is>
          <t>LINKÖPING</t>
        </is>
      </c>
      <c r="G232" t="n">
        <v>4.8</v>
      </c>
      <c r="H232" t="n">
        <v>0</v>
      </c>
      <c r="I232" t="n">
        <v>0</v>
      </c>
      <c r="J232" t="n">
        <v>0</v>
      </c>
      <c r="K232" t="n">
        <v>0</v>
      </c>
      <c r="L232" t="n">
        <v>0</v>
      </c>
      <c r="M232" t="n">
        <v>0</v>
      </c>
      <c r="N232" t="n">
        <v>0</v>
      </c>
      <c r="O232" t="n">
        <v>0</v>
      </c>
      <c r="P232" t="n">
        <v>0</v>
      </c>
      <c r="Q232" t="n">
        <v>0</v>
      </c>
      <c r="R232" s="2" t="inlineStr"/>
    </row>
    <row r="233" ht="15" customHeight="1">
      <c r="A233" t="inlineStr">
        <is>
          <t>A 34928-2023</t>
        </is>
      </c>
      <c r="B233" s="1" t="n">
        <v>45142</v>
      </c>
      <c r="C233" s="1" t="n">
        <v>45992</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1263-2024</t>
        </is>
      </c>
      <c r="B234" s="1" t="n">
        <v>45302</v>
      </c>
      <c r="C234" s="1" t="n">
        <v>45992</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224-2024</t>
        </is>
      </c>
      <c r="B235" s="1" t="n">
        <v>45294</v>
      </c>
      <c r="C235" s="1" t="n">
        <v>45992</v>
      </c>
      <c r="D235" t="inlineStr">
        <is>
          <t>ÖSTERGÖTLANDS LÄN</t>
        </is>
      </c>
      <c r="E235" t="inlineStr">
        <is>
          <t>LINKÖPING</t>
        </is>
      </c>
      <c r="G235" t="n">
        <v>2.8</v>
      </c>
      <c r="H235" t="n">
        <v>0</v>
      </c>
      <c r="I235" t="n">
        <v>0</v>
      </c>
      <c r="J235" t="n">
        <v>0</v>
      </c>
      <c r="K235" t="n">
        <v>0</v>
      </c>
      <c r="L235" t="n">
        <v>0</v>
      </c>
      <c r="M235" t="n">
        <v>0</v>
      </c>
      <c r="N235" t="n">
        <v>0</v>
      </c>
      <c r="O235" t="n">
        <v>0</v>
      </c>
      <c r="P235" t="n">
        <v>0</v>
      </c>
      <c r="Q235" t="n">
        <v>0</v>
      </c>
      <c r="R235" s="2" t="inlineStr"/>
    </row>
    <row r="236" ht="15" customHeight="1">
      <c r="A236" t="inlineStr">
        <is>
          <t>A 52531-2023</t>
        </is>
      </c>
      <c r="B236" s="1" t="n">
        <v>45225</v>
      </c>
      <c r="C236" s="1" t="n">
        <v>45992</v>
      </c>
      <c r="D236" t="inlineStr">
        <is>
          <t>ÖSTERGÖTLANDS LÄN</t>
        </is>
      </c>
      <c r="E236" t="inlineStr">
        <is>
          <t>LINKÖPING</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55945-2024</t>
        </is>
      </c>
      <c r="B237" s="1" t="n">
        <v>45623.61754629629</v>
      </c>
      <c r="C237" s="1" t="n">
        <v>45992</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20291-2025</t>
        </is>
      </c>
      <c r="B238" s="1" t="n">
        <v>45774.74288194445</v>
      </c>
      <c r="C238" s="1" t="n">
        <v>45992</v>
      </c>
      <c r="D238" t="inlineStr">
        <is>
          <t>ÖSTERGÖTLANDS LÄN</t>
        </is>
      </c>
      <c r="E238" t="inlineStr">
        <is>
          <t>LINKÖPING</t>
        </is>
      </c>
      <c r="G238" t="n">
        <v>2.3</v>
      </c>
      <c r="H238" t="n">
        <v>0</v>
      </c>
      <c r="I238" t="n">
        <v>0</v>
      </c>
      <c r="J238" t="n">
        <v>0</v>
      </c>
      <c r="K238" t="n">
        <v>0</v>
      </c>
      <c r="L238" t="n">
        <v>0</v>
      </c>
      <c r="M238" t="n">
        <v>0</v>
      </c>
      <c r="N238" t="n">
        <v>0</v>
      </c>
      <c r="O238" t="n">
        <v>0</v>
      </c>
      <c r="P238" t="n">
        <v>0</v>
      </c>
      <c r="Q238" t="n">
        <v>0</v>
      </c>
      <c r="R238" s="2" t="inlineStr"/>
    </row>
    <row r="239" ht="15" customHeight="1">
      <c r="A239" t="inlineStr">
        <is>
          <t>A 20293-2025</t>
        </is>
      </c>
      <c r="B239" s="1" t="n">
        <v>45774.74611111111</v>
      </c>
      <c r="C239" s="1" t="n">
        <v>45992</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63665-2023</t>
        </is>
      </c>
      <c r="B240" s="1" t="n">
        <v>45275</v>
      </c>
      <c r="C240" s="1" t="n">
        <v>45992</v>
      </c>
      <c r="D240" t="inlineStr">
        <is>
          <t>ÖSTERGÖTLANDS LÄN</t>
        </is>
      </c>
      <c r="E240" t="inlineStr">
        <is>
          <t>LINKÖPING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33867-2023</t>
        </is>
      </c>
      <c r="B241" s="1" t="n">
        <v>45133.94640046296</v>
      </c>
      <c r="C241" s="1" t="n">
        <v>45992</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3041-2024</t>
        </is>
      </c>
      <c r="B242" s="1" t="n">
        <v>45316.34875</v>
      </c>
      <c r="C242" s="1" t="n">
        <v>45992</v>
      </c>
      <c r="D242" t="inlineStr">
        <is>
          <t>ÖSTERGÖTLANDS LÄN</t>
        </is>
      </c>
      <c r="E242" t="inlineStr">
        <is>
          <t>LINKÖPING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50963-2021</t>
        </is>
      </c>
      <c r="B243" s="1" t="n">
        <v>44460</v>
      </c>
      <c r="C243" s="1" t="n">
        <v>45992</v>
      </c>
      <c r="D243" t="inlineStr">
        <is>
          <t>ÖSTERGÖTLANDS LÄN</t>
        </is>
      </c>
      <c r="E243" t="inlineStr">
        <is>
          <t>LINKÖPING</t>
        </is>
      </c>
      <c r="G243" t="n">
        <v>4.4</v>
      </c>
      <c r="H243" t="n">
        <v>0</v>
      </c>
      <c r="I243" t="n">
        <v>0</v>
      </c>
      <c r="J243" t="n">
        <v>0</v>
      </c>
      <c r="K243" t="n">
        <v>0</v>
      </c>
      <c r="L243" t="n">
        <v>0</v>
      </c>
      <c r="M243" t="n">
        <v>0</v>
      </c>
      <c r="N243" t="n">
        <v>0</v>
      </c>
      <c r="O243" t="n">
        <v>0</v>
      </c>
      <c r="P243" t="n">
        <v>0</v>
      </c>
      <c r="Q243" t="n">
        <v>0</v>
      </c>
      <c r="R243" s="2" t="inlineStr"/>
    </row>
    <row r="244" ht="15" customHeight="1">
      <c r="A244" t="inlineStr">
        <is>
          <t>A 61307-2021</t>
        </is>
      </c>
      <c r="B244" s="1" t="n">
        <v>44498.63928240741</v>
      </c>
      <c r="C244" s="1" t="n">
        <v>45992</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61325-2021</t>
        </is>
      </c>
      <c r="B245" s="1" t="n">
        <v>44498.66814814815</v>
      </c>
      <c r="C245" s="1" t="n">
        <v>45992</v>
      </c>
      <c r="D245" t="inlineStr">
        <is>
          <t>ÖSTERGÖTLANDS LÄN</t>
        </is>
      </c>
      <c r="E245" t="inlineStr">
        <is>
          <t>LINKÖPING</t>
        </is>
      </c>
      <c r="G245" t="n">
        <v>1.4</v>
      </c>
      <c r="H245" t="n">
        <v>0</v>
      </c>
      <c r="I245" t="n">
        <v>0</v>
      </c>
      <c r="J245" t="n">
        <v>0</v>
      </c>
      <c r="K245" t="n">
        <v>0</v>
      </c>
      <c r="L245" t="n">
        <v>0</v>
      </c>
      <c r="M245" t="n">
        <v>0</v>
      </c>
      <c r="N245" t="n">
        <v>0</v>
      </c>
      <c r="O245" t="n">
        <v>0</v>
      </c>
      <c r="P245" t="n">
        <v>0</v>
      </c>
      <c r="Q245" t="n">
        <v>0</v>
      </c>
      <c r="R245" s="2" t="inlineStr"/>
    </row>
    <row r="246" ht="15" customHeight="1">
      <c r="A246" t="inlineStr">
        <is>
          <t>A 30985-2022</t>
        </is>
      </c>
      <c r="B246" s="1" t="n">
        <v>44768</v>
      </c>
      <c r="C246" s="1" t="n">
        <v>45992</v>
      </c>
      <c r="D246" t="inlineStr">
        <is>
          <t>ÖSTERGÖTLANDS LÄN</t>
        </is>
      </c>
      <c r="E246" t="inlineStr">
        <is>
          <t>LINKÖPING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38317-2024</t>
        </is>
      </c>
      <c r="B247" s="1" t="n">
        <v>45545.65766203704</v>
      </c>
      <c r="C247" s="1" t="n">
        <v>45992</v>
      </c>
      <c r="D247" t="inlineStr">
        <is>
          <t>ÖSTERGÖTLANDS LÄN</t>
        </is>
      </c>
      <c r="E247" t="inlineStr">
        <is>
          <t>LINKÖPING</t>
        </is>
      </c>
      <c r="G247" t="n">
        <v>0.7</v>
      </c>
      <c r="H247" t="n">
        <v>0</v>
      </c>
      <c r="I247" t="n">
        <v>0</v>
      </c>
      <c r="J247" t="n">
        <v>0</v>
      </c>
      <c r="K247" t="n">
        <v>0</v>
      </c>
      <c r="L247" t="n">
        <v>0</v>
      </c>
      <c r="M247" t="n">
        <v>0</v>
      </c>
      <c r="N247" t="n">
        <v>0</v>
      </c>
      <c r="O247" t="n">
        <v>0</v>
      </c>
      <c r="P247" t="n">
        <v>0</v>
      </c>
      <c r="Q247" t="n">
        <v>0</v>
      </c>
      <c r="R247" s="2" t="inlineStr"/>
    </row>
    <row r="248" ht="15" customHeight="1">
      <c r="A248" t="inlineStr">
        <is>
          <t>A 60001-2022</t>
        </is>
      </c>
      <c r="B248" s="1" t="n">
        <v>44909.47087962963</v>
      </c>
      <c r="C248" s="1" t="n">
        <v>45992</v>
      </c>
      <c r="D248" t="inlineStr">
        <is>
          <t>ÖSTERGÖTLANDS LÄN</t>
        </is>
      </c>
      <c r="E248" t="inlineStr">
        <is>
          <t>LINKÖPING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60013-2022</t>
        </is>
      </c>
      <c r="B249" s="1" t="n">
        <v>44909.47482638889</v>
      </c>
      <c r="C249" s="1" t="n">
        <v>45992</v>
      </c>
      <c r="D249" t="inlineStr">
        <is>
          <t>ÖSTERGÖTLANDS LÄN</t>
        </is>
      </c>
      <c r="E249" t="inlineStr">
        <is>
          <t>LINKÖPING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58947-2022</t>
        </is>
      </c>
      <c r="B250" s="1" t="n">
        <v>44903.64769675926</v>
      </c>
      <c r="C250" s="1" t="n">
        <v>45992</v>
      </c>
      <c r="D250" t="inlineStr">
        <is>
          <t>ÖSTERGÖTLANDS LÄN</t>
        </is>
      </c>
      <c r="E250" t="inlineStr">
        <is>
          <t>LINKÖPING</t>
        </is>
      </c>
      <c r="G250" t="n">
        <v>4</v>
      </c>
      <c r="H250" t="n">
        <v>0</v>
      </c>
      <c r="I250" t="n">
        <v>0</v>
      </c>
      <c r="J250" t="n">
        <v>0</v>
      </c>
      <c r="K250" t="n">
        <v>0</v>
      </c>
      <c r="L250" t="n">
        <v>0</v>
      </c>
      <c r="M250" t="n">
        <v>0</v>
      </c>
      <c r="N250" t="n">
        <v>0</v>
      </c>
      <c r="O250" t="n">
        <v>0</v>
      </c>
      <c r="P250" t="n">
        <v>0</v>
      </c>
      <c r="Q250" t="n">
        <v>0</v>
      </c>
      <c r="R250" s="2" t="inlineStr"/>
    </row>
    <row r="251" ht="15" customHeight="1">
      <c r="A251" t="inlineStr">
        <is>
          <t>A 16665-2023</t>
        </is>
      </c>
      <c r="B251" s="1" t="n">
        <v>45030.5583912037</v>
      </c>
      <c r="C251" s="1" t="n">
        <v>45992</v>
      </c>
      <c r="D251" t="inlineStr">
        <is>
          <t>ÖSTERGÖTLANDS LÄN</t>
        </is>
      </c>
      <c r="E251" t="inlineStr">
        <is>
          <t>LINKÖPING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1211-2023</t>
        </is>
      </c>
      <c r="B252" s="1" t="n">
        <v>44930</v>
      </c>
      <c r="C252" s="1" t="n">
        <v>45992</v>
      </c>
      <c r="D252" t="inlineStr">
        <is>
          <t>ÖSTERGÖTLANDS LÄN</t>
        </is>
      </c>
      <c r="E252" t="inlineStr">
        <is>
          <t>LINKÖPING</t>
        </is>
      </c>
      <c r="F252" t="inlineStr">
        <is>
          <t>Övriga statliga verk och myndigheter</t>
        </is>
      </c>
      <c r="G252" t="n">
        <v>7.9</v>
      </c>
      <c r="H252" t="n">
        <v>0</v>
      </c>
      <c r="I252" t="n">
        <v>0</v>
      </c>
      <c r="J252" t="n">
        <v>0</v>
      </c>
      <c r="K252" t="n">
        <v>0</v>
      </c>
      <c r="L252" t="n">
        <v>0</v>
      </c>
      <c r="M252" t="n">
        <v>0</v>
      </c>
      <c r="N252" t="n">
        <v>0</v>
      </c>
      <c r="O252" t="n">
        <v>0</v>
      </c>
      <c r="P252" t="n">
        <v>0</v>
      </c>
      <c r="Q252" t="n">
        <v>0</v>
      </c>
      <c r="R252" s="2" t="inlineStr"/>
    </row>
    <row r="253" ht="15" customHeight="1">
      <c r="A253" t="inlineStr">
        <is>
          <t>A 38136-2023</t>
        </is>
      </c>
      <c r="B253" s="1" t="n">
        <v>45161.37310185185</v>
      </c>
      <c r="C253" s="1" t="n">
        <v>45992</v>
      </c>
      <c r="D253" t="inlineStr">
        <is>
          <t>ÖSTERGÖTLANDS LÄN</t>
        </is>
      </c>
      <c r="E253" t="inlineStr">
        <is>
          <t>LINKÖPING</t>
        </is>
      </c>
      <c r="G253" t="n">
        <v>5.6</v>
      </c>
      <c r="H253" t="n">
        <v>0</v>
      </c>
      <c r="I253" t="n">
        <v>0</v>
      </c>
      <c r="J253" t="n">
        <v>0</v>
      </c>
      <c r="K253" t="n">
        <v>0</v>
      </c>
      <c r="L253" t="n">
        <v>0</v>
      </c>
      <c r="M253" t="n">
        <v>0</v>
      </c>
      <c r="N253" t="n">
        <v>0</v>
      </c>
      <c r="O253" t="n">
        <v>0</v>
      </c>
      <c r="P253" t="n">
        <v>0</v>
      </c>
      <c r="Q253" t="n">
        <v>0</v>
      </c>
      <c r="R253" s="2" t="inlineStr"/>
    </row>
    <row r="254" ht="15" customHeight="1">
      <c r="A254" t="inlineStr">
        <is>
          <t>A 13911-2025</t>
        </is>
      </c>
      <c r="B254" s="1" t="n">
        <v>45737.64784722222</v>
      </c>
      <c r="C254" s="1" t="n">
        <v>45992</v>
      </c>
      <c r="D254" t="inlineStr">
        <is>
          <t>ÖSTERGÖTLANDS LÄN</t>
        </is>
      </c>
      <c r="E254" t="inlineStr">
        <is>
          <t>LINKÖPING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12317-2025</t>
        </is>
      </c>
      <c r="B255" s="1" t="n">
        <v>45729.8487037037</v>
      </c>
      <c r="C255" s="1" t="n">
        <v>45992</v>
      </c>
      <c r="D255" t="inlineStr">
        <is>
          <t>ÖSTERGÖTLANDS LÄN</t>
        </is>
      </c>
      <c r="E255" t="inlineStr">
        <is>
          <t>LINKÖPING</t>
        </is>
      </c>
      <c r="G255" t="n">
        <v>8</v>
      </c>
      <c r="H255" t="n">
        <v>0</v>
      </c>
      <c r="I255" t="n">
        <v>0</v>
      </c>
      <c r="J255" t="n">
        <v>0</v>
      </c>
      <c r="K255" t="n">
        <v>0</v>
      </c>
      <c r="L255" t="n">
        <v>0</v>
      </c>
      <c r="M255" t="n">
        <v>0</v>
      </c>
      <c r="N255" t="n">
        <v>0</v>
      </c>
      <c r="O255" t="n">
        <v>0</v>
      </c>
      <c r="P255" t="n">
        <v>0</v>
      </c>
      <c r="Q255" t="n">
        <v>0</v>
      </c>
      <c r="R255" s="2" t="inlineStr"/>
    </row>
    <row r="256" ht="15" customHeight="1">
      <c r="A256" t="inlineStr">
        <is>
          <t>A 36557-2023</t>
        </is>
      </c>
      <c r="B256" s="1" t="n">
        <v>45153</v>
      </c>
      <c r="C256" s="1" t="n">
        <v>45992</v>
      </c>
      <c r="D256" t="inlineStr">
        <is>
          <t>ÖSTERGÖTLANDS LÄN</t>
        </is>
      </c>
      <c r="E256" t="inlineStr">
        <is>
          <t>LINKÖPING</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2085-2024</t>
        </is>
      </c>
      <c r="B257" s="1" t="n">
        <v>45309</v>
      </c>
      <c r="C257" s="1" t="n">
        <v>45992</v>
      </c>
      <c r="D257" t="inlineStr">
        <is>
          <t>ÖSTERGÖTLANDS LÄN</t>
        </is>
      </c>
      <c r="E257" t="inlineStr">
        <is>
          <t>LINKÖPING</t>
        </is>
      </c>
      <c r="G257" t="n">
        <v>4.5</v>
      </c>
      <c r="H257" t="n">
        <v>0</v>
      </c>
      <c r="I257" t="n">
        <v>0</v>
      </c>
      <c r="J257" t="n">
        <v>0</v>
      </c>
      <c r="K257" t="n">
        <v>0</v>
      </c>
      <c r="L257" t="n">
        <v>0</v>
      </c>
      <c r="M257" t="n">
        <v>0</v>
      </c>
      <c r="N257" t="n">
        <v>0</v>
      </c>
      <c r="O257" t="n">
        <v>0</v>
      </c>
      <c r="P257" t="n">
        <v>0</v>
      </c>
      <c r="Q257" t="n">
        <v>0</v>
      </c>
      <c r="R257" s="2" t="inlineStr"/>
    </row>
    <row r="258" ht="15" customHeight="1">
      <c r="A258" t="inlineStr">
        <is>
          <t>A 44280-2024</t>
        </is>
      </c>
      <c r="B258" s="1" t="n">
        <v>45573.49461805556</v>
      </c>
      <c r="C258" s="1" t="n">
        <v>45992</v>
      </c>
      <c r="D258" t="inlineStr">
        <is>
          <t>ÖSTERGÖTLANDS LÄN</t>
        </is>
      </c>
      <c r="E258" t="inlineStr">
        <is>
          <t>LINKÖPING</t>
        </is>
      </c>
      <c r="G258" t="n">
        <v>5.3</v>
      </c>
      <c r="H258" t="n">
        <v>0</v>
      </c>
      <c r="I258" t="n">
        <v>0</v>
      </c>
      <c r="J258" t="n">
        <v>0</v>
      </c>
      <c r="K258" t="n">
        <v>0</v>
      </c>
      <c r="L258" t="n">
        <v>0</v>
      </c>
      <c r="M258" t="n">
        <v>0</v>
      </c>
      <c r="N258" t="n">
        <v>0</v>
      </c>
      <c r="O258" t="n">
        <v>0</v>
      </c>
      <c r="P258" t="n">
        <v>0</v>
      </c>
      <c r="Q258" t="n">
        <v>0</v>
      </c>
      <c r="R258" s="2" t="inlineStr"/>
    </row>
    <row r="259" ht="15" customHeight="1">
      <c r="A259" t="inlineStr">
        <is>
          <t>A 30468-2023</t>
        </is>
      </c>
      <c r="B259" s="1" t="n">
        <v>45111.58732638889</v>
      </c>
      <c r="C259" s="1" t="n">
        <v>45992</v>
      </c>
      <c r="D259" t="inlineStr">
        <is>
          <t>ÖSTERGÖTLANDS LÄN</t>
        </is>
      </c>
      <c r="E259" t="inlineStr">
        <is>
          <t>LINKÖPING</t>
        </is>
      </c>
      <c r="G259" t="n">
        <v>10.1</v>
      </c>
      <c r="H259" t="n">
        <v>0</v>
      </c>
      <c r="I259" t="n">
        <v>0</v>
      </c>
      <c r="J259" t="n">
        <v>0</v>
      </c>
      <c r="K259" t="n">
        <v>0</v>
      </c>
      <c r="L259" t="n">
        <v>0</v>
      </c>
      <c r="M259" t="n">
        <v>0</v>
      </c>
      <c r="N259" t="n">
        <v>0</v>
      </c>
      <c r="O259" t="n">
        <v>0</v>
      </c>
      <c r="P259" t="n">
        <v>0</v>
      </c>
      <c r="Q259" t="n">
        <v>0</v>
      </c>
      <c r="R259" s="2" t="inlineStr"/>
    </row>
    <row r="260" ht="15" customHeight="1">
      <c r="A260" t="inlineStr">
        <is>
          <t>A 38715-2023</t>
        </is>
      </c>
      <c r="B260" s="1" t="n">
        <v>45160</v>
      </c>
      <c r="C260" s="1" t="n">
        <v>45992</v>
      </c>
      <c r="D260" t="inlineStr">
        <is>
          <t>ÖSTERGÖTLANDS LÄN</t>
        </is>
      </c>
      <c r="E260" t="inlineStr">
        <is>
          <t>LINKÖPING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34864-2023</t>
        </is>
      </c>
      <c r="B261" s="1" t="n">
        <v>45141</v>
      </c>
      <c r="C261" s="1" t="n">
        <v>45992</v>
      </c>
      <c r="D261" t="inlineStr">
        <is>
          <t>ÖSTERGÖTLANDS LÄN</t>
        </is>
      </c>
      <c r="E261" t="inlineStr">
        <is>
          <t>LINKÖPING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46687-2021</t>
        </is>
      </c>
      <c r="B262" s="1" t="n">
        <v>44445</v>
      </c>
      <c r="C262" s="1" t="n">
        <v>45992</v>
      </c>
      <c r="D262" t="inlineStr">
        <is>
          <t>ÖSTERGÖTLANDS LÄN</t>
        </is>
      </c>
      <c r="E262" t="inlineStr">
        <is>
          <t>LINKÖPING</t>
        </is>
      </c>
      <c r="F262" t="inlineStr">
        <is>
          <t>Övriga statliga verk och myndigheter</t>
        </is>
      </c>
      <c r="G262" t="n">
        <v>2.3</v>
      </c>
      <c r="H262" t="n">
        <v>0</v>
      </c>
      <c r="I262" t="n">
        <v>0</v>
      </c>
      <c r="J262" t="n">
        <v>0</v>
      </c>
      <c r="K262" t="n">
        <v>0</v>
      </c>
      <c r="L262" t="n">
        <v>0</v>
      </c>
      <c r="M262" t="n">
        <v>0</v>
      </c>
      <c r="N262" t="n">
        <v>0</v>
      </c>
      <c r="O262" t="n">
        <v>0</v>
      </c>
      <c r="P262" t="n">
        <v>0</v>
      </c>
      <c r="Q262" t="n">
        <v>0</v>
      </c>
      <c r="R262" s="2" t="inlineStr"/>
    </row>
    <row r="263" ht="15" customHeight="1">
      <c r="A263" t="inlineStr">
        <is>
          <t>A 17103-2025</t>
        </is>
      </c>
      <c r="B263" s="1" t="n">
        <v>45755.66143518518</v>
      </c>
      <c r="C263" s="1" t="n">
        <v>45992</v>
      </c>
      <c r="D263" t="inlineStr">
        <is>
          <t>ÖSTERGÖTLANDS LÄN</t>
        </is>
      </c>
      <c r="E263" t="inlineStr">
        <is>
          <t>LINKÖPING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3008-2023</t>
        </is>
      </c>
      <c r="B264" s="1" t="n">
        <v>44945.79784722222</v>
      </c>
      <c r="C264" s="1" t="n">
        <v>45992</v>
      </c>
      <c r="D264" t="inlineStr">
        <is>
          <t>ÖSTERGÖTLANDS LÄN</t>
        </is>
      </c>
      <c r="E264" t="inlineStr">
        <is>
          <t>LINKÖPING</t>
        </is>
      </c>
      <c r="G264" t="n">
        <v>19.3</v>
      </c>
      <c r="H264" t="n">
        <v>0</v>
      </c>
      <c r="I264" t="n">
        <v>0</v>
      </c>
      <c r="J264" t="n">
        <v>0</v>
      </c>
      <c r="K264" t="n">
        <v>0</v>
      </c>
      <c r="L264" t="n">
        <v>0</v>
      </c>
      <c r="M264" t="n">
        <v>0</v>
      </c>
      <c r="N264" t="n">
        <v>0</v>
      </c>
      <c r="O264" t="n">
        <v>0</v>
      </c>
      <c r="P264" t="n">
        <v>0</v>
      </c>
      <c r="Q264" t="n">
        <v>0</v>
      </c>
      <c r="R264" s="2" t="inlineStr"/>
    </row>
    <row r="265" ht="15" customHeight="1">
      <c r="A265" t="inlineStr">
        <is>
          <t>A 40618-2021</t>
        </is>
      </c>
      <c r="B265" s="1" t="n">
        <v>44420.49575231481</v>
      </c>
      <c r="C265" s="1" t="n">
        <v>45992</v>
      </c>
      <c r="D265" t="inlineStr">
        <is>
          <t>ÖSTERGÖTLANDS LÄN</t>
        </is>
      </c>
      <c r="E265" t="inlineStr">
        <is>
          <t>LINKÖPING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56180-2024</t>
        </is>
      </c>
      <c r="B266" s="1" t="n">
        <v>45624.56611111111</v>
      </c>
      <c r="C266" s="1" t="n">
        <v>45992</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26002-2025</t>
        </is>
      </c>
      <c r="B267" s="1" t="n">
        <v>45804.66534722222</v>
      </c>
      <c r="C267" s="1" t="n">
        <v>45992</v>
      </c>
      <c r="D267" t="inlineStr">
        <is>
          <t>ÖSTERGÖTLANDS LÄN</t>
        </is>
      </c>
      <c r="E267" t="inlineStr">
        <is>
          <t>LINKÖPING</t>
        </is>
      </c>
      <c r="G267" t="n">
        <v>2.5</v>
      </c>
      <c r="H267" t="n">
        <v>0</v>
      </c>
      <c r="I267" t="n">
        <v>0</v>
      </c>
      <c r="J267" t="n">
        <v>0</v>
      </c>
      <c r="K267" t="n">
        <v>0</v>
      </c>
      <c r="L267" t="n">
        <v>0</v>
      </c>
      <c r="M267" t="n">
        <v>0</v>
      </c>
      <c r="N267" t="n">
        <v>0</v>
      </c>
      <c r="O267" t="n">
        <v>0</v>
      </c>
      <c r="P267" t="n">
        <v>0</v>
      </c>
      <c r="Q267" t="n">
        <v>0</v>
      </c>
      <c r="R267" s="2" t="inlineStr"/>
    </row>
    <row r="268" ht="15" customHeight="1">
      <c r="A268" t="inlineStr">
        <is>
          <t>A 39438-2025</t>
        </is>
      </c>
      <c r="B268" s="1" t="n">
        <v>45889.68641203704</v>
      </c>
      <c r="C268" s="1" t="n">
        <v>45992</v>
      </c>
      <c r="D268" t="inlineStr">
        <is>
          <t>ÖSTERGÖTLANDS LÄN</t>
        </is>
      </c>
      <c r="E268" t="inlineStr">
        <is>
          <t>LINKÖPING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27264-2025</t>
        </is>
      </c>
      <c r="B269" s="1" t="n">
        <v>45812.4794212963</v>
      </c>
      <c r="C269" s="1" t="n">
        <v>45992</v>
      </c>
      <c r="D269" t="inlineStr">
        <is>
          <t>ÖSTERGÖTLANDS LÄN</t>
        </is>
      </c>
      <c r="E269" t="inlineStr">
        <is>
          <t>LINKÖPING</t>
        </is>
      </c>
      <c r="G269" t="n">
        <v>2.6</v>
      </c>
      <c r="H269" t="n">
        <v>0</v>
      </c>
      <c r="I269" t="n">
        <v>0</v>
      </c>
      <c r="J269" t="n">
        <v>0</v>
      </c>
      <c r="K269" t="n">
        <v>0</v>
      </c>
      <c r="L269" t="n">
        <v>0</v>
      </c>
      <c r="M269" t="n">
        <v>0</v>
      </c>
      <c r="N269" t="n">
        <v>0</v>
      </c>
      <c r="O269" t="n">
        <v>0</v>
      </c>
      <c r="P269" t="n">
        <v>0</v>
      </c>
      <c r="Q269" t="n">
        <v>0</v>
      </c>
      <c r="R269" s="2" t="inlineStr"/>
    </row>
    <row r="270" ht="15" customHeight="1">
      <c r="A270" t="inlineStr">
        <is>
          <t>A 25996-2025</t>
        </is>
      </c>
      <c r="B270" s="1" t="n">
        <v>45804.65851851852</v>
      </c>
      <c r="C270" s="1" t="n">
        <v>45992</v>
      </c>
      <c r="D270" t="inlineStr">
        <is>
          <t>ÖSTERGÖTLANDS LÄN</t>
        </is>
      </c>
      <c r="E270" t="inlineStr">
        <is>
          <t>LINKÖPING</t>
        </is>
      </c>
      <c r="G270" t="n">
        <v>3.2</v>
      </c>
      <c r="H270" t="n">
        <v>0</v>
      </c>
      <c r="I270" t="n">
        <v>0</v>
      </c>
      <c r="J270" t="n">
        <v>0</v>
      </c>
      <c r="K270" t="n">
        <v>0</v>
      </c>
      <c r="L270" t="n">
        <v>0</v>
      </c>
      <c r="M270" t="n">
        <v>0</v>
      </c>
      <c r="N270" t="n">
        <v>0</v>
      </c>
      <c r="O270" t="n">
        <v>0</v>
      </c>
      <c r="P270" t="n">
        <v>0</v>
      </c>
      <c r="Q270" t="n">
        <v>0</v>
      </c>
      <c r="R270" s="2" t="inlineStr"/>
    </row>
    <row r="271" ht="15" customHeight="1">
      <c r="A271" t="inlineStr">
        <is>
          <t>A 30471-2023</t>
        </is>
      </c>
      <c r="B271" s="1" t="n">
        <v>45111.58931712963</v>
      </c>
      <c r="C271" s="1" t="n">
        <v>45992</v>
      </c>
      <c r="D271" t="inlineStr">
        <is>
          <t>ÖSTERGÖTLANDS LÄN</t>
        </is>
      </c>
      <c r="E271" t="inlineStr">
        <is>
          <t>LINKÖPING</t>
        </is>
      </c>
      <c r="G271" t="n">
        <v>2.9</v>
      </c>
      <c r="H271" t="n">
        <v>0</v>
      </c>
      <c r="I271" t="n">
        <v>0</v>
      </c>
      <c r="J271" t="n">
        <v>0</v>
      </c>
      <c r="K271" t="n">
        <v>0</v>
      </c>
      <c r="L271" t="n">
        <v>0</v>
      </c>
      <c r="M271" t="n">
        <v>0</v>
      </c>
      <c r="N271" t="n">
        <v>0</v>
      </c>
      <c r="O271" t="n">
        <v>0</v>
      </c>
      <c r="P271" t="n">
        <v>0</v>
      </c>
      <c r="Q271" t="n">
        <v>0</v>
      </c>
      <c r="R271" s="2" t="inlineStr"/>
    </row>
    <row r="272" ht="15" customHeight="1">
      <c r="A272" t="inlineStr">
        <is>
          <t>A 227-2024</t>
        </is>
      </c>
      <c r="B272" s="1" t="n">
        <v>45294.73603009259</v>
      </c>
      <c r="C272" s="1" t="n">
        <v>45992</v>
      </c>
      <c r="D272" t="inlineStr">
        <is>
          <t>ÖSTERGÖTLANDS LÄN</t>
        </is>
      </c>
      <c r="E272" t="inlineStr">
        <is>
          <t>LINKÖPING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39074-2025</t>
        </is>
      </c>
      <c r="B273" s="1" t="n">
        <v>45888</v>
      </c>
      <c r="C273" s="1" t="n">
        <v>45992</v>
      </c>
      <c r="D273" t="inlineStr">
        <is>
          <t>ÖSTERGÖTLANDS LÄN</t>
        </is>
      </c>
      <c r="E273" t="inlineStr">
        <is>
          <t>LINKÖPING</t>
        </is>
      </c>
      <c r="G273" t="n">
        <v>2.9</v>
      </c>
      <c r="H273" t="n">
        <v>0</v>
      </c>
      <c r="I273" t="n">
        <v>0</v>
      </c>
      <c r="J273" t="n">
        <v>0</v>
      </c>
      <c r="K273" t="n">
        <v>0</v>
      </c>
      <c r="L273" t="n">
        <v>0</v>
      </c>
      <c r="M273" t="n">
        <v>0</v>
      </c>
      <c r="N273" t="n">
        <v>0</v>
      </c>
      <c r="O273" t="n">
        <v>0</v>
      </c>
      <c r="P273" t="n">
        <v>0</v>
      </c>
      <c r="Q273" t="n">
        <v>0</v>
      </c>
      <c r="R273" s="2" t="inlineStr"/>
    </row>
    <row r="274" ht="15" customHeight="1">
      <c r="A274" t="inlineStr">
        <is>
          <t>A 72567-2021</t>
        </is>
      </c>
      <c r="B274" s="1" t="n">
        <v>44546.45023148148</v>
      </c>
      <c r="C274" s="1" t="n">
        <v>45992</v>
      </c>
      <c r="D274" t="inlineStr">
        <is>
          <t>ÖSTERGÖTLANDS LÄN</t>
        </is>
      </c>
      <c r="E274" t="inlineStr">
        <is>
          <t>LINKÖPING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44155-2024</t>
        </is>
      </c>
      <c r="B275" s="1" t="n">
        <v>45572.68226851852</v>
      </c>
      <c r="C275" s="1" t="n">
        <v>45992</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30434-2024</t>
        </is>
      </c>
      <c r="B276" s="1" t="n">
        <v>45491.69811342593</v>
      </c>
      <c r="C276" s="1" t="n">
        <v>45992</v>
      </c>
      <c r="D276" t="inlineStr">
        <is>
          <t>ÖSTERGÖTLANDS LÄN</t>
        </is>
      </c>
      <c r="E276" t="inlineStr">
        <is>
          <t>LINKÖPING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56917-2022</t>
        </is>
      </c>
      <c r="B277" s="1" t="n">
        <v>44894</v>
      </c>
      <c r="C277" s="1" t="n">
        <v>45992</v>
      </c>
      <c r="D277" t="inlineStr">
        <is>
          <t>ÖSTERGÖTLANDS LÄN</t>
        </is>
      </c>
      <c r="E277" t="inlineStr">
        <is>
          <t>LINKÖPING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57766-2023</t>
        </is>
      </c>
      <c r="B278" s="1" t="n">
        <v>45246</v>
      </c>
      <c r="C278" s="1" t="n">
        <v>45992</v>
      </c>
      <c r="D278" t="inlineStr">
        <is>
          <t>ÖSTERGÖTLANDS LÄN</t>
        </is>
      </c>
      <c r="E278" t="inlineStr">
        <is>
          <t>LINKÖPING</t>
        </is>
      </c>
      <c r="F278" t="inlineStr">
        <is>
          <t>Allmännings- och besparingsskogar</t>
        </is>
      </c>
      <c r="G278" t="n">
        <v>12.8</v>
      </c>
      <c r="H278" t="n">
        <v>0</v>
      </c>
      <c r="I278" t="n">
        <v>0</v>
      </c>
      <c r="J278" t="n">
        <v>0</v>
      </c>
      <c r="K278" t="n">
        <v>0</v>
      </c>
      <c r="L278" t="n">
        <v>0</v>
      </c>
      <c r="M278" t="n">
        <v>0</v>
      </c>
      <c r="N278" t="n">
        <v>0</v>
      </c>
      <c r="O278" t="n">
        <v>0</v>
      </c>
      <c r="P278" t="n">
        <v>0</v>
      </c>
      <c r="Q278" t="n">
        <v>0</v>
      </c>
      <c r="R278" s="2" t="inlineStr"/>
    </row>
    <row r="279" ht="15" customHeight="1">
      <c r="A279" t="inlineStr">
        <is>
          <t>A 40169-2025</t>
        </is>
      </c>
      <c r="B279" s="1" t="n">
        <v>45894.62824074074</v>
      </c>
      <c r="C279" s="1" t="n">
        <v>45992</v>
      </c>
      <c r="D279" t="inlineStr">
        <is>
          <t>ÖSTERGÖTLANDS LÄN</t>
        </is>
      </c>
      <c r="E279" t="inlineStr">
        <is>
          <t>LINKÖPING</t>
        </is>
      </c>
      <c r="G279" t="n">
        <v>2.8</v>
      </c>
      <c r="H279" t="n">
        <v>0</v>
      </c>
      <c r="I279" t="n">
        <v>0</v>
      </c>
      <c r="J279" t="n">
        <v>0</v>
      </c>
      <c r="K279" t="n">
        <v>0</v>
      </c>
      <c r="L279" t="n">
        <v>0</v>
      </c>
      <c r="M279" t="n">
        <v>0</v>
      </c>
      <c r="N279" t="n">
        <v>0</v>
      </c>
      <c r="O279" t="n">
        <v>0</v>
      </c>
      <c r="P279" t="n">
        <v>0</v>
      </c>
      <c r="Q279" t="n">
        <v>0</v>
      </c>
      <c r="R279" s="2" t="inlineStr"/>
    </row>
    <row r="280" ht="15" customHeight="1">
      <c r="A280" t="inlineStr">
        <is>
          <t>A 25568-2024</t>
        </is>
      </c>
      <c r="B280" s="1" t="n">
        <v>45463.58699074074</v>
      </c>
      <c r="C280" s="1" t="n">
        <v>45992</v>
      </c>
      <c r="D280" t="inlineStr">
        <is>
          <t>ÖSTERGÖTLANDS LÄN</t>
        </is>
      </c>
      <c r="E280" t="inlineStr">
        <is>
          <t>LINKÖPING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22833-2023</t>
        </is>
      </c>
      <c r="B281" s="1" t="n">
        <v>45071</v>
      </c>
      <c r="C281" s="1" t="n">
        <v>45992</v>
      </c>
      <c r="D281" t="inlineStr">
        <is>
          <t>ÖSTERGÖTLANDS LÄN</t>
        </is>
      </c>
      <c r="E281" t="inlineStr">
        <is>
          <t>LINKÖPING</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2997-2025</t>
        </is>
      </c>
      <c r="B282" s="1" t="n">
        <v>45678.54631944445</v>
      </c>
      <c r="C282" s="1" t="n">
        <v>45992</v>
      </c>
      <c r="D282" t="inlineStr">
        <is>
          <t>ÖSTERGÖTLANDS LÄN</t>
        </is>
      </c>
      <c r="E282" t="inlineStr">
        <is>
          <t>LINKÖPING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27950-2025</t>
        </is>
      </c>
      <c r="B283" s="1" t="n">
        <v>45817.52960648148</v>
      </c>
      <c r="C283" s="1" t="n">
        <v>45992</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41345-2021</t>
        </is>
      </c>
      <c r="B284" s="1" t="n">
        <v>44424.61851851852</v>
      </c>
      <c r="C284" s="1" t="n">
        <v>45992</v>
      </c>
      <c r="D284" t="inlineStr">
        <is>
          <t>ÖSTERGÖTLANDS LÄN</t>
        </is>
      </c>
      <c r="E284" t="inlineStr">
        <is>
          <t>LINKÖPING</t>
        </is>
      </c>
      <c r="F284" t="inlineStr">
        <is>
          <t>Sveaskog</t>
        </is>
      </c>
      <c r="G284" t="n">
        <v>6.3</v>
      </c>
      <c r="H284" t="n">
        <v>0</v>
      </c>
      <c r="I284" t="n">
        <v>0</v>
      </c>
      <c r="J284" t="n">
        <v>0</v>
      </c>
      <c r="K284" t="n">
        <v>0</v>
      </c>
      <c r="L284" t="n">
        <v>0</v>
      </c>
      <c r="M284" t="n">
        <v>0</v>
      </c>
      <c r="N284" t="n">
        <v>0</v>
      </c>
      <c r="O284" t="n">
        <v>0</v>
      </c>
      <c r="P284" t="n">
        <v>0</v>
      </c>
      <c r="Q284" t="n">
        <v>0</v>
      </c>
      <c r="R284" s="2" t="inlineStr"/>
    </row>
    <row r="285" ht="15" customHeight="1">
      <c r="A285" t="inlineStr">
        <is>
          <t>A 27797-2025</t>
        </is>
      </c>
      <c r="B285" s="1" t="n">
        <v>45816.80521990741</v>
      </c>
      <c r="C285" s="1" t="n">
        <v>45992</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27798-2025</t>
        </is>
      </c>
      <c r="B286" s="1" t="n">
        <v>45816.81532407407</v>
      </c>
      <c r="C286" s="1" t="n">
        <v>45992</v>
      </c>
      <c r="D286" t="inlineStr">
        <is>
          <t>ÖSTERGÖTLANDS LÄN</t>
        </is>
      </c>
      <c r="E286" t="inlineStr">
        <is>
          <t>LINKÖPING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13266-2025</t>
        </is>
      </c>
      <c r="B287" s="1" t="n">
        <v>45735.53318287037</v>
      </c>
      <c r="C287" s="1" t="n">
        <v>45992</v>
      </c>
      <c r="D287" t="inlineStr">
        <is>
          <t>ÖSTERGÖTLANDS LÄN</t>
        </is>
      </c>
      <c r="E287" t="inlineStr">
        <is>
          <t>LINKÖPING</t>
        </is>
      </c>
      <c r="G287" t="n">
        <v>3.1</v>
      </c>
      <c r="H287" t="n">
        <v>0</v>
      </c>
      <c r="I287" t="n">
        <v>0</v>
      </c>
      <c r="J287" t="n">
        <v>0</v>
      </c>
      <c r="K287" t="n">
        <v>0</v>
      </c>
      <c r="L287" t="n">
        <v>0</v>
      </c>
      <c r="M287" t="n">
        <v>0</v>
      </c>
      <c r="N287" t="n">
        <v>0</v>
      </c>
      <c r="O287" t="n">
        <v>0</v>
      </c>
      <c r="P287" t="n">
        <v>0</v>
      </c>
      <c r="Q287" t="n">
        <v>0</v>
      </c>
      <c r="R287" s="2" t="inlineStr"/>
    </row>
    <row r="288" ht="15" customHeight="1">
      <c r="A288" t="inlineStr">
        <is>
          <t>A 16213-2025</t>
        </is>
      </c>
      <c r="B288" s="1" t="n">
        <v>45750.62740740741</v>
      </c>
      <c r="C288" s="1" t="n">
        <v>45992</v>
      </c>
      <c r="D288" t="inlineStr">
        <is>
          <t>ÖSTERGÖTLANDS LÄN</t>
        </is>
      </c>
      <c r="E288" t="inlineStr">
        <is>
          <t>LINKÖPING</t>
        </is>
      </c>
      <c r="G288" t="n">
        <v>3.4</v>
      </c>
      <c r="H288" t="n">
        <v>0</v>
      </c>
      <c r="I288" t="n">
        <v>0</v>
      </c>
      <c r="J288" t="n">
        <v>0</v>
      </c>
      <c r="K288" t="n">
        <v>0</v>
      </c>
      <c r="L288" t="n">
        <v>0</v>
      </c>
      <c r="M288" t="n">
        <v>0</v>
      </c>
      <c r="N288" t="n">
        <v>0</v>
      </c>
      <c r="O288" t="n">
        <v>0</v>
      </c>
      <c r="P288" t="n">
        <v>0</v>
      </c>
      <c r="Q288" t="n">
        <v>0</v>
      </c>
      <c r="R288" s="2" t="inlineStr"/>
    </row>
    <row r="289" ht="15" customHeight="1">
      <c r="A289" t="inlineStr">
        <is>
          <t>A 28200-2025</t>
        </is>
      </c>
      <c r="B289" s="1" t="n">
        <v>45818.4428125</v>
      </c>
      <c r="C289" s="1" t="n">
        <v>45992</v>
      </c>
      <c r="D289" t="inlineStr">
        <is>
          <t>ÖSTERGÖTLANDS LÄN</t>
        </is>
      </c>
      <c r="E289" t="inlineStr">
        <is>
          <t>LINKÖPING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28204-2025</t>
        </is>
      </c>
      <c r="B290" s="1" t="n">
        <v>45818.4477662037</v>
      </c>
      <c r="C290" s="1" t="n">
        <v>45992</v>
      </c>
      <c r="D290" t="inlineStr">
        <is>
          <t>ÖSTERGÖTLANDS LÄN</t>
        </is>
      </c>
      <c r="E290" t="inlineStr">
        <is>
          <t>LINKÖPING</t>
        </is>
      </c>
      <c r="G290" t="n">
        <v>2.9</v>
      </c>
      <c r="H290" t="n">
        <v>0</v>
      </c>
      <c r="I290" t="n">
        <v>0</v>
      </c>
      <c r="J290" t="n">
        <v>0</v>
      </c>
      <c r="K290" t="n">
        <v>0</v>
      </c>
      <c r="L290" t="n">
        <v>0</v>
      </c>
      <c r="M290" t="n">
        <v>0</v>
      </c>
      <c r="N290" t="n">
        <v>0</v>
      </c>
      <c r="O290" t="n">
        <v>0</v>
      </c>
      <c r="P290" t="n">
        <v>0</v>
      </c>
      <c r="Q290" t="n">
        <v>0</v>
      </c>
      <c r="R290" s="2" t="inlineStr"/>
    </row>
    <row r="291" ht="15" customHeight="1">
      <c r="A291" t="inlineStr">
        <is>
          <t>A 28416-2025</t>
        </is>
      </c>
      <c r="B291" s="1" t="n">
        <v>45819.35346064815</v>
      </c>
      <c r="C291" s="1" t="n">
        <v>45992</v>
      </c>
      <c r="D291" t="inlineStr">
        <is>
          <t>ÖSTERGÖTLANDS LÄN</t>
        </is>
      </c>
      <c r="E291" t="inlineStr">
        <is>
          <t>LINKÖPING</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28398-2025</t>
        </is>
      </c>
      <c r="B292" s="1" t="n">
        <v>45819.34208333334</v>
      </c>
      <c r="C292" s="1" t="n">
        <v>45992</v>
      </c>
      <c r="D292" t="inlineStr">
        <is>
          <t>ÖSTERGÖTLANDS LÄN</t>
        </is>
      </c>
      <c r="E292" t="inlineStr">
        <is>
          <t>LINKÖPING</t>
        </is>
      </c>
      <c r="F292" t="inlineStr">
        <is>
          <t>Sveaskog</t>
        </is>
      </c>
      <c r="G292" t="n">
        <v>7.9</v>
      </c>
      <c r="H292" t="n">
        <v>0</v>
      </c>
      <c r="I292" t="n">
        <v>0</v>
      </c>
      <c r="J292" t="n">
        <v>0</v>
      </c>
      <c r="K292" t="n">
        <v>0</v>
      </c>
      <c r="L292" t="n">
        <v>0</v>
      </c>
      <c r="M292" t="n">
        <v>0</v>
      </c>
      <c r="N292" t="n">
        <v>0</v>
      </c>
      <c r="O292" t="n">
        <v>0</v>
      </c>
      <c r="P292" t="n">
        <v>0</v>
      </c>
      <c r="Q292" t="n">
        <v>0</v>
      </c>
      <c r="R292" s="2" t="inlineStr"/>
    </row>
    <row r="293" ht="15" customHeight="1">
      <c r="A293" t="inlineStr">
        <is>
          <t>A 28209-2025</t>
        </is>
      </c>
      <c r="B293" s="1" t="n">
        <v>45818.45112268518</v>
      </c>
      <c r="C293" s="1" t="n">
        <v>45992</v>
      </c>
      <c r="D293" t="inlineStr">
        <is>
          <t>ÖSTERGÖTLANDS LÄN</t>
        </is>
      </c>
      <c r="E293" t="inlineStr">
        <is>
          <t>LINKÖPING</t>
        </is>
      </c>
      <c r="G293" t="n">
        <v>4.2</v>
      </c>
      <c r="H293" t="n">
        <v>0</v>
      </c>
      <c r="I293" t="n">
        <v>0</v>
      </c>
      <c r="J293" t="n">
        <v>0</v>
      </c>
      <c r="K293" t="n">
        <v>0</v>
      </c>
      <c r="L293" t="n">
        <v>0</v>
      </c>
      <c r="M293" t="n">
        <v>0</v>
      </c>
      <c r="N293" t="n">
        <v>0</v>
      </c>
      <c r="O293" t="n">
        <v>0</v>
      </c>
      <c r="P293" t="n">
        <v>0</v>
      </c>
      <c r="Q293" t="n">
        <v>0</v>
      </c>
      <c r="R293" s="2" t="inlineStr"/>
    </row>
    <row r="294" ht="15" customHeight="1">
      <c r="A294" t="inlineStr">
        <is>
          <t>A 46225-2021</t>
        </is>
      </c>
      <c r="B294" s="1" t="n">
        <v>44442</v>
      </c>
      <c r="C294" s="1" t="n">
        <v>45992</v>
      </c>
      <c r="D294" t="inlineStr">
        <is>
          <t>ÖSTERGÖTLANDS LÄN</t>
        </is>
      </c>
      <c r="E294" t="inlineStr">
        <is>
          <t>LINKÖPING</t>
        </is>
      </c>
      <c r="G294" t="n">
        <v>2.9</v>
      </c>
      <c r="H294" t="n">
        <v>0</v>
      </c>
      <c r="I294" t="n">
        <v>0</v>
      </c>
      <c r="J294" t="n">
        <v>0</v>
      </c>
      <c r="K294" t="n">
        <v>0</v>
      </c>
      <c r="L294" t="n">
        <v>0</v>
      </c>
      <c r="M294" t="n">
        <v>0</v>
      </c>
      <c r="N294" t="n">
        <v>0</v>
      </c>
      <c r="O294" t="n">
        <v>0</v>
      </c>
      <c r="P294" t="n">
        <v>0</v>
      </c>
      <c r="Q294" t="n">
        <v>0</v>
      </c>
      <c r="R294" s="2" t="inlineStr"/>
    </row>
    <row r="295" ht="15" customHeight="1">
      <c r="A295" t="inlineStr">
        <is>
          <t>A 25776-2021</t>
        </is>
      </c>
      <c r="B295" s="1" t="n">
        <v>44343</v>
      </c>
      <c r="C295" s="1" t="n">
        <v>45992</v>
      </c>
      <c r="D295" t="inlineStr">
        <is>
          <t>ÖSTERGÖTLANDS LÄN</t>
        </is>
      </c>
      <c r="E295" t="inlineStr">
        <is>
          <t>LINKÖPING</t>
        </is>
      </c>
      <c r="G295" t="n">
        <v>2.6</v>
      </c>
      <c r="H295" t="n">
        <v>0</v>
      </c>
      <c r="I295" t="n">
        <v>0</v>
      </c>
      <c r="J295" t="n">
        <v>0</v>
      </c>
      <c r="K295" t="n">
        <v>0</v>
      </c>
      <c r="L295" t="n">
        <v>0</v>
      </c>
      <c r="M295" t="n">
        <v>0</v>
      </c>
      <c r="N295" t="n">
        <v>0</v>
      </c>
      <c r="O295" t="n">
        <v>0</v>
      </c>
      <c r="P295" t="n">
        <v>0</v>
      </c>
      <c r="Q295" t="n">
        <v>0</v>
      </c>
      <c r="R295" s="2" t="inlineStr"/>
    </row>
    <row r="296" ht="15" customHeight="1">
      <c r="A296" t="inlineStr">
        <is>
          <t>A 41511-2025</t>
        </is>
      </c>
      <c r="B296" s="1" t="n">
        <v>45901.53839120371</v>
      </c>
      <c r="C296" s="1" t="n">
        <v>45992</v>
      </c>
      <c r="D296" t="inlineStr">
        <is>
          <t>ÖSTERGÖTLANDS LÄN</t>
        </is>
      </c>
      <c r="E296" t="inlineStr">
        <is>
          <t>LINKÖPING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51484-2023</t>
        </is>
      </c>
      <c r="B297" s="1" t="n">
        <v>45222</v>
      </c>
      <c r="C297" s="1" t="n">
        <v>45992</v>
      </c>
      <c r="D297" t="inlineStr">
        <is>
          <t>ÖSTERGÖTLANDS LÄN</t>
        </is>
      </c>
      <c r="E297" t="inlineStr">
        <is>
          <t>LINKÖPING</t>
        </is>
      </c>
      <c r="F297" t="inlineStr">
        <is>
          <t>Övriga Aktiebolag</t>
        </is>
      </c>
      <c r="G297" t="n">
        <v>7.7</v>
      </c>
      <c r="H297" t="n">
        <v>0</v>
      </c>
      <c r="I297" t="n">
        <v>0</v>
      </c>
      <c r="J297" t="n">
        <v>0</v>
      </c>
      <c r="K297" t="n">
        <v>0</v>
      </c>
      <c r="L297" t="n">
        <v>0</v>
      </c>
      <c r="M297" t="n">
        <v>0</v>
      </c>
      <c r="N297" t="n">
        <v>0</v>
      </c>
      <c r="O297" t="n">
        <v>0</v>
      </c>
      <c r="P297" t="n">
        <v>0</v>
      </c>
      <c r="Q297" t="n">
        <v>0</v>
      </c>
      <c r="R297" s="2" t="inlineStr"/>
    </row>
    <row r="298" ht="15" customHeight="1">
      <c r="A298" t="inlineStr">
        <is>
          <t>A 17898-2022</t>
        </is>
      </c>
      <c r="B298" s="1" t="n">
        <v>44683</v>
      </c>
      <c r="C298" s="1" t="n">
        <v>45992</v>
      </c>
      <c r="D298" t="inlineStr">
        <is>
          <t>ÖSTERGÖTLANDS LÄN</t>
        </is>
      </c>
      <c r="E298" t="inlineStr">
        <is>
          <t>LINKÖPING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29027-2025</t>
        </is>
      </c>
      <c r="B299" s="1" t="n">
        <v>45821.4375462963</v>
      </c>
      <c r="C299" s="1" t="n">
        <v>45992</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29411-2025</t>
        </is>
      </c>
      <c r="B300" s="1" t="n">
        <v>45824.6219212963</v>
      </c>
      <c r="C300" s="1" t="n">
        <v>45992</v>
      </c>
      <c r="D300" t="inlineStr">
        <is>
          <t>ÖSTERGÖTLANDS LÄN</t>
        </is>
      </c>
      <c r="E300" t="inlineStr">
        <is>
          <t>LINKÖPING</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41706-2025</t>
        </is>
      </c>
      <c r="B301" s="1" t="n">
        <v>45902.42209490741</v>
      </c>
      <c r="C301" s="1" t="n">
        <v>45992</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63487-2023</t>
        </is>
      </c>
      <c r="B302" s="1" t="n">
        <v>45274.66712962963</v>
      </c>
      <c r="C302" s="1" t="n">
        <v>45992</v>
      </c>
      <c r="D302" t="inlineStr">
        <is>
          <t>ÖSTERGÖTLANDS LÄN</t>
        </is>
      </c>
      <c r="E302" t="inlineStr">
        <is>
          <t>LINKÖPING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35463-2023</t>
        </is>
      </c>
      <c r="B303" s="1" t="n">
        <v>45146</v>
      </c>
      <c r="C303" s="1" t="n">
        <v>45992</v>
      </c>
      <c r="D303" t="inlineStr">
        <is>
          <t>ÖSTERGÖTLANDS LÄN</t>
        </is>
      </c>
      <c r="E303" t="inlineStr">
        <is>
          <t>LINKÖPING</t>
        </is>
      </c>
      <c r="F303" t="inlineStr">
        <is>
          <t>Övriga Aktiebolag</t>
        </is>
      </c>
      <c r="G303" t="n">
        <v>1.8</v>
      </c>
      <c r="H303" t="n">
        <v>0</v>
      </c>
      <c r="I303" t="n">
        <v>0</v>
      </c>
      <c r="J303" t="n">
        <v>0</v>
      </c>
      <c r="K303" t="n">
        <v>0</v>
      </c>
      <c r="L303" t="n">
        <v>0</v>
      </c>
      <c r="M303" t="n">
        <v>0</v>
      </c>
      <c r="N303" t="n">
        <v>0</v>
      </c>
      <c r="O303" t="n">
        <v>0</v>
      </c>
      <c r="P303" t="n">
        <v>0</v>
      </c>
      <c r="Q303" t="n">
        <v>0</v>
      </c>
      <c r="R303" s="2" t="inlineStr"/>
    </row>
    <row r="304" ht="15" customHeight="1">
      <c r="A304" t="inlineStr">
        <is>
          <t>A 29393-2025</t>
        </is>
      </c>
      <c r="B304" s="1" t="n">
        <v>45824.6057175926</v>
      </c>
      <c r="C304" s="1" t="n">
        <v>45992</v>
      </c>
      <c r="D304" t="inlineStr">
        <is>
          <t>ÖSTERGÖTLANDS LÄN</t>
        </is>
      </c>
      <c r="E304" t="inlineStr">
        <is>
          <t>LINKÖPING</t>
        </is>
      </c>
      <c r="F304" t="inlineStr">
        <is>
          <t>Sveaskog</t>
        </is>
      </c>
      <c r="G304" t="n">
        <v>24.6</v>
      </c>
      <c r="H304" t="n">
        <v>0</v>
      </c>
      <c r="I304" t="n">
        <v>0</v>
      </c>
      <c r="J304" t="n">
        <v>0</v>
      </c>
      <c r="K304" t="n">
        <v>0</v>
      </c>
      <c r="L304" t="n">
        <v>0</v>
      </c>
      <c r="M304" t="n">
        <v>0</v>
      </c>
      <c r="N304" t="n">
        <v>0</v>
      </c>
      <c r="O304" t="n">
        <v>0</v>
      </c>
      <c r="P304" t="n">
        <v>0</v>
      </c>
      <c r="Q304" t="n">
        <v>0</v>
      </c>
      <c r="R304" s="2" t="inlineStr"/>
    </row>
    <row r="305" ht="15" customHeight="1">
      <c r="A305" t="inlineStr">
        <is>
          <t>A 3042-2024</t>
        </is>
      </c>
      <c r="B305" s="1" t="n">
        <v>45316.35028935185</v>
      </c>
      <c r="C305" s="1" t="n">
        <v>45992</v>
      </c>
      <c r="D305" t="inlineStr">
        <is>
          <t>ÖSTERGÖTLANDS LÄN</t>
        </is>
      </c>
      <c r="E305" t="inlineStr">
        <is>
          <t>LINKÖPING</t>
        </is>
      </c>
      <c r="G305" t="n">
        <v>3.1</v>
      </c>
      <c r="H305" t="n">
        <v>0</v>
      </c>
      <c r="I305" t="n">
        <v>0</v>
      </c>
      <c r="J305" t="n">
        <v>0</v>
      </c>
      <c r="K305" t="n">
        <v>0</v>
      </c>
      <c r="L305" t="n">
        <v>0</v>
      </c>
      <c r="M305" t="n">
        <v>0</v>
      </c>
      <c r="N305" t="n">
        <v>0</v>
      </c>
      <c r="O305" t="n">
        <v>0</v>
      </c>
      <c r="P305" t="n">
        <v>0</v>
      </c>
      <c r="Q305" t="n">
        <v>0</v>
      </c>
      <c r="R305" s="2" t="inlineStr"/>
    </row>
    <row r="306" ht="15" customHeight="1">
      <c r="A306" t="inlineStr">
        <is>
          <t>A 29599-2025</t>
        </is>
      </c>
      <c r="B306" s="1" t="n">
        <v>45825.41101851852</v>
      </c>
      <c r="C306" s="1" t="n">
        <v>45992</v>
      </c>
      <c r="D306" t="inlineStr">
        <is>
          <t>ÖSTERGÖTLANDS LÄN</t>
        </is>
      </c>
      <c r="E306" t="inlineStr">
        <is>
          <t>LINKÖPING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55632-2022</t>
        </is>
      </c>
      <c r="B307" s="1" t="n">
        <v>44888</v>
      </c>
      <c r="C307" s="1" t="n">
        <v>45992</v>
      </c>
      <c r="D307" t="inlineStr">
        <is>
          <t>ÖSTERGÖTLANDS LÄN</t>
        </is>
      </c>
      <c r="E307" t="inlineStr">
        <is>
          <t>LINKÖPING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63559-2023</t>
        </is>
      </c>
      <c r="B308" s="1" t="n">
        <v>45275.35924768518</v>
      </c>
      <c r="C308" s="1" t="n">
        <v>45992</v>
      </c>
      <c r="D308" t="inlineStr">
        <is>
          <t>ÖSTERGÖTLANDS LÄN</t>
        </is>
      </c>
      <c r="E308" t="inlineStr">
        <is>
          <t>LINKÖPING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29293-2025</t>
        </is>
      </c>
      <c r="B309" s="1" t="n">
        <v>45824</v>
      </c>
      <c r="C309" s="1" t="n">
        <v>45992</v>
      </c>
      <c r="D309" t="inlineStr">
        <is>
          <t>ÖSTERGÖTLANDS LÄN</t>
        </is>
      </c>
      <c r="E309" t="inlineStr">
        <is>
          <t>LINKÖPING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42624-2025</t>
        </is>
      </c>
      <c r="B310" s="1" t="n">
        <v>45905</v>
      </c>
      <c r="C310" s="1" t="n">
        <v>45992</v>
      </c>
      <c r="D310" t="inlineStr">
        <is>
          <t>ÖSTERGÖTLANDS LÄN</t>
        </is>
      </c>
      <c r="E310" t="inlineStr">
        <is>
          <t>LINKÖPING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42626-2025</t>
        </is>
      </c>
      <c r="B311" s="1" t="n">
        <v>45905</v>
      </c>
      <c r="C311" s="1" t="n">
        <v>45992</v>
      </c>
      <c r="D311" t="inlineStr">
        <is>
          <t>ÖSTERGÖTLANDS LÄN</t>
        </is>
      </c>
      <c r="E311" t="inlineStr">
        <is>
          <t>LINKÖPING</t>
        </is>
      </c>
      <c r="G311" t="n">
        <v>3.6</v>
      </c>
      <c r="H311" t="n">
        <v>0</v>
      </c>
      <c r="I311" t="n">
        <v>0</v>
      </c>
      <c r="J311" t="n">
        <v>0</v>
      </c>
      <c r="K311" t="n">
        <v>0</v>
      </c>
      <c r="L311" t="n">
        <v>0</v>
      </c>
      <c r="M311" t="n">
        <v>0</v>
      </c>
      <c r="N311" t="n">
        <v>0</v>
      </c>
      <c r="O311" t="n">
        <v>0</v>
      </c>
      <c r="P311" t="n">
        <v>0</v>
      </c>
      <c r="Q311" t="n">
        <v>0</v>
      </c>
      <c r="R311" s="2" t="inlineStr"/>
    </row>
    <row r="312" ht="15" customHeight="1">
      <c r="A312" t="inlineStr">
        <is>
          <t>A 42623-2025</t>
        </is>
      </c>
      <c r="B312" s="1" t="n">
        <v>45905</v>
      </c>
      <c r="C312" s="1" t="n">
        <v>45992</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58114-2021</t>
        </is>
      </c>
      <c r="B313" s="1" t="n">
        <v>44487</v>
      </c>
      <c r="C313" s="1" t="n">
        <v>45992</v>
      </c>
      <c r="D313" t="inlineStr">
        <is>
          <t>ÖSTERGÖTLANDS LÄN</t>
        </is>
      </c>
      <c r="E313" t="inlineStr">
        <is>
          <t>LINKÖPING</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30355-2025</t>
        </is>
      </c>
      <c r="B314" s="1" t="n">
        <v>45827</v>
      </c>
      <c r="C314" s="1" t="n">
        <v>45992</v>
      </c>
      <c r="D314" t="inlineStr">
        <is>
          <t>ÖSTERGÖTLANDS LÄN</t>
        </is>
      </c>
      <c r="E314" t="inlineStr">
        <is>
          <t>LINKÖPING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30353-2025</t>
        </is>
      </c>
      <c r="B315" s="1" t="n">
        <v>45827</v>
      </c>
      <c r="C315" s="1" t="n">
        <v>45992</v>
      </c>
      <c r="D315" t="inlineStr">
        <is>
          <t>ÖSTERGÖTLANDS LÄN</t>
        </is>
      </c>
      <c r="E315" t="inlineStr">
        <is>
          <t>LINKÖPING</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55944-2024</t>
        </is>
      </c>
      <c r="B316" s="1" t="n">
        <v>45623.61640046296</v>
      </c>
      <c r="C316" s="1" t="n">
        <v>45992</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55947-2024</t>
        </is>
      </c>
      <c r="B317" s="1" t="n">
        <v>45623</v>
      </c>
      <c r="C317" s="1" t="n">
        <v>45992</v>
      </c>
      <c r="D317" t="inlineStr">
        <is>
          <t>ÖSTERGÖTLANDS LÄN</t>
        </is>
      </c>
      <c r="E317" t="inlineStr">
        <is>
          <t>LINKÖPING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3374-2023</t>
        </is>
      </c>
      <c r="B318" s="1" t="n">
        <v>44949</v>
      </c>
      <c r="C318" s="1" t="n">
        <v>45992</v>
      </c>
      <c r="D318" t="inlineStr">
        <is>
          <t>ÖSTERGÖTLANDS LÄN</t>
        </is>
      </c>
      <c r="E318" t="inlineStr">
        <is>
          <t>LINKÖPING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24151-2024</t>
        </is>
      </c>
      <c r="B319" s="1" t="n">
        <v>45456.67717592593</v>
      </c>
      <c r="C319" s="1" t="n">
        <v>45992</v>
      </c>
      <c r="D319" t="inlineStr">
        <is>
          <t>ÖSTERGÖTLANDS LÄN</t>
        </is>
      </c>
      <c r="E319" t="inlineStr">
        <is>
          <t>LINKÖPING</t>
        </is>
      </c>
      <c r="G319" t="n">
        <v>2.1</v>
      </c>
      <c r="H319" t="n">
        <v>0</v>
      </c>
      <c r="I319" t="n">
        <v>0</v>
      </c>
      <c r="J319" t="n">
        <v>0</v>
      </c>
      <c r="K319" t="n">
        <v>0</v>
      </c>
      <c r="L319" t="n">
        <v>0</v>
      </c>
      <c r="M319" t="n">
        <v>0</v>
      </c>
      <c r="N319" t="n">
        <v>0</v>
      </c>
      <c r="O319" t="n">
        <v>0</v>
      </c>
      <c r="P319" t="n">
        <v>0</v>
      </c>
      <c r="Q319" t="n">
        <v>0</v>
      </c>
      <c r="R319" s="2" t="inlineStr"/>
    </row>
    <row r="320" ht="15" customHeight="1">
      <c r="A320" t="inlineStr">
        <is>
          <t>A 67123-2020</t>
        </is>
      </c>
      <c r="B320" s="1" t="n">
        <v>44180</v>
      </c>
      <c r="C320" s="1" t="n">
        <v>45992</v>
      </c>
      <c r="D320" t="inlineStr">
        <is>
          <t>ÖSTERGÖTLANDS LÄN</t>
        </is>
      </c>
      <c r="E320" t="inlineStr">
        <is>
          <t>LINKÖPING</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51802-2025</t>
        </is>
      </c>
      <c r="B321" s="1" t="n">
        <v>45950</v>
      </c>
      <c r="C321" s="1" t="n">
        <v>45992</v>
      </c>
      <c r="D321" t="inlineStr">
        <is>
          <t>ÖSTERGÖTLANDS LÄN</t>
        </is>
      </c>
      <c r="E321" t="inlineStr">
        <is>
          <t>LINKÖPING</t>
        </is>
      </c>
      <c r="F321" t="inlineStr">
        <is>
          <t>Övriga Aktiebolag</t>
        </is>
      </c>
      <c r="G321" t="n">
        <v>2</v>
      </c>
      <c r="H321" t="n">
        <v>0</v>
      </c>
      <c r="I321" t="n">
        <v>0</v>
      </c>
      <c r="J321" t="n">
        <v>0</v>
      </c>
      <c r="K321" t="n">
        <v>0</v>
      </c>
      <c r="L321" t="n">
        <v>0</v>
      </c>
      <c r="M321" t="n">
        <v>0</v>
      </c>
      <c r="N321" t="n">
        <v>0</v>
      </c>
      <c r="O321" t="n">
        <v>0</v>
      </c>
      <c r="P321" t="n">
        <v>0</v>
      </c>
      <c r="Q321" t="n">
        <v>0</v>
      </c>
      <c r="R321" s="2" t="inlineStr"/>
    </row>
    <row r="322" ht="15" customHeight="1">
      <c r="A322" t="inlineStr">
        <is>
          <t>A 14576-2023</t>
        </is>
      </c>
      <c r="B322" s="1" t="n">
        <v>45013</v>
      </c>
      <c r="C322" s="1" t="n">
        <v>45992</v>
      </c>
      <c r="D322" t="inlineStr">
        <is>
          <t>ÖSTERGÖTLANDS LÄN</t>
        </is>
      </c>
      <c r="E322" t="inlineStr">
        <is>
          <t>LINKÖPING</t>
        </is>
      </c>
      <c r="G322" t="n">
        <v>3.2</v>
      </c>
      <c r="H322" t="n">
        <v>0</v>
      </c>
      <c r="I322" t="n">
        <v>0</v>
      </c>
      <c r="J322" t="n">
        <v>0</v>
      </c>
      <c r="K322" t="n">
        <v>0</v>
      </c>
      <c r="L322" t="n">
        <v>0</v>
      </c>
      <c r="M322" t="n">
        <v>0</v>
      </c>
      <c r="N322" t="n">
        <v>0</v>
      </c>
      <c r="O322" t="n">
        <v>0</v>
      </c>
      <c r="P322" t="n">
        <v>0</v>
      </c>
      <c r="Q322" t="n">
        <v>0</v>
      </c>
      <c r="R322" s="2" t="inlineStr"/>
    </row>
    <row r="323" ht="15" customHeight="1">
      <c r="A323" t="inlineStr">
        <is>
          <t>A 31581-2025</t>
        </is>
      </c>
      <c r="B323" s="1" t="n">
        <v>45833.6840162037</v>
      </c>
      <c r="C323" s="1" t="n">
        <v>45992</v>
      </c>
      <c r="D323" t="inlineStr">
        <is>
          <t>ÖSTERGÖTLANDS LÄN</t>
        </is>
      </c>
      <c r="E323" t="inlineStr">
        <is>
          <t>LINKÖPING</t>
        </is>
      </c>
      <c r="G323" t="n">
        <v>2.6</v>
      </c>
      <c r="H323" t="n">
        <v>0</v>
      </c>
      <c r="I323" t="n">
        <v>0</v>
      </c>
      <c r="J323" t="n">
        <v>0</v>
      </c>
      <c r="K323" t="n">
        <v>0</v>
      </c>
      <c r="L323" t="n">
        <v>0</v>
      </c>
      <c r="M323" t="n">
        <v>0</v>
      </c>
      <c r="N323" t="n">
        <v>0</v>
      </c>
      <c r="O323" t="n">
        <v>0</v>
      </c>
      <c r="P323" t="n">
        <v>0</v>
      </c>
      <c r="Q323" t="n">
        <v>0</v>
      </c>
      <c r="R323" s="2" t="inlineStr"/>
    </row>
    <row r="324" ht="15" customHeight="1">
      <c r="A324" t="inlineStr">
        <is>
          <t>A 31585-2025</t>
        </is>
      </c>
      <c r="B324" s="1" t="n">
        <v>45833.68815972222</v>
      </c>
      <c r="C324" s="1" t="n">
        <v>45992</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74160-2021</t>
        </is>
      </c>
      <c r="B325" s="1" t="n">
        <v>44558</v>
      </c>
      <c r="C325" s="1" t="n">
        <v>45992</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52111-2025</t>
        </is>
      </c>
      <c r="B326" s="1" t="n">
        <v>45952.69527777778</v>
      </c>
      <c r="C326" s="1" t="n">
        <v>45992</v>
      </c>
      <c r="D326" t="inlineStr">
        <is>
          <t>ÖSTERGÖTLANDS LÄN</t>
        </is>
      </c>
      <c r="E326" t="inlineStr">
        <is>
          <t>LINKÖPING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27766-2022</t>
        </is>
      </c>
      <c r="B327" s="1" t="n">
        <v>44743.53112268518</v>
      </c>
      <c r="C327" s="1" t="n">
        <v>45992</v>
      </c>
      <c r="D327" t="inlineStr">
        <is>
          <t>ÖSTERGÖTLANDS LÄN</t>
        </is>
      </c>
      <c r="E327" t="inlineStr">
        <is>
          <t>LINKÖPING</t>
        </is>
      </c>
      <c r="G327" t="n">
        <v>2</v>
      </c>
      <c r="H327" t="n">
        <v>0</v>
      </c>
      <c r="I327" t="n">
        <v>0</v>
      </c>
      <c r="J327" t="n">
        <v>0</v>
      </c>
      <c r="K327" t="n">
        <v>0</v>
      </c>
      <c r="L327" t="n">
        <v>0</v>
      </c>
      <c r="M327" t="n">
        <v>0</v>
      </c>
      <c r="N327" t="n">
        <v>0</v>
      </c>
      <c r="O327" t="n">
        <v>0</v>
      </c>
      <c r="P327" t="n">
        <v>0</v>
      </c>
      <c r="Q327" t="n">
        <v>0</v>
      </c>
      <c r="R327" s="2" t="inlineStr"/>
    </row>
    <row r="328" ht="15" customHeight="1">
      <c r="A328" t="inlineStr">
        <is>
          <t>A 32723-2025</t>
        </is>
      </c>
      <c r="B328" s="1" t="n">
        <v>45838</v>
      </c>
      <c r="C328" s="1" t="n">
        <v>45992</v>
      </c>
      <c r="D328" t="inlineStr">
        <is>
          <t>ÖSTERGÖTLANDS LÄN</t>
        </is>
      </c>
      <c r="E328" t="inlineStr">
        <is>
          <t>LINKÖPING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53641-2023</t>
        </is>
      </c>
      <c r="B329" s="1" t="n">
        <v>45230</v>
      </c>
      <c r="C329" s="1" t="n">
        <v>45992</v>
      </c>
      <c r="D329" t="inlineStr">
        <is>
          <t>ÖSTERGÖTLANDS LÄN</t>
        </is>
      </c>
      <c r="E329" t="inlineStr">
        <is>
          <t>LINKÖPING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33000-2023</t>
        </is>
      </c>
      <c r="B330" s="1" t="n">
        <v>45125</v>
      </c>
      <c r="C330" s="1" t="n">
        <v>45992</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52743-2025</t>
        </is>
      </c>
      <c r="B331" s="1" t="n">
        <v>45957.38039351852</v>
      </c>
      <c r="C331" s="1" t="n">
        <v>45992</v>
      </c>
      <c r="D331" t="inlineStr">
        <is>
          <t>ÖSTERGÖTLANDS LÄN</t>
        </is>
      </c>
      <c r="E331" t="inlineStr">
        <is>
          <t>LINKÖPING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52892-2024</t>
        </is>
      </c>
      <c r="B332" s="1" t="n">
        <v>45610</v>
      </c>
      <c r="C332" s="1" t="n">
        <v>45992</v>
      </c>
      <c r="D332" t="inlineStr">
        <is>
          <t>ÖSTERGÖTLANDS LÄN</t>
        </is>
      </c>
      <c r="E332" t="inlineStr">
        <is>
          <t>LINKÖPING</t>
        </is>
      </c>
      <c r="G332" t="n">
        <v>4.2</v>
      </c>
      <c r="H332" t="n">
        <v>0</v>
      </c>
      <c r="I332" t="n">
        <v>0</v>
      </c>
      <c r="J332" t="n">
        <v>0</v>
      </c>
      <c r="K332" t="n">
        <v>0</v>
      </c>
      <c r="L332" t="n">
        <v>0</v>
      </c>
      <c r="M332" t="n">
        <v>0</v>
      </c>
      <c r="N332" t="n">
        <v>0</v>
      </c>
      <c r="O332" t="n">
        <v>0</v>
      </c>
      <c r="P332" t="n">
        <v>0</v>
      </c>
      <c r="Q332" t="n">
        <v>0</v>
      </c>
      <c r="R332" s="2" t="inlineStr"/>
    </row>
    <row r="333" ht="15" customHeight="1">
      <c r="A333" t="inlineStr">
        <is>
          <t>A 30521-2024</t>
        </is>
      </c>
      <c r="B333" s="1" t="n">
        <v>45492</v>
      </c>
      <c r="C333" s="1" t="n">
        <v>45992</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51191-2022</t>
        </is>
      </c>
      <c r="B334" s="1" t="n">
        <v>44865</v>
      </c>
      <c r="C334" s="1" t="n">
        <v>45992</v>
      </c>
      <c r="D334" t="inlineStr">
        <is>
          <t>ÖSTERGÖTLANDS LÄN</t>
        </is>
      </c>
      <c r="E334" t="inlineStr">
        <is>
          <t>LINKÖPING</t>
        </is>
      </c>
      <c r="G334" t="n">
        <v>2.2</v>
      </c>
      <c r="H334" t="n">
        <v>0</v>
      </c>
      <c r="I334" t="n">
        <v>0</v>
      </c>
      <c r="J334" t="n">
        <v>0</v>
      </c>
      <c r="K334" t="n">
        <v>0</v>
      </c>
      <c r="L334" t="n">
        <v>0</v>
      </c>
      <c r="M334" t="n">
        <v>0</v>
      </c>
      <c r="N334" t="n">
        <v>0</v>
      </c>
      <c r="O334" t="n">
        <v>0</v>
      </c>
      <c r="P334" t="n">
        <v>0</v>
      </c>
      <c r="Q334" t="n">
        <v>0</v>
      </c>
      <c r="R334" s="2" t="inlineStr"/>
    </row>
    <row r="335" ht="15" customHeight="1">
      <c r="A335" t="inlineStr">
        <is>
          <t>A 44170-2025</t>
        </is>
      </c>
      <c r="B335" s="1" t="n">
        <v>45915.59864583334</v>
      </c>
      <c r="C335" s="1" t="n">
        <v>45992</v>
      </c>
      <c r="D335" t="inlineStr">
        <is>
          <t>ÖSTERGÖTLANDS LÄN</t>
        </is>
      </c>
      <c r="E335" t="inlineStr">
        <is>
          <t>LINKÖPING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12289-2025</t>
        </is>
      </c>
      <c r="B336" s="1" t="n">
        <v>45729</v>
      </c>
      <c r="C336" s="1" t="n">
        <v>45992</v>
      </c>
      <c r="D336" t="inlineStr">
        <is>
          <t>ÖSTERGÖTLANDS LÄN</t>
        </is>
      </c>
      <c r="E336" t="inlineStr">
        <is>
          <t>LINKÖPING</t>
        </is>
      </c>
      <c r="F336" t="inlineStr">
        <is>
          <t>Övriga statliga verk och myndigheter</t>
        </is>
      </c>
      <c r="G336" t="n">
        <v>6.5</v>
      </c>
      <c r="H336" t="n">
        <v>0</v>
      </c>
      <c r="I336" t="n">
        <v>0</v>
      </c>
      <c r="J336" t="n">
        <v>0</v>
      </c>
      <c r="K336" t="n">
        <v>0</v>
      </c>
      <c r="L336" t="n">
        <v>0</v>
      </c>
      <c r="M336" t="n">
        <v>0</v>
      </c>
      <c r="N336" t="n">
        <v>0</v>
      </c>
      <c r="O336" t="n">
        <v>0</v>
      </c>
      <c r="P336" t="n">
        <v>0</v>
      </c>
      <c r="Q336" t="n">
        <v>0</v>
      </c>
      <c r="R336" s="2" t="inlineStr"/>
    </row>
    <row r="337" ht="15" customHeight="1">
      <c r="A337" t="inlineStr">
        <is>
          <t>A 43755-2025</t>
        </is>
      </c>
      <c r="B337" s="1" t="n">
        <v>45912.47329861111</v>
      </c>
      <c r="C337" s="1" t="n">
        <v>45992</v>
      </c>
      <c r="D337" t="inlineStr">
        <is>
          <t>ÖSTERGÖTLANDS LÄN</t>
        </is>
      </c>
      <c r="E337" t="inlineStr">
        <is>
          <t>LINKÖPING</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43758-2025</t>
        </is>
      </c>
      <c r="B338" s="1" t="n">
        <v>45912.47711805555</v>
      </c>
      <c r="C338" s="1" t="n">
        <v>45992</v>
      </c>
      <c r="D338" t="inlineStr">
        <is>
          <t>ÖSTERGÖTLANDS LÄN</t>
        </is>
      </c>
      <c r="E338" t="inlineStr">
        <is>
          <t>LINKÖPING</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9434-2024</t>
        </is>
      </c>
      <c r="B339" s="1" t="n">
        <v>45359</v>
      </c>
      <c r="C339" s="1" t="n">
        <v>45992</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52802-2025</t>
        </is>
      </c>
      <c r="B340" s="1" t="n">
        <v>45957.44295138889</v>
      </c>
      <c r="C340" s="1" t="n">
        <v>45992</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42054-2022</t>
        </is>
      </c>
      <c r="B341" s="1" t="n">
        <v>44830</v>
      </c>
      <c r="C341" s="1" t="n">
        <v>45992</v>
      </c>
      <c r="D341" t="inlineStr">
        <is>
          <t>ÖSTERGÖTLANDS LÄN</t>
        </is>
      </c>
      <c r="E341" t="inlineStr">
        <is>
          <t>LINKÖPING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43753-2025</t>
        </is>
      </c>
      <c r="B342" s="1" t="n">
        <v>45912.4715625</v>
      </c>
      <c r="C342" s="1" t="n">
        <v>45992</v>
      </c>
      <c r="D342" t="inlineStr">
        <is>
          <t>ÖSTERGÖTLANDS LÄN</t>
        </is>
      </c>
      <c r="E342" t="inlineStr">
        <is>
          <t>LINKÖPING</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50182-2023</t>
        </is>
      </c>
      <c r="B343" s="1" t="n">
        <v>45208</v>
      </c>
      <c r="C343" s="1" t="n">
        <v>45992</v>
      </c>
      <c r="D343" t="inlineStr">
        <is>
          <t>ÖSTERGÖTLANDS LÄN</t>
        </is>
      </c>
      <c r="E343" t="inlineStr">
        <is>
          <t>LINKÖPING</t>
        </is>
      </c>
      <c r="G343" t="n">
        <v>2.5</v>
      </c>
      <c r="H343" t="n">
        <v>0</v>
      </c>
      <c r="I343" t="n">
        <v>0</v>
      </c>
      <c r="J343" t="n">
        <v>0</v>
      </c>
      <c r="K343" t="n">
        <v>0</v>
      </c>
      <c r="L343" t="n">
        <v>0</v>
      </c>
      <c r="M343" t="n">
        <v>0</v>
      </c>
      <c r="N343" t="n">
        <v>0</v>
      </c>
      <c r="O343" t="n">
        <v>0</v>
      </c>
      <c r="P343" t="n">
        <v>0</v>
      </c>
      <c r="Q343" t="n">
        <v>0</v>
      </c>
      <c r="R343" s="2" t="inlineStr"/>
    </row>
    <row r="344" ht="15" customHeight="1">
      <c r="A344" t="inlineStr">
        <is>
          <t>A 52800-2025</t>
        </is>
      </c>
      <c r="B344" s="1" t="n">
        <v>45957.44152777778</v>
      </c>
      <c r="C344" s="1" t="n">
        <v>45992</v>
      </c>
      <c r="D344" t="inlineStr">
        <is>
          <t>ÖSTERGÖTLANDS LÄN</t>
        </is>
      </c>
      <c r="E344" t="inlineStr">
        <is>
          <t>LINKÖPING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33947-2025</t>
        </is>
      </c>
      <c r="B345" s="1" t="n">
        <v>45842.65444444444</v>
      </c>
      <c r="C345" s="1" t="n">
        <v>45992</v>
      </c>
      <c r="D345" t="inlineStr">
        <is>
          <t>ÖSTERGÖTLANDS LÄN</t>
        </is>
      </c>
      <c r="E345" t="inlineStr">
        <is>
          <t>LINKÖPING</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53529-2024</t>
        </is>
      </c>
      <c r="B346" s="1" t="n">
        <v>45614</v>
      </c>
      <c r="C346" s="1" t="n">
        <v>45992</v>
      </c>
      <c r="D346" t="inlineStr">
        <is>
          <t>ÖSTERGÖTLANDS LÄN</t>
        </is>
      </c>
      <c r="E346" t="inlineStr">
        <is>
          <t>LINKÖPING</t>
        </is>
      </c>
      <c r="G346" t="n">
        <v>6.7</v>
      </c>
      <c r="H346" t="n">
        <v>0</v>
      </c>
      <c r="I346" t="n">
        <v>0</v>
      </c>
      <c r="J346" t="n">
        <v>0</v>
      </c>
      <c r="K346" t="n">
        <v>0</v>
      </c>
      <c r="L346" t="n">
        <v>0</v>
      </c>
      <c r="M346" t="n">
        <v>0</v>
      </c>
      <c r="N346" t="n">
        <v>0</v>
      </c>
      <c r="O346" t="n">
        <v>0</v>
      </c>
      <c r="P346" t="n">
        <v>0</v>
      </c>
      <c r="Q346" t="n">
        <v>0</v>
      </c>
      <c r="R346" s="2" t="inlineStr"/>
    </row>
    <row r="347" ht="15" customHeight="1">
      <c r="A347" t="inlineStr">
        <is>
          <t>A 62012-2024</t>
        </is>
      </c>
      <c r="B347" s="1" t="n">
        <v>45655.79679398148</v>
      </c>
      <c r="C347" s="1" t="n">
        <v>45992</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35781-2023</t>
        </is>
      </c>
      <c r="B348" s="1" t="n">
        <v>45147</v>
      </c>
      <c r="C348" s="1" t="n">
        <v>45992</v>
      </c>
      <c r="D348" t="inlineStr">
        <is>
          <t>ÖSTERGÖTLANDS LÄN</t>
        </is>
      </c>
      <c r="E348" t="inlineStr">
        <is>
          <t>LINKÖPING</t>
        </is>
      </c>
      <c r="G348" t="n">
        <v>1.6</v>
      </c>
      <c r="H348" t="n">
        <v>0</v>
      </c>
      <c r="I348" t="n">
        <v>0</v>
      </c>
      <c r="J348" t="n">
        <v>0</v>
      </c>
      <c r="K348" t="n">
        <v>0</v>
      </c>
      <c r="L348" t="n">
        <v>0</v>
      </c>
      <c r="M348" t="n">
        <v>0</v>
      </c>
      <c r="N348" t="n">
        <v>0</v>
      </c>
      <c r="O348" t="n">
        <v>0</v>
      </c>
      <c r="P348" t="n">
        <v>0</v>
      </c>
      <c r="Q348" t="n">
        <v>0</v>
      </c>
      <c r="R348" s="2" t="inlineStr"/>
    </row>
    <row r="349" ht="15" customHeight="1">
      <c r="A349" t="inlineStr">
        <is>
          <t>A 20469-2025</t>
        </is>
      </c>
      <c r="B349" s="1" t="n">
        <v>45775</v>
      </c>
      <c r="C349" s="1" t="n">
        <v>45992</v>
      </c>
      <c r="D349" t="inlineStr">
        <is>
          <t>ÖSTERGÖTLANDS LÄN</t>
        </is>
      </c>
      <c r="E349" t="inlineStr">
        <is>
          <t>LINKÖPING</t>
        </is>
      </c>
      <c r="F349" t="inlineStr">
        <is>
          <t>Kyrkan</t>
        </is>
      </c>
      <c r="G349" t="n">
        <v>6.1</v>
      </c>
      <c r="H349" t="n">
        <v>0</v>
      </c>
      <c r="I349" t="n">
        <v>0</v>
      </c>
      <c r="J349" t="n">
        <v>0</v>
      </c>
      <c r="K349" t="n">
        <v>0</v>
      </c>
      <c r="L349" t="n">
        <v>0</v>
      </c>
      <c r="M349" t="n">
        <v>0</v>
      </c>
      <c r="N349" t="n">
        <v>0</v>
      </c>
      <c r="O349" t="n">
        <v>0</v>
      </c>
      <c r="P349" t="n">
        <v>0</v>
      </c>
      <c r="Q349" t="n">
        <v>0</v>
      </c>
      <c r="R349" s="2" t="inlineStr"/>
    </row>
    <row r="350" ht="15" customHeight="1">
      <c r="A350" t="inlineStr">
        <is>
          <t>A 44759-2025</t>
        </is>
      </c>
      <c r="B350" s="1" t="n">
        <v>45917.7152662037</v>
      </c>
      <c r="C350" s="1" t="n">
        <v>45992</v>
      </c>
      <c r="D350" t="inlineStr">
        <is>
          <t>ÖSTERGÖTLANDS LÄN</t>
        </is>
      </c>
      <c r="E350" t="inlineStr">
        <is>
          <t>LINKÖPING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6387-2022</t>
        </is>
      </c>
      <c r="B351" s="1" t="n">
        <v>44600</v>
      </c>
      <c r="C351" s="1" t="n">
        <v>45992</v>
      </c>
      <c r="D351" t="inlineStr">
        <is>
          <t>ÖSTERGÖTLANDS LÄN</t>
        </is>
      </c>
      <c r="E351" t="inlineStr">
        <is>
          <t>LINKÖPING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48707-2023</t>
        </is>
      </c>
      <c r="B352" s="1" t="n">
        <v>45202</v>
      </c>
      <c r="C352" s="1" t="n">
        <v>45992</v>
      </c>
      <c r="D352" t="inlineStr">
        <is>
          <t>ÖSTERGÖTLANDS LÄN</t>
        </is>
      </c>
      <c r="E352" t="inlineStr">
        <is>
          <t>LINKÖPING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44764-2025</t>
        </is>
      </c>
      <c r="B353" s="1" t="n">
        <v>45917.72821759259</v>
      </c>
      <c r="C353" s="1" t="n">
        <v>45992</v>
      </c>
      <c r="D353" t="inlineStr">
        <is>
          <t>ÖSTERGÖTLANDS LÄN</t>
        </is>
      </c>
      <c r="E353" t="inlineStr">
        <is>
          <t>LINKÖPING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33800-2023</t>
        </is>
      </c>
      <c r="B354" s="1" t="n">
        <v>45121</v>
      </c>
      <c r="C354" s="1" t="n">
        <v>45992</v>
      </c>
      <c r="D354" t="inlineStr">
        <is>
          <t>ÖSTERGÖTLANDS LÄN</t>
        </is>
      </c>
      <c r="E354" t="inlineStr">
        <is>
          <t>LINKÖPING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26007-2025</t>
        </is>
      </c>
      <c r="B355" s="1" t="n">
        <v>45804.67081018518</v>
      </c>
      <c r="C355" s="1" t="n">
        <v>45992</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35174-2025</t>
        </is>
      </c>
      <c r="B356" s="1" t="n">
        <v>45852.90648148148</v>
      </c>
      <c r="C356" s="1" t="n">
        <v>45992</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47991-2023</t>
        </is>
      </c>
      <c r="B357" s="1" t="n">
        <v>45204.62655092592</v>
      </c>
      <c r="C357" s="1" t="n">
        <v>45992</v>
      </c>
      <c r="D357" t="inlineStr">
        <is>
          <t>ÖSTERGÖTLANDS LÄN</t>
        </is>
      </c>
      <c r="E357" t="inlineStr">
        <is>
          <t>LINKÖPING</t>
        </is>
      </c>
      <c r="F357" t="inlineStr">
        <is>
          <t>Allmännings- och besparingsskogar</t>
        </is>
      </c>
      <c r="G357" t="n">
        <v>7.3</v>
      </c>
      <c r="H357" t="n">
        <v>0</v>
      </c>
      <c r="I357" t="n">
        <v>0</v>
      </c>
      <c r="J357" t="n">
        <v>0</v>
      </c>
      <c r="K357" t="n">
        <v>0</v>
      </c>
      <c r="L357" t="n">
        <v>0</v>
      </c>
      <c r="M357" t="n">
        <v>0</v>
      </c>
      <c r="N357" t="n">
        <v>0</v>
      </c>
      <c r="O357" t="n">
        <v>0</v>
      </c>
      <c r="P357" t="n">
        <v>0</v>
      </c>
      <c r="Q357" t="n">
        <v>0</v>
      </c>
      <c r="R357" s="2" t="inlineStr"/>
    </row>
    <row r="358" ht="15" customHeight="1">
      <c r="A358" t="inlineStr">
        <is>
          <t>A 35179-2025</t>
        </is>
      </c>
      <c r="B358" s="1" t="n">
        <v>45852.93737268518</v>
      </c>
      <c r="C358" s="1" t="n">
        <v>45992</v>
      </c>
      <c r="D358" t="inlineStr">
        <is>
          <t>ÖSTERGÖTLANDS LÄN</t>
        </is>
      </c>
      <c r="E358" t="inlineStr">
        <is>
          <t>LINKÖPING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35180-2025</t>
        </is>
      </c>
      <c r="B359" s="1" t="n">
        <v>45852.9413425926</v>
      </c>
      <c r="C359" s="1" t="n">
        <v>45992</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12089-2025</t>
        </is>
      </c>
      <c r="B360" s="1" t="n">
        <v>45729</v>
      </c>
      <c r="C360" s="1" t="n">
        <v>45992</v>
      </c>
      <c r="D360" t="inlineStr">
        <is>
          <t>ÖSTERGÖTLANDS LÄN</t>
        </is>
      </c>
      <c r="E360" t="inlineStr">
        <is>
          <t>LINKÖPING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35178-2025</t>
        </is>
      </c>
      <c r="B361" s="1" t="n">
        <v>45852.91939814815</v>
      </c>
      <c r="C361" s="1" t="n">
        <v>45992</v>
      </c>
      <c r="D361" t="inlineStr">
        <is>
          <t>ÖSTERGÖTLANDS LÄN</t>
        </is>
      </c>
      <c r="E361" t="inlineStr">
        <is>
          <t>LINKÖPING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15658-2023</t>
        </is>
      </c>
      <c r="B362" s="1" t="n">
        <v>45021.41194444444</v>
      </c>
      <c r="C362" s="1" t="n">
        <v>45992</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45112-2025</t>
        </is>
      </c>
      <c r="B363" s="1" t="n">
        <v>45919</v>
      </c>
      <c r="C363" s="1" t="n">
        <v>45992</v>
      </c>
      <c r="D363" t="inlineStr">
        <is>
          <t>ÖSTERGÖTLANDS LÄN</t>
        </is>
      </c>
      <c r="E363" t="inlineStr">
        <is>
          <t>LINKÖPING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38886-2024</t>
        </is>
      </c>
      <c r="B364" s="1" t="n">
        <v>45547.66443287037</v>
      </c>
      <c r="C364" s="1" t="n">
        <v>45992</v>
      </c>
      <c r="D364" t="inlineStr">
        <is>
          <t>ÖSTERGÖTLANDS LÄN</t>
        </is>
      </c>
      <c r="E364" t="inlineStr">
        <is>
          <t>LINKÖPING</t>
        </is>
      </c>
      <c r="G364" t="n">
        <v>5.3</v>
      </c>
      <c r="H364" t="n">
        <v>0</v>
      </c>
      <c r="I364" t="n">
        <v>0</v>
      </c>
      <c r="J364" t="n">
        <v>0</v>
      </c>
      <c r="K364" t="n">
        <v>0</v>
      </c>
      <c r="L364" t="n">
        <v>0</v>
      </c>
      <c r="M364" t="n">
        <v>0</v>
      </c>
      <c r="N364" t="n">
        <v>0</v>
      </c>
      <c r="O364" t="n">
        <v>0</v>
      </c>
      <c r="P364" t="n">
        <v>0</v>
      </c>
      <c r="Q364" t="n">
        <v>0</v>
      </c>
      <c r="R364" s="2" t="inlineStr"/>
    </row>
    <row r="365" ht="15" customHeight="1">
      <c r="A365" t="inlineStr">
        <is>
          <t>A 51583-2024</t>
        </is>
      </c>
      <c r="B365" s="1" t="n">
        <v>45604.6397337963</v>
      </c>
      <c r="C365" s="1" t="n">
        <v>45992</v>
      </c>
      <c r="D365" t="inlineStr">
        <is>
          <t>ÖSTERGÖTLANDS LÄN</t>
        </is>
      </c>
      <c r="E365" t="inlineStr">
        <is>
          <t>LINKÖPING</t>
        </is>
      </c>
      <c r="F365" t="inlineStr">
        <is>
          <t>Övriga Aktiebolag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64694-2023</t>
        </is>
      </c>
      <c r="B366" s="1" t="n">
        <v>45281</v>
      </c>
      <c r="C366" s="1" t="n">
        <v>45992</v>
      </c>
      <c r="D366" t="inlineStr">
        <is>
          <t>ÖSTERGÖTLANDS LÄN</t>
        </is>
      </c>
      <c r="E366" t="inlineStr">
        <is>
          <t>LINKÖPING</t>
        </is>
      </c>
      <c r="F366" t="inlineStr">
        <is>
          <t>Övriga statliga verk och myndigheter</t>
        </is>
      </c>
      <c r="G366" t="n">
        <v>4.9</v>
      </c>
      <c r="H366" t="n">
        <v>0</v>
      </c>
      <c r="I366" t="n">
        <v>0</v>
      </c>
      <c r="J366" t="n">
        <v>0</v>
      </c>
      <c r="K366" t="n">
        <v>0</v>
      </c>
      <c r="L366" t="n">
        <v>0</v>
      </c>
      <c r="M366" t="n">
        <v>0</v>
      </c>
      <c r="N366" t="n">
        <v>0</v>
      </c>
      <c r="O366" t="n">
        <v>0</v>
      </c>
      <c r="P366" t="n">
        <v>0</v>
      </c>
      <c r="Q366" t="n">
        <v>0</v>
      </c>
      <c r="R366" s="2" t="inlineStr"/>
    </row>
    <row r="367" ht="15" customHeight="1">
      <c r="A367" t="inlineStr">
        <is>
          <t>A 32602-2022</t>
        </is>
      </c>
      <c r="B367" s="1" t="n">
        <v>44783.43192129629</v>
      </c>
      <c r="C367" s="1" t="n">
        <v>45992</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35757-2025</t>
        </is>
      </c>
      <c r="B368" s="1" t="n">
        <v>45860.59876157407</v>
      </c>
      <c r="C368" s="1" t="n">
        <v>45992</v>
      </c>
      <c r="D368" t="inlineStr">
        <is>
          <t>ÖSTERGÖTLANDS LÄN</t>
        </is>
      </c>
      <c r="E368" t="inlineStr">
        <is>
          <t>LINKÖPING</t>
        </is>
      </c>
      <c r="G368" t="n">
        <v>5.7</v>
      </c>
      <c r="H368" t="n">
        <v>0</v>
      </c>
      <c r="I368" t="n">
        <v>0</v>
      </c>
      <c r="J368" t="n">
        <v>0</v>
      </c>
      <c r="K368" t="n">
        <v>0</v>
      </c>
      <c r="L368" t="n">
        <v>0</v>
      </c>
      <c r="M368" t="n">
        <v>0</v>
      </c>
      <c r="N368" t="n">
        <v>0</v>
      </c>
      <c r="O368" t="n">
        <v>0</v>
      </c>
      <c r="P368" t="n">
        <v>0</v>
      </c>
      <c r="Q368" t="n">
        <v>0</v>
      </c>
      <c r="R368" s="2" t="inlineStr"/>
    </row>
    <row r="369" ht="15" customHeight="1">
      <c r="A369" t="inlineStr">
        <is>
          <t>A 35745-2025</t>
        </is>
      </c>
      <c r="B369" s="1" t="n">
        <v>45860.54739583333</v>
      </c>
      <c r="C369" s="1" t="n">
        <v>45992</v>
      </c>
      <c r="D369" t="inlineStr">
        <is>
          <t>ÖSTERGÖTLANDS LÄN</t>
        </is>
      </c>
      <c r="E369" t="inlineStr">
        <is>
          <t>LINKÖPING</t>
        </is>
      </c>
      <c r="G369" t="n">
        <v>4.4</v>
      </c>
      <c r="H369" t="n">
        <v>0</v>
      </c>
      <c r="I369" t="n">
        <v>0</v>
      </c>
      <c r="J369" t="n">
        <v>0</v>
      </c>
      <c r="K369" t="n">
        <v>0</v>
      </c>
      <c r="L369" t="n">
        <v>0</v>
      </c>
      <c r="M369" t="n">
        <v>0</v>
      </c>
      <c r="N369" t="n">
        <v>0</v>
      </c>
      <c r="O369" t="n">
        <v>0</v>
      </c>
      <c r="P369" t="n">
        <v>0</v>
      </c>
      <c r="Q369" t="n">
        <v>0</v>
      </c>
      <c r="R369" s="2" t="inlineStr"/>
    </row>
    <row r="370" ht="15" customHeight="1">
      <c r="A370" t="inlineStr">
        <is>
          <t>A 35747-2025</t>
        </is>
      </c>
      <c r="B370" s="1" t="n">
        <v>45860.56385416666</v>
      </c>
      <c r="C370" s="1" t="n">
        <v>45992</v>
      </c>
      <c r="D370" t="inlineStr">
        <is>
          <t>ÖSTERGÖTLANDS LÄN</t>
        </is>
      </c>
      <c r="E370" t="inlineStr">
        <is>
          <t>LINKÖPING</t>
        </is>
      </c>
      <c r="G370" t="n">
        <v>2.4</v>
      </c>
      <c r="H370" t="n">
        <v>0</v>
      </c>
      <c r="I370" t="n">
        <v>0</v>
      </c>
      <c r="J370" t="n">
        <v>0</v>
      </c>
      <c r="K370" t="n">
        <v>0</v>
      </c>
      <c r="L370" t="n">
        <v>0</v>
      </c>
      <c r="M370" t="n">
        <v>0</v>
      </c>
      <c r="N370" t="n">
        <v>0</v>
      </c>
      <c r="O370" t="n">
        <v>0</v>
      </c>
      <c r="P370" t="n">
        <v>0</v>
      </c>
      <c r="Q370" t="n">
        <v>0</v>
      </c>
      <c r="R370" s="2" t="inlineStr"/>
    </row>
    <row r="371" ht="15" customHeight="1">
      <c r="A371" t="inlineStr">
        <is>
          <t>A 62321-2022</t>
        </is>
      </c>
      <c r="B371" s="1" t="n">
        <v>44916</v>
      </c>
      <c r="C371" s="1" t="n">
        <v>45992</v>
      </c>
      <c r="D371" t="inlineStr">
        <is>
          <t>ÖSTERGÖTLANDS LÄN</t>
        </is>
      </c>
      <c r="E371" t="inlineStr">
        <is>
          <t>LINKÖPING</t>
        </is>
      </c>
      <c r="F371" t="inlineStr">
        <is>
          <t>Kommuner</t>
        </is>
      </c>
      <c r="G371" t="n">
        <v>5.3</v>
      </c>
      <c r="H371" t="n">
        <v>0</v>
      </c>
      <c r="I371" t="n">
        <v>0</v>
      </c>
      <c r="J371" t="n">
        <v>0</v>
      </c>
      <c r="K371" t="n">
        <v>0</v>
      </c>
      <c r="L371" t="n">
        <v>0</v>
      </c>
      <c r="M371" t="n">
        <v>0</v>
      </c>
      <c r="N371" t="n">
        <v>0</v>
      </c>
      <c r="O371" t="n">
        <v>0</v>
      </c>
      <c r="P371" t="n">
        <v>0</v>
      </c>
      <c r="Q371" t="n">
        <v>0</v>
      </c>
      <c r="R371" s="2" t="inlineStr"/>
    </row>
    <row r="372" ht="15" customHeight="1">
      <c r="A372" t="inlineStr">
        <is>
          <t>A 35759-2025</t>
        </is>
      </c>
      <c r="B372" s="1" t="n">
        <v>45860</v>
      </c>
      <c r="C372" s="1" t="n">
        <v>45992</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45634-2025</t>
        </is>
      </c>
      <c r="B373" s="1" t="n">
        <v>45922.85089120371</v>
      </c>
      <c r="C373" s="1" t="n">
        <v>45992</v>
      </c>
      <c r="D373" t="inlineStr">
        <is>
          <t>ÖSTERGÖTLANDS LÄN</t>
        </is>
      </c>
      <c r="E373" t="inlineStr">
        <is>
          <t>LINKÖPING</t>
        </is>
      </c>
      <c r="F373" t="inlineStr">
        <is>
          <t>Övriga Aktiebolag</t>
        </is>
      </c>
      <c r="G373" t="n">
        <v>0.3</v>
      </c>
      <c r="H373" t="n">
        <v>0</v>
      </c>
      <c r="I373" t="n">
        <v>0</v>
      </c>
      <c r="J373" t="n">
        <v>0</v>
      </c>
      <c r="K373" t="n">
        <v>0</v>
      </c>
      <c r="L373" t="n">
        <v>0</v>
      </c>
      <c r="M373" t="n">
        <v>0</v>
      </c>
      <c r="N373" t="n">
        <v>0</v>
      </c>
      <c r="O373" t="n">
        <v>0</v>
      </c>
      <c r="P373" t="n">
        <v>0</v>
      </c>
      <c r="Q373" t="n">
        <v>0</v>
      </c>
      <c r="R373" s="2" t="inlineStr"/>
    </row>
    <row r="374" ht="15" customHeight="1">
      <c r="A374" t="inlineStr">
        <is>
          <t>A 1084-2023</t>
        </is>
      </c>
      <c r="B374" s="1" t="n">
        <v>44929</v>
      </c>
      <c r="C374" s="1" t="n">
        <v>45992</v>
      </c>
      <c r="D374" t="inlineStr">
        <is>
          <t>ÖSTERGÖTLANDS LÄN</t>
        </is>
      </c>
      <c r="E374" t="inlineStr">
        <is>
          <t>LINKÖPING</t>
        </is>
      </c>
      <c r="G374" t="n">
        <v>10.4</v>
      </c>
      <c r="H374" t="n">
        <v>0</v>
      </c>
      <c r="I374" t="n">
        <v>0</v>
      </c>
      <c r="J374" t="n">
        <v>0</v>
      </c>
      <c r="K374" t="n">
        <v>0</v>
      </c>
      <c r="L374" t="n">
        <v>0</v>
      </c>
      <c r="M374" t="n">
        <v>0</v>
      </c>
      <c r="N374" t="n">
        <v>0</v>
      </c>
      <c r="O374" t="n">
        <v>0</v>
      </c>
      <c r="P374" t="n">
        <v>0</v>
      </c>
      <c r="Q374" t="n">
        <v>0</v>
      </c>
      <c r="R374" s="2" t="inlineStr"/>
    </row>
    <row r="375" ht="15" customHeight="1">
      <c r="A375" t="inlineStr">
        <is>
          <t>A 267-2023</t>
        </is>
      </c>
      <c r="B375" s="1" t="n">
        <v>44928.80907407407</v>
      </c>
      <c r="C375" s="1" t="n">
        <v>45992</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940-2023</t>
        </is>
      </c>
      <c r="B376" s="1" t="n">
        <v>44933</v>
      </c>
      <c r="C376" s="1" t="n">
        <v>45992</v>
      </c>
      <c r="D376" t="inlineStr">
        <is>
          <t>ÖSTERGÖTLANDS LÄN</t>
        </is>
      </c>
      <c r="E376" t="inlineStr">
        <is>
          <t>LINKÖPING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6369-2023</t>
        </is>
      </c>
      <c r="B377" s="1" t="n">
        <v>44965.61106481482</v>
      </c>
      <c r="C377" s="1" t="n">
        <v>45992</v>
      </c>
      <c r="D377" t="inlineStr">
        <is>
          <t>ÖSTERGÖTLANDS LÄN</t>
        </is>
      </c>
      <c r="E377" t="inlineStr">
        <is>
          <t>LINKÖPING</t>
        </is>
      </c>
      <c r="G377" t="n">
        <v>4</v>
      </c>
      <c r="H377" t="n">
        <v>0</v>
      </c>
      <c r="I377" t="n">
        <v>0</v>
      </c>
      <c r="J377" t="n">
        <v>0</v>
      </c>
      <c r="K377" t="n">
        <v>0</v>
      </c>
      <c r="L377" t="n">
        <v>0</v>
      </c>
      <c r="M377" t="n">
        <v>0</v>
      </c>
      <c r="N377" t="n">
        <v>0</v>
      </c>
      <c r="O377" t="n">
        <v>0</v>
      </c>
      <c r="P377" t="n">
        <v>0</v>
      </c>
      <c r="Q377" t="n">
        <v>0</v>
      </c>
      <c r="R377" s="2" t="inlineStr"/>
    </row>
    <row r="378" ht="15" customHeight="1">
      <c r="A378" t="inlineStr">
        <is>
          <t>A 30980-2022</t>
        </is>
      </c>
      <c r="B378" s="1" t="n">
        <v>44768</v>
      </c>
      <c r="C378" s="1" t="n">
        <v>45992</v>
      </c>
      <c r="D378" t="inlineStr">
        <is>
          <t>ÖSTERGÖTLANDS LÄN</t>
        </is>
      </c>
      <c r="E378" t="inlineStr">
        <is>
          <t>LINKÖPING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60007-2022</t>
        </is>
      </c>
      <c r="B379" s="1" t="n">
        <v>44909.47282407407</v>
      </c>
      <c r="C379" s="1" t="n">
        <v>45992</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50799-2022</t>
        </is>
      </c>
      <c r="B380" s="1" t="n">
        <v>44862</v>
      </c>
      <c r="C380" s="1" t="n">
        <v>45992</v>
      </c>
      <c r="D380" t="inlineStr">
        <is>
          <t>ÖSTERGÖTLANDS LÄN</t>
        </is>
      </c>
      <c r="E380" t="inlineStr">
        <is>
          <t>LINKÖPING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56064-2022</t>
        </is>
      </c>
      <c r="B381" s="1" t="n">
        <v>44889.59107638889</v>
      </c>
      <c r="C381" s="1" t="n">
        <v>45992</v>
      </c>
      <c r="D381" t="inlineStr">
        <is>
          <t>ÖSTERGÖTLANDS LÄN</t>
        </is>
      </c>
      <c r="E381" t="inlineStr">
        <is>
          <t>LINKÖPING</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47703-2023</t>
        </is>
      </c>
      <c r="B382" s="1" t="n">
        <v>45203</v>
      </c>
      <c r="C382" s="1" t="n">
        <v>45992</v>
      </c>
      <c r="D382" t="inlineStr">
        <is>
          <t>ÖSTERGÖTLANDS LÄN</t>
        </is>
      </c>
      <c r="E382" t="inlineStr">
        <is>
          <t>LINKÖPING</t>
        </is>
      </c>
      <c r="G382" t="n">
        <v>4.1</v>
      </c>
      <c r="H382" t="n">
        <v>0</v>
      </c>
      <c r="I382" t="n">
        <v>0</v>
      </c>
      <c r="J382" t="n">
        <v>0</v>
      </c>
      <c r="K382" t="n">
        <v>0</v>
      </c>
      <c r="L382" t="n">
        <v>0</v>
      </c>
      <c r="M382" t="n">
        <v>0</v>
      </c>
      <c r="N382" t="n">
        <v>0</v>
      </c>
      <c r="O382" t="n">
        <v>0</v>
      </c>
      <c r="P382" t="n">
        <v>0</v>
      </c>
      <c r="Q382" t="n">
        <v>0</v>
      </c>
      <c r="R382" s="2" t="inlineStr"/>
    </row>
    <row r="383" ht="15" customHeight="1">
      <c r="A383" t="inlineStr">
        <is>
          <t>A 16111-2022</t>
        </is>
      </c>
      <c r="B383" s="1" t="n">
        <v>44665</v>
      </c>
      <c r="C383" s="1" t="n">
        <v>45992</v>
      </c>
      <c r="D383" t="inlineStr">
        <is>
          <t>ÖSTERGÖTLANDS LÄN</t>
        </is>
      </c>
      <c r="E383" t="inlineStr">
        <is>
          <t>LINKÖPING</t>
        </is>
      </c>
      <c r="F383" t="inlineStr">
        <is>
          <t>Övriga Aktiebolag</t>
        </is>
      </c>
      <c r="G383" t="n">
        <v>2.9</v>
      </c>
      <c r="H383" t="n">
        <v>0</v>
      </c>
      <c r="I383" t="n">
        <v>0</v>
      </c>
      <c r="J383" t="n">
        <v>0</v>
      </c>
      <c r="K383" t="n">
        <v>0</v>
      </c>
      <c r="L383" t="n">
        <v>0</v>
      </c>
      <c r="M383" t="n">
        <v>0</v>
      </c>
      <c r="N383" t="n">
        <v>0</v>
      </c>
      <c r="O383" t="n">
        <v>0</v>
      </c>
      <c r="P383" t="n">
        <v>0</v>
      </c>
      <c r="Q383" t="n">
        <v>0</v>
      </c>
      <c r="R383" s="2" t="inlineStr"/>
    </row>
    <row r="384" ht="15" customHeight="1">
      <c r="A384" t="inlineStr">
        <is>
          <t>A 54333-2025</t>
        </is>
      </c>
      <c r="B384" s="1" t="n">
        <v>45965.35090277778</v>
      </c>
      <c r="C384" s="1" t="n">
        <v>45992</v>
      </c>
      <c r="D384" t="inlineStr">
        <is>
          <t>ÖSTERGÖTLANDS LÄN</t>
        </is>
      </c>
      <c r="E384" t="inlineStr">
        <is>
          <t>LINKÖPING</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45792-2025</t>
        </is>
      </c>
      <c r="B385" s="1" t="n">
        <v>45923.56998842592</v>
      </c>
      <c r="C385" s="1" t="n">
        <v>45992</v>
      </c>
      <c r="D385" t="inlineStr">
        <is>
          <t>ÖSTERGÖTLANDS LÄN</t>
        </is>
      </c>
      <c r="E385" t="inlineStr">
        <is>
          <t>LINKÖPING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45804-2025</t>
        </is>
      </c>
      <c r="B386" s="1" t="n">
        <v>45923.5819675926</v>
      </c>
      <c r="C386" s="1" t="n">
        <v>45992</v>
      </c>
      <c r="D386" t="inlineStr">
        <is>
          <t>ÖSTERGÖTLANDS LÄN</t>
        </is>
      </c>
      <c r="E386" t="inlineStr">
        <is>
          <t>LINKÖPING</t>
        </is>
      </c>
      <c r="G386" t="n">
        <v>3.3</v>
      </c>
      <c r="H386" t="n">
        <v>0</v>
      </c>
      <c r="I386" t="n">
        <v>0</v>
      </c>
      <c r="J386" t="n">
        <v>0</v>
      </c>
      <c r="K386" t="n">
        <v>0</v>
      </c>
      <c r="L386" t="n">
        <v>0</v>
      </c>
      <c r="M386" t="n">
        <v>0</v>
      </c>
      <c r="N386" t="n">
        <v>0</v>
      </c>
      <c r="O386" t="n">
        <v>0</v>
      </c>
      <c r="P386" t="n">
        <v>0</v>
      </c>
      <c r="Q386" t="n">
        <v>0</v>
      </c>
      <c r="R386" s="2" t="inlineStr"/>
    </row>
    <row r="387" ht="15" customHeight="1">
      <c r="A387" t="inlineStr">
        <is>
          <t>A 48962-2022</t>
        </is>
      </c>
      <c r="B387" s="1" t="n">
        <v>44860.31635416667</v>
      </c>
      <c r="C387" s="1" t="n">
        <v>45992</v>
      </c>
      <c r="D387" t="inlineStr">
        <is>
          <t>ÖSTERGÖTLANDS LÄN</t>
        </is>
      </c>
      <c r="E387" t="inlineStr">
        <is>
          <t>LINKÖPING</t>
        </is>
      </c>
      <c r="G387" t="n">
        <v>2.9</v>
      </c>
      <c r="H387" t="n">
        <v>0</v>
      </c>
      <c r="I387" t="n">
        <v>0</v>
      </c>
      <c r="J387" t="n">
        <v>0</v>
      </c>
      <c r="K387" t="n">
        <v>0</v>
      </c>
      <c r="L387" t="n">
        <v>0</v>
      </c>
      <c r="M387" t="n">
        <v>0</v>
      </c>
      <c r="N387" t="n">
        <v>0</v>
      </c>
      <c r="O387" t="n">
        <v>0</v>
      </c>
      <c r="P387" t="n">
        <v>0</v>
      </c>
      <c r="Q387" t="n">
        <v>0</v>
      </c>
      <c r="R387" s="2" t="inlineStr"/>
    </row>
    <row r="388" ht="15" customHeight="1">
      <c r="A388" t="inlineStr">
        <is>
          <t>A 27891-2021</t>
        </is>
      </c>
      <c r="B388" s="1" t="n">
        <v>44354.65108796296</v>
      </c>
      <c r="C388" s="1" t="n">
        <v>45992</v>
      </c>
      <c r="D388" t="inlineStr">
        <is>
          <t>ÖSTERGÖTLANDS LÄN</t>
        </is>
      </c>
      <c r="E388" t="inlineStr">
        <is>
          <t>LINKÖPING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46426-2025</t>
        </is>
      </c>
      <c r="B389" s="1" t="n">
        <v>45925.6012962963</v>
      </c>
      <c r="C389" s="1" t="n">
        <v>45992</v>
      </c>
      <c r="D389" t="inlineStr">
        <is>
          <t>ÖSTERGÖTLANDS LÄN</t>
        </is>
      </c>
      <c r="E389" t="inlineStr">
        <is>
          <t>LINKÖPING</t>
        </is>
      </c>
      <c r="G389" t="n">
        <v>4.4</v>
      </c>
      <c r="H389" t="n">
        <v>0</v>
      </c>
      <c r="I389" t="n">
        <v>0</v>
      </c>
      <c r="J389" t="n">
        <v>0</v>
      </c>
      <c r="K389" t="n">
        <v>0</v>
      </c>
      <c r="L389" t="n">
        <v>0</v>
      </c>
      <c r="M389" t="n">
        <v>0</v>
      </c>
      <c r="N389" t="n">
        <v>0</v>
      </c>
      <c r="O389" t="n">
        <v>0</v>
      </c>
      <c r="P389" t="n">
        <v>0</v>
      </c>
      <c r="Q389" t="n">
        <v>0</v>
      </c>
      <c r="R389" s="2" t="inlineStr"/>
    </row>
    <row r="390" ht="15" customHeight="1">
      <c r="A390" t="inlineStr">
        <is>
          <t>A 1268-2023</t>
        </is>
      </c>
      <c r="B390" s="1" t="n">
        <v>44936</v>
      </c>
      <c r="C390" s="1" t="n">
        <v>45992</v>
      </c>
      <c r="D390" t="inlineStr">
        <is>
          <t>ÖSTERGÖTLANDS LÄN</t>
        </is>
      </c>
      <c r="E390" t="inlineStr">
        <is>
          <t>LINKÖPING</t>
        </is>
      </c>
      <c r="G390" t="n">
        <v>4.6</v>
      </c>
      <c r="H390" t="n">
        <v>0</v>
      </c>
      <c r="I390" t="n">
        <v>0</v>
      </c>
      <c r="J390" t="n">
        <v>0</v>
      </c>
      <c r="K390" t="n">
        <v>0</v>
      </c>
      <c r="L390" t="n">
        <v>0</v>
      </c>
      <c r="M390" t="n">
        <v>0</v>
      </c>
      <c r="N390" t="n">
        <v>0</v>
      </c>
      <c r="O390" t="n">
        <v>0</v>
      </c>
      <c r="P390" t="n">
        <v>0</v>
      </c>
      <c r="Q390" t="n">
        <v>0</v>
      </c>
      <c r="R390" s="2" t="inlineStr"/>
    </row>
    <row r="391" ht="15" customHeight="1">
      <c r="A391" t="inlineStr">
        <is>
          <t>A 37057-2025</t>
        </is>
      </c>
      <c r="B391" s="1" t="n">
        <v>45875.37489583333</v>
      </c>
      <c r="C391" s="1" t="n">
        <v>45992</v>
      </c>
      <c r="D391" t="inlineStr">
        <is>
          <t>ÖSTERGÖTLANDS LÄN</t>
        </is>
      </c>
      <c r="E391" t="inlineStr">
        <is>
          <t>LINKÖPING</t>
        </is>
      </c>
      <c r="G391" t="n">
        <v>3.3</v>
      </c>
      <c r="H391" t="n">
        <v>0</v>
      </c>
      <c r="I391" t="n">
        <v>0</v>
      </c>
      <c r="J391" t="n">
        <v>0</v>
      </c>
      <c r="K391" t="n">
        <v>0</v>
      </c>
      <c r="L391" t="n">
        <v>0</v>
      </c>
      <c r="M391" t="n">
        <v>0</v>
      </c>
      <c r="N391" t="n">
        <v>0</v>
      </c>
      <c r="O391" t="n">
        <v>0</v>
      </c>
      <c r="P391" t="n">
        <v>0</v>
      </c>
      <c r="Q391" t="n">
        <v>0</v>
      </c>
      <c r="R391" s="2" t="inlineStr"/>
    </row>
    <row r="392" ht="15" customHeight="1">
      <c r="A392" t="inlineStr">
        <is>
          <t>A 46428-2025</t>
        </is>
      </c>
      <c r="B392" s="1" t="n">
        <v>45925.60758101852</v>
      </c>
      <c r="C392" s="1" t="n">
        <v>45992</v>
      </c>
      <c r="D392" t="inlineStr">
        <is>
          <t>ÖSTERGÖTLANDS LÄN</t>
        </is>
      </c>
      <c r="E392" t="inlineStr">
        <is>
          <t>LINKÖPING</t>
        </is>
      </c>
      <c r="G392" t="n">
        <v>3</v>
      </c>
      <c r="H392" t="n">
        <v>0</v>
      </c>
      <c r="I392" t="n">
        <v>0</v>
      </c>
      <c r="J392" t="n">
        <v>0</v>
      </c>
      <c r="K392" t="n">
        <v>0</v>
      </c>
      <c r="L392" t="n">
        <v>0</v>
      </c>
      <c r="M392" t="n">
        <v>0</v>
      </c>
      <c r="N392" t="n">
        <v>0</v>
      </c>
      <c r="O392" t="n">
        <v>0</v>
      </c>
      <c r="P392" t="n">
        <v>0</v>
      </c>
      <c r="Q392" t="n">
        <v>0</v>
      </c>
      <c r="R392" s="2" t="inlineStr"/>
    </row>
    <row r="393" ht="15" customHeight="1">
      <c r="A393" t="inlineStr">
        <is>
          <t>A 62687-2023</t>
        </is>
      </c>
      <c r="B393" s="1" t="n">
        <v>45271</v>
      </c>
      <c r="C393" s="1" t="n">
        <v>45992</v>
      </c>
      <c r="D393" t="inlineStr">
        <is>
          <t>ÖSTERGÖTLANDS LÄN</t>
        </is>
      </c>
      <c r="E393" t="inlineStr">
        <is>
          <t>LINKÖPING</t>
        </is>
      </c>
      <c r="G393" t="n">
        <v>1.4</v>
      </c>
      <c r="H393" t="n">
        <v>0</v>
      </c>
      <c r="I393" t="n">
        <v>0</v>
      </c>
      <c r="J393" t="n">
        <v>0</v>
      </c>
      <c r="K393" t="n">
        <v>0</v>
      </c>
      <c r="L393" t="n">
        <v>0</v>
      </c>
      <c r="M393" t="n">
        <v>0</v>
      </c>
      <c r="N393" t="n">
        <v>0</v>
      </c>
      <c r="O393" t="n">
        <v>0</v>
      </c>
      <c r="P393" t="n">
        <v>0</v>
      </c>
      <c r="Q393" t="n">
        <v>0</v>
      </c>
      <c r="R393" s="2" t="inlineStr"/>
    </row>
    <row r="394" ht="15" customHeight="1">
      <c r="A394" t="inlineStr">
        <is>
          <t>A 34641-2022</t>
        </is>
      </c>
      <c r="B394" s="1" t="n">
        <v>44795</v>
      </c>
      <c r="C394" s="1" t="n">
        <v>45992</v>
      </c>
      <c r="D394" t="inlineStr">
        <is>
          <t>ÖSTERGÖTLANDS LÄN</t>
        </is>
      </c>
      <c r="E394" t="inlineStr">
        <is>
          <t>LINKÖPING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46377-2025</t>
        </is>
      </c>
      <c r="B395" s="1" t="n">
        <v>45925.51773148148</v>
      </c>
      <c r="C395" s="1" t="n">
        <v>45992</v>
      </c>
      <c r="D395" t="inlineStr">
        <is>
          <t>ÖSTERGÖTLANDS LÄN</t>
        </is>
      </c>
      <c r="E395" t="inlineStr">
        <is>
          <t>LINKÖPING</t>
        </is>
      </c>
      <c r="G395" t="n">
        <v>3.1</v>
      </c>
      <c r="H395" t="n">
        <v>0</v>
      </c>
      <c r="I395" t="n">
        <v>0</v>
      </c>
      <c r="J395" t="n">
        <v>0</v>
      </c>
      <c r="K395" t="n">
        <v>0</v>
      </c>
      <c r="L395" t="n">
        <v>0</v>
      </c>
      <c r="M395" t="n">
        <v>0</v>
      </c>
      <c r="N395" t="n">
        <v>0</v>
      </c>
      <c r="O395" t="n">
        <v>0</v>
      </c>
      <c r="P395" t="n">
        <v>0</v>
      </c>
      <c r="Q395" t="n">
        <v>0</v>
      </c>
      <c r="R395" s="2" t="inlineStr"/>
    </row>
    <row r="396" ht="15" customHeight="1">
      <c r="A396" t="inlineStr">
        <is>
          <t>A 938-2023</t>
        </is>
      </c>
      <c r="B396" s="1" t="n">
        <v>44933</v>
      </c>
      <c r="C396" s="1" t="n">
        <v>45992</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2389-2023</t>
        </is>
      </c>
      <c r="B397" s="1" t="n">
        <v>44942</v>
      </c>
      <c r="C397" s="1" t="n">
        <v>45992</v>
      </c>
      <c r="D397" t="inlineStr">
        <is>
          <t>ÖSTERGÖTLANDS LÄN</t>
        </is>
      </c>
      <c r="E397" t="inlineStr">
        <is>
          <t>LINKÖPING</t>
        </is>
      </c>
      <c r="G397" t="n">
        <v>3.3</v>
      </c>
      <c r="H397" t="n">
        <v>0</v>
      </c>
      <c r="I397" t="n">
        <v>0</v>
      </c>
      <c r="J397" t="n">
        <v>0</v>
      </c>
      <c r="K397" t="n">
        <v>0</v>
      </c>
      <c r="L397" t="n">
        <v>0</v>
      </c>
      <c r="M397" t="n">
        <v>0</v>
      </c>
      <c r="N397" t="n">
        <v>0</v>
      </c>
      <c r="O397" t="n">
        <v>0</v>
      </c>
      <c r="P397" t="n">
        <v>0</v>
      </c>
      <c r="Q397" t="n">
        <v>0</v>
      </c>
      <c r="R397" s="2" t="inlineStr"/>
    </row>
    <row r="398" ht="15" customHeight="1">
      <c r="A398" t="inlineStr">
        <is>
          <t>A 48-2024</t>
        </is>
      </c>
      <c r="B398" s="1" t="n">
        <v>45293</v>
      </c>
      <c r="C398" s="1" t="n">
        <v>45992</v>
      </c>
      <c r="D398" t="inlineStr">
        <is>
          <t>ÖSTERGÖTLANDS LÄN</t>
        </is>
      </c>
      <c r="E398" t="inlineStr">
        <is>
          <t>LINKÖPING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45771-2023</t>
        </is>
      </c>
      <c r="B399" s="1" t="n">
        <v>45195.4384375</v>
      </c>
      <c r="C399" s="1" t="n">
        <v>45992</v>
      </c>
      <c r="D399" t="inlineStr">
        <is>
          <t>ÖSTERGÖTLANDS LÄN</t>
        </is>
      </c>
      <c r="E399" t="inlineStr">
        <is>
          <t>LINKÖPING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30547-2023</t>
        </is>
      </c>
      <c r="B400" s="1" t="n">
        <v>45111.75905092592</v>
      </c>
      <c r="C400" s="1" t="n">
        <v>45992</v>
      </c>
      <c r="D400" t="inlineStr">
        <is>
          <t>ÖSTERGÖTLANDS LÄN</t>
        </is>
      </c>
      <c r="E400" t="inlineStr">
        <is>
          <t>LINKÖPING</t>
        </is>
      </c>
      <c r="G400" t="n">
        <v>0.9</v>
      </c>
      <c r="H400" t="n">
        <v>0</v>
      </c>
      <c r="I400" t="n">
        <v>0</v>
      </c>
      <c r="J400" t="n">
        <v>0</v>
      </c>
      <c r="K400" t="n">
        <v>0</v>
      </c>
      <c r="L400" t="n">
        <v>0</v>
      </c>
      <c r="M400" t="n">
        <v>0</v>
      </c>
      <c r="N400" t="n">
        <v>0</v>
      </c>
      <c r="O400" t="n">
        <v>0</v>
      </c>
      <c r="P400" t="n">
        <v>0</v>
      </c>
      <c r="Q400" t="n">
        <v>0</v>
      </c>
      <c r="R400" s="2" t="inlineStr"/>
    </row>
    <row r="401" ht="15" customHeight="1">
      <c r="A401" t="inlineStr">
        <is>
          <t>A 40502-2024</t>
        </is>
      </c>
      <c r="B401" s="1" t="n">
        <v>45555.57263888889</v>
      </c>
      <c r="C401" s="1" t="n">
        <v>45992</v>
      </c>
      <c r="D401" t="inlineStr">
        <is>
          <t>ÖSTERGÖTLANDS LÄN</t>
        </is>
      </c>
      <c r="E401" t="inlineStr">
        <is>
          <t>LINKÖPING</t>
        </is>
      </c>
      <c r="F401" t="inlineStr">
        <is>
          <t>Allmännings- och besparingsskogar</t>
        </is>
      </c>
      <c r="G401" t="n">
        <v>17.5</v>
      </c>
      <c r="H401" t="n">
        <v>0</v>
      </c>
      <c r="I401" t="n">
        <v>0</v>
      </c>
      <c r="J401" t="n">
        <v>0</v>
      </c>
      <c r="K401" t="n">
        <v>0</v>
      </c>
      <c r="L401" t="n">
        <v>0</v>
      </c>
      <c r="M401" t="n">
        <v>0</v>
      </c>
      <c r="N401" t="n">
        <v>0</v>
      </c>
      <c r="O401" t="n">
        <v>0</v>
      </c>
      <c r="P401" t="n">
        <v>0</v>
      </c>
      <c r="Q401" t="n">
        <v>0</v>
      </c>
      <c r="R401" s="2" t="inlineStr"/>
    </row>
    <row r="402" ht="15" customHeight="1">
      <c r="A402" t="inlineStr">
        <is>
          <t>A 55132-2025</t>
        </is>
      </c>
      <c r="B402" s="1" t="n">
        <v>45968.41912037037</v>
      </c>
      <c r="C402" s="1" t="n">
        <v>45992</v>
      </c>
      <c r="D402" t="inlineStr">
        <is>
          <t>ÖSTERGÖTLANDS LÄN</t>
        </is>
      </c>
      <c r="E402" t="inlineStr">
        <is>
          <t>LINKÖPING</t>
        </is>
      </c>
      <c r="G402" t="n">
        <v>2.4</v>
      </c>
      <c r="H402" t="n">
        <v>0</v>
      </c>
      <c r="I402" t="n">
        <v>0</v>
      </c>
      <c r="J402" t="n">
        <v>0</v>
      </c>
      <c r="K402" t="n">
        <v>0</v>
      </c>
      <c r="L402" t="n">
        <v>0</v>
      </c>
      <c r="M402" t="n">
        <v>0</v>
      </c>
      <c r="N402" t="n">
        <v>0</v>
      </c>
      <c r="O402" t="n">
        <v>0</v>
      </c>
      <c r="P402" t="n">
        <v>0</v>
      </c>
      <c r="Q402" t="n">
        <v>0</v>
      </c>
      <c r="R402" s="2" t="inlineStr"/>
    </row>
    <row r="403" ht="15" customHeight="1">
      <c r="A403" t="inlineStr">
        <is>
          <t>A 24464-2023</t>
        </is>
      </c>
      <c r="B403" s="1" t="n">
        <v>45082.58068287037</v>
      </c>
      <c r="C403" s="1" t="n">
        <v>45992</v>
      </c>
      <c r="D403" t="inlineStr">
        <is>
          <t>ÖSTERGÖTLANDS LÄN</t>
        </is>
      </c>
      <c r="E403" t="inlineStr">
        <is>
          <t>LINKÖPING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24467-2023</t>
        </is>
      </c>
      <c r="B404" s="1" t="n">
        <v>45082</v>
      </c>
      <c r="C404" s="1" t="n">
        <v>45992</v>
      </c>
      <c r="D404" t="inlineStr">
        <is>
          <t>ÖSTERGÖTLANDS LÄN</t>
        </is>
      </c>
      <c r="E404" t="inlineStr">
        <is>
          <t>LINKÖPING</t>
        </is>
      </c>
      <c r="G404" t="n">
        <v>2.4</v>
      </c>
      <c r="H404" t="n">
        <v>0</v>
      </c>
      <c r="I404" t="n">
        <v>0</v>
      </c>
      <c r="J404" t="n">
        <v>0</v>
      </c>
      <c r="K404" t="n">
        <v>0</v>
      </c>
      <c r="L404" t="n">
        <v>0</v>
      </c>
      <c r="M404" t="n">
        <v>0</v>
      </c>
      <c r="N404" t="n">
        <v>0</v>
      </c>
      <c r="O404" t="n">
        <v>0</v>
      </c>
      <c r="P404" t="n">
        <v>0</v>
      </c>
      <c r="Q404" t="n">
        <v>0</v>
      </c>
      <c r="R404" s="2" t="inlineStr"/>
    </row>
    <row r="405" ht="15" customHeight="1">
      <c r="A405" t="inlineStr">
        <is>
          <t>A 48389-2024</t>
        </is>
      </c>
      <c r="B405" s="1" t="n">
        <v>45590.59991898148</v>
      </c>
      <c r="C405" s="1" t="n">
        <v>45992</v>
      </c>
      <c r="D405" t="inlineStr">
        <is>
          <t>ÖSTERGÖTLANDS LÄN</t>
        </is>
      </c>
      <c r="E405" t="inlineStr">
        <is>
          <t>LINKÖPING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56792-2023</t>
        </is>
      </c>
      <c r="B406" s="1" t="n">
        <v>45244</v>
      </c>
      <c r="C406" s="1" t="n">
        <v>45992</v>
      </c>
      <c r="D406" t="inlineStr">
        <is>
          <t>ÖSTERGÖTLANDS LÄN</t>
        </is>
      </c>
      <c r="E406" t="inlineStr">
        <is>
          <t>LINKÖPING</t>
        </is>
      </c>
      <c r="F406" t="inlineStr">
        <is>
          <t>Övriga Aktiebolag</t>
        </is>
      </c>
      <c r="G406" t="n">
        <v>0.9</v>
      </c>
      <c r="H406" t="n">
        <v>0</v>
      </c>
      <c r="I406" t="n">
        <v>0</v>
      </c>
      <c r="J406" t="n">
        <v>0</v>
      </c>
      <c r="K406" t="n">
        <v>0</v>
      </c>
      <c r="L406" t="n">
        <v>0</v>
      </c>
      <c r="M406" t="n">
        <v>0</v>
      </c>
      <c r="N406" t="n">
        <v>0</v>
      </c>
      <c r="O406" t="n">
        <v>0</v>
      </c>
      <c r="P406" t="n">
        <v>0</v>
      </c>
      <c r="Q406" t="n">
        <v>0</v>
      </c>
      <c r="R406" s="2" t="inlineStr"/>
    </row>
    <row r="407" ht="15" customHeight="1">
      <c r="A407" t="inlineStr">
        <is>
          <t>A 25829-2025</t>
        </is>
      </c>
      <c r="B407" s="1" t="n">
        <v>45804.44505787037</v>
      </c>
      <c r="C407" s="1" t="n">
        <v>45992</v>
      </c>
      <c r="D407" t="inlineStr">
        <is>
          <t>ÖSTERGÖTLANDS LÄN</t>
        </is>
      </c>
      <c r="E407" t="inlineStr">
        <is>
          <t>LINKÖPING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38046-2025</t>
        </is>
      </c>
      <c r="B408" s="1" t="n">
        <v>45882.39939814815</v>
      </c>
      <c r="C408" s="1" t="n">
        <v>45992</v>
      </c>
      <c r="D408" t="inlineStr">
        <is>
          <t>ÖSTERGÖTLANDS LÄN</t>
        </is>
      </c>
      <c r="E408" t="inlineStr">
        <is>
          <t>LINKÖPING</t>
        </is>
      </c>
      <c r="G408" t="n">
        <v>1.3</v>
      </c>
      <c r="H408" t="n">
        <v>0</v>
      </c>
      <c r="I408" t="n">
        <v>0</v>
      </c>
      <c r="J408" t="n">
        <v>0</v>
      </c>
      <c r="K408" t="n">
        <v>0</v>
      </c>
      <c r="L408" t="n">
        <v>0</v>
      </c>
      <c r="M408" t="n">
        <v>0</v>
      </c>
      <c r="N408" t="n">
        <v>0</v>
      </c>
      <c r="O408" t="n">
        <v>0</v>
      </c>
      <c r="P408" t="n">
        <v>0</v>
      </c>
      <c r="Q408" t="n">
        <v>0</v>
      </c>
      <c r="R408" s="2" t="inlineStr"/>
    </row>
    <row r="409" ht="15" customHeight="1">
      <c r="A409" t="inlineStr">
        <is>
          <t>A 39017-2021</t>
        </is>
      </c>
      <c r="B409" s="1" t="n">
        <v>44412</v>
      </c>
      <c r="C409" s="1" t="n">
        <v>45992</v>
      </c>
      <c r="D409" t="inlineStr">
        <is>
          <t>ÖSTERGÖTLANDS LÄN</t>
        </is>
      </c>
      <c r="E409" t="inlineStr">
        <is>
          <t>LINKÖPING</t>
        </is>
      </c>
      <c r="F409" t="inlineStr">
        <is>
          <t>Övriga statliga verk och myndigheter</t>
        </is>
      </c>
      <c r="G409" t="n">
        <v>0.8</v>
      </c>
      <c r="H409" t="n">
        <v>0</v>
      </c>
      <c r="I409" t="n">
        <v>0</v>
      </c>
      <c r="J409" t="n">
        <v>0</v>
      </c>
      <c r="K409" t="n">
        <v>0</v>
      </c>
      <c r="L409" t="n">
        <v>0</v>
      </c>
      <c r="M409" t="n">
        <v>0</v>
      </c>
      <c r="N409" t="n">
        <v>0</v>
      </c>
      <c r="O409" t="n">
        <v>0</v>
      </c>
      <c r="P409" t="n">
        <v>0</v>
      </c>
      <c r="Q409" t="n">
        <v>0</v>
      </c>
      <c r="R409" s="2" t="inlineStr"/>
    </row>
    <row r="410" ht="15" customHeight="1">
      <c r="A410" t="inlineStr">
        <is>
          <t>A 55102-2025</t>
        </is>
      </c>
      <c r="B410" s="1" t="n">
        <v>45968.35410879629</v>
      </c>
      <c r="C410" s="1" t="n">
        <v>45992</v>
      </c>
      <c r="D410" t="inlineStr">
        <is>
          <t>ÖSTERGÖTLANDS LÄN</t>
        </is>
      </c>
      <c r="E410" t="inlineStr">
        <is>
          <t>LINKÖPING</t>
        </is>
      </c>
      <c r="G410" t="n">
        <v>1.4</v>
      </c>
      <c r="H410" t="n">
        <v>0</v>
      </c>
      <c r="I410" t="n">
        <v>0</v>
      </c>
      <c r="J410" t="n">
        <v>0</v>
      </c>
      <c r="K410" t="n">
        <v>0</v>
      </c>
      <c r="L410" t="n">
        <v>0</v>
      </c>
      <c r="M410" t="n">
        <v>0</v>
      </c>
      <c r="N410" t="n">
        <v>0</v>
      </c>
      <c r="O410" t="n">
        <v>0</v>
      </c>
      <c r="P410" t="n">
        <v>0</v>
      </c>
      <c r="Q410" t="n">
        <v>0</v>
      </c>
      <c r="R410" s="2" t="inlineStr"/>
    </row>
    <row r="411" ht="15" customHeight="1">
      <c r="A411" t="inlineStr">
        <is>
          <t>A 55109-2025</t>
        </is>
      </c>
      <c r="B411" s="1" t="n">
        <v>45968.37731481482</v>
      </c>
      <c r="C411" s="1" t="n">
        <v>45992</v>
      </c>
      <c r="D411" t="inlineStr">
        <is>
          <t>ÖSTERGÖTLANDS LÄN</t>
        </is>
      </c>
      <c r="E411" t="inlineStr">
        <is>
          <t>LINKÖPING</t>
        </is>
      </c>
      <c r="G411" t="n">
        <v>3.2</v>
      </c>
      <c r="H411" t="n">
        <v>0</v>
      </c>
      <c r="I411" t="n">
        <v>0</v>
      </c>
      <c r="J411" t="n">
        <v>0</v>
      </c>
      <c r="K411" t="n">
        <v>0</v>
      </c>
      <c r="L411" t="n">
        <v>0</v>
      </c>
      <c r="M411" t="n">
        <v>0</v>
      </c>
      <c r="N411" t="n">
        <v>0</v>
      </c>
      <c r="O411" t="n">
        <v>0</v>
      </c>
      <c r="P411" t="n">
        <v>0</v>
      </c>
      <c r="Q411" t="n">
        <v>0</v>
      </c>
      <c r="R411" s="2" t="inlineStr"/>
    </row>
    <row r="412" ht="15" customHeight="1">
      <c r="A412" t="inlineStr">
        <is>
          <t>A 1260-2023</t>
        </is>
      </c>
      <c r="B412" s="1" t="n">
        <v>44936</v>
      </c>
      <c r="C412" s="1" t="n">
        <v>45992</v>
      </c>
      <c r="D412" t="inlineStr">
        <is>
          <t>ÖSTERGÖTLANDS LÄN</t>
        </is>
      </c>
      <c r="E412" t="inlineStr">
        <is>
          <t>LINKÖPING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1355-2023</t>
        </is>
      </c>
      <c r="B413" s="1" t="n">
        <v>44931</v>
      </c>
      <c r="C413" s="1" t="n">
        <v>45992</v>
      </c>
      <c r="D413" t="inlineStr">
        <is>
          <t>ÖSTERGÖTLANDS LÄN</t>
        </is>
      </c>
      <c r="E413" t="inlineStr">
        <is>
          <t>LINKÖPING</t>
        </is>
      </c>
      <c r="G413" t="n">
        <v>4</v>
      </c>
      <c r="H413" t="n">
        <v>0</v>
      </c>
      <c r="I413" t="n">
        <v>0</v>
      </c>
      <c r="J413" t="n">
        <v>0</v>
      </c>
      <c r="K413" t="n">
        <v>0</v>
      </c>
      <c r="L413" t="n">
        <v>0</v>
      </c>
      <c r="M413" t="n">
        <v>0</v>
      </c>
      <c r="N413" t="n">
        <v>0</v>
      </c>
      <c r="O413" t="n">
        <v>0</v>
      </c>
      <c r="P413" t="n">
        <v>0</v>
      </c>
      <c r="Q413" t="n">
        <v>0</v>
      </c>
      <c r="R413" s="2" t="inlineStr"/>
    </row>
    <row r="414" ht="15" customHeight="1">
      <c r="A414" t="inlineStr">
        <is>
          <t>A 55165-2025</t>
        </is>
      </c>
      <c r="B414" s="1" t="n">
        <v>45968.48194444444</v>
      </c>
      <c r="C414" s="1" t="n">
        <v>45992</v>
      </c>
      <c r="D414" t="inlineStr">
        <is>
          <t>ÖSTERGÖTLANDS LÄN</t>
        </is>
      </c>
      <c r="E414" t="inlineStr">
        <is>
          <t>LINKÖPING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46847-2025</t>
        </is>
      </c>
      <c r="B415" s="1" t="n">
        <v>45928.69971064815</v>
      </c>
      <c r="C415" s="1" t="n">
        <v>45992</v>
      </c>
      <c r="D415" t="inlineStr">
        <is>
          <t>ÖSTERGÖTLANDS LÄN</t>
        </is>
      </c>
      <c r="E415" t="inlineStr">
        <is>
          <t>LINKÖPING</t>
        </is>
      </c>
      <c r="G415" t="n">
        <v>4.6</v>
      </c>
      <c r="H415" t="n">
        <v>0</v>
      </c>
      <c r="I415" t="n">
        <v>0</v>
      </c>
      <c r="J415" t="n">
        <v>0</v>
      </c>
      <c r="K415" t="n">
        <v>0</v>
      </c>
      <c r="L415" t="n">
        <v>0</v>
      </c>
      <c r="M415" t="n">
        <v>0</v>
      </c>
      <c r="N415" t="n">
        <v>0</v>
      </c>
      <c r="O415" t="n">
        <v>0</v>
      </c>
      <c r="P415" t="n">
        <v>0</v>
      </c>
      <c r="Q415" t="n">
        <v>0</v>
      </c>
      <c r="R415" s="2" t="inlineStr"/>
    </row>
    <row r="416" ht="15" customHeight="1">
      <c r="A416" t="inlineStr">
        <is>
          <t>A 3007-2025</t>
        </is>
      </c>
      <c r="B416" s="1" t="n">
        <v>45678.56328703704</v>
      </c>
      <c r="C416" s="1" t="n">
        <v>45992</v>
      </c>
      <c r="D416" t="inlineStr">
        <is>
          <t>ÖSTERGÖTLANDS LÄN</t>
        </is>
      </c>
      <c r="E416" t="inlineStr">
        <is>
          <t>LINKÖPING</t>
        </is>
      </c>
      <c r="G416" t="n">
        <v>3.1</v>
      </c>
      <c r="H416" t="n">
        <v>0</v>
      </c>
      <c r="I416" t="n">
        <v>0</v>
      </c>
      <c r="J416" t="n">
        <v>0</v>
      </c>
      <c r="K416" t="n">
        <v>0</v>
      </c>
      <c r="L416" t="n">
        <v>0</v>
      </c>
      <c r="M416" t="n">
        <v>0</v>
      </c>
      <c r="N416" t="n">
        <v>0</v>
      </c>
      <c r="O416" t="n">
        <v>0</v>
      </c>
      <c r="P416" t="n">
        <v>0</v>
      </c>
      <c r="Q416" t="n">
        <v>0</v>
      </c>
      <c r="R416" s="2" t="inlineStr"/>
    </row>
    <row r="417" ht="15" customHeight="1">
      <c r="A417" t="inlineStr">
        <is>
          <t>A 10492-2022</t>
        </is>
      </c>
      <c r="B417" s="1" t="n">
        <v>44623.6377199074</v>
      </c>
      <c r="C417" s="1" t="n">
        <v>45992</v>
      </c>
      <c r="D417" t="inlineStr">
        <is>
          <t>ÖSTERGÖTLANDS LÄN</t>
        </is>
      </c>
      <c r="E417" t="inlineStr">
        <is>
          <t>LINKÖPING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56113-2025</t>
        </is>
      </c>
      <c r="B418" s="1" t="n">
        <v>45973.73924768518</v>
      </c>
      <c r="C418" s="1" t="n">
        <v>45992</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30465-2023</t>
        </is>
      </c>
      <c r="B419" s="1" t="n">
        <v>45111</v>
      </c>
      <c r="C419" s="1" t="n">
        <v>45992</v>
      </c>
      <c r="D419" t="inlineStr">
        <is>
          <t>ÖSTERGÖTLANDS LÄN</t>
        </is>
      </c>
      <c r="E419" t="inlineStr">
        <is>
          <t>LINKÖPING</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47233-2025</t>
        </is>
      </c>
      <c r="B420" s="1" t="n">
        <v>45930.40612268518</v>
      </c>
      <c r="C420" s="1" t="n">
        <v>45992</v>
      </c>
      <c r="D420" t="inlineStr">
        <is>
          <t>ÖSTERGÖTLANDS LÄN</t>
        </is>
      </c>
      <c r="E420" t="inlineStr">
        <is>
          <t>LINKÖPING</t>
        </is>
      </c>
      <c r="G420" t="n">
        <v>4.3</v>
      </c>
      <c r="H420" t="n">
        <v>0</v>
      </c>
      <c r="I420" t="n">
        <v>0</v>
      </c>
      <c r="J420" t="n">
        <v>0</v>
      </c>
      <c r="K420" t="n">
        <v>0</v>
      </c>
      <c r="L420" t="n">
        <v>0</v>
      </c>
      <c r="M420" t="n">
        <v>0</v>
      </c>
      <c r="N420" t="n">
        <v>0</v>
      </c>
      <c r="O420" t="n">
        <v>0</v>
      </c>
      <c r="P420" t="n">
        <v>0</v>
      </c>
      <c r="Q420" t="n">
        <v>0</v>
      </c>
      <c r="R420" s="2" t="inlineStr"/>
    </row>
    <row r="421" ht="15" customHeight="1">
      <c r="A421" t="inlineStr">
        <is>
          <t>A 39021-2021</t>
        </is>
      </c>
      <c r="B421" s="1" t="n">
        <v>44412</v>
      </c>
      <c r="C421" s="1" t="n">
        <v>45992</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47606-2025</t>
        </is>
      </c>
      <c r="B422" s="1" t="n">
        <v>45931.46402777778</v>
      </c>
      <c r="C422" s="1" t="n">
        <v>45992</v>
      </c>
      <c r="D422" t="inlineStr">
        <is>
          <t>ÖSTERGÖTLANDS LÄN</t>
        </is>
      </c>
      <c r="E422" t="inlineStr">
        <is>
          <t>LINKÖPING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62353-2022</t>
        </is>
      </c>
      <c r="B423" s="1" t="n">
        <v>44923</v>
      </c>
      <c r="C423" s="1" t="n">
        <v>45992</v>
      </c>
      <c r="D423" t="inlineStr">
        <is>
          <t>ÖSTERGÖTLANDS LÄN</t>
        </is>
      </c>
      <c r="E423" t="inlineStr">
        <is>
          <t>LINKÖPING</t>
        </is>
      </c>
      <c r="F423" t="inlineStr">
        <is>
          <t>Allmännings- och besparingsskogar</t>
        </is>
      </c>
      <c r="G423" t="n">
        <v>1.7</v>
      </c>
      <c r="H423" t="n">
        <v>0</v>
      </c>
      <c r="I423" t="n">
        <v>0</v>
      </c>
      <c r="J423" t="n">
        <v>0</v>
      </c>
      <c r="K423" t="n">
        <v>0</v>
      </c>
      <c r="L423" t="n">
        <v>0</v>
      </c>
      <c r="M423" t="n">
        <v>0</v>
      </c>
      <c r="N423" t="n">
        <v>0</v>
      </c>
      <c r="O423" t="n">
        <v>0</v>
      </c>
      <c r="P423" t="n">
        <v>0</v>
      </c>
      <c r="Q423" t="n">
        <v>0</v>
      </c>
      <c r="R423" s="2" t="inlineStr"/>
    </row>
    <row r="424" ht="15" customHeight="1">
      <c r="A424" t="inlineStr">
        <is>
          <t>A 55683-2025</t>
        </is>
      </c>
      <c r="B424" s="1" t="n">
        <v>45972.4255324074</v>
      </c>
      <c r="C424" s="1" t="n">
        <v>45992</v>
      </c>
      <c r="D424" t="inlineStr">
        <is>
          <t>ÖSTERGÖTLANDS LÄN</t>
        </is>
      </c>
      <c r="E424" t="inlineStr">
        <is>
          <t>LINKÖPING</t>
        </is>
      </c>
      <c r="G424" t="n">
        <v>3.3</v>
      </c>
      <c r="H424" t="n">
        <v>0</v>
      </c>
      <c r="I424" t="n">
        <v>0</v>
      </c>
      <c r="J424" t="n">
        <v>0</v>
      </c>
      <c r="K424" t="n">
        <v>0</v>
      </c>
      <c r="L424" t="n">
        <v>0</v>
      </c>
      <c r="M424" t="n">
        <v>0</v>
      </c>
      <c r="N424" t="n">
        <v>0</v>
      </c>
      <c r="O424" t="n">
        <v>0</v>
      </c>
      <c r="P424" t="n">
        <v>0</v>
      </c>
      <c r="Q424" t="n">
        <v>0</v>
      </c>
      <c r="R424" s="2" t="inlineStr"/>
    </row>
    <row r="425" ht="15" customHeight="1">
      <c r="A425" t="inlineStr">
        <is>
          <t>A 30111-2024</t>
        </is>
      </c>
      <c r="B425" s="1" t="n">
        <v>45489.46947916667</v>
      </c>
      <c r="C425" s="1" t="n">
        <v>45992</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30119-2024</t>
        </is>
      </c>
      <c r="B426" s="1" t="n">
        <v>45489</v>
      </c>
      <c r="C426" s="1" t="n">
        <v>45992</v>
      </c>
      <c r="D426" t="inlineStr">
        <is>
          <t>ÖSTERGÖTLANDS LÄN</t>
        </is>
      </c>
      <c r="E426" t="inlineStr">
        <is>
          <t>LINKÖPING</t>
        </is>
      </c>
      <c r="G426" t="n">
        <v>1.7</v>
      </c>
      <c r="H426" t="n">
        <v>0</v>
      </c>
      <c r="I426" t="n">
        <v>0</v>
      </c>
      <c r="J426" t="n">
        <v>0</v>
      </c>
      <c r="K426" t="n">
        <v>0</v>
      </c>
      <c r="L426" t="n">
        <v>0</v>
      </c>
      <c r="M426" t="n">
        <v>0</v>
      </c>
      <c r="N426" t="n">
        <v>0</v>
      </c>
      <c r="O426" t="n">
        <v>0</v>
      </c>
      <c r="P426" t="n">
        <v>0</v>
      </c>
      <c r="Q426" t="n">
        <v>0</v>
      </c>
      <c r="R426" s="2" t="inlineStr"/>
    </row>
    <row r="427" ht="15" customHeight="1">
      <c r="A427" t="inlineStr">
        <is>
          <t>A 47304-2025</t>
        </is>
      </c>
      <c r="B427" s="1" t="n">
        <v>45930.52037037037</v>
      </c>
      <c r="C427" s="1" t="n">
        <v>45992</v>
      </c>
      <c r="D427" t="inlineStr">
        <is>
          <t>ÖSTERGÖTLANDS LÄN</t>
        </is>
      </c>
      <c r="E427" t="inlineStr">
        <is>
          <t>LINKÖPING</t>
        </is>
      </c>
      <c r="G427" t="n">
        <v>2.7</v>
      </c>
      <c r="H427" t="n">
        <v>0</v>
      </c>
      <c r="I427" t="n">
        <v>0</v>
      </c>
      <c r="J427" t="n">
        <v>0</v>
      </c>
      <c r="K427" t="n">
        <v>0</v>
      </c>
      <c r="L427" t="n">
        <v>0</v>
      </c>
      <c r="M427" t="n">
        <v>0</v>
      </c>
      <c r="N427" t="n">
        <v>0</v>
      </c>
      <c r="O427" t="n">
        <v>0</v>
      </c>
      <c r="P427" t="n">
        <v>0</v>
      </c>
      <c r="Q427" t="n">
        <v>0</v>
      </c>
      <c r="R427" s="2" t="inlineStr"/>
    </row>
    <row r="428" ht="15" customHeight="1">
      <c r="A428" t="inlineStr">
        <is>
          <t>A 29411-2023</t>
        </is>
      </c>
      <c r="B428" s="1" t="n">
        <v>45106.46225694445</v>
      </c>
      <c r="C428" s="1" t="n">
        <v>45992</v>
      </c>
      <c r="D428" t="inlineStr">
        <is>
          <t>ÖSTERGÖTLANDS LÄN</t>
        </is>
      </c>
      <c r="E428" t="inlineStr">
        <is>
          <t>LINKÖPING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29412-2023</t>
        </is>
      </c>
      <c r="B429" s="1" t="n">
        <v>45106.46359953703</v>
      </c>
      <c r="C429" s="1" t="n">
        <v>45992</v>
      </c>
      <c r="D429" t="inlineStr">
        <is>
          <t>ÖSTERGÖTLANDS LÄN</t>
        </is>
      </c>
      <c r="E429" t="inlineStr">
        <is>
          <t>LINKÖPING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56105-2025</t>
        </is>
      </c>
      <c r="B430" s="1" t="n">
        <v>45973.72855324074</v>
      </c>
      <c r="C430" s="1" t="n">
        <v>45992</v>
      </c>
      <c r="D430" t="inlineStr">
        <is>
          <t>ÖSTERGÖTLANDS LÄN</t>
        </is>
      </c>
      <c r="E430" t="inlineStr">
        <is>
          <t>LINKÖPING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31792-2021</t>
        </is>
      </c>
      <c r="B431" s="1" t="n">
        <v>44369</v>
      </c>
      <c r="C431" s="1" t="n">
        <v>45992</v>
      </c>
      <c r="D431" t="inlineStr">
        <is>
          <t>ÖSTERGÖTLANDS LÄN</t>
        </is>
      </c>
      <c r="E431" t="inlineStr">
        <is>
          <t>LINKÖPING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61281-2021</t>
        </is>
      </c>
      <c r="B432" s="1" t="n">
        <v>44498.60736111111</v>
      </c>
      <c r="C432" s="1" t="n">
        <v>45992</v>
      </c>
      <c r="D432" t="inlineStr">
        <is>
          <t>ÖSTERGÖTLANDS LÄN</t>
        </is>
      </c>
      <c r="E432" t="inlineStr">
        <is>
          <t>LINKÖPING</t>
        </is>
      </c>
      <c r="G432" t="n">
        <v>4.5</v>
      </c>
      <c r="H432" t="n">
        <v>0</v>
      </c>
      <c r="I432" t="n">
        <v>0</v>
      </c>
      <c r="J432" t="n">
        <v>0</v>
      </c>
      <c r="K432" t="n">
        <v>0</v>
      </c>
      <c r="L432" t="n">
        <v>0</v>
      </c>
      <c r="M432" t="n">
        <v>0</v>
      </c>
      <c r="N432" t="n">
        <v>0</v>
      </c>
      <c r="O432" t="n">
        <v>0</v>
      </c>
      <c r="P432" t="n">
        <v>0</v>
      </c>
      <c r="Q432" t="n">
        <v>0</v>
      </c>
      <c r="R432" s="2" t="inlineStr"/>
    </row>
    <row r="433" ht="15" customHeight="1">
      <c r="A433" t="inlineStr">
        <is>
          <t>A 25292-2021</t>
        </is>
      </c>
      <c r="B433" s="1" t="n">
        <v>44342</v>
      </c>
      <c r="C433" s="1" t="n">
        <v>45992</v>
      </c>
      <c r="D433" t="inlineStr">
        <is>
          <t>ÖSTERGÖTLANDS LÄN</t>
        </is>
      </c>
      <c r="E433" t="inlineStr">
        <is>
          <t>LINKÖPING</t>
        </is>
      </c>
      <c r="F433" t="inlineStr">
        <is>
          <t>Övriga Aktiebolag</t>
        </is>
      </c>
      <c r="G433" t="n">
        <v>12.8</v>
      </c>
      <c r="H433" t="n">
        <v>0</v>
      </c>
      <c r="I433" t="n">
        <v>0</v>
      </c>
      <c r="J433" t="n">
        <v>0</v>
      </c>
      <c r="K433" t="n">
        <v>0</v>
      </c>
      <c r="L433" t="n">
        <v>0</v>
      </c>
      <c r="M433" t="n">
        <v>0</v>
      </c>
      <c r="N433" t="n">
        <v>0</v>
      </c>
      <c r="O433" t="n">
        <v>0</v>
      </c>
      <c r="P433" t="n">
        <v>0</v>
      </c>
      <c r="Q433" t="n">
        <v>0</v>
      </c>
      <c r="R433" s="2" t="inlineStr"/>
    </row>
    <row r="434" ht="15" customHeight="1">
      <c r="A434" t="inlineStr">
        <is>
          <t>A 63935-2021</t>
        </is>
      </c>
      <c r="B434" s="1" t="n">
        <v>44509</v>
      </c>
      <c r="C434" s="1" t="n">
        <v>45992</v>
      </c>
      <c r="D434" t="inlineStr">
        <is>
          <t>ÖSTERGÖTLANDS LÄN</t>
        </is>
      </c>
      <c r="E434" t="inlineStr">
        <is>
          <t>LINKÖPING</t>
        </is>
      </c>
      <c r="F434" t="inlineStr">
        <is>
          <t>Övriga statliga verk och myndigheter</t>
        </is>
      </c>
      <c r="G434" t="n">
        <v>2.8</v>
      </c>
      <c r="H434" t="n">
        <v>0</v>
      </c>
      <c r="I434" t="n">
        <v>0</v>
      </c>
      <c r="J434" t="n">
        <v>0</v>
      </c>
      <c r="K434" t="n">
        <v>0</v>
      </c>
      <c r="L434" t="n">
        <v>0</v>
      </c>
      <c r="M434" t="n">
        <v>0</v>
      </c>
      <c r="N434" t="n">
        <v>0</v>
      </c>
      <c r="O434" t="n">
        <v>0</v>
      </c>
      <c r="P434" t="n">
        <v>0</v>
      </c>
      <c r="Q434" t="n">
        <v>0</v>
      </c>
      <c r="R434" s="2" t="inlineStr"/>
    </row>
    <row r="435" ht="15" customHeight="1">
      <c r="A435" t="inlineStr">
        <is>
          <t>A 38971-2025</t>
        </is>
      </c>
      <c r="B435" s="1" t="n">
        <v>45887.71827546296</v>
      </c>
      <c r="C435" s="1" t="n">
        <v>45992</v>
      </c>
      <c r="D435" t="inlineStr">
        <is>
          <t>ÖSTERGÖTLANDS LÄN</t>
        </is>
      </c>
      <c r="E435" t="inlineStr">
        <is>
          <t>LINKÖPING</t>
        </is>
      </c>
      <c r="G435" t="n">
        <v>3.9</v>
      </c>
      <c r="H435" t="n">
        <v>0</v>
      </c>
      <c r="I435" t="n">
        <v>0</v>
      </c>
      <c r="J435" t="n">
        <v>0</v>
      </c>
      <c r="K435" t="n">
        <v>0</v>
      </c>
      <c r="L435" t="n">
        <v>0</v>
      </c>
      <c r="M435" t="n">
        <v>0</v>
      </c>
      <c r="N435" t="n">
        <v>0</v>
      </c>
      <c r="O435" t="n">
        <v>0</v>
      </c>
      <c r="P435" t="n">
        <v>0</v>
      </c>
      <c r="Q435" t="n">
        <v>0</v>
      </c>
      <c r="R435" s="2" t="inlineStr"/>
    </row>
    <row r="436" ht="15" customHeight="1">
      <c r="A436" t="inlineStr">
        <is>
          <t>A 55345-2021</t>
        </is>
      </c>
      <c r="B436" s="1" t="n">
        <v>44475</v>
      </c>
      <c r="C436" s="1" t="n">
        <v>45992</v>
      </c>
      <c r="D436" t="inlineStr">
        <is>
          <t>ÖSTERGÖTLANDS LÄN</t>
        </is>
      </c>
      <c r="E436" t="inlineStr">
        <is>
          <t>LINKÖPING</t>
        </is>
      </c>
      <c r="G436" t="n">
        <v>5.7</v>
      </c>
      <c r="H436" t="n">
        <v>0</v>
      </c>
      <c r="I436" t="n">
        <v>0</v>
      </c>
      <c r="J436" t="n">
        <v>0</v>
      </c>
      <c r="K436" t="n">
        <v>0</v>
      </c>
      <c r="L436" t="n">
        <v>0</v>
      </c>
      <c r="M436" t="n">
        <v>0</v>
      </c>
      <c r="N436" t="n">
        <v>0</v>
      </c>
      <c r="O436" t="n">
        <v>0</v>
      </c>
      <c r="P436" t="n">
        <v>0</v>
      </c>
      <c r="Q436" t="n">
        <v>0</v>
      </c>
      <c r="R436" s="2" t="inlineStr"/>
    </row>
    <row r="437" ht="15" customHeight="1">
      <c r="A437" t="inlineStr">
        <is>
          <t>A 421-2024</t>
        </is>
      </c>
      <c r="B437" s="1" t="n">
        <v>45296.51877314815</v>
      </c>
      <c r="C437" s="1" t="n">
        <v>45992</v>
      </c>
      <c r="D437" t="inlineStr">
        <is>
          <t>ÖSTERGÖTLANDS LÄN</t>
        </is>
      </c>
      <c r="E437" t="inlineStr">
        <is>
          <t>LINKÖPING</t>
        </is>
      </c>
      <c r="G437" t="n">
        <v>3.7</v>
      </c>
      <c r="H437" t="n">
        <v>0</v>
      </c>
      <c r="I437" t="n">
        <v>0</v>
      </c>
      <c r="J437" t="n">
        <v>0</v>
      </c>
      <c r="K437" t="n">
        <v>0</v>
      </c>
      <c r="L437" t="n">
        <v>0</v>
      </c>
      <c r="M437" t="n">
        <v>0</v>
      </c>
      <c r="N437" t="n">
        <v>0</v>
      </c>
      <c r="O437" t="n">
        <v>0</v>
      </c>
      <c r="P437" t="n">
        <v>0</v>
      </c>
      <c r="Q437" t="n">
        <v>0</v>
      </c>
      <c r="R437" s="2" t="inlineStr"/>
    </row>
    <row r="438" ht="15" customHeight="1">
      <c r="A438" t="inlineStr">
        <is>
          <t>A 22043-2023</t>
        </is>
      </c>
      <c r="B438" s="1" t="n">
        <v>45069.39050925926</v>
      </c>
      <c r="C438" s="1" t="n">
        <v>45992</v>
      </c>
      <c r="D438" t="inlineStr">
        <is>
          <t>ÖSTERGÖTLANDS LÄN</t>
        </is>
      </c>
      <c r="E438" t="inlineStr">
        <is>
          <t>LINKÖPING</t>
        </is>
      </c>
      <c r="G438" t="n">
        <v>5.9</v>
      </c>
      <c r="H438" t="n">
        <v>0</v>
      </c>
      <c r="I438" t="n">
        <v>0</v>
      </c>
      <c r="J438" t="n">
        <v>0</v>
      </c>
      <c r="K438" t="n">
        <v>0</v>
      </c>
      <c r="L438" t="n">
        <v>0</v>
      </c>
      <c r="M438" t="n">
        <v>0</v>
      </c>
      <c r="N438" t="n">
        <v>0</v>
      </c>
      <c r="O438" t="n">
        <v>0</v>
      </c>
      <c r="P438" t="n">
        <v>0</v>
      </c>
      <c r="Q438" t="n">
        <v>0</v>
      </c>
      <c r="R438" s="2" t="inlineStr"/>
    </row>
    <row r="439" ht="15" customHeight="1">
      <c r="A439" t="inlineStr">
        <is>
          <t>A 61532-2021</t>
        </is>
      </c>
      <c r="B439" s="1" t="n">
        <v>44501</v>
      </c>
      <c r="C439" s="1" t="n">
        <v>45992</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14028-2024</t>
        </is>
      </c>
      <c r="B440" s="1" t="n">
        <v>45392</v>
      </c>
      <c r="C440" s="1" t="n">
        <v>45992</v>
      </c>
      <c r="D440" t="inlineStr">
        <is>
          <t>ÖSTERGÖTLANDS LÄN</t>
        </is>
      </c>
      <c r="E440" t="inlineStr">
        <is>
          <t>LINKÖPING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40431-2024</t>
        </is>
      </c>
      <c r="B441" s="1" t="n">
        <v>45555.47070601852</v>
      </c>
      <c r="C441" s="1" t="n">
        <v>45992</v>
      </c>
      <c r="D441" t="inlineStr">
        <is>
          <t>ÖSTERGÖTLANDS LÄN</t>
        </is>
      </c>
      <c r="E441" t="inlineStr">
        <is>
          <t>LINKÖPING</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60860-2024</t>
        </is>
      </c>
      <c r="B442" s="1" t="n">
        <v>45644.6893287037</v>
      </c>
      <c r="C442" s="1" t="n">
        <v>45992</v>
      </c>
      <c r="D442" t="inlineStr">
        <is>
          <t>ÖSTERGÖTLANDS LÄN</t>
        </is>
      </c>
      <c r="E442" t="inlineStr">
        <is>
          <t>LINKÖPING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2697-2023</t>
        </is>
      </c>
      <c r="B443" s="1" t="n">
        <v>44944</v>
      </c>
      <c r="C443" s="1" t="n">
        <v>45992</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54332-2025</t>
        </is>
      </c>
      <c r="B444" s="1" t="n">
        <v>45965.34915509259</v>
      </c>
      <c r="C444" s="1" t="n">
        <v>45992</v>
      </c>
      <c r="D444" t="inlineStr">
        <is>
          <t>ÖSTERGÖTLANDS LÄN</t>
        </is>
      </c>
      <c r="E444" t="inlineStr">
        <is>
          <t>LINKÖPING</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45806-2024</t>
        </is>
      </c>
      <c r="B445" s="1" t="n">
        <v>45579.69619212963</v>
      </c>
      <c r="C445" s="1" t="n">
        <v>45992</v>
      </c>
      <c r="D445" t="inlineStr">
        <is>
          <t>ÖSTERGÖTLANDS LÄN</t>
        </is>
      </c>
      <c r="E445" t="inlineStr">
        <is>
          <t>LINKÖPING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56756-2023</t>
        </is>
      </c>
      <c r="B446" s="1" t="n">
        <v>45244</v>
      </c>
      <c r="C446" s="1" t="n">
        <v>45992</v>
      </c>
      <c r="D446" t="inlineStr">
        <is>
          <t>ÖSTERGÖTLANDS LÄN</t>
        </is>
      </c>
      <c r="E446" t="inlineStr">
        <is>
          <t>LINKÖPING</t>
        </is>
      </c>
      <c r="F446" t="inlineStr">
        <is>
          <t>Övriga Aktiebolag</t>
        </is>
      </c>
      <c r="G446" t="n">
        <v>0.8</v>
      </c>
      <c r="H446" t="n">
        <v>0</v>
      </c>
      <c r="I446" t="n">
        <v>0</v>
      </c>
      <c r="J446" t="n">
        <v>0</v>
      </c>
      <c r="K446" t="n">
        <v>0</v>
      </c>
      <c r="L446" t="n">
        <v>0</v>
      </c>
      <c r="M446" t="n">
        <v>0</v>
      </c>
      <c r="N446" t="n">
        <v>0</v>
      </c>
      <c r="O446" t="n">
        <v>0</v>
      </c>
      <c r="P446" t="n">
        <v>0</v>
      </c>
      <c r="Q446" t="n">
        <v>0</v>
      </c>
      <c r="R446" s="2" t="inlineStr"/>
    </row>
    <row r="447" ht="15" customHeight="1">
      <c r="A447" t="inlineStr">
        <is>
          <t>A 48343-2025</t>
        </is>
      </c>
      <c r="B447" s="1" t="n">
        <v>45932</v>
      </c>
      <c r="C447" s="1" t="n">
        <v>45992</v>
      </c>
      <c r="D447" t="inlineStr">
        <is>
          <t>ÖSTERGÖTLANDS LÄN</t>
        </is>
      </c>
      <c r="E447" t="inlineStr">
        <is>
          <t>LINKÖPING</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48266-2025</t>
        </is>
      </c>
      <c r="B448" s="1" t="n">
        <v>45932</v>
      </c>
      <c r="C448" s="1" t="n">
        <v>45992</v>
      </c>
      <c r="D448" t="inlineStr">
        <is>
          <t>ÖSTERGÖTLANDS LÄN</t>
        </is>
      </c>
      <c r="E448" t="inlineStr">
        <is>
          <t>LINKÖPING</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54329-2025</t>
        </is>
      </c>
      <c r="B449" s="1" t="n">
        <v>45965.34706018519</v>
      </c>
      <c r="C449" s="1" t="n">
        <v>45992</v>
      </c>
      <c r="D449" t="inlineStr">
        <is>
          <t>ÖSTERGÖTLANDS LÄN</t>
        </is>
      </c>
      <c r="E449" t="inlineStr">
        <is>
          <t>LINKÖPING</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60985-2023</t>
        </is>
      </c>
      <c r="B450" s="1" t="n">
        <v>45261.48429398148</v>
      </c>
      <c r="C450" s="1" t="n">
        <v>45992</v>
      </c>
      <c r="D450" t="inlineStr">
        <is>
          <t>ÖSTERGÖTLANDS LÄN</t>
        </is>
      </c>
      <c r="E450" t="inlineStr">
        <is>
          <t>LINKÖPING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24904-2024</t>
        </is>
      </c>
      <c r="B451" s="1" t="n">
        <v>45461</v>
      </c>
      <c r="C451" s="1" t="n">
        <v>45992</v>
      </c>
      <c r="D451" t="inlineStr">
        <is>
          <t>ÖSTERGÖTLANDS LÄN</t>
        </is>
      </c>
      <c r="E451" t="inlineStr">
        <is>
          <t>LINKÖPING</t>
        </is>
      </c>
      <c r="G451" t="n">
        <v>3.8</v>
      </c>
      <c r="H451" t="n">
        <v>0</v>
      </c>
      <c r="I451" t="n">
        <v>0</v>
      </c>
      <c r="J451" t="n">
        <v>0</v>
      </c>
      <c r="K451" t="n">
        <v>0</v>
      </c>
      <c r="L451" t="n">
        <v>0</v>
      </c>
      <c r="M451" t="n">
        <v>0</v>
      </c>
      <c r="N451" t="n">
        <v>0</v>
      </c>
      <c r="O451" t="n">
        <v>0</v>
      </c>
      <c r="P451" t="n">
        <v>0</v>
      </c>
      <c r="Q451" t="n">
        <v>0</v>
      </c>
      <c r="R451" s="2" t="inlineStr"/>
    </row>
    <row r="452" ht="15" customHeight="1">
      <c r="A452" t="inlineStr">
        <is>
          <t>A 55009-2023</t>
        </is>
      </c>
      <c r="B452" s="1" t="n">
        <v>45237</v>
      </c>
      <c r="C452" s="1" t="n">
        <v>45992</v>
      </c>
      <c r="D452" t="inlineStr">
        <is>
          <t>ÖSTERGÖTLANDS LÄN</t>
        </is>
      </c>
      <c r="E452" t="inlineStr">
        <is>
          <t>LINKÖPING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34872-2023</t>
        </is>
      </c>
      <c r="B453" s="1" t="n">
        <v>45140</v>
      </c>
      <c r="C453" s="1" t="n">
        <v>45992</v>
      </c>
      <c r="D453" t="inlineStr">
        <is>
          <t>ÖSTERGÖTLANDS LÄN</t>
        </is>
      </c>
      <c r="E453" t="inlineStr">
        <is>
          <t>LINKÖPING</t>
        </is>
      </c>
      <c r="G453" t="n">
        <v>4.8</v>
      </c>
      <c r="H453" t="n">
        <v>0</v>
      </c>
      <c r="I453" t="n">
        <v>0</v>
      </c>
      <c r="J453" t="n">
        <v>0</v>
      </c>
      <c r="K453" t="n">
        <v>0</v>
      </c>
      <c r="L453" t="n">
        <v>0</v>
      </c>
      <c r="M453" t="n">
        <v>0</v>
      </c>
      <c r="N453" t="n">
        <v>0</v>
      </c>
      <c r="O453" t="n">
        <v>0</v>
      </c>
      <c r="P453" t="n">
        <v>0</v>
      </c>
      <c r="Q453" t="n">
        <v>0</v>
      </c>
      <c r="R453" s="2" t="inlineStr"/>
    </row>
    <row r="454" ht="15" customHeight="1">
      <c r="A454" t="inlineStr">
        <is>
          <t>A 48254-2025</t>
        </is>
      </c>
      <c r="B454" s="1" t="n">
        <v>45932</v>
      </c>
      <c r="C454" s="1" t="n">
        <v>45992</v>
      </c>
      <c r="D454" t="inlineStr">
        <is>
          <t>ÖSTERGÖTLANDS LÄN</t>
        </is>
      </c>
      <c r="E454" t="inlineStr">
        <is>
          <t>LINKÖPING</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56403-2025</t>
        </is>
      </c>
      <c r="B455" s="1" t="n">
        <v>45974</v>
      </c>
      <c r="C455" s="1" t="n">
        <v>45992</v>
      </c>
      <c r="D455" t="inlineStr">
        <is>
          <t>ÖSTERGÖTLANDS LÄN</t>
        </is>
      </c>
      <c r="E455" t="inlineStr">
        <is>
          <t>LINKÖPING</t>
        </is>
      </c>
      <c r="G455" t="n">
        <v>3.3</v>
      </c>
      <c r="H455" t="n">
        <v>0</v>
      </c>
      <c r="I455" t="n">
        <v>0</v>
      </c>
      <c r="J455" t="n">
        <v>0</v>
      </c>
      <c r="K455" t="n">
        <v>0</v>
      </c>
      <c r="L455" t="n">
        <v>0</v>
      </c>
      <c r="M455" t="n">
        <v>0</v>
      </c>
      <c r="N455" t="n">
        <v>0</v>
      </c>
      <c r="O455" t="n">
        <v>0</v>
      </c>
      <c r="P455" t="n">
        <v>0</v>
      </c>
      <c r="Q455" t="n">
        <v>0</v>
      </c>
      <c r="R455" s="2" t="inlineStr"/>
    </row>
    <row r="456" ht="15" customHeight="1">
      <c r="A456" t="inlineStr">
        <is>
          <t>A 36336-2022</t>
        </is>
      </c>
      <c r="B456" s="1" t="n">
        <v>44803</v>
      </c>
      <c r="C456" s="1" t="n">
        <v>45992</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56704-2025</t>
        </is>
      </c>
      <c r="B457" s="1" t="n">
        <v>45977.50608796296</v>
      </c>
      <c r="C457" s="1" t="n">
        <v>45992</v>
      </c>
      <c r="D457" t="inlineStr">
        <is>
          <t>ÖSTERGÖTLANDS LÄN</t>
        </is>
      </c>
      <c r="E457" t="inlineStr">
        <is>
          <t>LINKÖPING</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25097-2023</t>
        </is>
      </c>
      <c r="B458" s="1" t="n">
        <v>45086</v>
      </c>
      <c r="C458" s="1" t="n">
        <v>45992</v>
      </c>
      <c r="D458" t="inlineStr">
        <is>
          <t>ÖSTERGÖTLANDS LÄN</t>
        </is>
      </c>
      <c r="E458" t="inlineStr">
        <is>
          <t>LINKÖPING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10461-2023</t>
        </is>
      </c>
      <c r="B459" s="1" t="n">
        <v>44987.5969212963</v>
      </c>
      <c r="C459" s="1" t="n">
        <v>45992</v>
      </c>
      <c r="D459" t="inlineStr">
        <is>
          <t>ÖSTERGÖTLANDS LÄN</t>
        </is>
      </c>
      <c r="E459" t="inlineStr">
        <is>
          <t>LINKÖPING</t>
        </is>
      </c>
      <c r="G459" t="n">
        <v>7.8</v>
      </c>
      <c r="H459" t="n">
        <v>0</v>
      </c>
      <c r="I459" t="n">
        <v>0</v>
      </c>
      <c r="J459" t="n">
        <v>0</v>
      </c>
      <c r="K459" t="n">
        <v>0</v>
      </c>
      <c r="L459" t="n">
        <v>0</v>
      </c>
      <c r="M459" t="n">
        <v>0</v>
      </c>
      <c r="N459" t="n">
        <v>0</v>
      </c>
      <c r="O459" t="n">
        <v>0</v>
      </c>
      <c r="P459" t="n">
        <v>0</v>
      </c>
      <c r="Q459" t="n">
        <v>0</v>
      </c>
      <c r="R459" s="2" t="inlineStr"/>
    </row>
    <row r="460" ht="15" customHeight="1">
      <c r="A460" t="inlineStr">
        <is>
          <t>A 52740-2025</t>
        </is>
      </c>
      <c r="B460" s="1" t="n">
        <v>45957.37747685185</v>
      </c>
      <c r="C460" s="1" t="n">
        <v>45992</v>
      </c>
      <c r="D460" t="inlineStr">
        <is>
          <t>ÖSTERGÖTLANDS LÄN</t>
        </is>
      </c>
      <c r="E460" t="inlineStr">
        <is>
          <t>LINKÖPING</t>
        </is>
      </c>
      <c r="G460" t="n">
        <v>3.7</v>
      </c>
      <c r="H460" t="n">
        <v>0</v>
      </c>
      <c r="I460" t="n">
        <v>0</v>
      </c>
      <c r="J460" t="n">
        <v>0</v>
      </c>
      <c r="K460" t="n">
        <v>0</v>
      </c>
      <c r="L460" t="n">
        <v>0</v>
      </c>
      <c r="M460" t="n">
        <v>0</v>
      </c>
      <c r="N460" t="n">
        <v>0</v>
      </c>
      <c r="O460" t="n">
        <v>0</v>
      </c>
      <c r="P460" t="n">
        <v>0</v>
      </c>
      <c r="Q460" t="n">
        <v>0</v>
      </c>
      <c r="R460" s="2" t="inlineStr"/>
    </row>
    <row r="461" ht="15" customHeight="1">
      <c r="A461" t="inlineStr">
        <is>
          <t>A 50386-2021</t>
        </is>
      </c>
      <c r="B461" s="1" t="n">
        <v>44459</v>
      </c>
      <c r="C461" s="1" t="n">
        <v>45992</v>
      </c>
      <c r="D461" t="inlineStr">
        <is>
          <t>ÖSTERGÖTLANDS LÄN</t>
        </is>
      </c>
      <c r="E461" t="inlineStr">
        <is>
          <t>LINKÖPING</t>
        </is>
      </c>
      <c r="G461" t="n">
        <v>2.3</v>
      </c>
      <c r="H461" t="n">
        <v>0</v>
      </c>
      <c r="I461" t="n">
        <v>0</v>
      </c>
      <c r="J461" t="n">
        <v>0</v>
      </c>
      <c r="K461" t="n">
        <v>0</v>
      </c>
      <c r="L461" t="n">
        <v>0</v>
      </c>
      <c r="M461" t="n">
        <v>0</v>
      </c>
      <c r="N461" t="n">
        <v>0</v>
      </c>
      <c r="O461" t="n">
        <v>0</v>
      </c>
      <c r="P461" t="n">
        <v>0</v>
      </c>
      <c r="Q461" t="n">
        <v>0</v>
      </c>
      <c r="R461" s="2" t="inlineStr"/>
    </row>
    <row r="462" ht="15" customHeight="1">
      <c r="A462" t="inlineStr">
        <is>
          <t>A 350-2022</t>
        </is>
      </c>
      <c r="B462" s="1" t="n">
        <v>44565</v>
      </c>
      <c r="C462" s="1" t="n">
        <v>45992</v>
      </c>
      <c r="D462" t="inlineStr">
        <is>
          <t>ÖSTERGÖTLANDS LÄN</t>
        </is>
      </c>
      <c r="E462" t="inlineStr">
        <is>
          <t>LINKÖPING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49455-2025</t>
        </is>
      </c>
      <c r="B463" s="1" t="n">
        <v>45938</v>
      </c>
      <c r="C463" s="1" t="n">
        <v>45992</v>
      </c>
      <c r="D463" t="inlineStr">
        <is>
          <t>ÖSTERGÖTLANDS LÄN</t>
        </is>
      </c>
      <c r="E463" t="inlineStr">
        <is>
          <t>LINKÖPING</t>
        </is>
      </c>
      <c r="F463" t="inlineStr">
        <is>
          <t>Övriga Aktiebolag</t>
        </is>
      </c>
      <c r="G463" t="n">
        <v>5.9</v>
      </c>
      <c r="H463" t="n">
        <v>0</v>
      </c>
      <c r="I463" t="n">
        <v>0</v>
      </c>
      <c r="J463" t="n">
        <v>0</v>
      </c>
      <c r="K463" t="n">
        <v>0</v>
      </c>
      <c r="L463" t="n">
        <v>0</v>
      </c>
      <c r="M463" t="n">
        <v>0</v>
      </c>
      <c r="N463" t="n">
        <v>0</v>
      </c>
      <c r="O463" t="n">
        <v>0</v>
      </c>
      <c r="P463" t="n">
        <v>0</v>
      </c>
      <c r="Q463" t="n">
        <v>0</v>
      </c>
      <c r="R463" s="2" t="inlineStr"/>
    </row>
    <row r="464" ht="15" customHeight="1">
      <c r="A464" t="inlineStr">
        <is>
          <t>A 18891-2022</t>
        </is>
      </c>
      <c r="B464" s="1" t="n">
        <v>44690</v>
      </c>
      <c r="C464" s="1" t="n">
        <v>45992</v>
      </c>
      <c r="D464" t="inlineStr">
        <is>
          <t>ÖSTERGÖTLANDS LÄN</t>
        </is>
      </c>
      <c r="E464" t="inlineStr">
        <is>
          <t>LINKÖPING</t>
        </is>
      </c>
      <c r="G464" t="n">
        <v>1.2</v>
      </c>
      <c r="H464" t="n">
        <v>0</v>
      </c>
      <c r="I464" t="n">
        <v>0</v>
      </c>
      <c r="J464" t="n">
        <v>0</v>
      </c>
      <c r="K464" t="n">
        <v>0</v>
      </c>
      <c r="L464" t="n">
        <v>0</v>
      </c>
      <c r="M464" t="n">
        <v>0</v>
      </c>
      <c r="N464" t="n">
        <v>0</v>
      </c>
      <c r="O464" t="n">
        <v>0</v>
      </c>
      <c r="P464" t="n">
        <v>0</v>
      </c>
      <c r="Q464" t="n">
        <v>0</v>
      </c>
      <c r="R464" s="2" t="inlineStr"/>
    </row>
    <row r="465" ht="15" customHeight="1">
      <c r="A465" t="inlineStr">
        <is>
          <t>A 49605-2025</t>
        </is>
      </c>
      <c r="B465" s="1" t="n">
        <v>45938</v>
      </c>
      <c r="C465" s="1" t="n">
        <v>45992</v>
      </c>
      <c r="D465" t="inlineStr">
        <is>
          <t>ÖSTERGÖTLANDS LÄN</t>
        </is>
      </c>
      <c r="E465" t="inlineStr">
        <is>
          <t>LINKÖPING</t>
        </is>
      </c>
      <c r="F465" t="inlineStr">
        <is>
          <t>Övriga Aktiebolag</t>
        </is>
      </c>
      <c r="G465" t="n">
        <v>3.3</v>
      </c>
      <c r="H465" t="n">
        <v>0</v>
      </c>
      <c r="I465" t="n">
        <v>0</v>
      </c>
      <c r="J465" t="n">
        <v>0</v>
      </c>
      <c r="K465" t="n">
        <v>0</v>
      </c>
      <c r="L465" t="n">
        <v>0</v>
      </c>
      <c r="M465" t="n">
        <v>0</v>
      </c>
      <c r="N465" t="n">
        <v>0</v>
      </c>
      <c r="O465" t="n">
        <v>0</v>
      </c>
      <c r="P465" t="n">
        <v>0</v>
      </c>
      <c r="Q465" t="n">
        <v>0</v>
      </c>
      <c r="R465" s="2" t="inlineStr"/>
    </row>
    <row r="466" ht="15" customHeight="1">
      <c r="A466" t="inlineStr">
        <is>
          <t>A 49663-2025</t>
        </is>
      </c>
      <c r="B466" s="1" t="n">
        <v>45938</v>
      </c>
      <c r="C466" s="1" t="n">
        <v>45992</v>
      </c>
      <c r="D466" t="inlineStr">
        <is>
          <t>ÖSTERGÖTLANDS LÄN</t>
        </is>
      </c>
      <c r="E466" t="inlineStr">
        <is>
          <t>LINKÖPING</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30976-2022</t>
        </is>
      </c>
      <c r="B467" s="1" t="n">
        <v>44768</v>
      </c>
      <c r="C467" s="1" t="n">
        <v>45992</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55736-2022</t>
        </is>
      </c>
      <c r="B468" s="1" t="n">
        <v>44888</v>
      </c>
      <c r="C468" s="1" t="n">
        <v>45992</v>
      </c>
      <c r="D468" t="inlineStr">
        <is>
          <t>ÖSTERGÖTLANDS LÄN</t>
        </is>
      </c>
      <c r="E468" t="inlineStr">
        <is>
          <t>LINKÖPING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49632-2025</t>
        </is>
      </c>
      <c r="B469" s="1" t="n">
        <v>45938</v>
      </c>
      <c r="C469" s="1" t="n">
        <v>45992</v>
      </c>
      <c r="D469" t="inlineStr">
        <is>
          <t>ÖSTERGÖTLANDS LÄN</t>
        </is>
      </c>
      <c r="E469" t="inlineStr">
        <is>
          <t>LINKÖPING</t>
        </is>
      </c>
      <c r="F469" t="inlineStr">
        <is>
          <t>Övriga Aktiebolag</t>
        </is>
      </c>
      <c r="G469" t="n">
        <v>1.6</v>
      </c>
      <c r="H469" t="n">
        <v>0</v>
      </c>
      <c r="I469" t="n">
        <v>0</v>
      </c>
      <c r="J469" t="n">
        <v>0</v>
      </c>
      <c r="K469" t="n">
        <v>0</v>
      </c>
      <c r="L469" t="n">
        <v>0</v>
      </c>
      <c r="M469" t="n">
        <v>0</v>
      </c>
      <c r="N469" t="n">
        <v>0</v>
      </c>
      <c r="O469" t="n">
        <v>0</v>
      </c>
      <c r="P469" t="n">
        <v>0</v>
      </c>
      <c r="Q469" t="n">
        <v>0</v>
      </c>
      <c r="R469" s="2" t="inlineStr"/>
    </row>
    <row r="470" ht="15" customHeight="1">
      <c r="A470" t="inlineStr">
        <is>
          <t>A 49647-2025</t>
        </is>
      </c>
      <c r="B470" s="1" t="n">
        <v>45938</v>
      </c>
      <c r="C470" s="1" t="n">
        <v>45992</v>
      </c>
      <c r="D470" t="inlineStr">
        <is>
          <t>ÖSTERGÖTLANDS LÄN</t>
        </is>
      </c>
      <c r="E470" t="inlineStr">
        <is>
          <t>LINKÖPING</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49652-2025</t>
        </is>
      </c>
      <c r="B471" s="1" t="n">
        <v>45938</v>
      </c>
      <c r="C471" s="1" t="n">
        <v>45992</v>
      </c>
      <c r="D471" t="inlineStr">
        <is>
          <t>ÖSTERGÖTLANDS LÄN</t>
        </is>
      </c>
      <c r="E471" t="inlineStr">
        <is>
          <t>LINKÖPING</t>
        </is>
      </c>
      <c r="F471" t="inlineStr">
        <is>
          <t>Övriga Aktiebolag</t>
        </is>
      </c>
      <c r="G471" t="n">
        <v>1.8</v>
      </c>
      <c r="H471" t="n">
        <v>0</v>
      </c>
      <c r="I471" t="n">
        <v>0</v>
      </c>
      <c r="J471" t="n">
        <v>0</v>
      </c>
      <c r="K471" t="n">
        <v>0</v>
      </c>
      <c r="L471" t="n">
        <v>0</v>
      </c>
      <c r="M471" t="n">
        <v>0</v>
      </c>
      <c r="N471" t="n">
        <v>0</v>
      </c>
      <c r="O471" t="n">
        <v>0</v>
      </c>
      <c r="P471" t="n">
        <v>0</v>
      </c>
      <c r="Q471" t="n">
        <v>0</v>
      </c>
      <c r="R471" s="2" t="inlineStr"/>
    </row>
    <row r="472" ht="15" customHeight="1">
      <c r="A472" t="inlineStr">
        <is>
          <t>A 49654-2025</t>
        </is>
      </c>
      <c r="B472" s="1" t="n">
        <v>45938</v>
      </c>
      <c r="C472" s="1" t="n">
        <v>45992</v>
      </c>
      <c r="D472" t="inlineStr">
        <is>
          <t>ÖSTERGÖTLANDS LÄN</t>
        </is>
      </c>
      <c r="E472" t="inlineStr">
        <is>
          <t>LINKÖPING</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10194-2023</t>
        </is>
      </c>
      <c r="B473" s="1" t="n">
        <v>44986.52277777778</v>
      </c>
      <c r="C473" s="1" t="n">
        <v>45992</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49615-2025</t>
        </is>
      </c>
      <c r="B474" s="1" t="n">
        <v>45938</v>
      </c>
      <c r="C474" s="1" t="n">
        <v>45992</v>
      </c>
      <c r="D474" t="inlineStr">
        <is>
          <t>ÖSTERGÖTLANDS LÄN</t>
        </is>
      </c>
      <c r="E474" t="inlineStr">
        <is>
          <t>LINKÖPING</t>
        </is>
      </c>
      <c r="F474" t="inlineStr">
        <is>
          <t>Övriga Aktiebolag</t>
        </is>
      </c>
      <c r="G474" t="n">
        <v>1.6</v>
      </c>
      <c r="H474" t="n">
        <v>0</v>
      </c>
      <c r="I474" t="n">
        <v>0</v>
      </c>
      <c r="J474" t="n">
        <v>0</v>
      </c>
      <c r="K474" t="n">
        <v>0</v>
      </c>
      <c r="L474" t="n">
        <v>0</v>
      </c>
      <c r="M474" t="n">
        <v>0</v>
      </c>
      <c r="N474" t="n">
        <v>0</v>
      </c>
      <c r="O474" t="n">
        <v>0</v>
      </c>
      <c r="P474" t="n">
        <v>0</v>
      </c>
      <c r="Q474" t="n">
        <v>0</v>
      </c>
      <c r="R474" s="2" t="inlineStr"/>
    </row>
    <row r="475" ht="15" customHeight="1">
      <c r="A475" t="inlineStr">
        <is>
          <t>A 49619-2025</t>
        </is>
      </c>
      <c r="B475" s="1" t="n">
        <v>45938</v>
      </c>
      <c r="C475" s="1" t="n">
        <v>45992</v>
      </c>
      <c r="D475" t="inlineStr">
        <is>
          <t>ÖSTERGÖTLANDS LÄN</t>
        </is>
      </c>
      <c r="E475" t="inlineStr">
        <is>
          <t>LINKÖPING</t>
        </is>
      </c>
      <c r="F475" t="inlineStr">
        <is>
          <t>Övriga Aktiebolag</t>
        </is>
      </c>
      <c r="G475" t="n">
        <v>2.3</v>
      </c>
      <c r="H475" t="n">
        <v>0</v>
      </c>
      <c r="I475" t="n">
        <v>0</v>
      </c>
      <c r="J475" t="n">
        <v>0</v>
      </c>
      <c r="K475" t="n">
        <v>0</v>
      </c>
      <c r="L475" t="n">
        <v>0</v>
      </c>
      <c r="M475" t="n">
        <v>0</v>
      </c>
      <c r="N475" t="n">
        <v>0</v>
      </c>
      <c r="O475" t="n">
        <v>0</v>
      </c>
      <c r="P475" t="n">
        <v>0</v>
      </c>
      <c r="Q475" t="n">
        <v>0</v>
      </c>
      <c r="R475" s="2" t="inlineStr"/>
    </row>
    <row r="476" ht="15" customHeight="1">
      <c r="A476" t="inlineStr">
        <is>
          <t>A 49629-2025</t>
        </is>
      </c>
      <c r="B476" s="1" t="n">
        <v>45938</v>
      </c>
      <c r="C476" s="1" t="n">
        <v>45992</v>
      </c>
      <c r="D476" t="inlineStr">
        <is>
          <t>ÖSTERGÖTLANDS LÄN</t>
        </is>
      </c>
      <c r="E476" t="inlineStr">
        <is>
          <t>LINKÖPING</t>
        </is>
      </c>
      <c r="F476" t="inlineStr">
        <is>
          <t>Övriga Aktiebolag</t>
        </is>
      </c>
      <c r="G476" t="n">
        <v>4.5</v>
      </c>
      <c r="H476" t="n">
        <v>0</v>
      </c>
      <c r="I476" t="n">
        <v>0</v>
      </c>
      <c r="J476" t="n">
        <v>0</v>
      </c>
      <c r="K476" t="n">
        <v>0</v>
      </c>
      <c r="L476" t="n">
        <v>0</v>
      </c>
      <c r="M476" t="n">
        <v>0</v>
      </c>
      <c r="N476" t="n">
        <v>0</v>
      </c>
      <c r="O476" t="n">
        <v>0</v>
      </c>
      <c r="P476" t="n">
        <v>0</v>
      </c>
      <c r="Q476" t="n">
        <v>0</v>
      </c>
      <c r="R476" s="2" t="inlineStr"/>
    </row>
    <row r="477" ht="15" customHeight="1">
      <c r="A477" t="inlineStr">
        <is>
          <t>A 49650-2025</t>
        </is>
      </c>
      <c r="B477" s="1" t="n">
        <v>45938</v>
      </c>
      <c r="C477" s="1" t="n">
        <v>45992</v>
      </c>
      <c r="D477" t="inlineStr">
        <is>
          <t>ÖSTERGÖTLANDS LÄN</t>
        </is>
      </c>
      <c r="E477" t="inlineStr">
        <is>
          <t>LINKÖPING</t>
        </is>
      </c>
      <c r="F477" t="inlineStr">
        <is>
          <t>Övriga Aktiebolag</t>
        </is>
      </c>
      <c r="G477" t="n">
        <v>1.5</v>
      </c>
      <c r="H477" t="n">
        <v>0</v>
      </c>
      <c r="I477" t="n">
        <v>0</v>
      </c>
      <c r="J477" t="n">
        <v>0</v>
      </c>
      <c r="K477" t="n">
        <v>0</v>
      </c>
      <c r="L477" t="n">
        <v>0</v>
      </c>
      <c r="M477" t="n">
        <v>0</v>
      </c>
      <c r="N477" t="n">
        <v>0</v>
      </c>
      <c r="O477" t="n">
        <v>0</v>
      </c>
      <c r="P477" t="n">
        <v>0</v>
      </c>
      <c r="Q477" t="n">
        <v>0</v>
      </c>
      <c r="R477" s="2" t="inlineStr"/>
    </row>
    <row r="478" ht="15" customHeight="1">
      <c r="A478" t="inlineStr">
        <is>
          <t>A 49633-2025</t>
        </is>
      </c>
      <c r="B478" s="1" t="n">
        <v>45938</v>
      </c>
      <c r="C478" s="1" t="n">
        <v>45992</v>
      </c>
      <c r="D478" t="inlineStr">
        <is>
          <t>ÖSTERGÖTLANDS LÄN</t>
        </is>
      </c>
      <c r="E478" t="inlineStr">
        <is>
          <t>LINKÖPING</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52807-2025</t>
        </is>
      </c>
      <c r="B479" s="1" t="n">
        <v>45957.44837962963</v>
      </c>
      <c r="C479" s="1" t="n">
        <v>45992</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7702-2023</t>
        </is>
      </c>
      <c r="B480" s="1" t="n">
        <v>44967</v>
      </c>
      <c r="C480" s="1" t="n">
        <v>45992</v>
      </c>
      <c r="D480" t="inlineStr">
        <is>
          <t>ÖSTERGÖTLANDS LÄN</t>
        </is>
      </c>
      <c r="E480" t="inlineStr">
        <is>
          <t>LINKÖPING</t>
        </is>
      </c>
      <c r="F480" t="inlineStr">
        <is>
          <t>Övriga statliga verk och myndigheter</t>
        </is>
      </c>
      <c r="G480" t="n">
        <v>8</v>
      </c>
      <c r="H480" t="n">
        <v>0</v>
      </c>
      <c r="I480" t="n">
        <v>0</v>
      </c>
      <c r="J480" t="n">
        <v>0</v>
      </c>
      <c r="K480" t="n">
        <v>0</v>
      </c>
      <c r="L480" t="n">
        <v>0</v>
      </c>
      <c r="M480" t="n">
        <v>0</v>
      </c>
      <c r="N480" t="n">
        <v>0</v>
      </c>
      <c r="O480" t="n">
        <v>0</v>
      </c>
      <c r="P480" t="n">
        <v>0</v>
      </c>
      <c r="Q480" t="n">
        <v>0</v>
      </c>
      <c r="R480" s="2" t="inlineStr"/>
    </row>
    <row r="481" ht="15" customHeight="1">
      <c r="A481" t="inlineStr">
        <is>
          <t>A 40983-2025</t>
        </is>
      </c>
      <c r="B481" s="1" t="n">
        <v>45898</v>
      </c>
      <c r="C481" s="1" t="n">
        <v>45992</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42000-2023</t>
        </is>
      </c>
      <c r="B482" s="1" t="n">
        <v>45177</v>
      </c>
      <c r="C482" s="1" t="n">
        <v>45992</v>
      </c>
      <c r="D482" t="inlineStr">
        <is>
          <t>ÖSTERGÖTLANDS LÄN</t>
        </is>
      </c>
      <c r="E482" t="inlineStr">
        <is>
          <t>LINKÖPING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31534-2023</t>
        </is>
      </c>
      <c r="B483" s="1" t="n">
        <v>45116</v>
      </c>
      <c r="C483" s="1" t="n">
        <v>45992</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35427-2023</t>
        </is>
      </c>
      <c r="B484" s="1" t="n">
        <v>45146</v>
      </c>
      <c r="C484" s="1" t="n">
        <v>45992</v>
      </c>
      <c r="D484" t="inlineStr">
        <is>
          <t>ÖSTERGÖTLANDS LÄN</t>
        </is>
      </c>
      <c r="E484" t="inlineStr">
        <is>
          <t>LINKÖPING</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36725-2023</t>
        </is>
      </c>
      <c r="B485" s="1" t="n">
        <v>45153.68471064815</v>
      </c>
      <c r="C485" s="1" t="n">
        <v>45992</v>
      </c>
      <c r="D485" t="inlineStr">
        <is>
          <t>ÖSTERGÖTLANDS LÄN</t>
        </is>
      </c>
      <c r="E485" t="inlineStr">
        <is>
          <t>LINKÖPING</t>
        </is>
      </c>
      <c r="F485" t="inlineStr">
        <is>
          <t>Allmännings- och besparingsskogar</t>
        </is>
      </c>
      <c r="G485" t="n">
        <v>2.6</v>
      </c>
      <c r="H485" t="n">
        <v>0</v>
      </c>
      <c r="I485" t="n">
        <v>0</v>
      </c>
      <c r="J485" t="n">
        <v>0</v>
      </c>
      <c r="K485" t="n">
        <v>0</v>
      </c>
      <c r="L485" t="n">
        <v>0</v>
      </c>
      <c r="M485" t="n">
        <v>0</v>
      </c>
      <c r="N485" t="n">
        <v>0</v>
      </c>
      <c r="O485" t="n">
        <v>0</v>
      </c>
      <c r="P485" t="n">
        <v>0</v>
      </c>
      <c r="Q485" t="n">
        <v>0</v>
      </c>
      <c r="R485" s="2" t="inlineStr"/>
    </row>
    <row r="486" ht="15" customHeight="1">
      <c r="A486" t="inlineStr">
        <is>
          <t>A 50056-2025</t>
        </is>
      </c>
      <c r="B486" s="1" t="n">
        <v>45941</v>
      </c>
      <c r="C486" s="1" t="n">
        <v>45992</v>
      </c>
      <c r="D486" t="inlineStr">
        <is>
          <t>ÖSTERGÖTLANDS LÄN</t>
        </is>
      </c>
      <c r="E486" t="inlineStr">
        <is>
          <t>LINKÖPING</t>
        </is>
      </c>
      <c r="G486" t="n">
        <v>0.3</v>
      </c>
      <c r="H486" t="n">
        <v>0</v>
      </c>
      <c r="I486" t="n">
        <v>0</v>
      </c>
      <c r="J486" t="n">
        <v>0</v>
      </c>
      <c r="K486" t="n">
        <v>0</v>
      </c>
      <c r="L486" t="n">
        <v>0</v>
      </c>
      <c r="M486" t="n">
        <v>0</v>
      </c>
      <c r="N486" t="n">
        <v>0</v>
      </c>
      <c r="O486" t="n">
        <v>0</v>
      </c>
      <c r="P486" t="n">
        <v>0</v>
      </c>
      <c r="Q486" t="n">
        <v>0</v>
      </c>
      <c r="R486" s="2" t="inlineStr"/>
    </row>
    <row r="487" ht="15" customHeight="1">
      <c r="A487" t="inlineStr">
        <is>
          <t>A 53639-2023</t>
        </is>
      </c>
      <c r="B487" s="1" t="n">
        <v>45230.59686342593</v>
      </c>
      <c r="C487" s="1" t="n">
        <v>45992</v>
      </c>
      <c r="D487" t="inlineStr">
        <is>
          <t>ÖSTERGÖTLANDS LÄN</t>
        </is>
      </c>
      <c r="E487" t="inlineStr">
        <is>
          <t>LINKÖPING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1657-2024</t>
        </is>
      </c>
      <c r="B488" s="1" t="n">
        <v>45306.82501157407</v>
      </c>
      <c r="C488" s="1" t="n">
        <v>45992</v>
      </c>
      <c r="D488" t="inlineStr">
        <is>
          <t>ÖSTERGÖTLANDS LÄN</t>
        </is>
      </c>
      <c r="E488" t="inlineStr">
        <is>
          <t>LINKÖPING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50784-2022</t>
        </is>
      </c>
      <c r="B489" s="1" t="n">
        <v>44862</v>
      </c>
      <c r="C489" s="1" t="n">
        <v>45992</v>
      </c>
      <c r="D489" t="inlineStr">
        <is>
          <t>ÖSTERGÖTLANDS LÄN</t>
        </is>
      </c>
      <c r="E489" t="inlineStr">
        <is>
          <t>LINKÖPING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26803-2024</t>
        </is>
      </c>
      <c r="B490" s="1" t="n">
        <v>45470</v>
      </c>
      <c r="C490" s="1" t="n">
        <v>45992</v>
      </c>
      <c r="D490" t="inlineStr">
        <is>
          <t>ÖSTERGÖTLANDS LÄN</t>
        </is>
      </c>
      <c r="E490" t="inlineStr">
        <is>
          <t>LINKÖPING</t>
        </is>
      </c>
      <c r="F490" t="inlineStr">
        <is>
          <t>Allmännings- och besparingsskogar</t>
        </is>
      </c>
      <c r="G490" t="n">
        <v>4.5</v>
      </c>
      <c r="H490" t="n">
        <v>0</v>
      </c>
      <c r="I490" t="n">
        <v>0</v>
      </c>
      <c r="J490" t="n">
        <v>0</v>
      </c>
      <c r="K490" t="n">
        <v>0</v>
      </c>
      <c r="L490" t="n">
        <v>0</v>
      </c>
      <c r="M490" t="n">
        <v>0</v>
      </c>
      <c r="N490" t="n">
        <v>0</v>
      </c>
      <c r="O490" t="n">
        <v>0</v>
      </c>
      <c r="P490" t="n">
        <v>0</v>
      </c>
      <c r="Q490" t="n">
        <v>0</v>
      </c>
      <c r="R490" s="2" t="inlineStr"/>
    </row>
    <row r="491" ht="15" customHeight="1">
      <c r="A491" t="inlineStr">
        <is>
          <t>A 55004-2025</t>
        </is>
      </c>
      <c r="B491" s="1" t="n">
        <v>45967</v>
      </c>
      <c r="C491" s="1" t="n">
        <v>45992</v>
      </c>
      <c r="D491" t="inlineStr">
        <is>
          <t>ÖSTERGÖTLANDS LÄN</t>
        </is>
      </c>
      <c r="E491" t="inlineStr">
        <is>
          <t>LINKÖPING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50667-2025</t>
        </is>
      </c>
      <c r="B492" s="1" t="n">
        <v>45945</v>
      </c>
      <c r="C492" s="1" t="n">
        <v>45992</v>
      </c>
      <c r="D492" t="inlineStr">
        <is>
          <t>ÖSTERGÖTLANDS LÄN</t>
        </is>
      </c>
      <c r="E492" t="inlineStr">
        <is>
          <t>LINKÖPING</t>
        </is>
      </c>
      <c r="G492" t="n">
        <v>3.3</v>
      </c>
      <c r="H492" t="n">
        <v>0</v>
      </c>
      <c r="I492" t="n">
        <v>0</v>
      </c>
      <c r="J492" t="n">
        <v>0</v>
      </c>
      <c r="K492" t="n">
        <v>0</v>
      </c>
      <c r="L492" t="n">
        <v>0</v>
      </c>
      <c r="M492" t="n">
        <v>0</v>
      </c>
      <c r="N492" t="n">
        <v>0</v>
      </c>
      <c r="O492" t="n">
        <v>0</v>
      </c>
      <c r="P492" t="n">
        <v>0</v>
      </c>
      <c r="Q492" t="n">
        <v>0</v>
      </c>
      <c r="R492" s="2" t="inlineStr"/>
    </row>
    <row r="493" ht="15" customHeight="1">
      <c r="A493" t="inlineStr">
        <is>
          <t>A 19187-2021</t>
        </is>
      </c>
      <c r="B493" s="1" t="n">
        <v>44308</v>
      </c>
      <c r="C493" s="1" t="n">
        <v>45992</v>
      </c>
      <c r="D493" t="inlineStr">
        <is>
          <t>ÖSTERGÖTLANDS LÄN</t>
        </is>
      </c>
      <c r="E493" t="inlineStr">
        <is>
          <t>LINKÖPING</t>
        </is>
      </c>
      <c r="F493" t="inlineStr">
        <is>
          <t>Allmännings- och besparingsskogar</t>
        </is>
      </c>
      <c r="G493" t="n">
        <v>20</v>
      </c>
      <c r="H493" t="n">
        <v>0</v>
      </c>
      <c r="I493" t="n">
        <v>0</v>
      </c>
      <c r="J493" t="n">
        <v>0</v>
      </c>
      <c r="K493" t="n">
        <v>0</v>
      </c>
      <c r="L493" t="n">
        <v>0</v>
      </c>
      <c r="M493" t="n">
        <v>0</v>
      </c>
      <c r="N493" t="n">
        <v>0</v>
      </c>
      <c r="O493" t="n">
        <v>0</v>
      </c>
      <c r="P493" t="n">
        <v>0</v>
      </c>
      <c r="Q493" t="n">
        <v>0</v>
      </c>
      <c r="R493" s="2" t="inlineStr"/>
    </row>
    <row r="494" ht="15" customHeight="1">
      <c r="A494" t="inlineStr">
        <is>
          <t>A 60472-2022</t>
        </is>
      </c>
      <c r="B494" s="1" t="n">
        <v>44911.41037037037</v>
      </c>
      <c r="C494" s="1" t="n">
        <v>45992</v>
      </c>
      <c r="D494" t="inlineStr">
        <is>
          <t>ÖSTERGÖTLANDS LÄN</t>
        </is>
      </c>
      <c r="E494" t="inlineStr">
        <is>
          <t>LINKÖPING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43934-2023</t>
        </is>
      </c>
      <c r="B495" s="1" t="n">
        <v>45187</v>
      </c>
      <c r="C495" s="1" t="n">
        <v>45992</v>
      </c>
      <c r="D495" t="inlineStr">
        <is>
          <t>ÖSTERGÖTLANDS LÄN</t>
        </is>
      </c>
      <c r="E495" t="inlineStr">
        <is>
          <t>LINKÖPING</t>
        </is>
      </c>
      <c r="F495" t="inlineStr">
        <is>
          <t>Övriga Aktiebolag</t>
        </is>
      </c>
      <c r="G495" t="n">
        <v>3.8</v>
      </c>
      <c r="H495" t="n">
        <v>0</v>
      </c>
      <c r="I495" t="n">
        <v>0</v>
      </c>
      <c r="J495" t="n">
        <v>0</v>
      </c>
      <c r="K495" t="n">
        <v>0</v>
      </c>
      <c r="L495" t="n">
        <v>0</v>
      </c>
      <c r="M495" t="n">
        <v>0</v>
      </c>
      <c r="N495" t="n">
        <v>0</v>
      </c>
      <c r="O495" t="n">
        <v>0</v>
      </c>
      <c r="P495" t="n">
        <v>0</v>
      </c>
      <c r="Q495" t="n">
        <v>0</v>
      </c>
      <c r="R495" s="2" t="inlineStr"/>
    </row>
    <row r="496" ht="15" customHeight="1">
      <c r="A496" t="inlineStr">
        <is>
          <t>A 22774-2024</t>
        </is>
      </c>
      <c r="B496" s="1" t="n">
        <v>45448.46924768519</v>
      </c>
      <c r="C496" s="1" t="n">
        <v>45992</v>
      </c>
      <c r="D496" t="inlineStr">
        <is>
          <t>ÖSTERGÖTLANDS LÄN</t>
        </is>
      </c>
      <c r="E496" t="inlineStr">
        <is>
          <t>LINKÖPING</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22778-2024</t>
        </is>
      </c>
      <c r="B497" s="1" t="n">
        <v>45448.47233796296</v>
      </c>
      <c r="C497" s="1" t="n">
        <v>45992</v>
      </c>
      <c r="D497" t="inlineStr">
        <is>
          <t>ÖSTERGÖTLANDS LÄN</t>
        </is>
      </c>
      <c r="E497" t="inlineStr">
        <is>
          <t>LINKÖPING</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1209-2023</t>
        </is>
      </c>
      <c r="B498" s="1" t="n">
        <v>44930</v>
      </c>
      <c r="C498" s="1" t="n">
        <v>45992</v>
      </c>
      <c r="D498" t="inlineStr">
        <is>
          <t>ÖSTERGÖTLANDS LÄN</t>
        </is>
      </c>
      <c r="E498" t="inlineStr">
        <is>
          <t>LINKÖPING</t>
        </is>
      </c>
      <c r="F498" t="inlineStr">
        <is>
          <t>Övriga statliga verk och myndigheter</t>
        </is>
      </c>
      <c r="G498" t="n">
        <v>25.8</v>
      </c>
      <c r="H498" t="n">
        <v>0</v>
      </c>
      <c r="I498" t="n">
        <v>0</v>
      </c>
      <c r="J498" t="n">
        <v>0</v>
      </c>
      <c r="K498" t="n">
        <v>0</v>
      </c>
      <c r="L498" t="n">
        <v>0</v>
      </c>
      <c r="M498" t="n">
        <v>0</v>
      </c>
      <c r="N498" t="n">
        <v>0</v>
      </c>
      <c r="O498" t="n">
        <v>0</v>
      </c>
      <c r="P498" t="n">
        <v>0</v>
      </c>
      <c r="Q498" t="n">
        <v>0</v>
      </c>
      <c r="R498" s="2" t="inlineStr"/>
    </row>
    <row r="499" ht="15" customHeight="1">
      <c r="A499" t="inlineStr">
        <is>
          <t>A 58802-2025</t>
        </is>
      </c>
      <c r="B499" s="1" t="n">
        <v>45986.8768287037</v>
      </c>
      <c r="C499" s="1" t="n">
        <v>45992</v>
      </c>
      <c r="D499" t="inlineStr">
        <is>
          <t>ÖSTERGÖTLANDS LÄN</t>
        </is>
      </c>
      <c r="E499" t="inlineStr">
        <is>
          <t>LINKÖPING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10407-2025</t>
        </is>
      </c>
      <c r="B500" s="1" t="n">
        <v>45720.62863425926</v>
      </c>
      <c r="C500" s="1" t="n">
        <v>45992</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11590-2023</t>
        </is>
      </c>
      <c r="B501" s="1" t="n">
        <v>44994.36689814815</v>
      </c>
      <c r="C501" s="1" t="n">
        <v>45992</v>
      </c>
      <c r="D501" t="inlineStr">
        <is>
          <t>ÖSTERGÖTLANDS LÄN</t>
        </is>
      </c>
      <c r="E501" t="inlineStr">
        <is>
          <t>LINKÖPING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19169-2023</t>
        </is>
      </c>
      <c r="B502" s="1" t="n">
        <v>45044</v>
      </c>
      <c r="C502" s="1" t="n">
        <v>45992</v>
      </c>
      <c r="D502" t="inlineStr">
        <is>
          <t>ÖSTERGÖTLANDS LÄN</t>
        </is>
      </c>
      <c r="E502" t="inlineStr">
        <is>
          <t>LINKÖPING</t>
        </is>
      </c>
      <c r="G502" t="n">
        <v>2.7</v>
      </c>
      <c r="H502" t="n">
        <v>0</v>
      </c>
      <c r="I502" t="n">
        <v>0</v>
      </c>
      <c r="J502" t="n">
        <v>0</v>
      </c>
      <c r="K502" t="n">
        <v>0</v>
      </c>
      <c r="L502" t="n">
        <v>0</v>
      </c>
      <c r="M502" t="n">
        <v>0</v>
      </c>
      <c r="N502" t="n">
        <v>0</v>
      </c>
      <c r="O502" t="n">
        <v>0</v>
      </c>
      <c r="P502" t="n">
        <v>0</v>
      </c>
      <c r="Q502" t="n">
        <v>0</v>
      </c>
      <c r="R502" s="2" t="inlineStr"/>
    </row>
    <row r="503" ht="15" customHeight="1">
      <c r="A503" t="inlineStr">
        <is>
          <t>A 672-2024</t>
        </is>
      </c>
      <c r="B503" s="1" t="n">
        <v>45300</v>
      </c>
      <c r="C503" s="1" t="n">
        <v>45992</v>
      </c>
      <c r="D503" t="inlineStr">
        <is>
          <t>ÖSTERGÖTLANDS LÄN</t>
        </is>
      </c>
      <c r="E503" t="inlineStr">
        <is>
          <t>LINKÖPING</t>
        </is>
      </c>
      <c r="F503" t="inlineStr">
        <is>
          <t>Sveaskog</t>
        </is>
      </c>
      <c r="G503" t="n">
        <v>4.5</v>
      </c>
      <c r="H503" t="n">
        <v>0</v>
      </c>
      <c r="I503" t="n">
        <v>0</v>
      </c>
      <c r="J503" t="n">
        <v>0</v>
      </c>
      <c r="K503" t="n">
        <v>0</v>
      </c>
      <c r="L503" t="n">
        <v>0</v>
      </c>
      <c r="M503" t="n">
        <v>0</v>
      </c>
      <c r="N503" t="n">
        <v>0</v>
      </c>
      <c r="O503" t="n">
        <v>0</v>
      </c>
      <c r="P503" t="n">
        <v>0</v>
      </c>
      <c r="Q503" t="n">
        <v>0</v>
      </c>
      <c r="R503" s="2" t="inlineStr"/>
    </row>
    <row r="504" ht="15" customHeight="1">
      <c r="A504" t="inlineStr">
        <is>
          <t>A 55493-2021</t>
        </is>
      </c>
      <c r="B504" s="1" t="n">
        <v>44475.61988425926</v>
      </c>
      <c r="C504" s="1" t="n">
        <v>45992</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14093-2024</t>
        </is>
      </c>
      <c r="B505" s="1" t="n">
        <v>45392.60278935185</v>
      </c>
      <c r="C505" s="1" t="n">
        <v>45992</v>
      </c>
      <c r="D505" t="inlineStr">
        <is>
          <t>ÖSTERGÖTLANDS LÄN</t>
        </is>
      </c>
      <c r="E505" t="inlineStr">
        <is>
          <t>LINKÖPING</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62019-2024</t>
        </is>
      </c>
      <c r="B506" s="1" t="n">
        <v>45655.82</v>
      </c>
      <c r="C506" s="1" t="n">
        <v>45992</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59472-2025</t>
        </is>
      </c>
      <c r="B507" s="1" t="n">
        <v>45989.58321759259</v>
      </c>
      <c r="C507" s="1" t="n">
        <v>45992</v>
      </c>
      <c r="D507" t="inlineStr">
        <is>
          <t>ÖSTERGÖTLANDS LÄN</t>
        </is>
      </c>
      <c r="E507" t="inlineStr">
        <is>
          <t>LINKÖPING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25119-2023</t>
        </is>
      </c>
      <c r="B508" s="1" t="n">
        <v>45086.42326388889</v>
      </c>
      <c r="C508" s="1" t="n">
        <v>45992</v>
      </c>
      <c r="D508" t="inlineStr">
        <is>
          <t>ÖSTERGÖTLANDS LÄN</t>
        </is>
      </c>
      <c r="E508" t="inlineStr">
        <is>
          <t>LINKÖPING</t>
        </is>
      </c>
      <c r="G508" t="n">
        <v>3.2</v>
      </c>
      <c r="H508" t="n">
        <v>0</v>
      </c>
      <c r="I508" t="n">
        <v>0</v>
      </c>
      <c r="J508" t="n">
        <v>0</v>
      </c>
      <c r="K508" t="n">
        <v>0</v>
      </c>
      <c r="L508" t="n">
        <v>0</v>
      </c>
      <c r="M508" t="n">
        <v>0</v>
      </c>
      <c r="N508" t="n">
        <v>0</v>
      </c>
      <c r="O508" t="n">
        <v>0</v>
      </c>
      <c r="P508" t="n">
        <v>0</v>
      </c>
      <c r="Q508" t="n">
        <v>0</v>
      </c>
      <c r="R508" s="2" t="inlineStr"/>
    </row>
    <row r="509" ht="15" customHeight="1">
      <c r="A509" t="inlineStr">
        <is>
          <t>A 59205-2025</t>
        </is>
      </c>
      <c r="B509" s="1" t="n">
        <v>45988.60721064815</v>
      </c>
      <c r="C509" s="1" t="n">
        <v>45992</v>
      </c>
      <c r="D509" t="inlineStr">
        <is>
          <t>ÖSTERGÖTLANDS LÄN</t>
        </is>
      </c>
      <c r="E509" t="inlineStr">
        <is>
          <t>LINKÖPING</t>
        </is>
      </c>
      <c r="F509" t="inlineStr">
        <is>
          <t>Sveaskog</t>
        </is>
      </c>
      <c r="G509" t="n">
        <v>11.3</v>
      </c>
      <c r="H509" t="n">
        <v>0</v>
      </c>
      <c r="I509" t="n">
        <v>0</v>
      </c>
      <c r="J509" t="n">
        <v>0</v>
      </c>
      <c r="K509" t="n">
        <v>0</v>
      </c>
      <c r="L509" t="n">
        <v>0</v>
      </c>
      <c r="M509" t="n">
        <v>0</v>
      </c>
      <c r="N509" t="n">
        <v>0</v>
      </c>
      <c r="O509" t="n">
        <v>0</v>
      </c>
      <c r="P509" t="n">
        <v>0</v>
      </c>
      <c r="Q509" t="n">
        <v>0</v>
      </c>
      <c r="R509" s="2" t="inlineStr"/>
    </row>
    <row r="510" ht="15" customHeight="1">
      <c r="A510" t="inlineStr">
        <is>
          <t>A 57396-2021</t>
        </is>
      </c>
      <c r="B510" s="1" t="n">
        <v>44483.56151620371</v>
      </c>
      <c r="C510" s="1" t="n">
        <v>45992</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51571-2024</t>
        </is>
      </c>
      <c r="B511" s="1" t="n">
        <v>45604</v>
      </c>
      <c r="C511" s="1" t="n">
        <v>45992</v>
      </c>
      <c r="D511" t="inlineStr">
        <is>
          <t>ÖSTERGÖTLANDS LÄN</t>
        </is>
      </c>
      <c r="E511" t="inlineStr">
        <is>
          <t>LINKÖPING</t>
        </is>
      </c>
      <c r="F511" t="inlineStr">
        <is>
          <t>Övriga Aktiebolag</t>
        </is>
      </c>
      <c r="G511" t="n">
        <v>1.4</v>
      </c>
      <c r="H511" t="n">
        <v>0</v>
      </c>
      <c r="I511" t="n">
        <v>0</v>
      </c>
      <c r="J511" t="n">
        <v>0</v>
      </c>
      <c r="K511" t="n">
        <v>0</v>
      </c>
      <c r="L511" t="n">
        <v>0</v>
      </c>
      <c r="M511" t="n">
        <v>0</v>
      </c>
      <c r="N511" t="n">
        <v>0</v>
      </c>
      <c r="O511" t="n">
        <v>0</v>
      </c>
      <c r="P511" t="n">
        <v>0</v>
      </c>
      <c r="Q511" t="n">
        <v>0</v>
      </c>
      <c r="R511" s="2" t="inlineStr"/>
    </row>
    <row r="512" ht="15" customHeight="1">
      <c r="A512" t="inlineStr">
        <is>
          <t>A 17143-2025</t>
        </is>
      </c>
      <c r="B512" s="1" t="n">
        <v>45755.92731481481</v>
      </c>
      <c r="C512" s="1" t="n">
        <v>45992</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17124-2025</t>
        </is>
      </c>
      <c r="B513" s="1" t="n">
        <v>45755.69678240741</v>
      </c>
      <c r="C513" s="1" t="n">
        <v>45992</v>
      </c>
      <c r="D513" t="inlineStr">
        <is>
          <t>ÖSTERGÖTLANDS LÄN</t>
        </is>
      </c>
      <c r="E513" t="inlineStr">
        <is>
          <t>LINKÖPING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17126-2025</t>
        </is>
      </c>
      <c r="B514" s="1" t="n">
        <v>45755.70814814815</v>
      </c>
      <c r="C514" s="1" t="n">
        <v>45992</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10253-2022</t>
        </is>
      </c>
      <c r="B515" s="1" t="n">
        <v>44622</v>
      </c>
      <c r="C515" s="1" t="n">
        <v>45992</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31640-2023</t>
        </is>
      </c>
      <c r="B516" s="1" t="n">
        <v>45117</v>
      </c>
      <c r="C516" s="1" t="n">
        <v>45992</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11790-2024</t>
        </is>
      </c>
      <c r="B517" s="1" t="n">
        <v>45374</v>
      </c>
      <c r="C517" s="1" t="n">
        <v>45992</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61281-2021</t>
        </is>
      </c>
      <c r="B518" s="1" t="n">
        <v>44498.60736111111</v>
      </c>
      <c r="C518" s="1" t="n">
        <v>45992</v>
      </c>
      <c r="D518" t="inlineStr">
        <is>
          <t>ÖSTERGÖTLANDS LÄN</t>
        </is>
      </c>
      <c r="E518" t="inlineStr">
        <is>
          <t>LINKÖPING</t>
        </is>
      </c>
      <c r="G518" t="n">
        <v>4.5</v>
      </c>
      <c r="H518" t="n">
        <v>0</v>
      </c>
      <c r="I518" t="n">
        <v>0</v>
      </c>
      <c r="J518" t="n">
        <v>0</v>
      </c>
      <c r="K518" t="n">
        <v>0</v>
      </c>
      <c r="L518" t="n">
        <v>0</v>
      </c>
      <c r="M518" t="n">
        <v>0</v>
      </c>
      <c r="N518" t="n">
        <v>0</v>
      </c>
      <c r="O518" t="n">
        <v>0</v>
      </c>
      <c r="P518" t="n">
        <v>0</v>
      </c>
      <c r="Q518" t="n">
        <v>0</v>
      </c>
      <c r="R518" s="2" t="inlineStr"/>
    </row>
    <row r="519" ht="15" customHeight="1">
      <c r="A519" t="inlineStr">
        <is>
          <t>A 6206-2024</t>
        </is>
      </c>
      <c r="B519" s="1" t="n">
        <v>45337.5977662037</v>
      </c>
      <c r="C519" s="1" t="n">
        <v>45992</v>
      </c>
      <c r="D519" t="inlineStr">
        <is>
          <t>ÖSTERGÖTLANDS LÄN</t>
        </is>
      </c>
      <c r="E519" t="inlineStr">
        <is>
          <t>LINKÖPING</t>
        </is>
      </c>
      <c r="G519" t="n">
        <v>2</v>
      </c>
      <c r="H519" t="n">
        <v>0</v>
      </c>
      <c r="I519" t="n">
        <v>0</v>
      </c>
      <c r="J519" t="n">
        <v>0</v>
      </c>
      <c r="K519" t="n">
        <v>0</v>
      </c>
      <c r="L519" t="n">
        <v>0</v>
      </c>
      <c r="M519" t="n">
        <v>0</v>
      </c>
      <c r="N519" t="n">
        <v>0</v>
      </c>
      <c r="O519" t="n">
        <v>0</v>
      </c>
      <c r="P519" t="n">
        <v>0</v>
      </c>
      <c r="Q519" t="n">
        <v>0</v>
      </c>
      <c r="R519" s="2" t="inlineStr"/>
    </row>
    <row r="520" ht="15" customHeight="1">
      <c r="A520" t="inlineStr">
        <is>
          <t>A 168-2024</t>
        </is>
      </c>
      <c r="B520" s="1" t="n">
        <v>45294</v>
      </c>
      <c r="C520" s="1" t="n">
        <v>45992</v>
      </c>
      <c r="D520" t="inlineStr">
        <is>
          <t>ÖSTERGÖTLANDS LÄN</t>
        </is>
      </c>
      <c r="E520" t="inlineStr">
        <is>
          <t>LINKÖPING</t>
        </is>
      </c>
      <c r="F520" t="inlineStr">
        <is>
          <t>Allmännings- och besparingsskogar</t>
        </is>
      </c>
      <c r="G520" t="n">
        <v>8.9</v>
      </c>
      <c r="H520" t="n">
        <v>0</v>
      </c>
      <c r="I520" t="n">
        <v>0</v>
      </c>
      <c r="J520" t="n">
        <v>0</v>
      </c>
      <c r="K520" t="n">
        <v>0</v>
      </c>
      <c r="L520" t="n">
        <v>0</v>
      </c>
      <c r="M520" t="n">
        <v>0</v>
      </c>
      <c r="N520" t="n">
        <v>0</v>
      </c>
      <c r="O520" t="n">
        <v>0</v>
      </c>
      <c r="P520" t="n">
        <v>0</v>
      </c>
      <c r="Q520" t="n">
        <v>0</v>
      </c>
      <c r="R520" s="2" t="inlineStr"/>
    </row>
    <row r="521" ht="15" customHeight="1">
      <c r="A521" t="inlineStr">
        <is>
          <t>A 51919-2024</t>
        </is>
      </c>
      <c r="B521" s="1" t="n">
        <v>45607.60791666667</v>
      </c>
      <c r="C521" s="1" t="n">
        <v>45992</v>
      </c>
      <c r="D521" t="inlineStr">
        <is>
          <t>ÖSTERGÖTLANDS LÄN</t>
        </is>
      </c>
      <c r="E521" t="inlineStr">
        <is>
          <t>LINKÖPING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56623-2024</t>
        </is>
      </c>
      <c r="B522" s="1" t="n">
        <v>45625</v>
      </c>
      <c r="C522" s="1" t="n">
        <v>45992</v>
      </c>
      <c r="D522" t="inlineStr">
        <is>
          <t>ÖSTERGÖTLANDS LÄN</t>
        </is>
      </c>
      <c r="E522" t="inlineStr">
        <is>
          <t>LINKÖPING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11330-2023</t>
        </is>
      </c>
      <c r="B523" s="1" t="n">
        <v>44993.24648148148</v>
      </c>
      <c r="C523" s="1" t="n">
        <v>45992</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63304-2021</t>
        </is>
      </c>
      <c r="B524" s="1" t="n">
        <v>44508.4396412037</v>
      </c>
      <c r="C524" s="1" t="n">
        <v>45992</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14528-2025</t>
        </is>
      </c>
      <c r="B525" s="1" t="n">
        <v>45741</v>
      </c>
      <c r="C525" s="1" t="n">
        <v>45992</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3530-2024</t>
        </is>
      </c>
      <c r="B526" s="1" t="n">
        <v>45320.54717592592</v>
      </c>
      <c r="C526" s="1" t="n">
        <v>45992</v>
      </c>
      <c r="D526" t="inlineStr">
        <is>
          <t>ÖSTERGÖTLANDS LÄN</t>
        </is>
      </c>
      <c r="E526" t="inlineStr">
        <is>
          <t>LINKÖPING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62073-2023</t>
        </is>
      </c>
      <c r="B527" s="1" t="n">
        <v>45266.73844907407</v>
      </c>
      <c r="C527" s="1" t="n">
        <v>45992</v>
      </c>
      <c r="D527" t="inlineStr">
        <is>
          <t>ÖSTERGÖTLANDS LÄN</t>
        </is>
      </c>
      <c r="E527" t="inlineStr">
        <is>
          <t>LINKÖPING</t>
        </is>
      </c>
      <c r="F527" t="inlineStr">
        <is>
          <t>Allmännings- och besparingsskogar</t>
        </is>
      </c>
      <c r="G527" t="n">
        <v>1.8</v>
      </c>
      <c r="H527" t="n">
        <v>0</v>
      </c>
      <c r="I527" t="n">
        <v>0</v>
      </c>
      <c r="J527" t="n">
        <v>0</v>
      </c>
      <c r="K527" t="n">
        <v>0</v>
      </c>
      <c r="L527" t="n">
        <v>0</v>
      </c>
      <c r="M527" t="n">
        <v>0</v>
      </c>
      <c r="N527" t="n">
        <v>0</v>
      </c>
      <c r="O527" t="n">
        <v>0</v>
      </c>
      <c r="P527" t="n">
        <v>0</v>
      </c>
      <c r="Q527" t="n">
        <v>0</v>
      </c>
      <c r="R527" s="2" t="inlineStr"/>
    </row>
    <row r="528" ht="15" customHeight="1">
      <c r="A528" t="inlineStr">
        <is>
          <t>A 5872-2025</t>
        </is>
      </c>
      <c r="B528" s="1" t="n">
        <v>45695.36659722222</v>
      </c>
      <c r="C528" s="1" t="n">
        <v>45992</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53814-2023</t>
        </is>
      </c>
      <c r="B529" s="1" t="n">
        <v>45231</v>
      </c>
      <c r="C529" s="1" t="n">
        <v>45992</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3432-2023</t>
        </is>
      </c>
      <c r="B530" s="1" t="n">
        <v>44949</v>
      </c>
      <c r="C530" s="1" t="n">
        <v>45992</v>
      </c>
      <c r="D530" t="inlineStr">
        <is>
          <t>ÖSTERGÖTLANDS LÄN</t>
        </is>
      </c>
      <c r="E530" t="inlineStr">
        <is>
          <t>LINKÖPING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54425-2022</t>
        </is>
      </c>
      <c r="B531" s="1" t="n">
        <v>44882.57453703704</v>
      </c>
      <c r="C531" s="1" t="n">
        <v>45992</v>
      </c>
      <c r="D531" t="inlineStr">
        <is>
          <t>ÖSTERGÖTLANDS LÄN</t>
        </is>
      </c>
      <c r="E531" t="inlineStr">
        <is>
          <t>LINKÖPING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54428-2022</t>
        </is>
      </c>
      <c r="B532" s="1" t="n">
        <v>44882.57643518518</v>
      </c>
      <c r="C532" s="1" t="n">
        <v>45992</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660-2023</t>
        </is>
      </c>
      <c r="B533" s="1" t="n">
        <v>44930</v>
      </c>
      <c r="C533" s="1" t="n">
        <v>45992</v>
      </c>
      <c r="D533" t="inlineStr">
        <is>
          <t>ÖSTERGÖTLANDS LÄN</t>
        </is>
      </c>
      <c r="E533" t="inlineStr">
        <is>
          <t>LINKÖPING</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62501-2023</t>
        </is>
      </c>
      <c r="B534" s="1" t="n">
        <v>45268</v>
      </c>
      <c r="C534" s="1" t="n">
        <v>45992</v>
      </c>
      <c r="D534" t="inlineStr">
        <is>
          <t>ÖSTERGÖTLANDS LÄN</t>
        </is>
      </c>
      <c r="E534" t="inlineStr">
        <is>
          <t>LINKÖPING</t>
        </is>
      </c>
      <c r="G534" t="n">
        <v>7.4</v>
      </c>
      <c r="H534" t="n">
        <v>0</v>
      </c>
      <c r="I534" t="n">
        <v>0</v>
      </c>
      <c r="J534" t="n">
        <v>0</v>
      </c>
      <c r="K534" t="n">
        <v>0</v>
      </c>
      <c r="L534" t="n">
        <v>0</v>
      </c>
      <c r="M534" t="n">
        <v>0</v>
      </c>
      <c r="N534" t="n">
        <v>0</v>
      </c>
      <c r="O534" t="n">
        <v>0</v>
      </c>
      <c r="P534" t="n">
        <v>0</v>
      </c>
      <c r="Q534" t="n">
        <v>0</v>
      </c>
      <c r="R534" s="2" t="inlineStr"/>
    </row>
    <row r="535" ht="15" customHeight="1">
      <c r="A535" t="inlineStr">
        <is>
          <t>A 13413-2023</t>
        </is>
      </c>
      <c r="B535" s="1" t="n">
        <v>45005.58341435185</v>
      </c>
      <c r="C535" s="1" t="n">
        <v>45992</v>
      </c>
      <c r="D535" t="inlineStr">
        <is>
          <t>ÖSTERGÖTLANDS LÄN</t>
        </is>
      </c>
      <c r="E535" t="inlineStr">
        <is>
          <t>LINKÖPING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26620-2023</t>
        </is>
      </c>
      <c r="B536" s="1" t="n">
        <v>45092.70390046296</v>
      </c>
      <c r="C536" s="1" t="n">
        <v>45992</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16462-2021</t>
        </is>
      </c>
      <c r="B537" s="1" t="n">
        <v>44293</v>
      </c>
      <c r="C537" s="1" t="n">
        <v>45992</v>
      </c>
      <c r="D537" t="inlineStr">
        <is>
          <t>ÖSTERGÖTLANDS LÄN</t>
        </is>
      </c>
      <c r="E537" t="inlineStr">
        <is>
          <t>LINKÖPING</t>
        </is>
      </c>
      <c r="F537" t="inlineStr">
        <is>
          <t>Allmännings- och besparingsskogar</t>
        </is>
      </c>
      <c r="G537" t="n">
        <v>24.7</v>
      </c>
      <c r="H537" t="n">
        <v>0</v>
      </c>
      <c r="I537" t="n">
        <v>0</v>
      </c>
      <c r="J537" t="n">
        <v>0</v>
      </c>
      <c r="K537" t="n">
        <v>0</v>
      </c>
      <c r="L537" t="n">
        <v>0</v>
      </c>
      <c r="M537" t="n">
        <v>0</v>
      </c>
      <c r="N537" t="n">
        <v>0</v>
      </c>
      <c r="O537" t="n">
        <v>0</v>
      </c>
      <c r="P537" t="n">
        <v>0</v>
      </c>
      <c r="Q537" t="n">
        <v>0</v>
      </c>
      <c r="R537" s="2" t="inlineStr"/>
    </row>
    <row r="538" ht="15" customHeight="1">
      <c r="A538" t="inlineStr">
        <is>
          <t>A 63554-2023</t>
        </is>
      </c>
      <c r="B538" s="1" t="n">
        <v>45275</v>
      </c>
      <c r="C538" s="1" t="n">
        <v>45992</v>
      </c>
      <c r="D538" t="inlineStr">
        <is>
          <t>ÖSTERGÖTLANDS LÄN</t>
        </is>
      </c>
      <c r="E538" t="inlineStr">
        <is>
          <t>LINKÖPING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63638-2023</t>
        </is>
      </c>
      <c r="B539" s="1" t="n">
        <v>45275</v>
      </c>
      <c r="C539" s="1" t="n">
        <v>45992</v>
      </c>
      <c r="D539" t="inlineStr">
        <is>
          <t>ÖSTERGÖTLANDS LÄN</t>
        </is>
      </c>
      <c r="E539" t="inlineStr">
        <is>
          <t>LINKÖPING</t>
        </is>
      </c>
      <c r="F539" t="inlineStr">
        <is>
          <t>Övriga Aktiebolag</t>
        </is>
      </c>
      <c r="G539" t="n">
        <v>2.4</v>
      </c>
      <c r="H539" t="n">
        <v>0</v>
      </c>
      <c r="I539" t="n">
        <v>0</v>
      </c>
      <c r="J539" t="n">
        <v>0</v>
      </c>
      <c r="K539" t="n">
        <v>0</v>
      </c>
      <c r="L539" t="n">
        <v>0</v>
      </c>
      <c r="M539" t="n">
        <v>0</v>
      </c>
      <c r="N539" t="n">
        <v>0</v>
      </c>
      <c r="O539" t="n">
        <v>0</v>
      </c>
      <c r="P539" t="n">
        <v>0</v>
      </c>
      <c r="Q539" t="n">
        <v>0</v>
      </c>
      <c r="R539" s="2" t="inlineStr"/>
    </row>
    <row r="540" ht="15" customHeight="1">
      <c r="A540" t="inlineStr">
        <is>
          <t>A 63658-2023</t>
        </is>
      </c>
      <c r="B540" s="1" t="n">
        <v>45275</v>
      </c>
      <c r="C540" s="1" t="n">
        <v>45992</v>
      </c>
      <c r="D540" t="inlineStr">
        <is>
          <t>ÖSTERGÖTLANDS LÄN</t>
        </is>
      </c>
      <c r="E540" t="inlineStr">
        <is>
          <t>LINKÖPING</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16820-2024</t>
        </is>
      </c>
      <c r="B541" s="1" t="n">
        <v>45411.46809027778</v>
      </c>
      <c r="C541" s="1" t="n">
        <v>45992</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4456-2024</t>
        </is>
      </c>
      <c r="B542" s="1" t="n">
        <v>45327.52847222222</v>
      </c>
      <c r="C542" s="1" t="n">
        <v>45992</v>
      </c>
      <c r="D542" t="inlineStr">
        <is>
          <t>ÖSTERGÖTLANDS LÄN</t>
        </is>
      </c>
      <c r="E542" t="inlineStr">
        <is>
          <t>LINKÖPING</t>
        </is>
      </c>
      <c r="G542" t="n">
        <v>2.7</v>
      </c>
      <c r="H542" t="n">
        <v>0</v>
      </c>
      <c r="I542" t="n">
        <v>0</v>
      </c>
      <c r="J542" t="n">
        <v>0</v>
      </c>
      <c r="K542" t="n">
        <v>0</v>
      </c>
      <c r="L542" t="n">
        <v>0</v>
      </c>
      <c r="M542" t="n">
        <v>0</v>
      </c>
      <c r="N542" t="n">
        <v>0</v>
      </c>
      <c r="O542" t="n">
        <v>0</v>
      </c>
      <c r="P542" t="n">
        <v>0</v>
      </c>
      <c r="Q542" t="n">
        <v>0</v>
      </c>
      <c r="R542" s="2" t="inlineStr"/>
    </row>
    <row r="543" ht="15" customHeight="1">
      <c r="A543" t="inlineStr">
        <is>
          <t>A 20298-2025</t>
        </is>
      </c>
      <c r="B543" s="1" t="n">
        <v>45774.75024305555</v>
      </c>
      <c r="C543" s="1" t="n">
        <v>45992</v>
      </c>
      <c r="D543" t="inlineStr">
        <is>
          <t>ÖSTERGÖTLANDS LÄN</t>
        </is>
      </c>
      <c r="E543" t="inlineStr">
        <is>
          <t>LINKÖPING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15121-2022</t>
        </is>
      </c>
      <c r="B544" s="1" t="n">
        <v>44658</v>
      </c>
      <c r="C544" s="1" t="n">
        <v>45992</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50743-2023</t>
        </is>
      </c>
      <c r="B545" s="1" t="n">
        <v>45217</v>
      </c>
      <c r="C545" s="1" t="n">
        <v>45992</v>
      </c>
      <c r="D545" t="inlineStr">
        <is>
          <t>ÖSTERGÖTLANDS LÄN</t>
        </is>
      </c>
      <c r="E545" t="inlineStr">
        <is>
          <t>LINKÖPING</t>
        </is>
      </c>
      <c r="G545" t="n">
        <v>2.7</v>
      </c>
      <c r="H545" t="n">
        <v>0</v>
      </c>
      <c r="I545" t="n">
        <v>0</v>
      </c>
      <c r="J545" t="n">
        <v>0</v>
      </c>
      <c r="K545" t="n">
        <v>0</v>
      </c>
      <c r="L545" t="n">
        <v>0</v>
      </c>
      <c r="M545" t="n">
        <v>0</v>
      </c>
      <c r="N545" t="n">
        <v>0</v>
      </c>
      <c r="O545" t="n">
        <v>0</v>
      </c>
      <c r="P545" t="n">
        <v>0</v>
      </c>
      <c r="Q545" t="n">
        <v>0</v>
      </c>
      <c r="R545" s="2" t="inlineStr"/>
    </row>
    <row r="546" ht="15" customHeight="1">
      <c r="A546" t="inlineStr">
        <is>
          <t>A 1440-2021</t>
        </is>
      </c>
      <c r="B546" s="1" t="n">
        <v>44208</v>
      </c>
      <c r="C546" s="1" t="n">
        <v>45992</v>
      </c>
      <c r="D546" t="inlineStr">
        <is>
          <t>ÖSTERGÖTLANDS LÄN</t>
        </is>
      </c>
      <c r="E546" t="inlineStr">
        <is>
          <t>LINKÖPING</t>
        </is>
      </c>
      <c r="G546" t="n">
        <v>8.4</v>
      </c>
      <c r="H546" t="n">
        <v>0</v>
      </c>
      <c r="I546" t="n">
        <v>0</v>
      </c>
      <c r="J546" t="n">
        <v>0</v>
      </c>
      <c r="K546" t="n">
        <v>0</v>
      </c>
      <c r="L546" t="n">
        <v>0</v>
      </c>
      <c r="M546" t="n">
        <v>0</v>
      </c>
      <c r="N546" t="n">
        <v>0</v>
      </c>
      <c r="O546" t="n">
        <v>0</v>
      </c>
      <c r="P546" t="n">
        <v>0</v>
      </c>
      <c r="Q546" t="n">
        <v>0</v>
      </c>
      <c r="R546" s="2" t="inlineStr"/>
    </row>
    <row r="547" ht="15" customHeight="1">
      <c r="A547" t="inlineStr">
        <is>
          <t>A 13687-2025</t>
        </is>
      </c>
      <c r="B547" s="1" t="n">
        <v>45737.31425925926</v>
      </c>
      <c r="C547" s="1" t="n">
        <v>45992</v>
      </c>
      <c r="D547" t="inlineStr">
        <is>
          <t>ÖSTERGÖTLANDS LÄN</t>
        </is>
      </c>
      <c r="E547" t="inlineStr">
        <is>
          <t>LINKÖPING</t>
        </is>
      </c>
      <c r="G547" t="n">
        <v>2.7</v>
      </c>
      <c r="H547" t="n">
        <v>0</v>
      </c>
      <c r="I547" t="n">
        <v>0</v>
      </c>
      <c r="J547" t="n">
        <v>0</v>
      </c>
      <c r="K547" t="n">
        <v>0</v>
      </c>
      <c r="L547" t="n">
        <v>0</v>
      </c>
      <c r="M547" t="n">
        <v>0</v>
      </c>
      <c r="N547" t="n">
        <v>0</v>
      </c>
      <c r="O547" t="n">
        <v>0</v>
      </c>
      <c r="P547" t="n">
        <v>0</v>
      </c>
      <c r="Q547" t="n">
        <v>0</v>
      </c>
      <c r="R547" s="2" t="inlineStr"/>
    </row>
    <row r="548" ht="15" customHeight="1">
      <c r="A548" t="inlineStr">
        <is>
          <t>A 13695-2025</t>
        </is>
      </c>
      <c r="B548" s="1" t="n">
        <v>45737.32219907407</v>
      </c>
      <c r="C548" s="1" t="n">
        <v>45992</v>
      </c>
      <c r="D548" t="inlineStr">
        <is>
          <t>ÖSTERGÖTLANDS LÄN</t>
        </is>
      </c>
      <c r="E548" t="inlineStr">
        <is>
          <t>LINKÖPING</t>
        </is>
      </c>
      <c r="G548" t="n">
        <v>5.3</v>
      </c>
      <c r="H548" t="n">
        <v>0</v>
      </c>
      <c r="I548" t="n">
        <v>0</v>
      </c>
      <c r="J548" t="n">
        <v>0</v>
      </c>
      <c r="K548" t="n">
        <v>0</v>
      </c>
      <c r="L548" t="n">
        <v>0</v>
      </c>
      <c r="M548" t="n">
        <v>0</v>
      </c>
      <c r="N548" t="n">
        <v>0</v>
      </c>
      <c r="O548" t="n">
        <v>0</v>
      </c>
      <c r="P548" t="n">
        <v>0</v>
      </c>
      <c r="Q548" t="n">
        <v>0</v>
      </c>
      <c r="R548" s="2" t="inlineStr"/>
    </row>
    <row r="549" ht="15" customHeight="1">
      <c r="A549" t="inlineStr">
        <is>
          <t>A 20294-2025</t>
        </is>
      </c>
      <c r="B549" s="1" t="n">
        <v>45774.74667824074</v>
      </c>
      <c r="C549" s="1" t="n">
        <v>45992</v>
      </c>
      <c r="D549" t="inlineStr">
        <is>
          <t>ÖSTERGÖTLANDS LÄN</t>
        </is>
      </c>
      <c r="E549" t="inlineStr">
        <is>
          <t>LINKÖPING</t>
        </is>
      </c>
      <c r="G549" t="n">
        <v>1.4</v>
      </c>
      <c r="H549" t="n">
        <v>0</v>
      </c>
      <c r="I549" t="n">
        <v>0</v>
      </c>
      <c r="J549" t="n">
        <v>0</v>
      </c>
      <c r="K549" t="n">
        <v>0</v>
      </c>
      <c r="L549" t="n">
        <v>0</v>
      </c>
      <c r="M549" t="n">
        <v>0</v>
      </c>
      <c r="N549" t="n">
        <v>0</v>
      </c>
      <c r="O549" t="n">
        <v>0</v>
      </c>
      <c r="P549" t="n">
        <v>0</v>
      </c>
      <c r="Q549" t="n">
        <v>0</v>
      </c>
      <c r="R549" s="2" t="inlineStr"/>
    </row>
    <row r="550" ht="15" customHeight="1">
      <c r="A550" t="inlineStr">
        <is>
          <t>A 17128-2025</t>
        </is>
      </c>
      <c r="B550" s="1" t="n">
        <v>45755.72622685185</v>
      </c>
      <c r="C550" s="1" t="n">
        <v>45992</v>
      </c>
      <c r="D550" t="inlineStr">
        <is>
          <t>ÖSTERGÖTLANDS LÄN</t>
        </is>
      </c>
      <c r="E550" t="inlineStr">
        <is>
          <t>LINKÖPING</t>
        </is>
      </c>
      <c r="G550" t="n">
        <v>2.9</v>
      </c>
      <c r="H550" t="n">
        <v>0</v>
      </c>
      <c r="I550" t="n">
        <v>0</v>
      </c>
      <c r="J550" t="n">
        <v>0</v>
      </c>
      <c r="K550" t="n">
        <v>0</v>
      </c>
      <c r="L550" t="n">
        <v>0</v>
      </c>
      <c r="M550" t="n">
        <v>0</v>
      </c>
      <c r="N550" t="n">
        <v>0</v>
      </c>
      <c r="O550" t="n">
        <v>0</v>
      </c>
      <c r="P550" t="n">
        <v>0</v>
      </c>
      <c r="Q550" t="n">
        <v>0</v>
      </c>
      <c r="R550" s="2" t="inlineStr"/>
    </row>
    <row r="551" ht="15" customHeight="1">
      <c r="A551" t="inlineStr">
        <is>
          <t>A 52125-2022</t>
        </is>
      </c>
      <c r="B551" s="1" t="n">
        <v>44873</v>
      </c>
      <c r="C551" s="1" t="n">
        <v>45992</v>
      </c>
      <c r="D551" t="inlineStr">
        <is>
          <t>ÖSTERGÖTLANDS LÄN</t>
        </is>
      </c>
      <c r="E551" t="inlineStr">
        <is>
          <t>LINKÖPING</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27343-2023</t>
        </is>
      </c>
      <c r="B552" s="1" t="n">
        <v>45096</v>
      </c>
      <c r="C552" s="1" t="n">
        <v>45992</v>
      </c>
      <c r="D552" t="inlineStr">
        <is>
          <t>ÖSTERGÖTLANDS LÄN</t>
        </is>
      </c>
      <c r="E552" t="inlineStr">
        <is>
          <t>LINKÖPING</t>
        </is>
      </c>
      <c r="F552" t="inlineStr">
        <is>
          <t>Allmännings- och besparingsskogar</t>
        </is>
      </c>
      <c r="G552" t="n">
        <v>6.9</v>
      </c>
      <c r="H552" t="n">
        <v>0</v>
      </c>
      <c r="I552" t="n">
        <v>0</v>
      </c>
      <c r="J552" t="n">
        <v>0</v>
      </c>
      <c r="K552" t="n">
        <v>0</v>
      </c>
      <c r="L552" t="n">
        <v>0</v>
      </c>
      <c r="M552" t="n">
        <v>0</v>
      </c>
      <c r="N552" t="n">
        <v>0</v>
      </c>
      <c r="O552" t="n">
        <v>0</v>
      </c>
      <c r="P552" t="n">
        <v>0</v>
      </c>
      <c r="Q552" t="n">
        <v>0</v>
      </c>
      <c r="R552" s="2" t="inlineStr"/>
    </row>
    <row r="553" ht="15" customHeight="1">
      <c r="A553" t="inlineStr">
        <is>
          <t>A 22842-2023</t>
        </is>
      </c>
      <c r="B553" s="1" t="n">
        <v>45071</v>
      </c>
      <c r="C553" s="1" t="n">
        <v>45992</v>
      </c>
      <c r="D553" t="inlineStr">
        <is>
          <t>ÖSTERGÖTLANDS LÄN</t>
        </is>
      </c>
      <c r="E553" t="inlineStr">
        <is>
          <t>LINKÖPING</t>
        </is>
      </c>
      <c r="F553" t="inlineStr">
        <is>
          <t>Kommuner</t>
        </is>
      </c>
      <c r="G553" t="n">
        <v>1.3</v>
      </c>
      <c r="H553" t="n">
        <v>0</v>
      </c>
      <c r="I553" t="n">
        <v>0</v>
      </c>
      <c r="J553" t="n">
        <v>0</v>
      </c>
      <c r="K553" t="n">
        <v>0</v>
      </c>
      <c r="L553" t="n">
        <v>0</v>
      </c>
      <c r="M553" t="n">
        <v>0</v>
      </c>
      <c r="N553" t="n">
        <v>0</v>
      </c>
      <c r="O553" t="n">
        <v>0</v>
      </c>
      <c r="P553" t="n">
        <v>0</v>
      </c>
      <c r="Q553" t="n">
        <v>0</v>
      </c>
      <c r="R553" s="2" t="inlineStr"/>
    </row>
    <row r="554" ht="15" customHeight="1">
      <c r="A554" t="inlineStr">
        <is>
          <t>A 14520-2025</t>
        </is>
      </c>
      <c r="B554" s="1" t="n">
        <v>45741</v>
      </c>
      <c r="C554" s="1" t="n">
        <v>45992</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31548-2022</t>
        </is>
      </c>
      <c r="B555" s="1" t="n">
        <v>44775.39832175926</v>
      </c>
      <c r="C555" s="1" t="n">
        <v>45992</v>
      </c>
      <c r="D555" t="inlineStr">
        <is>
          <t>ÖSTERGÖTLANDS LÄN</t>
        </is>
      </c>
      <c r="E555" t="inlineStr">
        <is>
          <t>LINKÖPING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62017-2024</t>
        </is>
      </c>
      <c r="B556" s="1" t="n">
        <v>45655.81140046296</v>
      </c>
      <c r="C556" s="1" t="n">
        <v>45992</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17785-2023</t>
        </is>
      </c>
      <c r="B557" s="1" t="n">
        <v>45037.55094907407</v>
      </c>
      <c r="C557" s="1" t="n">
        <v>45992</v>
      </c>
      <c r="D557" t="inlineStr">
        <is>
          <t>ÖSTERGÖTLANDS LÄN</t>
        </is>
      </c>
      <c r="E557" t="inlineStr">
        <is>
          <t>LINKÖPING</t>
        </is>
      </c>
      <c r="F557" t="inlineStr">
        <is>
          <t>Allmännings- och besparingsskogar</t>
        </is>
      </c>
      <c r="G557" t="n">
        <v>3.1</v>
      </c>
      <c r="H557" t="n">
        <v>0</v>
      </c>
      <c r="I557" t="n">
        <v>0</v>
      </c>
      <c r="J557" t="n">
        <v>0</v>
      </c>
      <c r="K557" t="n">
        <v>0</v>
      </c>
      <c r="L557" t="n">
        <v>0</v>
      </c>
      <c r="M557" t="n">
        <v>0</v>
      </c>
      <c r="N557" t="n">
        <v>0</v>
      </c>
      <c r="O557" t="n">
        <v>0</v>
      </c>
      <c r="P557" t="n">
        <v>0</v>
      </c>
      <c r="Q557" t="n">
        <v>0</v>
      </c>
      <c r="R557" s="2" t="inlineStr"/>
    </row>
    <row r="558" ht="15" customHeight="1">
      <c r="A558" t="inlineStr">
        <is>
          <t>A 62686-2023</t>
        </is>
      </c>
      <c r="B558" s="1" t="n">
        <v>45271</v>
      </c>
      <c r="C558" s="1" t="n">
        <v>45992</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42044-2023</t>
        </is>
      </c>
      <c r="B559" s="1" t="n">
        <v>45177</v>
      </c>
      <c r="C559" s="1" t="n">
        <v>45992</v>
      </c>
      <c r="D559" t="inlineStr">
        <is>
          <t>ÖSTERGÖTLANDS LÄN</t>
        </is>
      </c>
      <c r="E559" t="inlineStr">
        <is>
          <t>LINKÖPING</t>
        </is>
      </c>
      <c r="G559" t="n">
        <v>3.9</v>
      </c>
      <c r="H559" t="n">
        <v>0</v>
      </c>
      <c r="I559" t="n">
        <v>0</v>
      </c>
      <c r="J559" t="n">
        <v>0</v>
      </c>
      <c r="K559" t="n">
        <v>0</v>
      </c>
      <c r="L559" t="n">
        <v>0</v>
      </c>
      <c r="M559" t="n">
        <v>0</v>
      </c>
      <c r="N559" t="n">
        <v>0</v>
      </c>
      <c r="O559" t="n">
        <v>0</v>
      </c>
      <c r="P559" t="n">
        <v>0</v>
      </c>
      <c r="Q559" t="n">
        <v>0</v>
      </c>
      <c r="R559" s="2" t="inlineStr"/>
    </row>
    <row r="560" ht="15" customHeight="1">
      <c r="A560" t="inlineStr">
        <is>
          <t>A 5314-2021</t>
        </is>
      </c>
      <c r="B560" s="1" t="n">
        <v>44229</v>
      </c>
      <c r="C560" s="1" t="n">
        <v>45992</v>
      </c>
      <c r="D560" t="inlineStr">
        <is>
          <t>ÖSTERGÖTLANDS LÄN</t>
        </is>
      </c>
      <c r="E560" t="inlineStr">
        <is>
          <t>LINKÖPING</t>
        </is>
      </c>
      <c r="G560" t="n">
        <v>6.2</v>
      </c>
      <c r="H560" t="n">
        <v>0</v>
      </c>
      <c r="I560" t="n">
        <v>0</v>
      </c>
      <c r="J560" t="n">
        <v>0</v>
      </c>
      <c r="K560" t="n">
        <v>0</v>
      </c>
      <c r="L560" t="n">
        <v>0</v>
      </c>
      <c r="M560" t="n">
        <v>0</v>
      </c>
      <c r="N560" t="n">
        <v>0</v>
      </c>
      <c r="O560" t="n">
        <v>0</v>
      </c>
      <c r="P560" t="n">
        <v>0</v>
      </c>
      <c r="Q560" t="n">
        <v>0</v>
      </c>
      <c r="R560" s="2" t="inlineStr"/>
    </row>
    <row r="561" ht="15" customHeight="1">
      <c r="A561" t="inlineStr">
        <is>
          <t>A 49656-2021</t>
        </is>
      </c>
      <c r="B561" s="1" t="n">
        <v>44454</v>
      </c>
      <c r="C561" s="1" t="n">
        <v>45992</v>
      </c>
      <c r="D561" t="inlineStr">
        <is>
          <t>ÖSTERGÖTLANDS LÄN</t>
        </is>
      </c>
      <c r="E561" t="inlineStr">
        <is>
          <t>LINKÖPING</t>
        </is>
      </c>
      <c r="G561" t="n">
        <v>2.3</v>
      </c>
      <c r="H561" t="n">
        <v>0</v>
      </c>
      <c r="I561" t="n">
        <v>0</v>
      </c>
      <c r="J561" t="n">
        <v>0</v>
      </c>
      <c r="K561" t="n">
        <v>0</v>
      </c>
      <c r="L561" t="n">
        <v>0</v>
      </c>
      <c r="M561" t="n">
        <v>0</v>
      </c>
      <c r="N561" t="n">
        <v>0</v>
      </c>
      <c r="O561" t="n">
        <v>0</v>
      </c>
      <c r="P561" t="n">
        <v>0</v>
      </c>
      <c r="Q561" t="n">
        <v>0</v>
      </c>
      <c r="R561" s="2" t="inlineStr"/>
    </row>
    <row r="562" ht="15" customHeight="1">
      <c r="A562" t="inlineStr">
        <is>
          <t>A 38230-2023</t>
        </is>
      </c>
      <c r="B562" s="1" t="n">
        <v>45161.55373842592</v>
      </c>
      <c r="C562" s="1" t="n">
        <v>45992</v>
      </c>
      <c r="D562" t="inlineStr">
        <is>
          <t>ÖSTERGÖTLANDS LÄN</t>
        </is>
      </c>
      <c r="E562" t="inlineStr">
        <is>
          <t>LINKÖPING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45442-2024</t>
        </is>
      </c>
      <c r="B563" s="1" t="n">
        <v>45576.64189814815</v>
      </c>
      <c r="C563" s="1" t="n">
        <v>45992</v>
      </c>
      <c r="D563" t="inlineStr">
        <is>
          <t>ÖSTERGÖTLANDS LÄN</t>
        </is>
      </c>
      <c r="E563" t="inlineStr">
        <is>
          <t>LINKÖPING</t>
        </is>
      </c>
      <c r="G563" t="n">
        <v>1.8</v>
      </c>
      <c r="H563" t="n">
        <v>0</v>
      </c>
      <c r="I563" t="n">
        <v>0</v>
      </c>
      <c r="J563" t="n">
        <v>0</v>
      </c>
      <c r="K563" t="n">
        <v>0</v>
      </c>
      <c r="L563" t="n">
        <v>0</v>
      </c>
      <c r="M563" t="n">
        <v>0</v>
      </c>
      <c r="N563" t="n">
        <v>0</v>
      </c>
      <c r="O563" t="n">
        <v>0</v>
      </c>
      <c r="P563" t="n">
        <v>0</v>
      </c>
      <c r="Q563" t="n">
        <v>0</v>
      </c>
      <c r="R563" s="2" t="inlineStr"/>
    </row>
    <row r="564" ht="15" customHeight="1">
      <c r="A564" t="inlineStr">
        <is>
          <t>A 4908-2023</t>
        </is>
      </c>
      <c r="B564" s="1" t="n">
        <v>44958</v>
      </c>
      <c r="C564" s="1" t="n">
        <v>45992</v>
      </c>
      <c r="D564" t="inlineStr">
        <is>
          <t>ÖSTERGÖTLANDS LÄN</t>
        </is>
      </c>
      <c r="E564" t="inlineStr">
        <is>
          <t>LINKÖPING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1265-2023</t>
        </is>
      </c>
      <c r="B565" s="1" t="n">
        <v>44936</v>
      </c>
      <c r="C565" s="1" t="n">
        <v>45992</v>
      </c>
      <c r="D565" t="inlineStr">
        <is>
          <t>ÖSTERGÖTLANDS LÄN</t>
        </is>
      </c>
      <c r="E565" t="inlineStr">
        <is>
          <t>LINKÖPING</t>
        </is>
      </c>
      <c r="G565" t="n">
        <v>2.3</v>
      </c>
      <c r="H565" t="n">
        <v>0</v>
      </c>
      <c r="I565" t="n">
        <v>0</v>
      </c>
      <c r="J565" t="n">
        <v>0</v>
      </c>
      <c r="K565" t="n">
        <v>0</v>
      </c>
      <c r="L565" t="n">
        <v>0</v>
      </c>
      <c r="M565" t="n">
        <v>0</v>
      </c>
      <c r="N565" t="n">
        <v>0</v>
      </c>
      <c r="O565" t="n">
        <v>0</v>
      </c>
      <c r="P565" t="n">
        <v>0</v>
      </c>
      <c r="Q565" t="n">
        <v>0</v>
      </c>
      <c r="R565" s="2" t="inlineStr"/>
    </row>
    <row r="566" ht="15" customHeight="1">
      <c r="A566" t="inlineStr">
        <is>
          <t>A 12411-2022</t>
        </is>
      </c>
      <c r="B566" s="1" t="n">
        <v>44638.21601851852</v>
      </c>
      <c r="C566" s="1" t="n">
        <v>45992</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23491-2024</t>
        </is>
      </c>
      <c r="B567" s="1" t="n">
        <v>45453</v>
      </c>
      <c r="C567" s="1" t="n">
        <v>45992</v>
      </c>
      <c r="D567" t="inlineStr">
        <is>
          <t>ÖSTERGÖTLANDS LÄN</t>
        </is>
      </c>
      <c r="E567" t="inlineStr">
        <is>
          <t>LINKÖPING</t>
        </is>
      </c>
      <c r="G567" t="n">
        <v>2.2</v>
      </c>
      <c r="H567" t="n">
        <v>0</v>
      </c>
      <c r="I567" t="n">
        <v>0</v>
      </c>
      <c r="J567" t="n">
        <v>0</v>
      </c>
      <c r="K567" t="n">
        <v>0</v>
      </c>
      <c r="L567" t="n">
        <v>0</v>
      </c>
      <c r="M567" t="n">
        <v>0</v>
      </c>
      <c r="N567" t="n">
        <v>0</v>
      </c>
      <c r="O567" t="n">
        <v>0</v>
      </c>
      <c r="P567" t="n">
        <v>0</v>
      </c>
      <c r="Q567" t="n">
        <v>0</v>
      </c>
      <c r="R567" s="2" t="inlineStr"/>
    </row>
    <row r="568" ht="15" customHeight="1">
      <c r="A568" t="inlineStr">
        <is>
          <t>A 70-2024</t>
        </is>
      </c>
      <c r="B568" s="1" t="n">
        <v>45293</v>
      </c>
      <c r="C568" s="1" t="n">
        <v>45992</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6054-2022</t>
        </is>
      </c>
      <c r="B569" s="1" t="n">
        <v>44599.53623842593</v>
      </c>
      <c r="C569" s="1" t="n">
        <v>45992</v>
      </c>
      <c r="D569" t="inlineStr">
        <is>
          <t>ÖSTERGÖTLANDS LÄN</t>
        </is>
      </c>
      <c r="E569" t="inlineStr">
        <is>
          <t>LINKÖPING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31725-2022</t>
        </is>
      </c>
      <c r="B570" s="1" t="n">
        <v>44776.48541666667</v>
      </c>
      <c r="C570" s="1" t="n">
        <v>45992</v>
      </c>
      <c r="D570" t="inlineStr">
        <is>
          <t>ÖSTERGÖTLANDS LÄN</t>
        </is>
      </c>
      <c r="E570" t="inlineStr">
        <is>
          <t>LINKÖPING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57391-2023</t>
        </is>
      </c>
      <c r="B571" s="1" t="n">
        <v>45245</v>
      </c>
      <c r="C571" s="1" t="n">
        <v>45992</v>
      </c>
      <c r="D571" t="inlineStr">
        <is>
          <t>ÖSTERGÖTLANDS LÄN</t>
        </is>
      </c>
      <c r="E571" t="inlineStr">
        <is>
          <t>LINKÖPING</t>
        </is>
      </c>
      <c r="F571" t="inlineStr">
        <is>
          <t>Övriga Aktiebolag</t>
        </is>
      </c>
      <c r="G571" t="n">
        <v>1.7</v>
      </c>
      <c r="H571" t="n">
        <v>0</v>
      </c>
      <c r="I571" t="n">
        <v>0</v>
      </c>
      <c r="J571" t="n">
        <v>0</v>
      </c>
      <c r="K571" t="n">
        <v>0</v>
      </c>
      <c r="L571" t="n">
        <v>0</v>
      </c>
      <c r="M571" t="n">
        <v>0</v>
      </c>
      <c r="N571" t="n">
        <v>0</v>
      </c>
      <c r="O571" t="n">
        <v>0</v>
      </c>
      <c r="P571" t="n">
        <v>0</v>
      </c>
      <c r="Q571" t="n">
        <v>0</v>
      </c>
      <c r="R571" s="2" t="inlineStr"/>
    </row>
    <row r="572" ht="15" customHeight="1">
      <c r="A572" t="inlineStr">
        <is>
          <t>A 7992-2023</t>
        </is>
      </c>
      <c r="B572" s="1" t="n">
        <v>44970</v>
      </c>
      <c r="C572" s="1" t="n">
        <v>45992</v>
      </c>
      <c r="D572" t="inlineStr">
        <is>
          <t>ÖSTERGÖTLANDS LÄN</t>
        </is>
      </c>
      <c r="E572" t="inlineStr">
        <is>
          <t>LINKÖPING</t>
        </is>
      </c>
      <c r="F572" t="inlineStr">
        <is>
          <t>Kommuner</t>
        </is>
      </c>
      <c r="G572" t="n">
        <v>1</v>
      </c>
      <c r="H572" t="n">
        <v>0</v>
      </c>
      <c r="I572" t="n">
        <v>0</v>
      </c>
      <c r="J572" t="n">
        <v>0</v>
      </c>
      <c r="K572" t="n">
        <v>0</v>
      </c>
      <c r="L572" t="n">
        <v>0</v>
      </c>
      <c r="M572" t="n">
        <v>0</v>
      </c>
      <c r="N572" t="n">
        <v>0</v>
      </c>
      <c r="O572" t="n">
        <v>0</v>
      </c>
      <c r="P572" t="n">
        <v>0</v>
      </c>
      <c r="Q572" t="n">
        <v>0</v>
      </c>
      <c r="R572" s="2" t="inlineStr"/>
    </row>
    <row r="573" ht="15" customHeight="1">
      <c r="A573" t="inlineStr">
        <is>
          <t>A 13689-2025</t>
        </is>
      </c>
      <c r="B573" s="1" t="n">
        <v>45737.31590277778</v>
      </c>
      <c r="C573" s="1" t="n">
        <v>45992</v>
      </c>
      <c r="D573" t="inlineStr">
        <is>
          <t>ÖSTERGÖTLANDS LÄN</t>
        </is>
      </c>
      <c r="E573" t="inlineStr">
        <is>
          <t>LINKÖPING</t>
        </is>
      </c>
      <c r="G573" t="n">
        <v>0.8</v>
      </c>
      <c r="H573" t="n">
        <v>0</v>
      </c>
      <c r="I573" t="n">
        <v>0</v>
      </c>
      <c r="J573" t="n">
        <v>0</v>
      </c>
      <c r="K573" t="n">
        <v>0</v>
      </c>
      <c r="L573" t="n">
        <v>0</v>
      </c>
      <c r="M573" t="n">
        <v>0</v>
      </c>
      <c r="N573" t="n">
        <v>0</v>
      </c>
      <c r="O573" t="n">
        <v>0</v>
      </c>
      <c r="P573" t="n">
        <v>0</v>
      </c>
      <c r="Q573" t="n">
        <v>0</v>
      </c>
      <c r="R573" s="2" t="inlineStr"/>
    </row>
    <row r="574" ht="15" customHeight="1">
      <c r="A574" t="inlineStr">
        <is>
          <t>A 13696-2025</t>
        </is>
      </c>
      <c r="B574" s="1" t="n">
        <v>45737.32273148148</v>
      </c>
      <c r="C574" s="1" t="n">
        <v>45992</v>
      </c>
      <c r="D574" t="inlineStr">
        <is>
          <t>ÖSTERGÖTLANDS LÄN</t>
        </is>
      </c>
      <c r="E574" t="inlineStr">
        <is>
          <t>LINKÖPING</t>
        </is>
      </c>
      <c r="G574" t="n">
        <v>3.5</v>
      </c>
      <c r="H574" t="n">
        <v>0</v>
      </c>
      <c r="I574" t="n">
        <v>0</v>
      </c>
      <c r="J574" t="n">
        <v>0</v>
      </c>
      <c r="K574" t="n">
        <v>0</v>
      </c>
      <c r="L574" t="n">
        <v>0</v>
      </c>
      <c r="M574" t="n">
        <v>0</v>
      </c>
      <c r="N574" t="n">
        <v>0</v>
      </c>
      <c r="O574" t="n">
        <v>0</v>
      </c>
      <c r="P574" t="n">
        <v>0</v>
      </c>
      <c r="Q574" t="n">
        <v>0</v>
      </c>
      <c r="R574" s="2" t="inlineStr"/>
    </row>
    <row r="575" ht="15" customHeight="1">
      <c r="A575" t="inlineStr">
        <is>
          <t>A 1924-2024</t>
        </is>
      </c>
      <c r="B575" s="1" t="n">
        <v>45308</v>
      </c>
      <c r="C575" s="1" t="n">
        <v>45992</v>
      </c>
      <c r="D575" t="inlineStr">
        <is>
          <t>ÖSTERGÖTLANDS LÄN</t>
        </is>
      </c>
      <c r="E575" t="inlineStr">
        <is>
          <t>LINKÖPING</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32346-2023</t>
        </is>
      </c>
      <c r="B576" s="1" t="n">
        <v>45120</v>
      </c>
      <c r="C576" s="1" t="n">
        <v>45992</v>
      </c>
      <c r="D576" t="inlineStr">
        <is>
          <t>ÖSTERGÖTLANDS LÄN</t>
        </is>
      </c>
      <c r="E576" t="inlineStr">
        <is>
          <t>LINKÖPING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50508-2024</t>
        </is>
      </c>
      <c r="B577" s="1" t="n">
        <v>45601.53907407408</v>
      </c>
      <c r="C577" s="1" t="n">
        <v>45992</v>
      </c>
      <c r="D577" t="inlineStr">
        <is>
          <t>ÖSTERGÖTLANDS LÄN</t>
        </is>
      </c>
      <c r="E577" t="inlineStr">
        <is>
          <t>LINKÖPING</t>
        </is>
      </c>
      <c r="F577" t="inlineStr">
        <is>
          <t>Övriga Aktiebolag</t>
        </is>
      </c>
      <c r="G577" t="n">
        <v>2</v>
      </c>
      <c r="H577" t="n">
        <v>0</v>
      </c>
      <c r="I577" t="n">
        <v>0</v>
      </c>
      <c r="J577" t="n">
        <v>0</v>
      </c>
      <c r="K577" t="n">
        <v>0</v>
      </c>
      <c r="L577" t="n">
        <v>0</v>
      </c>
      <c r="M577" t="n">
        <v>0</v>
      </c>
      <c r="N577" t="n">
        <v>0</v>
      </c>
      <c r="O577" t="n">
        <v>0</v>
      </c>
      <c r="P577" t="n">
        <v>0</v>
      </c>
      <c r="Q577" t="n">
        <v>0</v>
      </c>
      <c r="R577" s="2" t="inlineStr"/>
    </row>
    <row r="578" ht="15" customHeight="1">
      <c r="A578" t="inlineStr">
        <is>
          <t>A 7808-2022</t>
        </is>
      </c>
      <c r="B578" s="1" t="n">
        <v>44608</v>
      </c>
      <c r="C578" s="1" t="n">
        <v>45992</v>
      </c>
      <c r="D578" t="inlineStr">
        <is>
          <t>ÖSTERGÖTLANDS LÄN</t>
        </is>
      </c>
      <c r="E578" t="inlineStr">
        <is>
          <t>LINKÖPING</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27844-2024</t>
        </is>
      </c>
      <c r="B579" s="1" t="n">
        <v>45475.63047453704</v>
      </c>
      <c r="C579" s="1" t="n">
        <v>45992</v>
      </c>
      <c r="D579" t="inlineStr">
        <is>
          <t>ÖSTERGÖTLANDS LÄN</t>
        </is>
      </c>
      <c r="E579" t="inlineStr">
        <is>
          <t>LINKÖPING</t>
        </is>
      </c>
      <c r="G579" t="n">
        <v>1.2</v>
      </c>
      <c r="H579" t="n">
        <v>0</v>
      </c>
      <c r="I579" t="n">
        <v>0</v>
      </c>
      <c r="J579" t="n">
        <v>0</v>
      </c>
      <c r="K579" t="n">
        <v>0</v>
      </c>
      <c r="L579" t="n">
        <v>0</v>
      </c>
      <c r="M579" t="n">
        <v>0</v>
      </c>
      <c r="N579" t="n">
        <v>0</v>
      </c>
      <c r="O579" t="n">
        <v>0</v>
      </c>
      <c r="P579" t="n">
        <v>0</v>
      </c>
      <c r="Q579" t="n">
        <v>0</v>
      </c>
      <c r="R579" s="2" t="inlineStr"/>
    </row>
    <row r="580" ht="15" customHeight="1">
      <c r="A580" t="inlineStr">
        <is>
          <t>A 40810-2022</t>
        </is>
      </c>
      <c r="B580" s="1" t="n">
        <v>44824</v>
      </c>
      <c r="C580" s="1" t="n">
        <v>45992</v>
      </c>
      <c r="D580" t="inlineStr">
        <is>
          <t>ÖSTERGÖTLANDS LÄN</t>
        </is>
      </c>
      <c r="E580" t="inlineStr">
        <is>
          <t>LINKÖPING</t>
        </is>
      </c>
      <c r="G580" t="n">
        <v>2.8</v>
      </c>
      <c r="H580" t="n">
        <v>0</v>
      </c>
      <c r="I580" t="n">
        <v>0</v>
      </c>
      <c r="J580" t="n">
        <v>0</v>
      </c>
      <c r="K580" t="n">
        <v>0</v>
      </c>
      <c r="L580" t="n">
        <v>0</v>
      </c>
      <c r="M580" t="n">
        <v>0</v>
      </c>
      <c r="N580" t="n">
        <v>0</v>
      </c>
      <c r="O580" t="n">
        <v>0</v>
      </c>
      <c r="P580" t="n">
        <v>0</v>
      </c>
      <c r="Q580" t="n">
        <v>0</v>
      </c>
      <c r="R580" s="2" t="inlineStr"/>
    </row>
    <row r="581" ht="15" customHeight="1">
      <c r="A581" t="inlineStr">
        <is>
          <t>A 51559-2024</t>
        </is>
      </c>
      <c r="B581" s="1" t="n">
        <v>45604.61431712963</v>
      </c>
      <c r="C581" s="1" t="n">
        <v>45992</v>
      </c>
      <c r="D581" t="inlineStr">
        <is>
          <t>ÖSTERGÖTLANDS LÄN</t>
        </is>
      </c>
      <c r="E581" t="inlineStr">
        <is>
          <t>LINKÖPING</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49979-2022</t>
        </is>
      </c>
      <c r="B582" s="1" t="n">
        <v>44865</v>
      </c>
      <c r="C582" s="1" t="n">
        <v>45992</v>
      </c>
      <c r="D582" t="inlineStr">
        <is>
          <t>ÖSTERGÖTLANDS LÄN</t>
        </is>
      </c>
      <c r="E582" t="inlineStr">
        <is>
          <t>LINKÖPING</t>
        </is>
      </c>
      <c r="F582" t="inlineStr">
        <is>
          <t>Övriga Aktiebolag</t>
        </is>
      </c>
      <c r="G582" t="n">
        <v>11.4</v>
      </c>
      <c r="H582" t="n">
        <v>0</v>
      </c>
      <c r="I582" t="n">
        <v>0</v>
      </c>
      <c r="J582" t="n">
        <v>0</v>
      </c>
      <c r="K582" t="n">
        <v>0</v>
      </c>
      <c r="L582" t="n">
        <v>0</v>
      </c>
      <c r="M582" t="n">
        <v>0</v>
      </c>
      <c r="N582" t="n">
        <v>0</v>
      </c>
      <c r="O582" t="n">
        <v>0</v>
      </c>
      <c r="P582" t="n">
        <v>0</v>
      </c>
      <c r="Q582" t="n">
        <v>0</v>
      </c>
      <c r="R582" s="2" t="inlineStr"/>
    </row>
    <row r="583" ht="15" customHeight="1">
      <c r="A583" t="inlineStr">
        <is>
          <t>A 39219-2021</t>
        </is>
      </c>
      <c r="B583" s="1" t="n">
        <v>44413</v>
      </c>
      <c r="C583" s="1" t="n">
        <v>45992</v>
      </c>
      <c r="D583" t="inlineStr">
        <is>
          <t>ÖSTERGÖTLANDS LÄN</t>
        </is>
      </c>
      <c r="E583" t="inlineStr">
        <is>
          <t>LINKÖPING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39224-2021</t>
        </is>
      </c>
      <c r="B584" s="1" t="n">
        <v>44413</v>
      </c>
      <c r="C584" s="1" t="n">
        <v>45992</v>
      </c>
      <c r="D584" t="inlineStr">
        <is>
          <t>ÖSTERGÖTLANDS LÄN</t>
        </is>
      </c>
      <c r="E584" t="inlineStr">
        <is>
          <t>LINKÖPING</t>
        </is>
      </c>
      <c r="G584" t="n">
        <v>2.1</v>
      </c>
      <c r="H584" t="n">
        <v>0</v>
      </c>
      <c r="I584" t="n">
        <v>0</v>
      </c>
      <c r="J584" t="n">
        <v>0</v>
      </c>
      <c r="K584" t="n">
        <v>0</v>
      </c>
      <c r="L584" t="n">
        <v>0</v>
      </c>
      <c r="M584" t="n">
        <v>0</v>
      </c>
      <c r="N584" t="n">
        <v>0</v>
      </c>
      <c r="O584" t="n">
        <v>0</v>
      </c>
      <c r="P584" t="n">
        <v>0</v>
      </c>
      <c r="Q584" t="n">
        <v>0</v>
      </c>
      <c r="R584" s="2" t="inlineStr"/>
    </row>
    <row r="585" ht="15" customHeight="1">
      <c r="A585" t="inlineStr">
        <is>
          <t>A 62495-2023</t>
        </is>
      </c>
      <c r="B585" s="1" t="n">
        <v>45268.59717592593</v>
      </c>
      <c r="C585" s="1" t="n">
        <v>45992</v>
      </c>
      <c r="D585" t="inlineStr">
        <is>
          <t>ÖSTERGÖTLANDS LÄN</t>
        </is>
      </c>
      <c r="E585" t="inlineStr">
        <is>
          <t>LINKÖPING</t>
        </is>
      </c>
      <c r="G585" t="n">
        <v>4.1</v>
      </c>
      <c r="H585" t="n">
        <v>0</v>
      </c>
      <c r="I585" t="n">
        <v>0</v>
      </c>
      <c r="J585" t="n">
        <v>0</v>
      </c>
      <c r="K585" t="n">
        <v>0</v>
      </c>
      <c r="L585" t="n">
        <v>0</v>
      </c>
      <c r="M585" t="n">
        <v>0</v>
      </c>
      <c r="N585" t="n">
        <v>0</v>
      </c>
      <c r="O585" t="n">
        <v>0</v>
      </c>
      <c r="P585" t="n">
        <v>0</v>
      </c>
      <c r="Q585" t="n">
        <v>0</v>
      </c>
      <c r="R585" s="2" t="inlineStr"/>
    </row>
    <row r="586" ht="15" customHeight="1">
      <c r="A586" t="inlineStr">
        <is>
          <t>A 29413-2023</t>
        </is>
      </c>
      <c r="B586" s="1" t="n">
        <v>45106.46465277778</v>
      </c>
      <c r="C586" s="1" t="n">
        <v>45992</v>
      </c>
      <c r="D586" t="inlineStr">
        <is>
          <t>ÖSTERGÖTLANDS LÄN</t>
        </is>
      </c>
      <c r="E586" t="inlineStr">
        <is>
          <t>LINKÖPING</t>
        </is>
      </c>
      <c r="G586" t="n">
        <v>8</v>
      </c>
      <c r="H586" t="n">
        <v>0</v>
      </c>
      <c r="I586" t="n">
        <v>0</v>
      </c>
      <c r="J586" t="n">
        <v>0</v>
      </c>
      <c r="K586" t="n">
        <v>0</v>
      </c>
      <c r="L586" t="n">
        <v>0</v>
      </c>
      <c r="M586" t="n">
        <v>0</v>
      </c>
      <c r="N586" t="n">
        <v>0</v>
      </c>
      <c r="O586" t="n">
        <v>0</v>
      </c>
      <c r="P586" t="n">
        <v>0</v>
      </c>
      <c r="Q586" t="n">
        <v>0</v>
      </c>
      <c r="R586" s="2" t="inlineStr"/>
    </row>
    <row r="587" ht="15" customHeight="1">
      <c r="A587" t="inlineStr">
        <is>
          <t>A 25948-2023</t>
        </is>
      </c>
      <c r="B587" s="1" t="n">
        <v>45090</v>
      </c>
      <c r="C587" s="1" t="n">
        <v>45992</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1627-2023</t>
        </is>
      </c>
      <c r="B588" s="1" t="n">
        <v>44937</v>
      </c>
      <c r="C588" s="1" t="n">
        <v>45992</v>
      </c>
      <c r="D588" t="inlineStr">
        <is>
          <t>ÖSTERGÖTLANDS LÄN</t>
        </is>
      </c>
      <c r="E588" t="inlineStr">
        <is>
          <t>LINKÖPING</t>
        </is>
      </c>
      <c r="G588" t="n">
        <v>10.8</v>
      </c>
      <c r="H588" t="n">
        <v>0</v>
      </c>
      <c r="I588" t="n">
        <v>0</v>
      </c>
      <c r="J588" t="n">
        <v>0</v>
      </c>
      <c r="K588" t="n">
        <v>0</v>
      </c>
      <c r="L588" t="n">
        <v>0</v>
      </c>
      <c r="M588" t="n">
        <v>0</v>
      </c>
      <c r="N588" t="n">
        <v>0</v>
      </c>
      <c r="O588" t="n">
        <v>0</v>
      </c>
      <c r="P588" t="n">
        <v>0</v>
      </c>
      <c r="Q588" t="n">
        <v>0</v>
      </c>
      <c r="R588" s="2" t="inlineStr"/>
    </row>
    <row r="589" ht="15" customHeight="1">
      <c r="A589" t="inlineStr">
        <is>
          <t>A 30481-2023</t>
        </is>
      </c>
      <c r="B589" s="1" t="n">
        <v>45111</v>
      </c>
      <c r="C589" s="1" t="n">
        <v>45992</v>
      </c>
      <c r="D589" t="inlineStr">
        <is>
          <t>ÖSTERGÖTLANDS LÄN</t>
        </is>
      </c>
      <c r="E589" t="inlineStr">
        <is>
          <t>LINKÖPING</t>
        </is>
      </c>
      <c r="F589" t="inlineStr">
        <is>
          <t>Övriga Aktiebolag</t>
        </is>
      </c>
      <c r="G589" t="n">
        <v>2</v>
      </c>
      <c r="H589" t="n">
        <v>0</v>
      </c>
      <c r="I589" t="n">
        <v>0</v>
      </c>
      <c r="J589" t="n">
        <v>0</v>
      </c>
      <c r="K589" t="n">
        <v>0</v>
      </c>
      <c r="L589" t="n">
        <v>0</v>
      </c>
      <c r="M589" t="n">
        <v>0</v>
      </c>
      <c r="N589" t="n">
        <v>0</v>
      </c>
      <c r="O589" t="n">
        <v>0</v>
      </c>
      <c r="P589" t="n">
        <v>0</v>
      </c>
      <c r="Q589" t="n">
        <v>0</v>
      </c>
      <c r="R589" s="2" t="inlineStr"/>
    </row>
    <row r="590" ht="15" customHeight="1">
      <c r="A590" t="inlineStr">
        <is>
          <t>A 21782-2024</t>
        </is>
      </c>
      <c r="B590" s="1" t="n">
        <v>45442.63368055555</v>
      </c>
      <c r="C590" s="1" t="n">
        <v>45992</v>
      </c>
      <c r="D590" t="inlineStr">
        <is>
          <t>ÖSTERGÖTLANDS LÄN</t>
        </is>
      </c>
      <c r="E590" t="inlineStr">
        <is>
          <t>LINKÖPING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11671-2023</t>
        </is>
      </c>
      <c r="B591" s="1" t="n">
        <v>44994.48125</v>
      </c>
      <c r="C591" s="1" t="n">
        <v>45992</v>
      </c>
      <c r="D591" t="inlineStr">
        <is>
          <t>ÖSTERGÖTLANDS LÄN</t>
        </is>
      </c>
      <c r="E591" t="inlineStr">
        <is>
          <t>LINKÖPING</t>
        </is>
      </c>
      <c r="G591" t="n">
        <v>2.6</v>
      </c>
      <c r="H591" t="n">
        <v>0</v>
      </c>
      <c r="I591" t="n">
        <v>0</v>
      </c>
      <c r="J591" t="n">
        <v>0</v>
      </c>
      <c r="K591" t="n">
        <v>0</v>
      </c>
      <c r="L591" t="n">
        <v>0</v>
      </c>
      <c r="M591" t="n">
        <v>0</v>
      </c>
      <c r="N591" t="n">
        <v>0</v>
      </c>
      <c r="O591" t="n">
        <v>0</v>
      </c>
      <c r="P591" t="n">
        <v>0</v>
      </c>
      <c r="Q591" t="n">
        <v>0</v>
      </c>
      <c r="R591" s="2" t="inlineStr"/>
    </row>
    <row r="592" ht="15" customHeight="1">
      <c r="A592" t="inlineStr">
        <is>
          <t>A 3013-2023</t>
        </is>
      </c>
      <c r="B592" s="1" t="n">
        <v>44945.8092824074</v>
      </c>
      <c r="C592" s="1" t="n">
        <v>45992</v>
      </c>
      <c r="D592" t="inlineStr">
        <is>
          <t>ÖSTERGÖTLANDS LÄN</t>
        </is>
      </c>
      <c r="E592" t="inlineStr">
        <is>
          <t>LINKÖPING</t>
        </is>
      </c>
      <c r="G592" t="n">
        <v>5.2</v>
      </c>
      <c r="H592" t="n">
        <v>0</v>
      </c>
      <c r="I592" t="n">
        <v>0</v>
      </c>
      <c r="J592" t="n">
        <v>0</v>
      </c>
      <c r="K592" t="n">
        <v>0</v>
      </c>
      <c r="L592" t="n">
        <v>0</v>
      </c>
      <c r="M592" t="n">
        <v>0</v>
      </c>
      <c r="N592" t="n">
        <v>0</v>
      </c>
      <c r="O592" t="n">
        <v>0</v>
      </c>
      <c r="P592" t="n">
        <v>0</v>
      </c>
      <c r="Q592" t="n">
        <v>0</v>
      </c>
      <c r="R592" s="2" t="inlineStr"/>
    </row>
    <row r="593" ht="15" customHeight="1">
      <c r="A593" t="inlineStr">
        <is>
          <t>A 49747-2024</t>
        </is>
      </c>
      <c r="B593" s="1" t="n">
        <v>45596</v>
      </c>
      <c r="C593" s="1" t="n">
        <v>45992</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42997-2021</t>
        </is>
      </c>
      <c r="B594" s="1" t="n">
        <v>44431.45556712963</v>
      </c>
      <c r="C594" s="1" t="n">
        <v>45992</v>
      </c>
      <c r="D594" t="inlineStr">
        <is>
          <t>ÖSTERGÖTLANDS LÄN</t>
        </is>
      </c>
      <c r="E594" t="inlineStr">
        <is>
          <t>LINKÖPING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3011-2023</t>
        </is>
      </c>
      <c r="B595" s="1" t="n">
        <v>44945</v>
      </c>
      <c r="C595" s="1" t="n">
        <v>45992</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23735-2023</t>
        </is>
      </c>
      <c r="B596" s="1" t="n">
        <v>45077</v>
      </c>
      <c r="C596" s="1" t="n">
        <v>45992</v>
      </c>
      <c r="D596" t="inlineStr">
        <is>
          <t>ÖSTERGÖTLANDS LÄN</t>
        </is>
      </c>
      <c r="E596" t="inlineStr">
        <is>
          <t>LINKÖPING</t>
        </is>
      </c>
      <c r="G596" t="n">
        <v>1.7</v>
      </c>
      <c r="H596" t="n">
        <v>0</v>
      </c>
      <c r="I596" t="n">
        <v>0</v>
      </c>
      <c r="J596" t="n">
        <v>0</v>
      </c>
      <c r="K596" t="n">
        <v>0</v>
      </c>
      <c r="L596" t="n">
        <v>0</v>
      </c>
      <c r="M596" t="n">
        <v>0</v>
      </c>
      <c r="N596" t="n">
        <v>0</v>
      </c>
      <c r="O596" t="n">
        <v>0</v>
      </c>
      <c r="P596" t="n">
        <v>0</v>
      </c>
      <c r="Q596" t="n">
        <v>0</v>
      </c>
      <c r="R596" s="2" t="inlineStr"/>
    </row>
    <row r="597" ht="15" customHeight="1">
      <c r="A597" t="inlineStr">
        <is>
          <t>A 45821-2024</t>
        </is>
      </c>
      <c r="B597" s="1" t="n">
        <v>45579.75803240741</v>
      </c>
      <c r="C597" s="1" t="n">
        <v>45992</v>
      </c>
      <c r="D597" t="inlineStr">
        <is>
          <t>ÖSTERGÖTLANDS LÄN</t>
        </is>
      </c>
      <c r="E597" t="inlineStr">
        <is>
          <t>LINKÖPING</t>
        </is>
      </c>
      <c r="G597" t="n">
        <v>1.5</v>
      </c>
      <c r="H597" t="n">
        <v>0</v>
      </c>
      <c r="I597" t="n">
        <v>0</v>
      </c>
      <c r="J597" t="n">
        <v>0</v>
      </c>
      <c r="K597" t="n">
        <v>0</v>
      </c>
      <c r="L597" t="n">
        <v>0</v>
      </c>
      <c r="M597" t="n">
        <v>0</v>
      </c>
      <c r="N597" t="n">
        <v>0</v>
      </c>
      <c r="O597" t="n">
        <v>0</v>
      </c>
      <c r="P597" t="n">
        <v>0</v>
      </c>
      <c r="Q597" t="n">
        <v>0</v>
      </c>
      <c r="R597" s="2" t="inlineStr"/>
    </row>
    <row r="598" ht="15" customHeight="1">
      <c r="A598" t="inlineStr">
        <is>
          <t>A 53647-2021</t>
        </is>
      </c>
      <c r="B598" s="1" t="n">
        <v>44469</v>
      </c>
      <c r="C598" s="1" t="n">
        <v>45992</v>
      </c>
      <c r="D598" t="inlineStr">
        <is>
          <t>ÖSTERGÖTLANDS LÄN</t>
        </is>
      </c>
      <c r="E598" t="inlineStr">
        <is>
          <t>LINKÖPING</t>
        </is>
      </c>
      <c r="G598" t="n">
        <v>2.3</v>
      </c>
      <c r="H598" t="n">
        <v>0</v>
      </c>
      <c r="I598" t="n">
        <v>0</v>
      </c>
      <c r="J598" t="n">
        <v>0</v>
      </c>
      <c r="K598" t="n">
        <v>0</v>
      </c>
      <c r="L598" t="n">
        <v>0</v>
      </c>
      <c r="M598" t="n">
        <v>0</v>
      </c>
      <c r="N598" t="n">
        <v>0</v>
      </c>
      <c r="O598" t="n">
        <v>0</v>
      </c>
      <c r="P598" t="n">
        <v>0</v>
      </c>
      <c r="Q598" t="n">
        <v>0</v>
      </c>
      <c r="R598" s="2" t="inlineStr"/>
    </row>
    <row r="599" ht="15" customHeight="1">
      <c r="A599" t="inlineStr">
        <is>
          <t>A 6599-2023</t>
        </is>
      </c>
      <c r="B599" s="1" t="n">
        <v>44966.52603009259</v>
      </c>
      <c r="C599" s="1" t="n">
        <v>45992</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35735-2023</t>
        </is>
      </c>
      <c r="B600" s="1" t="n">
        <v>45147</v>
      </c>
      <c r="C600" s="1" t="n">
        <v>45992</v>
      </c>
      <c r="D600" t="inlineStr">
        <is>
          <t>ÖSTERGÖTLANDS LÄN</t>
        </is>
      </c>
      <c r="E600" t="inlineStr">
        <is>
          <t>LINKÖPING</t>
        </is>
      </c>
      <c r="G600" t="n">
        <v>2.8</v>
      </c>
      <c r="H600" t="n">
        <v>0</v>
      </c>
      <c r="I600" t="n">
        <v>0</v>
      </c>
      <c r="J600" t="n">
        <v>0</v>
      </c>
      <c r="K600" t="n">
        <v>0</v>
      </c>
      <c r="L600" t="n">
        <v>0</v>
      </c>
      <c r="M600" t="n">
        <v>0</v>
      </c>
      <c r="N600" t="n">
        <v>0</v>
      </c>
      <c r="O600" t="n">
        <v>0</v>
      </c>
      <c r="P600" t="n">
        <v>0</v>
      </c>
      <c r="Q600" t="n">
        <v>0</v>
      </c>
      <c r="R600" s="2" t="inlineStr"/>
    </row>
    <row r="601" ht="15" customHeight="1">
      <c r="A601" t="inlineStr">
        <is>
          <t>A 45831-2024</t>
        </is>
      </c>
      <c r="B601" s="1" t="n">
        <v>45579.90508101852</v>
      </c>
      <c r="C601" s="1" t="n">
        <v>45992</v>
      </c>
      <c r="D601" t="inlineStr">
        <is>
          <t>ÖSTERGÖTLANDS LÄN</t>
        </is>
      </c>
      <c r="E601" t="inlineStr">
        <is>
          <t>LINKÖPING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17157-2024</t>
        </is>
      </c>
      <c r="B602" s="1" t="n">
        <v>45412.70567129629</v>
      </c>
      <c r="C602" s="1" t="n">
        <v>45992</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37154-2023</t>
        </is>
      </c>
      <c r="B603" s="1" t="n">
        <v>45155</v>
      </c>
      <c r="C603" s="1" t="n">
        <v>45992</v>
      </c>
      <c r="D603" t="inlineStr">
        <is>
          <t>ÖSTERGÖTLANDS LÄN</t>
        </is>
      </c>
      <c r="E603" t="inlineStr">
        <is>
          <t>LINKÖPING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53812-2023</t>
        </is>
      </c>
      <c r="B604" s="1" t="n">
        <v>45231.39583333334</v>
      </c>
      <c r="C604" s="1" t="n">
        <v>45992</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53830-2023</t>
        </is>
      </c>
      <c r="B605" s="1" t="n">
        <v>45230</v>
      </c>
      <c r="C605" s="1" t="n">
        <v>45992</v>
      </c>
      <c r="D605" t="inlineStr">
        <is>
          <t>ÖSTERGÖTLANDS LÄN</t>
        </is>
      </c>
      <c r="E605" t="inlineStr">
        <is>
          <t>LINKÖPING</t>
        </is>
      </c>
      <c r="G605" t="n">
        <v>1.5</v>
      </c>
      <c r="H605" t="n">
        <v>0</v>
      </c>
      <c r="I605" t="n">
        <v>0</v>
      </c>
      <c r="J605" t="n">
        <v>0</v>
      </c>
      <c r="K605" t="n">
        <v>0</v>
      </c>
      <c r="L605" t="n">
        <v>0</v>
      </c>
      <c r="M605" t="n">
        <v>0</v>
      </c>
      <c r="N605" t="n">
        <v>0</v>
      </c>
      <c r="O605" t="n">
        <v>0</v>
      </c>
      <c r="P605" t="n">
        <v>0</v>
      </c>
      <c r="Q605" t="n">
        <v>0</v>
      </c>
      <c r="R605" s="2" t="inlineStr"/>
    </row>
    <row r="606" ht="15" customHeight="1">
      <c r="A606" t="inlineStr">
        <is>
          <t>A 56841-2023</t>
        </is>
      </c>
      <c r="B606" s="1" t="n">
        <v>45244</v>
      </c>
      <c r="C606" s="1" t="n">
        <v>45992</v>
      </c>
      <c r="D606" t="inlineStr">
        <is>
          <t>ÖSTERGÖTLANDS LÄN</t>
        </is>
      </c>
      <c r="E606" t="inlineStr">
        <is>
          <t>LINKÖPING</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56741-2023</t>
        </is>
      </c>
      <c r="B607" s="1" t="n">
        <v>45244</v>
      </c>
      <c r="C607" s="1" t="n">
        <v>45992</v>
      </c>
      <c r="D607" t="inlineStr">
        <is>
          <t>ÖSTERGÖTLANDS LÄN</t>
        </is>
      </c>
      <c r="E607" t="inlineStr">
        <is>
          <t>LINKÖPING</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53816-2023</t>
        </is>
      </c>
      <c r="B608" s="1" t="n">
        <v>45231.40012731482</v>
      </c>
      <c r="C608" s="1" t="n">
        <v>45992</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63935-2021</t>
        </is>
      </c>
      <c r="B609" s="1" t="n">
        <v>44509</v>
      </c>
      <c r="C609" s="1" t="n">
        <v>45992</v>
      </c>
      <c r="D609" t="inlineStr">
        <is>
          <t>ÖSTERGÖTLANDS LÄN</t>
        </is>
      </c>
      <c r="E609" t="inlineStr">
        <is>
          <t>LINKÖPING</t>
        </is>
      </c>
      <c r="F609" t="inlineStr">
        <is>
          <t>Övriga statliga verk och myndigheter</t>
        </is>
      </c>
      <c r="G609" t="n">
        <v>2.8</v>
      </c>
      <c r="H609" t="n">
        <v>0</v>
      </c>
      <c r="I609" t="n">
        <v>0</v>
      </c>
      <c r="J609" t="n">
        <v>0</v>
      </c>
      <c r="K609" t="n">
        <v>0</v>
      </c>
      <c r="L609" t="n">
        <v>0</v>
      </c>
      <c r="M609" t="n">
        <v>0</v>
      </c>
      <c r="N609" t="n">
        <v>0</v>
      </c>
      <c r="O609" t="n">
        <v>0</v>
      </c>
      <c r="P609" t="n">
        <v>0</v>
      </c>
      <c r="Q609" t="n">
        <v>0</v>
      </c>
      <c r="R609" s="2" t="inlineStr"/>
    </row>
    <row r="610" ht="15" customHeight="1">
      <c r="A610" t="inlineStr">
        <is>
          <t>A 6726-2024</t>
        </is>
      </c>
      <c r="B610" s="1" t="n">
        <v>45341</v>
      </c>
      <c r="C610" s="1" t="n">
        <v>45992</v>
      </c>
      <c r="D610" t="inlineStr">
        <is>
          <t>ÖSTERGÖTLANDS LÄN</t>
        </is>
      </c>
      <c r="E610" t="inlineStr">
        <is>
          <t>LINKÖPING</t>
        </is>
      </c>
      <c r="G610" t="n">
        <v>2.7</v>
      </c>
      <c r="H610" t="n">
        <v>0</v>
      </c>
      <c r="I610" t="n">
        <v>0</v>
      </c>
      <c r="J610" t="n">
        <v>0</v>
      </c>
      <c r="K610" t="n">
        <v>0</v>
      </c>
      <c r="L610" t="n">
        <v>0</v>
      </c>
      <c r="M610" t="n">
        <v>0</v>
      </c>
      <c r="N610" t="n">
        <v>0</v>
      </c>
      <c r="O610" t="n">
        <v>0</v>
      </c>
      <c r="P610" t="n">
        <v>0</v>
      </c>
      <c r="Q610" t="n">
        <v>0</v>
      </c>
      <c r="R610" s="2" t="inlineStr"/>
    </row>
    <row r="611" ht="15" customHeight="1">
      <c r="A611" t="inlineStr">
        <is>
          <t>A 3007-2023</t>
        </is>
      </c>
      <c r="B611" s="1" t="n">
        <v>44945</v>
      </c>
      <c r="C611" s="1" t="n">
        <v>45992</v>
      </c>
      <c r="D611" t="inlineStr">
        <is>
          <t>ÖSTERGÖTLANDS LÄN</t>
        </is>
      </c>
      <c r="E611" t="inlineStr">
        <is>
          <t>LINKÖPING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18145-2021</t>
        </is>
      </c>
      <c r="B612" s="1" t="n">
        <v>44302</v>
      </c>
      <c r="C612" s="1" t="n">
        <v>45992</v>
      </c>
      <c r="D612" t="inlineStr">
        <is>
          <t>ÖSTERGÖTLANDS LÄN</t>
        </is>
      </c>
      <c r="E612" t="inlineStr">
        <is>
          <t>LINKÖPING</t>
        </is>
      </c>
      <c r="G612" t="n">
        <v>2.4</v>
      </c>
      <c r="H612" t="n">
        <v>0</v>
      </c>
      <c r="I612" t="n">
        <v>0</v>
      </c>
      <c r="J612" t="n">
        <v>0</v>
      </c>
      <c r="K612" t="n">
        <v>0</v>
      </c>
      <c r="L612" t="n">
        <v>0</v>
      </c>
      <c r="M612" t="n">
        <v>0</v>
      </c>
      <c r="N612" t="n">
        <v>0</v>
      </c>
      <c r="O612" t="n">
        <v>0</v>
      </c>
      <c r="P612" t="n">
        <v>0</v>
      </c>
      <c r="Q612" t="n">
        <v>0</v>
      </c>
      <c r="R612" s="2" t="inlineStr"/>
    </row>
    <row r="613" ht="15" customHeight="1">
      <c r="A613" t="inlineStr">
        <is>
          <t>A 29309-2024</t>
        </is>
      </c>
      <c r="B613" s="1" t="n">
        <v>45483</v>
      </c>
      <c r="C613" s="1" t="n">
        <v>45992</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53411-2023</t>
        </is>
      </c>
      <c r="B614" s="1" t="n">
        <v>45229.81049768518</v>
      </c>
      <c r="C614" s="1" t="n">
        <v>45992</v>
      </c>
      <c r="D614" t="inlineStr">
        <is>
          <t>ÖSTERGÖTLANDS LÄN</t>
        </is>
      </c>
      <c r="E614" t="inlineStr">
        <is>
          <t>LINKÖPING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26788-2022</t>
        </is>
      </c>
      <c r="B615" s="1" t="n">
        <v>44740</v>
      </c>
      <c r="C615" s="1" t="n">
        <v>45992</v>
      </c>
      <c r="D615" t="inlineStr">
        <is>
          <t>ÖSTERGÖTLANDS LÄN</t>
        </is>
      </c>
      <c r="E615" t="inlineStr">
        <is>
          <t>LINKÖPING</t>
        </is>
      </c>
      <c r="G615" t="n">
        <v>3.2</v>
      </c>
      <c r="H615" t="n">
        <v>0</v>
      </c>
      <c r="I615" t="n">
        <v>0</v>
      </c>
      <c r="J615" t="n">
        <v>0</v>
      </c>
      <c r="K615" t="n">
        <v>0</v>
      </c>
      <c r="L615" t="n">
        <v>0</v>
      </c>
      <c r="M615" t="n">
        <v>0</v>
      </c>
      <c r="N615" t="n">
        <v>0</v>
      </c>
      <c r="O615" t="n">
        <v>0</v>
      </c>
      <c r="P615" t="n">
        <v>0</v>
      </c>
      <c r="Q615" t="n">
        <v>0</v>
      </c>
      <c r="R615" s="2" t="inlineStr"/>
    </row>
    <row r="616" ht="15" customHeight="1">
      <c r="A616" t="inlineStr">
        <is>
          <t>A 24462-2023</t>
        </is>
      </c>
      <c r="B616" s="1" t="n">
        <v>45082</v>
      </c>
      <c r="C616" s="1" t="n">
        <v>45992</v>
      </c>
      <c r="D616" t="inlineStr">
        <is>
          <t>ÖSTERGÖTLANDS LÄN</t>
        </is>
      </c>
      <c r="E616" t="inlineStr">
        <is>
          <t>LINKÖPING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62015-2024</t>
        </is>
      </c>
      <c r="B617" s="1" t="n">
        <v>45655.80457175926</v>
      </c>
      <c r="C617" s="1" t="n">
        <v>45992</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10741-2023</t>
        </is>
      </c>
      <c r="B618" s="1" t="n">
        <v>44988.70084490741</v>
      </c>
      <c r="C618" s="1" t="n">
        <v>45992</v>
      </c>
      <c r="D618" t="inlineStr">
        <is>
          <t>ÖSTERGÖTLANDS LÄN</t>
        </is>
      </c>
      <c r="E618" t="inlineStr">
        <is>
          <t>LINKÖPING</t>
        </is>
      </c>
      <c r="F618" t="inlineStr">
        <is>
          <t>Allmännings- och besparingsskogar</t>
        </is>
      </c>
      <c r="G618" t="n">
        <v>11.2</v>
      </c>
      <c r="H618" t="n">
        <v>0</v>
      </c>
      <c r="I618" t="n">
        <v>0</v>
      </c>
      <c r="J618" t="n">
        <v>0</v>
      </c>
      <c r="K618" t="n">
        <v>0</v>
      </c>
      <c r="L618" t="n">
        <v>0</v>
      </c>
      <c r="M618" t="n">
        <v>0</v>
      </c>
      <c r="N618" t="n">
        <v>0</v>
      </c>
      <c r="O618" t="n">
        <v>0</v>
      </c>
      <c r="P618" t="n">
        <v>0</v>
      </c>
      <c r="Q618" t="n">
        <v>0</v>
      </c>
      <c r="R618" s="2" t="inlineStr"/>
    </row>
    <row r="619" ht="15" customHeight="1">
      <c r="A619" t="inlineStr">
        <is>
          <t>A 43473-2024</t>
        </is>
      </c>
      <c r="B619" s="1" t="n">
        <v>45568</v>
      </c>
      <c r="C619" s="1" t="n">
        <v>45992</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43475-2024</t>
        </is>
      </c>
      <c r="B620" s="1" t="n">
        <v>45568</v>
      </c>
      <c r="C620" s="1" t="n">
        <v>45992</v>
      </c>
      <c r="D620" t="inlineStr">
        <is>
          <t>ÖSTERGÖTLANDS LÄN</t>
        </is>
      </c>
      <c r="E620" t="inlineStr">
        <is>
          <t>LINKÖPING</t>
        </is>
      </c>
      <c r="G620" t="n">
        <v>3.2</v>
      </c>
      <c r="H620" t="n">
        <v>0</v>
      </c>
      <c r="I620" t="n">
        <v>0</v>
      </c>
      <c r="J620" t="n">
        <v>0</v>
      </c>
      <c r="K620" t="n">
        <v>0</v>
      </c>
      <c r="L620" t="n">
        <v>0</v>
      </c>
      <c r="M620" t="n">
        <v>0</v>
      </c>
      <c r="N620" t="n">
        <v>0</v>
      </c>
      <c r="O620" t="n">
        <v>0</v>
      </c>
      <c r="P620" t="n">
        <v>0</v>
      </c>
      <c r="Q620" t="n">
        <v>0</v>
      </c>
      <c r="R620" s="2" t="inlineStr"/>
    </row>
    <row r="621" ht="15" customHeight="1">
      <c r="A621" t="inlineStr">
        <is>
          <t>A 1207-2023</t>
        </is>
      </c>
      <c r="B621" s="1" t="n">
        <v>44930</v>
      </c>
      <c r="C621" s="1" t="n">
        <v>45992</v>
      </c>
      <c r="D621" t="inlineStr">
        <is>
          <t>ÖSTERGÖTLANDS LÄN</t>
        </is>
      </c>
      <c r="E621" t="inlineStr">
        <is>
          <t>LINKÖPING</t>
        </is>
      </c>
      <c r="F621" t="inlineStr">
        <is>
          <t>Övriga statliga verk och myndigheter</t>
        </is>
      </c>
      <c r="G621" t="n">
        <v>32.8</v>
      </c>
      <c r="H621" t="n">
        <v>0</v>
      </c>
      <c r="I621" t="n">
        <v>0</v>
      </c>
      <c r="J621" t="n">
        <v>0</v>
      </c>
      <c r="K621" t="n">
        <v>0</v>
      </c>
      <c r="L621" t="n">
        <v>0</v>
      </c>
      <c r="M621" t="n">
        <v>0</v>
      </c>
      <c r="N621" t="n">
        <v>0</v>
      </c>
      <c r="O621" t="n">
        <v>0</v>
      </c>
      <c r="P621" t="n">
        <v>0</v>
      </c>
      <c r="Q621" t="n">
        <v>0</v>
      </c>
      <c r="R621" s="2" t="inlineStr"/>
    </row>
    <row r="622" ht="15" customHeight="1">
      <c r="A622" t="inlineStr">
        <is>
          <t>A 29859-2024</t>
        </is>
      </c>
      <c r="B622" s="1" t="n">
        <v>45485.6846412037</v>
      </c>
      <c r="C622" s="1" t="n">
        <v>45992</v>
      </c>
      <c r="D622" t="inlineStr">
        <is>
          <t>ÖSTERGÖTLANDS LÄN</t>
        </is>
      </c>
      <c r="E622" t="inlineStr">
        <is>
          <t>LINKÖPING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45819-2024</t>
        </is>
      </c>
      <c r="B623" s="1" t="n">
        <v>45579.7454050926</v>
      </c>
      <c r="C623" s="1" t="n">
        <v>45992</v>
      </c>
      <c r="D623" t="inlineStr">
        <is>
          <t>ÖSTERGÖTLANDS LÄN</t>
        </is>
      </c>
      <c r="E623" t="inlineStr">
        <is>
          <t>LINKÖPING</t>
        </is>
      </c>
      <c r="G623" t="n">
        <v>5</v>
      </c>
      <c r="H623" t="n">
        <v>0</v>
      </c>
      <c r="I623" t="n">
        <v>0</v>
      </c>
      <c r="J623" t="n">
        <v>0</v>
      </c>
      <c r="K623" t="n">
        <v>0</v>
      </c>
      <c r="L623" t="n">
        <v>0</v>
      </c>
      <c r="M623" t="n">
        <v>0</v>
      </c>
      <c r="N623" t="n">
        <v>0</v>
      </c>
      <c r="O623" t="n">
        <v>0</v>
      </c>
      <c r="P623" t="n">
        <v>0</v>
      </c>
      <c r="Q623" t="n">
        <v>0</v>
      </c>
      <c r="R623" s="2" t="inlineStr"/>
    </row>
    <row r="624" ht="15" customHeight="1">
      <c r="A624" t="inlineStr">
        <is>
          <t>A 15748-2025</t>
        </is>
      </c>
      <c r="B624" s="1" t="n">
        <v>45748.55282407408</v>
      </c>
      <c r="C624" s="1" t="n">
        <v>45992</v>
      </c>
      <c r="D624" t="inlineStr">
        <is>
          <t>ÖSTERGÖTLANDS LÄN</t>
        </is>
      </c>
      <c r="E624" t="inlineStr">
        <is>
          <t>LINKÖPING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15754-2025</t>
        </is>
      </c>
      <c r="B625" s="1" t="n">
        <v>45748.56105324074</v>
      </c>
      <c r="C625" s="1" t="n">
        <v>45992</v>
      </c>
      <c r="D625" t="inlineStr">
        <is>
          <t>ÖSTERGÖTLANDS LÄN</t>
        </is>
      </c>
      <c r="E625" t="inlineStr">
        <is>
          <t>LINKÖPING</t>
        </is>
      </c>
      <c r="G625" t="n">
        <v>1.7</v>
      </c>
      <c r="H625" t="n">
        <v>0</v>
      </c>
      <c r="I625" t="n">
        <v>0</v>
      </c>
      <c r="J625" t="n">
        <v>0</v>
      </c>
      <c r="K625" t="n">
        <v>0</v>
      </c>
      <c r="L625" t="n">
        <v>0</v>
      </c>
      <c r="M625" t="n">
        <v>0</v>
      </c>
      <c r="N625" t="n">
        <v>0</v>
      </c>
      <c r="O625" t="n">
        <v>0</v>
      </c>
      <c r="P625" t="n">
        <v>0</v>
      </c>
      <c r="Q625" t="n">
        <v>0</v>
      </c>
      <c r="R625" s="2" t="inlineStr"/>
    </row>
    <row r="626" ht="15" customHeight="1">
      <c r="A626" t="inlineStr">
        <is>
          <t>A 30518-2024</t>
        </is>
      </c>
      <c r="B626" s="1" t="n">
        <v>45492</v>
      </c>
      <c r="C626" s="1" t="n">
        <v>45992</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53797-2023</t>
        </is>
      </c>
      <c r="B627" s="1" t="n">
        <v>45230</v>
      </c>
      <c r="C627" s="1" t="n">
        <v>45992</v>
      </c>
      <c r="D627" t="inlineStr">
        <is>
          <t>ÖSTERGÖTLANDS LÄN</t>
        </is>
      </c>
      <c r="E627" t="inlineStr">
        <is>
          <t>LINKÖPING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55345-2021</t>
        </is>
      </c>
      <c r="B628" s="1" t="n">
        <v>44475</v>
      </c>
      <c r="C628" s="1" t="n">
        <v>45992</v>
      </c>
      <c r="D628" t="inlineStr">
        <is>
          <t>ÖSTERGÖTLANDS LÄN</t>
        </is>
      </c>
      <c r="E628" t="inlineStr">
        <is>
          <t>LINKÖPING</t>
        </is>
      </c>
      <c r="G628" t="n">
        <v>5.7</v>
      </c>
      <c r="H628" t="n">
        <v>0</v>
      </c>
      <c r="I628" t="n">
        <v>0</v>
      </c>
      <c r="J628" t="n">
        <v>0</v>
      </c>
      <c r="K628" t="n">
        <v>0</v>
      </c>
      <c r="L628" t="n">
        <v>0</v>
      </c>
      <c r="M628" t="n">
        <v>0</v>
      </c>
      <c r="N628" t="n">
        <v>0</v>
      </c>
      <c r="O628" t="n">
        <v>0</v>
      </c>
      <c r="P628" t="n">
        <v>0</v>
      </c>
      <c r="Q628" t="n">
        <v>0</v>
      </c>
      <c r="R628" s="2" t="inlineStr"/>
    </row>
    <row r="629" ht="15" customHeight="1">
      <c r="A629" t="inlineStr">
        <is>
          <t>A 10198-2023</t>
        </is>
      </c>
      <c r="B629" s="1" t="n">
        <v>44986.54665509259</v>
      </c>
      <c r="C629" s="1" t="n">
        <v>45992</v>
      </c>
      <c r="D629" t="inlineStr">
        <is>
          <t>ÖSTERGÖTLANDS LÄN</t>
        </is>
      </c>
      <c r="E629" t="inlineStr">
        <is>
          <t>LINKÖPING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4298-2023</t>
        </is>
      </c>
      <c r="B630" s="1" t="n">
        <v>44953</v>
      </c>
      <c r="C630" s="1" t="n">
        <v>45992</v>
      </c>
      <c r="D630" t="inlineStr">
        <is>
          <t>ÖSTERGÖTLANDS LÄN</t>
        </is>
      </c>
      <c r="E630" t="inlineStr">
        <is>
          <t>LINKÖPING</t>
        </is>
      </c>
      <c r="G630" t="n">
        <v>2.8</v>
      </c>
      <c r="H630" t="n">
        <v>0</v>
      </c>
      <c r="I630" t="n">
        <v>0</v>
      </c>
      <c r="J630" t="n">
        <v>0</v>
      </c>
      <c r="K630" t="n">
        <v>0</v>
      </c>
      <c r="L630" t="n">
        <v>0</v>
      </c>
      <c r="M630" t="n">
        <v>0</v>
      </c>
      <c r="N630" t="n">
        <v>0</v>
      </c>
      <c r="O630" t="n">
        <v>0</v>
      </c>
      <c r="P630" t="n">
        <v>0</v>
      </c>
      <c r="Q630" t="n">
        <v>0</v>
      </c>
      <c r="R630" s="2" t="inlineStr"/>
    </row>
    <row r="631" ht="15" customHeight="1">
      <c r="A631" t="inlineStr">
        <is>
          <t>A 12428-2024</t>
        </is>
      </c>
      <c r="B631" s="1" t="n">
        <v>45379</v>
      </c>
      <c r="C631" s="1" t="n">
        <v>45992</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26618-2023</t>
        </is>
      </c>
      <c r="B632" s="1" t="n">
        <v>45092.70306712963</v>
      </c>
      <c r="C632" s="1" t="n">
        <v>45992</v>
      </c>
      <c r="D632" t="inlineStr">
        <is>
          <t>ÖSTERGÖTLANDS LÄN</t>
        </is>
      </c>
      <c r="E632" t="inlineStr">
        <is>
          <t>LINKÖPING</t>
        </is>
      </c>
      <c r="G632" t="n">
        <v>6.9</v>
      </c>
      <c r="H632" t="n">
        <v>0</v>
      </c>
      <c r="I632" t="n">
        <v>0</v>
      </c>
      <c r="J632" t="n">
        <v>0</v>
      </c>
      <c r="K632" t="n">
        <v>0</v>
      </c>
      <c r="L632" t="n">
        <v>0</v>
      </c>
      <c r="M632" t="n">
        <v>0</v>
      </c>
      <c r="N632" t="n">
        <v>0</v>
      </c>
      <c r="O632" t="n">
        <v>0</v>
      </c>
      <c r="P632" t="n">
        <v>0</v>
      </c>
      <c r="Q632" t="n">
        <v>0</v>
      </c>
      <c r="R632" s="2" t="inlineStr"/>
    </row>
    <row r="633" ht="15" customHeight="1">
      <c r="A633" t="inlineStr">
        <is>
          <t>A 34930-2023</t>
        </is>
      </c>
      <c r="B633" s="1" t="n">
        <v>45142</v>
      </c>
      <c r="C633" s="1" t="n">
        <v>45992</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670-2024</t>
        </is>
      </c>
      <c r="B634" s="1" t="n">
        <v>45300.3408912037</v>
      </c>
      <c r="C634" s="1" t="n">
        <v>45992</v>
      </c>
      <c r="D634" t="inlineStr">
        <is>
          <t>ÖSTERGÖTLANDS LÄN</t>
        </is>
      </c>
      <c r="E634" t="inlineStr">
        <is>
          <t>LINKÖPING</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63845-2021</t>
        </is>
      </c>
      <c r="B635" s="1" t="n">
        <v>44509</v>
      </c>
      <c r="C635" s="1" t="n">
        <v>45992</v>
      </c>
      <c r="D635" t="inlineStr">
        <is>
          <t>ÖSTERGÖTLANDS LÄN</t>
        </is>
      </c>
      <c r="E635" t="inlineStr">
        <is>
          <t>LINKÖPING</t>
        </is>
      </c>
      <c r="G635" t="n">
        <v>5</v>
      </c>
      <c r="H635" t="n">
        <v>0</v>
      </c>
      <c r="I635" t="n">
        <v>0</v>
      </c>
      <c r="J635" t="n">
        <v>0</v>
      </c>
      <c r="K635" t="n">
        <v>0</v>
      </c>
      <c r="L635" t="n">
        <v>0</v>
      </c>
      <c r="M635" t="n">
        <v>0</v>
      </c>
      <c r="N635" t="n">
        <v>0</v>
      </c>
      <c r="O635" t="n">
        <v>0</v>
      </c>
      <c r="P635" t="n">
        <v>0</v>
      </c>
      <c r="Q635" t="n">
        <v>0</v>
      </c>
      <c r="R635" s="2" t="inlineStr"/>
    </row>
    <row r="636" ht="15" customHeight="1">
      <c r="A636" t="inlineStr">
        <is>
          <t>A 54034-2022</t>
        </is>
      </c>
      <c r="B636" s="1" t="n">
        <v>44881</v>
      </c>
      <c r="C636" s="1" t="n">
        <v>45992</v>
      </c>
      <c r="D636" t="inlineStr">
        <is>
          <t>ÖSTERGÖTLANDS LÄN</t>
        </is>
      </c>
      <c r="E636" t="inlineStr">
        <is>
          <t>LINKÖPING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36336-2023</t>
        </is>
      </c>
      <c r="B637" s="1" t="n">
        <v>45152.45078703704</v>
      </c>
      <c r="C637" s="1" t="n">
        <v>45992</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48829-2023</t>
        </is>
      </c>
      <c r="B638" s="1" t="n">
        <v>45209.38177083333</v>
      </c>
      <c r="C638" s="1" t="n">
        <v>45992</v>
      </c>
      <c r="D638" t="inlineStr">
        <is>
          <t>ÖSTERGÖTLANDS LÄN</t>
        </is>
      </c>
      <c r="E638" t="inlineStr">
        <is>
          <t>LINKÖPING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48186-2022</t>
        </is>
      </c>
      <c r="B639" s="1" t="n">
        <v>44858</v>
      </c>
      <c r="C639" s="1" t="n">
        <v>45992</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63669-2023</t>
        </is>
      </c>
      <c r="B640" s="1" t="n">
        <v>45275</v>
      </c>
      <c r="C640" s="1" t="n">
        <v>45992</v>
      </c>
      <c r="D640" t="inlineStr">
        <is>
          <t>ÖSTERGÖTLANDS LÄN</t>
        </is>
      </c>
      <c r="E640" t="inlineStr">
        <is>
          <t>LINKÖPING</t>
        </is>
      </c>
      <c r="F640" t="inlineStr">
        <is>
          <t>Övriga Aktiebolag</t>
        </is>
      </c>
      <c r="G640" t="n">
        <v>3</v>
      </c>
      <c r="H640" t="n">
        <v>0</v>
      </c>
      <c r="I640" t="n">
        <v>0</v>
      </c>
      <c r="J640" t="n">
        <v>0</v>
      </c>
      <c r="K640" t="n">
        <v>0</v>
      </c>
      <c r="L640" t="n">
        <v>0</v>
      </c>
      <c r="M640" t="n">
        <v>0</v>
      </c>
      <c r="N640" t="n">
        <v>0</v>
      </c>
      <c r="O640" t="n">
        <v>0</v>
      </c>
      <c r="P640" t="n">
        <v>0</v>
      </c>
      <c r="Q640" t="n">
        <v>0</v>
      </c>
      <c r="R640" s="2" t="inlineStr"/>
    </row>
    <row r="641" ht="15" customHeight="1">
      <c r="A641" t="inlineStr">
        <is>
          <t>A 24586-2024</t>
        </is>
      </c>
      <c r="B641" s="1" t="n">
        <v>45460.46664351852</v>
      </c>
      <c r="C641" s="1" t="n">
        <v>45992</v>
      </c>
      <c r="D641" t="inlineStr">
        <is>
          <t>ÖSTERGÖTLANDS LÄN</t>
        </is>
      </c>
      <c r="E641" t="inlineStr">
        <is>
          <t>LINKÖPING</t>
        </is>
      </c>
      <c r="G641" t="n">
        <v>4</v>
      </c>
      <c r="H641" t="n">
        <v>0</v>
      </c>
      <c r="I641" t="n">
        <v>0</v>
      </c>
      <c r="J641" t="n">
        <v>0</v>
      </c>
      <c r="K641" t="n">
        <v>0</v>
      </c>
      <c r="L641" t="n">
        <v>0</v>
      </c>
      <c r="M641" t="n">
        <v>0</v>
      </c>
      <c r="N641" t="n">
        <v>0</v>
      </c>
      <c r="O641" t="n">
        <v>0</v>
      </c>
      <c r="P641" t="n">
        <v>0</v>
      </c>
      <c r="Q641" t="n">
        <v>0</v>
      </c>
      <c r="R641" s="2" t="inlineStr"/>
    </row>
    <row r="642" ht="15" customHeight="1">
      <c r="A642" t="inlineStr">
        <is>
          <t>A 59576-2024</t>
        </is>
      </c>
      <c r="B642" s="1" t="n">
        <v>45638.66378472222</v>
      </c>
      <c r="C642" s="1" t="n">
        <v>45992</v>
      </c>
      <c r="D642" t="inlineStr">
        <is>
          <t>ÖSTERGÖTLANDS LÄN</t>
        </is>
      </c>
      <c r="E642" t="inlineStr">
        <is>
          <t>LINKÖPING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59642-2024</t>
        </is>
      </c>
      <c r="B643" s="1" t="n">
        <v>45639.31511574074</v>
      </c>
      <c r="C643" s="1" t="n">
        <v>45992</v>
      </c>
      <c r="D643" t="inlineStr">
        <is>
          <t>ÖSTERGÖTLANDS LÄN</t>
        </is>
      </c>
      <c r="E643" t="inlineStr">
        <is>
          <t>LINKÖPING</t>
        </is>
      </c>
      <c r="G643" t="n">
        <v>0.9</v>
      </c>
      <c r="H643" t="n">
        <v>0</v>
      </c>
      <c r="I643" t="n">
        <v>0</v>
      </c>
      <c r="J643" t="n">
        <v>0</v>
      </c>
      <c r="K643" t="n">
        <v>0</v>
      </c>
      <c r="L643" t="n">
        <v>0</v>
      </c>
      <c r="M643" t="n">
        <v>0</v>
      </c>
      <c r="N643" t="n">
        <v>0</v>
      </c>
      <c r="O643" t="n">
        <v>0</v>
      </c>
      <c r="P643" t="n">
        <v>0</v>
      </c>
      <c r="Q643" t="n">
        <v>0</v>
      </c>
      <c r="R643" s="2" t="inlineStr"/>
    </row>
    <row r="644" ht="15" customHeight="1">
      <c r="A644" t="inlineStr">
        <is>
          <t>A 59674-2024</t>
        </is>
      </c>
      <c r="B644" s="1" t="n">
        <v>45639</v>
      </c>
      <c r="C644" s="1" t="n">
        <v>45992</v>
      </c>
      <c r="D644" t="inlineStr">
        <is>
          <t>ÖSTERGÖTLANDS LÄN</t>
        </is>
      </c>
      <c r="E644" t="inlineStr">
        <is>
          <t>LINKÖPING</t>
        </is>
      </c>
      <c r="G644" t="n">
        <v>6.3</v>
      </c>
      <c r="H644" t="n">
        <v>0</v>
      </c>
      <c r="I644" t="n">
        <v>0</v>
      </c>
      <c r="J644" t="n">
        <v>0</v>
      </c>
      <c r="K644" t="n">
        <v>0</v>
      </c>
      <c r="L644" t="n">
        <v>0</v>
      </c>
      <c r="M644" t="n">
        <v>0</v>
      </c>
      <c r="N644" t="n">
        <v>0</v>
      </c>
      <c r="O644" t="n">
        <v>0</v>
      </c>
      <c r="P644" t="n">
        <v>0</v>
      </c>
      <c r="Q644" t="n">
        <v>0</v>
      </c>
      <c r="R644" s="2" t="inlineStr"/>
    </row>
    <row r="645" ht="15" customHeight="1">
      <c r="A645" t="inlineStr">
        <is>
          <t>A 3742-2021</t>
        </is>
      </c>
      <c r="B645" s="1" t="n">
        <v>44221</v>
      </c>
      <c r="C645" s="1" t="n">
        <v>45992</v>
      </c>
      <c r="D645" t="inlineStr">
        <is>
          <t>ÖSTERGÖTLANDS LÄN</t>
        </is>
      </c>
      <c r="E645" t="inlineStr">
        <is>
          <t>LINKÖPING</t>
        </is>
      </c>
      <c r="G645" t="n">
        <v>5.5</v>
      </c>
      <c r="H645" t="n">
        <v>0</v>
      </c>
      <c r="I645" t="n">
        <v>0</v>
      </c>
      <c r="J645" t="n">
        <v>0</v>
      </c>
      <c r="K645" t="n">
        <v>0</v>
      </c>
      <c r="L645" t="n">
        <v>0</v>
      </c>
      <c r="M645" t="n">
        <v>0</v>
      </c>
      <c r="N645" t="n">
        <v>0</v>
      </c>
      <c r="O645" t="n">
        <v>0</v>
      </c>
      <c r="P645" t="n">
        <v>0</v>
      </c>
      <c r="Q645" t="n">
        <v>0</v>
      </c>
      <c r="R645" s="2" t="inlineStr"/>
    </row>
    <row r="646" ht="15" customHeight="1">
      <c r="A646" t="inlineStr">
        <is>
          <t>A 18916-2024</t>
        </is>
      </c>
      <c r="B646" s="1" t="n">
        <v>45427.39541666667</v>
      </c>
      <c r="C646" s="1" t="n">
        <v>45992</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11084-2022</t>
        </is>
      </c>
      <c r="B647" s="1" t="n">
        <v>44628</v>
      </c>
      <c r="C647" s="1" t="n">
        <v>45992</v>
      </c>
      <c r="D647" t="inlineStr">
        <is>
          <t>ÖSTERGÖTLANDS LÄN</t>
        </is>
      </c>
      <c r="E647" t="inlineStr">
        <is>
          <t>LINKÖPING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10203-2023</t>
        </is>
      </c>
      <c r="B648" s="1" t="n">
        <v>44986.55711805556</v>
      </c>
      <c r="C648" s="1" t="n">
        <v>45992</v>
      </c>
      <c r="D648" t="inlineStr">
        <is>
          <t>ÖSTERGÖTLANDS LÄN</t>
        </is>
      </c>
      <c r="E648" t="inlineStr">
        <is>
          <t>LINKÖPING</t>
        </is>
      </c>
      <c r="G648" t="n">
        <v>3.3</v>
      </c>
      <c r="H648" t="n">
        <v>0</v>
      </c>
      <c r="I648" t="n">
        <v>0</v>
      </c>
      <c r="J648" t="n">
        <v>0</v>
      </c>
      <c r="K648" t="n">
        <v>0</v>
      </c>
      <c r="L648" t="n">
        <v>0</v>
      </c>
      <c r="M648" t="n">
        <v>0</v>
      </c>
      <c r="N648" t="n">
        <v>0</v>
      </c>
      <c r="O648" t="n">
        <v>0</v>
      </c>
      <c r="P648" t="n">
        <v>0</v>
      </c>
      <c r="Q648" t="n">
        <v>0</v>
      </c>
      <c r="R648" s="2" t="inlineStr"/>
    </row>
    <row r="649" ht="15" customHeight="1">
      <c r="A649" t="inlineStr">
        <is>
          <t>A 2618-2023</t>
        </is>
      </c>
      <c r="B649" s="1" t="n">
        <v>44944.35847222222</v>
      </c>
      <c r="C649" s="1" t="n">
        <v>45992</v>
      </c>
      <c r="D649" t="inlineStr">
        <is>
          <t>ÖSTERGÖTLANDS LÄN</t>
        </is>
      </c>
      <c r="E649" t="inlineStr">
        <is>
          <t>LINKÖPING</t>
        </is>
      </c>
      <c r="G649" t="n">
        <v>4.3</v>
      </c>
      <c r="H649" t="n">
        <v>0</v>
      </c>
      <c r="I649" t="n">
        <v>0</v>
      </c>
      <c r="J649" t="n">
        <v>0</v>
      </c>
      <c r="K649" t="n">
        <v>0</v>
      </c>
      <c r="L649" t="n">
        <v>0</v>
      </c>
      <c r="M649" t="n">
        <v>0</v>
      </c>
      <c r="N649" t="n">
        <v>0</v>
      </c>
      <c r="O649" t="n">
        <v>0</v>
      </c>
      <c r="P649" t="n">
        <v>0</v>
      </c>
      <c r="Q649" t="n">
        <v>0</v>
      </c>
      <c r="R649" s="2" t="inlineStr"/>
    </row>
    <row r="650" ht="15" customHeight="1">
      <c r="A650" t="inlineStr">
        <is>
          <t>A 62020-2024</t>
        </is>
      </c>
      <c r="B650" s="1" t="n">
        <v>45655.83563657408</v>
      </c>
      <c r="C650" s="1" t="n">
        <v>45992</v>
      </c>
      <c r="D650" t="inlineStr">
        <is>
          <t>ÖSTERGÖTLANDS LÄN</t>
        </is>
      </c>
      <c r="E650" t="inlineStr">
        <is>
          <t>LINKÖPING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62021-2024</t>
        </is>
      </c>
      <c r="B651" s="1" t="n">
        <v>45655.84232638889</v>
      </c>
      <c r="C651" s="1" t="n">
        <v>45992</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1362-2023</t>
        </is>
      </c>
      <c r="B652" s="1" t="n">
        <v>44931</v>
      </c>
      <c r="C652" s="1" t="n">
        <v>45992</v>
      </c>
      <c r="D652" t="inlineStr">
        <is>
          <t>ÖSTERGÖTLANDS LÄN</t>
        </is>
      </c>
      <c r="E652" t="inlineStr">
        <is>
          <t>LINKÖPING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49928-2024</t>
        </is>
      </c>
      <c r="B653" s="1" t="n">
        <v>45597.57811342592</v>
      </c>
      <c r="C653" s="1" t="n">
        <v>45992</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3627-2023</t>
        </is>
      </c>
      <c r="B654" s="1" t="n">
        <v>44950.64782407408</v>
      </c>
      <c r="C654" s="1" t="n">
        <v>45992</v>
      </c>
      <c r="D654" t="inlineStr">
        <is>
          <t>ÖSTERGÖTLANDS LÄN</t>
        </is>
      </c>
      <c r="E654" t="inlineStr">
        <is>
          <t>LINKÖPING</t>
        </is>
      </c>
      <c r="G654" t="n">
        <v>3.1</v>
      </c>
      <c r="H654" t="n">
        <v>0</v>
      </c>
      <c r="I654" t="n">
        <v>0</v>
      </c>
      <c r="J654" t="n">
        <v>0</v>
      </c>
      <c r="K654" t="n">
        <v>0</v>
      </c>
      <c r="L654" t="n">
        <v>0</v>
      </c>
      <c r="M654" t="n">
        <v>0</v>
      </c>
      <c r="N654" t="n">
        <v>0</v>
      </c>
      <c r="O654" t="n">
        <v>0</v>
      </c>
      <c r="P654" t="n">
        <v>0</v>
      </c>
      <c r="Q654" t="n">
        <v>0</v>
      </c>
      <c r="R654" s="2" t="inlineStr"/>
    </row>
    <row r="655" ht="15" customHeight="1">
      <c r="A655" t="inlineStr">
        <is>
          <t>A 51405-2023</t>
        </is>
      </c>
      <c r="B655" s="1" t="n">
        <v>45219</v>
      </c>
      <c r="C655" s="1" t="n">
        <v>45992</v>
      </c>
      <c r="D655" t="inlineStr">
        <is>
          <t>ÖSTERGÖTLANDS LÄN</t>
        </is>
      </c>
      <c r="E655" t="inlineStr">
        <is>
          <t>LINKÖPING</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11601-2023</t>
        </is>
      </c>
      <c r="B656" s="1" t="n">
        <v>44994</v>
      </c>
      <c r="C656" s="1" t="n">
        <v>45992</v>
      </c>
      <c r="D656" t="inlineStr">
        <is>
          <t>ÖSTERGÖTLANDS LÄN</t>
        </is>
      </c>
      <c r="E656" t="inlineStr">
        <is>
          <t>LINKÖPING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40338-2024</t>
        </is>
      </c>
      <c r="B657" s="1" t="n">
        <v>45555.32940972222</v>
      </c>
      <c r="C657" s="1" t="n">
        <v>45992</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167-2024</t>
        </is>
      </c>
      <c r="B658" s="1" t="n">
        <v>45294</v>
      </c>
      <c r="C658" s="1" t="n">
        <v>45992</v>
      </c>
      <c r="D658" t="inlineStr">
        <is>
          <t>ÖSTERGÖTLANDS LÄN</t>
        </is>
      </c>
      <c r="E658" t="inlineStr">
        <is>
          <t>LINKÖPING</t>
        </is>
      </c>
      <c r="F658" t="inlineStr">
        <is>
          <t>Allmännings- och besparingsskogar</t>
        </is>
      </c>
      <c r="G658" t="n">
        <v>11.6</v>
      </c>
      <c r="H658" t="n">
        <v>0</v>
      </c>
      <c r="I658" t="n">
        <v>0</v>
      </c>
      <c r="J658" t="n">
        <v>0</v>
      </c>
      <c r="K658" t="n">
        <v>0</v>
      </c>
      <c r="L658" t="n">
        <v>0</v>
      </c>
      <c r="M658" t="n">
        <v>0</v>
      </c>
      <c r="N658" t="n">
        <v>0</v>
      </c>
      <c r="O658" t="n">
        <v>0</v>
      </c>
      <c r="P658" t="n">
        <v>0</v>
      </c>
      <c r="Q658" t="n">
        <v>0</v>
      </c>
      <c r="R658" s="2" t="inlineStr"/>
    </row>
    <row r="659" ht="15" customHeight="1">
      <c r="A659" t="inlineStr">
        <is>
          <t>A 27186-2021</t>
        </is>
      </c>
      <c r="B659" s="1" t="n">
        <v>44350.67715277777</v>
      </c>
      <c r="C659" s="1" t="n">
        <v>45992</v>
      </c>
      <c r="D659" t="inlineStr">
        <is>
          <t>ÖSTERGÖTLANDS LÄN</t>
        </is>
      </c>
      <c r="E659" t="inlineStr">
        <is>
          <t>LINKÖPING</t>
        </is>
      </c>
      <c r="F659" t="inlineStr">
        <is>
          <t>Allmännings- och besparingsskogar</t>
        </is>
      </c>
      <c r="G659" t="n">
        <v>1.4</v>
      </c>
      <c r="H659" t="n">
        <v>0</v>
      </c>
      <c r="I659" t="n">
        <v>0</v>
      </c>
      <c r="J659" t="n">
        <v>0</v>
      </c>
      <c r="K659" t="n">
        <v>0</v>
      </c>
      <c r="L659" t="n">
        <v>0</v>
      </c>
      <c r="M659" t="n">
        <v>0</v>
      </c>
      <c r="N659" t="n">
        <v>0</v>
      </c>
      <c r="O659" t="n">
        <v>0</v>
      </c>
      <c r="P659" t="n">
        <v>0</v>
      </c>
      <c r="Q659" t="n">
        <v>0</v>
      </c>
      <c r="R659" s="2" t="inlineStr"/>
    </row>
    <row r="660" ht="15" customHeight="1">
      <c r="A660" t="inlineStr">
        <is>
          <t>A 7343-2025</t>
        </is>
      </c>
      <c r="B660" s="1" t="n">
        <v>45703.67853009259</v>
      </c>
      <c r="C660" s="1" t="n">
        <v>45992</v>
      </c>
      <c r="D660" t="inlineStr">
        <is>
          <t>ÖSTERGÖTLANDS LÄN</t>
        </is>
      </c>
      <c r="E660" t="inlineStr">
        <is>
          <t>LINKÖPING</t>
        </is>
      </c>
      <c r="G660" t="n">
        <v>0.8</v>
      </c>
      <c r="H660" t="n">
        <v>0</v>
      </c>
      <c r="I660" t="n">
        <v>0</v>
      </c>
      <c r="J660" t="n">
        <v>0</v>
      </c>
      <c r="K660" t="n">
        <v>0</v>
      </c>
      <c r="L660" t="n">
        <v>0</v>
      </c>
      <c r="M660" t="n">
        <v>0</v>
      </c>
      <c r="N660" t="n">
        <v>0</v>
      </c>
      <c r="O660" t="n">
        <v>0</v>
      </c>
      <c r="P660" t="n">
        <v>0</v>
      </c>
      <c r="Q660" t="n">
        <v>0</v>
      </c>
      <c r="R660" s="2" t="inlineStr"/>
    </row>
    <row r="661" ht="15" customHeight="1">
      <c r="A661" t="inlineStr">
        <is>
          <t>A 48271-2023</t>
        </is>
      </c>
      <c r="B661" s="1" t="n">
        <v>45205</v>
      </c>
      <c r="C661" s="1" t="n">
        <v>45992</v>
      </c>
      <c r="D661" t="inlineStr">
        <is>
          <t>ÖSTERGÖTLANDS LÄN</t>
        </is>
      </c>
      <c r="E661" t="inlineStr">
        <is>
          <t>LINKÖPING</t>
        </is>
      </c>
      <c r="G661" t="n">
        <v>3</v>
      </c>
      <c r="H661" t="n">
        <v>0</v>
      </c>
      <c r="I661" t="n">
        <v>0</v>
      </c>
      <c r="J661" t="n">
        <v>0</v>
      </c>
      <c r="K661" t="n">
        <v>0</v>
      </c>
      <c r="L661" t="n">
        <v>0</v>
      </c>
      <c r="M661" t="n">
        <v>0</v>
      </c>
      <c r="N661" t="n">
        <v>0</v>
      </c>
      <c r="O661" t="n">
        <v>0</v>
      </c>
      <c r="P661" t="n">
        <v>0</v>
      </c>
      <c r="Q661" t="n">
        <v>0</v>
      </c>
      <c r="R661" s="2" t="inlineStr"/>
    </row>
    <row r="662" ht="15" customHeight="1">
      <c r="A662" t="inlineStr">
        <is>
          <t>A 12720-2022</t>
        </is>
      </c>
      <c r="B662" s="1" t="n">
        <v>44641</v>
      </c>
      <c r="C662" s="1" t="n">
        <v>45992</v>
      </c>
      <c r="D662" t="inlineStr">
        <is>
          <t>ÖSTERGÖTLANDS LÄN</t>
        </is>
      </c>
      <c r="E662" t="inlineStr">
        <is>
          <t>LINKÖPING</t>
        </is>
      </c>
      <c r="F662" t="inlineStr">
        <is>
          <t>Övriga Aktiebolag</t>
        </is>
      </c>
      <c r="G662" t="n">
        <v>2</v>
      </c>
      <c r="H662" t="n">
        <v>0</v>
      </c>
      <c r="I662" t="n">
        <v>0</v>
      </c>
      <c r="J662" t="n">
        <v>0</v>
      </c>
      <c r="K662" t="n">
        <v>0</v>
      </c>
      <c r="L662" t="n">
        <v>0</v>
      </c>
      <c r="M662" t="n">
        <v>0</v>
      </c>
      <c r="N662" t="n">
        <v>0</v>
      </c>
      <c r="O662" t="n">
        <v>0</v>
      </c>
      <c r="P662" t="n">
        <v>0</v>
      </c>
      <c r="Q662" t="n">
        <v>0</v>
      </c>
      <c r="R662" s="2" t="inlineStr"/>
    </row>
    <row r="663" ht="15" customHeight="1">
      <c r="A663" t="inlineStr">
        <is>
          <t>A 62018-2024</t>
        </is>
      </c>
      <c r="B663" s="1" t="n">
        <v>45655.81387731482</v>
      </c>
      <c r="C663" s="1" t="n">
        <v>45992</v>
      </c>
      <c r="D663" t="inlineStr">
        <is>
          <t>ÖSTERGÖTLANDS LÄN</t>
        </is>
      </c>
      <c r="E663" t="inlineStr">
        <is>
          <t>LINKÖPING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30551-2023</t>
        </is>
      </c>
      <c r="B664" s="1" t="n">
        <v>45111</v>
      </c>
      <c r="C664" s="1" t="n">
        <v>45992</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30860-2022</t>
        </is>
      </c>
      <c r="B665" s="1" t="n">
        <v>44767</v>
      </c>
      <c r="C665" s="1" t="n">
        <v>45992</v>
      </c>
      <c r="D665" t="inlineStr">
        <is>
          <t>ÖSTERGÖTLANDS LÄN</t>
        </is>
      </c>
      <c r="E665" t="inlineStr">
        <is>
          <t>LINKÖPING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60004-2022</t>
        </is>
      </c>
      <c r="B666" s="1" t="n">
        <v>44909.47206018519</v>
      </c>
      <c r="C666" s="1" t="n">
        <v>45992</v>
      </c>
      <c r="D666" t="inlineStr">
        <is>
          <t>ÖSTERGÖTLANDS LÄN</t>
        </is>
      </c>
      <c r="E666" t="inlineStr">
        <is>
          <t>LINKÖPING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60010-2022</t>
        </is>
      </c>
      <c r="B667" s="1" t="n">
        <v>44909.4740625</v>
      </c>
      <c r="C667" s="1" t="n">
        <v>45992</v>
      </c>
      <c r="D667" t="inlineStr">
        <is>
          <t>ÖSTERGÖTLANDS LÄN</t>
        </is>
      </c>
      <c r="E667" t="inlineStr">
        <is>
          <t>LINKÖPING</t>
        </is>
      </c>
      <c r="G667" t="n">
        <v>1.2</v>
      </c>
      <c r="H667" t="n">
        <v>0</v>
      </c>
      <c r="I667" t="n">
        <v>0</v>
      </c>
      <c r="J667" t="n">
        <v>0</v>
      </c>
      <c r="K667" t="n">
        <v>0</v>
      </c>
      <c r="L667" t="n">
        <v>0</v>
      </c>
      <c r="M667" t="n">
        <v>0</v>
      </c>
      <c r="N667" t="n">
        <v>0</v>
      </c>
      <c r="O667" t="n">
        <v>0</v>
      </c>
      <c r="P667" t="n">
        <v>0</v>
      </c>
      <c r="Q667" t="n">
        <v>0</v>
      </c>
      <c r="R667" s="2" t="inlineStr"/>
    </row>
    <row r="668" ht="15" customHeight="1">
      <c r="A668" t="inlineStr">
        <is>
          <t>A 53827-2023</t>
        </is>
      </c>
      <c r="B668" s="1" t="n">
        <v>45230</v>
      </c>
      <c r="C668" s="1" t="n">
        <v>45992</v>
      </c>
      <c r="D668" t="inlineStr">
        <is>
          <t>ÖSTERGÖTLANDS LÄN</t>
        </is>
      </c>
      <c r="E668" t="inlineStr">
        <is>
          <t>LINKÖPING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4256-2022</t>
        </is>
      </c>
      <c r="B669" s="1" t="n">
        <v>44588</v>
      </c>
      <c r="C669" s="1" t="n">
        <v>45992</v>
      </c>
      <c r="D669" t="inlineStr">
        <is>
          <t>ÖSTERGÖTLANDS LÄN</t>
        </is>
      </c>
      <c r="E669" t="inlineStr">
        <is>
          <t>LINKÖPING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61649-2023</t>
        </is>
      </c>
      <c r="B670" s="1" t="n">
        <v>45265</v>
      </c>
      <c r="C670" s="1" t="n">
        <v>45992</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223-2024</t>
        </is>
      </c>
      <c r="B671" s="1" t="n">
        <v>45294.72739583333</v>
      </c>
      <c r="C671" s="1" t="n">
        <v>45992</v>
      </c>
      <c r="D671" t="inlineStr">
        <is>
          <t>ÖSTERGÖTLANDS LÄN</t>
        </is>
      </c>
      <c r="E671" t="inlineStr">
        <is>
          <t>LINKÖPING</t>
        </is>
      </c>
      <c r="G671" t="n">
        <v>2.2</v>
      </c>
      <c r="H671" t="n">
        <v>0</v>
      </c>
      <c r="I671" t="n">
        <v>0</v>
      </c>
      <c r="J671" t="n">
        <v>0</v>
      </c>
      <c r="K671" t="n">
        <v>0</v>
      </c>
      <c r="L671" t="n">
        <v>0</v>
      </c>
      <c r="M671" t="n">
        <v>0</v>
      </c>
      <c r="N671" t="n">
        <v>0</v>
      </c>
      <c r="O671" t="n">
        <v>0</v>
      </c>
      <c r="P671" t="n">
        <v>0</v>
      </c>
      <c r="Q671" t="n">
        <v>0</v>
      </c>
      <c r="R671" s="2" t="inlineStr"/>
    </row>
    <row r="672" ht="15" customHeight="1">
      <c r="A672" t="inlineStr">
        <is>
          <t>A 19464-2024</t>
        </is>
      </c>
      <c r="B672" s="1" t="n">
        <v>45429</v>
      </c>
      <c r="C672" s="1" t="n">
        <v>45992</v>
      </c>
      <c r="D672" t="inlineStr">
        <is>
          <t>ÖSTERGÖTLANDS LÄN</t>
        </is>
      </c>
      <c r="E672" t="inlineStr">
        <is>
          <t>LINKÖPING</t>
        </is>
      </c>
      <c r="G672" t="n">
        <v>2.7</v>
      </c>
      <c r="H672" t="n">
        <v>0</v>
      </c>
      <c r="I672" t="n">
        <v>0</v>
      </c>
      <c r="J672" t="n">
        <v>0</v>
      </c>
      <c r="K672" t="n">
        <v>0</v>
      </c>
      <c r="L672" t="n">
        <v>0</v>
      </c>
      <c r="M672" t="n">
        <v>0</v>
      </c>
      <c r="N672" t="n">
        <v>0</v>
      </c>
      <c r="O672" t="n">
        <v>0</v>
      </c>
      <c r="P672" t="n">
        <v>0</v>
      </c>
      <c r="Q672" t="n">
        <v>0</v>
      </c>
      <c r="R672" s="2" t="inlineStr"/>
    </row>
    <row r="673" ht="15" customHeight="1">
      <c r="A673" t="inlineStr">
        <is>
          <t>A 630-2024</t>
        </is>
      </c>
      <c r="B673" s="1" t="n">
        <v>45299.67736111111</v>
      </c>
      <c r="C673" s="1" t="n">
        <v>45992</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30433-2024</t>
        </is>
      </c>
      <c r="B674" s="1" t="n">
        <v>45491.69741898148</v>
      </c>
      <c r="C674" s="1" t="n">
        <v>45992</v>
      </c>
      <c r="D674" t="inlineStr">
        <is>
          <t>ÖSTERGÖTLANDS LÄN</t>
        </is>
      </c>
      <c r="E674" t="inlineStr">
        <is>
          <t>LINKÖPING</t>
        </is>
      </c>
      <c r="G674" t="n">
        <v>1.7</v>
      </c>
      <c r="H674" t="n">
        <v>0</v>
      </c>
      <c r="I674" t="n">
        <v>0</v>
      </c>
      <c r="J674" t="n">
        <v>0</v>
      </c>
      <c r="K674" t="n">
        <v>0</v>
      </c>
      <c r="L674" t="n">
        <v>0</v>
      </c>
      <c r="M674" t="n">
        <v>0</v>
      </c>
      <c r="N674" t="n">
        <v>0</v>
      </c>
      <c r="O674" t="n">
        <v>0</v>
      </c>
      <c r="P674" t="n">
        <v>0</v>
      </c>
      <c r="Q674" t="n">
        <v>0</v>
      </c>
      <c r="R674" s="2" t="inlineStr"/>
    </row>
    <row r="675" ht="15" customHeight="1">
      <c r="A675" t="inlineStr">
        <is>
          <t>A 63528-2023</t>
        </is>
      </c>
      <c r="B675" s="1" t="n">
        <v>45274.94810185185</v>
      </c>
      <c r="C675" s="1" t="n">
        <v>45992</v>
      </c>
      <c r="D675" t="inlineStr">
        <is>
          <t>ÖSTERGÖTLANDS LÄN</t>
        </is>
      </c>
      <c r="E675" t="inlineStr">
        <is>
          <t>LINKÖPING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61936-2023</t>
        </is>
      </c>
      <c r="B676" s="1" t="n">
        <v>45266.54534722222</v>
      </c>
      <c r="C676" s="1" t="n">
        <v>45992</v>
      </c>
      <c r="D676" t="inlineStr">
        <is>
          <t>ÖSTERGÖTLANDS LÄN</t>
        </is>
      </c>
      <c r="E676" t="inlineStr">
        <is>
          <t>LINKÖPING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62492-2023</t>
        </is>
      </c>
      <c r="B677" s="1" t="n">
        <v>45268.58987268519</v>
      </c>
      <c r="C677" s="1" t="n">
        <v>45992</v>
      </c>
      <c r="D677" t="inlineStr">
        <is>
          <t>ÖSTERGÖTLANDS LÄN</t>
        </is>
      </c>
      <c r="E677" t="inlineStr">
        <is>
          <t>LINKÖPING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674-2024</t>
        </is>
      </c>
      <c r="B678" s="1" t="n">
        <v>45300.34408564815</v>
      </c>
      <c r="C678" s="1" t="n">
        <v>45992</v>
      </c>
      <c r="D678" t="inlineStr">
        <is>
          <t>ÖSTERGÖTLANDS LÄN</t>
        </is>
      </c>
      <c r="E678" t="inlineStr">
        <is>
          <t>LINKÖPING</t>
        </is>
      </c>
      <c r="F678" t="inlineStr">
        <is>
          <t>Sveaskog</t>
        </is>
      </c>
      <c r="G678" t="n">
        <v>2.9</v>
      </c>
      <c r="H678" t="n">
        <v>0</v>
      </c>
      <c r="I678" t="n">
        <v>0</v>
      </c>
      <c r="J678" t="n">
        <v>0</v>
      </c>
      <c r="K678" t="n">
        <v>0</v>
      </c>
      <c r="L678" t="n">
        <v>0</v>
      </c>
      <c r="M678" t="n">
        <v>0</v>
      </c>
      <c r="N678" t="n">
        <v>0</v>
      </c>
      <c r="O678" t="n">
        <v>0</v>
      </c>
      <c r="P678" t="n">
        <v>0</v>
      </c>
      <c r="Q678" t="n">
        <v>0</v>
      </c>
      <c r="R678" s="2" t="inlineStr"/>
    </row>
    <row r="679" ht="15" customHeight="1">
      <c r="A679" t="inlineStr">
        <is>
          <t>A 6782-2024</t>
        </is>
      </c>
      <c r="B679" s="1" t="n">
        <v>45342</v>
      </c>
      <c r="C679" s="1" t="n">
        <v>45992</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10094-2024</t>
        </is>
      </c>
      <c r="B680" s="1" t="n">
        <v>45364</v>
      </c>
      <c r="C680" s="1" t="n">
        <v>45992</v>
      </c>
      <c r="D680" t="inlineStr">
        <is>
          <t>ÖSTERGÖTLANDS LÄN</t>
        </is>
      </c>
      <c r="E680" t="inlineStr">
        <is>
          <t>LINKÖPING</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63684-2023</t>
        </is>
      </c>
      <c r="B681" s="1" t="n">
        <v>45275</v>
      </c>
      <c r="C681" s="1" t="n">
        <v>45992</v>
      </c>
      <c r="D681" t="inlineStr">
        <is>
          <t>ÖSTERGÖTLANDS LÄN</t>
        </is>
      </c>
      <c r="E681" t="inlineStr">
        <is>
          <t>LINKÖPING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63688-2023</t>
        </is>
      </c>
      <c r="B682" s="1" t="n">
        <v>45275</v>
      </c>
      <c r="C682" s="1" t="n">
        <v>45992</v>
      </c>
      <c r="D682" t="inlineStr">
        <is>
          <t>ÖSTERGÖTLANDS LÄN</t>
        </is>
      </c>
      <c r="E682" t="inlineStr">
        <is>
          <t>LINKÖPING</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63691-2023</t>
        </is>
      </c>
      <c r="B683" s="1" t="n">
        <v>45275</v>
      </c>
      <c r="C683" s="1" t="n">
        <v>45992</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36657-2023</t>
        </is>
      </c>
      <c r="B684" s="1" t="n">
        <v>45153.5702662037</v>
      </c>
      <c r="C684" s="1" t="n">
        <v>45992</v>
      </c>
      <c r="D684" t="inlineStr">
        <is>
          <t>ÖSTERGÖTLANDS LÄN</t>
        </is>
      </c>
      <c r="E684" t="inlineStr">
        <is>
          <t>LINKÖPING</t>
        </is>
      </c>
      <c r="F684" t="inlineStr">
        <is>
          <t>Allmännings- och besparingsskogar</t>
        </is>
      </c>
      <c r="G684" t="n">
        <v>2</v>
      </c>
      <c r="H684" t="n">
        <v>0</v>
      </c>
      <c r="I684" t="n">
        <v>0</v>
      </c>
      <c r="J684" t="n">
        <v>0</v>
      </c>
      <c r="K684" t="n">
        <v>0</v>
      </c>
      <c r="L684" t="n">
        <v>0</v>
      </c>
      <c r="M684" t="n">
        <v>0</v>
      </c>
      <c r="N684" t="n">
        <v>0</v>
      </c>
      <c r="O684" t="n">
        <v>0</v>
      </c>
      <c r="P684" t="n">
        <v>0</v>
      </c>
      <c r="Q684" t="n">
        <v>0</v>
      </c>
      <c r="R684" s="2" t="inlineStr"/>
    </row>
    <row r="685" ht="15" customHeight="1">
      <c r="A685" t="inlineStr">
        <is>
          <t>A 14667-2024</t>
        </is>
      </c>
      <c r="B685" s="1" t="n">
        <v>45397.42005787037</v>
      </c>
      <c r="C685" s="1" t="n">
        <v>45992</v>
      </c>
      <c r="D685" t="inlineStr">
        <is>
          <t>ÖSTERGÖTLANDS LÄN</t>
        </is>
      </c>
      <c r="E685" t="inlineStr">
        <is>
          <t>LINKÖPING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15714-2024</t>
        </is>
      </c>
      <c r="B686" s="1" t="n">
        <v>45404.48288194444</v>
      </c>
      <c r="C686" s="1" t="n">
        <v>45992</v>
      </c>
      <c r="D686" t="inlineStr">
        <is>
          <t>ÖSTERGÖTLANDS LÄN</t>
        </is>
      </c>
      <c r="E686" t="inlineStr">
        <is>
          <t>LINKÖPING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37715-2022</t>
        </is>
      </c>
      <c r="B687" s="1" t="n">
        <v>44810</v>
      </c>
      <c r="C687" s="1" t="n">
        <v>45992</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30429-2024</t>
        </is>
      </c>
      <c r="B688" s="1" t="n">
        <v>45491.68972222223</v>
      </c>
      <c r="C688" s="1" t="n">
        <v>45992</v>
      </c>
      <c r="D688" t="inlineStr">
        <is>
          <t>ÖSTERGÖTLANDS LÄN</t>
        </is>
      </c>
      <c r="E688" t="inlineStr">
        <is>
          <t>LINKÖPING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30435-2024</t>
        </is>
      </c>
      <c r="B689" s="1" t="n">
        <v>45491.69962962963</v>
      </c>
      <c r="C689" s="1" t="n">
        <v>45992</v>
      </c>
      <c r="D689" t="inlineStr">
        <is>
          <t>ÖSTERGÖTLANDS LÄN</t>
        </is>
      </c>
      <c r="E689" t="inlineStr">
        <is>
          <t>LINKÖPING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4927-2021</t>
        </is>
      </c>
      <c r="B690" s="1" t="n">
        <v>44227.57215277778</v>
      </c>
      <c r="C690" s="1" t="n">
        <v>45992</v>
      </c>
      <c r="D690" t="inlineStr">
        <is>
          <t>ÖSTERGÖTLANDS LÄN</t>
        </is>
      </c>
      <c r="E690" t="inlineStr">
        <is>
          <t>LINKÖPING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38231-2022</t>
        </is>
      </c>
      <c r="B691" s="1" t="n">
        <v>44812</v>
      </c>
      <c r="C691" s="1" t="n">
        <v>45992</v>
      </c>
      <c r="D691" t="inlineStr">
        <is>
          <t>ÖSTERGÖTLANDS LÄN</t>
        </is>
      </c>
      <c r="E691" t="inlineStr">
        <is>
          <t>LINKÖPING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34557-2022</t>
        </is>
      </c>
      <c r="B692" s="1" t="n">
        <v>44794.57074074074</v>
      </c>
      <c r="C692" s="1" t="n">
        <v>45992</v>
      </c>
      <c r="D692" t="inlineStr">
        <is>
          <t>ÖSTERGÖTLANDS LÄN</t>
        </is>
      </c>
      <c r="E692" t="inlineStr">
        <is>
          <t>LINKÖPING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13011-2022</t>
        </is>
      </c>
      <c r="B693" s="1" t="n">
        <v>44643</v>
      </c>
      <c r="C693" s="1" t="n">
        <v>45992</v>
      </c>
      <c r="D693" t="inlineStr">
        <is>
          <t>ÖSTERGÖTLANDS LÄN</t>
        </is>
      </c>
      <c r="E693" t="inlineStr">
        <is>
          <t>LINKÖPING</t>
        </is>
      </c>
      <c r="G693" t="n">
        <v>3.7</v>
      </c>
      <c r="H693" t="n">
        <v>0</v>
      </c>
      <c r="I693" t="n">
        <v>0</v>
      </c>
      <c r="J693" t="n">
        <v>0</v>
      </c>
      <c r="K693" t="n">
        <v>0</v>
      </c>
      <c r="L693" t="n">
        <v>0</v>
      </c>
      <c r="M693" t="n">
        <v>0</v>
      </c>
      <c r="N693" t="n">
        <v>0</v>
      </c>
      <c r="O693" t="n">
        <v>0</v>
      </c>
      <c r="P693" t="n">
        <v>0</v>
      </c>
      <c r="Q693" t="n">
        <v>0</v>
      </c>
      <c r="R693" s="2" t="inlineStr"/>
    </row>
    <row r="694" ht="15" customHeight="1">
      <c r="A694" t="inlineStr">
        <is>
          <t>A 617-2024</t>
        </is>
      </c>
      <c r="B694" s="1" t="n">
        <v>45299.66028935185</v>
      </c>
      <c r="C694" s="1" t="n">
        <v>45992</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19362-2023</t>
        </is>
      </c>
      <c r="B695" s="1" t="n">
        <v>45049</v>
      </c>
      <c r="C695" s="1" t="n">
        <v>45992</v>
      </c>
      <c r="D695" t="inlineStr">
        <is>
          <t>ÖSTERGÖTLANDS LÄN</t>
        </is>
      </c>
      <c r="E695" t="inlineStr">
        <is>
          <t>LINKÖPING</t>
        </is>
      </c>
      <c r="G695" t="n">
        <v>0.1</v>
      </c>
      <c r="H695" t="n">
        <v>0</v>
      </c>
      <c r="I695" t="n">
        <v>0</v>
      </c>
      <c r="J695" t="n">
        <v>0</v>
      </c>
      <c r="K695" t="n">
        <v>0</v>
      </c>
      <c r="L695" t="n">
        <v>0</v>
      </c>
      <c r="M695" t="n">
        <v>0</v>
      </c>
      <c r="N695" t="n">
        <v>0</v>
      </c>
      <c r="O695" t="n">
        <v>0</v>
      </c>
      <c r="P695" t="n">
        <v>0</v>
      </c>
      <c r="Q695" t="n">
        <v>0</v>
      </c>
      <c r="R695" s="2" t="inlineStr"/>
    </row>
    <row r="696" ht="15" customHeight="1">
      <c r="A696" t="inlineStr">
        <is>
          <t>A 19132-2023</t>
        </is>
      </c>
      <c r="B696" s="1" t="n">
        <v>45048.54754629629</v>
      </c>
      <c r="C696" s="1" t="n">
        <v>45992</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31635-2023</t>
        </is>
      </c>
      <c r="B697" s="1" t="n">
        <v>45105</v>
      </c>
      <c r="C697" s="1" t="n">
        <v>45992</v>
      </c>
      <c r="D697" t="inlineStr">
        <is>
          <t>ÖSTERGÖTLANDS LÄN</t>
        </is>
      </c>
      <c r="E697" t="inlineStr">
        <is>
          <t>LINKÖPING</t>
        </is>
      </c>
      <c r="F697" t="inlineStr">
        <is>
          <t>Övriga statliga verk och myndigheter</t>
        </is>
      </c>
      <c r="G697" t="n">
        <v>4.6</v>
      </c>
      <c r="H697" t="n">
        <v>0</v>
      </c>
      <c r="I697" t="n">
        <v>0</v>
      </c>
      <c r="J697" t="n">
        <v>0</v>
      </c>
      <c r="K697" t="n">
        <v>0</v>
      </c>
      <c r="L697" t="n">
        <v>0</v>
      </c>
      <c r="M697" t="n">
        <v>0</v>
      </c>
      <c r="N697" t="n">
        <v>0</v>
      </c>
      <c r="O697" t="n">
        <v>0</v>
      </c>
      <c r="P697" t="n">
        <v>0</v>
      </c>
      <c r="Q697" t="n">
        <v>0</v>
      </c>
      <c r="R697" s="2" t="inlineStr"/>
    </row>
    <row r="698" ht="15" customHeight="1">
      <c r="A698" t="inlineStr">
        <is>
          <t>A 20296-2025</t>
        </is>
      </c>
      <c r="B698" s="1" t="n">
        <v>45774.74922453704</v>
      </c>
      <c r="C698" s="1" t="n">
        <v>45992</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67129-2020</t>
        </is>
      </c>
      <c r="B699" s="1" t="n">
        <v>44180</v>
      </c>
      <c r="C699" s="1" t="n">
        <v>45992</v>
      </c>
      <c r="D699" t="inlineStr">
        <is>
          <t>ÖSTERGÖTLANDS LÄN</t>
        </is>
      </c>
      <c r="E699" t="inlineStr">
        <is>
          <t>LINKÖPING</t>
        </is>
      </c>
      <c r="F699" t="inlineStr">
        <is>
          <t>Övriga statliga verk och myndigheter</t>
        </is>
      </c>
      <c r="G699" t="n">
        <v>2.7</v>
      </c>
      <c r="H699" t="n">
        <v>0</v>
      </c>
      <c r="I699" t="n">
        <v>0</v>
      </c>
      <c r="J699" t="n">
        <v>0</v>
      </c>
      <c r="K699" t="n">
        <v>0</v>
      </c>
      <c r="L699" t="n">
        <v>0</v>
      </c>
      <c r="M699" t="n">
        <v>0</v>
      </c>
      <c r="N699" t="n">
        <v>0</v>
      </c>
      <c r="O699" t="n">
        <v>0</v>
      </c>
      <c r="P699" t="n">
        <v>0</v>
      </c>
      <c r="Q699" t="n">
        <v>0</v>
      </c>
      <c r="R699" s="2" t="inlineStr"/>
    </row>
    <row r="700" ht="15" customHeight="1">
      <c r="A700" t="inlineStr">
        <is>
          <t>A 22770-2024</t>
        </is>
      </c>
      <c r="B700" s="1" t="n">
        <v>45448.4634375</v>
      </c>
      <c r="C700" s="1" t="n">
        <v>45992</v>
      </c>
      <c r="D700" t="inlineStr">
        <is>
          <t>ÖSTERGÖTLANDS LÄN</t>
        </is>
      </c>
      <c r="E700" t="inlineStr">
        <is>
          <t>LINKÖPING</t>
        </is>
      </c>
      <c r="F700" t="inlineStr">
        <is>
          <t>Sveaskog</t>
        </is>
      </c>
      <c r="G700" t="n">
        <v>3.4</v>
      </c>
      <c r="H700" t="n">
        <v>0</v>
      </c>
      <c r="I700" t="n">
        <v>0</v>
      </c>
      <c r="J700" t="n">
        <v>0</v>
      </c>
      <c r="K700" t="n">
        <v>0</v>
      </c>
      <c r="L700" t="n">
        <v>0</v>
      </c>
      <c r="M700" t="n">
        <v>0</v>
      </c>
      <c r="N700" t="n">
        <v>0</v>
      </c>
      <c r="O700" t="n">
        <v>0</v>
      </c>
      <c r="P700" t="n">
        <v>0</v>
      </c>
      <c r="Q700" t="n">
        <v>0</v>
      </c>
      <c r="R700" s="2" t="inlineStr"/>
    </row>
    <row r="701" ht="15" customHeight="1">
      <c r="A701" t="inlineStr">
        <is>
          <t>A 11595-2025</t>
        </is>
      </c>
      <c r="B701" s="1" t="n">
        <v>45727.41893518518</v>
      </c>
      <c r="C701" s="1" t="n">
        <v>45992</v>
      </c>
      <c r="D701" t="inlineStr">
        <is>
          <t>ÖSTERGÖTLANDS LÄN</t>
        </is>
      </c>
      <c r="E701" t="inlineStr">
        <is>
          <t>LINKÖPING</t>
        </is>
      </c>
      <c r="G701" t="n">
        <v>6.6</v>
      </c>
      <c r="H701" t="n">
        <v>0</v>
      </c>
      <c r="I701" t="n">
        <v>0</v>
      </c>
      <c r="J701" t="n">
        <v>0</v>
      </c>
      <c r="K701" t="n">
        <v>0</v>
      </c>
      <c r="L701" t="n">
        <v>0</v>
      </c>
      <c r="M701" t="n">
        <v>0</v>
      </c>
      <c r="N701" t="n">
        <v>0</v>
      </c>
      <c r="O701" t="n">
        <v>0</v>
      </c>
      <c r="P701" t="n">
        <v>0</v>
      </c>
      <c r="Q701" t="n">
        <v>0</v>
      </c>
      <c r="R701" s="2" t="inlineStr"/>
    </row>
    <row r="702" ht="15" customHeight="1">
      <c r="A702" t="inlineStr">
        <is>
          <t>A 48839-2022</t>
        </is>
      </c>
      <c r="B702" s="1" t="n">
        <v>44859</v>
      </c>
      <c r="C702" s="1" t="n">
        <v>45992</v>
      </c>
      <c r="D702" t="inlineStr">
        <is>
          <t>ÖSTERGÖTLANDS LÄN</t>
        </is>
      </c>
      <c r="E702" t="inlineStr">
        <is>
          <t>LINKÖPING</t>
        </is>
      </c>
      <c r="F702" t="inlineStr">
        <is>
          <t>Övriga Aktiebolag</t>
        </is>
      </c>
      <c r="G702" t="n">
        <v>0.6</v>
      </c>
      <c r="H702" t="n">
        <v>0</v>
      </c>
      <c r="I702" t="n">
        <v>0</v>
      </c>
      <c r="J702" t="n">
        <v>0</v>
      </c>
      <c r="K702" t="n">
        <v>0</v>
      </c>
      <c r="L702" t="n">
        <v>0</v>
      </c>
      <c r="M702" t="n">
        <v>0</v>
      </c>
      <c r="N702" t="n">
        <v>0</v>
      </c>
      <c r="O702" t="n">
        <v>0</v>
      </c>
      <c r="P702" t="n">
        <v>0</v>
      </c>
      <c r="Q702" t="n">
        <v>0</v>
      </c>
      <c r="R702" s="2" t="inlineStr"/>
    </row>
    <row r="703" ht="15" customHeight="1">
      <c r="A703" t="inlineStr">
        <is>
          <t>A 8967-2025</t>
        </is>
      </c>
      <c r="B703" s="1" t="n">
        <v>45712</v>
      </c>
      <c r="C703" s="1" t="n">
        <v>45992</v>
      </c>
      <c r="D703" t="inlineStr">
        <is>
          <t>ÖSTERGÖTLANDS LÄN</t>
        </is>
      </c>
      <c r="E703" t="inlineStr">
        <is>
          <t>LINKÖPING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63678-2023</t>
        </is>
      </c>
      <c r="B704" s="1" t="n">
        <v>45275.64769675926</v>
      </c>
      <c r="C704" s="1" t="n">
        <v>45992</v>
      </c>
      <c r="D704" t="inlineStr">
        <is>
          <t>ÖSTERGÖTLANDS LÄN</t>
        </is>
      </c>
      <c r="E704" t="inlineStr">
        <is>
          <t>LINKÖPING</t>
        </is>
      </c>
      <c r="F704" t="inlineStr">
        <is>
          <t>Övriga Aktiebolag</t>
        </is>
      </c>
      <c r="G704" t="n">
        <v>0.4</v>
      </c>
      <c r="H704" t="n">
        <v>0</v>
      </c>
      <c r="I704" t="n">
        <v>0</v>
      </c>
      <c r="J704" t="n">
        <v>0</v>
      </c>
      <c r="K704" t="n">
        <v>0</v>
      </c>
      <c r="L704" t="n">
        <v>0</v>
      </c>
      <c r="M704" t="n">
        <v>0</v>
      </c>
      <c r="N704" t="n">
        <v>0</v>
      </c>
      <c r="O704" t="n">
        <v>0</v>
      </c>
      <c r="P704" t="n">
        <v>0</v>
      </c>
      <c r="Q704" t="n">
        <v>0</v>
      </c>
      <c r="R704" s="2" t="inlineStr"/>
    </row>
    <row r="705" ht="15" customHeight="1">
      <c r="A705" t="inlineStr">
        <is>
          <t>A 1844-2025</t>
        </is>
      </c>
      <c r="B705" s="1" t="n">
        <v>45671.57730324074</v>
      </c>
      <c r="C705" s="1" t="n">
        <v>45992</v>
      </c>
      <c r="D705" t="inlineStr">
        <is>
          <t>ÖSTERGÖTLANDS LÄN</t>
        </is>
      </c>
      <c r="E705" t="inlineStr">
        <is>
          <t>LINKÖPING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21165-2025</t>
        </is>
      </c>
      <c r="B706" s="1" t="n">
        <v>45779.39417824074</v>
      </c>
      <c r="C706" s="1" t="n">
        <v>45992</v>
      </c>
      <c r="D706" t="inlineStr">
        <is>
          <t>ÖSTERGÖTLANDS LÄN</t>
        </is>
      </c>
      <c r="E706" t="inlineStr">
        <is>
          <t>LINKÖPING</t>
        </is>
      </c>
      <c r="G706" t="n">
        <v>1.2</v>
      </c>
      <c r="H706" t="n">
        <v>0</v>
      </c>
      <c r="I706" t="n">
        <v>0</v>
      </c>
      <c r="J706" t="n">
        <v>0</v>
      </c>
      <c r="K706" t="n">
        <v>0</v>
      </c>
      <c r="L706" t="n">
        <v>0</v>
      </c>
      <c r="M706" t="n">
        <v>0</v>
      </c>
      <c r="N706" t="n">
        <v>0</v>
      </c>
      <c r="O706" t="n">
        <v>0</v>
      </c>
      <c r="P706" t="n">
        <v>0</v>
      </c>
      <c r="Q706" t="n">
        <v>0</v>
      </c>
      <c r="R706" s="2" t="inlineStr"/>
    </row>
    <row r="707" ht="15" customHeight="1">
      <c r="A707" t="inlineStr">
        <is>
          <t>A 21155-2025</t>
        </is>
      </c>
      <c r="B707" s="1" t="n">
        <v>45779.37586805555</v>
      </c>
      <c r="C707" s="1" t="n">
        <v>45992</v>
      </c>
      <c r="D707" t="inlineStr">
        <is>
          <t>ÖSTERGÖTLANDS LÄN</t>
        </is>
      </c>
      <c r="E707" t="inlineStr">
        <is>
          <t>LINKÖPING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22264-2025</t>
        </is>
      </c>
      <c r="B708" s="1" t="n">
        <v>45785</v>
      </c>
      <c r="C708" s="1" t="n">
        <v>45992</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9473-2024</t>
        </is>
      </c>
      <c r="B709" s="1" t="n">
        <v>45359.55474537037</v>
      </c>
      <c r="C709" s="1" t="n">
        <v>45992</v>
      </c>
      <c r="D709" t="inlineStr">
        <is>
          <t>ÖSTERGÖTLANDS LÄN</t>
        </is>
      </c>
      <c r="E709" t="inlineStr">
        <is>
          <t>LINKÖPING</t>
        </is>
      </c>
      <c r="G709" t="n">
        <v>1</v>
      </c>
      <c r="H709" t="n">
        <v>0</v>
      </c>
      <c r="I709" t="n">
        <v>0</v>
      </c>
      <c r="J709" t="n">
        <v>0</v>
      </c>
      <c r="K709" t="n">
        <v>0</v>
      </c>
      <c r="L709" t="n">
        <v>0</v>
      </c>
      <c r="M709" t="n">
        <v>0</v>
      </c>
      <c r="N709" t="n">
        <v>0</v>
      </c>
      <c r="O709" t="n">
        <v>0</v>
      </c>
      <c r="P709" t="n">
        <v>0</v>
      </c>
      <c r="Q709" t="n">
        <v>0</v>
      </c>
      <c r="R709" s="2" t="inlineStr"/>
    </row>
    <row r="710" ht="15" customHeight="1">
      <c r="A710" t="inlineStr">
        <is>
          <t>A 6859-2024</t>
        </is>
      </c>
      <c r="B710" s="1" t="n">
        <v>45342</v>
      </c>
      <c r="C710" s="1" t="n">
        <v>45992</v>
      </c>
      <c r="D710" t="inlineStr">
        <is>
          <t>ÖSTERGÖTLANDS LÄN</t>
        </is>
      </c>
      <c r="E710" t="inlineStr">
        <is>
          <t>LINKÖPING</t>
        </is>
      </c>
      <c r="G710" t="n">
        <v>1</v>
      </c>
      <c r="H710" t="n">
        <v>0</v>
      </c>
      <c r="I710" t="n">
        <v>0</v>
      </c>
      <c r="J710" t="n">
        <v>0</v>
      </c>
      <c r="K710" t="n">
        <v>0</v>
      </c>
      <c r="L710" t="n">
        <v>0</v>
      </c>
      <c r="M710" t="n">
        <v>0</v>
      </c>
      <c r="N710" t="n">
        <v>0</v>
      </c>
      <c r="O710" t="n">
        <v>0</v>
      </c>
      <c r="P710" t="n">
        <v>0</v>
      </c>
      <c r="Q710" t="n">
        <v>0</v>
      </c>
      <c r="R710" s="2" t="inlineStr"/>
    </row>
    <row r="711" ht="15" customHeight="1">
      <c r="A711" t="inlineStr">
        <is>
          <t>A 44287-2024</t>
        </is>
      </c>
      <c r="B711" s="1" t="n">
        <v>45573.50582175926</v>
      </c>
      <c r="C711" s="1" t="n">
        <v>45992</v>
      </c>
      <c r="D711" t="inlineStr">
        <is>
          <t>ÖSTERGÖTLANDS LÄN</t>
        </is>
      </c>
      <c r="E711" t="inlineStr">
        <is>
          <t>LINKÖPING</t>
        </is>
      </c>
      <c r="G711" t="n">
        <v>12.7</v>
      </c>
      <c r="H711" t="n">
        <v>0</v>
      </c>
      <c r="I711" t="n">
        <v>0</v>
      </c>
      <c r="J711" t="n">
        <v>0</v>
      </c>
      <c r="K711" t="n">
        <v>0</v>
      </c>
      <c r="L711" t="n">
        <v>0</v>
      </c>
      <c r="M711" t="n">
        <v>0</v>
      </c>
      <c r="N711" t="n">
        <v>0</v>
      </c>
      <c r="O711" t="n">
        <v>0</v>
      </c>
      <c r="P711" t="n">
        <v>0</v>
      </c>
      <c r="Q711" t="n">
        <v>0</v>
      </c>
      <c r="R711" s="2" t="inlineStr"/>
    </row>
    <row r="712" ht="15" customHeight="1">
      <c r="A712" t="inlineStr">
        <is>
          <t>A 22364-2025</t>
        </is>
      </c>
      <c r="B712" s="1" t="n">
        <v>45786.46930555555</v>
      </c>
      <c r="C712" s="1" t="n">
        <v>45992</v>
      </c>
      <c r="D712" t="inlineStr">
        <is>
          <t>ÖSTERGÖTLANDS LÄN</t>
        </is>
      </c>
      <c r="E712" t="inlineStr">
        <is>
          <t>LINKÖPING</t>
        </is>
      </c>
      <c r="G712" t="n">
        <v>2.2</v>
      </c>
      <c r="H712" t="n">
        <v>0</v>
      </c>
      <c r="I712" t="n">
        <v>0</v>
      </c>
      <c r="J712" t="n">
        <v>0</v>
      </c>
      <c r="K712" t="n">
        <v>0</v>
      </c>
      <c r="L712" t="n">
        <v>0</v>
      </c>
      <c r="M712" t="n">
        <v>0</v>
      </c>
      <c r="N712" t="n">
        <v>0</v>
      </c>
      <c r="O712" t="n">
        <v>0</v>
      </c>
      <c r="P712" t="n">
        <v>0</v>
      </c>
      <c r="Q712" t="n">
        <v>0</v>
      </c>
      <c r="R712" s="2" t="inlineStr"/>
    </row>
    <row r="713" ht="15" customHeight="1">
      <c r="A713" t="inlineStr">
        <is>
          <t>A 572-2025</t>
        </is>
      </c>
      <c r="B713" s="1" t="n">
        <v>45664.56349537037</v>
      </c>
      <c r="C713" s="1" t="n">
        <v>45992</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10797-2024</t>
        </is>
      </c>
      <c r="B714" s="1" t="n">
        <v>45369.6190162037</v>
      </c>
      <c r="C714" s="1" t="n">
        <v>45992</v>
      </c>
      <c r="D714" t="inlineStr">
        <is>
          <t>ÖSTERGÖTLANDS LÄN</t>
        </is>
      </c>
      <c r="E714" t="inlineStr">
        <is>
          <t>LINKÖPING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38580-2024</t>
        </is>
      </c>
      <c r="B715" s="1" t="n">
        <v>45546.64825231482</v>
      </c>
      <c r="C715" s="1" t="n">
        <v>45992</v>
      </c>
      <c r="D715" t="inlineStr">
        <is>
          <t>ÖSTERGÖTLANDS LÄN</t>
        </is>
      </c>
      <c r="E715" t="inlineStr">
        <is>
          <t>LINKÖPING</t>
        </is>
      </c>
      <c r="G715" t="n">
        <v>4.8</v>
      </c>
      <c r="H715" t="n">
        <v>0</v>
      </c>
      <c r="I715" t="n">
        <v>0</v>
      </c>
      <c r="J715" t="n">
        <v>0</v>
      </c>
      <c r="K715" t="n">
        <v>0</v>
      </c>
      <c r="L715" t="n">
        <v>0</v>
      </c>
      <c r="M715" t="n">
        <v>0</v>
      </c>
      <c r="N715" t="n">
        <v>0</v>
      </c>
      <c r="O715" t="n">
        <v>0</v>
      </c>
      <c r="P715" t="n">
        <v>0</v>
      </c>
      <c r="Q715" t="n">
        <v>0</v>
      </c>
      <c r="R715" s="2" t="inlineStr"/>
    </row>
    <row r="716" ht="15" customHeight="1">
      <c r="A716" t="inlineStr">
        <is>
          <t>A 57752-2023</t>
        </is>
      </c>
      <c r="B716" s="1" t="n">
        <v>45246.78474537037</v>
      </c>
      <c r="C716" s="1" t="n">
        <v>45992</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29312-2024</t>
        </is>
      </c>
      <c r="B717" s="1" t="n">
        <v>45483</v>
      </c>
      <c r="C717" s="1" t="n">
        <v>45992</v>
      </c>
      <c r="D717" t="inlineStr">
        <is>
          <t>ÖSTERGÖTLANDS LÄN</t>
        </is>
      </c>
      <c r="E717" t="inlineStr">
        <is>
          <t>LINKÖPING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23120-2025</t>
        </is>
      </c>
      <c r="B718" s="1" t="n">
        <v>45791.37481481482</v>
      </c>
      <c r="C718" s="1" t="n">
        <v>45992</v>
      </c>
      <c r="D718" t="inlineStr">
        <is>
          <t>ÖSTERGÖTLANDS LÄN</t>
        </is>
      </c>
      <c r="E718" t="inlineStr">
        <is>
          <t>LINKÖPING</t>
        </is>
      </c>
      <c r="G718" t="n">
        <v>2.9</v>
      </c>
      <c r="H718" t="n">
        <v>0</v>
      </c>
      <c r="I718" t="n">
        <v>0</v>
      </c>
      <c r="J718" t="n">
        <v>0</v>
      </c>
      <c r="K718" t="n">
        <v>0</v>
      </c>
      <c r="L718" t="n">
        <v>0</v>
      </c>
      <c r="M718" t="n">
        <v>0</v>
      </c>
      <c r="N718" t="n">
        <v>0</v>
      </c>
      <c r="O718" t="n">
        <v>0</v>
      </c>
      <c r="P718" t="n">
        <v>0</v>
      </c>
      <c r="Q718" t="n">
        <v>0</v>
      </c>
      <c r="R718" s="2" t="inlineStr"/>
    </row>
    <row r="719" ht="15" customHeight="1">
      <c r="A719" t="inlineStr">
        <is>
          <t>A 23768-2025</t>
        </is>
      </c>
      <c r="B719" s="1" t="n">
        <v>45793.47493055555</v>
      </c>
      <c r="C719" s="1" t="n">
        <v>45992</v>
      </c>
      <c r="D719" t="inlineStr">
        <is>
          <t>ÖSTERGÖTLANDS LÄN</t>
        </is>
      </c>
      <c r="E719" t="inlineStr">
        <is>
          <t>LINKÖPING</t>
        </is>
      </c>
      <c r="G719" t="n">
        <v>3.4</v>
      </c>
      <c r="H719" t="n">
        <v>0</v>
      </c>
      <c r="I719" t="n">
        <v>0</v>
      </c>
      <c r="J719" t="n">
        <v>0</v>
      </c>
      <c r="K719" t="n">
        <v>0</v>
      </c>
      <c r="L719" t="n">
        <v>0</v>
      </c>
      <c r="M719" t="n">
        <v>0</v>
      </c>
      <c r="N719" t="n">
        <v>0</v>
      </c>
      <c r="O719" t="n">
        <v>0</v>
      </c>
      <c r="P719" t="n">
        <v>0</v>
      </c>
      <c r="Q719" t="n">
        <v>0</v>
      </c>
      <c r="R719" s="2" t="inlineStr"/>
    </row>
    <row r="720">
      <c r="A720" t="inlineStr">
        <is>
          <t>A 48699-2024</t>
        </is>
      </c>
      <c r="B720" s="1" t="n">
        <v>45593.52091435185</v>
      </c>
      <c r="C720" s="1" t="n">
        <v>45992</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2025-12-01T10:22:38Z</dcterms:created>
  <dcterms:modified xmlns:dcterms="http://purl.org/dc/terms/" xmlns:xsi="http://www.w3.org/2001/XMLSchema-instance" xsi:type="dcterms:W3CDTF">2025-12-01T10:22:39Z</dcterms:modified>
</cp:coreProperties>
</file>